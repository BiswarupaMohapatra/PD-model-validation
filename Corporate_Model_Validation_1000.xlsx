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ISWARUPA MOHAPTRA\Downloads\"/>
    </mc:Choice>
  </mc:AlternateContent>
  <xr:revisionPtr revIDLastSave="0" documentId="13_ncr:1_{26CAA4FA-FC79-4B8C-8456-0F28CEE1A8E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ivot Table  for Recovery Avail" sheetId="8" r:id="rId1"/>
    <sheet name="Corporate_Data" sheetId="1" r:id="rId2"/>
    <sheet name="Missing_Value_Check" sheetId="3" r:id="rId3"/>
    <sheet name="Default_Flag_Check" sheetId="4" r:id="rId4"/>
    <sheet name="Population_Shift" sheetId="5" r:id="rId5"/>
    <sheet name="Window_Check" sheetId="6" r:id="rId6"/>
  </sheets>
  <definedNames>
    <definedName name="_xlnm._FilterDatabase" localSheetId="1" hidden="1">Corporate_Data!$A$1:$N$1001</definedName>
  </definedNames>
  <calcPr calcId="191029"/>
  <pivotCaches>
    <pivotCache cacheId="2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3" i="1" l="1"/>
  <c r="O100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C4" i="6"/>
  <c r="C3" i="6"/>
  <c r="C2" i="6"/>
  <c r="B5" i="6"/>
  <c r="B4" i="6"/>
  <c r="B3" i="6"/>
  <c r="B2" i="6"/>
  <c r="F8" i="5"/>
  <c r="F9" i="5"/>
  <c r="F10" i="5"/>
  <c r="F11" i="5"/>
  <c r="F7" i="5"/>
  <c r="E8" i="5"/>
  <c r="E9" i="5"/>
  <c r="E10" i="5"/>
  <c r="E11" i="5"/>
  <c r="E7" i="5"/>
  <c r="D8" i="5"/>
  <c r="D9" i="5"/>
  <c r="D10" i="5"/>
  <c r="D11" i="5"/>
  <c r="D7" i="5"/>
  <c r="C12" i="5"/>
  <c r="B12" i="5"/>
  <c r="C11" i="5"/>
  <c r="B11" i="5"/>
  <c r="C10" i="5"/>
  <c r="B10" i="5"/>
  <c r="C9" i="5"/>
  <c r="B9" i="5"/>
  <c r="C8" i="5"/>
  <c r="B8" i="5"/>
  <c r="C7" i="5"/>
  <c r="B7" i="5"/>
  <c r="F3" i="5"/>
  <c r="F2" i="5"/>
  <c r="E3" i="5"/>
  <c r="E2" i="5"/>
  <c r="D3" i="5"/>
  <c r="D2" i="5"/>
  <c r="C3" i="5"/>
  <c r="C2" i="5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I4" i="3"/>
  <c r="J4" i="3" s="1"/>
  <c r="I3" i="3"/>
  <c r="J3" i="3" s="1"/>
  <c r="I2" i="3"/>
  <c r="J2" i="3" s="1"/>
  <c r="E2" i="3"/>
  <c r="P1002" i="1" l="1"/>
  <c r="P1003" i="1" s="1"/>
</calcChain>
</file>

<file path=xl/sharedStrings.xml><?xml version="1.0" encoding="utf-8"?>
<sst xmlns="http://schemas.openxmlformats.org/spreadsheetml/2006/main" count="1082" uniqueCount="60">
  <si>
    <t>Customer_ID</t>
  </si>
  <si>
    <t>Observation_Month</t>
  </si>
  <si>
    <t>Revenue</t>
  </si>
  <si>
    <t>Debt</t>
  </si>
  <si>
    <t>DSCR</t>
  </si>
  <si>
    <t>Debt_to_Equity</t>
  </si>
  <si>
    <t>Liquidity_Ratio</t>
  </si>
  <si>
    <t>Credit_Score</t>
  </si>
  <si>
    <t>Default_Flag</t>
  </si>
  <si>
    <t>Recovery_Amount_90D</t>
  </si>
  <si>
    <t>Default_Flag_Original</t>
  </si>
  <si>
    <t>Performance_Window_Months</t>
  </si>
  <si>
    <t>Population</t>
  </si>
  <si>
    <t>Risk_Score</t>
  </si>
  <si>
    <t>Development</t>
  </si>
  <si>
    <t>Validation</t>
  </si>
  <si>
    <t>Variable</t>
  </si>
  <si>
    <t>Missing_Count</t>
  </si>
  <si>
    <t>Missing_%</t>
  </si>
  <si>
    <t>Original_Default_Flag</t>
  </si>
  <si>
    <t>Current_Default_Flag</t>
  </si>
  <si>
    <t>Mismatch</t>
  </si>
  <si>
    <t>Customers</t>
  </si>
  <si>
    <t>Avg_Revenue</t>
  </si>
  <si>
    <t>Avg_Debt</t>
  </si>
  <si>
    <t>Avg_DSCR</t>
  </si>
  <si>
    <t>Avg_Credit_Score</t>
  </si>
  <si>
    <t>Default_Rate</t>
  </si>
  <si>
    <t>Customer_Count</t>
  </si>
  <si>
    <t>Share</t>
  </si>
  <si>
    <t>Missing Values</t>
  </si>
  <si>
    <t>Missing %</t>
  </si>
  <si>
    <t>Row Labels</t>
  </si>
  <si>
    <t>Grand Total</t>
  </si>
  <si>
    <t>Mismatches</t>
  </si>
  <si>
    <t>Credit Score</t>
  </si>
  <si>
    <t>Missing Value</t>
  </si>
  <si>
    <t>Column Labels</t>
  </si>
  <si>
    <t>(blank)</t>
  </si>
  <si>
    <t>Default Flag Mismatch</t>
  </si>
  <si>
    <t>Credit Score Band</t>
  </si>
  <si>
    <t>Development Count</t>
  </si>
  <si>
    <t>Validation Count</t>
  </si>
  <si>
    <t>Dev %</t>
  </si>
  <si>
    <t>Val %</t>
  </si>
  <si>
    <t>PSI</t>
  </si>
  <si>
    <t>&lt;600</t>
  </si>
  <si>
    <t>600–649</t>
  </si>
  <si>
    <t>650–699</t>
  </si>
  <si>
    <t>700–749</t>
  </si>
  <si>
    <t>≥750</t>
  </si>
  <si>
    <t>A</t>
  </si>
  <si>
    <t>B</t>
  </si>
  <si>
    <t>C</t>
  </si>
  <si>
    <t>D</t>
  </si>
  <si>
    <t>E</t>
  </si>
  <si>
    <t>F</t>
  </si>
  <si>
    <t>This means (1000-611) 389 customers are not using the 12 month window</t>
  </si>
  <si>
    <t>Recovery_Available</t>
  </si>
  <si>
    <t>Sum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</si>
</sst>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9" fontId="0" fillId="0" borderId="1" xfId="1" applyFont="1" applyBorder="1" applyAlignment="1">
      <alignment vertical="center" wrapText="1"/>
    </xf>
    <xf numFmtId="10" fontId="0" fillId="0" borderId="1" xfId="1" applyNumberFormat="1" applyFont="1" applyBorder="1" applyAlignment="1">
      <alignment vertical="center" wrapText="1"/>
    </xf>
    <xf numFmtId="0" fontId="1" fillId="0" borderId="3" xfId="0" applyFont="1" applyFill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WARUPA MOHAPTRA" refreshedDate="46275.688711458337" createdVersion="8" refreshedVersion="8" minRefreshableVersion="3" recordCount="1002" xr:uid="{9AAB084B-52E4-4833-87F7-18809B8326A0}">
  <cacheSource type="worksheet">
    <worksheetSource ref="A1:P1003" sheet="Corporate_Data"/>
  </cacheSource>
  <cacheFields count="16">
    <cacheField name="Customer_ID" numFmtId="0">
      <sharedItems containsString="0" containsBlank="1" containsNumber="1" containsInteger="1" minValue="1" maxValue="1000" count="1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m/>
      </sharedItems>
    </cacheField>
    <cacheField name="Observation_Month" numFmtId="0">
      <sharedItems containsNonDate="0" containsDate="1" containsString="0" containsBlank="1" minDate="2023-01-01T00:00:00" maxDate="2024-12-02T00:00:00"/>
    </cacheField>
    <cacheField name="Revenue" numFmtId="0">
      <sharedItems containsString="0" containsBlank="1" containsNumber="1" containsInteger="1" minValue="5527" maxValue="200998"/>
    </cacheField>
    <cacheField name="Debt" numFmtId="0">
      <sharedItems containsString="0" containsBlank="1" containsNumber="1" containsInteger="1" minValue="1614" maxValue="124888"/>
    </cacheField>
    <cacheField name="DSCR" numFmtId="0">
      <sharedItems containsString="0" containsBlank="1" containsNumber="1" minValue="0.2" maxValue="3.71"/>
    </cacheField>
    <cacheField name="Debt_to_Equity" numFmtId="0">
      <sharedItems containsString="0" containsBlank="1" containsNumber="1" minValue="0.11" maxValue="8"/>
    </cacheField>
    <cacheField name="Liquidity_Ratio" numFmtId="0">
      <sharedItems containsString="0" containsBlank="1" containsNumber="1" minValue="0.1" maxValue="3.06"/>
    </cacheField>
    <cacheField name="Credit_Score" numFmtId="0">
      <sharedItems containsString="0" containsBlank="1" containsNumber="1" containsInteger="1" minValue="521" maxValue="850"/>
    </cacheField>
    <cacheField name="Default_Flag" numFmtId="0">
      <sharedItems containsString="0" containsBlank="1" containsNumber="1" containsInteger="1" minValue="0" maxValue="1" count="3">
        <n v="0"/>
        <n v="1"/>
        <m/>
      </sharedItems>
    </cacheField>
    <cacheField name="Recovery_Amount_90D" numFmtId="0">
      <sharedItems containsString="0" containsBlank="1" containsNumber="1" containsInteger="1" minValue="232" maxValue="49938"/>
    </cacheField>
    <cacheField name="Default_Flag_Original" numFmtId="0">
      <sharedItems containsString="0" containsBlank="1" containsNumber="1" containsInteger="1" minValue="0" maxValue="1"/>
    </cacheField>
    <cacheField name="Performance_Window_Months" numFmtId="0">
      <sharedItems containsString="0" containsBlank="1" containsNumber="1" containsInteger="1" minValue="6" maxValue="18"/>
    </cacheField>
    <cacheField name="Population" numFmtId="0">
      <sharedItems containsBlank="1"/>
    </cacheField>
    <cacheField name="Risk_Score" numFmtId="0">
      <sharedItems containsString="0" containsBlank="1" containsNumber="1" minValue="0" maxValue="0.99999999999999989"/>
    </cacheField>
    <cacheField name="Recovery_Available" numFmtId="0">
      <sharedItems containsSemiMixedTypes="0" containsString="0" containsNumber="1" minValue="0" maxValue="106" count="4">
        <n v="0"/>
        <n v="1"/>
        <n v="106"/>
        <n v="0.106"/>
      </sharedItems>
    </cacheField>
    <cacheField name="Default Flag Mismatch" numFmtId="0">
      <sharedItems containsSemiMixedTypes="0" containsString="0" containsNumber="1" minValue="0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x v="0"/>
    <d v="2023-07-01T00:00:00"/>
    <n v="42994"/>
    <n v="9488"/>
    <n v="2.68"/>
    <n v="0.25"/>
    <n v="1.32"/>
    <n v="670"/>
    <x v="0"/>
    <m/>
    <n v="0"/>
    <n v="12"/>
    <s v="Development"/>
    <n v="0"/>
    <x v="0"/>
    <n v="0"/>
  </r>
  <r>
    <x v="1"/>
    <d v="2024-08-01T00:00:00"/>
    <n v="20175"/>
    <n v="6101"/>
    <n v="0.93"/>
    <n v="0.43"/>
    <n v="1.05"/>
    <n v="674"/>
    <x v="0"/>
    <m/>
    <n v="0"/>
    <n v="18"/>
    <s v="Validation"/>
    <n v="0.3"/>
    <x v="0"/>
    <n v="0"/>
  </r>
  <r>
    <x v="2"/>
    <d v="2024-03-01T00:00:00"/>
    <n v="55000"/>
    <n v="14744"/>
    <n v="1.81"/>
    <n v="2.58"/>
    <n v="1.44"/>
    <n v="751"/>
    <x v="1"/>
    <n v="2220"/>
    <n v="1"/>
    <n v="12"/>
    <s v="Validation"/>
    <n v="0.35"/>
    <x v="1"/>
    <n v="0"/>
  </r>
  <r>
    <x v="3"/>
    <d v="2023-11-01T00:00:00"/>
    <n v="12333"/>
    <n v="3874"/>
    <n v="1.04"/>
    <n v="3.32"/>
    <n v="1.87"/>
    <n v="639"/>
    <x v="0"/>
    <m/>
    <n v="0"/>
    <n v="12"/>
    <s v="Development"/>
    <n v="0.35"/>
    <x v="0"/>
    <n v="0"/>
  </r>
  <r>
    <x v="4"/>
    <d v="2023-08-01T00:00:00"/>
    <n v="34789"/>
    <n v="16751"/>
    <n v="1.86"/>
    <n v="0.84"/>
    <n v="1.63"/>
    <n v="752"/>
    <x v="0"/>
    <m/>
    <n v="0"/>
    <n v="12"/>
    <s v="Development"/>
    <n v="0"/>
    <x v="0"/>
    <n v="0"/>
  </r>
  <r>
    <x v="5"/>
    <d v="2024-09-01T00:00:00"/>
    <n v="16528"/>
    <n v="12048"/>
    <n v="1.04"/>
    <n v="0.38"/>
    <n v="0.87"/>
    <n v="692"/>
    <x v="0"/>
    <m/>
    <n v="0"/>
    <n v="18"/>
    <s v="Validation"/>
    <n v="0"/>
    <x v="0"/>
    <n v="0"/>
  </r>
  <r>
    <x v="6"/>
    <d v="2023-07-01T00:00:00"/>
    <n v="23773"/>
    <n v="9641"/>
    <n v="1.32"/>
    <n v="3.92"/>
    <n v="1.76"/>
    <n v="671"/>
    <x v="0"/>
    <m/>
    <n v="0"/>
    <n v="18"/>
    <s v="Development"/>
    <n v="0.35"/>
    <x v="0"/>
    <n v="0"/>
  </r>
  <r>
    <x v="7"/>
    <d v="2024-07-01T00:00:00"/>
    <n v="37452"/>
    <n v="4375"/>
    <n v="1.39"/>
    <n v="2.76"/>
    <n v="1"/>
    <n v="818"/>
    <x v="0"/>
    <m/>
    <n v="0"/>
    <n v="12"/>
    <s v="Validation"/>
    <n v="0.35"/>
    <x v="0"/>
    <n v="0"/>
  </r>
  <r>
    <x v="8"/>
    <d v="2024-11-01T00:00:00"/>
    <n v="20759"/>
    <n v="19140"/>
    <n v="2.09"/>
    <n v="1.46"/>
    <n v="1.47"/>
    <n v="622"/>
    <x v="0"/>
    <m/>
    <n v="0"/>
    <n v="6"/>
    <s v="Validation"/>
    <n v="0"/>
    <x v="0"/>
    <n v="0"/>
  </r>
  <r>
    <x v="9"/>
    <d v="2023-11-01T00:00:00"/>
    <n v="28284"/>
    <n v="9201"/>
    <n v="2.06"/>
    <n v="0.51"/>
    <n v="1.18"/>
    <n v="661"/>
    <x v="0"/>
    <m/>
    <n v="0"/>
    <n v="18"/>
    <s v="Development"/>
    <n v="0"/>
    <x v="0"/>
    <n v="0"/>
  </r>
  <r>
    <x v="10"/>
    <d v="2023-11-01T00:00:00"/>
    <n v="69849"/>
    <n v="5890"/>
    <m/>
    <n v="0.87"/>
    <n v="1.23"/>
    <n v="612"/>
    <x v="0"/>
    <m/>
    <n v="0"/>
    <n v="18"/>
    <s v="Development"/>
    <n v="0"/>
    <x v="0"/>
    <n v="0"/>
  </r>
  <r>
    <x v="11"/>
    <d v="2024-12-01T00:00:00"/>
    <n v="24960"/>
    <n v="1789"/>
    <n v="1.58"/>
    <n v="0.81"/>
    <n v="1.77"/>
    <n v="732"/>
    <x v="0"/>
    <m/>
    <n v="0"/>
    <n v="12"/>
    <s v="Validation"/>
    <n v="0"/>
    <x v="0"/>
    <n v="0"/>
  </r>
  <r>
    <x v="12"/>
    <d v="2024-09-01T00:00:00"/>
    <n v="62517"/>
    <n v="13105"/>
    <n v="1.1599999999999999"/>
    <n v="1.1399999999999999"/>
    <n v="0.78"/>
    <n v="773"/>
    <x v="0"/>
    <m/>
    <n v="0"/>
    <n v="18"/>
    <s v="Validation"/>
    <n v="0.15"/>
    <x v="0"/>
    <n v="0"/>
  </r>
  <r>
    <x v="13"/>
    <d v="2023-04-01T00:00:00"/>
    <n v="17426"/>
    <n v="46193"/>
    <n v="0.86"/>
    <n v="2.5"/>
    <n v="2.42"/>
    <n v="772"/>
    <x v="0"/>
    <m/>
    <n v="0"/>
    <n v="12"/>
    <s v="Development"/>
    <n v="0.64999999999999991"/>
    <x v="0"/>
    <n v="0"/>
  </r>
  <r>
    <x v="14"/>
    <d v="2023-08-01T00:00:00"/>
    <n v="51245"/>
    <n v="42740"/>
    <n v="1.43"/>
    <n v="1.67"/>
    <n v="0.35"/>
    <n v="747"/>
    <x v="0"/>
    <m/>
    <n v="0"/>
    <n v="12"/>
    <s v="Development"/>
    <n v="0.15"/>
    <x v="0"/>
    <n v="0"/>
  </r>
  <r>
    <x v="15"/>
    <d v="2024-12-01T00:00:00"/>
    <n v="92690"/>
    <n v="9701"/>
    <n v="1.38"/>
    <n v="0.43"/>
    <n v="1.02"/>
    <n v="669"/>
    <x v="0"/>
    <m/>
    <n v="0"/>
    <n v="12"/>
    <s v="Validation"/>
    <n v="0"/>
    <x v="0"/>
    <n v="0"/>
  </r>
  <r>
    <x v="16"/>
    <d v="2023-03-01T00:00:00"/>
    <n v="7284"/>
    <n v="8764"/>
    <n v="2.88"/>
    <n v="2.37"/>
    <n v="1.55"/>
    <n v="660"/>
    <x v="0"/>
    <m/>
    <n v="0"/>
    <n v="12"/>
    <s v="Development"/>
    <n v="0.35"/>
    <x v="0"/>
    <n v="0"/>
  </r>
  <r>
    <x v="17"/>
    <d v="2024-10-01T00:00:00"/>
    <n v="21634"/>
    <n v="18548"/>
    <n v="1.79"/>
    <n v="1.1299999999999999"/>
    <n v="1.67"/>
    <n v="588"/>
    <x v="0"/>
    <m/>
    <n v="0"/>
    <n v="18"/>
    <s v="Validation"/>
    <n v="0.2"/>
    <x v="0"/>
    <n v="0"/>
  </r>
  <r>
    <x v="18"/>
    <d v="2024-09-01T00:00:00"/>
    <n v="52844"/>
    <n v="6642"/>
    <n v="0.79"/>
    <n v="1.46"/>
    <n v="1.29"/>
    <n v="792"/>
    <x v="0"/>
    <m/>
    <n v="0"/>
    <n v="6"/>
    <s v="Validation"/>
    <n v="0.3"/>
    <x v="0"/>
    <n v="0"/>
  </r>
  <r>
    <x v="19"/>
    <d v="2023-02-01T00:00:00"/>
    <n v="31825"/>
    <n v="16502"/>
    <n v="1.24"/>
    <n v="2.5299999999999998"/>
    <n v="1.32"/>
    <n v="706"/>
    <x v="0"/>
    <m/>
    <n v="0"/>
    <n v="18"/>
    <s v="Development"/>
    <n v="0.35"/>
    <x v="0"/>
    <n v="0"/>
  </r>
  <r>
    <x v="20"/>
    <d v="2024-12-01T00:00:00"/>
    <n v="46224"/>
    <n v="22840"/>
    <n v="2.11"/>
    <n v="0.42"/>
    <n v="1.58"/>
    <n v="653"/>
    <x v="0"/>
    <m/>
    <n v="0"/>
    <n v="12"/>
    <s v="Validation"/>
    <n v="0"/>
    <x v="0"/>
    <n v="0"/>
  </r>
  <r>
    <x v="21"/>
    <d v="2023-12-01T00:00:00"/>
    <n v="24524"/>
    <n v="31535"/>
    <n v="2.7"/>
    <n v="0.88"/>
    <n v="1.22"/>
    <n v="753"/>
    <x v="0"/>
    <m/>
    <n v="0"/>
    <n v="6"/>
    <s v="Development"/>
    <n v="0"/>
    <x v="0"/>
    <n v="0"/>
  </r>
  <r>
    <x v="22"/>
    <d v="2023-06-01T00:00:00"/>
    <n v="38418"/>
    <n v="12455"/>
    <n v="0.68"/>
    <n v="0.62"/>
    <n v="2.12"/>
    <n v="626"/>
    <x v="0"/>
    <m/>
    <n v="0"/>
    <n v="12"/>
    <s v="Development"/>
    <n v="0.3"/>
    <x v="0"/>
    <n v="0"/>
  </r>
  <r>
    <x v="23"/>
    <d v="2023-02-01T00:00:00"/>
    <n v="32821"/>
    <n v="11585"/>
    <n v="0.52"/>
    <n v="0.3"/>
    <n v="1.81"/>
    <n v="702"/>
    <x v="0"/>
    <m/>
    <n v="0"/>
    <n v="12"/>
    <s v="Development"/>
    <n v="0.3"/>
    <x v="0"/>
    <n v="0"/>
  </r>
  <r>
    <x v="24"/>
    <d v="2024-09-01T00:00:00"/>
    <n v="77579"/>
    <n v="7226"/>
    <n v="2.58"/>
    <n v="1.1499999999999999"/>
    <n v="1.83"/>
    <m/>
    <x v="0"/>
    <m/>
    <n v="0"/>
    <n v="18"/>
    <s v="Validation"/>
    <n v="0"/>
    <x v="0"/>
    <n v="0"/>
  </r>
  <r>
    <x v="25"/>
    <d v="2023-01-01T00:00:00"/>
    <n v="42846"/>
    <n v="7489"/>
    <n v="1.76"/>
    <n v="5.25"/>
    <n v="0.82"/>
    <n v="715"/>
    <x v="0"/>
    <m/>
    <n v="0"/>
    <n v="18"/>
    <s v="Development"/>
    <n v="0.35"/>
    <x v="0"/>
    <n v="0"/>
  </r>
  <r>
    <x v="26"/>
    <d v="2023-12-01T00:00:00"/>
    <n v="45227"/>
    <n v="11401"/>
    <n v="1.07"/>
    <n v="0.25"/>
    <n v="1.31"/>
    <n v="677"/>
    <x v="0"/>
    <m/>
    <n v="0"/>
    <n v="6"/>
    <s v="Development"/>
    <n v="0"/>
    <x v="0"/>
    <n v="0"/>
  </r>
  <r>
    <x v="27"/>
    <d v="2024-10-01T00:00:00"/>
    <n v="27786"/>
    <n v="17277"/>
    <n v="1.84"/>
    <n v="0.88"/>
    <n v="1.18"/>
    <n v="600"/>
    <x v="0"/>
    <m/>
    <n v="0"/>
    <n v="6"/>
    <s v="Validation"/>
    <n v="0"/>
    <x v="0"/>
    <n v="0"/>
  </r>
  <r>
    <x v="28"/>
    <d v="2023-12-01T00:00:00"/>
    <n v="26451"/>
    <n v="25324"/>
    <n v="0.2"/>
    <n v="1.42"/>
    <n v="0.8"/>
    <n v="684"/>
    <x v="0"/>
    <m/>
    <n v="0"/>
    <n v="18"/>
    <s v="Development"/>
    <n v="0.3"/>
    <x v="0"/>
    <n v="0"/>
  </r>
  <r>
    <x v="29"/>
    <d v="2024-05-01T00:00:00"/>
    <n v="27415"/>
    <n v="7614"/>
    <n v="1.55"/>
    <n v="0.99"/>
    <n v="1.55"/>
    <n v="738"/>
    <x v="0"/>
    <m/>
    <n v="0"/>
    <n v="12"/>
    <s v="Validation"/>
    <n v="0"/>
    <x v="0"/>
    <n v="0"/>
  </r>
  <r>
    <x v="30"/>
    <d v="2023-10-01T00:00:00"/>
    <n v="46929"/>
    <n v="37983"/>
    <n v="1.73"/>
    <n v="0.84"/>
    <n v="1.05"/>
    <n v="678"/>
    <x v="0"/>
    <m/>
    <n v="0"/>
    <n v="12"/>
    <s v="Development"/>
    <n v="0"/>
    <x v="0"/>
    <n v="0"/>
  </r>
  <r>
    <x v="31"/>
    <d v="2024-04-01T00:00:00"/>
    <n v="27622"/>
    <n v="11050"/>
    <n v="2.06"/>
    <n v="0.36"/>
    <n v="1.71"/>
    <n v="723"/>
    <x v="0"/>
    <m/>
    <n v="0"/>
    <n v="6"/>
    <s v="Validation"/>
    <n v="0"/>
    <x v="0"/>
    <n v="0"/>
  </r>
  <r>
    <x v="32"/>
    <d v="2024-03-01T00:00:00"/>
    <n v="43842"/>
    <n v="13161"/>
    <n v="0.99"/>
    <n v="1.06"/>
    <n v="0.76"/>
    <n v="622"/>
    <x v="0"/>
    <m/>
    <n v="0"/>
    <n v="12"/>
    <s v="Validation"/>
    <n v="0.45"/>
    <x v="0"/>
    <n v="0"/>
  </r>
  <r>
    <x v="33"/>
    <d v="2024-03-01T00:00:00"/>
    <n v="139946"/>
    <n v="7918"/>
    <n v="1.6"/>
    <n v="0.53"/>
    <n v="2.2999999999999998"/>
    <n v="679"/>
    <x v="0"/>
    <m/>
    <n v="0"/>
    <n v="18"/>
    <s v="Validation"/>
    <n v="0"/>
    <x v="0"/>
    <n v="0"/>
  </r>
  <r>
    <x v="34"/>
    <d v="2024-07-01T00:00:00"/>
    <n v="63974"/>
    <n v="2448"/>
    <n v="1.04"/>
    <n v="0.2"/>
    <n v="0.86"/>
    <n v="646"/>
    <x v="1"/>
    <m/>
    <n v="0"/>
    <n v="12"/>
    <s v="Validation"/>
    <n v="0"/>
    <x v="0"/>
    <n v="1"/>
  </r>
  <r>
    <x v="35"/>
    <d v="2023-12-01T00:00:00"/>
    <n v="29380"/>
    <n v="24806"/>
    <n v="1.69"/>
    <n v="2.09"/>
    <n v="1.47"/>
    <n v="721"/>
    <x v="0"/>
    <m/>
    <n v="0"/>
    <n v="6"/>
    <s v="Development"/>
    <n v="0.35"/>
    <x v="0"/>
    <n v="0"/>
  </r>
  <r>
    <x v="36"/>
    <d v="2024-11-01T00:00:00"/>
    <n v="79284"/>
    <n v="22377"/>
    <n v="1.06"/>
    <n v="1.77"/>
    <n v="1.79"/>
    <n v="682"/>
    <x v="0"/>
    <m/>
    <n v="0"/>
    <n v="12"/>
    <s v="Validation"/>
    <n v="0"/>
    <x v="0"/>
    <n v="0"/>
  </r>
  <r>
    <x v="37"/>
    <d v="2024-08-01T00:00:00"/>
    <n v="27855"/>
    <n v="10972"/>
    <n v="1.33"/>
    <n v="0.94"/>
    <n v="1.04"/>
    <n v="718"/>
    <x v="0"/>
    <m/>
    <n v="0"/>
    <n v="12"/>
    <s v="Validation"/>
    <n v="0"/>
    <x v="0"/>
    <n v="0"/>
  </r>
  <r>
    <x v="38"/>
    <d v="2023-03-01T00:00:00"/>
    <n v="9655"/>
    <n v="14001"/>
    <n v="1"/>
    <n v="1.06"/>
    <n v="1.82"/>
    <n v="740"/>
    <x v="0"/>
    <m/>
    <n v="0"/>
    <n v="12"/>
    <s v="Development"/>
    <n v="0"/>
    <x v="0"/>
    <n v="0"/>
  </r>
  <r>
    <x v="39"/>
    <d v="2023-05-01T00:00:00"/>
    <n v="18859"/>
    <n v="19171"/>
    <n v="1.91"/>
    <n v="1.92"/>
    <n v="0.67"/>
    <n v="718"/>
    <x v="1"/>
    <n v="26504"/>
    <n v="1"/>
    <n v="12"/>
    <s v="Development"/>
    <n v="0.15"/>
    <x v="1"/>
    <n v="0"/>
  </r>
  <r>
    <x v="40"/>
    <d v="2024-07-01T00:00:00"/>
    <n v="10764"/>
    <n v="4475"/>
    <n v="2.02"/>
    <n v="1.06"/>
    <n v="2.15"/>
    <n v="695"/>
    <x v="0"/>
    <m/>
    <n v="0"/>
    <n v="12"/>
    <s v="Validation"/>
    <n v="0"/>
    <x v="0"/>
    <n v="0"/>
  </r>
  <r>
    <x v="41"/>
    <d v="2023-07-01T00:00:00"/>
    <n v="28898"/>
    <n v="9225"/>
    <n v="1.42"/>
    <n v="1.7"/>
    <n v="1.36"/>
    <n v="625"/>
    <x v="0"/>
    <m/>
    <n v="0"/>
    <n v="12"/>
    <s v="Development"/>
    <n v="0"/>
    <x v="0"/>
    <n v="0"/>
  </r>
  <r>
    <x v="42"/>
    <d v="2024-09-01T00:00:00"/>
    <n v="36753"/>
    <n v="23295"/>
    <n v="1.57"/>
    <n v="0.73"/>
    <n v="1.02"/>
    <n v="680"/>
    <x v="0"/>
    <m/>
    <n v="0"/>
    <n v="6"/>
    <s v="Validation"/>
    <n v="0"/>
    <x v="0"/>
    <n v="0"/>
  </r>
  <r>
    <x v="43"/>
    <d v="2023-09-01T00:00:00"/>
    <n v="107978"/>
    <n v="5552"/>
    <n v="0.75"/>
    <n v="2.27"/>
    <n v="1.19"/>
    <n v="651"/>
    <x v="0"/>
    <m/>
    <n v="0"/>
    <n v="6"/>
    <s v="Development"/>
    <n v="0.64999999999999991"/>
    <x v="0"/>
    <n v="0"/>
  </r>
  <r>
    <x v="44"/>
    <d v="2023-07-01T00:00:00"/>
    <n v="44914"/>
    <n v="16407"/>
    <n v="1.39"/>
    <n v="1.1299999999999999"/>
    <n v="1.79"/>
    <n v="661"/>
    <x v="0"/>
    <m/>
    <n v="0"/>
    <n v="12"/>
    <s v="Development"/>
    <n v="0"/>
    <x v="0"/>
    <n v="0"/>
  </r>
  <r>
    <x v="45"/>
    <d v="2024-06-01T00:00:00"/>
    <n v="31495"/>
    <n v="5169"/>
    <n v="1.52"/>
    <n v="1.04"/>
    <n v="1.03"/>
    <n v="659"/>
    <x v="0"/>
    <m/>
    <n v="0"/>
    <n v="12"/>
    <s v="Validation"/>
    <n v="0"/>
    <x v="0"/>
    <n v="0"/>
  </r>
  <r>
    <x v="46"/>
    <d v="2023-04-01T00:00:00"/>
    <n v="62262"/>
    <n v="18518"/>
    <n v="2.99"/>
    <n v="0.37"/>
    <n v="0.94"/>
    <n v="626"/>
    <x v="0"/>
    <m/>
    <n v="0"/>
    <n v="12"/>
    <s v="Development"/>
    <n v="0"/>
    <x v="0"/>
    <n v="0"/>
  </r>
  <r>
    <x v="47"/>
    <d v="2024-02-01T00:00:00"/>
    <n v="8628"/>
    <n v="13031"/>
    <n v="0.94"/>
    <n v="1.1100000000000001"/>
    <n v="1.23"/>
    <n v="572"/>
    <x v="0"/>
    <m/>
    <n v="0"/>
    <n v="12"/>
    <s v="Validation"/>
    <n v="0.5"/>
    <x v="0"/>
    <n v="0"/>
  </r>
  <r>
    <x v="48"/>
    <d v="2024-06-01T00:00:00"/>
    <n v="42326"/>
    <n v="4313"/>
    <n v="2.36"/>
    <n v="0.51"/>
    <n v="0.7"/>
    <n v="643"/>
    <x v="1"/>
    <n v="48971"/>
    <n v="1"/>
    <n v="18"/>
    <s v="Validation"/>
    <n v="0.15"/>
    <x v="1"/>
    <n v="0"/>
  </r>
  <r>
    <x v="49"/>
    <d v="2023-09-01T00:00:00"/>
    <n v="59938"/>
    <n v="30192"/>
    <n v="2.1"/>
    <n v="0.57999999999999996"/>
    <n v="2.35"/>
    <n v="691"/>
    <x v="0"/>
    <m/>
    <n v="0"/>
    <n v="12"/>
    <s v="Development"/>
    <n v="0"/>
    <x v="0"/>
    <n v="0"/>
  </r>
  <r>
    <x v="50"/>
    <d v="2024-09-01T00:00:00"/>
    <n v="13890"/>
    <n v="7989"/>
    <n v="1.7"/>
    <n v="0.51"/>
    <n v="1.04"/>
    <n v="606"/>
    <x v="0"/>
    <m/>
    <n v="0"/>
    <n v="12"/>
    <s v="Validation"/>
    <n v="0"/>
    <x v="0"/>
    <n v="0"/>
  </r>
  <r>
    <x v="51"/>
    <d v="2023-02-01T00:00:00"/>
    <n v="76377"/>
    <n v="7577"/>
    <n v="2.52"/>
    <n v="0.43"/>
    <n v="1.81"/>
    <n v="681"/>
    <x v="0"/>
    <m/>
    <n v="0"/>
    <n v="12"/>
    <s v="Development"/>
    <n v="0"/>
    <x v="0"/>
    <n v="0"/>
  </r>
  <r>
    <x v="52"/>
    <d v="2024-08-01T00:00:00"/>
    <n v="45253"/>
    <n v="15373"/>
    <n v="1.75"/>
    <n v="4"/>
    <n v="1.47"/>
    <n v="785"/>
    <x v="0"/>
    <m/>
    <n v="0"/>
    <n v="18"/>
    <s v="Validation"/>
    <n v="0.35"/>
    <x v="0"/>
    <n v="0"/>
  </r>
  <r>
    <x v="53"/>
    <d v="2024-03-01T00:00:00"/>
    <n v="27724"/>
    <n v="29853"/>
    <n v="1.76"/>
    <n v="2.2999999999999998"/>
    <n v="0.81"/>
    <n v="736"/>
    <x v="0"/>
    <m/>
    <n v="0"/>
    <n v="6"/>
    <s v="Validation"/>
    <n v="0.35"/>
    <x v="0"/>
    <n v="0"/>
  </r>
  <r>
    <x v="54"/>
    <d v="2023-07-01T00:00:00"/>
    <n v="54792"/>
    <n v="6561"/>
    <n v="1.52"/>
    <n v="3.47"/>
    <n v="1.35"/>
    <n v="770"/>
    <x v="0"/>
    <m/>
    <n v="0"/>
    <n v="12"/>
    <s v="Development"/>
    <n v="0.35"/>
    <x v="0"/>
    <n v="0"/>
  </r>
  <r>
    <x v="55"/>
    <d v="2023-12-01T00:00:00"/>
    <n v="158887"/>
    <n v="13949"/>
    <n v="2.2200000000000002"/>
    <n v="0.38"/>
    <n v="1.78"/>
    <n v="702"/>
    <x v="0"/>
    <m/>
    <n v="0"/>
    <n v="18"/>
    <s v="Development"/>
    <n v="0"/>
    <x v="0"/>
    <n v="0"/>
  </r>
  <r>
    <x v="56"/>
    <d v="2023-08-01T00:00:00"/>
    <n v="40873"/>
    <n v="18037"/>
    <n v="2.15"/>
    <n v="0.95"/>
    <n v="1.25"/>
    <n v="744"/>
    <x v="1"/>
    <n v="14813"/>
    <n v="1"/>
    <n v="12"/>
    <s v="Development"/>
    <n v="0"/>
    <x v="1"/>
    <n v="0"/>
  </r>
  <r>
    <x v="57"/>
    <d v="2024-03-01T00:00:00"/>
    <n v="42674"/>
    <n v="21702"/>
    <n v="1.21"/>
    <n v="0.37"/>
    <n v="2.0099999999999998"/>
    <n v="640"/>
    <x v="0"/>
    <m/>
    <n v="0"/>
    <n v="12"/>
    <s v="Validation"/>
    <n v="0"/>
    <x v="0"/>
    <n v="0"/>
  </r>
  <r>
    <x v="58"/>
    <d v="2023-03-01T00:00:00"/>
    <n v="26941"/>
    <n v="15116"/>
    <n v="0.82"/>
    <n v="0.56000000000000005"/>
    <n v="1.91"/>
    <n v="645"/>
    <x v="0"/>
    <m/>
    <n v="0"/>
    <n v="18"/>
    <s v="Development"/>
    <n v="0.3"/>
    <x v="0"/>
    <n v="0"/>
  </r>
  <r>
    <x v="59"/>
    <d v="2024-02-01T00:00:00"/>
    <n v="20902"/>
    <n v="10333"/>
    <n v="1.44"/>
    <n v="0.48"/>
    <n v="1.86"/>
    <n v="529"/>
    <x v="0"/>
    <m/>
    <n v="0"/>
    <n v="18"/>
    <s v="Validation"/>
    <n v="0.2"/>
    <x v="0"/>
    <n v="0"/>
  </r>
  <r>
    <x v="60"/>
    <d v="2024-05-01T00:00:00"/>
    <n v="62300"/>
    <n v="7485"/>
    <n v="1.1100000000000001"/>
    <n v="2.15"/>
    <n v="1.1000000000000001"/>
    <n v="745"/>
    <x v="0"/>
    <m/>
    <n v="0"/>
    <n v="6"/>
    <s v="Validation"/>
    <n v="0.35"/>
    <x v="0"/>
    <n v="0"/>
  </r>
  <r>
    <x v="61"/>
    <d v="2023-04-01T00:00:00"/>
    <n v="20817"/>
    <n v="14190"/>
    <n v="1.52"/>
    <n v="0.69"/>
    <n v="0.76"/>
    <n v="765"/>
    <x v="0"/>
    <m/>
    <n v="0"/>
    <n v="12"/>
    <s v="Development"/>
    <n v="0.15"/>
    <x v="0"/>
    <n v="0"/>
  </r>
  <r>
    <x v="62"/>
    <d v="2024-06-01T00:00:00"/>
    <n v="38045"/>
    <n v="6308"/>
    <n v="2.23"/>
    <n v="1.91"/>
    <n v="1.01"/>
    <n v="650"/>
    <x v="0"/>
    <m/>
    <n v="0"/>
    <n v="12"/>
    <s v="Validation"/>
    <n v="0"/>
    <x v="0"/>
    <n v="0"/>
  </r>
  <r>
    <x v="63"/>
    <d v="2023-08-01T00:00:00"/>
    <n v="26623"/>
    <n v="1729"/>
    <n v="1.3"/>
    <n v="1.38"/>
    <n v="1.46"/>
    <n v="666"/>
    <x v="0"/>
    <m/>
    <n v="0"/>
    <n v="12"/>
    <s v="Development"/>
    <n v="0"/>
    <x v="0"/>
    <n v="0"/>
  </r>
  <r>
    <x v="64"/>
    <d v="2023-04-01T00:00:00"/>
    <n v="49580"/>
    <n v="18135"/>
    <n v="1.53"/>
    <n v="4.54"/>
    <n v="1.65"/>
    <n v="639"/>
    <x v="0"/>
    <m/>
    <n v="0"/>
    <n v="12"/>
    <s v="Development"/>
    <n v="0.35"/>
    <x v="0"/>
    <n v="0"/>
  </r>
  <r>
    <x v="65"/>
    <d v="2023-02-01T00:00:00"/>
    <n v="45111"/>
    <n v="25154"/>
    <n v="1.58"/>
    <n v="0.32"/>
    <n v="0.16"/>
    <n v="701"/>
    <x v="0"/>
    <m/>
    <n v="0"/>
    <n v="6"/>
    <s v="Development"/>
    <n v="0.15"/>
    <x v="0"/>
    <n v="0"/>
  </r>
  <r>
    <x v="66"/>
    <d v="2023-06-01T00:00:00"/>
    <n v="71282"/>
    <n v="2555"/>
    <m/>
    <n v="2.1800000000000002"/>
    <n v="1.35"/>
    <n v="742"/>
    <x v="0"/>
    <m/>
    <n v="0"/>
    <n v="6"/>
    <s v="Development"/>
    <n v="0.35"/>
    <x v="0"/>
    <n v="0"/>
  </r>
  <r>
    <x v="67"/>
    <d v="2024-10-01T00:00:00"/>
    <n v="26069"/>
    <n v="6589"/>
    <n v="0.31"/>
    <n v="2.02"/>
    <n v="1.44"/>
    <n v="584"/>
    <x v="1"/>
    <m/>
    <n v="0"/>
    <n v="12"/>
    <s v="Validation"/>
    <n v="0.84999999999999987"/>
    <x v="0"/>
    <n v="1"/>
  </r>
  <r>
    <x v="68"/>
    <d v="2023-10-01T00:00:00"/>
    <n v="30473"/>
    <n v="20607"/>
    <n v="1.22"/>
    <n v="0.46"/>
    <n v="1.2"/>
    <n v="703"/>
    <x v="0"/>
    <m/>
    <n v="0"/>
    <n v="12"/>
    <s v="Development"/>
    <n v="0"/>
    <x v="0"/>
    <n v="0"/>
  </r>
  <r>
    <x v="69"/>
    <d v="2023-04-01T00:00:00"/>
    <n v="19222"/>
    <n v="56401"/>
    <n v="1.67"/>
    <n v="1.83"/>
    <n v="2.06"/>
    <n v="665"/>
    <x v="0"/>
    <m/>
    <n v="0"/>
    <n v="12"/>
    <s v="Development"/>
    <n v="0"/>
    <x v="0"/>
    <n v="0"/>
  </r>
  <r>
    <x v="70"/>
    <d v="2024-10-01T00:00:00"/>
    <n v="27206"/>
    <n v="13556"/>
    <n v="2.21"/>
    <n v="1.1399999999999999"/>
    <n v="1.58"/>
    <n v="686"/>
    <x v="0"/>
    <m/>
    <n v="0"/>
    <n v="18"/>
    <s v="Validation"/>
    <n v="0"/>
    <x v="0"/>
    <n v="0"/>
  </r>
  <r>
    <x v="71"/>
    <d v="2024-06-01T00:00:00"/>
    <n v="46409"/>
    <n v="8026"/>
    <n v="1.28"/>
    <n v="0.77"/>
    <n v="2.0699999999999998"/>
    <n v="705"/>
    <x v="0"/>
    <m/>
    <n v="0"/>
    <n v="6"/>
    <s v="Validation"/>
    <n v="0"/>
    <x v="0"/>
    <n v="0"/>
  </r>
  <r>
    <x v="72"/>
    <d v="2023-12-01T00:00:00"/>
    <n v="59400"/>
    <n v="11754"/>
    <n v="0.52"/>
    <n v="0.51"/>
    <n v="1.23"/>
    <n v="670"/>
    <x v="0"/>
    <m/>
    <n v="0"/>
    <n v="12"/>
    <s v="Development"/>
    <n v="0.3"/>
    <x v="0"/>
    <n v="0"/>
  </r>
  <r>
    <x v="73"/>
    <d v="2023-02-01T00:00:00"/>
    <n v="19942"/>
    <n v="34976"/>
    <n v="1.89"/>
    <n v="0.55000000000000004"/>
    <n v="1.87"/>
    <n v="674"/>
    <x v="0"/>
    <m/>
    <n v="0"/>
    <n v="12"/>
    <s v="Development"/>
    <n v="0"/>
    <x v="0"/>
    <n v="0"/>
  </r>
  <r>
    <x v="74"/>
    <d v="2023-10-01T00:00:00"/>
    <n v="63911"/>
    <n v="8500"/>
    <m/>
    <n v="3.8"/>
    <n v="2.25"/>
    <n v="668"/>
    <x v="0"/>
    <m/>
    <n v="0"/>
    <n v="12"/>
    <s v="Development"/>
    <n v="0.35"/>
    <x v="0"/>
    <n v="0"/>
  </r>
  <r>
    <x v="75"/>
    <d v="2023-04-01T00:00:00"/>
    <n v="87655"/>
    <n v="7636"/>
    <n v="0.9"/>
    <n v="0.91"/>
    <n v="2.0699999999999998"/>
    <n v="733"/>
    <x v="0"/>
    <m/>
    <n v="0"/>
    <n v="12"/>
    <s v="Development"/>
    <n v="0.3"/>
    <x v="0"/>
    <n v="0"/>
  </r>
  <r>
    <x v="76"/>
    <d v="2024-02-01T00:00:00"/>
    <n v="47512"/>
    <n v="9529"/>
    <n v="1.21"/>
    <n v="1.56"/>
    <n v="0.75"/>
    <n v="703"/>
    <x v="0"/>
    <m/>
    <n v="0"/>
    <n v="12"/>
    <s v="Validation"/>
    <n v="0.15"/>
    <x v="0"/>
    <n v="0"/>
  </r>
  <r>
    <x v="77"/>
    <d v="2024-04-01T00:00:00"/>
    <n v="122997"/>
    <n v="6855"/>
    <n v="1.45"/>
    <n v="0.52"/>
    <n v="1.21"/>
    <n v="692"/>
    <x v="0"/>
    <m/>
    <n v="0"/>
    <n v="12"/>
    <s v="Validation"/>
    <n v="0"/>
    <x v="0"/>
    <n v="0"/>
  </r>
  <r>
    <x v="78"/>
    <d v="2024-03-01T00:00:00"/>
    <n v="21961"/>
    <n v="14558"/>
    <n v="1.22"/>
    <n v="0.52"/>
    <n v="1.1599999999999999"/>
    <n v="610"/>
    <x v="0"/>
    <m/>
    <n v="0"/>
    <n v="6"/>
    <s v="Validation"/>
    <n v="0"/>
    <x v="0"/>
    <n v="0"/>
  </r>
  <r>
    <x v="79"/>
    <d v="2023-08-01T00:00:00"/>
    <n v="16171"/>
    <n v="41659"/>
    <n v="0.34"/>
    <n v="1.93"/>
    <n v="1.62"/>
    <n v="659"/>
    <x v="0"/>
    <m/>
    <n v="0"/>
    <n v="12"/>
    <s v="Development"/>
    <n v="0.3"/>
    <x v="0"/>
    <n v="0"/>
  </r>
  <r>
    <x v="80"/>
    <d v="2024-02-01T00:00:00"/>
    <n v="11428"/>
    <n v="16750"/>
    <n v="2.04"/>
    <n v="0.35"/>
    <n v="1.73"/>
    <n v="729"/>
    <x v="0"/>
    <m/>
    <n v="0"/>
    <n v="12"/>
    <s v="Validation"/>
    <n v="0"/>
    <x v="0"/>
    <n v="0"/>
  </r>
  <r>
    <x v="81"/>
    <d v="2024-11-01T00:00:00"/>
    <n v="96031"/>
    <n v="11196"/>
    <n v="2.25"/>
    <n v="0.68"/>
    <n v="0.89"/>
    <n v="682"/>
    <x v="0"/>
    <m/>
    <n v="0"/>
    <n v="6"/>
    <s v="Validation"/>
    <n v="0"/>
    <x v="0"/>
    <n v="0"/>
  </r>
  <r>
    <x v="82"/>
    <d v="2023-08-01T00:00:00"/>
    <n v="55567"/>
    <n v="10891"/>
    <n v="1.91"/>
    <n v="0.93"/>
    <n v="1.39"/>
    <n v="716"/>
    <x v="0"/>
    <m/>
    <n v="0"/>
    <n v="18"/>
    <s v="Development"/>
    <n v="0"/>
    <x v="0"/>
    <n v="0"/>
  </r>
  <r>
    <x v="83"/>
    <d v="2024-09-01T00:00:00"/>
    <n v="35027"/>
    <n v="4473"/>
    <n v="0.92"/>
    <n v="0.98"/>
    <n v="0.24"/>
    <n v="777"/>
    <x v="0"/>
    <m/>
    <n v="0"/>
    <n v="18"/>
    <s v="Validation"/>
    <n v="0.45"/>
    <x v="0"/>
    <n v="0"/>
  </r>
  <r>
    <x v="84"/>
    <d v="2024-04-01T00:00:00"/>
    <n v="43564"/>
    <n v="24790"/>
    <n v="1.44"/>
    <n v="0.8"/>
    <n v="2.14"/>
    <n v="737"/>
    <x v="0"/>
    <m/>
    <n v="0"/>
    <n v="12"/>
    <s v="Validation"/>
    <n v="0"/>
    <x v="0"/>
    <n v="0"/>
  </r>
  <r>
    <x v="85"/>
    <d v="2024-01-01T00:00:00"/>
    <n v="17473"/>
    <n v="12651"/>
    <n v="1.55"/>
    <n v="1.19"/>
    <n v="1.07"/>
    <n v="685"/>
    <x v="0"/>
    <m/>
    <n v="0"/>
    <n v="12"/>
    <s v="Validation"/>
    <n v="0"/>
    <x v="0"/>
    <n v="0"/>
  </r>
  <r>
    <x v="86"/>
    <d v="2024-06-01T00:00:00"/>
    <n v="178036"/>
    <n v="11774"/>
    <n v="1.88"/>
    <n v="1.47"/>
    <n v="1.38"/>
    <n v="652"/>
    <x v="0"/>
    <m/>
    <n v="0"/>
    <n v="12"/>
    <s v="Validation"/>
    <n v="0"/>
    <x v="0"/>
    <n v="0"/>
  </r>
  <r>
    <x v="87"/>
    <d v="2024-03-01T00:00:00"/>
    <n v="39498"/>
    <n v="124888"/>
    <n v="1.92"/>
    <n v="1.51"/>
    <n v="1.18"/>
    <n v="540"/>
    <x v="0"/>
    <m/>
    <n v="0"/>
    <n v="12"/>
    <s v="Validation"/>
    <n v="0.2"/>
    <x v="0"/>
    <n v="0"/>
  </r>
  <r>
    <x v="88"/>
    <d v="2024-09-01T00:00:00"/>
    <n v="38992"/>
    <n v="16467"/>
    <n v="1.1499999999999999"/>
    <n v="0.45"/>
    <n v="1.98"/>
    <n v="671"/>
    <x v="0"/>
    <m/>
    <n v="0"/>
    <n v="12"/>
    <s v="Validation"/>
    <n v="0"/>
    <x v="0"/>
    <n v="0"/>
  </r>
  <r>
    <x v="89"/>
    <d v="2024-12-01T00:00:00"/>
    <n v="58206"/>
    <n v="7893"/>
    <n v="1.6"/>
    <n v="0.74"/>
    <n v="0.1"/>
    <n v="662"/>
    <x v="0"/>
    <m/>
    <n v="0"/>
    <n v="18"/>
    <s v="Validation"/>
    <n v="0.15"/>
    <x v="0"/>
    <n v="0"/>
  </r>
  <r>
    <x v="90"/>
    <d v="2024-01-01T00:00:00"/>
    <n v="49645"/>
    <n v="9912"/>
    <n v="1.8"/>
    <n v="2.09"/>
    <n v="1.34"/>
    <n v="701"/>
    <x v="0"/>
    <m/>
    <n v="0"/>
    <n v="12"/>
    <s v="Validation"/>
    <n v="0.35"/>
    <x v="0"/>
    <n v="0"/>
  </r>
  <r>
    <x v="91"/>
    <d v="2023-09-01T00:00:00"/>
    <n v="42004"/>
    <n v="29849"/>
    <n v="2.35"/>
    <n v="1.69"/>
    <n v="1.29"/>
    <n v="672"/>
    <x v="0"/>
    <m/>
    <n v="0"/>
    <n v="12"/>
    <s v="Development"/>
    <n v="0"/>
    <x v="0"/>
    <n v="0"/>
  </r>
  <r>
    <x v="92"/>
    <d v="2024-03-01T00:00:00"/>
    <n v="21724"/>
    <n v="14462"/>
    <n v="1.94"/>
    <n v="0.35"/>
    <n v="1.1000000000000001"/>
    <n v="662"/>
    <x v="1"/>
    <m/>
    <n v="0"/>
    <n v="18"/>
    <s v="Validation"/>
    <n v="0"/>
    <x v="0"/>
    <n v="1"/>
  </r>
  <r>
    <x v="93"/>
    <d v="2024-01-01T00:00:00"/>
    <n v="49338"/>
    <n v="4881"/>
    <n v="1.98"/>
    <n v="1.1599999999999999"/>
    <n v="2.2999999999999998"/>
    <n v="582"/>
    <x v="0"/>
    <m/>
    <n v="0"/>
    <n v="12"/>
    <s v="Validation"/>
    <n v="0.2"/>
    <x v="0"/>
    <n v="0"/>
  </r>
  <r>
    <x v="94"/>
    <d v="2023-01-01T00:00:00"/>
    <n v="123416"/>
    <n v="25424"/>
    <n v="1.6"/>
    <n v="0.23"/>
    <n v="0.86"/>
    <n v="628"/>
    <x v="0"/>
    <m/>
    <n v="0"/>
    <n v="18"/>
    <s v="Development"/>
    <n v="0"/>
    <x v="0"/>
    <n v="0"/>
  </r>
  <r>
    <x v="95"/>
    <d v="2023-07-01T00:00:00"/>
    <n v="87075"/>
    <n v="8369"/>
    <n v="2.33"/>
    <n v="0.94"/>
    <n v="1.77"/>
    <n v="706"/>
    <x v="0"/>
    <m/>
    <n v="0"/>
    <n v="6"/>
    <s v="Development"/>
    <n v="0"/>
    <x v="0"/>
    <n v="0"/>
  </r>
  <r>
    <x v="96"/>
    <d v="2023-09-01T00:00:00"/>
    <m/>
    <n v="49578"/>
    <n v="1.78"/>
    <n v="3.42"/>
    <n v="1.55"/>
    <n v="774"/>
    <x v="0"/>
    <m/>
    <n v="0"/>
    <n v="18"/>
    <s v="Development"/>
    <n v="0.35"/>
    <x v="0"/>
    <n v="0"/>
  </r>
  <r>
    <x v="97"/>
    <d v="2024-12-01T00:00:00"/>
    <n v="26048"/>
    <n v="28454"/>
    <n v="1.08"/>
    <n v="0.47"/>
    <n v="2.04"/>
    <n v="675"/>
    <x v="0"/>
    <m/>
    <n v="0"/>
    <n v="18"/>
    <s v="Validation"/>
    <n v="0"/>
    <x v="0"/>
    <n v="0"/>
  </r>
  <r>
    <x v="98"/>
    <d v="2023-01-01T00:00:00"/>
    <n v="19087"/>
    <n v="9768"/>
    <n v="2.3199999999999998"/>
    <n v="0.5"/>
    <n v="0.98"/>
    <m/>
    <x v="1"/>
    <n v="27882"/>
    <n v="1"/>
    <n v="12"/>
    <s v="Development"/>
    <n v="0"/>
    <x v="1"/>
    <n v="0"/>
  </r>
  <r>
    <x v="99"/>
    <d v="2023-12-01T00:00:00"/>
    <n v="33464"/>
    <n v="32752"/>
    <n v="1.93"/>
    <n v="1.54"/>
    <n v="0.95"/>
    <n v="732"/>
    <x v="0"/>
    <m/>
    <n v="0"/>
    <n v="12"/>
    <s v="Development"/>
    <n v="0"/>
    <x v="0"/>
    <n v="0"/>
  </r>
  <r>
    <x v="100"/>
    <d v="2023-08-01T00:00:00"/>
    <n v="37655"/>
    <n v="14010"/>
    <n v="1.31"/>
    <n v="0.31"/>
    <n v="1.95"/>
    <n v="635"/>
    <x v="0"/>
    <m/>
    <n v="0"/>
    <n v="18"/>
    <s v="Development"/>
    <n v="0"/>
    <x v="0"/>
    <n v="0"/>
  </r>
  <r>
    <x v="101"/>
    <d v="2024-12-01T00:00:00"/>
    <n v="73956"/>
    <n v="24269"/>
    <n v="1.29"/>
    <n v="0.57999999999999996"/>
    <n v="1.58"/>
    <n v="700"/>
    <x v="0"/>
    <m/>
    <n v="0"/>
    <n v="18"/>
    <s v="Validation"/>
    <n v="0"/>
    <x v="0"/>
    <n v="0"/>
  </r>
  <r>
    <x v="102"/>
    <d v="2023-11-01T00:00:00"/>
    <n v="12087"/>
    <n v="18757"/>
    <n v="1.71"/>
    <n v="1.37"/>
    <n v="0.5"/>
    <n v="639"/>
    <x v="0"/>
    <m/>
    <n v="0"/>
    <n v="12"/>
    <s v="Development"/>
    <n v="0.15"/>
    <x v="0"/>
    <n v="0"/>
  </r>
  <r>
    <x v="103"/>
    <d v="2024-07-01T00:00:00"/>
    <n v="98146"/>
    <n v="7388"/>
    <n v="1.8"/>
    <n v="0.57999999999999996"/>
    <n v="1.05"/>
    <n v="728"/>
    <x v="0"/>
    <m/>
    <n v="0"/>
    <n v="6"/>
    <s v="Validation"/>
    <n v="0"/>
    <x v="0"/>
    <n v="0"/>
  </r>
  <r>
    <x v="104"/>
    <d v="2024-05-01T00:00:00"/>
    <n v="32771"/>
    <n v="8514"/>
    <n v="1.66"/>
    <n v="0.77"/>
    <n v="1.56"/>
    <n v="688"/>
    <x v="1"/>
    <n v="38056"/>
    <n v="1"/>
    <n v="6"/>
    <s v="Validation"/>
    <n v="0"/>
    <x v="1"/>
    <n v="0"/>
  </r>
  <r>
    <x v="105"/>
    <d v="2023-08-01T00:00:00"/>
    <n v="27516"/>
    <n v="27473"/>
    <n v="1.72"/>
    <n v="1.52"/>
    <n v="1.81"/>
    <n v="696"/>
    <x v="0"/>
    <m/>
    <n v="0"/>
    <n v="12"/>
    <s v="Development"/>
    <n v="0"/>
    <x v="0"/>
    <n v="0"/>
  </r>
  <r>
    <x v="106"/>
    <d v="2023-03-01T00:00:00"/>
    <n v="18810"/>
    <n v="10569"/>
    <n v="2.48"/>
    <n v="1.22"/>
    <n v="0.98"/>
    <n v="637"/>
    <x v="0"/>
    <m/>
    <n v="0"/>
    <n v="18"/>
    <s v="Development"/>
    <n v="0"/>
    <x v="0"/>
    <n v="0"/>
  </r>
  <r>
    <x v="107"/>
    <d v="2023-03-01T00:00:00"/>
    <n v="12386"/>
    <n v="10071"/>
    <n v="2.14"/>
    <n v="1.0900000000000001"/>
    <n v="0.1"/>
    <n v="719"/>
    <x v="0"/>
    <m/>
    <n v="0"/>
    <n v="18"/>
    <s v="Development"/>
    <n v="0.15"/>
    <x v="0"/>
    <n v="0"/>
  </r>
  <r>
    <x v="108"/>
    <d v="2023-01-01T00:00:00"/>
    <n v="62011"/>
    <n v="6846"/>
    <n v="1.65"/>
    <n v="0.71"/>
    <n v="1.64"/>
    <n v="795"/>
    <x v="0"/>
    <m/>
    <n v="0"/>
    <n v="18"/>
    <s v="Development"/>
    <n v="0"/>
    <x v="0"/>
    <n v="0"/>
  </r>
  <r>
    <x v="109"/>
    <d v="2023-05-01T00:00:00"/>
    <n v="38088"/>
    <n v="17971"/>
    <n v="2.0699999999999998"/>
    <n v="1.17"/>
    <n v="0.68"/>
    <n v="625"/>
    <x v="0"/>
    <m/>
    <n v="0"/>
    <n v="18"/>
    <s v="Development"/>
    <n v="0.15"/>
    <x v="0"/>
    <n v="0"/>
  </r>
  <r>
    <x v="110"/>
    <d v="2023-10-01T00:00:00"/>
    <n v="15702"/>
    <n v="56600"/>
    <n v="0.98"/>
    <n v="0.83"/>
    <n v="0.24"/>
    <n v="661"/>
    <x v="0"/>
    <m/>
    <n v="0"/>
    <n v="6"/>
    <s v="Development"/>
    <n v="0.45"/>
    <x v="0"/>
    <n v="0"/>
  </r>
  <r>
    <x v="111"/>
    <d v="2023-07-01T00:00:00"/>
    <n v="15650"/>
    <n v="6328"/>
    <n v="1.77"/>
    <n v="1.25"/>
    <n v="0.1"/>
    <n v="693"/>
    <x v="1"/>
    <n v="27351"/>
    <n v="1"/>
    <n v="12"/>
    <s v="Development"/>
    <n v="0.15"/>
    <x v="1"/>
    <n v="0"/>
  </r>
  <r>
    <x v="112"/>
    <d v="2023-09-01T00:00:00"/>
    <n v="29195"/>
    <n v="13588"/>
    <n v="2.5499999999999998"/>
    <n v="0.64"/>
    <n v="1.8"/>
    <n v="723"/>
    <x v="0"/>
    <m/>
    <n v="0"/>
    <n v="12"/>
    <s v="Development"/>
    <n v="0"/>
    <x v="0"/>
    <n v="0"/>
  </r>
  <r>
    <x v="113"/>
    <d v="2023-07-01T00:00:00"/>
    <n v="107459"/>
    <n v="35902"/>
    <n v="1.43"/>
    <n v="0.8"/>
    <n v="1.42"/>
    <n v="649"/>
    <x v="1"/>
    <n v="19930"/>
    <n v="1"/>
    <n v="12"/>
    <s v="Development"/>
    <n v="0"/>
    <x v="1"/>
    <n v="0"/>
  </r>
  <r>
    <x v="114"/>
    <d v="2023-09-01T00:00:00"/>
    <n v="30677"/>
    <n v="12635"/>
    <n v="1.08"/>
    <n v="0.45"/>
    <n v="1.23"/>
    <n v="524"/>
    <x v="0"/>
    <m/>
    <n v="0"/>
    <n v="12"/>
    <s v="Development"/>
    <n v="0.2"/>
    <x v="0"/>
    <n v="0"/>
  </r>
  <r>
    <x v="115"/>
    <d v="2023-08-01T00:00:00"/>
    <n v="13670"/>
    <n v="18337"/>
    <n v="1.19"/>
    <n v="0.88"/>
    <n v="2.11"/>
    <n v="755"/>
    <x v="0"/>
    <m/>
    <n v="0"/>
    <n v="6"/>
    <s v="Development"/>
    <n v="0"/>
    <x v="0"/>
    <n v="0"/>
  </r>
  <r>
    <x v="116"/>
    <d v="2023-12-01T00:00:00"/>
    <n v="30954"/>
    <n v="6351"/>
    <n v="0.95"/>
    <n v="0.51"/>
    <n v="1.7"/>
    <n v="722"/>
    <x v="0"/>
    <m/>
    <n v="0"/>
    <n v="12"/>
    <s v="Development"/>
    <n v="0.3"/>
    <x v="0"/>
    <n v="0"/>
  </r>
  <r>
    <x v="117"/>
    <d v="2023-02-01T00:00:00"/>
    <n v="30416"/>
    <n v="18030"/>
    <m/>
    <n v="0.41"/>
    <n v="2.2400000000000002"/>
    <n v="584"/>
    <x v="0"/>
    <m/>
    <n v="0"/>
    <n v="18"/>
    <s v="Development"/>
    <n v="0.2"/>
    <x v="0"/>
    <n v="0"/>
  </r>
  <r>
    <x v="118"/>
    <d v="2023-01-01T00:00:00"/>
    <n v="6292"/>
    <n v="11719"/>
    <n v="1.35"/>
    <n v="1.08"/>
    <n v="0.57999999999999996"/>
    <n v="647"/>
    <x v="0"/>
    <m/>
    <n v="0"/>
    <n v="6"/>
    <s v="Development"/>
    <n v="0.15"/>
    <x v="0"/>
    <n v="0"/>
  </r>
  <r>
    <x v="119"/>
    <d v="2024-04-01T00:00:00"/>
    <n v="35056"/>
    <n v="26636"/>
    <n v="0.78"/>
    <n v="1.05"/>
    <n v="1.33"/>
    <n v="766"/>
    <x v="0"/>
    <m/>
    <n v="0"/>
    <n v="6"/>
    <s v="Validation"/>
    <n v="0.3"/>
    <x v="0"/>
    <n v="0"/>
  </r>
  <r>
    <x v="120"/>
    <d v="2024-11-01T00:00:00"/>
    <n v="31254"/>
    <n v="30674"/>
    <n v="1.56"/>
    <n v="1.57"/>
    <n v="0.46"/>
    <n v="760"/>
    <x v="0"/>
    <m/>
    <n v="0"/>
    <n v="12"/>
    <s v="Validation"/>
    <n v="0.15"/>
    <x v="0"/>
    <n v="0"/>
  </r>
  <r>
    <x v="121"/>
    <d v="2024-11-01T00:00:00"/>
    <n v="57099"/>
    <n v="81854"/>
    <n v="2.0499999999999998"/>
    <n v="0.67"/>
    <n v="1.22"/>
    <n v="732"/>
    <x v="0"/>
    <m/>
    <n v="0"/>
    <n v="12"/>
    <s v="Validation"/>
    <n v="0"/>
    <x v="0"/>
    <n v="0"/>
  </r>
  <r>
    <x v="122"/>
    <d v="2024-12-01T00:00:00"/>
    <m/>
    <n v="20045"/>
    <n v="1.05"/>
    <n v="1.2"/>
    <n v="1.21"/>
    <n v="670"/>
    <x v="0"/>
    <m/>
    <n v="0"/>
    <n v="6"/>
    <s v="Validation"/>
    <n v="0"/>
    <x v="0"/>
    <n v="0"/>
  </r>
  <r>
    <x v="123"/>
    <d v="2023-05-01T00:00:00"/>
    <n v="75529"/>
    <n v="16782"/>
    <n v="2.39"/>
    <n v="1.33"/>
    <n v="1.69"/>
    <n v="685"/>
    <x v="1"/>
    <n v="8020"/>
    <n v="1"/>
    <n v="12"/>
    <s v="Development"/>
    <n v="0"/>
    <x v="1"/>
    <n v="0"/>
  </r>
  <r>
    <x v="124"/>
    <d v="2023-03-01T00:00:00"/>
    <n v="30492"/>
    <n v="15307"/>
    <n v="1.83"/>
    <n v="1.24"/>
    <n v="1.38"/>
    <n v="673"/>
    <x v="0"/>
    <m/>
    <n v="0"/>
    <n v="12"/>
    <s v="Development"/>
    <n v="0"/>
    <x v="0"/>
    <n v="0"/>
  </r>
  <r>
    <x v="125"/>
    <d v="2023-12-01T00:00:00"/>
    <n v="17690"/>
    <n v="10434"/>
    <n v="2.12"/>
    <n v="0.51"/>
    <n v="1.69"/>
    <n v="742"/>
    <x v="0"/>
    <m/>
    <n v="0"/>
    <n v="18"/>
    <s v="Development"/>
    <n v="0"/>
    <x v="0"/>
    <n v="0"/>
  </r>
  <r>
    <x v="126"/>
    <d v="2023-08-01T00:00:00"/>
    <n v="193432"/>
    <n v="16932"/>
    <n v="1.19"/>
    <n v="1"/>
    <n v="1.74"/>
    <n v="632"/>
    <x v="0"/>
    <m/>
    <n v="0"/>
    <n v="6"/>
    <s v="Development"/>
    <n v="0"/>
    <x v="0"/>
    <n v="0"/>
  </r>
  <r>
    <x v="127"/>
    <d v="2024-10-01T00:00:00"/>
    <n v="37741"/>
    <n v="10864"/>
    <n v="2.02"/>
    <n v="1.17"/>
    <n v="2.54"/>
    <n v="636"/>
    <x v="0"/>
    <m/>
    <n v="0"/>
    <n v="18"/>
    <s v="Validation"/>
    <n v="0"/>
    <x v="0"/>
    <n v="0"/>
  </r>
  <r>
    <x v="128"/>
    <d v="2023-03-01T00:00:00"/>
    <n v="36646"/>
    <n v="15032"/>
    <n v="0.95"/>
    <n v="0.91"/>
    <n v="1.18"/>
    <n v="736"/>
    <x v="0"/>
    <m/>
    <n v="0"/>
    <n v="6"/>
    <s v="Development"/>
    <n v="0.3"/>
    <x v="0"/>
    <n v="0"/>
  </r>
  <r>
    <x v="129"/>
    <d v="2023-01-01T00:00:00"/>
    <n v="35750"/>
    <n v="33601"/>
    <n v="2.04"/>
    <n v="0.21"/>
    <n v="0.83"/>
    <n v="678"/>
    <x v="0"/>
    <m/>
    <n v="0"/>
    <n v="12"/>
    <s v="Development"/>
    <n v="0"/>
    <x v="0"/>
    <n v="0"/>
  </r>
  <r>
    <x v="130"/>
    <d v="2023-03-01T00:00:00"/>
    <n v="41306"/>
    <n v="6604"/>
    <n v="1.64"/>
    <n v="1.01"/>
    <n v="1.49"/>
    <n v="756"/>
    <x v="0"/>
    <m/>
    <n v="0"/>
    <n v="6"/>
    <s v="Development"/>
    <n v="0"/>
    <x v="0"/>
    <n v="0"/>
  </r>
  <r>
    <x v="131"/>
    <d v="2023-05-01T00:00:00"/>
    <n v="33063"/>
    <n v="29671"/>
    <n v="1.85"/>
    <n v="4.26"/>
    <n v="0.91"/>
    <n v="643"/>
    <x v="0"/>
    <m/>
    <n v="0"/>
    <n v="12"/>
    <s v="Development"/>
    <n v="0.35"/>
    <x v="0"/>
    <n v="0"/>
  </r>
  <r>
    <x v="132"/>
    <d v="2024-03-01T00:00:00"/>
    <n v="25012"/>
    <n v="33590"/>
    <n v="0.9"/>
    <n v="0.7"/>
    <n v="2.17"/>
    <n v="677"/>
    <x v="0"/>
    <m/>
    <n v="0"/>
    <n v="12"/>
    <s v="Validation"/>
    <n v="0.3"/>
    <x v="0"/>
    <n v="0"/>
  </r>
  <r>
    <x v="133"/>
    <d v="2024-02-01T00:00:00"/>
    <n v="25452"/>
    <n v="12300"/>
    <n v="1.06"/>
    <n v="0.54"/>
    <n v="1.19"/>
    <m/>
    <x v="0"/>
    <m/>
    <n v="0"/>
    <n v="12"/>
    <s v="Validation"/>
    <n v="0"/>
    <x v="0"/>
    <n v="0"/>
  </r>
  <r>
    <x v="134"/>
    <d v="2023-03-01T00:00:00"/>
    <n v="35551"/>
    <n v="3025"/>
    <n v="1.88"/>
    <n v="1.18"/>
    <n v="1.04"/>
    <n v="680"/>
    <x v="0"/>
    <m/>
    <n v="0"/>
    <n v="12"/>
    <s v="Development"/>
    <n v="0"/>
    <x v="0"/>
    <n v="0"/>
  </r>
  <r>
    <x v="135"/>
    <d v="2023-01-01T00:00:00"/>
    <n v="25509"/>
    <n v="8730"/>
    <n v="1.03"/>
    <n v="1.1299999999999999"/>
    <n v="1.0900000000000001"/>
    <n v="599"/>
    <x v="0"/>
    <m/>
    <n v="0"/>
    <n v="18"/>
    <s v="Development"/>
    <n v="0.2"/>
    <x v="0"/>
    <n v="0"/>
  </r>
  <r>
    <x v="136"/>
    <d v="2023-05-01T00:00:00"/>
    <n v="22849"/>
    <n v="33120"/>
    <n v="1.8"/>
    <n v="2.09"/>
    <n v="1.75"/>
    <n v="653"/>
    <x v="0"/>
    <m/>
    <n v="0"/>
    <n v="12"/>
    <s v="Development"/>
    <n v="0.35"/>
    <x v="0"/>
    <n v="0"/>
  </r>
  <r>
    <x v="137"/>
    <d v="2024-11-01T00:00:00"/>
    <n v="38917"/>
    <n v="13148"/>
    <m/>
    <n v="0.38"/>
    <n v="1.26"/>
    <n v="601"/>
    <x v="0"/>
    <m/>
    <n v="0"/>
    <n v="12"/>
    <s v="Validation"/>
    <n v="0"/>
    <x v="0"/>
    <n v="0"/>
  </r>
  <r>
    <x v="138"/>
    <d v="2024-02-01T00:00:00"/>
    <n v="30769"/>
    <n v="6637"/>
    <n v="2.02"/>
    <n v="1.51"/>
    <n v="1"/>
    <m/>
    <x v="0"/>
    <m/>
    <n v="0"/>
    <n v="12"/>
    <s v="Validation"/>
    <n v="0"/>
    <x v="0"/>
    <n v="0"/>
  </r>
  <r>
    <x v="139"/>
    <d v="2023-07-01T00:00:00"/>
    <n v="96529"/>
    <n v="9383"/>
    <n v="0.87"/>
    <n v="1.37"/>
    <n v="2.27"/>
    <n v="719"/>
    <x v="1"/>
    <n v="3474"/>
    <n v="1"/>
    <n v="6"/>
    <s v="Development"/>
    <n v="0.3"/>
    <x v="1"/>
    <n v="0"/>
  </r>
  <r>
    <x v="140"/>
    <d v="2023-09-01T00:00:00"/>
    <n v="6483"/>
    <n v="24063"/>
    <n v="1.85"/>
    <n v="0.82"/>
    <n v="0.88"/>
    <n v="585"/>
    <x v="0"/>
    <m/>
    <n v="0"/>
    <n v="6"/>
    <s v="Development"/>
    <n v="0.2"/>
    <x v="0"/>
    <n v="0"/>
  </r>
  <r>
    <x v="141"/>
    <d v="2024-03-01T00:00:00"/>
    <n v="73827"/>
    <n v="19589"/>
    <n v="1.89"/>
    <n v="1.1499999999999999"/>
    <n v="1.37"/>
    <n v="753"/>
    <x v="0"/>
    <m/>
    <n v="0"/>
    <n v="6"/>
    <s v="Validation"/>
    <n v="0"/>
    <x v="0"/>
    <n v="0"/>
  </r>
  <r>
    <x v="142"/>
    <d v="2024-03-01T00:00:00"/>
    <n v="81630"/>
    <n v="11302"/>
    <n v="1.17"/>
    <n v="1.86"/>
    <n v="1.71"/>
    <n v="817"/>
    <x v="0"/>
    <m/>
    <n v="0"/>
    <n v="12"/>
    <s v="Validation"/>
    <n v="0"/>
    <x v="0"/>
    <n v="0"/>
  </r>
  <r>
    <x v="143"/>
    <d v="2023-10-01T00:00:00"/>
    <n v="9436"/>
    <n v="10334"/>
    <n v="1.87"/>
    <n v="1.67"/>
    <n v="0.45"/>
    <n v="683"/>
    <x v="0"/>
    <m/>
    <n v="0"/>
    <n v="12"/>
    <s v="Development"/>
    <n v="0.15"/>
    <x v="0"/>
    <n v="0"/>
  </r>
  <r>
    <x v="144"/>
    <d v="2024-01-01T00:00:00"/>
    <n v="29064"/>
    <n v="10155"/>
    <n v="1.69"/>
    <n v="0.41"/>
    <n v="1.61"/>
    <n v="645"/>
    <x v="0"/>
    <m/>
    <n v="0"/>
    <n v="12"/>
    <s v="Validation"/>
    <n v="0"/>
    <x v="0"/>
    <n v="0"/>
  </r>
  <r>
    <x v="145"/>
    <d v="2024-07-01T00:00:00"/>
    <n v="28526"/>
    <n v="7005"/>
    <n v="1.25"/>
    <n v="1.61"/>
    <n v="0.77"/>
    <n v="835"/>
    <x v="0"/>
    <m/>
    <n v="0"/>
    <n v="12"/>
    <s v="Validation"/>
    <n v="0.15"/>
    <x v="0"/>
    <n v="0"/>
  </r>
  <r>
    <x v="146"/>
    <d v="2023-07-01T00:00:00"/>
    <n v="14547"/>
    <n v="41389"/>
    <n v="1"/>
    <n v="0.86"/>
    <n v="1.8"/>
    <n v="607"/>
    <x v="1"/>
    <n v="48570"/>
    <n v="1"/>
    <n v="12"/>
    <s v="Development"/>
    <n v="0"/>
    <x v="1"/>
    <n v="0"/>
  </r>
  <r>
    <x v="147"/>
    <d v="2024-05-01T00:00:00"/>
    <n v="21904"/>
    <n v="10661"/>
    <n v="0.47"/>
    <n v="0.95"/>
    <n v="0.82"/>
    <n v="681"/>
    <x v="0"/>
    <m/>
    <n v="0"/>
    <n v="12"/>
    <s v="Validation"/>
    <n v="0.3"/>
    <x v="0"/>
    <n v="0"/>
  </r>
  <r>
    <x v="148"/>
    <d v="2024-08-01T00:00:00"/>
    <n v="17644"/>
    <n v="31320"/>
    <n v="1.74"/>
    <n v="0.95"/>
    <n v="1.73"/>
    <n v="690"/>
    <x v="0"/>
    <m/>
    <n v="0"/>
    <n v="6"/>
    <s v="Validation"/>
    <n v="0"/>
    <x v="0"/>
    <n v="0"/>
  </r>
  <r>
    <x v="149"/>
    <d v="2023-04-01T00:00:00"/>
    <n v="113434"/>
    <n v="38751"/>
    <n v="0.69"/>
    <n v="0.81"/>
    <n v="1.96"/>
    <n v="754"/>
    <x v="0"/>
    <m/>
    <n v="0"/>
    <n v="12"/>
    <s v="Development"/>
    <n v="0.3"/>
    <x v="0"/>
    <n v="0"/>
  </r>
  <r>
    <x v="150"/>
    <d v="2023-05-01T00:00:00"/>
    <n v="66715"/>
    <n v="26871"/>
    <n v="1.6"/>
    <n v="2.08"/>
    <n v="1.82"/>
    <n v="700"/>
    <x v="0"/>
    <m/>
    <n v="0"/>
    <n v="12"/>
    <s v="Development"/>
    <n v="0.35"/>
    <x v="0"/>
    <n v="0"/>
  </r>
  <r>
    <x v="151"/>
    <d v="2024-11-01T00:00:00"/>
    <n v="82993"/>
    <n v="9876"/>
    <n v="1.41"/>
    <n v="0.85"/>
    <n v="1.49"/>
    <n v="653"/>
    <x v="0"/>
    <m/>
    <n v="0"/>
    <n v="6"/>
    <s v="Validation"/>
    <n v="0"/>
    <x v="0"/>
    <n v="0"/>
  </r>
  <r>
    <x v="152"/>
    <d v="2023-07-01T00:00:00"/>
    <n v="58052"/>
    <n v="17723"/>
    <n v="1.92"/>
    <n v="0.41"/>
    <n v="1.22"/>
    <n v="628"/>
    <x v="0"/>
    <m/>
    <n v="0"/>
    <n v="12"/>
    <s v="Development"/>
    <n v="0"/>
    <x v="0"/>
    <n v="0"/>
  </r>
  <r>
    <x v="153"/>
    <d v="2024-01-01T00:00:00"/>
    <n v="17433"/>
    <n v="13135"/>
    <n v="1.38"/>
    <n v="0.69"/>
    <n v="1.03"/>
    <n v="661"/>
    <x v="0"/>
    <m/>
    <n v="0"/>
    <n v="18"/>
    <s v="Validation"/>
    <n v="0"/>
    <x v="0"/>
    <n v="0"/>
  </r>
  <r>
    <x v="154"/>
    <d v="2024-03-01T00:00:00"/>
    <n v="25824"/>
    <n v="7097"/>
    <n v="1.37"/>
    <n v="1.03"/>
    <n v="2.16"/>
    <n v="625"/>
    <x v="0"/>
    <m/>
    <n v="0"/>
    <n v="12"/>
    <s v="Validation"/>
    <n v="0"/>
    <x v="0"/>
    <n v="0"/>
  </r>
  <r>
    <x v="155"/>
    <d v="2023-11-01T00:00:00"/>
    <n v="49916"/>
    <n v="16765"/>
    <n v="1.95"/>
    <n v="2.14"/>
    <n v="0.97"/>
    <n v="683"/>
    <x v="0"/>
    <m/>
    <n v="0"/>
    <n v="12"/>
    <s v="Development"/>
    <n v="0.35"/>
    <x v="0"/>
    <n v="0"/>
  </r>
  <r>
    <x v="156"/>
    <d v="2023-04-01T00:00:00"/>
    <n v="16410"/>
    <n v="5853"/>
    <n v="1.73"/>
    <n v="1.38"/>
    <n v="0.78"/>
    <n v="649"/>
    <x v="0"/>
    <m/>
    <n v="0"/>
    <n v="12"/>
    <s v="Development"/>
    <n v="0.15"/>
    <x v="0"/>
    <n v="0"/>
  </r>
  <r>
    <x v="157"/>
    <d v="2024-01-01T00:00:00"/>
    <n v="57725"/>
    <n v="30680"/>
    <n v="1.72"/>
    <n v="0.5"/>
    <n v="1.72"/>
    <n v="598"/>
    <x v="0"/>
    <m/>
    <n v="0"/>
    <n v="12"/>
    <s v="Validation"/>
    <n v="0.2"/>
    <x v="0"/>
    <n v="0"/>
  </r>
  <r>
    <x v="158"/>
    <d v="2023-07-01T00:00:00"/>
    <n v="31063"/>
    <n v="9651"/>
    <n v="1.81"/>
    <n v="5.15"/>
    <n v="0.91"/>
    <m/>
    <x v="0"/>
    <m/>
    <n v="0"/>
    <n v="6"/>
    <s v="Development"/>
    <n v="0.35"/>
    <x v="0"/>
    <n v="0"/>
  </r>
  <r>
    <x v="159"/>
    <d v="2024-07-01T00:00:00"/>
    <n v="28463"/>
    <n v="15380"/>
    <n v="0.71"/>
    <n v="1.0900000000000001"/>
    <n v="0.83"/>
    <n v="653"/>
    <x v="0"/>
    <m/>
    <n v="0"/>
    <n v="12"/>
    <s v="Validation"/>
    <n v="0.3"/>
    <x v="0"/>
    <n v="0"/>
  </r>
  <r>
    <x v="160"/>
    <d v="2024-10-01T00:00:00"/>
    <n v="57649"/>
    <n v="16290"/>
    <n v="1.97"/>
    <n v="2.21"/>
    <n v="0.56000000000000005"/>
    <n v="610"/>
    <x v="0"/>
    <m/>
    <n v="0"/>
    <n v="12"/>
    <s v="Validation"/>
    <n v="0.5"/>
    <x v="0"/>
    <n v="0"/>
  </r>
  <r>
    <x v="161"/>
    <d v="2023-02-01T00:00:00"/>
    <n v="48473"/>
    <n v="11145"/>
    <n v="1.89"/>
    <n v="0.81"/>
    <n v="1.08"/>
    <n v="671"/>
    <x v="0"/>
    <m/>
    <n v="0"/>
    <n v="6"/>
    <s v="Development"/>
    <n v="0"/>
    <x v="0"/>
    <n v="0"/>
  </r>
  <r>
    <x v="162"/>
    <d v="2023-10-01T00:00:00"/>
    <n v="28721"/>
    <n v="20144"/>
    <n v="0.99"/>
    <n v="1.31"/>
    <n v="1.3"/>
    <m/>
    <x v="0"/>
    <m/>
    <n v="0"/>
    <n v="12"/>
    <s v="Development"/>
    <n v="0.3"/>
    <x v="0"/>
    <n v="0"/>
  </r>
  <r>
    <x v="163"/>
    <d v="2024-01-01T00:00:00"/>
    <n v="77154"/>
    <n v="9581"/>
    <n v="1.42"/>
    <n v="1.63"/>
    <n v="1.48"/>
    <n v="584"/>
    <x v="0"/>
    <m/>
    <n v="0"/>
    <n v="12"/>
    <s v="Validation"/>
    <n v="0.2"/>
    <x v="0"/>
    <n v="0"/>
  </r>
  <r>
    <x v="164"/>
    <d v="2024-09-01T00:00:00"/>
    <n v="17985"/>
    <n v="24585"/>
    <n v="1.53"/>
    <n v="2.12"/>
    <n v="1.87"/>
    <n v="698"/>
    <x v="0"/>
    <m/>
    <n v="0"/>
    <n v="12"/>
    <s v="Validation"/>
    <n v="0.35"/>
    <x v="0"/>
    <n v="0"/>
  </r>
  <r>
    <x v="165"/>
    <d v="2023-06-01T00:00:00"/>
    <n v="54196"/>
    <n v="5207"/>
    <n v="1.48"/>
    <n v="1.9"/>
    <n v="1.64"/>
    <n v="622"/>
    <x v="0"/>
    <m/>
    <n v="0"/>
    <n v="12"/>
    <s v="Development"/>
    <n v="0"/>
    <x v="0"/>
    <n v="0"/>
  </r>
  <r>
    <x v="166"/>
    <d v="2023-12-01T00:00:00"/>
    <m/>
    <n v="14595"/>
    <n v="1.73"/>
    <n v="1.67"/>
    <n v="1.25"/>
    <n v="774"/>
    <x v="1"/>
    <n v="9015"/>
    <n v="1"/>
    <n v="12"/>
    <s v="Development"/>
    <n v="0"/>
    <x v="1"/>
    <n v="0"/>
  </r>
  <r>
    <x v="167"/>
    <d v="2023-12-01T00:00:00"/>
    <n v="29697"/>
    <n v="51909"/>
    <n v="2.34"/>
    <n v="0.73"/>
    <n v="1.24"/>
    <n v="709"/>
    <x v="1"/>
    <m/>
    <n v="0"/>
    <n v="12"/>
    <s v="Development"/>
    <n v="0"/>
    <x v="0"/>
    <n v="1"/>
  </r>
  <r>
    <x v="168"/>
    <d v="2024-08-01T00:00:00"/>
    <n v="44891"/>
    <n v="6633"/>
    <n v="2.14"/>
    <n v="0.61"/>
    <n v="1.63"/>
    <n v="658"/>
    <x v="0"/>
    <m/>
    <n v="0"/>
    <n v="18"/>
    <s v="Validation"/>
    <n v="0"/>
    <x v="0"/>
    <n v="0"/>
  </r>
  <r>
    <x v="169"/>
    <d v="2023-11-01T00:00:00"/>
    <n v="16103"/>
    <n v="8313"/>
    <n v="0.83"/>
    <n v="1.1399999999999999"/>
    <n v="2.0499999999999998"/>
    <n v="639"/>
    <x v="0"/>
    <m/>
    <n v="0"/>
    <n v="12"/>
    <s v="Development"/>
    <n v="0.3"/>
    <x v="0"/>
    <n v="0"/>
  </r>
  <r>
    <x v="170"/>
    <d v="2024-11-01T00:00:00"/>
    <n v="66212"/>
    <n v="19144"/>
    <n v="1.89"/>
    <n v="1.74"/>
    <n v="1.42"/>
    <n v="674"/>
    <x v="1"/>
    <n v="30346"/>
    <n v="1"/>
    <n v="12"/>
    <s v="Validation"/>
    <n v="0"/>
    <x v="1"/>
    <n v="0"/>
  </r>
  <r>
    <x v="171"/>
    <d v="2023-07-01T00:00:00"/>
    <n v="32203"/>
    <n v="15149"/>
    <n v="2.2799999999999998"/>
    <n v="0.77"/>
    <n v="1.0900000000000001"/>
    <n v="714"/>
    <x v="0"/>
    <m/>
    <n v="0"/>
    <n v="12"/>
    <s v="Development"/>
    <n v="0"/>
    <x v="0"/>
    <n v="0"/>
  </r>
  <r>
    <x v="172"/>
    <d v="2023-01-01T00:00:00"/>
    <n v="25854"/>
    <n v="17076"/>
    <n v="1.76"/>
    <n v="1.91"/>
    <n v="0.8"/>
    <n v="679"/>
    <x v="1"/>
    <n v="43047"/>
    <n v="1"/>
    <n v="6"/>
    <s v="Development"/>
    <n v="0"/>
    <x v="1"/>
    <n v="0"/>
  </r>
  <r>
    <x v="173"/>
    <d v="2023-01-01T00:00:00"/>
    <n v="71816"/>
    <n v="18815"/>
    <n v="2.15"/>
    <n v="2.5"/>
    <n v="0.56000000000000005"/>
    <n v="668"/>
    <x v="1"/>
    <n v="41082"/>
    <n v="1"/>
    <n v="12"/>
    <s v="Development"/>
    <n v="0.5"/>
    <x v="1"/>
    <n v="0"/>
  </r>
  <r>
    <x v="174"/>
    <d v="2024-08-01T00:00:00"/>
    <n v="22975"/>
    <n v="20833"/>
    <n v="2.66"/>
    <n v="0.48"/>
    <n v="1.72"/>
    <n v="683"/>
    <x v="0"/>
    <m/>
    <n v="0"/>
    <n v="12"/>
    <s v="Validation"/>
    <n v="0"/>
    <x v="0"/>
    <n v="0"/>
  </r>
  <r>
    <x v="175"/>
    <d v="2024-01-01T00:00:00"/>
    <n v="14538"/>
    <n v="29050"/>
    <m/>
    <n v="0.5"/>
    <n v="1.67"/>
    <n v="647"/>
    <x v="0"/>
    <m/>
    <n v="0"/>
    <n v="12"/>
    <s v="Validation"/>
    <n v="0"/>
    <x v="0"/>
    <n v="0"/>
  </r>
  <r>
    <x v="176"/>
    <d v="2023-09-01T00:00:00"/>
    <n v="13203"/>
    <n v="17799"/>
    <n v="1.69"/>
    <n v="0.82"/>
    <n v="1.67"/>
    <n v="661"/>
    <x v="1"/>
    <n v="20703"/>
    <n v="1"/>
    <n v="6"/>
    <s v="Development"/>
    <n v="0"/>
    <x v="1"/>
    <n v="0"/>
  </r>
  <r>
    <x v="177"/>
    <d v="2023-03-01T00:00:00"/>
    <n v="53847"/>
    <n v="11284"/>
    <n v="2.12"/>
    <n v="1.1200000000000001"/>
    <n v="1.28"/>
    <n v="565"/>
    <x v="0"/>
    <m/>
    <n v="0"/>
    <n v="6"/>
    <s v="Development"/>
    <n v="0.2"/>
    <x v="0"/>
    <n v="0"/>
  </r>
  <r>
    <x v="178"/>
    <d v="2023-07-01T00:00:00"/>
    <n v="15799"/>
    <n v="21393"/>
    <n v="1.63"/>
    <n v="0.63"/>
    <n v="2.12"/>
    <n v="734"/>
    <x v="0"/>
    <m/>
    <n v="0"/>
    <n v="18"/>
    <s v="Development"/>
    <n v="0"/>
    <x v="0"/>
    <n v="0"/>
  </r>
  <r>
    <x v="179"/>
    <d v="2023-06-01T00:00:00"/>
    <n v="113620"/>
    <n v="50510"/>
    <n v="1.56"/>
    <n v="2.33"/>
    <n v="1.08"/>
    <n v="696"/>
    <x v="0"/>
    <m/>
    <n v="0"/>
    <n v="12"/>
    <s v="Development"/>
    <n v="0.35"/>
    <x v="0"/>
    <n v="0"/>
  </r>
  <r>
    <x v="180"/>
    <d v="2023-08-01T00:00:00"/>
    <n v="9384"/>
    <n v="12175"/>
    <n v="1.36"/>
    <n v="1.22"/>
    <n v="1.88"/>
    <n v="637"/>
    <x v="0"/>
    <m/>
    <n v="0"/>
    <n v="12"/>
    <s v="Development"/>
    <n v="0"/>
    <x v="0"/>
    <n v="0"/>
  </r>
  <r>
    <x v="181"/>
    <d v="2023-09-01T00:00:00"/>
    <n v="109392"/>
    <n v="6754"/>
    <n v="2.41"/>
    <n v="0.93"/>
    <n v="1.33"/>
    <n v="784"/>
    <x v="0"/>
    <m/>
    <n v="0"/>
    <n v="12"/>
    <s v="Development"/>
    <n v="0"/>
    <x v="0"/>
    <n v="0"/>
  </r>
  <r>
    <x v="182"/>
    <d v="2023-05-01T00:00:00"/>
    <n v="41654"/>
    <n v="28997"/>
    <n v="1.1000000000000001"/>
    <n v="0.33"/>
    <n v="1.02"/>
    <n v="685"/>
    <x v="0"/>
    <m/>
    <n v="0"/>
    <n v="6"/>
    <s v="Development"/>
    <n v="0"/>
    <x v="0"/>
    <n v="0"/>
  </r>
  <r>
    <x v="183"/>
    <d v="2023-01-01T00:00:00"/>
    <n v="34103"/>
    <n v="12280"/>
    <n v="2.39"/>
    <n v="0.36"/>
    <n v="1.68"/>
    <n v="623"/>
    <x v="0"/>
    <m/>
    <n v="0"/>
    <n v="6"/>
    <s v="Development"/>
    <n v="0"/>
    <x v="0"/>
    <n v="0"/>
  </r>
  <r>
    <x v="184"/>
    <d v="2024-07-01T00:00:00"/>
    <n v="25484"/>
    <n v="2919"/>
    <n v="1.82"/>
    <n v="1.1000000000000001"/>
    <n v="1.58"/>
    <n v="727"/>
    <x v="0"/>
    <m/>
    <n v="0"/>
    <n v="18"/>
    <s v="Validation"/>
    <n v="0"/>
    <x v="0"/>
    <n v="0"/>
  </r>
  <r>
    <x v="185"/>
    <d v="2023-10-01T00:00:00"/>
    <n v="47072"/>
    <n v="24178"/>
    <n v="0.78"/>
    <n v="0.2"/>
    <n v="1.55"/>
    <n v="702"/>
    <x v="0"/>
    <m/>
    <n v="0"/>
    <n v="12"/>
    <s v="Development"/>
    <n v="0.3"/>
    <x v="0"/>
    <n v="0"/>
  </r>
  <r>
    <x v="186"/>
    <d v="2023-12-01T00:00:00"/>
    <m/>
    <n v="9184"/>
    <n v="1.75"/>
    <n v="1.84"/>
    <n v="1.39"/>
    <n v="702"/>
    <x v="0"/>
    <m/>
    <n v="0"/>
    <n v="6"/>
    <s v="Development"/>
    <n v="0"/>
    <x v="0"/>
    <n v="0"/>
  </r>
  <r>
    <x v="187"/>
    <d v="2024-12-01T00:00:00"/>
    <n v="74395"/>
    <n v="12539"/>
    <n v="0.39"/>
    <n v="0.81"/>
    <n v="1.33"/>
    <n v="657"/>
    <x v="0"/>
    <m/>
    <n v="0"/>
    <n v="12"/>
    <s v="Validation"/>
    <n v="0.3"/>
    <x v="0"/>
    <n v="0"/>
  </r>
  <r>
    <x v="188"/>
    <d v="2024-03-01T00:00:00"/>
    <n v="39114"/>
    <n v="16855"/>
    <n v="1.89"/>
    <n v="8"/>
    <n v="2.66"/>
    <n v="705"/>
    <x v="0"/>
    <m/>
    <n v="0"/>
    <n v="18"/>
    <s v="Validation"/>
    <n v="0.35"/>
    <x v="0"/>
    <n v="0"/>
  </r>
  <r>
    <x v="189"/>
    <d v="2024-10-01T00:00:00"/>
    <n v="40042"/>
    <n v="15265"/>
    <n v="2.04"/>
    <n v="4.55"/>
    <n v="2"/>
    <n v="666"/>
    <x v="0"/>
    <m/>
    <n v="0"/>
    <n v="12"/>
    <s v="Validation"/>
    <n v="0.35"/>
    <x v="0"/>
    <n v="0"/>
  </r>
  <r>
    <x v="190"/>
    <d v="2024-12-01T00:00:00"/>
    <n v="28671"/>
    <n v="21952"/>
    <n v="1.22"/>
    <n v="0.8"/>
    <n v="1.75"/>
    <n v="711"/>
    <x v="0"/>
    <m/>
    <n v="0"/>
    <n v="18"/>
    <s v="Validation"/>
    <n v="0"/>
    <x v="0"/>
    <n v="0"/>
  </r>
  <r>
    <x v="191"/>
    <d v="2023-09-01T00:00:00"/>
    <n v="34996"/>
    <n v="9849"/>
    <n v="1.62"/>
    <n v="0.84"/>
    <n v="1.41"/>
    <n v="575"/>
    <x v="1"/>
    <n v="7579"/>
    <n v="1"/>
    <n v="6"/>
    <s v="Development"/>
    <n v="0.2"/>
    <x v="1"/>
    <n v="0"/>
  </r>
  <r>
    <x v="192"/>
    <d v="2024-08-01T00:00:00"/>
    <n v="44359"/>
    <n v="19133"/>
    <n v="2.62"/>
    <n v="1.82"/>
    <n v="1.9"/>
    <n v="656"/>
    <x v="0"/>
    <m/>
    <n v="0"/>
    <n v="12"/>
    <s v="Validation"/>
    <n v="0"/>
    <x v="0"/>
    <n v="0"/>
  </r>
  <r>
    <x v="193"/>
    <d v="2024-05-01T00:00:00"/>
    <n v="11949"/>
    <n v="11140"/>
    <n v="1.27"/>
    <n v="2.98"/>
    <n v="1.63"/>
    <n v="775"/>
    <x v="0"/>
    <m/>
    <n v="0"/>
    <n v="12"/>
    <s v="Validation"/>
    <n v="0.35"/>
    <x v="0"/>
    <n v="0"/>
  </r>
  <r>
    <x v="194"/>
    <d v="2024-05-01T00:00:00"/>
    <n v="15119"/>
    <n v="22408"/>
    <n v="0.97"/>
    <n v="0.28999999999999998"/>
    <n v="1.36"/>
    <n v="638"/>
    <x v="1"/>
    <n v="33992"/>
    <n v="1"/>
    <n v="12"/>
    <s v="Validation"/>
    <n v="0.3"/>
    <x v="1"/>
    <n v="0"/>
  </r>
  <r>
    <x v="195"/>
    <d v="2024-08-01T00:00:00"/>
    <n v="58872"/>
    <n v="20553"/>
    <n v="2.36"/>
    <n v="0.26"/>
    <n v="1.18"/>
    <n v="647"/>
    <x v="1"/>
    <n v="40551"/>
    <n v="1"/>
    <n v="12"/>
    <s v="Validation"/>
    <n v="0"/>
    <x v="1"/>
    <n v="0"/>
  </r>
  <r>
    <x v="196"/>
    <d v="2023-12-01T00:00:00"/>
    <n v="40581"/>
    <n v="6941"/>
    <n v="2.63"/>
    <n v="0.59"/>
    <n v="1.31"/>
    <n v="655"/>
    <x v="0"/>
    <m/>
    <n v="0"/>
    <n v="12"/>
    <s v="Development"/>
    <n v="0"/>
    <x v="0"/>
    <n v="0"/>
  </r>
  <r>
    <x v="197"/>
    <d v="2023-07-01T00:00:00"/>
    <n v="32222"/>
    <n v="28572"/>
    <n v="1.55"/>
    <n v="1.36"/>
    <n v="0.1"/>
    <n v="613"/>
    <x v="0"/>
    <m/>
    <n v="0"/>
    <n v="12"/>
    <s v="Development"/>
    <n v="0.15"/>
    <x v="0"/>
    <n v="0"/>
  </r>
  <r>
    <x v="198"/>
    <d v="2023-02-01T00:00:00"/>
    <n v="36753"/>
    <n v="9180"/>
    <m/>
    <n v="1.28"/>
    <n v="1.47"/>
    <n v="559"/>
    <x v="0"/>
    <m/>
    <n v="0"/>
    <n v="12"/>
    <s v="Development"/>
    <n v="0.2"/>
    <x v="0"/>
    <n v="0"/>
  </r>
  <r>
    <x v="199"/>
    <d v="2023-03-01T00:00:00"/>
    <n v="45521"/>
    <n v="23521"/>
    <n v="2.29"/>
    <n v="1.91"/>
    <n v="1.08"/>
    <n v="667"/>
    <x v="0"/>
    <m/>
    <n v="0"/>
    <n v="12"/>
    <s v="Development"/>
    <n v="0"/>
    <x v="0"/>
    <n v="0"/>
  </r>
  <r>
    <x v="200"/>
    <d v="2024-05-01T00:00:00"/>
    <n v="25570"/>
    <n v="17276"/>
    <n v="1.1399999999999999"/>
    <n v="0.39"/>
    <n v="2.23"/>
    <n v="687"/>
    <x v="0"/>
    <m/>
    <n v="0"/>
    <n v="6"/>
    <s v="Validation"/>
    <n v="0"/>
    <x v="0"/>
    <n v="0"/>
  </r>
  <r>
    <x v="201"/>
    <d v="2023-05-01T00:00:00"/>
    <n v="21897"/>
    <n v="48375"/>
    <n v="1.28"/>
    <n v="0.18"/>
    <n v="1.36"/>
    <n v="677"/>
    <x v="0"/>
    <m/>
    <n v="0"/>
    <n v="12"/>
    <s v="Development"/>
    <n v="0"/>
    <x v="0"/>
    <n v="0"/>
  </r>
  <r>
    <x v="202"/>
    <d v="2024-05-01T00:00:00"/>
    <n v="41246"/>
    <n v="11425"/>
    <n v="2.23"/>
    <n v="1.65"/>
    <n v="0.7"/>
    <n v="672"/>
    <x v="0"/>
    <m/>
    <n v="0"/>
    <n v="12"/>
    <s v="Validation"/>
    <n v="0.15"/>
    <x v="0"/>
    <n v="0"/>
  </r>
  <r>
    <x v="203"/>
    <d v="2024-12-01T00:00:00"/>
    <n v="19227"/>
    <n v="10462"/>
    <n v="2.48"/>
    <n v="0.51"/>
    <n v="1.32"/>
    <n v="682"/>
    <x v="0"/>
    <m/>
    <n v="0"/>
    <n v="12"/>
    <s v="Validation"/>
    <n v="0"/>
    <x v="0"/>
    <n v="0"/>
  </r>
  <r>
    <x v="204"/>
    <d v="2024-05-01T00:00:00"/>
    <n v="47352"/>
    <n v="13179"/>
    <n v="1.86"/>
    <n v="0.22"/>
    <n v="0.77"/>
    <n v="736"/>
    <x v="1"/>
    <m/>
    <n v="0"/>
    <n v="6"/>
    <s v="Validation"/>
    <n v="0.15"/>
    <x v="0"/>
    <n v="1"/>
  </r>
  <r>
    <x v="205"/>
    <d v="2024-05-01T00:00:00"/>
    <n v="12008"/>
    <n v="10805"/>
    <n v="1.07"/>
    <n v="1"/>
    <n v="1.61"/>
    <n v="670"/>
    <x v="1"/>
    <n v="33936"/>
    <n v="1"/>
    <n v="12"/>
    <s v="Validation"/>
    <n v="0"/>
    <x v="1"/>
    <n v="0"/>
  </r>
  <r>
    <x v="206"/>
    <d v="2023-02-01T00:00:00"/>
    <n v="70895"/>
    <n v="23388"/>
    <n v="2.64"/>
    <n v="1.58"/>
    <n v="1.51"/>
    <n v="648"/>
    <x v="0"/>
    <m/>
    <n v="0"/>
    <n v="12"/>
    <s v="Development"/>
    <n v="0"/>
    <x v="0"/>
    <n v="0"/>
  </r>
  <r>
    <x v="207"/>
    <d v="2023-02-01T00:00:00"/>
    <n v="49374"/>
    <n v="4310"/>
    <n v="1.26"/>
    <n v="0.83"/>
    <n v="1.88"/>
    <n v="665"/>
    <x v="1"/>
    <n v="44988"/>
    <n v="1"/>
    <n v="12"/>
    <s v="Development"/>
    <n v="0"/>
    <x v="1"/>
    <n v="0"/>
  </r>
  <r>
    <x v="208"/>
    <d v="2024-10-01T00:00:00"/>
    <n v="42891"/>
    <n v="6390"/>
    <n v="1.37"/>
    <n v="0.66"/>
    <n v="0.92"/>
    <m/>
    <x v="1"/>
    <n v="16808"/>
    <n v="1"/>
    <n v="12"/>
    <s v="Validation"/>
    <n v="0"/>
    <x v="1"/>
    <n v="0"/>
  </r>
  <r>
    <x v="209"/>
    <d v="2024-11-01T00:00:00"/>
    <n v="68786"/>
    <n v="6327"/>
    <n v="1.74"/>
    <n v="0.81"/>
    <n v="1.37"/>
    <n v="758"/>
    <x v="0"/>
    <m/>
    <n v="0"/>
    <n v="12"/>
    <s v="Validation"/>
    <n v="0"/>
    <x v="0"/>
    <n v="0"/>
  </r>
  <r>
    <x v="210"/>
    <d v="2023-05-01T00:00:00"/>
    <n v="107211"/>
    <n v="25983"/>
    <n v="2.4"/>
    <n v="0.7"/>
    <n v="0.6"/>
    <n v="645"/>
    <x v="0"/>
    <m/>
    <n v="0"/>
    <n v="18"/>
    <s v="Development"/>
    <n v="0.15"/>
    <x v="0"/>
    <n v="0"/>
  </r>
  <r>
    <x v="211"/>
    <d v="2023-01-01T00:00:00"/>
    <n v="70217"/>
    <n v="44242"/>
    <n v="2.02"/>
    <n v="0.35"/>
    <n v="1.74"/>
    <n v="685"/>
    <x v="0"/>
    <m/>
    <n v="0"/>
    <n v="12"/>
    <s v="Development"/>
    <n v="0"/>
    <x v="0"/>
    <n v="0"/>
  </r>
  <r>
    <x v="212"/>
    <d v="2023-01-01T00:00:00"/>
    <n v="10976"/>
    <n v="12418"/>
    <n v="1.78"/>
    <n v="0.55000000000000004"/>
    <n v="1.64"/>
    <n v="699"/>
    <x v="0"/>
    <m/>
    <n v="0"/>
    <n v="12"/>
    <s v="Development"/>
    <n v="0"/>
    <x v="0"/>
    <n v="0"/>
  </r>
  <r>
    <x v="213"/>
    <d v="2024-07-01T00:00:00"/>
    <n v="15808"/>
    <n v="11871"/>
    <n v="1.8"/>
    <n v="1.3"/>
    <n v="1.62"/>
    <n v="625"/>
    <x v="0"/>
    <m/>
    <n v="0"/>
    <n v="12"/>
    <s v="Validation"/>
    <n v="0"/>
    <x v="0"/>
    <n v="0"/>
  </r>
  <r>
    <x v="214"/>
    <d v="2023-02-01T00:00:00"/>
    <n v="24194"/>
    <n v="14031"/>
    <n v="1.57"/>
    <n v="1.1299999999999999"/>
    <n v="1.35"/>
    <n v="681"/>
    <x v="0"/>
    <m/>
    <n v="0"/>
    <n v="12"/>
    <s v="Development"/>
    <n v="0"/>
    <x v="0"/>
    <n v="0"/>
  </r>
  <r>
    <x v="215"/>
    <d v="2024-09-01T00:00:00"/>
    <n v="36937"/>
    <n v="30131"/>
    <n v="1.86"/>
    <n v="1.02"/>
    <n v="1.58"/>
    <n v="599"/>
    <x v="1"/>
    <n v="32811"/>
    <n v="1"/>
    <n v="6"/>
    <s v="Validation"/>
    <n v="0.2"/>
    <x v="1"/>
    <n v="0"/>
  </r>
  <r>
    <x v="216"/>
    <d v="2023-12-01T00:00:00"/>
    <n v="50842"/>
    <n v="6980"/>
    <n v="0.2"/>
    <n v="0.45"/>
    <n v="2.23"/>
    <n v="583"/>
    <x v="0"/>
    <m/>
    <n v="0"/>
    <n v="12"/>
    <s v="Development"/>
    <n v="0.5"/>
    <x v="0"/>
    <n v="0"/>
  </r>
  <r>
    <x v="217"/>
    <d v="2023-06-01T00:00:00"/>
    <n v="22658"/>
    <n v="15786"/>
    <n v="1.39"/>
    <n v="0.8"/>
    <n v="1.19"/>
    <n v="700"/>
    <x v="0"/>
    <m/>
    <n v="0"/>
    <n v="12"/>
    <s v="Development"/>
    <n v="0"/>
    <x v="0"/>
    <n v="0"/>
  </r>
  <r>
    <x v="218"/>
    <d v="2024-11-01T00:00:00"/>
    <n v="41003"/>
    <n v="26440"/>
    <n v="1.68"/>
    <n v="0.2"/>
    <n v="1.43"/>
    <n v="659"/>
    <x v="0"/>
    <m/>
    <n v="0"/>
    <n v="12"/>
    <s v="Validation"/>
    <n v="0"/>
    <x v="0"/>
    <n v="0"/>
  </r>
  <r>
    <x v="219"/>
    <d v="2023-04-01T00:00:00"/>
    <n v="22226"/>
    <n v="18973"/>
    <n v="0.92"/>
    <n v="1.03"/>
    <n v="0.75"/>
    <n v="691"/>
    <x v="0"/>
    <m/>
    <n v="0"/>
    <n v="12"/>
    <s v="Development"/>
    <n v="0.45"/>
    <x v="0"/>
    <n v="0"/>
  </r>
  <r>
    <x v="220"/>
    <d v="2024-11-01T00:00:00"/>
    <n v="24404"/>
    <n v="15256"/>
    <n v="1.76"/>
    <n v="2.46"/>
    <n v="0.87"/>
    <n v="679"/>
    <x v="1"/>
    <n v="18877"/>
    <n v="1"/>
    <n v="12"/>
    <s v="Validation"/>
    <n v="0.35"/>
    <x v="1"/>
    <n v="0"/>
  </r>
  <r>
    <x v="221"/>
    <d v="2023-11-01T00:00:00"/>
    <n v="14555"/>
    <n v="26923"/>
    <n v="1.44"/>
    <n v="0.32"/>
    <n v="1.4"/>
    <n v="626"/>
    <x v="0"/>
    <m/>
    <n v="0"/>
    <n v="12"/>
    <s v="Development"/>
    <n v="0"/>
    <x v="0"/>
    <n v="0"/>
  </r>
  <r>
    <x v="222"/>
    <d v="2024-12-01T00:00:00"/>
    <n v="19928"/>
    <n v="2014"/>
    <n v="2.52"/>
    <n v="0.6"/>
    <n v="1.96"/>
    <n v="678"/>
    <x v="0"/>
    <m/>
    <n v="0"/>
    <n v="12"/>
    <s v="Validation"/>
    <n v="0"/>
    <x v="0"/>
    <n v="0"/>
  </r>
  <r>
    <x v="223"/>
    <d v="2024-05-01T00:00:00"/>
    <n v="15084"/>
    <n v="21472"/>
    <n v="2.42"/>
    <n v="1.1399999999999999"/>
    <n v="1.21"/>
    <n v="612"/>
    <x v="0"/>
    <m/>
    <n v="0"/>
    <n v="18"/>
    <s v="Validation"/>
    <n v="0"/>
    <x v="0"/>
    <n v="0"/>
  </r>
  <r>
    <x v="224"/>
    <d v="2023-06-01T00:00:00"/>
    <n v="19258"/>
    <n v="8452"/>
    <n v="1.29"/>
    <n v="2.17"/>
    <n v="1.22"/>
    <n v="757"/>
    <x v="0"/>
    <m/>
    <n v="0"/>
    <n v="18"/>
    <s v="Development"/>
    <n v="0.35"/>
    <x v="0"/>
    <n v="0"/>
  </r>
  <r>
    <x v="225"/>
    <d v="2024-12-01T00:00:00"/>
    <n v="72032"/>
    <n v="3709"/>
    <n v="1.47"/>
    <n v="0.66"/>
    <n v="1.1299999999999999"/>
    <n v="605"/>
    <x v="0"/>
    <m/>
    <n v="0"/>
    <n v="12"/>
    <s v="Validation"/>
    <n v="0"/>
    <x v="0"/>
    <n v="0"/>
  </r>
  <r>
    <x v="226"/>
    <d v="2023-05-01T00:00:00"/>
    <n v="19592"/>
    <n v="19108"/>
    <n v="1.51"/>
    <n v="0.56000000000000005"/>
    <n v="1.06"/>
    <n v="669"/>
    <x v="0"/>
    <m/>
    <n v="0"/>
    <n v="18"/>
    <s v="Development"/>
    <n v="0"/>
    <x v="0"/>
    <n v="0"/>
  </r>
  <r>
    <x v="227"/>
    <d v="2024-08-01T00:00:00"/>
    <n v="200998"/>
    <n v="34946"/>
    <n v="1.3"/>
    <n v="0.23"/>
    <n v="1.51"/>
    <n v="623"/>
    <x v="0"/>
    <m/>
    <n v="0"/>
    <n v="18"/>
    <s v="Validation"/>
    <n v="0"/>
    <x v="0"/>
    <n v="0"/>
  </r>
  <r>
    <x v="228"/>
    <d v="2023-02-01T00:00:00"/>
    <n v="50044"/>
    <n v="12134"/>
    <n v="1.66"/>
    <n v="0.97"/>
    <n v="0.53"/>
    <n v="711"/>
    <x v="1"/>
    <n v="10326"/>
    <n v="1"/>
    <n v="6"/>
    <s v="Development"/>
    <n v="0.15"/>
    <x v="1"/>
    <n v="0"/>
  </r>
  <r>
    <x v="229"/>
    <d v="2023-06-01T00:00:00"/>
    <n v="40951"/>
    <n v="26030"/>
    <n v="1.1299999999999999"/>
    <n v="3.78"/>
    <n v="2.0499999999999998"/>
    <n v="662"/>
    <x v="1"/>
    <n v="48491"/>
    <n v="1"/>
    <n v="12"/>
    <s v="Development"/>
    <n v="0.35"/>
    <x v="1"/>
    <n v="0"/>
  </r>
  <r>
    <x v="230"/>
    <d v="2024-10-01T00:00:00"/>
    <n v="20787"/>
    <n v="41299"/>
    <n v="0.93"/>
    <n v="1.1000000000000001"/>
    <n v="0.98"/>
    <n v="651"/>
    <x v="0"/>
    <m/>
    <n v="0"/>
    <n v="12"/>
    <s v="Validation"/>
    <n v="0.3"/>
    <x v="0"/>
    <n v="0"/>
  </r>
  <r>
    <x v="231"/>
    <d v="2023-11-01T00:00:00"/>
    <n v="57251"/>
    <n v="33538"/>
    <n v="1.89"/>
    <n v="0.89"/>
    <n v="1.75"/>
    <n v="727"/>
    <x v="0"/>
    <m/>
    <n v="0"/>
    <n v="18"/>
    <s v="Development"/>
    <n v="0"/>
    <x v="0"/>
    <n v="0"/>
  </r>
  <r>
    <x v="232"/>
    <d v="2024-04-01T00:00:00"/>
    <n v="24980"/>
    <n v="42107"/>
    <n v="1.9"/>
    <n v="1.1299999999999999"/>
    <n v="0.65"/>
    <n v="682"/>
    <x v="0"/>
    <m/>
    <n v="0"/>
    <n v="12"/>
    <s v="Validation"/>
    <n v="0.15"/>
    <x v="0"/>
    <n v="0"/>
  </r>
  <r>
    <x v="233"/>
    <d v="2024-04-01T00:00:00"/>
    <n v="39313"/>
    <n v="22460"/>
    <n v="1.1100000000000001"/>
    <n v="0.9"/>
    <n v="1.72"/>
    <n v="708"/>
    <x v="0"/>
    <m/>
    <n v="0"/>
    <n v="18"/>
    <s v="Validation"/>
    <n v="0"/>
    <x v="0"/>
    <n v="0"/>
  </r>
  <r>
    <x v="234"/>
    <d v="2023-01-01T00:00:00"/>
    <n v="191771"/>
    <n v="14084"/>
    <n v="2.04"/>
    <n v="0.51"/>
    <n v="1.72"/>
    <n v="626"/>
    <x v="0"/>
    <m/>
    <n v="0"/>
    <n v="18"/>
    <s v="Development"/>
    <n v="0"/>
    <x v="0"/>
    <n v="0"/>
  </r>
  <r>
    <x v="235"/>
    <d v="2023-09-01T00:00:00"/>
    <n v="34117"/>
    <n v="4353"/>
    <n v="1.2"/>
    <n v="1.61"/>
    <n v="1.56"/>
    <n v="603"/>
    <x v="0"/>
    <m/>
    <n v="0"/>
    <n v="12"/>
    <s v="Development"/>
    <n v="0"/>
    <x v="0"/>
    <n v="0"/>
  </r>
  <r>
    <x v="236"/>
    <d v="2023-06-01T00:00:00"/>
    <n v="76652"/>
    <n v="11246"/>
    <n v="1.69"/>
    <n v="1.06"/>
    <n v="0.8"/>
    <m/>
    <x v="0"/>
    <m/>
    <n v="0"/>
    <n v="6"/>
    <s v="Development"/>
    <n v="0"/>
    <x v="0"/>
    <n v="0"/>
  </r>
  <r>
    <x v="237"/>
    <d v="2024-04-01T00:00:00"/>
    <n v="22993"/>
    <n v="7404"/>
    <m/>
    <n v="0.92"/>
    <n v="1.49"/>
    <n v="662"/>
    <x v="0"/>
    <m/>
    <n v="0"/>
    <n v="12"/>
    <s v="Validation"/>
    <n v="0"/>
    <x v="0"/>
    <n v="0"/>
  </r>
  <r>
    <x v="238"/>
    <d v="2023-03-01T00:00:00"/>
    <n v="35499"/>
    <n v="61063"/>
    <n v="1.53"/>
    <n v="0.46"/>
    <n v="0.7"/>
    <n v="714"/>
    <x v="0"/>
    <m/>
    <n v="0"/>
    <n v="12"/>
    <s v="Development"/>
    <n v="0.15"/>
    <x v="0"/>
    <n v="0"/>
  </r>
  <r>
    <x v="239"/>
    <d v="2024-08-01T00:00:00"/>
    <n v="114808"/>
    <n v="11812"/>
    <n v="1.8"/>
    <n v="2.25"/>
    <n v="1.21"/>
    <n v="676"/>
    <x v="0"/>
    <m/>
    <n v="0"/>
    <n v="12"/>
    <s v="Validation"/>
    <n v="0.35"/>
    <x v="0"/>
    <n v="0"/>
  </r>
  <r>
    <x v="240"/>
    <d v="2023-04-01T00:00:00"/>
    <n v="24160"/>
    <n v="14563"/>
    <n v="1.27"/>
    <n v="1.44"/>
    <n v="1.92"/>
    <n v="691"/>
    <x v="0"/>
    <m/>
    <n v="0"/>
    <n v="12"/>
    <s v="Development"/>
    <n v="0"/>
    <x v="0"/>
    <n v="0"/>
  </r>
  <r>
    <x v="241"/>
    <d v="2024-07-01T00:00:00"/>
    <n v="117959"/>
    <n v="19654"/>
    <m/>
    <n v="0.61"/>
    <n v="1.79"/>
    <n v="591"/>
    <x v="0"/>
    <m/>
    <n v="0"/>
    <n v="12"/>
    <s v="Validation"/>
    <n v="0.2"/>
    <x v="0"/>
    <n v="0"/>
  </r>
  <r>
    <x v="242"/>
    <d v="2023-03-01T00:00:00"/>
    <n v="57529"/>
    <n v="13774"/>
    <n v="1.44"/>
    <n v="1.82"/>
    <n v="1.36"/>
    <n v="784"/>
    <x v="1"/>
    <n v="38028"/>
    <n v="1"/>
    <n v="12"/>
    <s v="Development"/>
    <n v="0"/>
    <x v="1"/>
    <n v="0"/>
  </r>
  <r>
    <x v="243"/>
    <d v="2024-07-01T00:00:00"/>
    <n v="25195"/>
    <n v="43763"/>
    <n v="1.1399999999999999"/>
    <n v="0.64"/>
    <n v="0.81"/>
    <n v="671"/>
    <x v="0"/>
    <m/>
    <n v="0"/>
    <n v="6"/>
    <s v="Validation"/>
    <n v="0"/>
    <x v="0"/>
    <n v="0"/>
  </r>
  <r>
    <x v="244"/>
    <d v="2024-08-01T00:00:00"/>
    <n v="54779"/>
    <n v="8640"/>
    <n v="1.45"/>
    <n v="0.52"/>
    <n v="1.71"/>
    <n v="718"/>
    <x v="0"/>
    <m/>
    <n v="0"/>
    <n v="18"/>
    <s v="Validation"/>
    <n v="0"/>
    <x v="0"/>
    <n v="0"/>
  </r>
  <r>
    <x v="245"/>
    <d v="2023-07-01T00:00:00"/>
    <n v="68334"/>
    <n v="15309"/>
    <n v="0.7"/>
    <n v="0.53"/>
    <n v="1.36"/>
    <n v="634"/>
    <x v="0"/>
    <m/>
    <n v="0"/>
    <n v="6"/>
    <s v="Development"/>
    <n v="0.3"/>
    <x v="0"/>
    <n v="0"/>
  </r>
  <r>
    <x v="246"/>
    <d v="2024-08-01T00:00:00"/>
    <n v="54403"/>
    <n v="7945"/>
    <n v="1.28"/>
    <n v="0.26"/>
    <n v="0.1"/>
    <n v="697"/>
    <x v="0"/>
    <m/>
    <n v="0"/>
    <n v="12"/>
    <s v="Validation"/>
    <n v="0.15"/>
    <x v="0"/>
    <n v="0"/>
  </r>
  <r>
    <x v="247"/>
    <d v="2023-09-01T00:00:00"/>
    <n v="13087"/>
    <n v="5303"/>
    <m/>
    <n v="1.26"/>
    <n v="1.78"/>
    <n v="608"/>
    <x v="0"/>
    <m/>
    <n v="0"/>
    <n v="18"/>
    <s v="Development"/>
    <n v="0"/>
    <x v="0"/>
    <n v="0"/>
  </r>
  <r>
    <x v="248"/>
    <d v="2023-01-01T00:00:00"/>
    <n v="22637"/>
    <n v="8706"/>
    <n v="1.41"/>
    <n v="0.25"/>
    <n v="1.34"/>
    <n v="705"/>
    <x v="0"/>
    <m/>
    <n v="0"/>
    <n v="12"/>
    <s v="Development"/>
    <n v="0"/>
    <x v="0"/>
    <n v="0"/>
  </r>
  <r>
    <x v="249"/>
    <d v="2023-08-01T00:00:00"/>
    <n v="30919"/>
    <n v="13018"/>
    <n v="1.42"/>
    <n v="0.38"/>
    <n v="2.0099999999999998"/>
    <n v="660"/>
    <x v="1"/>
    <n v="44234"/>
    <n v="1"/>
    <n v="6"/>
    <s v="Development"/>
    <n v="0"/>
    <x v="1"/>
    <n v="0"/>
  </r>
  <r>
    <x v="250"/>
    <d v="2023-07-01T00:00:00"/>
    <n v="34600"/>
    <n v="9892"/>
    <n v="1.52"/>
    <n v="0.21"/>
    <n v="0.75"/>
    <n v="682"/>
    <x v="0"/>
    <m/>
    <n v="0"/>
    <n v="6"/>
    <s v="Development"/>
    <n v="0.15"/>
    <x v="0"/>
    <n v="0"/>
  </r>
  <r>
    <x v="251"/>
    <d v="2024-06-01T00:00:00"/>
    <n v="54363"/>
    <n v="8228"/>
    <n v="1.81"/>
    <n v="0.85"/>
    <n v="0.1"/>
    <n v="718"/>
    <x v="0"/>
    <m/>
    <n v="0"/>
    <n v="6"/>
    <s v="Validation"/>
    <n v="0.15"/>
    <x v="0"/>
    <n v="0"/>
  </r>
  <r>
    <x v="252"/>
    <d v="2023-08-01T00:00:00"/>
    <n v="40762"/>
    <n v="4992"/>
    <n v="2.0299999999999998"/>
    <n v="0.81"/>
    <n v="1.5"/>
    <n v="612"/>
    <x v="0"/>
    <m/>
    <n v="0"/>
    <n v="18"/>
    <s v="Development"/>
    <n v="0"/>
    <x v="0"/>
    <n v="0"/>
  </r>
  <r>
    <x v="253"/>
    <d v="2023-01-01T00:00:00"/>
    <n v="15245"/>
    <n v="12605"/>
    <n v="1.19"/>
    <n v="0.72"/>
    <n v="1.51"/>
    <n v="642"/>
    <x v="0"/>
    <m/>
    <n v="0"/>
    <n v="12"/>
    <s v="Development"/>
    <n v="0"/>
    <x v="0"/>
    <n v="0"/>
  </r>
  <r>
    <x v="254"/>
    <d v="2023-11-01T00:00:00"/>
    <n v="46496"/>
    <n v="4660"/>
    <n v="0.89"/>
    <n v="0.44"/>
    <n v="0.42"/>
    <m/>
    <x v="1"/>
    <m/>
    <n v="0"/>
    <n v="12"/>
    <s v="Development"/>
    <n v="0.45"/>
    <x v="0"/>
    <n v="1"/>
  </r>
  <r>
    <x v="255"/>
    <d v="2024-06-01T00:00:00"/>
    <n v="54008"/>
    <n v="22744"/>
    <n v="0.98"/>
    <n v="0.4"/>
    <n v="0.81"/>
    <n v="795"/>
    <x v="0"/>
    <m/>
    <n v="0"/>
    <n v="12"/>
    <s v="Validation"/>
    <n v="0.3"/>
    <x v="0"/>
    <n v="0"/>
  </r>
  <r>
    <x v="256"/>
    <d v="2024-11-01T00:00:00"/>
    <n v="52254"/>
    <n v="14153"/>
    <n v="1.28"/>
    <n v="1.25"/>
    <n v="2.87"/>
    <n v="672"/>
    <x v="0"/>
    <m/>
    <n v="0"/>
    <n v="18"/>
    <s v="Validation"/>
    <n v="0"/>
    <x v="0"/>
    <n v="0"/>
  </r>
  <r>
    <x v="257"/>
    <d v="2023-10-01T00:00:00"/>
    <n v="73314"/>
    <n v="4816"/>
    <n v="1.36"/>
    <n v="0.62"/>
    <n v="1.18"/>
    <n v="713"/>
    <x v="0"/>
    <m/>
    <n v="0"/>
    <n v="12"/>
    <s v="Development"/>
    <n v="0"/>
    <x v="0"/>
    <n v="0"/>
  </r>
  <r>
    <x v="258"/>
    <d v="2023-03-01T00:00:00"/>
    <n v="62445"/>
    <n v="10760"/>
    <n v="1.1299999999999999"/>
    <n v="1.1299999999999999"/>
    <n v="1.75"/>
    <n v="674"/>
    <x v="0"/>
    <m/>
    <n v="0"/>
    <n v="12"/>
    <s v="Development"/>
    <n v="0"/>
    <x v="0"/>
    <n v="0"/>
  </r>
  <r>
    <x v="259"/>
    <d v="2023-07-01T00:00:00"/>
    <n v="48946"/>
    <n v="7891"/>
    <n v="0.84"/>
    <n v="0.49"/>
    <n v="0.99"/>
    <n v="787"/>
    <x v="0"/>
    <m/>
    <n v="0"/>
    <n v="18"/>
    <s v="Development"/>
    <n v="0.3"/>
    <x v="0"/>
    <n v="0"/>
  </r>
  <r>
    <x v="260"/>
    <d v="2024-04-01T00:00:00"/>
    <n v="34696"/>
    <n v="16704"/>
    <n v="1.3"/>
    <n v="1.03"/>
    <n v="0.2"/>
    <n v="584"/>
    <x v="0"/>
    <m/>
    <n v="0"/>
    <n v="18"/>
    <s v="Validation"/>
    <n v="0.35"/>
    <x v="0"/>
    <n v="0"/>
  </r>
  <r>
    <x v="261"/>
    <d v="2024-04-01T00:00:00"/>
    <n v="12337"/>
    <n v="34143"/>
    <n v="1.65"/>
    <n v="2.25"/>
    <n v="1.26"/>
    <n v="685"/>
    <x v="0"/>
    <m/>
    <n v="0"/>
    <n v="12"/>
    <s v="Validation"/>
    <n v="0.35"/>
    <x v="0"/>
    <n v="0"/>
  </r>
  <r>
    <x v="262"/>
    <d v="2024-08-01T00:00:00"/>
    <n v="48014"/>
    <n v="3595"/>
    <n v="1.88"/>
    <n v="1.36"/>
    <n v="1.2"/>
    <n v="591"/>
    <x v="1"/>
    <n v="17622"/>
    <n v="1"/>
    <n v="18"/>
    <s v="Validation"/>
    <n v="0.2"/>
    <x v="1"/>
    <n v="0"/>
  </r>
  <r>
    <x v="263"/>
    <d v="2024-05-01T00:00:00"/>
    <n v="41564"/>
    <n v="14480"/>
    <n v="1.24"/>
    <n v="0.68"/>
    <n v="1.1299999999999999"/>
    <n v="542"/>
    <x v="1"/>
    <m/>
    <n v="0"/>
    <n v="18"/>
    <s v="Validation"/>
    <n v="0.2"/>
    <x v="0"/>
    <n v="1"/>
  </r>
  <r>
    <x v="264"/>
    <d v="2023-02-01T00:00:00"/>
    <n v="43327"/>
    <n v="11943"/>
    <n v="1.32"/>
    <n v="1.08"/>
    <n v="1.29"/>
    <n v="696"/>
    <x v="0"/>
    <m/>
    <n v="0"/>
    <n v="12"/>
    <s v="Development"/>
    <n v="0"/>
    <x v="0"/>
    <n v="0"/>
  </r>
  <r>
    <x v="265"/>
    <d v="2023-01-01T00:00:00"/>
    <n v="15837"/>
    <n v="21374"/>
    <n v="1.04"/>
    <n v="0.76"/>
    <n v="1.5"/>
    <n v="688"/>
    <x v="0"/>
    <m/>
    <n v="0"/>
    <n v="6"/>
    <s v="Development"/>
    <n v="0"/>
    <x v="0"/>
    <n v="0"/>
  </r>
  <r>
    <x v="266"/>
    <d v="2024-04-01T00:00:00"/>
    <n v="17985"/>
    <n v="15510"/>
    <n v="1.53"/>
    <n v="0.91"/>
    <n v="1.27"/>
    <n v="664"/>
    <x v="0"/>
    <m/>
    <n v="0"/>
    <n v="12"/>
    <s v="Validation"/>
    <n v="0"/>
    <x v="0"/>
    <n v="0"/>
  </r>
  <r>
    <x v="267"/>
    <d v="2023-12-01T00:00:00"/>
    <n v="72009"/>
    <n v="7892"/>
    <n v="1.08"/>
    <n v="0.72"/>
    <n v="0.65"/>
    <n v="674"/>
    <x v="0"/>
    <m/>
    <n v="0"/>
    <n v="12"/>
    <s v="Development"/>
    <n v="0.15"/>
    <x v="0"/>
    <n v="0"/>
  </r>
  <r>
    <x v="268"/>
    <d v="2023-05-01T00:00:00"/>
    <n v="35394"/>
    <n v="10686"/>
    <n v="1.87"/>
    <n v="0.81"/>
    <n v="1.62"/>
    <n v="850"/>
    <x v="0"/>
    <m/>
    <n v="0"/>
    <n v="12"/>
    <s v="Development"/>
    <n v="0"/>
    <x v="0"/>
    <n v="0"/>
  </r>
  <r>
    <x v="269"/>
    <d v="2023-05-01T00:00:00"/>
    <n v="56555"/>
    <n v="7652"/>
    <n v="0.56999999999999995"/>
    <n v="1.05"/>
    <n v="0.28000000000000003"/>
    <n v="666"/>
    <x v="0"/>
    <m/>
    <n v="0"/>
    <n v="6"/>
    <s v="Development"/>
    <n v="0.45"/>
    <x v="0"/>
    <n v="0"/>
  </r>
  <r>
    <x v="270"/>
    <d v="2024-11-01T00:00:00"/>
    <n v="36990"/>
    <n v="28373"/>
    <n v="1.35"/>
    <n v="0.45"/>
    <n v="0.22"/>
    <n v="708"/>
    <x v="0"/>
    <m/>
    <n v="0"/>
    <n v="6"/>
    <s v="Validation"/>
    <n v="0.15"/>
    <x v="0"/>
    <n v="0"/>
  </r>
  <r>
    <x v="271"/>
    <d v="2023-09-01T00:00:00"/>
    <n v="37025"/>
    <n v="13561"/>
    <n v="1.72"/>
    <n v="0.44"/>
    <n v="1.76"/>
    <n v="644"/>
    <x v="0"/>
    <m/>
    <n v="0"/>
    <n v="18"/>
    <s v="Development"/>
    <n v="0"/>
    <x v="0"/>
    <n v="0"/>
  </r>
  <r>
    <x v="272"/>
    <d v="2023-09-01T00:00:00"/>
    <n v="66828"/>
    <n v="50556"/>
    <m/>
    <n v="0.34"/>
    <n v="1.63"/>
    <n v="696"/>
    <x v="0"/>
    <m/>
    <n v="0"/>
    <n v="12"/>
    <s v="Development"/>
    <n v="0"/>
    <x v="0"/>
    <n v="0"/>
  </r>
  <r>
    <x v="273"/>
    <d v="2023-03-01T00:00:00"/>
    <n v="25967"/>
    <n v="12804"/>
    <n v="3.03"/>
    <n v="0.3"/>
    <n v="1.32"/>
    <n v="667"/>
    <x v="1"/>
    <n v="49938"/>
    <n v="1"/>
    <n v="6"/>
    <s v="Development"/>
    <n v="0"/>
    <x v="1"/>
    <n v="0"/>
  </r>
  <r>
    <x v="274"/>
    <d v="2024-07-01T00:00:00"/>
    <n v="38657"/>
    <n v="8136"/>
    <n v="1.74"/>
    <n v="0.39"/>
    <n v="0.57999999999999996"/>
    <n v="657"/>
    <x v="0"/>
    <m/>
    <n v="0"/>
    <n v="12"/>
    <s v="Validation"/>
    <n v="0.15"/>
    <x v="0"/>
    <n v="0"/>
  </r>
  <r>
    <x v="275"/>
    <d v="2024-04-01T00:00:00"/>
    <n v="26890"/>
    <n v="4630"/>
    <n v="1"/>
    <n v="1.01"/>
    <n v="0.96"/>
    <n v="780"/>
    <x v="1"/>
    <n v="14940"/>
    <n v="1"/>
    <n v="6"/>
    <s v="Validation"/>
    <n v="0"/>
    <x v="1"/>
    <n v="0"/>
  </r>
  <r>
    <x v="276"/>
    <d v="2024-04-01T00:00:00"/>
    <n v="27380"/>
    <n v="3781"/>
    <n v="1.5"/>
    <n v="0.48"/>
    <n v="1.21"/>
    <n v="745"/>
    <x v="0"/>
    <m/>
    <n v="0"/>
    <n v="12"/>
    <s v="Validation"/>
    <n v="0"/>
    <x v="0"/>
    <n v="0"/>
  </r>
  <r>
    <x v="277"/>
    <d v="2023-03-01T00:00:00"/>
    <n v="29704"/>
    <n v="4408"/>
    <n v="0.56999999999999995"/>
    <n v="1.3"/>
    <n v="0.47"/>
    <n v="688"/>
    <x v="0"/>
    <m/>
    <n v="0"/>
    <n v="6"/>
    <s v="Development"/>
    <n v="0.45"/>
    <x v="0"/>
    <n v="0"/>
  </r>
  <r>
    <x v="278"/>
    <d v="2024-08-01T00:00:00"/>
    <n v="41956"/>
    <n v="16107"/>
    <n v="1.51"/>
    <n v="0.93"/>
    <n v="0.94"/>
    <n v="553"/>
    <x v="1"/>
    <n v="31482"/>
    <n v="1"/>
    <n v="12"/>
    <s v="Validation"/>
    <n v="0.2"/>
    <x v="1"/>
    <n v="0"/>
  </r>
  <r>
    <x v="279"/>
    <d v="2024-12-01T00:00:00"/>
    <n v="26604"/>
    <n v="19074"/>
    <n v="1.0900000000000001"/>
    <n v="0.23"/>
    <n v="1.71"/>
    <n v="660"/>
    <x v="1"/>
    <n v="39757"/>
    <n v="1"/>
    <n v="18"/>
    <s v="Validation"/>
    <n v="0"/>
    <x v="1"/>
    <n v="0"/>
  </r>
  <r>
    <x v="280"/>
    <d v="2024-10-01T00:00:00"/>
    <n v="82145"/>
    <n v="4417"/>
    <n v="2.0499999999999998"/>
    <n v="1.43"/>
    <n v="2.14"/>
    <n v="829"/>
    <x v="0"/>
    <m/>
    <n v="0"/>
    <n v="12"/>
    <s v="Validation"/>
    <n v="0"/>
    <x v="0"/>
    <n v="0"/>
  </r>
  <r>
    <x v="281"/>
    <d v="2024-12-01T00:00:00"/>
    <n v="20303"/>
    <n v="24997"/>
    <n v="1.25"/>
    <n v="1.6"/>
    <n v="1.1200000000000001"/>
    <n v="667"/>
    <x v="0"/>
    <m/>
    <n v="0"/>
    <n v="12"/>
    <s v="Validation"/>
    <n v="0"/>
    <x v="0"/>
    <n v="0"/>
  </r>
  <r>
    <x v="282"/>
    <d v="2023-01-01T00:00:00"/>
    <n v="32162"/>
    <n v="9527"/>
    <n v="1.49"/>
    <n v="0.45"/>
    <n v="1.77"/>
    <n v="741"/>
    <x v="0"/>
    <m/>
    <n v="0"/>
    <n v="12"/>
    <s v="Development"/>
    <n v="0"/>
    <x v="0"/>
    <n v="0"/>
  </r>
  <r>
    <x v="283"/>
    <d v="2024-12-01T00:00:00"/>
    <n v="27287"/>
    <n v="14806"/>
    <n v="1.2"/>
    <n v="1.21"/>
    <n v="0.3"/>
    <n v="759"/>
    <x v="0"/>
    <m/>
    <n v="0"/>
    <n v="12"/>
    <s v="Validation"/>
    <n v="0.15"/>
    <x v="0"/>
    <n v="0"/>
  </r>
  <r>
    <x v="284"/>
    <d v="2024-08-01T00:00:00"/>
    <n v="93017"/>
    <n v="41297"/>
    <m/>
    <n v="0.5"/>
    <n v="1.71"/>
    <n v="692"/>
    <x v="0"/>
    <m/>
    <n v="0"/>
    <n v="12"/>
    <s v="Validation"/>
    <n v="0"/>
    <x v="0"/>
    <n v="0"/>
  </r>
  <r>
    <x v="285"/>
    <d v="2023-11-01T00:00:00"/>
    <n v="41265"/>
    <n v="25029"/>
    <n v="1.37"/>
    <n v="0.97"/>
    <n v="0.91"/>
    <n v="634"/>
    <x v="0"/>
    <m/>
    <n v="0"/>
    <n v="12"/>
    <s v="Development"/>
    <n v="0"/>
    <x v="0"/>
    <n v="0"/>
  </r>
  <r>
    <x v="286"/>
    <d v="2024-05-01T00:00:00"/>
    <n v="71019"/>
    <n v="11070"/>
    <n v="2.56"/>
    <n v="0.37"/>
    <n v="1.52"/>
    <n v="546"/>
    <x v="0"/>
    <m/>
    <n v="0"/>
    <n v="6"/>
    <s v="Validation"/>
    <n v="0.2"/>
    <x v="0"/>
    <n v="0"/>
  </r>
  <r>
    <x v="287"/>
    <d v="2023-08-01T00:00:00"/>
    <n v="13827"/>
    <n v="7159"/>
    <n v="2"/>
    <n v="0.26"/>
    <n v="1.21"/>
    <n v="718"/>
    <x v="0"/>
    <m/>
    <n v="0"/>
    <n v="12"/>
    <s v="Development"/>
    <n v="0"/>
    <x v="0"/>
    <n v="0"/>
  </r>
  <r>
    <x v="288"/>
    <d v="2023-04-01T00:00:00"/>
    <n v="43199"/>
    <n v="2962"/>
    <n v="1.82"/>
    <n v="0.69"/>
    <n v="2.08"/>
    <n v="635"/>
    <x v="0"/>
    <m/>
    <n v="0"/>
    <n v="12"/>
    <s v="Development"/>
    <n v="0"/>
    <x v="0"/>
    <n v="0"/>
  </r>
  <r>
    <x v="289"/>
    <d v="2023-06-01T00:00:00"/>
    <n v="64748"/>
    <n v="8076"/>
    <n v="1.75"/>
    <n v="0.83"/>
    <n v="0.87"/>
    <n v="690"/>
    <x v="0"/>
    <m/>
    <n v="0"/>
    <n v="18"/>
    <s v="Development"/>
    <n v="0"/>
    <x v="0"/>
    <n v="0"/>
  </r>
  <r>
    <x v="290"/>
    <d v="2023-08-01T00:00:00"/>
    <n v="38311"/>
    <n v="11524"/>
    <n v="1.77"/>
    <n v="0.68"/>
    <n v="1.7"/>
    <m/>
    <x v="0"/>
    <m/>
    <n v="0"/>
    <n v="12"/>
    <s v="Development"/>
    <n v="0"/>
    <x v="0"/>
    <n v="0"/>
  </r>
  <r>
    <x v="291"/>
    <d v="2024-08-01T00:00:00"/>
    <n v="72589"/>
    <n v="6694"/>
    <n v="0.49"/>
    <n v="0.4"/>
    <n v="1.2"/>
    <n v="665"/>
    <x v="0"/>
    <m/>
    <n v="0"/>
    <n v="12"/>
    <s v="Validation"/>
    <n v="0.3"/>
    <x v="0"/>
    <n v="0"/>
  </r>
  <r>
    <x v="292"/>
    <d v="2023-03-01T00:00:00"/>
    <n v="25946"/>
    <n v="12187"/>
    <n v="1.4"/>
    <n v="0.68"/>
    <n v="1.26"/>
    <n v="682"/>
    <x v="0"/>
    <m/>
    <n v="0"/>
    <n v="6"/>
    <s v="Development"/>
    <n v="0"/>
    <x v="0"/>
    <n v="0"/>
  </r>
  <r>
    <x v="293"/>
    <d v="2024-04-01T00:00:00"/>
    <n v="90769"/>
    <n v="14098"/>
    <n v="2.0099999999999998"/>
    <n v="1.0900000000000001"/>
    <n v="1.25"/>
    <n v="695"/>
    <x v="0"/>
    <m/>
    <n v="0"/>
    <n v="6"/>
    <s v="Validation"/>
    <n v="0"/>
    <x v="0"/>
    <n v="0"/>
  </r>
  <r>
    <x v="294"/>
    <d v="2023-03-01T00:00:00"/>
    <n v="161827"/>
    <n v="11414"/>
    <n v="1.52"/>
    <n v="0.88"/>
    <n v="0.88"/>
    <n v="619"/>
    <x v="1"/>
    <n v="26705"/>
    <n v="1"/>
    <n v="18"/>
    <s v="Development"/>
    <n v="0"/>
    <x v="1"/>
    <n v="0"/>
  </r>
  <r>
    <x v="295"/>
    <d v="2024-06-01T00:00:00"/>
    <n v="28686"/>
    <n v="8476"/>
    <n v="0.78"/>
    <n v="1.03"/>
    <n v="1.34"/>
    <n v="746"/>
    <x v="0"/>
    <m/>
    <n v="0"/>
    <n v="18"/>
    <s v="Validation"/>
    <n v="0.3"/>
    <x v="0"/>
    <n v="0"/>
  </r>
  <r>
    <x v="296"/>
    <d v="2024-02-01T00:00:00"/>
    <n v="27185"/>
    <n v="15034"/>
    <n v="1.52"/>
    <n v="0.56999999999999995"/>
    <n v="1.32"/>
    <n v="647"/>
    <x v="0"/>
    <m/>
    <n v="0"/>
    <n v="12"/>
    <s v="Validation"/>
    <n v="0"/>
    <x v="0"/>
    <n v="0"/>
  </r>
  <r>
    <x v="297"/>
    <d v="2024-06-01T00:00:00"/>
    <n v="93405"/>
    <n v="18203"/>
    <n v="2.4900000000000002"/>
    <n v="2.0499999999999998"/>
    <n v="1.48"/>
    <n v="588"/>
    <x v="0"/>
    <m/>
    <n v="0"/>
    <n v="18"/>
    <s v="Validation"/>
    <n v="0.55000000000000004"/>
    <x v="0"/>
    <n v="0"/>
  </r>
  <r>
    <x v="298"/>
    <d v="2023-02-01T00:00:00"/>
    <n v="101389"/>
    <n v="6227"/>
    <n v="2.2400000000000002"/>
    <n v="0.4"/>
    <n v="1.4"/>
    <n v="674"/>
    <x v="0"/>
    <m/>
    <n v="0"/>
    <n v="18"/>
    <s v="Development"/>
    <n v="0"/>
    <x v="0"/>
    <n v="0"/>
  </r>
  <r>
    <x v="299"/>
    <d v="2024-10-01T00:00:00"/>
    <n v="25852"/>
    <n v="35870"/>
    <n v="1.52"/>
    <n v="1.27"/>
    <n v="1.79"/>
    <n v="682"/>
    <x v="0"/>
    <m/>
    <n v="0"/>
    <n v="6"/>
    <s v="Validation"/>
    <n v="0"/>
    <x v="0"/>
    <n v="0"/>
  </r>
  <r>
    <x v="300"/>
    <d v="2023-03-01T00:00:00"/>
    <n v="27636"/>
    <n v="12469"/>
    <n v="2.0699999999999998"/>
    <n v="2.0699999999999998"/>
    <n v="1.86"/>
    <n v="689"/>
    <x v="0"/>
    <m/>
    <n v="0"/>
    <n v="12"/>
    <s v="Development"/>
    <n v="0.35"/>
    <x v="0"/>
    <n v="0"/>
  </r>
  <r>
    <x v="301"/>
    <d v="2024-04-01T00:00:00"/>
    <n v="30238"/>
    <n v="13537"/>
    <n v="1.35"/>
    <n v="1.27"/>
    <n v="0.77"/>
    <n v="755"/>
    <x v="0"/>
    <m/>
    <n v="0"/>
    <n v="18"/>
    <s v="Validation"/>
    <n v="0.15"/>
    <x v="0"/>
    <n v="0"/>
  </r>
  <r>
    <x v="302"/>
    <d v="2023-09-01T00:00:00"/>
    <n v="15155"/>
    <n v="21933"/>
    <n v="0.61"/>
    <n v="0.79"/>
    <n v="1.83"/>
    <n v="667"/>
    <x v="0"/>
    <m/>
    <n v="0"/>
    <n v="12"/>
    <s v="Development"/>
    <n v="0.3"/>
    <x v="0"/>
    <n v="0"/>
  </r>
  <r>
    <x v="303"/>
    <d v="2023-04-01T00:00:00"/>
    <n v="19988"/>
    <n v="15729"/>
    <n v="1.04"/>
    <n v="0.63"/>
    <n v="0.7"/>
    <n v="673"/>
    <x v="0"/>
    <m/>
    <n v="0"/>
    <n v="12"/>
    <s v="Development"/>
    <n v="0.15"/>
    <x v="0"/>
    <n v="0"/>
  </r>
  <r>
    <x v="304"/>
    <d v="2023-01-01T00:00:00"/>
    <n v="18907"/>
    <n v="26035"/>
    <n v="2.41"/>
    <n v="1.87"/>
    <n v="1.67"/>
    <n v="619"/>
    <x v="0"/>
    <m/>
    <n v="0"/>
    <n v="6"/>
    <s v="Development"/>
    <n v="0"/>
    <x v="0"/>
    <n v="0"/>
  </r>
  <r>
    <x v="305"/>
    <d v="2023-04-01T00:00:00"/>
    <n v="22047"/>
    <n v="16334"/>
    <n v="1.4"/>
    <n v="0.33"/>
    <n v="1.69"/>
    <n v="725"/>
    <x v="1"/>
    <n v="32674"/>
    <n v="1"/>
    <n v="6"/>
    <s v="Development"/>
    <n v="0"/>
    <x v="1"/>
    <n v="0"/>
  </r>
  <r>
    <x v="306"/>
    <d v="2023-01-01T00:00:00"/>
    <n v="35506"/>
    <n v="8702"/>
    <n v="1.42"/>
    <n v="0.46"/>
    <n v="0.3"/>
    <n v="690"/>
    <x v="0"/>
    <m/>
    <n v="0"/>
    <n v="6"/>
    <s v="Development"/>
    <n v="0.15"/>
    <x v="0"/>
    <n v="0"/>
  </r>
  <r>
    <x v="307"/>
    <d v="2024-02-01T00:00:00"/>
    <n v="42287"/>
    <n v="17207"/>
    <n v="1.39"/>
    <n v="0.69"/>
    <n v="1.4"/>
    <n v="657"/>
    <x v="0"/>
    <m/>
    <n v="0"/>
    <n v="12"/>
    <s v="Validation"/>
    <n v="0"/>
    <x v="0"/>
    <n v="0"/>
  </r>
  <r>
    <x v="308"/>
    <d v="2024-09-01T00:00:00"/>
    <n v="99491"/>
    <n v="5999"/>
    <n v="2.6"/>
    <n v="2.15"/>
    <n v="1.0900000000000001"/>
    <n v="575"/>
    <x v="0"/>
    <m/>
    <n v="0"/>
    <n v="12"/>
    <s v="Validation"/>
    <n v="0.55000000000000004"/>
    <x v="0"/>
    <n v="0"/>
  </r>
  <r>
    <x v="309"/>
    <d v="2024-04-01T00:00:00"/>
    <n v="18979"/>
    <n v="14415"/>
    <n v="2.44"/>
    <n v="1.18"/>
    <n v="0.93"/>
    <n v="759"/>
    <x v="0"/>
    <m/>
    <n v="0"/>
    <n v="12"/>
    <s v="Validation"/>
    <n v="0"/>
    <x v="0"/>
    <n v="0"/>
  </r>
  <r>
    <x v="310"/>
    <d v="2024-08-01T00:00:00"/>
    <n v="68859"/>
    <n v="13053"/>
    <n v="2.77"/>
    <n v="0.46"/>
    <n v="2.09"/>
    <n v="612"/>
    <x v="0"/>
    <m/>
    <n v="0"/>
    <n v="18"/>
    <s v="Validation"/>
    <n v="0"/>
    <x v="0"/>
    <n v="0"/>
  </r>
  <r>
    <x v="311"/>
    <d v="2024-12-01T00:00:00"/>
    <n v="31600"/>
    <n v="11549"/>
    <n v="1.46"/>
    <n v="0.73"/>
    <n v="0.99"/>
    <n v="647"/>
    <x v="0"/>
    <m/>
    <n v="0"/>
    <n v="12"/>
    <s v="Validation"/>
    <n v="0"/>
    <x v="0"/>
    <n v="0"/>
  </r>
  <r>
    <x v="312"/>
    <d v="2023-08-01T00:00:00"/>
    <n v="35166"/>
    <n v="12210"/>
    <n v="1.71"/>
    <n v="0.59"/>
    <n v="0.91"/>
    <n v="700"/>
    <x v="0"/>
    <m/>
    <n v="0"/>
    <n v="12"/>
    <s v="Development"/>
    <n v="0"/>
    <x v="0"/>
    <n v="0"/>
  </r>
  <r>
    <x v="313"/>
    <d v="2023-07-01T00:00:00"/>
    <n v="56310"/>
    <n v="3579"/>
    <n v="0.72"/>
    <n v="0.55000000000000004"/>
    <n v="1.39"/>
    <n v="614"/>
    <x v="0"/>
    <m/>
    <n v="0"/>
    <n v="6"/>
    <s v="Development"/>
    <n v="0.3"/>
    <x v="0"/>
    <n v="0"/>
  </r>
  <r>
    <x v="314"/>
    <d v="2023-03-01T00:00:00"/>
    <n v="17505"/>
    <n v="9099"/>
    <m/>
    <n v="1.8"/>
    <n v="1.73"/>
    <n v="598"/>
    <x v="0"/>
    <m/>
    <n v="0"/>
    <n v="12"/>
    <s v="Development"/>
    <n v="0.2"/>
    <x v="0"/>
    <n v="0"/>
  </r>
  <r>
    <x v="315"/>
    <d v="2024-05-01T00:00:00"/>
    <n v="46563"/>
    <n v="14257"/>
    <n v="0.91"/>
    <n v="0.35"/>
    <n v="1.27"/>
    <n v="563"/>
    <x v="0"/>
    <m/>
    <n v="0"/>
    <n v="12"/>
    <s v="Validation"/>
    <n v="0.5"/>
    <x v="0"/>
    <n v="0"/>
  </r>
  <r>
    <x v="316"/>
    <d v="2023-01-01T00:00:00"/>
    <m/>
    <n v="14942"/>
    <n v="1.67"/>
    <n v="2.79"/>
    <n v="1.99"/>
    <n v="720"/>
    <x v="0"/>
    <m/>
    <n v="0"/>
    <n v="12"/>
    <s v="Development"/>
    <n v="0.35"/>
    <x v="0"/>
    <n v="0"/>
  </r>
  <r>
    <x v="317"/>
    <d v="2024-04-01T00:00:00"/>
    <n v="50016"/>
    <n v="6507"/>
    <n v="0.95"/>
    <n v="1.62"/>
    <n v="1.64"/>
    <n v="650"/>
    <x v="0"/>
    <m/>
    <n v="0"/>
    <n v="18"/>
    <s v="Validation"/>
    <n v="0.3"/>
    <x v="0"/>
    <n v="0"/>
  </r>
  <r>
    <x v="318"/>
    <d v="2023-12-01T00:00:00"/>
    <n v="43825"/>
    <n v="32403"/>
    <n v="1.23"/>
    <n v="1.94"/>
    <n v="0.15"/>
    <n v="841"/>
    <x v="0"/>
    <m/>
    <n v="0"/>
    <n v="12"/>
    <s v="Development"/>
    <n v="0.15"/>
    <x v="0"/>
    <n v="0"/>
  </r>
  <r>
    <x v="319"/>
    <d v="2024-07-01T00:00:00"/>
    <n v="179144"/>
    <n v="7286"/>
    <n v="1.0900000000000001"/>
    <n v="0.65"/>
    <n v="1.06"/>
    <n v="625"/>
    <x v="0"/>
    <m/>
    <n v="0"/>
    <n v="12"/>
    <s v="Validation"/>
    <n v="0"/>
    <x v="0"/>
    <n v="0"/>
  </r>
  <r>
    <x v="320"/>
    <d v="2024-10-01T00:00:00"/>
    <m/>
    <n v="26334"/>
    <n v="1.22"/>
    <n v="0.81"/>
    <n v="1.04"/>
    <n v="629"/>
    <x v="0"/>
    <m/>
    <n v="0"/>
    <n v="18"/>
    <s v="Validation"/>
    <n v="0"/>
    <x v="0"/>
    <n v="0"/>
  </r>
  <r>
    <x v="321"/>
    <d v="2024-11-01T00:00:00"/>
    <n v="25716"/>
    <n v="18016"/>
    <n v="1.25"/>
    <n v="0.33"/>
    <n v="1.61"/>
    <n v="649"/>
    <x v="0"/>
    <m/>
    <n v="0"/>
    <n v="12"/>
    <s v="Validation"/>
    <n v="0"/>
    <x v="0"/>
    <n v="0"/>
  </r>
  <r>
    <x v="322"/>
    <d v="2024-10-01T00:00:00"/>
    <n v="24221"/>
    <n v="8498"/>
    <n v="1.25"/>
    <n v="0.63"/>
    <n v="0.1"/>
    <n v="693"/>
    <x v="0"/>
    <m/>
    <n v="0"/>
    <n v="6"/>
    <s v="Validation"/>
    <n v="0.15"/>
    <x v="0"/>
    <n v="0"/>
  </r>
  <r>
    <x v="323"/>
    <d v="2024-02-01T00:00:00"/>
    <n v="25310"/>
    <n v="46292"/>
    <n v="2.0099999999999998"/>
    <n v="1.28"/>
    <n v="2.75"/>
    <n v="654"/>
    <x v="1"/>
    <n v="49837"/>
    <n v="1"/>
    <n v="6"/>
    <s v="Validation"/>
    <n v="0"/>
    <x v="1"/>
    <n v="0"/>
  </r>
  <r>
    <x v="324"/>
    <d v="2023-06-01T00:00:00"/>
    <n v="23997"/>
    <n v="5793"/>
    <n v="0.94"/>
    <n v="2.2400000000000002"/>
    <n v="1.64"/>
    <n v="714"/>
    <x v="1"/>
    <n v="18762"/>
    <n v="1"/>
    <n v="12"/>
    <s v="Development"/>
    <n v="0.64999999999999991"/>
    <x v="1"/>
    <n v="0"/>
  </r>
  <r>
    <x v="325"/>
    <d v="2023-06-01T00:00:00"/>
    <n v="78658"/>
    <n v="25423"/>
    <n v="1.67"/>
    <n v="0.42"/>
    <n v="1.43"/>
    <n v="626"/>
    <x v="1"/>
    <m/>
    <n v="0"/>
    <n v="18"/>
    <s v="Development"/>
    <n v="0"/>
    <x v="0"/>
    <n v="1"/>
  </r>
  <r>
    <x v="326"/>
    <d v="2024-01-01T00:00:00"/>
    <n v="91430"/>
    <n v="26914"/>
    <n v="2.2200000000000002"/>
    <n v="0.7"/>
    <n v="2"/>
    <n v="604"/>
    <x v="0"/>
    <m/>
    <n v="0"/>
    <n v="12"/>
    <s v="Validation"/>
    <n v="0"/>
    <x v="0"/>
    <n v="0"/>
  </r>
  <r>
    <x v="327"/>
    <d v="2024-07-01T00:00:00"/>
    <m/>
    <n v="8355"/>
    <n v="1.27"/>
    <n v="0.81"/>
    <n v="2.64"/>
    <n v="581"/>
    <x v="1"/>
    <n v="5873"/>
    <n v="1"/>
    <n v="12"/>
    <s v="Validation"/>
    <n v="0.2"/>
    <x v="1"/>
    <n v="0"/>
  </r>
  <r>
    <x v="328"/>
    <d v="2024-10-01T00:00:00"/>
    <n v="21141"/>
    <n v="35409"/>
    <n v="1.1599999999999999"/>
    <n v="0.34"/>
    <n v="1.83"/>
    <n v="558"/>
    <x v="1"/>
    <n v="34478"/>
    <n v="1"/>
    <n v="12"/>
    <s v="Validation"/>
    <n v="0.2"/>
    <x v="1"/>
    <n v="0"/>
  </r>
  <r>
    <x v="329"/>
    <d v="2023-08-01T00:00:00"/>
    <n v="49337"/>
    <n v="11215"/>
    <m/>
    <n v="1.37"/>
    <n v="1.87"/>
    <n v="652"/>
    <x v="0"/>
    <m/>
    <n v="0"/>
    <n v="12"/>
    <s v="Development"/>
    <n v="0"/>
    <x v="0"/>
    <n v="0"/>
  </r>
  <r>
    <x v="330"/>
    <d v="2023-02-01T00:00:00"/>
    <n v="25363"/>
    <n v="16352"/>
    <n v="2.2000000000000002"/>
    <n v="0.55000000000000004"/>
    <n v="1.42"/>
    <n v="663"/>
    <x v="0"/>
    <m/>
    <n v="0"/>
    <n v="12"/>
    <s v="Development"/>
    <n v="0"/>
    <x v="0"/>
    <n v="0"/>
  </r>
  <r>
    <x v="331"/>
    <d v="2024-09-01T00:00:00"/>
    <n v="54798"/>
    <n v="16030"/>
    <n v="1.66"/>
    <n v="0.79"/>
    <n v="1.27"/>
    <n v="645"/>
    <x v="0"/>
    <m/>
    <n v="0"/>
    <n v="18"/>
    <s v="Validation"/>
    <n v="0"/>
    <x v="0"/>
    <n v="0"/>
  </r>
  <r>
    <x v="332"/>
    <d v="2023-01-01T00:00:00"/>
    <n v="41436"/>
    <n v="12161"/>
    <n v="1.26"/>
    <n v="0.66"/>
    <n v="1.0900000000000001"/>
    <n v="748"/>
    <x v="0"/>
    <n v="3798"/>
    <n v="1"/>
    <n v="18"/>
    <s v="Development"/>
    <n v="0"/>
    <x v="1"/>
    <n v="1"/>
  </r>
  <r>
    <x v="333"/>
    <d v="2024-03-01T00:00:00"/>
    <n v="13558"/>
    <n v="23566"/>
    <n v="1.82"/>
    <n v="0.52"/>
    <n v="0.9"/>
    <n v="748"/>
    <x v="0"/>
    <m/>
    <n v="0"/>
    <n v="12"/>
    <s v="Validation"/>
    <n v="0"/>
    <x v="0"/>
    <n v="0"/>
  </r>
  <r>
    <x v="334"/>
    <d v="2023-01-01T00:00:00"/>
    <n v="99298"/>
    <n v="23282"/>
    <n v="0.94"/>
    <n v="0.9"/>
    <n v="0.97"/>
    <n v="662"/>
    <x v="0"/>
    <m/>
    <n v="0"/>
    <n v="12"/>
    <s v="Development"/>
    <n v="0.3"/>
    <x v="0"/>
    <n v="0"/>
  </r>
  <r>
    <x v="335"/>
    <d v="2023-05-01T00:00:00"/>
    <n v="116695"/>
    <n v="3929"/>
    <n v="1.92"/>
    <n v="0.78"/>
    <n v="0.61"/>
    <n v="581"/>
    <x v="0"/>
    <m/>
    <n v="0"/>
    <n v="12"/>
    <s v="Development"/>
    <n v="0.35"/>
    <x v="0"/>
    <n v="0"/>
  </r>
  <r>
    <x v="336"/>
    <d v="2024-04-01T00:00:00"/>
    <n v="24384"/>
    <n v="33291"/>
    <n v="1.77"/>
    <n v="0.7"/>
    <n v="1.31"/>
    <n v="649"/>
    <x v="1"/>
    <m/>
    <n v="0"/>
    <n v="12"/>
    <s v="Validation"/>
    <n v="0"/>
    <x v="0"/>
    <n v="1"/>
  </r>
  <r>
    <x v="337"/>
    <d v="2024-07-01T00:00:00"/>
    <n v="28226"/>
    <n v="4172"/>
    <n v="1.38"/>
    <n v="0.54"/>
    <n v="0.42"/>
    <n v="647"/>
    <x v="0"/>
    <m/>
    <n v="0"/>
    <n v="12"/>
    <s v="Validation"/>
    <n v="0.15"/>
    <x v="0"/>
    <n v="0"/>
  </r>
  <r>
    <x v="338"/>
    <d v="2023-04-01T00:00:00"/>
    <n v="43731"/>
    <n v="27523"/>
    <n v="1.0900000000000001"/>
    <n v="1.1299999999999999"/>
    <n v="1.46"/>
    <n v="644"/>
    <x v="0"/>
    <m/>
    <n v="0"/>
    <n v="18"/>
    <s v="Development"/>
    <n v="0"/>
    <x v="0"/>
    <n v="0"/>
  </r>
  <r>
    <x v="339"/>
    <d v="2023-03-01T00:00:00"/>
    <n v="45134"/>
    <n v="29398"/>
    <n v="1.06"/>
    <n v="2.88"/>
    <n v="1.33"/>
    <n v="642"/>
    <x v="0"/>
    <m/>
    <n v="0"/>
    <n v="18"/>
    <s v="Development"/>
    <n v="0.35"/>
    <x v="0"/>
    <n v="0"/>
  </r>
  <r>
    <x v="340"/>
    <d v="2024-05-01T00:00:00"/>
    <n v="55718"/>
    <n v="6225"/>
    <n v="1.84"/>
    <n v="1"/>
    <n v="1.43"/>
    <n v="644"/>
    <x v="0"/>
    <m/>
    <n v="0"/>
    <n v="12"/>
    <s v="Validation"/>
    <n v="0"/>
    <x v="0"/>
    <n v="0"/>
  </r>
  <r>
    <x v="341"/>
    <d v="2024-05-01T00:00:00"/>
    <n v="134139"/>
    <n v="10021"/>
    <n v="2.23"/>
    <n v="1.82"/>
    <n v="1.06"/>
    <n v="659"/>
    <x v="0"/>
    <m/>
    <n v="0"/>
    <n v="18"/>
    <s v="Validation"/>
    <n v="0"/>
    <x v="0"/>
    <n v="0"/>
  </r>
  <r>
    <x v="342"/>
    <d v="2023-12-01T00:00:00"/>
    <n v="32370"/>
    <n v="6161"/>
    <n v="1.2"/>
    <n v="0.34"/>
    <n v="3.04"/>
    <n v="645"/>
    <x v="0"/>
    <m/>
    <n v="0"/>
    <n v="18"/>
    <s v="Development"/>
    <n v="0"/>
    <x v="0"/>
    <n v="0"/>
  </r>
  <r>
    <x v="343"/>
    <d v="2024-02-01T00:00:00"/>
    <n v="21614"/>
    <n v="11494"/>
    <n v="1.8"/>
    <n v="1.01"/>
    <n v="2.1"/>
    <n v="691"/>
    <x v="0"/>
    <m/>
    <n v="0"/>
    <n v="12"/>
    <s v="Validation"/>
    <n v="0"/>
    <x v="0"/>
    <n v="0"/>
  </r>
  <r>
    <x v="344"/>
    <d v="2024-09-01T00:00:00"/>
    <n v="14816"/>
    <n v="10768"/>
    <n v="0.4"/>
    <n v="0.42"/>
    <n v="0.67"/>
    <n v="700"/>
    <x v="0"/>
    <m/>
    <n v="0"/>
    <n v="12"/>
    <s v="Validation"/>
    <n v="0.45"/>
    <x v="0"/>
    <n v="0"/>
  </r>
  <r>
    <x v="345"/>
    <d v="2023-06-01T00:00:00"/>
    <n v="22582"/>
    <n v="23058"/>
    <n v="1.23"/>
    <n v="0.32"/>
    <n v="1.48"/>
    <n v="630"/>
    <x v="0"/>
    <m/>
    <n v="0"/>
    <n v="12"/>
    <s v="Development"/>
    <n v="0"/>
    <x v="0"/>
    <n v="0"/>
  </r>
  <r>
    <x v="346"/>
    <d v="2023-03-01T00:00:00"/>
    <n v="35542"/>
    <n v="33430"/>
    <m/>
    <n v="0.54"/>
    <n v="1.02"/>
    <n v="750"/>
    <x v="0"/>
    <m/>
    <n v="0"/>
    <n v="6"/>
    <s v="Development"/>
    <n v="0"/>
    <x v="0"/>
    <n v="0"/>
  </r>
  <r>
    <x v="347"/>
    <d v="2023-09-01T00:00:00"/>
    <n v="116595"/>
    <n v="35489"/>
    <n v="1.05"/>
    <n v="2.08"/>
    <n v="0.79"/>
    <n v="626"/>
    <x v="0"/>
    <m/>
    <n v="0"/>
    <n v="12"/>
    <s v="Development"/>
    <n v="0.5"/>
    <x v="0"/>
    <n v="0"/>
  </r>
  <r>
    <x v="348"/>
    <d v="2023-05-01T00:00:00"/>
    <m/>
    <n v="9014"/>
    <n v="1.03"/>
    <n v="1.76"/>
    <n v="0.61"/>
    <n v="591"/>
    <x v="0"/>
    <m/>
    <n v="0"/>
    <n v="6"/>
    <s v="Development"/>
    <n v="0.35"/>
    <x v="0"/>
    <n v="0"/>
  </r>
  <r>
    <x v="349"/>
    <d v="2024-12-01T00:00:00"/>
    <n v="42002"/>
    <n v="11540"/>
    <n v="1.18"/>
    <n v="1.07"/>
    <n v="1.59"/>
    <n v="701"/>
    <x v="0"/>
    <m/>
    <n v="0"/>
    <n v="12"/>
    <s v="Validation"/>
    <n v="0"/>
    <x v="0"/>
    <n v="0"/>
  </r>
  <r>
    <x v="350"/>
    <d v="2024-05-01T00:00:00"/>
    <n v="35930"/>
    <n v="4112"/>
    <n v="1.71"/>
    <n v="0.31"/>
    <n v="0.98"/>
    <n v="635"/>
    <x v="0"/>
    <m/>
    <n v="0"/>
    <n v="6"/>
    <s v="Validation"/>
    <n v="0"/>
    <x v="0"/>
    <n v="0"/>
  </r>
  <r>
    <x v="351"/>
    <d v="2024-02-01T00:00:00"/>
    <n v="78626"/>
    <n v="7600"/>
    <n v="1.45"/>
    <n v="0.79"/>
    <n v="1.88"/>
    <n v="698"/>
    <x v="0"/>
    <m/>
    <n v="0"/>
    <n v="6"/>
    <s v="Validation"/>
    <n v="0"/>
    <x v="0"/>
    <n v="0"/>
  </r>
  <r>
    <x v="352"/>
    <d v="2024-09-01T00:00:00"/>
    <n v="187682"/>
    <n v="26249"/>
    <n v="0.32"/>
    <n v="1.1200000000000001"/>
    <n v="1.9"/>
    <n v="548"/>
    <x v="0"/>
    <m/>
    <n v="0"/>
    <n v="12"/>
    <s v="Validation"/>
    <n v="0.5"/>
    <x v="0"/>
    <n v="0"/>
  </r>
  <r>
    <x v="353"/>
    <d v="2023-03-01T00:00:00"/>
    <n v="25718"/>
    <n v="41395"/>
    <n v="0.38"/>
    <n v="1.02"/>
    <n v="2.11"/>
    <n v="757"/>
    <x v="1"/>
    <m/>
    <n v="0"/>
    <n v="18"/>
    <s v="Development"/>
    <n v="0.3"/>
    <x v="0"/>
    <n v="1"/>
  </r>
  <r>
    <x v="354"/>
    <d v="2023-01-01T00:00:00"/>
    <n v="26420"/>
    <n v="5631"/>
    <n v="1.22"/>
    <n v="0.25"/>
    <n v="0.88"/>
    <n v="717"/>
    <x v="0"/>
    <m/>
    <n v="0"/>
    <n v="12"/>
    <s v="Development"/>
    <n v="0"/>
    <x v="0"/>
    <n v="0"/>
  </r>
  <r>
    <x v="355"/>
    <d v="2024-08-01T00:00:00"/>
    <n v="71590"/>
    <n v="8824"/>
    <n v="1.8"/>
    <n v="0.49"/>
    <n v="1.61"/>
    <n v="597"/>
    <x v="0"/>
    <m/>
    <n v="0"/>
    <n v="18"/>
    <s v="Validation"/>
    <n v="0.2"/>
    <x v="0"/>
    <n v="0"/>
  </r>
  <r>
    <x v="356"/>
    <d v="2024-09-01T00:00:00"/>
    <n v="56570"/>
    <n v="13115"/>
    <n v="0.2"/>
    <n v="0.87"/>
    <n v="1.7"/>
    <n v="599"/>
    <x v="0"/>
    <m/>
    <n v="0"/>
    <n v="6"/>
    <s v="Validation"/>
    <n v="0.5"/>
    <x v="0"/>
    <n v="0"/>
  </r>
  <r>
    <x v="357"/>
    <d v="2024-11-01T00:00:00"/>
    <n v="120615"/>
    <n v="16254"/>
    <n v="1.28"/>
    <n v="1.32"/>
    <n v="1.0900000000000001"/>
    <n v="772"/>
    <x v="0"/>
    <m/>
    <n v="0"/>
    <n v="12"/>
    <s v="Validation"/>
    <n v="0"/>
    <x v="0"/>
    <n v="0"/>
  </r>
  <r>
    <x v="358"/>
    <d v="2023-01-01T00:00:00"/>
    <n v="53080"/>
    <n v="7580"/>
    <n v="1.26"/>
    <n v="0.19"/>
    <n v="0.93"/>
    <n v="639"/>
    <x v="0"/>
    <m/>
    <n v="0"/>
    <n v="12"/>
    <s v="Development"/>
    <n v="0"/>
    <x v="0"/>
    <n v="0"/>
  </r>
  <r>
    <x v="359"/>
    <d v="2023-03-01T00:00:00"/>
    <n v="28752"/>
    <n v="17977"/>
    <n v="2.31"/>
    <n v="0.81"/>
    <n v="2.2400000000000002"/>
    <n v="634"/>
    <x v="0"/>
    <m/>
    <n v="0"/>
    <n v="12"/>
    <s v="Development"/>
    <n v="0"/>
    <x v="0"/>
    <n v="0"/>
  </r>
  <r>
    <x v="360"/>
    <d v="2024-06-01T00:00:00"/>
    <n v="53312"/>
    <n v="9588"/>
    <n v="1.34"/>
    <n v="1"/>
    <n v="1.48"/>
    <n v="555"/>
    <x v="0"/>
    <m/>
    <n v="0"/>
    <n v="12"/>
    <s v="Validation"/>
    <n v="0.2"/>
    <x v="0"/>
    <n v="0"/>
  </r>
  <r>
    <x v="361"/>
    <d v="2023-10-01T00:00:00"/>
    <n v="74657"/>
    <n v="13225"/>
    <n v="1.76"/>
    <n v="1.64"/>
    <n v="1.7"/>
    <n v="661"/>
    <x v="0"/>
    <m/>
    <n v="0"/>
    <n v="12"/>
    <s v="Development"/>
    <n v="0"/>
    <x v="0"/>
    <n v="0"/>
  </r>
  <r>
    <x v="362"/>
    <d v="2024-10-01T00:00:00"/>
    <n v="61902"/>
    <n v="19583"/>
    <n v="1.63"/>
    <n v="1.47"/>
    <n v="0.9"/>
    <n v="667"/>
    <x v="0"/>
    <m/>
    <n v="0"/>
    <n v="12"/>
    <s v="Validation"/>
    <n v="0"/>
    <x v="0"/>
    <n v="0"/>
  </r>
  <r>
    <x v="363"/>
    <d v="2023-03-01T00:00:00"/>
    <n v="50500"/>
    <n v="13420"/>
    <n v="0.38"/>
    <n v="1.36"/>
    <n v="0.68"/>
    <n v="719"/>
    <x v="1"/>
    <m/>
    <n v="0"/>
    <n v="6"/>
    <s v="Development"/>
    <n v="0.45"/>
    <x v="0"/>
    <n v="1"/>
  </r>
  <r>
    <x v="364"/>
    <d v="2023-08-01T00:00:00"/>
    <n v="72645"/>
    <n v="9843"/>
    <n v="1.97"/>
    <n v="0.52"/>
    <n v="1.04"/>
    <n v="603"/>
    <x v="0"/>
    <m/>
    <n v="0"/>
    <n v="12"/>
    <s v="Development"/>
    <n v="0"/>
    <x v="0"/>
    <n v="0"/>
  </r>
  <r>
    <x v="365"/>
    <d v="2024-02-01T00:00:00"/>
    <n v="77656"/>
    <n v="12373"/>
    <m/>
    <n v="0.24"/>
    <n v="1.28"/>
    <n v="596"/>
    <x v="0"/>
    <m/>
    <n v="0"/>
    <n v="18"/>
    <s v="Validation"/>
    <n v="0.2"/>
    <x v="0"/>
    <n v="0"/>
  </r>
  <r>
    <x v="366"/>
    <d v="2024-12-01T00:00:00"/>
    <n v="89179"/>
    <n v="12558"/>
    <n v="1.83"/>
    <n v="0.69"/>
    <n v="0.76"/>
    <n v="705"/>
    <x v="0"/>
    <m/>
    <n v="0"/>
    <n v="12"/>
    <s v="Validation"/>
    <n v="0.15"/>
    <x v="0"/>
    <n v="0"/>
  </r>
  <r>
    <x v="367"/>
    <d v="2024-06-01T00:00:00"/>
    <n v="55363"/>
    <n v="10311"/>
    <n v="3.71"/>
    <n v="1.82"/>
    <n v="1.34"/>
    <n v="735"/>
    <x v="0"/>
    <m/>
    <n v="0"/>
    <n v="12"/>
    <s v="Validation"/>
    <n v="0"/>
    <x v="0"/>
    <n v="0"/>
  </r>
  <r>
    <x v="368"/>
    <d v="2024-03-01T00:00:00"/>
    <n v="32577"/>
    <n v="11146"/>
    <n v="0.4"/>
    <n v="2.4"/>
    <n v="0.42"/>
    <n v="594"/>
    <x v="0"/>
    <m/>
    <n v="0"/>
    <n v="12"/>
    <s v="Validation"/>
    <n v="0.99999999999999989"/>
    <x v="0"/>
    <n v="0"/>
  </r>
  <r>
    <x v="369"/>
    <d v="2024-10-01T00:00:00"/>
    <n v="39949"/>
    <n v="40907"/>
    <n v="2.5"/>
    <n v="1.49"/>
    <n v="0.73"/>
    <n v="739"/>
    <x v="0"/>
    <m/>
    <n v="0"/>
    <n v="12"/>
    <s v="Validation"/>
    <n v="0.15"/>
    <x v="0"/>
    <n v="0"/>
  </r>
  <r>
    <x v="370"/>
    <d v="2024-11-01T00:00:00"/>
    <n v="79557"/>
    <n v="19784"/>
    <n v="1.39"/>
    <n v="1.22"/>
    <n v="1.72"/>
    <n v="682"/>
    <x v="0"/>
    <m/>
    <n v="0"/>
    <n v="18"/>
    <s v="Validation"/>
    <n v="0"/>
    <x v="0"/>
    <n v="0"/>
  </r>
  <r>
    <x v="371"/>
    <d v="2023-02-01T00:00:00"/>
    <n v="21354"/>
    <n v="10863"/>
    <n v="1.71"/>
    <n v="1.18"/>
    <n v="1.68"/>
    <n v="740"/>
    <x v="1"/>
    <n v="25395"/>
    <n v="1"/>
    <n v="12"/>
    <s v="Development"/>
    <n v="0"/>
    <x v="1"/>
    <n v="0"/>
  </r>
  <r>
    <x v="372"/>
    <d v="2023-10-01T00:00:00"/>
    <n v="46149"/>
    <n v="21761"/>
    <n v="1.52"/>
    <n v="0.61"/>
    <n v="1.1299999999999999"/>
    <n v="676"/>
    <x v="0"/>
    <m/>
    <n v="0"/>
    <n v="12"/>
    <s v="Development"/>
    <n v="0"/>
    <x v="0"/>
    <n v="0"/>
  </r>
  <r>
    <x v="373"/>
    <d v="2023-02-01T00:00:00"/>
    <n v="28123"/>
    <n v="10576"/>
    <n v="1.32"/>
    <n v="0.83"/>
    <n v="0.79"/>
    <n v="541"/>
    <x v="0"/>
    <m/>
    <n v="0"/>
    <n v="6"/>
    <s v="Development"/>
    <n v="0.35"/>
    <x v="0"/>
    <n v="0"/>
  </r>
  <r>
    <x v="374"/>
    <d v="2024-05-01T00:00:00"/>
    <n v="37000"/>
    <n v="30369"/>
    <n v="1.24"/>
    <n v="2.91"/>
    <n v="0.78"/>
    <n v="672"/>
    <x v="0"/>
    <m/>
    <n v="0"/>
    <n v="12"/>
    <s v="Validation"/>
    <n v="0.5"/>
    <x v="0"/>
    <n v="0"/>
  </r>
  <r>
    <x v="375"/>
    <d v="2023-08-01T00:00:00"/>
    <n v="83366"/>
    <n v="17305"/>
    <n v="1.73"/>
    <n v="0.47"/>
    <n v="1.1399999999999999"/>
    <n v="738"/>
    <x v="0"/>
    <m/>
    <n v="0"/>
    <n v="18"/>
    <s v="Development"/>
    <n v="0"/>
    <x v="0"/>
    <n v="0"/>
  </r>
  <r>
    <x v="376"/>
    <d v="2023-01-01T00:00:00"/>
    <n v="41119"/>
    <n v="12393"/>
    <n v="0.72"/>
    <n v="2.8"/>
    <n v="1.7"/>
    <n v="631"/>
    <x v="0"/>
    <m/>
    <n v="0"/>
    <n v="12"/>
    <s v="Development"/>
    <n v="0.64999999999999991"/>
    <x v="0"/>
    <n v="0"/>
  </r>
  <r>
    <x v="377"/>
    <d v="2023-09-01T00:00:00"/>
    <n v="37428"/>
    <n v="18277"/>
    <n v="1.96"/>
    <n v="0.72"/>
    <n v="1.86"/>
    <n v="659"/>
    <x v="0"/>
    <m/>
    <n v="0"/>
    <n v="12"/>
    <s v="Development"/>
    <n v="0"/>
    <x v="0"/>
    <n v="0"/>
  </r>
  <r>
    <x v="378"/>
    <d v="2023-11-01T00:00:00"/>
    <n v="15004"/>
    <n v="4449"/>
    <n v="1.32"/>
    <n v="2.29"/>
    <n v="1.08"/>
    <n v="670"/>
    <x v="1"/>
    <m/>
    <n v="0"/>
    <n v="6"/>
    <s v="Development"/>
    <n v="0.35"/>
    <x v="0"/>
    <n v="1"/>
  </r>
  <r>
    <x v="379"/>
    <d v="2024-10-01T00:00:00"/>
    <n v="58987"/>
    <n v="6071"/>
    <n v="0.93"/>
    <n v="0.34"/>
    <n v="0.72"/>
    <n v="521"/>
    <x v="0"/>
    <m/>
    <n v="0"/>
    <n v="12"/>
    <s v="Validation"/>
    <n v="0.65"/>
    <x v="0"/>
    <n v="0"/>
  </r>
  <r>
    <x v="380"/>
    <d v="2024-04-01T00:00:00"/>
    <n v="55247"/>
    <n v="5792"/>
    <n v="1.3"/>
    <n v="1.36"/>
    <n v="1.5"/>
    <n v="772"/>
    <x v="0"/>
    <m/>
    <n v="0"/>
    <n v="6"/>
    <s v="Validation"/>
    <n v="0"/>
    <x v="0"/>
    <n v="0"/>
  </r>
  <r>
    <x v="381"/>
    <d v="2023-07-01T00:00:00"/>
    <n v="148170"/>
    <n v="14766"/>
    <n v="2.2400000000000002"/>
    <n v="0.54"/>
    <n v="0.9"/>
    <n v="630"/>
    <x v="0"/>
    <m/>
    <n v="0"/>
    <n v="12"/>
    <s v="Development"/>
    <n v="0"/>
    <x v="0"/>
    <n v="0"/>
  </r>
  <r>
    <x v="382"/>
    <d v="2023-10-01T00:00:00"/>
    <n v="29731"/>
    <n v="44925"/>
    <n v="1.26"/>
    <n v="0.34"/>
    <n v="1.06"/>
    <n v="708"/>
    <x v="1"/>
    <n v="12849"/>
    <n v="1"/>
    <n v="6"/>
    <s v="Development"/>
    <n v="0"/>
    <x v="1"/>
    <n v="0"/>
  </r>
  <r>
    <x v="383"/>
    <d v="2024-11-01T00:00:00"/>
    <n v="41875"/>
    <n v="63698"/>
    <n v="1.75"/>
    <n v="1.05"/>
    <n v="2.08"/>
    <n v="675"/>
    <x v="0"/>
    <m/>
    <n v="0"/>
    <n v="12"/>
    <s v="Validation"/>
    <n v="0"/>
    <x v="0"/>
    <n v="0"/>
  </r>
  <r>
    <x v="384"/>
    <d v="2023-03-01T00:00:00"/>
    <n v="42706"/>
    <n v="20882"/>
    <n v="1.1499999999999999"/>
    <n v="1.83"/>
    <n v="1.8"/>
    <n v="749"/>
    <x v="0"/>
    <m/>
    <n v="0"/>
    <n v="12"/>
    <s v="Development"/>
    <n v="0"/>
    <x v="0"/>
    <n v="0"/>
  </r>
  <r>
    <x v="385"/>
    <d v="2024-06-01T00:00:00"/>
    <n v="101250"/>
    <n v="18970"/>
    <n v="1.97"/>
    <n v="0.5"/>
    <n v="1.44"/>
    <n v="702"/>
    <x v="0"/>
    <m/>
    <n v="0"/>
    <n v="12"/>
    <s v="Validation"/>
    <n v="0"/>
    <x v="0"/>
    <n v="0"/>
  </r>
  <r>
    <x v="386"/>
    <d v="2024-12-01T00:00:00"/>
    <n v="34134"/>
    <n v="3787"/>
    <n v="1.93"/>
    <n v="0.32"/>
    <n v="0.65"/>
    <n v="667"/>
    <x v="0"/>
    <m/>
    <n v="0"/>
    <n v="12"/>
    <s v="Validation"/>
    <n v="0.15"/>
    <x v="0"/>
    <n v="0"/>
  </r>
  <r>
    <x v="387"/>
    <d v="2024-01-01T00:00:00"/>
    <n v="43537"/>
    <n v="9137"/>
    <n v="2.57"/>
    <n v="0.85"/>
    <n v="1.47"/>
    <m/>
    <x v="0"/>
    <m/>
    <n v="0"/>
    <n v="12"/>
    <s v="Validation"/>
    <n v="0"/>
    <x v="0"/>
    <n v="0"/>
  </r>
  <r>
    <x v="388"/>
    <d v="2023-07-01T00:00:00"/>
    <n v="53913"/>
    <n v="7697"/>
    <n v="1.45"/>
    <n v="0.85"/>
    <n v="1.93"/>
    <n v="724"/>
    <x v="0"/>
    <m/>
    <n v="0"/>
    <n v="6"/>
    <s v="Development"/>
    <n v="0"/>
    <x v="0"/>
    <n v="0"/>
  </r>
  <r>
    <x v="389"/>
    <d v="2023-04-01T00:00:00"/>
    <n v="40999"/>
    <n v="8651"/>
    <n v="1.92"/>
    <n v="1.33"/>
    <n v="1.1399999999999999"/>
    <n v="577"/>
    <x v="0"/>
    <m/>
    <n v="0"/>
    <n v="12"/>
    <s v="Development"/>
    <n v="0.2"/>
    <x v="0"/>
    <n v="0"/>
  </r>
  <r>
    <x v="390"/>
    <d v="2024-01-01T00:00:00"/>
    <n v="27169"/>
    <n v="11876"/>
    <n v="1.6"/>
    <n v="1.76"/>
    <n v="2.09"/>
    <n v="716"/>
    <x v="0"/>
    <m/>
    <n v="0"/>
    <n v="12"/>
    <s v="Validation"/>
    <n v="0"/>
    <x v="0"/>
    <n v="0"/>
  </r>
  <r>
    <x v="391"/>
    <d v="2024-08-01T00:00:00"/>
    <n v="41199"/>
    <n v="9600"/>
    <n v="2.2599999999999998"/>
    <n v="0.87"/>
    <n v="2.06"/>
    <n v="620"/>
    <x v="0"/>
    <m/>
    <n v="0"/>
    <n v="6"/>
    <s v="Validation"/>
    <n v="0"/>
    <x v="0"/>
    <n v="0"/>
  </r>
  <r>
    <x v="392"/>
    <d v="2023-01-01T00:00:00"/>
    <m/>
    <n v="3343"/>
    <n v="1.1499999999999999"/>
    <n v="3.32"/>
    <n v="2.27"/>
    <n v="749"/>
    <x v="0"/>
    <m/>
    <n v="0"/>
    <n v="12"/>
    <s v="Development"/>
    <n v="0.35"/>
    <x v="0"/>
    <n v="0"/>
  </r>
  <r>
    <x v="393"/>
    <d v="2023-08-01T00:00:00"/>
    <n v="18634"/>
    <n v="22551"/>
    <n v="1.96"/>
    <n v="1.06"/>
    <n v="1.52"/>
    <n v="689"/>
    <x v="0"/>
    <m/>
    <n v="0"/>
    <n v="6"/>
    <s v="Development"/>
    <n v="0"/>
    <x v="0"/>
    <n v="0"/>
  </r>
  <r>
    <x v="394"/>
    <d v="2024-02-01T00:00:00"/>
    <n v="39594"/>
    <n v="6305"/>
    <n v="1.44"/>
    <n v="0.71"/>
    <n v="1.67"/>
    <n v="715"/>
    <x v="0"/>
    <m/>
    <n v="0"/>
    <n v="12"/>
    <s v="Validation"/>
    <n v="0"/>
    <x v="0"/>
    <n v="0"/>
  </r>
  <r>
    <x v="395"/>
    <d v="2024-04-01T00:00:00"/>
    <n v="23038"/>
    <n v="15795"/>
    <n v="1.51"/>
    <n v="0.28999999999999998"/>
    <n v="2.13"/>
    <n v="685"/>
    <x v="0"/>
    <m/>
    <n v="0"/>
    <n v="12"/>
    <s v="Validation"/>
    <n v="0"/>
    <x v="0"/>
    <n v="0"/>
  </r>
  <r>
    <x v="396"/>
    <d v="2024-02-01T00:00:00"/>
    <n v="78967"/>
    <n v="57060"/>
    <n v="1.6"/>
    <n v="0.75"/>
    <n v="1.6"/>
    <n v="584"/>
    <x v="0"/>
    <m/>
    <n v="0"/>
    <n v="6"/>
    <s v="Validation"/>
    <n v="0.2"/>
    <x v="0"/>
    <n v="0"/>
  </r>
  <r>
    <x v="397"/>
    <d v="2023-12-01T00:00:00"/>
    <n v="13493"/>
    <n v="7019"/>
    <n v="1.69"/>
    <n v="0.72"/>
    <n v="1.07"/>
    <n v="633"/>
    <x v="0"/>
    <m/>
    <n v="0"/>
    <n v="12"/>
    <s v="Development"/>
    <n v="0"/>
    <x v="0"/>
    <n v="0"/>
  </r>
  <r>
    <x v="398"/>
    <d v="2024-07-01T00:00:00"/>
    <n v="25253"/>
    <n v="2273"/>
    <n v="1.49"/>
    <n v="1.77"/>
    <n v="1.1000000000000001"/>
    <n v="717"/>
    <x v="0"/>
    <m/>
    <n v="0"/>
    <n v="18"/>
    <s v="Validation"/>
    <n v="0"/>
    <x v="0"/>
    <n v="0"/>
  </r>
  <r>
    <x v="399"/>
    <d v="2024-11-01T00:00:00"/>
    <n v="46406"/>
    <n v="10936"/>
    <n v="1.67"/>
    <n v="1.25"/>
    <n v="1.48"/>
    <n v="689"/>
    <x v="0"/>
    <m/>
    <n v="0"/>
    <n v="12"/>
    <s v="Validation"/>
    <n v="0"/>
    <x v="0"/>
    <n v="0"/>
  </r>
  <r>
    <x v="400"/>
    <d v="2024-03-01T00:00:00"/>
    <n v="100468"/>
    <n v="28873"/>
    <n v="2.42"/>
    <n v="0.4"/>
    <n v="0.64"/>
    <n v="745"/>
    <x v="1"/>
    <m/>
    <n v="0"/>
    <n v="12"/>
    <s v="Validation"/>
    <n v="0.15"/>
    <x v="0"/>
    <n v="1"/>
  </r>
  <r>
    <x v="401"/>
    <d v="2023-02-01T00:00:00"/>
    <n v="34796"/>
    <n v="52620"/>
    <n v="2.09"/>
    <n v="1.02"/>
    <n v="1.27"/>
    <n v="702"/>
    <x v="0"/>
    <m/>
    <n v="0"/>
    <n v="18"/>
    <s v="Development"/>
    <n v="0"/>
    <x v="0"/>
    <n v="0"/>
  </r>
  <r>
    <x v="402"/>
    <d v="2023-02-01T00:00:00"/>
    <n v="25314"/>
    <n v="5649"/>
    <n v="2.0299999999999998"/>
    <n v="1.45"/>
    <n v="1.95"/>
    <n v="627"/>
    <x v="0"/>
    <m/>
    <n v="0"/>
    <n v="6"/>
    <s v="Development"/>
    <n v="0"/>
    <x v="0"/>
    <n v="0"/>
  </r>
  <r>
    <x v="403"/>
    <d v="2024-11-01T00:00:00"/>
    <n v="123346"/>
    <n v="18915"/>
    <n v="1.3"/>
    <n v="2.64"/>
    <n v="0.14000000000000001"/>
    <n v="636"/>
    <x v="0"/>
    <m/>
    <n v="0"/>
    <n v="6"/>
    <s v="Validation"/>
    <n v="0.5"/>
    <x v="0"/>
    <n v="0"/>
  </r>
  <r>
    <x v="404"/>
    <d v="2024-10-01T00:00:00"/>
    <n v="14169"/>
    <n v="9646"/>
    <n v="1.06"/>
    <n v="1.68"/>
    <n v="2.19"/>
    <n v="686"/>
    <x v="0"/>
    <m/>
    <n v="0"/>
    <n v="18"/>
    <s v="Validation"/>
    <n v="0"/>
    <x v="0"/>
    <n v="0"/>
  </r>
  <r>
    <x v="405"/>
    <d v="2024-07-01T00:00:00"/>
    <m/>
    <n v="12405"/>
    <n v="2.08"/>
    <n v="1.54"/>
    <n v="1.97"/>
    <n v="553"/>
    <x v="0"/>
    <m/>
    <n v="0"/>
    <n v="18"/>
    <s v="Validation"/>
    <n v="0.2"/>
    <x v="0"/>
    <n v="0"/>
  </r>
  <r>
    <x v="406"/>
    <d v="2024-10-01T00:00:00"/>
    <n v="48340"/>
    <n v="85054"/>
    <n v="2.0299999999999998"/>
    <n v="0.94"/>
    <n v="1.1000000000000001"/>
    <n v="772"/>
    <x v="1"/>
    <m/>
    <n v="0"/>
    <n v="12"/>
    <s v="Validation"/>
    <n v="0"/>
    <x v="0"/>
    <n v="1"/>
  </r>
  <r>
    <x v="407"/>
    <d v="2024-10-01T00:00:00"/>
    <n v="26204"/>
    <n v="4665"/>
    <n v="2.36"/>
    <n v="1.19"/>
    <n v="1.65"/>
    <n v="704"/>
    <x v="0"/>
    <m/>
    <n v="0"/>
    <n v="6"/>
    <s v="Validation"/>
    <n v="0"/>
    <x v="0"/>
    <n v="0"/>
  </r>
  <r>
    <x v="408"/>
    <d v="2024-05-01T00:00:00"/>
    <n v="18699"/>
    <n v="15956"/>
    <n v="1.22"/>
    <n v="2.17"/>
    <n v="1.35"/>
    <n v="747"/>
    <x v="1"/>
    <n v="49600"/>
    <n v="1"/>
    <n v="18"/>
    <s v="Validation"/>
    <n v="0.35"/>
    <x v="1"/>
    <n v="0"/>
  </r>
  <r>
    <x v="409"/>
    <d v="2024-08-01T00:00:00"/>
    <n v="57551"/>
    <n v="18534"/>
    <n v="1.42"/>
    <n v="0.36"/>
    <n v="2.0299999999999998"/>
    <n v="593"/>
    <x v="0"/>
    <m/>
    <n v="0"/>
    <n v="12"/>
    <s v="Validation"/>
    <n v="0.2"/>
    <x v="0"/>
    <n v="0"/>
  </r>
  <r>
    <x v="410"/>
    <d v="2023-10-01T00:00:00"/>
    <m/>
    <n v="28568"/>
    <n v="0.65"/>
    <n v="0.71"/>
    <n v="1.89"/>
    <n v="748"/>
    <x v="1"/>
    <m/>
    <n v="0"/>
    <n v="12"/>
    <s v="Development"/>
    <n v="0.3"/>
    <x v="0"/>
    <n v="1"/>
  </r>
  <r>
    <x v="411"/>
    <d v="2023-06-01T00:00:00"/>
    <n v="25169"/>
    <n v="14308"/>
    <n v="1.33"/>
    <n v="0.53"/>
    <n v="0.57999999999999996"/>
    <n v="803"/>
    <x v="0"/>
    <m/>
    <n v="0"/>
    <n v="18"/>
    <s v="Development"/>
    <n v="0.15"/>
    <x v="0"/>
    <n v="0"/>
  </r>
  <r>
    <x v="412"/>
    <d v="2024-03-01T00:00:00"/>
    <n v="15801"/>
    <n v="16575"/>
    <n v="2.1"/>
    <n v="1.18"/>
    <n v="1.67"/>
    <n v="607"/>
    <x v="1"/>
    <n v="11252"/>
    <n v="1"/>
    <n v="12"/>
    <s v="Validation"/>
    <n v="0"/>
    <x v="1"/>
    <n v="0"/>
  </r>
  <r>
    <x v="413"/>
    <d v="2024-10-01T00:00:00"/>
    <n v="64029"/>
    <n v="10156"/>
    <n v="1.29"/>
    <n v="2.14"/>
    <n v="1.24"/>
    <n v="722"/>
    <x v="0"/>
    <m/>
    <n v="0"/>
    <n v="6"/>
    <s v="Validation"/>
    <n v="0.35"/>
    <x v="0"/>
    <n v="0"/>
  </r>
  <r>
    <x v="414"/>
    <d v="2023-11-01T00:00:00"/>
    <n v="55416"/>
    <n v="16129"/>
    <n v="1.9"/>
    <n v="0.6"/>
    <n v="1.4"/>
    <n v="680"/>
    <x v="0"/>
    <m/>
    <n v="0"/>
    <n v="12"/>
    <s v="Development"/>
    <n v="0"/>
    <x v="0"/>
    <n v="0"/>
  </r>
  <r>
    <x v="415"/>
    <d v="2023-05-01T00:00:00"/>
    <n v="34048"/>
    <n v="10507"/>
    <n v="1.45"/>
    <n v="0.17"/>
    <n v="0.95"/>
    <n v="595"/>
    <x v="0"/>
    <m/>
    <n v="0"/>
    <n v="18"/>
    <s v="Development"/>
    <n v="0.2"/>
    <x v="0"/>
    <n v="0"/>
  </r>
  <r>
    <x v="416"/>
    <d v="2023-01-01T00:00:00"/>
    <n v="120610"/>
    <n v="20642"/>
    <m/>
    <n v="0.68"/>
    <n v="2.31"/>
    <n v="707"/>
    <x v="0"/>
    <m/>
    <n v="0"/>
    <n v="18"/>
    <s v="Development"/>
    <n v="0"/>
    <x v="0"/>
    <n v="0"/>
  </r>
  <r>
    <x v="417"/>
    <d v="2023-08-01T00:00:00"/>
    <n v="18114"/>
    <n v="10314"/>
    <n v="0.92"/>
    <n v="1.72"/>
    <n v="1.92"/>
    <n v="726"/>
    <x v="0"/>
    <m/>
    <n v="0"/>
    <n v="12"/>
    <s v="Development"/>
    <n v="0.3"/>
    <x v="0"/>
    <n v="0"/>
  </r>
  <r>
    <x v="418"/>
    <d v="2024-09-01T00:00:00"/>
    <n v="13473"/>
    <n v="17396"/>
    <n v="1.6"/>
    <n v="1.32"/>
    <n v="0.94"/>
    <n v="647"/>
    <x v="0"/>
    <m/>
    <n v="0"/>
    <n v="18"/>
    <s v="Validation"/>
    <n v="0"/>
    <x v="0"/>
    <n v="0"/>
  </r>
  <r>
    <x v="419"/>
    <d v="2023-12-01T00:00:00"/>
    <n v="23162"/>
    <n v="13089"/>
    <n v="0.2"/>
    <n v="1.22"/>
    <n v="0.62"/>
    <n v="744"/>
    <x v="0"/>
    <m/>
    <n v="0"/>
    <n v="12"/>
    <s v="Development"/>
    <n v="0.45"/>
    <x v="0"/>
    <n v="0"/>
  </r>
  <r>
    <x v="420"/>
    <d v="2023-12-01T00:00:00"/>
    <n v="35255"/>
    <n v="29385"/>
    <n v="1.45"/>
    <n v="0.74"/>
    <n v="1.1399999999999999"/>
    <n v="588"/>
    <x v="0"/>
    <m/>
    <n v="0"/>
    <n v="12"/>
    <s v="Development"/>
    <n v="0.2"/>
    <x v="0"/>
    <n v="0"/>
  </r>
  <r>
    <x v="421"/>
    <d v="2023-05-01T00:00:00"/>
    <n v="42539"/>
    <n v="12888"/>
    <n v="0.65"/>
    <n v="0.37"/>
    <n v="1.59"/>
    <n v="598"/>
    <x v="0"/>
    <m/>
    <n v="0"/>
    <n v="12"/>
    <s v="Development"/>
    <n v="0.5"/>
    <x v="0"/>
    <n v="0"/>
  </r>
  <r>
    <x v="422"/>
    <d v="2023-07-01T00:00:00"/>
    <n v="31045"/>
    <n v="3862"/>
    <n v="2.21"/>
    <n v="1.3"/>
    <n v="1.48"/>
    <n v="688"/>
    <x v="1"/>
    <m/>
    <n v="0"/>
    <n v="12"/>
    <s v="Development"/>
    <n v="0"/>
    <x v="0"/>
    <n v="1"/>
  </r>
  <r>
    <x v="423"/>
    <d v="2023-04-01T00:00:00"/>
    <n v="45654"/>
    <n v="32317"/>
    <n v="1.98"/>
    <n v="0.5"/>
    <n v="2.04"/>
    <n v="681"/>
    <x v="0"/>
    <m/>
    <n v="0"/>
    <n v="12"/>
    <s v="Development"/>
    <n v="0"/>
    <x v="0"/>
    <n v="0"/>
  </r>
  <r>
    <x v="424"/>
    <d v="2023-06-01T00:00:00"/>
    <n v="16099"/>
    <n v="7087"/>
    <n v="1.81"/>
    <n v="4.17"/>
    <n v="1.78"/>
    <n v="641"/>
    <x v="0"/>
    <m/>
    <n v="0"/>
    <n v="12"/>
    <s v="Development"/>
    <n v="0.35"/>
    <x v="0"/>
    <n v="0"/>
  </r>
  <r>
    <x v="425"/>
    <d v="2024-01-01T00:00:00"/>
    <n v="92823"/>
    <n v="8454"/>
    <n v="2.39"/>
    <n v="1.35"/>
    <n v="1.88"/>
    <n v="725"/>
    <x v="0"/>
    <m/>
    <n v="0"/>
    <n v="18"/>
    <s v="Validation"/>
    <n v="0"/>
    <x v="0"/>
    <n v="0"/>
  </r>
  <r>
    <x v="426"/>
    <d v="2024-08-01T00:00:00"/>
    <n v="34427"/>
    <n v="8805"/>
    <n v="1.03"/>
    <n v="0.6"/>
    <n v="1.53"/>
    <n v="709"/>
    <x v="1"/>
    <n v="48274"/>
    <n v="1"/>
    <n v="12"/>
    <s v="Validation"/>
    <n v="0"/>
    <x v="1"/>
    <n v="0"/>
  </r>
  <r>
    <x v="427"/>
    <d v="2024-03-01T00:00:00"/>
    <n v="75075"/>
    <n v="34965"/>
    <n v="2.5099999999999998"/>
    <n v="0.59"/>
    <n v="0.59"/>
    <n v="727"/>
    <x v="0"/>
    <m/>
    <n v="0"/>
    <n v="18"/>
    <s v="Validation"/>
    <n v="0.15"/>
    <x v="0"/>
    <n v="0"/>
  </r>
  <r>
    <x v="428"/>
    <d v="2023-03-01T00:00:00"/>
    <n v="45377"/>
    <n v="2996"/>
    <n v="2.06"/>
    <n v="0.85"/>
    <n v="1.24"/>
    <n v="673"/>
    <x v="0"/>
    <m/>
    <n v="0"/>
    <n v="12"/>
    <s v="Development"/>
    <n v="0"/>
    <x v="0"/>
    <n v="0"/>
  </r>
  <r>
    <x v="429"/>
    <d v="2024-11-01T00:00:00"/>
    <n v="48869"/>
    <n v="120141"/>
    <n v="1.42"/>
    <n v="0.77"/>
    <n v="1.93"/>
    <n v="713"/>
    <x v="0"/>
    <m/>
    <n v="0"/>
    <n v="12"/>
    <s v="Validation"/>
    <n v="0"/>
    <x v="0"/>
    <n v="0"/>
  </r>
  <r>
    <x v="430"/>
    <d v="2023-08-01T00:00:00"/>
    <n v="52594"/>
    <n v="27980"/>
    <n v="2.17"/>
    <n v="1.98"/>
    <n v="1.32"/>
    <n v="655"/>
    <x v="1"/>
    <n v="12027"/>
    <n v="1"/>
    <n v="12"/>
    <s v="Development"/>
    <n v="0"/>
    <x v="1"/>
    <n v="0"/>
  </r>
  <r>
    <x v="431"/>
    <d v="2024-08-01T00:00:00"/>
    <m/>
    <n v="15619"/>
    <n v="0.94"/>
    <n v="1.03"/>
    <n v="1.63"/>
    <n v="793"/>
    <x v="0"/>
    <m/>
    <n v="0"/>
    <n v="6"/>
    <s v="Validation"/>
    <n v="0.3"/>
    <x v="0"/>
    <n v="0"/>
  </r>
  <r>
    <x v="432"/>
    <d v="2024-04-01T00:00:00"/>
    <n v="55148"/>
    <n v="12856"/>
    <n v="1.1000000000000001"/>
    <n v="0.54"/>
    <n v="1.17"/>
    <n v="635"/>
    <x v="0"/>
    <m/>
    <n v="0"/>
    <n v="12"/>
    <s v="Validation"/>
    <n v="0"/>
    <x v="0"/>
    <n v="0"/>
  </r>
  <r>
    <x v="433"/>
    <d v="2024-01-01T00:00:00"/>
    <n v="86159"/>
    <n v="16316"/>
    <n v="1.22"/>
    <n v="3.4"/>
    <n v="0.78"/>
    <n v="796"/>
    <x v="0"/>
    <m/>
    <n v="0"/>
    <n v="6"/>
    <s v="Validation"/>
    <n v="0.5"/>
    <x v="0"/>
    <n v="0"/>
  </r>
  <r>
    <x v="434"/>
    <d v="2024-06-01T00:00:00"/>
    <n v="41264"/>
    <n v="19241"/>
    <n v="1.26"/>
    <n v="0.94"/>
    <n v="1.28"/>
    <n v="682"/>
    <x v="0"/>
    <m/>
    <n v="0"/>
    <n v="18"/>
    <s v="Validation"/>
    <n v="0"/>
    <x v="0"/>
    <n v="0"/>
  </r>
  <r>
    <x v="435"/>
    <d v="2023-10-01T00:00:00"/>
    <n v="57576"/>
    <n v="20987"/>
    <n v="0.97"/>
    <n v="1.55"/>
    <n v="1.52"/>
    <n v="604"/>
    <x v="0"/>
    <m/>
    <n v="0"/>
    <n v="18"/>
    <s v="Development"/>
    <n v="0.3"/>
    <x v="0"/>
    <n v="0"/>
  </r>
  <r>
    <x v="436"/>
    <d v="2024-07-01T00:00:00"/>
    <n v="34258"/>
    <n v="19711"/>
    <n v="2.2200000000000002"/>
    <n v="0.59"/>
    <n v="0.99"/>
    <n v="755"/>
    <x v="0"/>
    <m/>
    <n v="0"/>
    <n v="18"/>
    <s v="Validation"/>
    <n v="0"/>
    <x v="0"/>
    <n v="0"/>
  </r>
  <r>
    <x v="437"/>
    <d v="2024-05-01T00:00:00"/>
    <n v="92603"/>
    <n v="14224"/>
    <n v="1.41"/>
    <n v="1.17"/>
    <n v="1.22"/>
    <n v="687"/>
    <x v="0"/>
    <m/>
    <n v="0"/>
    <n v="6"/>
    <s v="Validation"/>
    <n v="0"/>
    <x v="0"/>
    <n v="0"/>
  </r>
  <r>
    <x v="438"/>
    <d v="2024-12-01T00:00:00"/>
    <n v="23397"/>
    <n v="11636"/>
    <n v="1.74"/>
    <n v="1.1200000000000001"/>
    <n v="0.83"/>
    <n v="727"/>
    <x v="1"/>
    <m/>
    <n v="0"/>
    <n v="18"/>
    <s v="Validation"/>
    <n v="0"/>
    <x v="0"/>
    <n v="1"/>
  </r>
  <r>
    <x v="439"/>
    <d v="2024-07-01T00:00:00"/>
    <n v="117080"/>
    <n v="12017"/>
    <n v="1.24"/>
    <n v="0.24"/>
    <n v="1.97"/>
    <n v="747"/>
    <x v="0"/>
    <m/>
    <n v="0"/>
    <n v="12"/>
    <s v="Validation"/>
    <n v="0"/>
    <x v="0"/>
    <n v="0"/>
  </r>
  <r>
    <x v="440"/>
    <d v="2024-11-01T00:00:00"/>
    <n v="35380"/>
    <n v="11656"/>
    <n v="0.55000000000000004"/>
    <n v="3.71"/>
    <n v="1.19"/>
    <n v="699"/>
    <x v="0"/>
    <m/>
    <n v="0"/>
    <n v="12"/>
    <s v="Validation"/>
    <n v="0.64999999999999991"/>
    <x v="0"/>
    <n v="0"/>
  </r>
  <r>
    <x v="441"/>
    <d v="2023-05-01T00:00:00"/>
    <n v="14328"/>
    <n v="29544"/>
    <n v="1.7"/>
    <n v="2.23"/>
    <n v="2.15"/>
    <n v="647"/>
    <x v="0"/>
    <m/>
    <n v="0"/>
    <n v="6"/>
    <s v="Development"/>
    <n v="0.35"/>
    <x v="0"/>
    <n v="0"/>
  </r>
  <r>
    <x v="442"/>
    <d v="2024-09-01T00:00:00"/>
    <n v="39469"/>
    <n v="20241"/>
    <n v="0.5"/>
    <n v="0.69"/>
    <n v="2.19"/>
    <n v="734"/>
    <x v="0"/>
    <m/>
    <n v="0"/>
    <n v="18"/>
    <s v="Validation"/>
    <n v="0.3"/>
    <x v="0"/>
    <n v="0"/>
  </r>
  <r>
    <x v="443"/>
    <d v="2024-11-01T00:00:00"/>
    <n v="23326"/>
    <n v="1706"/>
    <n v="1.51"/>
    <n v="0.42"/>
    <n v="1.31"/>
    <n v="680"/>
    <x v="0"/>
    <m/>
    <n v="0"/>
    <n v="12"/>
    <s v="Validation"/>
    <n v="0"/>
    <x v="0"/>
    <n v="0"/>
  </r>
  <r>
    <x v="444"/>
    <d v="2023-09-01T00:00:00"/>
    <n v="62719"/>
    <n v="21144"/>
    <n v="0.8"/>
    <n v="1.1499999999999999"/>
    <n v="0.8"/>
    <n v="718"/>
    <x v="0"/>
    <m/>
    <n v="0"/>
    <n v="12"/>
    <s v="Development"/>
    <n v="0.3"/>
    <x v="0"/>
    <n v="0"/>
  </r>
  <r>
    <x v="445"/>
    <d v="2023-12-01T00:00:00"/>
    <n v="23761"/>
    <n v="15311"/>
    <n v="2.64"/>
    <n v="0.96"/>
    <n v="0.2"/>
    <n v="562"/>
    <x v="0"/>
    <m/>
    <n v="0"/>
    <n v="12"/>
    <s v="Development"/>
    <n v="0.35"/>
    <x v="0"/>
    <n v="0"/>
  </r>
  <r>
    <x v="446"/>
    <d v="2024-09-01T00:00:00"/>
    <n v="27173"/>
    <n v="13186"/>
    <n v="2.0499999999999998"/>
    <n v="1.1599999999999999"/>
    <n v="0.54"/>
    <n v="705"/>
    <x v="0"/>
    <m/>
    <n v="0"/>
    <n v="18"/>
    <s v="Validation"/>
    <n v="0.15"/>
    <x v="0"/>
    <n v="0"/>
  </r>
  <r>
    <x v="447"/>
    <d v="2023-01-01T00:00:00"/>
    <n v="10634"/>
    <n v="10179"/>
    <n v="1.61"/>
    <n v="1.03"/>
    <n v="0.59"/>
    <n v="645"/>
    <x v="1"/>
    <n v="40060"/>
    <n v="1"/>
    <n v="12"/>
    <s v="Development"/>
    <n v="0.15"/>
    <x v="1"/>
    <n v="0"/>
  </r>
  <r>
    <x v="448"/>
    <d v="2023-01-01T00:00:00"/>
    <n v="27065"/>
    <n v="29345"/>
    <n v="2.25"/>
    <n v="1.29"/>
    <n v="2.11"/>
    <n v="771"/>
    <x v="0"/>
    <m/>
    <n v="0"/>
    <n v="6"/>
    <s v="Development"/>
    <n v="0"/>
    <x v="0"/>
    <n v="0"/>
  </r>
  <r>
    <x v="449"/>
    <d v="2024-03-01T00:00:00"/>
    <n v="7514"/>
    <n v="25933"/>
    <n v="1.08"/>
    <n v="2.4900000000000002"/>
    <n v="1.41"/>
    <n v="714"/>
    <x v="0"/>
    <m/>
    <n v="0"/>
    <n v="18"/>
    <s v="Validation"/>
    <n v="0.35"/>
    <x v="0"/>
    <n v="0"/>
  </r>
  <r>
    <x v="450"/>
    <d v="2023-02-01T00:00:00"/>
    <n v="12971"/>
    <n v="7777"/>
    <n v="1.85"/>
    <n v="1.35"/>
    <n v="1.56"/>
    <n v="693"/>
    <x v="0"/>
    <m/>
    <n v="0"/>
    <n v="12"/>
    <s v="Development"/>
    <n v="0"/>
    <x v="0"/>
    <n v="0"/>
  </r>
  <r>
    <x v="451"/>
    <d v="2024-10-01T00:00:00"/>
    <n v="59532"/>
    <n v="17764"/>
    <n v="1.66"/>
    <n v="0.43"/>
    <n v="0.13"/>
    <n v="707"/>
    <x v="0"/>
    <m/>
    <n v="0"/>
    <n v="12"/>
    <s v="Validation"/>
    <n v="0.15"/>
    <x v="0"/>
    <n v="0"/>
  </r>
  <r>
    <x v="452"/>
    <d v="2024-04-01T00:00:00"/>
    <n v="60522"/>
    <n v="6767"/>
    <n v="1.7"/>
    <n v="2.35"/>
    <n v="0.69"/>
    <m/>
    <x v="0"/>
    <m/>
    <n v="0"/>
    <n v="12"/>
    <s v="Validation"/>
    <n v="0.5"/>
    <x v="0"/>
    <n v="0"/>
  </r>
  <r>
    <x v="453"/>
    <d v="2023-08-01T00:00:00"/>
    <n v="47885"/>
    <n v="5086"/>
    <n v="2.25"/>
    <n v="2.85"/>
    <n v="1.84"/>
    <n v="769"/>
    <x v="0"/>
    <m/>
    <n v="0"/>
    <n v="18"/>
    <s v="Development"/>
    <n v="0.35"/>
    <x v="0"/>
    <n v="0"/>
  </r>
  <r>
    <x v="454"/>
    <d v="2024-01-01T00:00:00"/>
    <n v="19370"/>
    <n v="8615"/>
    <n v="1.95"/>
    <n v="8"/>
    <n v="1.51"/>
    <n v="790"/>
    <x v="0"/>
    <m/>
    <n v="0"/>
    <n v="12"/>
    <s v="Validation"/>
    <n v="0.35"/>
    <x v="0"/>
    <n v="0"/>
  </r>
  <r>
    <x v="455"/>
    <d v="2024-09-01T00:00:00"/>
    <n v="35207"/>
    <n v="24433"/>
    <n v="1.71"/>
    <n v="0.41"/>
    <n v="1.27"/>
    <n v="702"/>
    <x v="0"/>
    <m/>
    <n v="0"/>
    <n v="12"/>
    <s v="Validation"/>
    <n v="0"/>
    <x v="0"/>
    <n v="0"/>
  </r>
  <r>
    <x v="456"/>
    <d v="2023-01-01T00:00:00"/>
    <m/>
    <n v="26035"/>
    <n v="0.64"/>
    <n v="1.07"/>
    <n v="1.66"/>
    <n v="767"/>
    <x v="0"/>
    <m/>
    <n v="0"/>
    <n v="12"/>
    <s v="Development"/>
    <n v="0.3"/>
    <x v="0"/>
    <n v="0"/>
  </r>
  <r>
    <x v="457"/>
    <d v="2024-04-01T00:00:00"/>
    <n v="17104"/>
    <n v="19133"/>
    <n v="1.02"/>
    <n v="0.21"/>
    <n v="2.25"/>
    <n v="649"/>
    <x v="0"/>
    <m/>
    <n v="0"/>
    <n v="12"/>
    <s v="Validation"/>
    <n v="0"/>
    <x v="0"/>
    <n v="0"/>
  </r>
  <r>
    <x v="458"/>
    <d v="2023-07-01T00:00:00"/>
    <n v="96491"/>
    <n v="22194"/>
    <n v="1.48"/>
    <n v="1.33"/>
    <n v="1.23"/>
    <n v="636"/>
    <x v="0"/>
    <m/>
    <n v="0"/>
    <n v="18"/>
    <s v="Development"/>
    <n v="0"/>
    <x v="0"/>
    <n v="0"/>
  </r>
  <r>
    <x v="459"/>
    <d v="2023-05-01T00:00:00"/>
    <n v="64234"/>
    <n v="19174"/>
    <n v="1.6"/>
    <n v="0.62"/>
    <n v="1.39"/>
    <n v="682"/>
    <x v="0"/>
    <m/>
    <n v="0"/>
    <n v="12"/>
    <s v="Development"/>
    <n v="0"/>
    <x v="0"/>
    <n v="0"/>
  </r>
  <r>
    <x v="460"/>
    <d v="2024-10-01T00:00:00"/>
    <n v="31457"/>
    <n v="8527"/>
    <n v="0.93"/>
    <n v="3.48"/>
    <n v="1.46"/>
    <n v="704"/>
    <x v="0"/>
    <m/>
    <n v="0"/>
    <n v="12"/>
    <s v="Validation"/>
    <n v="0.64999999999999991"/>
    <x v="0"/>
    <n v="0"/>
  </r>
  <r>
    <x v="461"/>
    <d v="2024-11-01T00:00:00"/>
    <n v="36956"/>
    <n v="18076"/>
    <n v="2.88"/>
    <n v="0.53"/>
    <n v="2.67"/>
    <n v="658"/>
    <x v="0"/>
    <m/>
    <n v="0"/>
    <n v="12"/>
    <s v="Validation"/>
    <n v="0"/>
    <x v="0"/>
    <n v="0"/>
  </r>
  <r>
    <x v="462"/>
    <d v="2023-03-01T00:00:00"/>
    <n v="41583"/>
    <n v="23395"/>
    <n v="2.38"/>
    <n v="0.28000000000000003"/>
    <n v="0.2"/>
    <n v="710"/>
    <x v="0"/>
    <m/>
    <n v="0"/>
    <n v="6"/>
    <s v="Development"/>
    <n v="0.15"/>
    <x v="0"/>
    <n v="0"/>
  </r>
  <r>
    <x v="463"/>
    <d v="2023-12-01T00:00:00"/>
    <n v="9632"/>
    <n v="22652"/>
    <n v="1.88"/>
    <n v="0.65"/>
    <n v="1.73"/>
    <n v="697"/>
    <x v="0"/>
    <m/>
    <n v="0"/>
    <n v="12"/>
    <s v="Development"/>
    <n v="0"/>
    <x v="0"/>
    <n v="0"/>
  </r>
  <r>
    <x v="464"/>
    <d v="2024-04-01T00:00:00"/>
    <n v="30925"/>
    <n v="30707"/>
    <n v="1.59"/>
    <n v="0.23"/>
    <n v="1.29"/>
    <n v="625"/>
    <x v="0"/>
    <m/>
    <n v="0"/>
    <n v="12"/>
    <s v="Validation"/>
    <n v="0"/>
    <x v="0"/>
    <n v="0"/>
  </r>
  <r>
    <x v="465"/>
    <d v="2024-07-01T00:00:00"/>
    <n v="23312"/>
    <n v="21934"/>
    <n v="1.43"/>
    <n v="1.53"/>
    <n v="1.66"/>
    <n v="709"/>
    <x v="0"/>
    <m/>
    <n v="0"/>
    <n v="18"/>
    <s v="Validation"/>
    <n v="0"/>
    <x v="0"/>
    <n v="0"/>
  </r>
  <r>
    <x v="466"/>
    <d v="2023-05-01T00:00:00"/>
    <n v="18938"/>
    <n v="17086"/>
    <n v="1.03"/>
    <n v="0.21"/>
    <n v="0.99"/>
    <n v="727"/>
    <x v="0"/>
    <n v="14397"/>
    <n v="1"/>
    <n v="12"/>
    <s v="Development"/>
    <n v="0"/>
    <x v="1"/>
    <n v="1"/>
  </r>
  <r>
    <x v="467"/>
    <d v="2024-10-01T00:00:00"/>
    <n v="30251"/>
    <n v="28257"/>
    <n v="1.59"/>
    <n v="0.92"/>
    <n v="1.32"/>
    <n v="689"/>
    <x v="0"/>
    <m/>
    <n v="0"/>
    <n v="18"/>
    <s v="Validation"/>
    <n v="0"/>
    <x v="0"/>
    <n v="0"/>
  </r>
  <r>
    <x v="468"/>
    <d v="2024-02-01T00:00:00"/>
    <n v="116832"/>
    <n v="13114"/>
    <n v="1.69"/>
    <n v="0.21"/>
    <n v="1.74"/>
    <n v="743"/>
    <x v="0"/>
    <m/>
    <n v="0"/>
    <n v="6"/>
    <s v="Validation"/>
    <n v="0"/>
    <x v="0"/>
    <n v="0"/>
  </r>
  <r>
    <x v="469"/>
    <d v="2023-05-01T00:00:00"/>
    <n v="55080"/>
    <n v="7206"/>
    <n v="0.87"/>
    <n v="0.72"/>
    <n v="3.06"/>
    <n v="613"/>
    <x v="0"/>
    <m/>
    <n v="0"/>
    <n v="12"/>
    <s v="Development"/>
    <n v="0.3"/>
    <x v="0"/>
    <n v="0"/>
  </r>
  <r>
    <x v="470"/>
    <d v="2024-03-01T00:00:00"/>
    <n v="25053"/>
    <n v="11919"/>
    <n v="1.73"/>
    <n v="2.86"/>
    <n v="1.79"/>
    <n v="706"/>
    <x v="0"/>
    <m/>
    <n v="0"/>
    <n v="12"/>
    <s v="Validation"/>
    <n v="0.35"/>
    <x v="0"/>
    <n v="0"/>
  </r>
  <r>
    <x v="471"/>
    <d v="2024-05-01T00:00:00"/>
    <n v="52690"/>
    <n v="7931"/>
    <n v="1.46"/>
    <n v="1.1599999999999999"/>
    <n v="0.88"/>
    <n v="616"/>
    <x v="0"/>
    <m/>
    <n v="0"/>
    <n v="12"/>
    <s v="Validation"/>
    <n v="0"/>
    <x v="0"/>
    <n v="0"/>
  </r>
  <r>
    <x v="472"/>
    <d v="2024-02-01T00:00:00"/>
    <n v="90182"/>
    <n v="8328"/>
    <n v="0.5"/>
    <n v="0.49"/>
    <n v="1.1200000000000001"/>
    <n v="619"/>
    <x v="0"/>
    <m/>
    <n v="0"/>
    <n v="12"/>
    <s v="Validation"/>
    <n v="0.3"/>
    <x v="0"/>
    <n v="0"/>
  </r>
  <r>
    <x v="473"/>
    <d v="2024-08-01T00:00:00"/>
    <n v="66238"/>
    <n v="12074"/>
    <n v="1.08"/>
    <n v="0.89"/>
    <n v="1.1000000000000001"/>
    <n v="645"/>
    <x v="0"/>
    <m/>
    <n v="0"/>
    <n v="6"/>
    <s v="Validation"/>
    <n v="0"/>
    <x v="0"/>
    <n v="0"/>
  </r>
  <r>
    <x v="474"/>
    <d v="2023-05-01T00:00:00"/>
    <n v="37751"/>
    <n v="7672"/>
    <n v="1.32"/>
    <n v="0.92"/>
    <n v="0.36"/>
    <n v="628"/>
    <x v="0"/>
    <m/>
    <n v="0"/>
    <n v="12"/>
    <s v="Development"/>
    <n v="0.15"/>
    <x v="0"/>
    <n v="0"/>
  </r>
  <r>
    <x v="475"/>
    <d v="2023-12-01T00:00:00"/>
    <n v="23849"/>
    <n v="10769"/>
    <n v="2.59"/>
    <n v="1.26"/>
    <n v="1.17"/>
    <n v="650"/>
    <x v="1"/>
    <n v="37906"/>
    <n v="1"/>
    <n v="12"/>
    <s v="Development"/>
    <n v="0"/>
    <x v="1"/>
    <n v="0"/>
  </r>
  <r>
    <x v="476"/>
    <d v="2024-04-01T00:00:00"/>
    <n v="57173"/>
    <n v="3549"/>
    <n v="1.86"/>
    <n v="0.35"/>
    <n v="1.75"/>
    <n v="668"/>
    <x v="0"/>
    <m/>
    <n v="0"/>
    <n v="12"/>
    <s v="Validation"/>
    <n v="0"/>
    <x v="0"/>
    <n v="0"/>
  </r>
  <r>
    <x v="477"/>
    <d v="2024-04-01T00:00:00"/>
    <n v="46900"/>
    <n v="15511"/>
    <n v="0.82"/>
    <n v="1.37"/>
    <n v="0.65"/>
    <n v="726"/>
    <x v="0"/>
    <m/>
    <n v="0"/>
    <n v="18"/>
    <s v="Validation"/>
    <n v="0.45"/>
    <x v="0"/>
    <n v="0"/>
  </r>
  <r>
    <x v="478"/>
    <d v="2024-09-01T00:00:00"/>
    <n v="64983"/>
    <n v="13371"/>
    <n v="1.82"/>
    <n v="0.14000000000000001"/>
    <n v="1.93"/>
    <n v="662"/>
    <x v="0"/>
    <m/>
    <n v="0"/>
    <n v="12"/>
    <s v="Validation"/>
    <n v="0"/>
    <x v="0"/>
    <n v="0"/>
  </r>
  <r>
    <x v="479"/>
    <d v="2023-07-01T00:00:00"/>
    <n v="54878"/>
    <n v="7540"/>
    <n v="0.7"/>
    <n v="0.57999999999999996"/>
    <n v="1.62"/>
    <n v="593"/>
    <x v="0"/>
    <m/>
    <n v="0"/>
    <n v="6"/>
    <s v="Development"/>
    <n v="0.5"/>
    <x v="0"/>
    <n v="0"/>
  </r>
  <r>
    <x v="480"/>
    <d v="2023-04-01T00:00:00"/>
    <m/>
    <n v="21194"/>
    <n v="2.15"/>
    <n v="0.64"/>
    <n v="0.95"/>
    <n v="743"/>
    <x v="0"/>
    <m/>
    <n v="0"/>
    <n v="12"/>
    <s v="Development"/>
    <n v="0"/>
    <x v="0"/>
    <n v="0"/>
  </r>
  <r>
    <x v="481"/>
    <d v="2023-01-01T00:00:00"/>
    <n v="25645"/>
    <n v="25753"/>
    <n v="1.29"/>
    <n v="1.41"/>
    <n v="1.27"/>
    <n v="634"/>
    <x v="0"/>
    <m/>
    <n v="0"/>
    <n v="6"/>
    <s v="Development"/>
    <n v="0"/>
    <x v="0"/>
    <n v="0"/>
  </r>
  <r>
    <x v="482"/>
    <d v="2023-05-01T00:00:00"/>
    <n v="85503"/>
    <n v="4336"/>
    <n v="1.5"/>
    <n v="0.92"/>
    <n v="2.23"/>
    <n v="677"/>
    <x v="0"/>
    <m/>
    <n v="0"/>
    <n v="18"/>
    <s v="Development"/>
    <n v="0"/>
    <x v="0"/>
    <n v="0"/>
  </r>
  <r>
    <x v="483"/>
    <d v="2024-11-01T00:00:00"/>
    <n v="41293"/>
    <n v="7833"/>
    <n v="2.2799999999999998"/>
    <n v="0.34"/>
    <n v="1.75"/>
    <n v="705"/>
    <x v="0"/>
    <m/>
    <n v="0"/>
    <n v="18"/>
    <s v="Validation"/>
    <n v="0"/>
    <x v="0"/>
    <n v="0"/>
  </r>
  <r>
    <x v="484"/>
    <d v="2023-10-01T00:00:00"/>
    <n v="139933"/>
    <n v="7798"/>
    <n v="0.84"/>
    <n v="0.45"/>
    <n v="1.35"/>
    <n v="691"/>
    <x v="0"/>
    <m/>
    <n v="0"/>
    <n v="6"/>
    <s v="Development"/>
    <n v="0.3"/>
    <x v="0"/>
    <n v="0"/>
  </r>
  <r>
    <x v="485"/>
    <d v="2024-10-01T00:00:00"/>
    <n v="23203"/>
    <n v="6919"/>
    <m/>
    <n v="1.04"/>
    <n v="1.22"/>
    <n v="740"/>
    <x v="0"/>
    <m/>
    <n v="0"/>
    <n v="12"/>
    <s v="Validation"/>
    <n v="0"/>
    <x v="0"/>
    <n v="0"/>
  </r>
  <r>
    <x v="486"/>
    <d v="2023-05-01T00:00:00"/>
    <n v="112238"/>
    <n v="23876"/>
    <n v="1.23"/>
    <n v="0.86"/>
    <n v="1.39"/>
    <n v="706"/>
    <x v="1"/>
    <n v="49346"/>
    <n v="1"/>
    <n v="12"/>
    <s v="Development"/>
    <n v="0"/>
    <x v="1"/>
    <n v="0"/>
  </r>
  <r>
    <x v="487"/>
    <d v="2023-04-01T00:00:00"/>
    <n v="41301"/>
    <n v="11665"/>
    <n v="2.12"/>
    <n v="0.6"/>
    <n v="1.07"/>
    <n v="633"/>
    <x v="0"/>
    <m/>
    <n v="0"/>
    <n v="12"/>
    <s v="Development"/>
    <n v="0"/>
    <x v="0"/>
    <n v="0"/>
  </r>
  <r>
    <x v="488"/>
    <d v="2023-02-01T00:00:00"/>
    <n v="23779"/>
    <n v="11102"/>
    <n v="0.71"/>
    <n v="0.65"/>
    <n v="0.19"/>
    <n v="800"/>
    <x v="1"/>
    <n v="16595"/>
    <n v="1"/>
    <n v="12"/>
    <s v="Development"/>
    <n v="0.45"/>
    <x v="1"/>
    <n v="0"/>
  </r>
  <r>
    <x v="489"/>
    <d v="2024-08-01T00:00:00"/>
    <n v="26515"/>
    <n v="3286"/>
    <n v="0.2"/>
    <n v="1.47"/>
    <n v="2.4700000000000002"/>
    <n v="691"/>
    <x v="0"/>
    <m/>
    <n v="0"/>
    <n v="12"/>
    <s v="Validation"/>
    <n v="0.3"/>
    <x v="0"/>
    <n v="0"/>
  </r>
  <r>
    <x v="490"/>
    <d v="2023-10-01T00:00:00"/>
    <n v="29489"/>
    <n v="20843"/>
    <n v="1.3"/>
    <n v="0.63"/>
    <n v="1.44"/>
    <n v="672"/>
    <x v="0"/>
    <m/>
    <n v="0"/>
    <n v="12"/>
    <s v="Development"/>
    <n v="0"/>
    <x v="0"/>
    <n v="0"/>
  </r>
  <r>
    <x v="491"/>
    <d v="2024-07-01T00:00:00"/>
    <n v="47844"/>
    <n v="5611"/>
    <n v="1.85"/>
    <n v="0.85"/>
    <n v="1.57"/>
    <n v="733"/>
    <x v="0"/>
    <m/>
    <n v="0"/>
    <n v="12"/>
    <s v="Validation"/>
    <n v="0"/>
    <x v="0"/>
    <n v="0"/>
  </r>
  <r>
    <x v="492"/>
    <d v="2023-01-01T00:00:00"/>
    <n v="51013"/>
    <n v="13932"/>
    <n v="2.21"/>
    <n v="4.13"/>
    <n v="1.32"/>
    <n v="694"/>
    <x v="0"/>
    <m/>
    <n v="0"/>
    <n v="12"/>
    <s v="Development"/>
    <n v="0.35"/>
    <x v="0"/>
    <n v="0"/>
  </r>
  <r>
    <x v="493"/>
    <d v="2024-12-01T00:00:00"/>
    <n v="25012"/>
    <n v="16223"/>
    <n v="1.3"/>
    <n v="0.33"/>
    <n v="0.95"/>
    <n v="702"/>
    <x v="0"/>
    <m/>
    <n v="0"/>
    <n v="6"/>
    <s v="Validation"/>
    <n v="0"/>
    <x v="0"/>
    <n v="0"/>
  </r>
  <r>
    <x v="494"/>
    <d v="2023-05-01T00:00:00"/>
    <n v="35745"/>
    <n v="34629"/>
    <n v="1.32"/>
    <n v="0.25"/>
    <n v="1.25"/>
    <n v="817"/>
    <x v="0"/>
    <m/>
    <n v="0"/>
    <n v="12"/>
    <s v="Development"/>
    <n v="0"/>
    <x v="0"/>
    <n v="0"/>
  </r>
  <r>
    <x v="495"/>
    <d v="2024-01-01T00:00:00"/>
    <n v="146163"/>
    <n v="5345"/>
    <n v="2.1800000000000002"/>
    <n v="1.57"/>
    <n v="0.47"/>
    <n v="665"/>
    <x v="0"/>
    <m/>
    <n v="0"/>
    <n v="12"/>
    <s v="Validation"/>
    <n v="0.15"/>
    <x v="0"/>
    <n v="0"/>
  </r>
  <r>
    <x v="496"/>
    <d v="2023-04-01T00:00:00"/>
    <n v="111625"/>
    <n v="1614"/>
    <n v="0.52"/>
    <n v="0.56000000000000005"/>
    <n v="2.6"/>
    <n v="663"/>
    <x v="0"/>
    <m/>
    <n v="0"/>
    <n v="12"/>
    <s v="Development"/>
    <n v="0.3"/>
    <x v="0"/>
    <n v="0"/>
  </r>
  <r>
    <x v="497"/>
    <d v="2024-04-01T00:00:00"/>
    <n v="48224"/>
    <n v="15195"/>
    <n v="1.34"/>
    <n v="0.72"/>
    <n v="0.67"/>
    <n v="686"/>
    <x v="0"/>
    <m/>
    <n v="0"/>
    <n v="6"/>
    <s v="Validation"/>
    <n v="0.15"/>
    <x v="0"/>
    <n v="0"/>
  </r>
  <r>
    <x v="498"/>
    <d v="2024-12-01T00:00:00"/>
    <n v="37224"/>
    <n v="47116"/>
    <n v="1.65"/>
    <n v="0.52"/>
    <n v="0.78"/>
    <n v="739"/>
    <x v="0"/>
    <m/>
    <n v="0"/>
    <n v="18"/>
    <s v="Validation"/>
    <n v="0.15"/>
    <x v="0"/>
    <n v="0"/>
  </r>
  <r>
    <x v="499"/>
    <d v="2024-04-01T00:00:00"/>
    <n v="39262"/>
    <n v="31801"/>
    <n v="1.8"/>
    <n v="0.75"/>
    <n v="1.1100000000000001"/>
    <n v="597"/>
    <x v="0"/>
    <m/>
    <n v="0"/>
    <n v="12"/>
    <s v="Validation"/>
    <n v="0.2"/>
    <x v="0"/>
    <n v="0"/>
  </r>
  <r>
    <x v="500"/>
    <d v="2024-11-01T00:00:00"/>
    <n v="54111"/>
    <n v="15472"/>
    <n v="1.27"/>
    <n v="2.77"/>
    <n v="2.06"/>
    <n v="572"/>
    <x v="0"/>
    <m/>
    <n v="0"/>
    <n v="6"/>
    <s v="Validation"/>
    <n v="0.55000000000000004"/>
    <x v="0"/>
    <n v="0"/>
  </r>
  <r>
    <x v="501"/>
    <d v="2023-02-01T00:00:00"/>
    <n v="18680"/>
    <n v="9470"/>
    <n v="1.57"/>
    <n v="1.59"/>
    <n v="1.36"/>
    <n v="648"/>
    <x v="0"/>
    <m/>
    <n v="0"/>
    <n v="18"/>
    <s v="Development"/>
    <n v="0"/>
    <x v="0"/>
    <n v="0"/>
  </r>
  <r>
    <x v="502"/>
    <d v="2024-05-01T00:00:00"/>
    <n v="30721"/>
    <n v="23505"/>
    <n v="0.2"/>
    <n v="1.65"/>
    <n v="0.67"/>
    <n v="590"/>
    <x v="1"/>
    <n v="12192"/>
    <n v="1"/>
    <n v="6"/>
    <s v="Validation"/>
    <n v="0.65"/>
    <x v="1"/>
    <n v="0"/>
  </r>
  <r>
    <x v="503"/>
    <d v="2024-08-01T00:00:00"/>
    <n v="12276"/>
    <n v="6758"/>
    <n v="1.19"/>
    <n v="0.34"/>
    <n v="2.04"/>
    <n v="657"/>
    <x v="0"/>
    <m/>
    <n v="0"/>
    <n v="12"/>
    <s v="Validation"/>
    <n v="0"/>
    <x v="0"/>
    <n v="0"/>
  </r>
  <r>
    <x v="504"/>
    <d v="2024-12-01T00:00:00"/>
    <n v="47075"/>
    <n v="18647"/>
    <n v="1.8"/>
    <n v="0.4"/>
    <n v="1.75"/>
    <n v="708"/>
    <x v="0"/>
    <m/>
    <n v="0"/>
    <n v="6"/>
    <s v="Validation"/>
    <n v="0"/>
    <x v="0"/>
    <n v="0"/>
  </r>
  <r>
    <x v="505"/>
    <d v="2023-12-01T00:00:00"/>
    <n v="55308"/>
    <n v="19031"/>
    <m/>
    <n v="0.12"/>
    <n v="1.65"/>
    <n v="631"/>
    <x v="0"/>
    <m/>
    <n v="0"/>
    <n v="6"/>
    <s v="Development"/>
    <n v="0"/>
    <x v="0"/>
    <n v="0"/>
  </r>
  <r>
    <x v="506"/>
    <d v="2024-06-01T00:00:00"/>
    <n v="26527"/>
    <n v="28061"/>
    <n v="1.58"/>
    <n v="0.51"/>
    <n v="1.74"/>
    <n v="602"/>
    <x v="1"/>
    <m/>
    <n v="0"/>
    <n v="12"/>
    <s v="Validation"/>
    <n v="0"/>
    <x v="0"/>
    <n v="1"/>
  </r>
  <r>
    <x v="507"/>
    <d v="2023-03-01T00:00:00"/>
    <n v="101022"/>
    <n v="92204"/>
    <n v="1.8"/>
    <n v="1.77"/>
    <n v="2.67"/>
    <n v="684"/>
    <x v="0"/>
    <m/>
    <n v="0"/>
    <n v="12"/>
    <s v="Development"/>
    <n v="0"/>
    <x v="0"/>
    <n v="0"/>
  </r>
  <r>
    <x v="508"/>
    <d v="2023-01-01T00:00:00"/>
    <n v="16371"/>
    <n v="17583"/>
    <n v="1.36"/>
    <n v="1.3"/>
    <n v="2.5499999999999998"/>
    <m/>
    <x v="0"/>
    <m/>
    <n v="0"/>
    <n v="18"/>
    <s v="Development"/>
    <n v="0"/>
    <x v="0"/>
    <n v="0"/>
  </r>
  <r>
    <x v="509"/>
    <d v="2023-01-01T00:00:00"/>
    <n v="14019"/>
    <n v="9356"/>
    <n v="1.64"/>
    <n v="0.77"/>
    <n v="0.97"/>
    <n v="587"/>
    <x v="0"/>
    <m/>
    <n v="0"/>
    <n v="12"/>
    <s v="Development"/>
    <n v="0.2"/>
    <x v="0"/>
    <n v="0"/>
  </r>
  <r>
    <x v="510"/>
    <d v="2024-07-01T00:00:00"/>
    <n v="42020"/>
    <n v="13123"/>
    <n v="1.02"/>
    <n v="0.89"/>
    <n v="2.2400000000000002"/>
    <n v="725"/>
    <x v="0"/>
    <m/>
    <n v="0"/>
    <n v="12"/>
    <s v="Validation"/>
    <n v="0"/>
    <x v="0"/>
    <n v="0"/>
  </r>
  <r>
    <x v="511"/>
    <d v="2023-11-01T00:00:00"/>
    <n v="71726"/>
    <n v="3872"/>
    <n v="1.44"/>
    <n v="0.56000000000000005"/>
    <n v="1.56"/>
    <n v="725"/>
    <x v="0"/>
    <m/>
    <n v="0"/>
    <n v="6"/>
    <s v="Development"/>
    <n v="0"/>
    <x v="0"/>
    <n v="0"/>
  </r>
  <r>
    <x v="512"/>
    <d v="2023-05-01T00:00:00"/>
    <n v="108505"/>
    <n v="8215"/>
    <n v="1.89"/>
    <n v="1.04"/>
    <n v="1.62"/>
    <n v="732"/>
    <x v="0"/>
    <m/>
    <n v="0"/>
    <n v="12"/>
    <s v="Development"/>
    <n v="0"/>
    <x v="0"/>
    <n v="0"/>
  </r>
  <r>
    <x v="513"/>
    <d v="2023-12-01T00:00:00"/>
    <n v="26950"/>
    <n v="10032"/>
    <n v="1.64"/>
    <n v="1.55"/>
    <n v="0.42"/>
    <n v="747"/>
    <x v="0"/>
    <m/>
    <n v="0"/>
    <n v="12"/>
    <s v="Development"/>
    <n v="0.15"/>
    <x v="0"/>
    <n v="0"/>
  </r>
  <r>
    <x v="514"/>
    <d v="2023-03-01T00:00:00"/>
    <n v="73214"/>
    <n v="9257"/>
    <n v="1.23"/>
    <n v="0.28999999999999998"/>
    <n v="1.26"/>
    <n v="801"/>
    <x v="0"/>
    <m/>
    <n v="0"/>
    <n v="12"/>
    <s v="Development"/>
    <n v="0"/>
    <x v="0"/>
    <n v="0"/>
  </r>
  <r>
    <x v="515"/>
    <d v="2023-01-01T00:00:00"/>
    <n v="35418"/>
    <n v="14863"/>
    <n v="1.67"/>
    <n v="1.1200000000000001"/>
    <n v="0.9"/>
    <n v="660"/>
    <x v="1"/>
    <n v="6081"/>
    <n v="1"/>
    <n v="18"/>
    <s v="Development"/>
    <n v="0"/>
    <x v="1"/>
    <n v="0"/>
  </r>
  <r>
    <x v="516"/>
    <d v="2023-01-01T00:00:00"/>
    <n v="32461"/>
    <n v="7512"/>
    <n v="1.94"/>
    <n v="1.74"/>
    <n v="1.81"/>
    <n v="686"/>
    <x v="0"/>
    <m/>
    <n v="0"/>
    <n v="12"/>
    <s v="Development"/>
    <n v="0"/>
    <x v="0"/>
    <n v="0"/>
  </r>
  <r>
    <x v="517"/>
    <d v="2023-08-01T00:00:00"/>
    <n v="64497"/>
    <n v="29282"/>
    <n v="0.42"/>
    <n v="0.68"/>
    <n v="1.94"/>
    <n v="657"/>
    <x v="0"/>
    <m/>
    <n v="0"/>
    <n v="12"/>
    <s v="Development"/>
    <n v="0.3"/>
    <x v="0"/>
    <n v="0"/>
  </r>
  <r>
    <x v="518"/>
    <d v="2023-10-01T00:00:00"/>
    <n v="55493"/>
    <n v="13362"/>
    <n v="2.19"/>
    <n v="1.48"/>
    <n v="0.21"/>
    <n v="680"/>
    <x v="0"/>
    <m/>
    <n v="0"/>
    <n v="12"/>
    <s v="Development"/>
    <n v="0.15"/>
    <x v="0"/>
    <n v="0"/>
  </r>
  <r>
    <x v="519"/>
    <d v="2023-11-01T00:00:00"/>
    <n v="13034"/>
    <n v="13273"/>
    <n v="1.37"/>
    <n v="6.49"/>
    <n v="1.34"/>
    <n v="764"/>
    <x v="0"/>
    <m/>
    <n v="0"/>
    <n v="12"/>
    <s v="Development"/>
    <n v="0.35"/>
    <x v="0"/>
    <n v="0"/>
  </r>
  <r>
    <x v="520"/>
    <d v="2023-12-01T00:00:00"/>
    <n v="94821"/>
    <n v="10620"/>
    <n v="1.78"/>
    <n v="0.84"/>
    <n v="1.97"/>
    <n v="606"/>
    <x v="0"/>
    <m/>
    <n v="0"/>
    <n v="12"/>
    <s v="Development"/>
    <n v="0"/>
    <x v="0"/>
    <n v="0"/>
  </r>
  <r>
    <x v="521"/>
    <d v="2024-01-01T00:00:00"/>
    <n v="89059"/>
    <n v="14893"/>
    <n v="2.21"/>
    <n v="1.19"/>
    <n v="1.25"/>
    <n v="633"/>
    <x v="0"/>
    <m/>
    <n v="0"/>
    <n v="12"/>
    <s v="Validation"/>
    <n v="0"/>
    <x v="0"/>
    <n v="0"/>
  </r>
  <r>
    <x v="522"/>
    <d v="2023-12-01T00:00:00"/>
    <n v="24182"/>
    <n v="23803"/>
    <n v="0.8"/>
    <n v="0.54"/>
    <n v="1.75"/>
    <n v="756"/>
    <x v="0"/>
    <m/>
    <n v="0"/>
    <n v="12"/>
    <s v="Development"/>
    <n v="0.3"/>
    <x v="0"/>
    <n v="0"/>
  </r>
  <r>
    <x v="523"/>
    <d v="2024-02-01T00:00:00"/>
    <n v="46970"/>
    <n v="7281"/>
    <m/>
    <n v="1.03"/>
    <n v="1.54"/>
    <n v="736"/>
    <x v="0"/>
    <m/>
    <n v="0"/>
    <n v="12"/>
    <s v="Validation"/>
    <n v="0"/>
    <x v="0"/>
    <n v="0"/>
  </r>
  <r>
    <x v="524"/>
    <d v="2023-02-01T00:00:00"/>
    <n v="50067"/>
    <n v="8428"/>
    <n v="1.39"/>
    <n v="1.25"/>
    <n v="1.54"/>
    <n v="660"/>
    <x v="0"/>
    <m/>
    <n v="0"/>
    <n v="12"/>
    <s v="Development"/>
    <n v="0"/>
    <x v="0"/>
    <n v="0"/>
  </r>
  <r>
    <x v="525"/>
    <d v="2024-07-01T00:00:00"/>
    <n v="43021"/>
    <n v="10801"/>
    <n v="1.1200000000000001"/>
    <n v="1.04"/>
    <n v="1.2"/>
    <n v="727"/>
    <x v="0"/>
    <m/>
    <n v="0"/>
    <n v="18"/>
    <s v="Validation"/>
    <n v="0"/>
    <x v="0"/>
    <n v="0"/>
  </r>
  <r>
    <x v="526"/>
    <d v="2024-06-01T00:00:00"/>
    <n v="25395"/>
    <n v="5208"/>
    <n v="2.5"/>
    <n v="0.44"/>
    <n v="0.68"/>
    <n v="699"/>
    <x v="0"/>
    <m/>
    <n v="0"/>
    <n v="12"/>
    <s v="Validation"/>
    <n v="0.15"/>
    <x v="0"/>
    <n v="0"/>
  </r>
  <r>
    <x v="527"/>
    <d v="2023-03-01T00:00:00"/>
    <n v="23469"/>
    <n v="7529"/>
    <n v="1.08"/>
    <n v="1.05"/>
    <n v="0.73"/>
    <n v="763"/>
    <x v="0"/>
    <m/>
    <n v="0"/>
    <n v="18"/>
    <s v="Development"/>
    <n v="0.15"/>
    <x v="0"/>
    <n v="0"/>
  </r>
  <r>
    <x v="528"/>
    <d v="2024-11-01T00:00:00"/>
    <n v="35717"/>
    <n v="9572"/>
    <n v="1.24"/>
    <n v="2.52"/>
    <n v="1.74"/>
    <n v="684"/>
    <x v="0"/>
    <m/>
    <n v="0"/>
    <n v="6"/>
    <s v="Validation"/>
    <n v="0.35"/>
    <x v="0"/>
    <n v="0"/>
  </r>
  <r>
    <x v="529"/>
    <d v="2024-05-01T00:00:00"/>
    <n v="77829"/>
    <n v="24639"/>
    <n v="1.66"/>
    <n v="1.24"/>
    <n v="1.36"/>
    <n v="736"/>
    <x v="0"/>
    <m/>
    <n v="0"/>
    <n v="12"/>
    <s v="Validation"/>
    <n v="0"/>
    <x v="0"/>
    <n v="0"/>
  </r>
  <r>
    <x v="530"/>
    <d v="2023-08-01T00:00:00"/>
    <n v="51707"/>
    <n v="16055"/>
    <n v="0.89"/>
    <n v="1.77"/>
    <n v="1.27"/>
    <n v="825"/>
    <x v="0"/>
    <m/>
    <n v="0"/>
    <n v="12"/>
    <s v="Development"/>
    <n v="0.3"/>
    <x v="0"/>
    <n v="0"/>
  </r>
  <r>
    <x v="531"/>
    <d v="2023-10-01T00:00:00"/>
    <n v="28541"/>
    <n v="15299"/>
    <n v="1.33"/>
    <n v="0.77"/>
    <n v="1.1200000000000001"/>
    <n v="713"/>
    <x v="0"/>
    <m/>
    <n v="0"/>
    <n v="12"/>
    <s v="Development"/>
    <n v="0"/>
    <x v="0"/>
    <n v="0"/>
  </r>
  <r>
    <x v="532"/>
    <d v="2023-02-01T00:00:00"/>
    <n v="59970"/>
    <n v="24237"/>
    <n v="1.72"/>
    <n v="1.53"/>
    <n v="1.18"/>
    <n v="683"/>
    <x v="0"/>
    <m/>
    <n v="0"/>
    <n v="6"/>
    <s v="Development"/>
    <n v="0"/>
    <x v="0"/>
    <n v="0"/>
  </r>
  <r>
    <x v="533"/>
    <d v="2024-07-01T00:00:00"/>
    <n v="5701"/>
    <n v="12135"/>
    <n v="1.37"/>
    <n v="1.1000000000000001"/>
    <n v="1.93"/>
    <n v="720"/>
    <x v="1"/>
    <n v="49889"/>
    <n v="1"/>
    <n v="12"/>
    <s v="Validation"/>
    <n v="0"/>
    <x v="1"/>
    <n v="0"/>
  </r>
  <r>
    <x v="534"/>
    <d v="2023-09-01T00:00:00"/>
    <n v="76626"/>
    <n v="17559"/>
    <n v="1.5"/>
    <n v="0.47"/>
    <n v="1.17"/>
    <n v="660"/>
    <x v="0"/>
    <m/>
    <n v="0"/>
    <n v="12"/>
    <s v="Development"/>
    <n v="0"/>
    <x v="0"/>
    <n v="0"/>
  </r>
  <r>
    <x v="535"/>
    <d v="2023-07-01T00:00:00"/>
    <n v="11722"/>
    <n v="12428"/>
    <n v="1.26"/>
    <n v="1.1299999999999999"/>
    <n v="0.61"/>
    <n v="811"/>
    <x v="0"/>
    <m/>
    <n v="0"/>
    <n v="12"/>
    <s v="Development"/>
    <n v="0.15"/>
    <x v="0"/>
    <n v="0"/>
  </r>
  <r>
    <x v="536"/>
    <d v="2023-04-01T00:00:00"/>
    <n v="28693"/>
    <n v="16087"/>
    <n v="0.72"/>
    <n v="0.45"/>
    <n v="1.76"/>
    <n v="690"/>
    <x v="0"/>
    <m/>
    <n v="0"/>
    <n v="12"/>
    <s v="Development"/>
    <n v="0.3"/>
    <x v="0"/>
    <n v="0"/>
  </r>
  <r>
    <x v="537"/>
    <d v="2024-09-01T00:00:00"/>
    <n v="17540"/>
    <n v="8885"/>
    <n v="1.73"/>
    <n v="0.57999999999999996"/>
    <n v="1.24"/>
    <n v="665"/>
    <x v="0"/>
    <m/>
    <n v="0"/>
    <n v="12"/>
    <s v="Validation"/>
    <n v="0"/>
    <x v="0"/>
    <n v="0"/>
  </r>
  <r>
    <x v="538"/>
    <d v="2024-06-01T00:00:00"/>
    <n v="15654"/>
    <n v="2423"/>
    <n v="2.52"/>
    <n v="1.03"/>
    <n v="1.37"/>
    <n v="634"/>
    <x v="0"/>
    <m/>
    <n v="0"/>
    <n v="12"/>
    <s v="Validation"/>
    <n v="0"/>
    <x v="0"/>
    <n v="0"/>
  </r>
  <r>
    <x v="539"/>
    <d v="2024-01-01T00:00:00"/>
    <n v="77230"/>
    <n v="12161"/>
    <n v="1.56"/>
    <n v="1.1100000000000001"/>
    <n v="2.23"/>
    <n v="740"/>
    <x v="0"/>
    <m/>
    <n v="0"/>
    <n v="18"/>
    <s v="Validation"/>
    <n v="0"/>
    <x v="0"/>
    <n v="0"/>
  </r>
  <r>
    <x v="540"/>
    <d v="2023-11-01T00:00:00"/>
    <n v="26796"/>
    <n v="36168"/>
    <n v="1.67"/>
    <n v="0.39"/>
    <n v="1.34"/>
    <n v="728"/>
    <x v="0"/>
    <m/>
    <n v="0"/>
    <n v="6"/>
    <s v="Development"/>
    <n v="0"/>
    <x v="0"/>
    <n v="0"/>
  </r>
  <r>
    <x v="541"/>
    <d v="2024-12-01T00:00:00"/>
    <n v="45489"/>
    <n v="25549"/>
    <n v="1.93"/>
    <n v="1.89"/>
    <n v="1.51"/>
    <n v="653"/>
    <x v="0"/>
    <m/>
    <n v="0"/>
    <n v="12"/>
    <s v="Validation"/>
    <n v="0"/>
    <x v="0"/>
    <n v="0"/>
  </r>
  <r>
    <x v="542"/>
    <d v="2023-04-01T00:00:00"/>
    <n v="35225"/>
    <n v="26259"/>
    <n v="0.85"/>
    <n v="1.35"/>
    <n v="0.7"/>
    <n v="712"/>
    <x v="0"/>
    <m/>
    <n v="0"/>
    <n v="12"/>
    <s v="Development"/>
    <n v="0.45"/>
    <x v="0"/>
    <n v="0"/>
  </r>
  <r>
    <x v="543"/>
    <d v="2024-09-01T00:00:00"/>
    <n v="49517"/>
    <n v="31739"/>
    <n v="2.4900000000000002"/>
    <n v="0.55000000000000004"/>
    <n v="1.23"/>
    <n v="597"/>
    <x v="0"/>
    <m/>
    <n v="0"/>
    <n v="12"/>
    <s v="Validation"/>
    <n v="0.2"/>
    <x v="0"/>
    <n v="0"/>
  </r>
  <r>
    <x v="544"/>
    <d v="2023-04-01T00:00:00"/>
    <n v="38175"/>
    <n v="14215"/>
    <n v="1.66"/>
    <n v="0.31"/>
    <n v="1.69"/>
    <n v="690"/>
    <x v="0"/>
    <m/>
    <n v="0"/>
    <n v="12"/>
    <s v="Development"/>
    <n v="0"/>
    <x v="0"/>
    <n v="0"/>
  </r>
  <r>
    <x v="545"/>
    <d v="2023-10-01T00:00:00"/>
    <n v="15773"/>
    <n v="15338"/>
    <m/>
    <n v="0.82"/>
    <n v="0.49"/>
    <n v="705"/>
    <x v="0"/>
    <m/>
    <n v="0"/>
    <n v="12"/>
    <s v="Development"/>
    <n v="0.15"/>
    <x v="0"/>
    <n v="0"/>
  </r>
  <r>
    <x v="546"/>
    <d v="2023-05-01T00:00:00"/>
    <n v="69395"/>
    <n v="8670"/>
    <n v="1.1499999999999999"/>
    <n v="0.66"/>
    <n v="1.46"/>
    <n v="774"/>
    <x v="1"/>
    <n v="34492"/>
    <n v="1"/>
    <n v="12"/>
    <s v="Development"/>
    <n v="0"/>
    <x v="1"/>
    <n v="0"/>
  </r>
  <r>
    <x v="547"/>
    <d v="2023-09-01T00:00:00"/>
    <n v="26346"/>
    <n v="10708"/>
    <n v="2.5499999999999998"/>
    <n v="0.98"/>
    <n v="1.41"/>
    <n v="638"/>
    <x v="0"/>
    <m/>
    <n v="0"/>
    <n v="12"/>
    <s v="Development"/>
    <n v="0"/>
    <x v="0"/>
    <n v="0"/>
  </r>
  <r>
    <x v="548"/>
    <d v="2024-12-01T00:00:00"/>
    <n v="13203"/>
    <n v="20559"/>
    <n v="1.98"/>
    <n v="0.7"/>
    <n v="1.37"/>
    <n v="610"/>
    <x v="1"/>
    <m/>
    <n v="0"/>
    <n v="12"/>
    <s v="Validation"/>
    <n v="0"/>
    <x v="0"/>
    <n v="1"/>
  </r>
  <r>
    <x v="549"/>
    <d v="2023-03-01T00:00:00"/>
    <n v="27494"/>
    <n v="31030"/>
    <n v="1.85"/>
    <n v="0.22"/>
    <n v="1.92"/>
    <n v="631"/>
    <x v="0"/>
    <m/>
    <n v="0"/>
    <n v="18"/>
    <s v="Development"/>
    <n v="0"/>
    <x v="0"/>
    <n v="0"/>
  </r>
  <r>
    <x v="550"/>
    <d v="2024-05-01T00:00:00"/>
    <n v="96326"/>
    <n v="12117"/>
    <n v="1.68"/>
    <n v="0.69"/>
    <n v="1.53"/>
    <n v="606"/>
    <x v="1"/>
    <n v="19402"/>
    <n v="1"/>
    <n v="6"/>
    <s v="Validation"/>
    <n v="0"/>
    <x v="1"/>
    <n v="0"/>
  </r>
  <r>
    <x v="551"/>
    <d v="2023-03-01T00:00:00"/>
    <n v="63111"/>
    <n v="9748"/>
    <n v="1.41"/>
    <n v="0.73"/>
    <n v="2.16"/>
    <n v="754"/>
    <x v="0"/>
    <m/>
    <n v="0"/>
    <n v="12"/>
    <s v="Development"/>
    <n v="0"/>
    <x v="0"/>
    <n v="0"/>
  </r>
  <r>
    <x v="552"/>
    <d v="2024-04-01T00:00:00"/>
    <n v="28951"/>
    <n v="13365"/>
    <n v="2.21"/>
    <n v="1.41"/>
    <n v="0.8"/>
    <n v="765"/>
    <x v="0"/>
    <m/>
    <n v="0"/>
    <n v="6"/>
    <s v="Validation"/>
    <n v="0"/>
    <x v="0"/>
    <n v="0"/>
  </r>
  <r>
    <x v="553"/>
    <d v="2023-04-01T00:00:00"/>
    <n v="28940"/>
    <n v="20350"/>
    <n v="1.63"/>
    <n v="0.56000000000000005"/>
    <n v="1.42"/>
    <n v="698"/>
    <x v="0"/>
    <m/>
    <n v="0"/>
    <n v="12"/>
    <s v="Development"/>
    <n v="0"/>
    <x v="0"/>
    <n v="0"/>
  </r>
  <r>
    <x v="554"/>
    <d v="2024-06-01T00:00:00"/>
    <n v="29464"/>
    <n v="4862"/>
    <n v="0.47"/>
    <n v="2.93"/>
    <n v="1.4"/>
    <n v="747"/>
    <x v="0"/>
    <m/>
    <n v="0"/>
    <n v="12"/>
    <s v="Validation"/>
    <n v="0.64999999999999991"/>
    <x v="0"/>
    <n v="0"/>
  </r>
  <r>
    <x v="555"/>
    <d v="2024-05-01T00:00:00"/>
    <n v="140068"/>
    <n v="2678"/>
    <n v="0.94"/>
    <n v="0.24"/>
    <n v="0.76"/>
    <n v="687"/>
    <x v="0"/>
    <m/>
    <n v="0"/>
    <n v="18"/>
    <s v="Validation"/>
    <n v="0.45"/>
    <x v="0"/>
    <n v="0"/>
  </r>
  <r>
    <x v="556"/>
    <d v="2023-07-01T00:00:00"/>
    <n v="46549"/>
    <n v="9087"/>
    <n v="1.45"/>
    <n v="2.27"/>
    <n v="1.88"/>
    <n v="675"/>
    <x v="0"/>
    <m/>
    <n v="0"/>
    <n v="18"/>
    <s v="Development"/>
    <n v="0.35"/>
    <x v="0"/>
    <n v="0"/>
  </r>
  <r>
    <x v="557"/>
    <d v="2024-12-01T00:00:00"/>
    <n v="48027"/>
    <n v="5685"/>
    <n v="1.72"/>
    <n v="0.77"/>
    <n v="2.63"/>
    <n v="662"/>
    <x v="0"/>
    <m/>
    <n v="0"/>
    <n v="6"/>
    <s v="Validation"/>
    <n v="0"/>
    <x v="0"/>
    <n v="0"/>
  </r>
  <r>
    <x v="558"/>
    <d v="2024-11-01T00:00:00"/>
    <n v="70947"/>
    <n v="9361"/>
    <n v="1.52"/>
    <n v="1.65"/>
    <n v="1.34"/>
    <n v="663"/>
    <x v="1"/>
    <n v="11980"/>
    <n v="1"/>
    <n v="12"/>
    <s v="Validation"/>
    <n v="0"/>
    <x v="1"/>
    <n v="0"/>
  </r>
  <r>
    <x v="559"/>
    <d v="2023-05-01T00:00:00"/>
    <n v="42413"/>
    <n v="12047"/>
    <n v="2.2200000000000002"/>
    <n v="0.96"/>
    <n v="1.63"/>
    <n v="595"/>
    <x v="0"/>
    <m/>
    <n v="0"/>
    <n v="12"/>
    <s v="Development"/>
    <n v="0.2"/>
    <x v="0"/>
    <n v="0"/>
  </r>
  <r>
    <x v="560"/>
    <d v="2023-12-01T00:00:00"/>
    <n v="30688"/>
    <n v="9728"/>
    <n v="0.48"/>
    <n v="2.0099999999999998"/>
    <n v="1.4"/>
    <n v="695"/>
    <x v="0"/>
    <m/>
    <n v="0"/>
    <n v="18"/>
    <s v="Development"/>
    <n v="0.64999999999999991"/>
    <x v="0"/>
    <n v="0"/>
  </r>
  <r>
    <x v="561"/>
    <d v="2024-05-01T00:00:00"/>
    <n v="31964"/>
    <n v="36928"/>
    <n v="1.63"/>
    <n v="0.69"/>
    <n v="0.96"/>
    <n v="678"/>
    <x v="1"/>
    <m/>
    <n v="0"/>
    <n v="12"/>
    <s v="Validation"/>
    <n v="0"/>
    <x v="0"/>
    <n v="1"/>
  </r>
  <r>
    <x v="562"/>
    <d v="2024-11-01T00:00:00"/>
    <n v="34664"/>
    <n v="16793"/>
    <n v="0.55000000000000004"/>
    <n v="0.42"/>
    <n v="0.35"/>
    <n v="721"/>
    <x v="1"/>
    <n v="16704"/>
    <n v="1"/>
    <n v="12"/>
    <s v="Validation"/>
    <n v="0.45"/>
    <x v="1"/>
    <n v="0"/>
  </r>
  <r>
    <x v="563"/>
    <d v="2024-01-01T00:00:00"/>
    <n v="35447"/>
    <n v="16487"/>
    <n v="1.97"/>
    <n v="2.4500000000000002"/>
    <n v="0.96"/>
    <n v="685"/>
    <x v="0"/>
    <m/>
    <n v="0"/>
    <n v="6"/>
    <s v="Validation"/>
    <n v="0.35"/>
    <x v="0"/>
    <n v="0"/>
  </r>
  <r>
    <x v="564"/>
    <d v="2024-11-01T00:00:00"/>
    <n v="58277"/>
    <n v="20652"/>
    <n v="1.5"/>
    <n v="0.84"/>
    <n v="0.57999999999999996"/>
    <n v="671"/>
    <x v="0"/>
    <m/>
    <n v="0"/>
    <n v="12"/>
    <s v="Validation"/>
    <n v="0.15"/>
    <x v="0"/>
    <n v="0"/>
  </r>
  <r>
    <x v="565"/>
    <d v="2023-03-01T00:00:00"/>
    <n v="37563"/>
    <n v="6020"/>
    <n v="1.78"/>
    <n v="1.06"/>
    <n v="2.29"/>
    <n v="632"/>
    <x v="0"/>
    <m/>
    <n v="0"/>
    <n v="12"/>
    <s v="Development"/>
    <n v="0"/>
    <x v="0"/>
    <n v="0"/>
  </r>
  <r>
    <x v="566"/>
    <d v="2023-09-01T00:00:00"/>
    <n v="58467"/>
    <n v="27650"/>
    <n v="1.07"/>
    <n v="2.15"/>
    <n v="1.29"/>
    <n v="684"/>
    <x v="0"/>
    <m/>
    <n v="0"/>
    <n v="12"/>
    <s v="Development"/>
    <n v="0.35"/>
    <x v="0"/>
    <n v="0"/>
  </r>
  <r>
    <x v="567"/>
    <d v="2024-05-01T00:00:00"/>
    <n v="34459"/>
    <n v="12670"/>
    <n v="2.25"/>
    <n v="0.44"/>
    <n v="1.1599999999999999"/>
    <n v="721"/>
    <x v="0"/>
    <m/>
    <n v="0"/>
    <n v="6"/>
    <s v="Validation"/>
    <n v="0"/>
    <x v="0"/>
    <n v="0"/>
  </r>
  <r>
    <x v="568"/>
    <d v="2024-05-01T00:00:00"/>
    <n v="38220"/>
    <n v="21361"/>
    <n v="2.12"/>
    <n v="1.37"/>
    <n v="1.84"/>
    <n v="617"/>
    <x v="0"/>
    <m/>
    <n v="0"/>
    <n v="6"/>
    <s v="Validation"/>
    <n v="0"/>
    <x v="0"/>
    <n v="0"/>
  </r>
  <r>
    <x v="569"/>
    <d v="2024-08-01T00:00:00"/>
    <n v="9909"/>
    <n v="6309"/>
    <n v="1.87"/>
    <n v="0.6"/>
    <n v="0.73"/>
    <n v="685"/>
    <x v="0"/>
    <m/>
    <n v="0"/>
    <n v="12"/>
    <s v="Validation"/>
    <n v="0.15"/>
    <x v="0"/>
    <n v="0"/>
  </r>
  <r>
    <x v="570"/>
    <d v="2024-04-01T00:00:00"/>
    <n v="65882"/>
    <n v="4502"/>
    <n v="1.48"/>
    <n v="0.82"/>
    <n v="0.93"/>
    <n v="693"/>
    <x v="0"/>
    <m/>
    <n v="0"/>
    <n v="12"/>
    <s v="Validation"/>
    <n v="0"/>
    <x v="0"/>
    <n v="0"/>
  </r>
  <r>
    <x v="571"/>
    <d v="2024-10-01T00:00:00"/>
    <m/>
    <n v="23683"/>
    <n v="1.87"/>
    <n v="0.95"/>
    <n v="1.39"/>
    <n v="641"/>
    <x v="0"/>
    <m/>
    <n v="0"/>
    <n v="12"/>
    <s v="Validation"/>
    <n v="0"/>
    <x v="0"/>
    <n v="0"/>
  </r>
  <r>
    <x v="572"/>
    <d v="2024-01-01T00:00:00"/>
    <n v="69474"/>
    <n v="17387"/>
    <n v="1.1599999999999999"/>
    <n v="0.32"/>
    <n v="1.92"/>
    <n v="648"/>
    <x v="0"/>
    <m/>
    <n v="0"/>
    <n v="18"/>
    <s v="Validation"/>
    <n v="0"/>
    <x v="0"/>
    <n v="0"/>
  </r>
  <r>
    <x v="573"/>
    <d v="2024-07-01T00:00:00"/>
    <n v="5527"/>
    <n v="7105"/>
    <n v="2.02"/>
    <n v="0.52"/>
    <n v="1.63"/>
    <n v="693"/>
    <x v="0"/>
    <m/>
    <n v="0"/>
    <n v="6"/>
    <s v="Validation"/>
    <n v="0"/>
    <x v="0"/>
    <n v="0"/>
  </r>
  <r>
    <x v="574"/>
    <d v="2024-05-01T00:00:00"/>
    <n v="141131"/>
    <n v="7268"/>
    <n v="2.46"/>
    <n v="2.33"/>
    <n v="1.49"/>
    <n v="618"/>
    <x v="0"/>
    <m/>
    <n v="0"/>
    <n v="12"/>
    <s v="Validation"/>
    <n v="0.35"/>
    <x v="0"/>
    <n v="0"/>
  </r>
  <r>
    <x v="575"/>
    <d v="2023-04-01T00:00:00"/>
    <n v="33166"/>
    <n v="29372"/>
    <n v="2.14"/>
    <n v="1.68"/>
    <n v="1.39"/>
    <n v="699"/>
    <x v="0"/>
    <m/>
    <n v="0"/>
    <n v="12"/>
    <s v="Development"/>
    <n v="0"/>
    <x v="0"/>
    <n v="0"/>
  </r>
  <r>
    <x v="576"/>
    <d v="2023-12-01T00:00:00"/>
    <n v="74632"/>
    <n v="5810"/>
    <n v="1.1499999999999999"/>
    <n v="0.87"/>
    <n v="1.57"/>
    <n v="631"/>
    <x v="0"/>
    <m/>
    <n v="0"/>
    <n v="12"/>
    <s v="Development"/>
    <n v="0"/>
    <x v="0"/>
    <n v="0"/>
  </r>
  <r>
    <x v="577"/>
    <d v="2023-09-01T00:00:00"/>
    <n v="18473"/>
    <n v="42187"/>
    <n v="1.75"/>
    <n v="1.07"/>
    <n v="1.46"/>
    <n v="738"/>
    <x v="0"/>
    <m/>
    <n v="0"/>
    <n v="18"/>
    <s v="Development"/>
    <n v="0"/>
    <x v="0"/>
    <n v="0"/>
  </r>
  <r>
    <x v="578"/>
    <d v="2024-07-01T00:00:00"/>
    <n v="54085"/>
    <n v="7112"/>
    <n v="0.84"/>
    <n v="0.74"/>
    <n v="0.78"/>
    <n v="809"/>
    <x v="0"/>
    <m/>
    <n v="0"/>
    <n v="6"/>
    <s v="Validation"/>
    <n v="0.45"/>
    <x v="0"/>
    <n v="0"/>
  </r>
  <r>
    <x v="579"/>
    <d v="2023-12-01T00:00:00"/>
    <n v="18311"/>
    <n v="20887"/>
    <n v="1.86"/>
    <n v="2.34"/>
    <n v="1.38"/>
    <n v="633"/>
    <x v="0"/>
    <m/>
    <n v="0"/>
    <n v="12"/>
    <s v="Development"/>
    <n v="0.35"/>
    <x v="0"/>
    <n v="0"/>
  </r>
  <r>
    <x v="580"/>
    <d v="2023-09-01T00:00:00"/>
    <n v="24211"/>
    <n v="10614"/>
    <n v="1.8"/>
    <n v="0.79"/>
    <n v="0.76"/>
    <n v="709"/>
    <x v="0"/>
    <m/>
    <n v="0"/>
    <n v="12"/>
    <s v="Development"/>
    <n v="0.15"/>
    <x v="0"/>
    <n v="0"/>
  </r>
  <r>
    <x v="581"/>
    <d v="2023-07-01T00:00:00"/>
    <n v="126010"/>
    <n v="20378"/>
    <n v="0.52"/>
    <n v="1.06"/>
    <n v="1.39"/>
    <n v="640"/>
    <x v="0"/>
    <m/>
    <n v="0"/>
    <n v="6"/>
    <s v="Development"/>
    <n v="0.3"/>
    <x v="0"/>
    <n v="0"/>
  </r>
  <r>
    <x v="582"/>
    <d v="2024-02-01T00:00:00"/>
    <m/>
    <n v="9128"/>
    <n v="0.91"/>
    <n v="2.02"/>
    <n v="1.0900000000000001"/>
    <n v="737"/>
    <x v="1"/>
    <n v="43888"/>
    <n v="1"/>
    <n v="6"/>
    <s v="Validation"/>
    <n v="0.64999999999999991"/>
    <x v="1"/>
    <n v="0"/>
  </r>
  <r>
    <x v="583"/>
    <d v="2024-08-01T00:00:00"/>
    <n v="41828"/>
    <n v="11921"/>
    <n v="1.39"/>
    <n v="0.53"/>
    <n v="2.75"/>
    <n v="610"/>
    <x v="0"/>
    <m/>
    <n v="0"/>
    <n v="12"/>
    <s v="Validation"/>
    <n v="0"/>
    <x v="0"/>
    <n v="0"/>
  </r>
  <r>
    <x v="584"/>
    <d v="2024-07-01T00:00:00"/>
    <n v="63930"/>
    <n v="13748"/>
    <n v="1.38"/>
    <n v="2.69"/>
    <n v="1.33"/>
    <n v="706"/>
    <x v="0"/>
    <m/>
    <n v="0"/>
    <n v="18"/>
    <s v="Validation"/>
    <n v="0.35"/>
    <x v="0"/>
    <n v="0"/>
  </r>
  <r>
    <x v="585"/>
    <d v="2024-03-01T00:00:00"/>
    <n v="50121"/>
    <n v="6624"/>
    <n v="0.88"/>
    <n v="0.31"/>
    <n v="0.57999999999999996"/>
    <n v="632"/>
    <x v="0"/>
    <m/>
    <n v="0"/>
    <n v="12"/>
    <s v="Validation"/>
    <n v="0.45"/>
    <x v="0"/>
    <n v="0"/>
  </r>
  <r>
    <x v="586"/>
    <d v="2024-04-01T00:00:00"/>
    <n v="40046"/>
    <n v="22439"/>
    <n v="1.76"/>
    <n v="2.83"/>
    <n v="1.28"/>
    <n v="669"/>
    <x v="1"/>
    <n v="4749"/>
    <n v="1"/>
    <n v="18"/>
    <s v="Validation"/>
    <n v="0.35"/>
    <x v="1"/>
    <n v="0"/>
  </r>
  <r>
    <x v="587"/>
    <d v="2024-09-01T00:00:00"/>
    <n v="46038"/>
    <n v="9328"/>
    <n v="1.69"/>
    <n v="0.7"/>
    <n v="1.64"/>
    <n v="623"/>
    <x v="0"/>
    <m/>
    <n v="0"/>
    <n v="12"/>
    <s v="Validation"/>
    <n v="0"/>
    <x v="0"/>
    <n v="0"/>
  </r>
  <r>
    <x v="588"/>
    <d v="2023-05-01T00:00:00"/>
    <n v="173203"/>
    <n v="11384"/>
    <n v="1.44"/>
    <n v="0.76"/>
    <n v="2.27"/>
    <n v="725"/>
    <x v="0"/>
    <m/>
    <n v="0"/>
    <n v="12"/>
    <s v="Development"/>
    <n v="0"/>
    <x v="0"/>
    <n v="0"/>
  </r>
  <r>
    <x v="589"/>
    <d v="2023-03-01T00:00:00"/>
    <n v="34981"/>
    <n v="6661"/>
    <n v="1.1299999999999999"/>
    <n v="0.24"/>
    <n v="1.03"/>
    <n v="634"/>
    <x v="0"/>
    <m/>
    <n v="0"/>
    <n v="12"/>
    <s v="Development"/>
    <n v="0"/>
    <x v="0"/>
    <n v="0"/>
  </r>
  <r>
    <x v="590"/>
    <d v="2023-12-01T00:00:00"/>
    <n v="41387"/>
    <n v="2222"/>
    <n v="2.13"/>
    <n v="0.66"/>
    <n v="0.48"/>
    <n v="710"/>
    <x v="0"/>
    <m/>
    <n v="0"/>
    <n v="12"/>
    <s v="Development"/>
    <n v="0.15"/>
    <x v="0"/>
    <n v="0"/>
  </r>
  <r>
    <x v="591"/>
    <d v="2024-08-01T00:00:00"/>
    <n v="71892"/>
    <n v="11688"/>
    <n v="2.46"/>
    <n v="0.44"/>
    <n v="1.8"/>
    <n v="661"/>
    <x v="0"/>
    <m/>
    <n v="0"/>
    <n v="12"/>
    <s v="Validation"/>
    <n v="0"/>
    <x v="0"/>
    <n v="0"/>
  </r>
  <r>
    <x v="592"/>
    <d v="2024-09-01T00:00:00"/>
    <n v="74503"/>
    <n v="72318"/>
    <n v="1.28"/>
    <n v="0.59"/>
    <n v="0.59"/>
    <n v="674"/>
    <x v="0"/>
    <m/>
    <n v="0"/>
    <n v="6"/>
    <s v="Validation"/>
    <n v="0.15"/>
    <x v="0"/>
    <n v="0"/>
  </r>
  <r>
    <x v="593"/>
    <d v="2023-04-01T00:00:00"/>
    <n v="78556"/>
    <n v="23138"/>
    <n v="1.21"/>
    <n v="0.82"/>
    <n v="1.1100000000000001"/>
    <n v="688"/>
    <x v="1"/>
    <m/>
    <n v="0"/>
    <n v="18"/>
    <s v="Development"/>
    <n v="0"/>
    <x v="0"/>
    <n v="1"/>
  </r>
  <r>
    <x v="594"/>
    <d v="2024-09-01T00:00:00"/>
    <n v="55005"/>
    <n v="13181"/>
    <n v="1.82"/>
    <n v="1.77"/>
    <n v="1.21"/>
    <n v="638"/>
    <x v="0"/>
    <m/>
    <n v="0"/>
    <n v="18"/>
    <s v="Validation"/>
    <n v="0"/>
    <x v="0"/>
    <n v="0"/>
  </r>
  <r>
    <x v="595"/>
    <d v="2024-11-01T00:00:00"/>
    <n v="17276"/>
    <n v="11114"/>
    <n v="1.35"/>
    <n v="1.05"/>
    <n v="1.31"/>
    <n v="692"/>
    <x v="0"/>
    <m/>
    <n v="0"/>
    <n v="12"/>
    <s v="Validation"/>
    <n v="0"/>
    <x v="0"/>
    <n v="0"/>
  </r>
  <r>
    <x v="596"/>
    <d v="2024-04-01T00:00:00"/>
    <n v="105002"/>
    <n v="13571"/>
    <n v="1.47"/>
    <n v="1.1200000000000001"/>
    <n v="1.73"/>
    <n v="764"/>
    <x v="0"/>
    <m/>
    <n v="0"/>
    <n v="12"/>
    <s v="Validation"/>
    <n v="0"/>
    <x v="0"/>
    <n v="0"/>
  </r>
  <r>
    <x v="597"/>
    <d v="2023-07-01T00:00:00"/>
    <n v="17238"/>
    <n v="19594"/>
    <m/>
    <n v="0.42"/>
    <n v="0.97"/>
    <n v="637"/>
    <x v="0"/>
    <m/>
    <n v="0"/>
    <n v="12"/>
    <s v="Development"/>
    <n v="0"/>
    <x v="0"/>
    <n v="0"/>
  </r>
  <r>
    <x v="598"/>
    <d v="2024-01-01T00:00:00"/>
    <n v="44210"/>
    <n v="5846"/>
    <n v="0.5"/>
    <n v="0.49"/>
    <n v="1.2"/>
    <n v="744"/>
    <x v="0"/>
    <m/>
    <n v="0"/>
    <n v="6"/>
    <s v="Validation"/>
    <n v="0.3"/>
    <x v="0"/>
    <n v="0"/>
  </r>
  <r>
    <x v="599"/>
    <d v="2024-09-01T00:00:00"/>
    <n v="22242"/>
    <n v="29145"/>
    <n v="2.2799999999999998"/>
    <n v="3.19"/>
    <n v="1.34"/>
    <n v="762"/>
    <x v="0"/>
    <m/>
    <n v="0"/>
    <n v="12"/>
    <s v="Validation"/>
    <n v="0.35"/>
    <x v="0"/>
    <n v="0"/>
  </r>
  <r>
    <x v="600"/>
    <d v="2023-10-01T00:00:00"/>
    <n v="34833"/>
    <n v="22043"/>
    <n v="1.59"/>
    <n v="0.54"/>
    <n v="1.43"/>
    <n v="635"/>
    <x v="0"/>
    <m/>
    <n v="0"/>
    <n v="12"/>
    <s v="Development"/>
    <n v="0"/>
    <x v="0"/>
    <n v="0"/>
  </r>
  <r>
    <x v="601"/>
    <d v="2023-07-01T00:00:00"/>
    <n v="44968"/>
    <n v="22087"/>
    <n v="1.32"/>
    <n v="2.88"/>
    <n v="1.4"/>
    <n v="600"/>
    <x v="0"/>
    <m/>
    <n v="0"/>
    <n v="12"/>
    <s v="Development"/>
    <n v="0.35"/>
    <x v="0"/>
    <n v="0"/>
  </r>
  <r>
    <x v="602"/>
    <d v="2024-02-01T00:00:00"/>
    <n v="44752"/>
    <n v="18159"/>
    <n v="1.5"/>
    <n v="0.76"/>
    <n v="1.59"/>
    <n v="697"/>
    <x v="0"/>
    <m/>
    <n v="0"/>
    <n v="12"/>
    <s v="Validation"/>
    <n v="0"/>
    <x v="0"/>
    <n v="0"/>
  </r>
  <r>
    <x v="603"/>
    <d v="2023-05-01T00:00:00"/>
    <n v="47775"/>
    <n v="13544"/>
    <m/>
    <n v="0.91"/>
    <n v="1.81"/>
    <n v="650"/>
    <x v="0"/>
    <m/>
    <n v="0"/>
    <n v="12"/>
    <s v="Development"/>
    <n v="0"/>
    <x v="0"/>
    <n v="0"/>
  </r>
  <r>
    <x v="604"/>
    <d v="2023-03-01T00:00:00"/>
    <n v="103664"/>
    <n v="21397"/>
    <n v="0.6"/>
    <n v="1.91"/>
    <n v="1.57"/>
    <n v="783"/>
    <x v="1"/>
    <n v="38736"/>
    <n v="1"/>
    <n v="12"/>
    <s v="Development"/>
    <n v="0.3"/>
    <x v="1"/>
    <n v="0"/>
  </r>
  <r>
    <x v="605"/>
    <d v="2024-11-01T00:00:00"/>
    <n v="48766"/>
    <n v="20217"/>
    <n v="2.37"/>
    <n v="2.2000000000000002"/>
    <n v="1.6"/>
    <n v="682"/>
    <x v="0"/>
    <m/>
    <n v="0"/>
    <n v="12"/>
    <s v="Validation"/>
    <n v="0.35"/>
    <x v="0"/>
    <n v="0"/>
  </r>
  <r>
    <x v="606"/>
    <d v="2023-11-01T00:00:00"/>
    <m/>
    <n v="10427"/>
    <n v="1.57"/>
    <n v="0.84"/>
    <n v="0.48"/>
    <n v="636"/>
    <x v="0"/>
    <m/>
    <n v="0"/>
    <n v="12"/>
    <s v="Development"/>
    <n v="0.15"/>
    <x v="0"/>
    <n v="0"/>
  </r>
  <r>
    <x v="607"/>
    <d v="2023-11-01T00:00:00"/>
    <n v="67959"/>
    <n v="8942"/>
    <n v="1.79"/>
    <n v="0.69"/>
    <n v="1.38"/>
    <n v="617"/>
    <x v="0"/>
    <m/>
    <n v="0"/>
    <n v="12"/>
    <s v="Development"/>
    <n v="0"/>
    <x v="0"/>
    <n v="0"/>
  </r>
  <r>
    <x v="608"/>
    <d v="2024-06-01T00:00:00"/>
    <n v="78681"/>
    <n v="14347"/>
    <n v="2.0699999999999998"/>
    <n v="0.87"/>
    <n v="1.61"/>
    <n v="740"/>
    <x v="0"/>
    <m/>
    <n v="0"/>
    <n v="12"/>
    <s v="Validation"/>
    <n v="0"/>
    <x v="0"/>
    <n v="0"/>
  </r>
  <r>
    <x v="609"/>
    <d v="2024-03-01T00:00:00"/>
    <n v="16351"/>
    <n v="39510"/>
    <n v="0.99"/>
    <n v="1.1499999999999999"/>
    <n v="1.75"/>
    <n v="649"/>
    <x v="0"/>
    <m/>
    <n v="0"/>
    <n v="12"/>
    <s v="Validation"/>
    <n v="0.3"/>
    <x v="0"/>
    <n v="0"/>
  </r>
  <r>
    <x v="610"/>
    <d v="2023-12-01T00:00:00"/>
    <n v="53547"/>
    <n v="5612"/>
    <n v="1.81"/>
    <n v="1.69"/>
    <n v="0.97"/>
    <n v="682"/>
    <x v="0"/>
    <m/>
    <n v="0"/>
    <n v="12"/>
    <s v="Development"/>
    <n v="0"/>
    <x v="0"/>
    <n v="0"/>
  </r>
  <r>
    <x v="611"/>
    <d v="2023-09-01T00:00:00"/>
    <n v="57283"/>
    <n v="4783"/>
    <n v="1.4"/>
    <n v="0.91"/>
    <n v="0.99"/>
    <n v="733"/>
    <x v="1"/>
    <n v="232"/>
    <n v="1"/>
    <n v="12"/>
    <s v="Development"/>
    <n v="0"/>
    <x v="1"/>
    <n v="0"/>
  </r>
  <r>
    <x v="612"/>
    <d v="2023-10-01T00:00:00"/>
    <n v="29929"/>
    <n v="14993"/>
    <n v="2.02"/>
    <n v="1.4"/>
    <n v="1.03"/>
    <n v="653"/>
    <x v="0"/>
    <m/>
    <n v="0"/>
    <n v="12"/>
    <s v="Development"/>
    <n v="0"/>
    <x v="0"/>
    <n v="0"/>
  </r>
  <r>
    <x v="613"/>
    <d v="2023-12-01T00:00:00"/>
    <n v="88806"/>
    <n v="13844"/>
    <n v="0.38"/>
    <n v="2.85"/>
    <n v="1.65"/>
    <n v="677"/>
    <x v="1"/>
    <n v="15366"/>
    <n v="1"/>
    <n v="12"/>
    <s v="Development"/>
    <n v="0.64999999999999991"/>
    <x v="1"/>
    <n v="0"/>
  </r>
  <r>
    <x v="614"/>
    <d v="2024-05-01T00:00:00"/>
    <n v="32941"/>
    <n v="15083"/>
    <n v="1.5"/>
    <n v="1.18"/>
    <n v="1.92"/>
    <n v="679"/>
    <x v="0"/>
    <m/>
    <n v="0"/>
    <n v="12"/>
    <s v="Validation"/>
    <n v="0"/>
    <x v="0"/>
    <n v="0"/>
  </r>
  <r>
    <x v="615"/>
    <d v="2023-06-01T00:00:00"/>
    <n v="39404"/>
    <n v="15848"/>
    <n v="1.22"/>
    <n v="1.1299999999999999"/>
    <n v="1.1299999999999999"/>
    <n v="718"/>
    <x v="1"/>
    <m/>
    <n v="0"/>
    <n v="12"/>
    <s v="Development"/>
    <n v="0"/>
    <x v="0"/>
    <n v="1"/>
  </r>
  <r>
    <x v="616"/>
    <d v="2023-07-01T00:00:00"/>
    <n v="32452"/>
    <n v="11427"/>
    <n v="1.79"/>
    <n v="0.31"/>
    <n v="1.85"/>
    <n v="712"/>
    <x v="0"/>
    <m/>
    <n v="0"/>
    <n v="18"/>
    <s v="Development"/>
    <n v="0"/>
    <x v="0"/>
    <n v="0"/>
  </r>
  <r>
    <x v="617"/>
    <d v="2024-02-01T00:00:00"/>
    <n v="36685"/>
    <n v="37908"/>
    <n v="1.81"/>
    <n v="0.14000000000000001"/>
    <n v="1.42"/>
    <n v="668"/>
    <x v="0"/>
    <m/>
    <n v="0"/>
    <n v="12"/>
    <s v="Validation"/>
    <n v="0"/>
    <x v="0"/>
    <n v="0"/>
  </r>
  <r>
    <x v="618"/>
    <d v="2024-01-01T00:00:00"/>
    <n v="17808"/>
    <n v="4356"/>
    <n v="1.1599999999999999"/>
    <n v="1.19"/>
    <n v="1.28"/>
    <n v="684"/>
    <x v="0"/>
    <m/>
    <n v="0"/>
    <n v="12"/>
    <s v="Validation"/>
    <n v="0"/>
    <x v="0"/>
    <n v="0"/>
  </r>
  <r>
    <x v="619"/>
    <d v="2023-08-01T00:00:00"/>
    <n v="14242"/>
    <n v="7480"/>
    <n v="1.1599999999999999"/>
    <n v="0.85"/>
    <n v="1.23"/>
    <n v="660"/>
    <x v="0"/>
    <m/>
    <n v="0"/>
    <n v="12"/>
    <s v="Development"/>
    <n v="0"/>
    <x v="0"/>
    <n v="0"/>
  </r>
  <r>
    <x v="620"/>
    <d v="2023-10-01T00:00:00"/>
    <n v="102378"/>
    <n v="12428"/>
    <n v="1.49"/>
    <n v="0.63"/>
    <n v="1.76"/>
    <n v="599"/>
    <x v="0"/>
    <m/>
    <n v="0"/>
    <n v="12"/>
    <s v="Development"/>
    <n v="0.2"/>
    <x v="0"/>
    <n v="0"/>
  </r>
  <r>
    <x v="621"/>
    <d v="2023-09-01T00:00:00"/>
    <n v="20941"/>
    <n v="4229"/>
    <n v="1.06"/>
    <n v="1.07"/>
    <n v="1.53"/>
    <n v="694"/>
    <x v="1"/>
    <n v="46398"/>
    <n v="1"/>
    <n v="12"/>
    <s v="Development"/>
    <n v="0"/>
    <x v="1"/>
    <n v="0"/>
  </r>
  <r>
    <x v="622"/>
    <d v="2024-06-01T00:00:00"/>
    <n v="19065"/>
    <n v="11812"/>
    <n v="2.0099999999999998"/>
    <n v="0.87"/>
    <n v="2.6"/>
    <n v="784"/>
    <x v="0"/>
    <m/>
    <n v="0"/>
    <n v="6"/>
    <s v="Validation"/>
    <n v="0"/>
    <x v="0"/>
    <n v="0"/>
  </r>
  <r>
    <x v="623"/>
    <d v="2023-02-01T00:00:00"/>
    <n v="8958"/>
    <n v="42746"/>
    <n v="1.35"/>
    <n v="1.99"/>
    <n v="0.88"/>
    <n v="631"/>
    <x v="0"/>
    <m/>
    <n v="0"/>
    <n v="12"/>
    <s v="Development"/>
    <n v="0"/>
    <x v="0"/>
    <n v="0"/>
  </r>
  <r>
    <x v="624"/>
    <d v="2023-05-01T00:00:00"/>
    <n v="23973"/>
    <n v="13556"/>
    <n v="0.2"/>
    <n v="0.96"/>
    <n v="1.63"/>
    <n v="637"/>
    <x v="0"/>
    <m/>
    <n v="0"/>
    <n v="12"/>
    <s v="Development"/>
    <n v="0.3"/>
    <x v="0"/>
    <n v="0"/>
  </r>
  <r>
    <x v="625"/>
    <d v="2023-05-01T00:00:00"/>
    <n v="15367"/>
    <n v="15701"/>
    <n v="1.34"/>
    <n v="0.54"/>
    <n v="1.06"/>
    <n v="632"/>
    <x v="0"/>
    <m/>
    <n v="0"/>
    <n v="6"/>
    <s v="Development"/>
    <n v="0"/>
    <x v="0"/>
    <n v="0"/>
  </r>
  <r>
    <x v="626"/>
    <d v="2023-06-01T00:00:00"/>
    <n v="105589"/>
    <n v="5530"/>
    <n v="0.98"/>
    <n v="1.81"/>
    <n v="0.87"/>
    <n v="720"/>
    <x v="0"/>
    <m/>
    <n v="0"/>
    <n v="6"/>
    <s v="Development"/>
    <n v="0.3"/>
    <x v="0"/>
    <n v="0"/>
  </r>
  <r>
    <x v="627"/>
    <d v="2024-07-01T00:00:00"/>
    <n v="70009"/>
    <n v="8678"/>
    <n v="0.65"/>
    <n v="0.78"/>
    <n v="1.34"/>
    <n v="705"/>
    <x v="0"/>
    <m/>
    <n v="0"/>
    <n v="12"/>
    <s v="Validation"/>
    <n v="0.3"/>
    <x v="0"/>
    <n v="0"/>
  </r>
  <r>
    <x v="628"/>
    <d v="2023-08-01T00:00:00"/>
    <n v="23218"/>
    <n v="10274"/>
    <n v="0.87"/>
    <n v="1.31"/>
    <n v="1.43"/>
    <n v="671"/>
    <x v="0"/>
    <m/>
    <n v="0"/>
    <n v="12"/>
    <s v="Development"/>
    <n v="0.3"/>
    <x v="0"/>
    <n v="0"/>
  </r>
  <r>
    <x v="629"/>
    <d v="2024-04-01T00:00:00"/>
    <n v="157013"/>
    <n v="10696"/>
    <n v="1.61"/>
    <n v="0.65"/>
    <n v="2.95"/>
    <n v="630"/>
    <x v="0"/>
    <m/>
    <n v="0"/>
    <n v="12"/>
    <s v="Validation"/>
    <n v="0"/>
    <x v="0"/>
    <n v="0"/>
  </r>
  <r>
    <x v="630"/>
    <d v="2024-01-01T00:00:00"/>
    <n v="68744"/>
    <n v="32766"/>
    <n v="2.2799999999999998"/>
    <n v="0.56999999999999995"/>
    <n v="1.25"/>
    <n v="685"/>
    <x v="0"/>
    <m/>
    <n v="0"/>
    <n v="12"/>
    <s v="Validation"/>
    <n v="0"/>
    <x v="0"/>
    <n v="0"/>
  </r>
  <r>
    <x v="631"/>
    <d v="2023-01-01T00:00:00"/>
    <n v="29403"/>
    <n v="19740"/>
    <n v="1.72"/>
    <n v="0.96"/>
    <n v="0.73"/>
    <n v="594"/>
    <x v="0"/>
    <m/>
    <n v="0"/>
    <n v="12"/>
    <s v="Development"/>
    <n v="0.35"/>
    <x v="0"/>
    <n v="0"/>
  </r>
  <r>
    <x v="632"/>
    <d v="2024-10-01T00:00:00"/>
    <n v="7154"/>
    <n v="6136"/>
    <n v="1.22"/>
    <n v="0.91"/>
    <n v="1.5"/>
    <n v="688"/>
    <x v="0"/>
    <m/>
    <n v="0"/>
    <n v="6"/>
    <s v="Validation"/>
    <n v="0"/>
    <x v="0"/>
    <n v="0"/>
  </r>
  <r>
    <x v="633"/>
    <d v="2024-08-01T00:00:00"/>
    <m/>
    <n v="15876"/>
    <n v="1.8"/>
    <n v="1.27"/>
    <n v="0.21"/>
    <n v="728"/>
    <x v="0"/>
    <m/>
    <n v="0"/>
    <n v="6"/>
    <s v="Validation"/>
    <n v="0.15"/>
    <x v="0"/>
    <n v="0"/>
  </r>
  <r>
    <x v="634"/>
    <d v="2024-05-01T00:00:00"/>
    <n v="14717"/>
    <n v="18935"/>
    <n v="1.3"/>
    <n v="0.75"/>
    <n v="1.3"/>
    <n v="611"/>
    <x v="1"/>
    <m/>
    <n v="0"/>
    <n v="12"/>
    <s v="Validation"/>
    <n v="0"/>
    <x v="0"/>
    <n v="1"/>
  </r>
  <r>
    <x v="635"/>
    <d v="2023-07-01T00:00:00"/>
    <n v="12463"/>
    <n v="29676"/>
    <m/>
    <n v="0.25"/>
    <n v="1.36"/>
    <n v="596"/>
    <x v="0"/>
    <m/>
    <n v="0"/>
    <n v="12"/>
    <s v="Development"/>
    <n v="0.2"/>
    <x v="0"/>
    <n v="0"/>
  </r>
  <r>
    <x v="636"/>
    <d v="2024-01-01T00:00:00"/>
    <n v="70592"/>
    <n v="40392"/>
    <n v="0.92"/>
    <n v="0.67"/>
    <n v="1.79"/>
    <n v="767"/>
    <x v="0"/>
    <m/>
    <n v="0"/>
    <n v="12"/>
    <s v="Validation"/>
    <n v="0.3"/>
    <x v="0"/>
    <n v="0"/>
  </r>
  <r>
    <x v="637"/>
    <d v="2023-04-01T00:00:00"/>
    <n v="177343"/>
    <n v="6565"/>
    <n v="0.59"/>
    <n v="1.58"/>
    <n v="1.89"/>
    <n v="646"/>
    <x v="0"/>
    <m/>
    <n v="0"/>
    <n v="12"/>
    <s v="Development"/>
    <n v="0.3"/>
    <x v="0"/>
    <n v="0"/>
  </r>
  <r>
    <x v="638"/>
    <d v="2023-04-01T00:00:00"/>
    <m/>
    <n v="7573"/>
    <n v="1.34"/>
    <n v="0.73"/>
    <n v="1.07"/>
    <n v="742"/>
    <x v="0"/>
    <m/>
    <n v="0"/>
    <n v="18"/>
    <s v="Development"/>
    <n v="0"/>
    <x v="0"/>
    <n v="0"/>
  </r>
  <r>
    <x v="639"/>
    <d v="2023-06-01T00:00:00"/>
    <n v="52394"/>
    <n v="5540"/>
    <n v="1.64"/>
    <n v="0.76"/>
    <n v="1.27"/>
    <n v="672"/>
    <x v="0"/>
    <m/>
    <n v="0"/>
    <n v="12"/>
    <s v="Development"/>
    <n v="0"/>
    <x v="0"/>
    <n v="0"/>
  </r>
  <r>
    <x v="640"/>
    <d v="2024-07-01T00:00:00"/>
    <n v="53455"/>
    <n v="11341"/>
    <n v="1.5"/>
    <n v="1.8"/>
    <n v="0.93"/>
    <n v="671"/>
    <x v="0"/>
    <m/>
    <n v="0"/>
    <n v="12"/>
    <s v="Validation"/>
    <n v="0"/>
    <x v="0"/>
    <n v="0"/>
  </r>
  <r>
    <x v="641"/>
    <d v="2023-12-01T00:00:00"/>
    <n v="63242"/>
    <n v="18517"/>
    <n v="1.32"/>
    <n v="0.55000000000000004"/>
    <n v="0.73"/>
    <n v="704"/>
    <x v="1"/>
    <n v="3022"/>
    <n v="1"/>
    <n v="12"/>
    <s v="Development"/>
    <n v="0.15"/>
    <x v="1"/>
    <n v="0"/>
  </r>
  <r>
    <x v="642"/>
    <d v="2024-10-01T00:00:00"/>
    <n v="59475"/>
    <n v="26666"/>
    <n v="1.03"/>
    <n v="0.31"/>
    <n v="1.52"/>
    <n v="631"/>
    <x v="0"/>
    <m/>
    <n v="0"/>
    <n v="18"/>
    <s v="Validation"/>
    <n v="0"/>
    <x v="0"/>
    <n v="0"/>
  </r>
  <r>
    <x v="643"/>
    <d v="2023-07-01T00:00:00"/>
    <n v="43598"/>
    <n v="12668"/>
    <n v="1.88"/>
    <n v="0.81"/>
    <n v="0.65"/>
    <n v="687"/>
    <x v="0"/>
    <m/>
    <n v="0"/>
    <n v="6"/>
    <s v="Development"/>
    <n v="0.15"/>
    <x v="0"/>
    <n v="0"/>
  </r>
  <r>
    <x v="644"/>
    <d v="2023-10-01T00:00:00"/>
    <n v="38860"/>
    <n v="10680"/>
    <n v="0.83"/>
    <n v="0.64"/>
    <n v="1.1200000000000001"/>
    <n v="659"/>
    <x v="0"/>
    <m/>
    <n v="0"/>
    <n v="6"/>
    <s v="Development"/>
    <n v="0.3"/>
    <x v="0"/>
    <n v="0"/>
  </r>
  <r>
    <x v="645"/>
    <d v="2024-07-01T00:00:00"/>
    <n v="34868"/>
    <n v="14857"/>
    <n v="1.98"/>
    <n v="0.46"/>
    <n v="0.8"/>
    <n v="607"/>
    <x v="0"/>
    <m/>
    <n v="0"/>
    <n v="6"/>
    <s v="Validation"/>
    <n v="0"/>
    <x v="0"/>
    <n v="0"/>
  </r>
  <r>
    <x v="646"/>
    <d v="2023-07-01T00:00:00"/>
    <n v="22246"/>
    <n v="7446"/>
    <m/>
    <n v="0.8"/>
    <n v="1.65"/>
    <n v="699"/>
    <x v="0"/>
    <m/>
    <n v="0"/>
    <n v="12"/>
    <s v="Development"/>
    <n v="0"/>
    <x v="0"/>
    <n v="0"/>
  </r>
  <r>
    <x v="647"/>
    <d v="2023-03-01T00:00:00"/>
    <n v="30259"/>
    <n v="57681"/>
    <n v="1.1399999999999999"/>
    <n v="1.28"/>
    <n v="2.34"/>
    <n v="666"/>
    <x v="0"/>
    <m/>
    <n v="0"/>
    <n v="6"/>
    <s v="Development"/>
    <n v="0"/>
    <x v="0"/>
    <n v="0"/>
  </r>
  <r>
    <x v="648"/>
    <d v="2024-01-01T00:00:00"/>
    <n v="12083"/>
    <n v="4336"/>
    <n v="0.74"/>
    <n v="0.9"/>
    <n v="0.63"/>
    <n v="671"/>
    <x v="0"/>
    <m/>
    <n v="0"/>
    <n v="18"/>
    <s v="Validation"/>
    <n v="0.45"/>
    <x v="0"/>
    <n v="0"/>
  </r>
  <r>
    <x v="649"/>
    <d v="2024-01-01T00:00:00"/>
    <n v="34067"/>
    <n v="15204"/>
    <n v="1.27"/>
    <n v="1.1200000000000001"/>
    <n v="0.33"/>
    <n v="613"/>
    <x v="1"/>
    <n v="27195"/>
    <n v="1"/>
    <n v="18"/>
    <s v="Validation"/>
    <n v="0.15"/>
    <x v="1"/>
    <n v="0"/>
  </r>
  <r>
    <x v="650"/>
    <d v="2024-06-01T00:00:00"/>
    <n v="19099"/>
    <n v="55079"/>
    <m/>
    <n v="3.22"/>
    <n v="1.28"/>
    <n v="768"/>
    <x v="0"/>
    <m/>
    <n v="0"/>
    <n v="12"/>
    <s v="Validation"/>
    <n v="0.35"/>
    <x v="0"/>
    <n v="0"/>
  </r>
  <r>
    <x v="651"/>
    <d v="2024-08-01T00:00:00"/>
    <n v="17724"/>
    <n v="13423"/>
    <n v="1.83"/>
    <n v="0.71"/>
    <n v="1.36"/>
    <n v="728"/>
    <x v="0"/>
    <m/>
    <n v="0"/>
    <n v="12"/>
    <s v="Validation"/>
    <n v="0"/>
    <x v="0"/>
    <n v="0"/>
  </r>
  <r>
    <x v="652"/>
    <d v="2023-08-01T00:00:00"/>
    <n v="40820"/>
    <n v="11696"/>
    <n v="2.09"/>
    <n v="1.1000000000000001"/>
    <n v="1.47"/>
    <m/>
    <x v="0"/>
    <m/>
    <n v="0"/>
    <n v="12"/>
    <s v="Development"/>
    <n v="0"/>
    <x v="0"/>
    <n v="0"/>
  </r>
  <r>
    <x v="653"/>
    <d v="2023-09-01T00:00:00"/>
    <n v="89752"/>
    <n v="10402"/>
    <n v="1.84"/>
    <n v="0.63"/>
    <n v="1.1000000000000001"/>
    <n v="663"/>
    <x v="0"/>
    <m/>
    <n v="0"/>
    <n v="6"/>
    <s v="Development"/>
    <n v="0"/>
    <x v="0"/>
    <n v="0"/>
  </r>
  <r>
    <x v="654"/>
    <d v="2023-07-01T00:00:00"/>
    <n v="65967"/>
    <n v="11775"/>
    <n v="0.94"/>
    <n v="0.5"/>
    <n v="1.24"/>
    <n v="585"/>
    <x v="0"/>
    <m/>
    <n v="0"/>
    <n v="12"/>
    <s v="Development"/>
    <n v="0.5"/>
    <x v="0"/>
    <n v="0"/>
  </r>
  <r>
    <x v="655"/>
    <d v="2023-01-01T00:00:00"/>
    <n v="13084"/>
    <n v="34926"/>
    <n v="1.37"/>
    <n v="0.6"/>
    <n v="1.55"/>
    <n v="787"/>
    <x v="1"/>
    <n v="10342"/>
    <n v="1"/>
    <n v="18"/>
    <s v="Development"/>
    <n v="0"/>
    <x v="1"/>
    <n v="0"/>
  </r>
  <r>
    <x v="656"/>
    <d v="2023-03-01T00:00:00"/>
    <n v="19087"/>
    <n v="2840"/>
    <n v="1.1200000000000001"/>
    <n v="0.65"/>
    <n v="1.92"/>
    <n v="677"/>
    <x v="0"/>
    <m/>
    <n v="0"/>
    <n v="12"/>
    <s v="Development"/>
    <n v="0"/>
    <x v="0"/>
    <n v="0"/>
  </r>
  <r>
    <x v="657"/>
    <d v="2024-01-01T00:00:00"/>
    <n v="66937"/>
    <n v="39081"/>
    <n v="2.2799999999999998"/>
    <n v="1.1599999999999999"/>
    <n v="0.27"/>
    <n v="639"/>
    <x v="0"/>
    <m/>
    <n v="0"/>
    <n v="12"/>
    <s v="Validation"/>
    <n v="0.15"/>
    <x v="0"/>
    <n v="0"/>
  </r>
  <r>
    <x v="658"/>
    <d v="2024-05-01T00:00:00"/>
    <n v="19175"/>
    <n v="4931"/>
    <n v="0.89"/>
    <n v="4.68"/>
    <n v="1.1499999999999999"/>
    <n v="703"/>
    <x v="0"/>
    <m/>
    <n v="0"/>
    <n v="12"/>
    <s v="Validation"/>
    <n v="0.64999999999999991"/>
    <x v="0"/>
    <n v="0"/>
  </r>
  <r>
    <x v="659"/>
    <d v="2024-12-01T00:00:00"/>
    <n v="31382"/>
    <n v="11085"/>
    <n v="2.04"/>
    <n v="0.55000000000000004"/>
    <n v="1.47"/>
    <n v="744"/>
    <x v="1"/>
    <n v="22665"/>
    <n v="1"/>
    <n v="18"/>
    <s v="Validation"/>
    <n v="0"/>
    <x v="1"/>
    <n v="0"/>
  </r>
  <r>
    <x v="660"/>
    <d v="2023-01-01T00:00:00"/>
    <n v="51924"/>
    <n v="9892"/>
    <n v="2.04"/>
    <n v="0.68"/>
    <n v="0.85"/>
    <n v="679"/>
    <x v="0"/>
    <m/>
    <n v="0"/>
    <n v="12"/>
    <s v="Development"/>
    <n v="0"/>
    <x v="0"/>
    <n v="0"/>
  </r>
  <r>
    <x v="661"/>
    <d v="2023-06-01T00:00:00"/>
    <n v="19352"/>
    <n v="20171"/>
    <n v="2.56"/>
    <n v="0.87"/>
    <n v="2.2999999999999998"/>
    <n v="750"/>
    <x v="0"/>
    <m/>
    <n v="0"/>
    <n v="12"/>
    <s v="Development"/>
    <n v="0"/>
    <x v="0"/>
    <n v="0"/>
  </r>
  <r>
    <x v="662"/>
    <d v="2024-09-01T00:00:00"/>
    <n v="38890"/>
    <n v="4365"/>
    <n v="1.32"/>
    <n v="1.19"/>
    <n v="1"/>
    <n v="740"/>
    <x v="0"/>
    <m/>
    <n v="0"/>
    <n v="18"/>
    <s v="Validation"/>
    <n v="0"/>
    <x v="0"/>
    <n v="0"/>
  </r>
  <r>
    <x v="663"/>
    <d v="2023-06-01T00:00:00"/>
    <n v="15258"/>
    <n v="18463"/>
    <n v="1.94"/>
    <n v="1.0900000000000001"/>
    <n v="1.33"/>
    <n v="621"/>
    <x v="0"/>
    <m/>
    <n v="0"/>
    <n v="12"/>
    <s v="Development"/>
    <n v="0"/>
    <x v="0"/>
    <n v="0"/>
  </r>
  <r>
    <x v="664"/>
    <d v="2023-12-01T00:00:00"/>
    <n v="24566"/>
    <n v="55106"/>
    <n v="2.8"/>
    <n v="2.2200000000000002"/>
    <n v="1.66"/>
    <n v="643"/>
    <x v="0"/>
    <m/>
    <n v="0"/>
    <n v="6"/>
    <s v="Development"/>
    <n v="0.35"/>
    <x v="0"/>
    <n v="0"/>
  </r>
  <r>
    <x v="665"/>
    <d v="2024-01-01T00:00:00"/>
    <n v="44706"/>
    <n v="5145"/>
    <n v="1.21"/>
    <n v="0.17"/>
    <n v="1.02"/>
    <n v="733"/>
    <x v="0"/>
    <m/>
    <n v="0"/>
    <n v="12"/>
    <s v="Validation"/>
    <n v="0"/>
    <x v="0"/>
    <n v="0"/>
  </r>
  <r>
    <x v="666"/>
    <d v="2024-01-01T00:00:00"/>
    <n v="12894"/>
    <n v="15257"/>
    <n v="0.71"/>
    <n v="0.17"/>
    <n v="0.33"/>
    <n v="531"/>
    <x v="0"/>
    <m/>
    <n v="0"/>
    <n v="6"/>
    <s v="Validation"/>
    <n v="0.65"/>
    <x v="0"/>
    <n v="0"/>
  </r>
  <r>
    <x v="667"/>
    <d v="2024-03-01T00:00:00"/>
    <n v="48354"/>
    <n v="8405"/>
    <n v="0.52"/>
    <n v="0.64"/>
    <n v="1.1100000000000001"/>
    <n v="672"/>
    <x v="0"/>
    <m/>
    <n v="0"/>
    <n v="18"/>
    <s v="Validation"/>
    <n v="0.3"/>
    <x v="0"/>
    <n v="0"/>
  </r>
  <r>
    <x v="668"/>
    <d v="2024-09-01T00:00:00"/>
    <n v="35855"/>
    <n v="18000"/>
    <n v="1.94"/>
    <n v="1.95"/>
    <n v="1.92"/>
    <n v="601"/>
    <x v="0"/>
    <m/>
    <n v="0"/>
    <n v="12"/>
    <s v="Validation"/>
    <n v="0"/>
    <x v="0"/>
    <n v="0"/>
  </r>
  <r>
    <x v="669"/>
    <d v="2024-04-01T00:00:00"/>
    <n v="52006"/>
    <n v="13540"/>
    <n v="0.51"/>
    <n v="0.3"/>
    <n v="1.1599999999999999"/>
    <n v="654"/>
    <x v="0"/>
    <m/>
    <n v="0"/>
    <n v="12"/>
    <s v="Validation"/>
    <n v="0.3"/>
    <x v="0"/>
    <n v="0"/>
  </r>
  <r>
    <x v="670"/>
    <d v="2024-10-01T00:00:00"/>
    <n v="42005"/>
    <n v="8527"/>
    <n v="1.35"/>
    <n v="0.11"/>
    <n v="0.88"/>
    <n v="664"/>
    <x v="0"/>
    <m/>
    <n v="0"/>
    <n v="6"/>
    <s v="Validation"/>
    <n v="0"/>
    <x v="0"/>
    <n v="0"/>
  </r>
  <r>
    <x v="671"/>
    <d v="2024-09-01T00:00:00"/>
    <n v="88141"/>
    <n v="18798"/>
    <n v="1.79"/>
    <n v="1.35"/>
    <n v="1.86"/>
    <n v="660"/>
    <x v="0"/>
    <m/>
    <n v="0"/>
    <n v="6"/>
    <s v="Validation"/>
    <n v="0"/>
    <x v="0"/>
    <n v="0"/>
  </r>
  <r>
    <x v="672"/>
    <d v="2023-11-01T00:00:00"/>
    <n v="39395"/>
    <n v="47242"/>
    <n v="1.65"/>
    <n v="1.07"/>
    <n v="1.17"/>
    <n v="650"/>
    <x v="0"/>
    <m/>
    <n v="0"/>
    <n v="12"/>
    <s v="Development"/>
    <n v="0"/>
    <x v="0"/>
    <n v="0"/>
  </r>
  <r>
    <x v="673"/>
    <d v="2023-05-01T00:00:00"/>
    <n v="27471"/>
    <n v="11689"/>
    <n v="1.78"/>
    <n v="0.42"/>
    <n v="1.07"/>
    <n v="620"/>
    <x v="0"/>
    <m/>
    <n v="0"/>
    <n v="12"/>
    <s v="Development"/>
    <n v="0"/>
    <x v="0"/>
    <n v="0"/>
  </r>
  <r>
    <x v="674"/>
    <d v="2023-04-01T00:00:00"/>
    <n v="39320"/>
    <n v="22111"/>
    <n v="1.67"/>
    <n v="0.45"/>
    <n v="1.43"/>
    <n v="806"/>
    <x v="0"/>
    <m/>
    <n v="0"/>
    <n v="12"/>
    <s v="Development"/>
    <n v="0"/>
    <x v="0"/>
    <n v="0"/>
  </r>
  <r>
    <x v="675"/>
    <d v="2023-03-01T00:00:00"/>
    <n v="51696"/>
    <n v="5403"/>
    <n v="2.25"/>
    <n v="0.46"/>
    <n v="1.77"/>
    <n v="783"/>
    <x v="0"/>
    <m/>
    <n v="0"/>
    <n v="12"/>
    <s v="Development"/>
    <n v="0"/>
    <x v="0"/>
    <n v="0"/>
  </r>
  <r>
    <x v="676"/>
    <d v="2024-07-01T00:00:00"/>
    <n v="37487"/>
    <n v="6840"/>
    <n v="1.03"/>
    <n v="0.98"/>
    <n v="2.66"/>
    <n v="616"/>
    <x v="0"/>
    <m/>
    <n v="0"/>
    <n v="12"/>
    <s v="Validation"/>
    <n v="0"/>
    <x v="0"/>
    <n v="0"/>
  </r>
  <r>
    <x v="677"/>
    <d v="2024-08-01T00:00:00"/>
    <n v="37286"/>
    <n v="18596"/>
    <n v="1.18"/>
    <n v="0.57999999999999996"/>
    <n v="1.8"/>
    <n v="767"/>
    <x v="0"/>
    <m/>
    <n v="0"/>
    <n v="12"/>
    <s v="Validation"/>
    <n v="0"/>
    <x v="0"/>
    <n v="0"/>
  </r>
  <r>
    <x v="678"/>
    <d v="2024-06-01T00:00:00"/>
    <n v="23010"/>
    <n v="37755"/>
    <n v="1.1299999999999999"/>
    <n v="1.28"/>
    <n v="1.99"/>
    <n v="658"/>
    <x v="0"/>
    <m/>
    <n v="0"/>
    <n v="6"/>
    <s v="Validation"/>
    <n v="0"/>
    <x v="0"/>
    <n v="0"/>
  </r>
  <r>
    <x v="679"/>
    <d v="2024-03-01T00:00:00"/>
    <n v="23603"/>
    <n v="17136"/>
    <n v="2.0099999999999998"/>
    <n v="0.12"/>
    <n v="1.07"/>
    <n v="687"/>
    <x v="0"/>
    <m/>
    <n v="0"/>
    <n v="12"/>
    <s v="Validation"/>
    <n v="0"/>
    <x v="0"/>
    <n v="0"/>
  </r>
  <r>
    <x v="680"/>
    <d v="2023-09-01T00:00:00"/>
    <n v="14593"/>
    <n v="10731"/>
    <n v="2.0499999999999998"/>
    <n v="0.5"/>
    <n v="0.79"/>
    <n v="677"/>
    <x v="1"/>
    <m/>
    <n v="0"/>
    <n v="18"/>
    <s v="Development"/>
    <n v="0.15"/>
    <x v="0"/>
    <n v="1"/>
  </r>
  <r>
    <x v="681"/>
    <d v="2024-05-01T00:00:00"/>
    <n v="113235"/>
    <n v="13353"/>
    <n v="1.8"/>
    <n v="0.41"/>
    <n v="1.38"/>
    <n v="644"/>
    <x v="0"/>
    <m/>
    <n v="0"/>
    <n v="12"/>
    <s v="Validation"/>
    <n v="0"/>
    <x v="0"/>
    <n v="0"/>
  </r>
  <r>
    <x v="682"/>
    <d v="2024-02-01T00:00:00"/>
    <m/>
    <n v="5568"/>
    <n v="2.2000000000000002"/>
    <n v="0.76"/>
    <n v="1.41"/>
    <n v="734"/>
    <x v="0"/>
    <m/>
    <n v="0"/>
    <n v="12"/>
    <s v="Validation"/>
    <n v="0"/>
    <x v="0"/>
    <n v="0"/>
  </r>
  <r>
    <x v="683"/>
    <d v="2024-03-01T00:00:00"/>
    <n v="23147"/>
    <n v="20397"/>
    <n v="0.9"/>
    <n v="0.62"/>
    <n v="0.76"/>
    <n v="687"/>
    <x v="0"/>
    <m/>
    <n v="0"/>
    <n v="18"/>
    <s v="Validation"/>
    <n v="0.45"/>
    <x v="0"/>
    <n v="0"/>
  </r>
  <r>
    <x v="684"/>
    <d v="2023-01-01T00:00:00"/>
    <n v="22766"/>
    <n v="24776"/>
    <n v="2.4700000000000002"/>
    <n v="1.58"/>
    <n v="1.25"/>
    <n v="654"/>
    <x v="0"/>
    <m/>
    <n v="0"/>
    <n v="12"/>
    <s v="Development"/>
    <n v="0"/>
    <x v="0"/>
    <n v="0"/>
  </r>
  <r>
    <x v="685"/>
    <d v="2024-09-01T00:00:00"/>
    <n v="64971"/>
    <n v="9736"/>
    <n v="2.39"/>
    <n v="0.25"/>
    <n v="1.57"/>
    <n v="608"/>
    <x v="0"/>
    <m/>
    <n v="0"/>
    <n v="12"/>
    <s v="Validation"/>
    <n v="0"/>
    <x v="0"/>
    <n v="0"/>
  </r>
  <r>
    <x v="686"/>
    <d v="2024-10-01T00:00:00"/>
    <n v="29980"/>
    <n v="9614"/>
    <n v="1.95"/>
    <n v="0.93"/>
    <n v="1.55"/>
    <n v="631"/>
    <x v="0"/>
    <m/>
    <n v="0"/>
    <n v="12"/>
    <s v="Validation"/>
    <n v="0"/>
    <x v="0"/>
    <n v="0"/>
  </r>
  <r>
    <x v="687"/>
    <d v="2024-10-01T00:00:00"/>
    <n v="81718"/>
    <n v="16093"/>
    <n v="2.5299999999999998"/>
    <n v="1.34"/>
    <n v="1.63"/>
    <n v="590"/>
    <x v="1"/>
    <m/>
    <n v="0"/>
    <n v="18"/>
    <s v="Validation"/>
    <n v="0.2"/>
    <x v="0"/>
    <n v="1"/>
  </r>
  <r>
    <x v="688"/>
    <d v="2023-03-01T00:00:00"/>
    <n v="23441"/>
    <n v="9841"/>
    <n v="0.64"/>
    <n v="3.32"/>
    <n v="1.51"/>
    <n v="681"/>
    <x v="0"/>
    <m/>
    <n v="0"/>
    <n v="18"/>
    <s v="Development"/>
    <n v="0.64999999999999991"/>
    <x v="0"/>
    <n v="0"/>
  </r>
  <r>
    <x v="689"/>
    <d v="2024-04-01T00:00:00"/>
    <n v="43536"/>
    <n v="12755"/>
    <n v="1.26"/>
    <n v="0.65"/>
    <n v="1.07"/>
    <n v="614"/>
    <x v="0"/>
    <m/>
    <n v="0"/>
    <n v="12"/>
    <s v="Validation"/>
    <n v="0"/>
    <x v="0"/>
    <n v="0"/>
  </r>
  <r>
    <x v="690"/>
    <d v="2024-11-01T00:00:00"/>
    <n v="21100"/>
    <n v="58093"/>
    <n v="1.1499999999999999"/>
    <n v="1.1399999999999999"/>
    <n v="1.07"/>
    <n v="665"/>
    <x v="0"/>
    <m/>
    <n v="0"/>
    <n v="18"/>
    <s v="Validation"/>
    <n v="0"/>
    <x v="0"/>
    <n v="0"/>
  </r>
  <r>
    <x v="691"/>
    <d v="2023-11-01T00:00:00"/>
    <n v="146436"/>
    <n v="11238"/>
    <n v="1.95"/>
    <n v="0.26"/>
    <n v="0.69"/>
    <n v="755"/>
    <x v="0"/>
    <m/>
    <n v="0"/>
    <n v="18"/>
    <s v="Development"/>
    <n v="0.15"/>
    <x v="0"/>
    <n v="0"/>
  </r>
  <r>
    <x v="692"/>
    <d v="2023-12-01T00:00:00"/>
    <n v="16782"/>
    <n v="10396"/>
    <n v="0.97"/>
    <n v="0.17"/>
    <n v="2.33"/>
    <n v="746"/>
    <x v="0"/>
    <m/>
    <n v="0"/>
    <n v="12"/>
    <s v="Development"/>
    <n v="0.3"/>
    <x v="0"/>
    <n v="0"/>
  </r>
  <r>
    <x v="693"/>
    <d v="2023-10-01T00:00:00"/>
    <n v="44417"/>
    <n v="8491"/>
    <n v="1.97"/>
    <n v="1.63"/>
    <n v="1.36"/>
    <n v="678"/>
    <x v="0"/>
    <m/>
    <n v="0"/>
    <n v="12"/>
    <s v="Development"/>
    <n v="0"/>
    <x v="0"/>
    <n v="0"/>
  </r>
  <r>
    <x v="694"/>
    <d v="2024-04-01T00:00:00"/>
    <n v="54828"/>
    <n v="22492"/>
    <n v="2.2999999999999998"/>
    <n v="0.9"/>
    <n v="1.23"/>
    <n v="675"/>
    <x v="0"/>
    <m/>
    <n v="0"/>
    <n v="12"/>
    <s v="Validation"/>
    <n v="0"/>
    <x v="0"/>
    <n v="0"/>
  </r>
  <r>
    <x v="695"/>
    <d v="2023-08-01T00:00:00"/>
    <n v="47523"/>
    <n v="11768"/>
    <n v="1.93"/>
    <n v="2.06"/>
    <n v="0.84"/>
    <n v="783"/>
    <x v="0"/>
    <m/>
    <n v="0"/>
    <n v="12"/>
    <s v="Development"/>
    <n v="0.35"/>
    <x v="0"/>
    <n v="0"/>
  </r>
  <r>
    <x v="696"/>
    <d v="2023-06-01T00:00:00"/>
    <n v="32195"/>
    <n v="8480"/>
    <n v="1.71"/>
    <n v="0.35"/>
    <n v="2.96"/>
    <m/>
    <x v="0"/>
    <m/>
    <n v="0"/>
    <n v="12"/>
    <s v="Development"/>
    <n v="0"/>
    <x v="0"/>
    <n v="0"/>
  </r>
  <r>
    <x v="697"/>
    <d v="2023-12-01T00:00:00"/>
    <n v="33377"/>
    <n v="33689"/>
    <n v="1.01"/>
    <n v="1.3"/>
    <n v="0.76"/>
    <n v="662"/>
    <x v="0"/>
    <m/>
    <n v="0"/>
    <n v="12"/>
    <s v="Development"/>
    <n v="0.15"/>
    <x v="0"/>
    <n v="0"/>
  </r>
  <r>
    <x v="698"/>
    <d v="2024-12-01T00:00:00"/>
    <n v="37365"/>
    <n v="36088"/>
    <n v="1.08"/>
    <n v="3.35"/>
    <n v="1.1100000000000001"/>
    <n v="602"/>
    <x v="0"/>
    <m/>
    <n v="0"/>
    <n v="12"/>
    <s v="Validation"/>
    <n v="0.35"/>
    <x v="0"/>
    <n v="0"/>
  </r>
  <r>
    <x v="699"/>
    <d v="2024-09-01T00:00:00"/>
    <n v="33006"/>
    <n v="8775"/>
    <n v="2.2400000000000002"/>
    <n v="1.21"/>
    <n v="1.58"/>
    <n v="702"/>
    <x v="1"/>
    <n v="10552"/>
    <n v="1"/>
    <n v="12"/>
    <s v="Validation"/>
    <n v="0"/>
    <x v="1"/>
    <n v="0"/>
  </r>
  <r>
    <x v="700"/>
    <d v="2023-08-01T00:00:00"/>
    <n v="67950"/>
    <n v="3617"/>
    <n v="1.98"/>
    <n v="1.1000000000000001"/>
    <n v="1.68"/>
    <n v="726"/>
    <x v="0"/>
    <m/>
    <n v="0"/>
    <n v="12"/>
    <s v="Development"/>
    <n v="0"/>
    <x v="0"/>
    <n v="0"/>
  </r>
  <r>
    <x v="701"/>
    <d v="2023-04-01T00:00:00"/>
    <n v="152793"/>
    <n v="27045"/>
    <n v="1.53"/>
    <n v="0.91"/>
    <n v="1.88"/>
    <n v="645"/>
    <x v="0"/>
    <m/>
    <n v="0"/>
    <n v="6"/>
    <s v="Development"/>
    <n v="0"/>
    <x v="0"/>
    <n v="0"/>
  </r>
  <r>
    <x v="702"/>
    <d v="2023-08-01T00:00:00"/>
    <n v="25276"/>
    <n v="8273"/>
    <n v="1.32"/>
    <n v="0.3"/>
    <n v="2.34"/>
    <n v="696"/>
    <x v="0"/>
    <m/>
    <n v="0"/>
    <n v="12"/>
    <s v="Development"/>
    <n v="0"/>
    <x v="0"/>
    <n v="0"/>
  </r>
  <r>
    <x v="703"/>
    <d v="2024-06-01T00:00:00"/>
    <n v="14908"/>
    <n v="23236"/>
    <n v="0.44"/>
    <n v="2.34"/>
    <n v="1.63"/>
    <n v="660"/>
    <x v="0"/>
    <m/>
    <n v="0"/>
    <n v="18"/>
    <s v="Validation"/>
    <n v="0.64999999999999991"/>
    <x v="0"/>
    <n v="0"/>
  </r>
  <r>
    <x v="704"/>
    <d v="2023-05-01T00:00:00"/>
    <n v="34290"/>
    <n v="3364"/>
    <n v="0.96"/>
    <n v="0.59"/>
    <n v="0.77"/>
    <n v="670"/>
    <x v="0"/>
    <m/>
    <n v="0"/>
    <n v="12"/>
    <s v="Development"/>
    <n v="0.45"/>
    <x v="0"/>
    <n v="0"/>
  </r>
  <r>
    <x v="705"/>
    <d v="2023-09-01T00:00:00"/>
    <n v="194232"/>
    <n v="24955"/>
    <n v="2.6"/>
    <n v="1.29"/>
    <n v="1.21"/>
    <n v="543"/>
    <x v="1"/>
    <m/>
    <n v="0"/>
    <n v="6"/>
    <s v="Development"/>
    <n v="0.2"/>
    <x v="0"/>
    <n v="1"/>
  </r>
  <r>
    <x v="706"/>
    <d v="2023-04-01T00:00:00"/>
    <n v="21539"/>
    <n v="5723"/>
    <n v="0.85"/>
    <n v="0.3"/>
    <n v="1.52"/>
    <n v="668"/>
    <x v="0"/>
    <m/>
    <n v="0"/>
    <n v="18"/>
    <s v="Development"/>
    <n v="0.3"/>
    <x v="0"/>
    <n v="0"/>
  </r>
  <r>
    <x v="707"/>
    <d v="2024-10-01T00:00:00"/>
    <n v="105390"/>
    <n v="22282"/>
    <n v="1.65"/>
    <n v="0.4"/>
    <n v="2.4900000000000002"/>
    <n v="733"/>
    <x v="0"/>
    <m/>
    <n v="0"/>
    <n v="6"/>
    <s v="Validation"/>
    <n v="0"/>
    <x v="0"/>
    <n v="0"/>
  </r>
  <r>
    <x v="708"/>
    <d v="2024-05-01T00:00:00"/>
    <n v="108067"/>
    <n v="13494"/>
    <n v="2.1"/>
    <n v="2.4700000000000002"/>
    <n v="0.57999999999999996"/>
    <n v="645"/>
    <x v="0"/>
    <m/>
    <n v="0"/>
    <n v="12"/>
    <s v="Validation"/>
    <n v="0.5"/>
    <x v="0"/>
    <n v="0"/>
  </r>
  <r>
    <x v="709"/>
    <d v="2023-09-01T00:00:00"/>
    <m/>
    <n v="6852"/>
    <n v="0.86"/>
    <n v="0.71"/>
    <n v="2.0099999999999998"/>
    <n v="683"/>
    <x v="1"/>
    <n v="42454"/>
    <n v="1"/>
    <n v="18"/>
    <s v="Development"/>
    <n v="0.3"/>
    <x v="1"/>
    <n v="0"/>
  </r>
  <r>
    <x v="710"/>
    <d v="2023-01-01T00:00:00"/>
    <n v="52567"/>
    <n v="10047"/>
    <n v="1.65"/>
    <n v="2.5"/>
    <n v="1.45"/>
    <n v="638"/>
    <x v="0"/>
    <m/>
    <n v="0"/>
    <n v="12"/>
    <s v="Development"/>
    <n v="0.35"/>
    <x v="0"/>
    <n v="0"/>
  </r>
  <r>
    <x v="711"/>
    <d v="2024-09-01T00:00:00"/>
    <n v="104658"/>
    <n v="21599"/>
    <n v="2.0699999999999998"/>
    <n v="0.86"/>
    <n v="1.81"/>
    <n v="700"/>
    <x v="1"/>
    <n v="9326"/>
    <n v="1"/>
    <n v="18"/>
    <s v="Validation"/>
    <n v="0"/>
    <x v="1"/>
    <n v="0"/>
  </r>
  <r>
    <x v="712"/>
    <d v="2024-08-01T00:00:00"/>
    <n v="28384"/>
    <n v="14388"/>
    <n v="1.56"/>
    <n v="0.25"/>
    <n v="1.29"/>
    <n v="668"/>
    <x v="1"/>
    <n v="8860"/>
    <n v="1"/>
    <n v="12"/>
    <s v="Validation"/>
    <n v="0"/>
    <x v="1"/>
    <n v="0"/>
  </r>
  <r>
    <x v="713"/>
    <d v="2024-01-01T00:00:00"/>
    <n v="31814"/>
    <n v="20112"/>
    <n v="3.13"/>
    <n v="1.69"/>
    <n v="0.89"/>
    <n v="628"/>
    <x v="0"/>
    <m/>
    <n v="0"/>
    <n v="12"/>
    <s v="Validation"/>
    <n v="0"/>
    <x v="0"/>
    <n v="0"/>
  </r>
  <r>
    <x v="714"/>
    <d v="2024-04-01T00:00:00"/>
    <n v="24882"/>
    <n v="53290"/>
    <n v="0.63"/>
    <n v="0.6"/>
    <n v="1.76"/>
    <n v="753"/>
    <x v="0"/>
    <m/>
    <n v="0"/>
    <n v="12"/>
    <s v="Validation"/>
    <n v="0.3"/>
    <x v="0"/>
    <n v="0"/>
  </r>
  <r>
    <x v="715"/>
    <d v="2024-01-01T00:00:00"/>
    <n v="18777"/>
    <n v="4469"/>
    <n v="2.13"/>
    <n v="1.48"/>
    <n v="1.71"/>
    <n v="731"/>
    <x v="0"/>
    <m/>
    <n v="0"/>
    <n v="6"/>
    <s v="Validation"/>
    <n v="0"/>
    <x v="0"/>
    <n v="0"/>
  </r>
  <r>
    <x v="716"/>
    <d v="2024-02-01T00:00:00"/>
    <n v="23813"/>
    <n v="41442"/>
    <n v="1.45"/>
    <n v="0.92"/>
    <n v="1.88"/>
    <n v="647"/>
    <x v="0"/>
    <m/>
    <n v="0"/>
    <n v="18"/>
    <s v="Validation"/>
    <n v="0"/>
    <x v="0"/>
    <n v="0"/>
  </r>
  <r>
    <x v="717"/>
    <d v="2023-03-01T00:00:00"/>
    <n v="16390"/>
    <n v="14372"/>
    <n v="1.97"/>
    <n v="0.31"/>
    <n v="1.34"/>
    <n v="707"/>
    <x v="0"/>
    <m/>
    <n v="0"/>
    <n v="12"/>
    <s v="Development"/>
    <n v="0"/>
    <x v="0"/>
    <n v="0"/>
  </r>
  <r>
    <x v="718"/>
    <d v="2023-06-01T00:00:00"/>
    <n v="37129"/>
    <n v="7121"/>
    <n v="1.79"/>
    <n v="1.02"/>
    <n v="1.02"/>
    <n v="710"/>
    <x v="0"/>
    <m/>
    <n v="0"/>
    <n v="12"/>
    <s v="Development"/>
    <n v="0"/>
    <x v="0"/>
    <n v="0"/>
  </r>
  <r>
    <x v="719"/>
    <d v="2024-06-01T00:00:00"/>
    <n v="22016"/>
    <n v="5265"/>
    <n v="1.1499999999999999"/>
    <n v="4.21"/>
    <n v="0.49"/>
    <n v="715"/>
    <x v="0"/>
    <m/>
    <n v="0"/>
    <n v="12"/>
    <s v="Validation"/>
    <n v="0.5"/>
    <x v="0"/>
    <n v="0"/>
  </r>
  <r>
    <x v="720"/>
    <d v="2024-07-01T00:00:00"/>
    <n v="42275"/>
    <n v="11703"/>
    <m/>
    <n v="1.28"/>
    <n v="1.8"/>
    <n v="587"/>
    <x v="0"/>
    <m/>
    <n v="0"/>
    <n v="12"/>
    <s v="Validation"/>
    <n v="0.2"/>
    <x v="0"/>
    <n v="0"/>
  </r>
  <r>
    <x v="721"/>
    <d v="2023-05-01T00:00:00"/>
    <n v="13209"/>
    <n v="25467"/>
    <n v="0.53"/>
    <n v="0.87"/>
    <n v="1.58"/>
    <n v="735"/>
    <x v="0"/>
    <m/>
    <n v="0"/>
    <n v="12"/>
    <s v="Development"/>
    <n v="0.3"/>
    <x v="0"/>
    <n v="0"/>
  </r>
  <r>
    <x v="722"/>
    <d v="2024-03-01T00:00:00"/>
    <n v="45029"/>
    <n v="12219"/>
    <n v="1.88"/>
    <n v="1.92"/>
    <n v="0.82"/>
    <n v="649"/>
    <x v="0"/>
    <m/>
    <n v="0"/>
    <n v="12"/>
    <s v="Validation"/>
    <n v="0"/>
    <x v="0"/>
    <n v="0"/>
  </r>
  <r>
    <x v="723"/>
    <d v="2023-02-01T00:00:00"/>
    <n v="62430"/>
    <n v="38477"/>
    <n v="1.71"/>
    <n v="1.05"/>
    <n v="1.05"/>
    <n v="660"/>
    <x v="0"/>
    <m/>
    <n v="0"/>
    <n v="12"/>
    <s v="Development"/>
    <n v="0"/>
    <x v="0"/>
    <n v="0"/>
  </r>
  <r>
    <x v="724"/>
    <d v="2023-10-01T00:00:00"/>
    <n v="9938"/>
    <n v="4838"/>
    <n v="1.9"/>
    <n v="1.05"/>
    <n v="1.0900000000000001"/>
    <n v="825"/>
    <x v="1"/>
    <m/>
    <n v="0"/>
    <n v="12"/>
    <s v="Development"/>
    <n v="0"/>
    <x v="0"/>
    <n v="1"/>
  </r>
  <r>
    <x v="725"/>
    <d v="2024-12-01T00:00:00"/>
    <n v="46311"/>
    <n v="13247"/>
    <n v="2.13"/>
    <n v="0.42"/>
    <n v="0.53"/>
    <n v="697"/>
    <x v="0"/>
    <m/>
    <n v="0"/>
    <n v="6"/>
    <s v="Validation"/>
    <n v="0.15"/>
    <x v="0"/>
    <n v="0"/>
  </r>
  <r>
    <x v="726"/>
    <d v="2024-06-01T00:00:00"/>
    <n v="80659"/>
    <n v="5560"/>
    <n v="1.75"/>
    <n v="1.07"/>
    <n v="0.9"/>
    <n v="659"/>
    <x v="0"/>
    <m/>
    <n v="0"/>
    <n v="18"/>
    <s v="Validation"/>
    <n v="0"/>
    <x v="0"/>
    <n v="0"/>
  </r>
  <r>
    <x v="727"/>
    <d v="2024-01-01T00:00:00"/>
    <n v="16543"/>
    <n v="17232"/>
    <n v="1.63"/>
    <n v="1.87"/>
    <n v="0.73"/>
    <n v="559"/>
    <x v="0"/>
    <m/>
    <n v="0"/>
    <n v="18"/>
    <s v="Validation"/>
    <n v="0.35"/>
    <x v="0"/>
    <n v="0"/>
  </r>
  <r>
    <x v="728"/>
    <d v="2023-05-01T00:00:00"/>
    <n v="107707"/>
    <n v="24855"/>
    <n v="1.07"/>
    <n v="0.5"/>
    <n v="1.1200000000000001"/>
    <n v="756"/>
    <x v="0"/>
    <m/>
    <n v="0"/>
    <n v="18"/>
    <s v="Development"/>
    <n v="0"/>
    <x v="0"/>
    <n v="0"/>
  </r>
  <r>
    <x v="729"/>
    <d v="2024-11-01T00:00:00"/>
    <n v="47685"/>
    <n v="9951"/>
    <n v="1.1599999999999999"/>
    <n v="2.4500000000000002"/>
    <n v="0.94"/>
    <n v="606"/>
    <x v="0"/>
    <m/>
    <n v="0"/>
    <n v="6"/>
    <s v="Validation"/>
    <n v="0.35"/>
    <x v="0"/>
    <n v="0"/>
  </r>
  <r>
    <x v="730"/>
    <d v="2024-12-01T00:00:00"/>
    <n v="22965"/>
    <n v="2158"/>
    <n v="2.2000000000000002"/>
    <n v="0.85"/>
    <n v="0.46"/>
    <n v="625"/>
    <x v="0"/>
    <m/>
    <n v="0"/>
    <n v="12"/>
    <s v="Validation"/>
    <n v="0.15"/>
    <x v="0"/>
    <n v="0"/>
  </r>
  <r>
    <x v="731"/>
    <d v="2023-01-01T00:00:00"/>
    <n v="35023"/>
    <n v="15356"/>
    <n v="2.34"/>
    <n v="0.49"/>
    <n v="2.46"/>
    <n v="662"/>
    <x v="0"/>
    <m/>
    <n v="0"/>
    <n v="6"/>
    <s v="Development"/>
    <n v="0"/>
    <x v="0"/>
    <n v="0"/>
  </r>
  <r>
    <x v="732"/>
    <d v="2024-10-01T00:00:00"/>
    <n v="52204"/>
    <n v="18137"/>
    <n v="1.42"/>
    <n v="1.82"/>
    <n v="2.04"/>
    <n v="758"/>
    <x v="0"/>
    <m/>
    <n v="0"/>
    <n v="12"/>
    <s v="Validation"/>
    <n v="0"/>
    <x v="0"/>
    <n v="0"/>
  </r>
  <r>
    <x v="733"/>
    <d v="2023-01-01T00:00:00"/>
    <n v="38155"/>
    <n v="17730"/>
    <m/>
    <n v="0.74"/>
    <n v="0.92"/>
    <n v="723"/>
    <x v="0"/>
    <m/>
    <n v="0"/>
    <n v="12"/>
    <s v="Development"/>
    <n v="0"/>
    <x v="0"/>
    <n v="0"/>
  </r>
  <r>
    <x v="734"/>
    <d v="2024-06-01T00:00:00"/>
    <n v="51544"/>
    <n v="31731"/>
    <n v="1.05"/>
    <n v="1.54"/>
    <n v="1.5"/>
    <n v="671"/>
    <x v="0"/>
    <m/>
    <n v="0"/>
    <n v="12"/>
    <s v="Validation"/>
    <n v="0"/>
    <x v="0"/>
    <n v="0"/>
  </r>
  <r>
    <x v="735"/>
    <d v="2024-03-01T00:00:00"/>
    <n v="19962"/>
    <n v="6312"/>
    <n v="2.2000000000000002"/>
    <n v="0.74"/>
    <n v="1.58"/>
    <n v="697"/>
    <x v="0"/>
    <m/>
    <n v="0"/>
    <n v="12"/>
    <s v="Validation"/>
    <n v="0"/>
    <x v="0"/>
    <n v="0"/>
  </r>
  <r>
    <x v="736"/>
    <d v="2024-05-01T00:00:00"/>
    <n v="40542"/>
    <n v="21507"/>
    <n v="1.92"/>
    <n v="0.87"/>
    <n v="2.0099999999999998"/>
    <n v="647"/>
    <x v="0"/>
    <m/>
    <n v="0"/>
    <n v="12"/>
    <s v="Validation"/>
    <n v="0"/>
    <x v="0"/>
    <n v="0"/>
  </r>
  <r>
    <x v="737"/>
    <d v="2023-11-01T00:00:00"/>
    <n v="14488"/>
    <n v="30784"/>
    <n v="2.62"/>
    <n v="1.28"/>
    <n v="0.9"/>
    <m/>
    <x v="0"/>
    <m/>
    <n v="0"/>
    <n v="18"/>
    <s v="Development"/>
    <n v="0"/>
    <x v="0"/>
    <n v="0"/>
  </r>
  <r>
    <x v="738"/>
    <d v="2024-09-01T00:00:00"/>
    <n v="33783"/>
    <n v="3847"/>
    <n v="1.07"/>
    <n v="1.1100000000000001"/>
    <n v="1.95"/>
    <n v="684"/>
    <x v="0"/>
    <m/>
    <n v="0"/>
    <n v="6"/>
    <s v="Validation"/>
    <n v="0"/>
    <x v="0"/>
    <n v="0"/>
  </r>
  <r>
    <x v="739"/>
    <d v="2024-10-01T00:00:00"/>
    <n v="20180"/>
    <n v="16710"/>
    <n v="1.34"/>
    <n v="0.22"/>
    <n v="1.05"/>
    <n v="733"/>
    <x v="0"/>
    <m/>
    <n v="0"/>
    <n v="12"/>
    <s v="Validation"/>
    <n v="0"/>
    <x v="0"/>
    <n v="0"/>
  </r>
  <r>
    <x v="740"/>
    <d v="2024-05-01T00:00:00"/>
    <n v="22514"/>
    <n v="9387"/>
    <n v="1.68"/>
    <n v="0.41"/>
    <n v="0.62"/>
    <n v="733"/>
    <x v="1"/>
    <n v="16377"/>
    <n v="1"/>
    <n v="12"/>
    <s v="Validation"/>
    <n v="0.15"/>
    <x v="1"/>
    <n v="0"/>
  </r>
  <r>
    <x v="741"/>
    <d v="2024-01-01T00:00:00"/>
    <n v="81102"/>
    <n v="12619"/>
    <n v="1.91"/>
    <n v="1.73"/>
    <n v="1.75"/>
    <n v="707"/>
    <x v="0"/>
    <m/>
    <n v="0"/>
    <n v="12"/>
    <s v="Validation"/>
    <n v="0"/>
    <x v="0"/>
    <n v="0"/>
  </r>
  <r>
    <x v="742"/>
    <d v="2023-01-01T00:00:00"/>
    <n v="73818"/>
    <n v="17041"/>
    <n v="1.43"/>
    <n v="0.82"/>
    <n v="2.06"/>
    <n v="660"/>
    <x v="0"/>
    <m/>
    <n v="0"/>
    <n v="12"/>
    <s v="Development"/>
    <n v="0"/>
    <x v="0"/>
    <n v="0"/>
  </r>
  <r>
    <x v="743"/>
    <d v="2023-02-01T00:00:00"/>
    <n v="53957"/>
    <n v="9499"/>
    <n v="1.07"/>
    <n v="0.63"/>
    <n v="2.77"/>
    <n v="721"/>
    <x v="0"/>
    <m/>
    <n v="0"/>
    <n v="6"/>
    <s v="Development"/>
    <n v="0"/>
    <x v="0"/>
    <n v="0"/>
  </r>
  <r>
    <x v="744"/>
    <d v="2023-09-01T00:00:00"/>
    <n v="17854"/>
    <n v="8325"/>
    <n v="2.0299999999999998"/>
    <n v="0.35"/>
    <n v="0.69"/>
    <n v="675"/>
    <x v="0"/>
    <m/>
    <n v="0"/>
    <n v="12"/>
    <s v="Development"/>
    <n v="0.15"/>
    <x v="0"/>
    <n v="0"/>
  </r>
  <r>
    <x v="745"/>
    <d v="2023-03-01T00:00:00"/>
    <n v="29565"/>
    <n v="13683"/>
    <n v="1.95"/>
    <n v="0.42"/>
    <n v="1.73"/>
    <n v="620"/>
    <x v="0"/>
    <m/>
    <n v="0"/>
    <n v="12"/>
    <s v="Development"/>
    <n v="0"/>
    <x v="0"/>
    <n v="0"/>
  </r>
  <r>
    <x v="746"/>
    <d v="2023-01-01T00:00:00"/>
    <n v="79899"/>
    <n v="6241"/>
    <n v="1.05"/>
    <n v="0.22"/>
    <n v="1.1200000000000001"/>
    <n v="658"/>
    <x v="0"/>
    <m/>
    <n v="0"/>
    <n v="12"/>
    <s v="Development"/>
    <n v="0"/>
    <x v="0"/>
    <n v="0"/>
  </r>
  <r>
    <x v="747"/>
    <d v="2024-09-01T00:00:00"/>
    <n v="39820"/>
    <n v="6247"/>
    <n v="2.2999999999999998"/>
    <n v="0.84"/>
    <n v="1.78"/>
    <n v="685"/>
    <x v="0"/>
    <m/>
    <n v="0"/>
    <n v="18"/>
    <s v="Validation"/>
    <n v="0"/>
    <x v="0"/>
    <n v="0"/>
  </r>
  <r>
    <x v="748"/>
    <d v="2024-04-01T00:00:00"/>
    <n v="163991"/>
    <n v="21495"/>
    <n v="2.19"/>
    <n v="0.6"/>
    <n v="0.54"/>
    <n v="730"/>
    <x v="0"/>
    <m/>
    <n v="0"/>
    <n v="18"/>
    <s v="Validation"/>
    <n v="0.15"/>
    <x v="0"/>
    <n v="0"/>
  </r>
  <r>
    <x v="749"/>
    <d v="2024-11-01T00:00:00"/>
    <n v="46895"/>
    <n v="5978"/>
    <n v="1.62"/>
    <n v="0.46"/>
    <n v="0.66"/>
    <n v="670"/>
    <x v="0"/>
    <m/>
    <n v="0"/>
    <n v="12"/>
    <s v="Validation"/>
    <n v="0.15"/>
    <x v="0"/>
    <n v="0"/>
  </r>
  <r>
    <x v="750"/>
    <d v="2023-06-01T00:00:00"/>
    <n v="41144"/>
    <n v="21299"/>
    <n v="1.59"/>
    <n v="0.86"/>
    <n v="0.92"/>
    <n v="613"/>
    <x v="0"/>
    <m/>
    <n v="0"/>
    <n v="12"/>
    <s v="Development"/>
    <n v="0"/>
    <x v="0"/>
    <n v="0"/>
  </r>
  <r>
    <x v="751"/>
    <d v="2024-05-01T00:00:00"/>
    <n v="29705"/>
    <n v="18468"/>
    <n v="1.85"/>
    <n v="1.17"/>
    <n v="1.39"/>
    <n v="683"/>
    <x v="0"/>
    <m/>
    <n v="0"/>
    <n v="18"/>
    <s v="Validation"/>
    <n v="0"/>
    <x v="0"/>
    <n v="0"/>
  </r>
  <r>
    <x v="752"/>
    <d v="2023-05-01T00:00:00"/>
    <n v="39609"/>
    <n v="3992"/>
    <n v="1.08"/>
    <n v="3.92"/>
    <n v="1"/>
    <n v="686"/>
    <x v="0"/>
    <m/>
    <n v="0"/>
    <n v="12"/>
    <s v="Development"/>
    <n v="0.35"/>
    <x v="0"/>
    <n v="0"/>
  </r>
  <r>
    <x v="753"/>
    <d v="2023-05-01T00:00:00"/>
    <n v="32889"/>
    <n v="8314"/>
    <n v="1.57"/>
    <n v="0.31"/>
    <n v="1.71"/>
    <n v="690"/>
    <x v="0"/>
    <m/>
    <n v="0"/>
    <n v="6"/>
    <s v="Development"/>
    <n v="0"/>
    <x v="0"/>
    <n v="0"/>
  </r>
  <r>
    <x v="754"/>
    <d v="2023-06-01T00:00:00"/>
    <n v="57542"/>
    <n v="30819"/>
    <n v="0.37"/>
    <n v="2.04"/>
    <n v="1.91"/>
    <n v="731"/>
    <x v="1"/>
    <n v="5129"/>
    <n v="1"/>
    <n v="6"/>
    <s v="Development"/>
    <n v="0.64999999999999991"/>
    <x v="1"/>
    <n v="0"/>
  </r>
  <r>
    <x v="755"/>
    <d v="2023-03-01T00:00:00"/>
    <n v="67633"/>
    <n v="6722"/>
    <n v="2.0299999999999998"/>
    <n v="1.79"/>
    <n v="1.68"/>
    <n v="736"/>
    <x v="0"/>
    <m/>
    <n v="0"/>
    <n v="12"/>
    <s v="Development"/>
    <n v="0"/>
    <x v="0"/>
    <n v="0"/>
  </r>
  <r>
    <x v="756"/>
    <d v="2024-09-01T00:00:00"/>
    <n v="21788"/>
    <n v="9652"/>
    <n v="0.69"/>
    <n v="0.52"/>
    <n v="2.2400000000000002"/>
    <n v="647"/>
    <x v="0"/>
    <m/>
    <n v="0"/>
    <n v="6"/>
    <s v="Validation"/>
    <n v="0.3"/>
    <x v="0"/>
    <n v="0"/>
  </r>
  <r>
    <x v="757"/>
    <d v="2024-11-01T00:00:00"/>
    <n v="15286"/>
    <n v="18461"/>
    <n v="2.38"/>
    <n v="1.04"/>
    <n v="1.58"/>
    <n v="646"/>
    <x v="0"/>
    <m/>
    <n v="0"/>
    <n v="12"/>
    <s v="Validation"/>
    <n v="0"/>
    <x v="0"/>
    <n v="0"/>
  </r>
  <r>
    <x v="758"/>
    <d v="2023-05-01T00:00:00"/>
    <n v="11009"/>
    <n v="23118"/>
    <n v="1.37"/>
    <n v="0.66"/>
    <n v="0.68"/>
    <n v="623"/>
    <x v="0"/>
    <m/>
    <n v="0"/>
    <n v="12"/>
    <s v="Development"/>
    <n v="0.15"/>
    <x v="0"/>
    <n v="0"/>
  </r>
  <r>
    <x v="759"/>
    <d v="2024-09-01T00:00:00"/>
    <n v="50524"/>
    <n v="11203"/>
    <n v="1.43"/>
    <n v="1.03"/>
    <n v="2.1"/>
    <n v="718"/>
    <x v="0"/>
    <m/>
    <n v="0"/>
    <n v="12"/>
    <s v="Validation"/>
    <n v="0"/>
    <x v="0"/>
    <n v="0"/>
  </r>
  <r>
    <x v="760"/>
    <d v="2023-05-01T00:00:00"/>
    <n v="17726"/>
    <n v="8793"/>
    <n v="1.2"/>
    <n v="2.6"/>
    <n v="1.02"/>
    <n v="760"/>
    <x v="1"/>
    <n v="23689"/>
    <n v="1"/>
    <n v="6"/>
    <s v="Development"/>
    <n v="0.35"/>
    <x v="1"/>
    <n v="0"/>
  </r>
  <r>
    <x v="761"/>
    <d v="2023-10-01T00:00:00"/>
    <n v="8961"/>
    <n v="36158"/>
    <n v="1.39"/>
    <n v="1.38"/>
    <n v="1.85"/>
    <n v="663"/>
    <x v="0"/>
    <m/>
    <n v="0"/>
    <n v="18"/>
    <s v="Development"/>
    <n v="0"/>
    <x v="0"/>
    <n v="0"/>
  </r>
  <r>
    <x v="762"/>
    <d v="2023-10-01T00:00:00"/>
    <n v="46750"/>
    <n v="45127"/>
    <n v="2.33"/>
    <n v="1.29"/>
    <n v="2.2200000000000002"/>
    <n v="667"/>
    <x v="0"/>
    <m/>
    <n v="0"/>
    <n v="18"/>
    <s v="Development"/>
    <n v="0"/>
    <x v="0"/>
    <n v="0"/>
  </r>
  <r>
    <x v="763"/>
    <d v="2024-07-01T00:00:00"/>
    <n v="183588"/>
    <n v="26508"/>
    <n v="0.2"/>
    <n v="0.67"/>
    <n v="1.6"/>
    <n v="761"/>
    <x v="0"/>
    <m/>
    <n v="0"/>
    <n v="12"/>
    <s v="Validation"/>
    <n v="0.3"/>
    <x v="0"/>
    <n v="0"/>
  </r>
  <r>
    <x v="764"/>
    <d v="2024-05-01T00:00:00"/>
    <n v="36172"/>
    <n v="14182"/>
    <n v="2.25"/>
    <n v="0.32"/>
    <n v="0.53"/>
    <n v="708"/>
    <x v="0"/>
    <m/>
    <n v="0"/>
    <n v="12"/>
    <s v="Validation"/>
    <n v="0.15"/>
    <x v="0"/>
    <n v="0"/>
  </r>
  <r>
    <x v="765"/>
    <d v="2024-09-01T00:00:00"/>
    <n v="62631"/>
    <n v="7587"/>
    <n v="1.74"/>
    <n v="0.78"/>
    <n v="0.84"/>
    <n v="704"/>
    <x v="0"/>
    <m/>
    <n v="0"/>
    <n v="18"/>
    <s v="Validation"/>
    <n v="0"/>
    <x v="0"/>
    <n v="0"/>
  </r>
  <r>
    <x v="766"/>
    <d v="2024-02-01T00:00:00"/>
    <n v="38299"/>
    <n v="7470"/>
    <n v="0.89"/>
    <n v="2.11"/>
    <n v="2.08"/>
    <n v="614"/>
    <x v="0"/>
    <m/>
    <n v="0"/>
    <n v="12"/>
    <s v="Validation"/>
    <n v="0.64999999999999991"/>
    <x v="0"/>
    <n v="0"/>
  </r>
  <r>
    <x v="767"/>
    <d v="2023-09-01T00:00:00"/>
    <n v="34055"/>
    <n v="19260"/>
    <n v="0.96"/>
    <n v="0.31"/>
    <n v="1.26"/>
    <n v="717"/>
    <x v="1"/>
    <n v="24372"/>
    <n v="1"/>
    <n v="6"/>
    <s v="Development"/>
    <n v="0.3"/>
    <x v="1"/>
    <n v="0"/>
  </r>
  <r>
    <x v="768"/>
    <d v="2024-02-01T00:00:00"/>
    <n v="65999"/>
    <n v="17906"/>
    <n v="2.4700000000000002"/>
    <n v="0.43"/>
    <n v="1.39"/>
    <n v="629"/>
    <x v="0"/>
    <m/>
    <n v="0"/>
    <n v="12"/>
    <s v="Validation"/>
    <n v="0"/>
    <x v="0"/>
    <n v="0"/>
  </r>
  <r>
    <x v="769"/>
    <d v="2023-01-01T00:00:00"/>
    <n v="30071"/>
    <n v="35636"/>
    <n v="1.03"/>
    <n v="0.99"/>
    <n v="1.77"/>
    <n v="618"/>
    <x v="0"/>
    <m/>
    <n v="0"/>
    <n v="12"/>
    <s v="Development"/>
    <n v="0"/>
    <x v="0"/>
    <n v="0"/>
  </r>
  <r>
    <x v="770"/>
    <d v="2024-07-01T00:00:00"/>
    <n v="43209"/>
    <n v="21064"/>
    <n v="0.92"/>
    <n v="0.45"/>
    <n v="1.73"/>
    <n v="661"/>
    <x v="0"/>
    <m/>
    <n v="0"/>
    <n v="12"/>
    <s v="Validation"/>
    <n v="0.3"/>
    <x v="0"/>
    <n v="0"/>
  </r>
  <r>
    <x v="771"/>
    <d v="2024-01-01T00:00:00"/>
    <n v="44761"/>
    <n v="4665"/>
    <n v="2.1800000000000002"/>
    <n v="0.52"/>
    <n v="1.5"/>
    <n v="648"/>
    <x v="0"/>
    <m/>
    <n v="0"/>
    <n v="6"/>
    <s v="Validation"/>
    <n v="0"/>
    <x v="0"/>
    <n v="0"/>
  </r>
  <r>
    <x v="772"/>
    <d v="2024-01-01T00:00:00"/>
    <n v="23523"/>
    <n v="27899"/>
    <n v="1.74"/>
    <n v="0.67"/>
    <n v="1.24"/>
    <n v="668"/>
    <x v="1"/>
    <n v="683"/>
    <n v="1"/>
    <n v="12"/>
    <s v="Validation"/>
    <n v="0"/>
    <x v="1"/>
    <n v="0"/>
  </r>
  <r>
    <x v="773"/>
    <d v="2023-04-01T00:00:00"/>
    <n v="69205"/>
    <n v="6643"/>
    <n v="1.03"/>
    <n v="0.35"/>
    <n v="1.18"/>
    <n v="601"/>
    <x v="0"/>
    <m/>
    <n v="0"/>
    <n v="12"/>
    <s v="Development"/>
    <n v="0"/>
    <x v="0"/>
    <n v="0"/>
  </r>
  <r>
    <x v="774"/>
    <d v="2023-01-01T00:00:00"/>
    <n v="32412"/>
    <n v="10211"/>
    <n v="1.67"/>
    <n v="0.46"/>
    <n v="1.82"/>
    <n v="733"/>
    <x v="0"/>
    <m/>
    <n v="0"/>
    <n v="18"/>
    <s v="Development"/>
    <n v="0"/>
    <x v="0"/>
    <n v="0"/>
  </r>
  <r>
    <x v="775"/>
    <d v="2024-05-01T00:00:00"/>
    <n v="22220"/>
    <n v="15917"/>
    <n v="0.99"/>
    <n v="1.48"/>
    <n v="1.65"/>
    <n v="742"/>
    <x v="0"/>
    <m/>
    <n v="0"/>
    <n v="6"/>
    <s v="Validation"/>
    <n v="0.3"/>
    <x v="0"/>
    <n v="0"/>
  </r>
  <r>
    <x v="776"/>
    <d v="2023-08-01T00:00:00"/>
    <n v="51469"/>
    <n v="54012"/>
    <n v="2.16"/>
    <n v="0.36"/>
    <n v="1.21"/>
    <n v="573"/>
    <x v="0"/>
    <m/>
    <n v="0"/>
    <n v="6"/>
    <s v="Development"/>
    <n v="0.2"/>
    <x v="0"/>
    <n v="0"/>
  </r>
  <r>
    <x v="777"/>
    <d v="2023-02-01T00:00:00"/>
    <n v="20252"/>
    <n v="117823"/>
    <n v="2.13"/>
    <n v="0.3"/>
    <n v="1.95"/>
    <n v="734"/>
    <x v="0"/>
    <m/>
    <n v="0"/>
    <n v="12"/>
    <s v="Development"/>
    <n v="0"/>
    <x v="0"/>
    <n v="0"/>
  </r>
  <r>
    <x v="778"/>
    <d v="2023-08-01T00:00:00"/>
    <n v="36987"/>
    <n v="20429"/>
    <n v="1.84"/>
    <n v="0.57999999999999996"/>
    <n v="1.28"/>
    <n v="635"/>
    <x v="0"/>
    <m/>
    <n v="0"/>
    <n v="12"/>
    <s v="Development"/>
    <n v="0"/>
    <x v="0"/>
    <n v="0"/>
  </r>
  <r>
    <x v="779"/>
    <d v="2023-07-01T00:00:00"/>
    <n v="36101"/>
    <n v="11752"/>
    <n v="1.75"/>
    <n v="1.51"/>
    <n v="0.88"/>
    <n v="727"/>
    <x v="0"/>
    <m/>
    <n v="0"/>
    <n v="12"/>
    <s v="Development"/>
    <n v="0"/>
    <x v="0"/>
    <n v="0"/>
  </r>
  <r>
    <x v="780"/>
    <d v="2023-02-01T00:00:00"/>
    <n v="73558"/>
    <n v="19422"/>
    <n v="2.52"/>
    <n v="0.79"/>
    <n v="0.93"/>
    <n v="676"/>
    <x v="0"/>
    <m/>
    <n v="0"/>
    <n v="12"/>
    <s v="Development"/>
    <n v="0"/>
    <x v="0"/>
    <n v="0"/>
  </r>
  <r>
    <x v="781"/>
    <d v="2024-10-01T00:00:00"/>
    <n v="49442"/>
    <n v="24869"/>
    <n v="1.55"/>
    <n v="0.65"/>
    <n v="0.81"/>
    <n v="682"/>
    <x v="0"/>
    <m/>
    <n v="0"/>
    <n v="12"/>
    <s v="Validation"/>
    <n v="0"/>
    <x v="0"/>
    <n v="0"/>
  </r>
  <r>
    <x v="782"/>
    <d v="2024-10-01T00:00:00"/>
    <n v="35730"/>
    <n v="10674"/>
    <n v="0.9"/>
    <n v="0.93"/>
    <n v="1.2"/>
    <n v="670"/>
    <x v="1"/>
    <n v="43043"/>
    <n v="1"/>
    <n v="12"/>
    <s v="Validation"/>
    <n v="0.3"/>
    <x v="1"/>
    <n v="0"/>
  </r>
  <r>
    <x v="783"/>
    <d v="2023-03-01T00:00:00"/>
    <n v="61793"/>
    <n v="46941"/>
    <n v="1.8"/>
    <n v="0.27"/>
    <n v="2.0299999999999998"/>
    <n v="747"/>
    <x v="0"/>
    <m/>
    <n v="0"/>
    <n v="12"/>
    <s v="Development"/>
    <n v="0"/>
    <x v="0"/>
    <n v="0"/>
  </r>
  <r>
    <x v="784"/>
    <d v="2024-06-01T00:00:00"/>
    <n v="89647"/>
    <n v="15694"/>
    <n v="2.7"/>
    <n v="1.28"/>
    <n v="0.91"/>
    <n v="612"/>
    <x v="0"/>
    <m/>
    <n v="0"/>
    <n v="12"/>
    <s v="Validation"/>
    <n v="0"/>
    <x v="0"/>
    <n v="0"/>
  </r>
  <r>
    <x v="785"/>
    <d v="2023-12-01T00:00:00"/>
    <n v="52186"/>
    <n v="18928"/>
    <n v="0.99"/>
    <n v="1.18"/>
    <n v="1.45"/>
    <n v="713"/>
    <x v="0"/>
    <m/>
    <n v="0"/>
    <n v="6"/>
    <s v="Development"/>
    <n v="0.3"/>
    <x v="0"/>
    <n v="0"/>
  </r>
  <r>
    <x v="786"/>
    <d v="2023-01-01T00:00:00"/>
    <n v="36561"/>
    <n v="21293"/>
    <n v="1.35"/>
    <n v="0.68"/>
    <n v="0.99"/>
    <n v="741"/>
    <x v="0"/>
    <m/>
    <n v="0"/>
    <n v="18"/>
    <s v="Development"/>
    <n v="0"/>
    <x v="0"/>
    <n v="0"/>
  </r>
  <r>
    <x v="787"/>
    <d v="2024-10-01T00:00:00"/>
    <n v="15480"/>
    <n v="17946"/>
    <n v="1.78"/>
    <n v="1.83"/>
    <n v="1.21"/>
    <n v="719"/>
    <x v="0"/>
    <m/>
    <n v="0"/>
    <n v="18"/>
    <s v="Validation"/>
    <n v="0"/>
    <x v="0"/>
    <n v="0"/>
  </r>
  <r>
    <x v="788"/>
    <d v="2023-12-01T00:00:00"/>
    <n v="18173"/>
    <n v="24035"/>
    <n v="1.52"/>
    <n v="0.41"/>
    <n v="0.52"/>
    <n v="808"/>
    <x v="0"/>
    <m/>
    <n v="0"/>
    <n v="12"/>
    <s v="Development"/>
    <n v="0.15"/>
    <x v="0"/>
    <n v="0"/>
  </r>
  <r>
    <x v="789"/>
    <d v="2023-05-01T00:00:00"/>
    <n v="29780"/>
    <n v="8673"/>
    <n v="1.01"/>
    <n v="1.99"/>
    <n v="1.23"/>
    <n v="651"/>
    <x v="0"/>
    <m/>
    <n v="0"/>
    <n v="12"/>
    <s v="Development"/>
    <n v="0"/>
    <x v="0"/>
    <n v="0"/>
  </r>
  <r>
    <x v="790"/>
    <d v="2024-05-01T00:00:00"/>
    <n v="24436"/>
    <n v="9038"/>
    <n v="2.17"/>
    <n v="1.01"/>
    <n v="1.24"/>
    <n v="733"/>
    <x v="0"/>
    <m/>
    <n v="0"/>
    <n v="18"/>
    <s v="Validation"/>
    <n v="0"/>
    <x v="0"/>
    <n v="0"/>
  </r>
  <r>
    <x v="791"/>
    <d v="2024-04-01T00:00:00"/>
    <n v="32160"/>
    <n v="6185"/>
    <n v="2.83"/>
    <n v="0.71"/>
    <n v="1.65"/>
    <m/>
    <x v="0"/>
    <m/>
    <n v="0"/>
    <n v="18"/>
    <s v="Validation"/>
    <n v="0"/>
    <x v="0"/>
    <n v="0"/>
  </r>
  <r>
    <x v="792"/>
    <d v="2024-03-01T00:00:00"/>
    <n v="37678"/>
    <n v="18172"/>
    <n v="1.66"/>
    <n v="0.89"/>
    <n v="1.47"/>
    <n v="748"/>
    <x v="0"/>
    <m/>
    <n v="0"/>
    <n v="6"/>
    <s v="Validation"/>
    <n v="0"/>
    <x v="0"/>
    <n v="0"/>
  </r>
  <r>
    <x v="793"/>
    <d v="2024-11-01T00:00:00"/>
    <n v="51241"/>
    <n v="23046"/>
    <n v="1.05"/>
    <n v="0.84"/>
    <n v="0.69"/>
    <n v="680"/>
    <x v="0"/>
    <m/>
    <n v="0"/>
    <n v="6"/>
    <s v="Validation"/>
    <n v="0.15"/>
    <x v="0"/>
    <n v="0"/>
  </r>
  <r>
    <x v="794"/>
    <d v="2024-03-01T00:00:00"/>
    <n v="34689"/>
    <n v="18406"/>
    <n v="0.7"/>
    <n v="2.13"/>
    <n v="1.95"/>
    <n v="659"/>
    <x v="0"/>
    <m/>
    <n v="0"/>
    <n v="18"/>
    <s v="Validation"/>
    <n v="0.64999999999999991"/>
    <x v="0"/>
    <n v="0"/>
  </r>
  <r>
    <x v="795"/>
    <d v="2023-05-01T00:00:00"/>
    <n v="49823"/>
    <n v="43137"/>
    <n v="1.69"/>
    <n v="0.43"/>
    <n v="1.47"/>
    <n v="752"/>
    <x v="0"/>
    <m/>
    <n v="0"/>
    <n v="12"/>
    <s v="Development"/>
    <n v="0"/>
    <x v="0"/>
    <n v="0"/>
  </r>
  <r>
    <x v="796"/>
    <d v="2024-09-01T00:00:00"/>
    <n v="37870"/>
    <n v="13307"/>
    <n v="2.16"/>
    <n v="0.53"/>
    <n v="1.46"/>
    <n v="653"/>
    <x v="0"/>
    <m/>
    <n v="0"/>
    <n v="12"/>
    <s v="Validation"/>
    <n v="0"/>
    <x v="0"/>
    <n v="0"/>
  </r>
  <r>
    <x v="797"/>
    <d v="2024-02-01T00:00:00"/>
    <n v="10056"/>
    <n v="21335"/>
    <n v="1.81"/>
    <n v="1.87"/>
    <n v="1.34"/>
    <n v="602"/>
    <x v="0"/>
    <m/>
    <n v="0"/>
    <n v="6"/>
    <s v="Validation"/>
    <n v="0"/>
    <x v="0"/>
    <n v="0"/>
  </r>
  <r>
    <x v="798"/>
    <d v="2023-02-01T00:00:00"/>
    <n v="19721"/>
    <n v="6222"/>
    <n v="1.55"/>
    <n v="0.6"/>
    <n v="1.07"/>
    <n v="652"/>
    <x v="0"/>
    <m/>
    <n v="0"/>
    <n v="12"/>
    <s v="Development"/>
    <n v="0"/>
    <x v="0"/>
    <n v="0"/>
  </r>
  <r>
    <x v="799"/>
    <d v="2023-11-01T00:00:00"/>
    <n v="33069"/>
    <n v="10189"/>
    <n v="1.23"/>
    <n v="1.7"/>
    <n v="1.47"/>
    <n v="714"/>
    <x v="1"/>
    <n v="20671"/>
    <n v="1"/>
    <n v="18"/>
    <s v="Development"/>
    <n v="0"/>
    <x v="1"/>
    <n v="0"/>
  </r>
  <r>
    <x v="800"/>
    <d v="2024-07-01T00:00:00"/>
    <n v="16543"/>
    <n v="21739"/>
    <n v="0.95"/>
    <n v="2.97"/>
    <n v="1.61"/>
    <n v="757"/>
    <x v="0"/>
    <m/>
    <n v="0"/>
    <n v="12"/>
    <s v="Validation"/>
    <n v="0.64999999999999991"/>
    <x v="0"/>
    <n v="0"/>
  </r>
  <r>
    <x v="801"/>
    <d v="2023-07-01T00:00:00"/>
    <n v="53635"/>
    <n v="24206"/>
    <n v="2.0099999999999998"/>
    <n v="0.68"/>
    <n v="0.39"/>
    <n v="686"/>
    <x v="0"/>
    <m/>
    <n v="0"/>
    <n v="12"/>
    <s v="Development"/>
    <n v="0.15"/>
    <x v="0"/>
    <n v="0"/>
  </r>
  <r>
    <x v="802"/>
    <d v="2023-06-01T00:00:00"/>
    <n v="98222"/>
    <n v="10875"/>
    <n v="2.0499999999999998"/>
    <n v="1.46"/>
    <n v="1.05"/>
    <n v="753"/>
    <x v="0"/>
    <m/>
    <n v="0"/>
    <n v="12"/>
    <s v="Development"/>
    <n v="0"/>
    <x v="0"/>
    <n v="0"/>
  </r>
  <r>
    <x v="803"/>
    <d v="2023-02-01T00:00:00"/>
    <n v="80193"/>
    <n v="12707"/>
    <n v="0.7"/>
    <n v="0.4"/>
    <n v="1.21"/>
    <n v="605"/>
    <x v="0"/>
    <m/>
    <n v="0"/>
    <n v="12"/>
    <s v="Development"/>
    <n v="0.3"/>
    <x v="0"/>
    <n v="0"/>
  </r>
  <r>
    <x v="804"/>
    <d v="2023-06-01T00:00:00"/>
    <n v="31611"/>
    <n v="4617"/>
    <n v="2.42"/>
    <n v="1.53"/>
    <n v="1.49"/>
    <n v="656"/>
    <x v="0"/>
    <m/>
    <n v="0"/>
    <n v="12"/>
    <s v="Development"/>
    <n v="0"/>
    <x v="0"/>
    <n v="0"/>
  </r>
  <r>
    <x v="805"/>
    <d v="2024-06-01T00:00:00"/>
    <n v="95700"/>
    <n v="10405"/>
    <n v="1.87"/>
    <n v="1.04"/>
    <n v="2.0099999999999998"/>
    <n v="664"/>
    <x v="0"/>
    <m/>
    <n v="0"/>
    <n v="18"/>
    <s v="Validation"/>
    <n v="0"/>
    <x v="0"/>
    <n v="0"/>
  </r>
  <r>
    <x v="806"/>
    <d v="2023-02-01T00:00:00"/>
    <n v="40000"/>
    <n v="24916"/>
    <n v="2.3199999999999998"/>
    <n v="1.26"/>
    <n v="0.93"/>
    <n v="674"/>
    <x v="0"/>
    <m/>
    <n v="0"/>
    <n v="18"/>
    <s v="Development"/>
    <n v="0"/>
    <x v="0"/>
    <n v="0"/>
  </r>
  <r>
    <x v="807"/>
    <d v="2024-06-01T00:00:00"/>
    <n v="29170"/>
    <n v="19983"/>
    <n v="0.81"/>
    <n v="0.57999999999999996"/>
    <n v="1.08"/>
    <n v="685"/>
    <x v="0"/>
    <m/>
    <n v="0"/>
    <n v="18"/>
    <s v="Validation"/>
    <n v="0.3"/>
    <x v="0"/>
    <n v="0"/>
  </r>
  <r>
    <x v="808"/>
    <d v="2024-03-01T00:00:00"/>
    <n v="24374"/>
    <n v="18967"/>
    <n v="0.8"/>
    <n v="0.28000000000000003"/>
    <n v="1.07"/>
    <n v="718"/>
    <x v="0"/>
    <m/>
    <n v="0"/>
    <n v="6"/>
    <s v="Validation"/>
    <n v="0.3"/>
    <x v="0"/>
    <n v="0"/>
  </r>
  <r>
    <x v="809"/>
    <d v="2024-07-01T00:00:00"/>
    <n v="29834"/>
    <n v="13833"/>
    <n v="1.47"/>
    <n v="1.29"/>
    <n v="0.91"/>
    <n v="656"/>
    <x v="0"/>
    <m/>
    <n v="0"/>
    <n v="12"/>
    <s v="Validation"/>
    <n v="0"/>
    <x v="0"/>
    <n v="0"/>
  </r>
  <r>
    <x v="810"/>
    <d v="2023-02-01T00:00:00"/>
    <m/>
    <n v="13426"/>
    <n v="1.83"/>
    <n v="0.21"/>
    <n v="1.1599999999999999"/>
    <n v="688"/>
    <x v="0"/>
    <n v="15560"/>
    <n v="1"/>
    <n v="12"/>
    <s v="Development"/>
    <n v="0"/>
    <x v="1"/>
    <n v="1"/>
  </r>
  <r>
    <x v="811"/>
    <d v="2024-08-01T00:00:00"/>
    <n v="40569"/>
    <n v="8415"/>
    <n v="2.54"/>
    <n v="0.72"/>
    <n v="1.77"/>
    <n v="678"/>
    <x v="0"/>
    <m/>
    <n v="0"/>
    <n v="12"/>
    <s v="Validation"/>
    <n v="0"/>
    <x v="0"/>
    <n v="0"/>
  </r>
  <r>
    <x v="812"/>
    <d v="2023-06-01T00:00:00"/>
    <n v="40311"/>
    <n v="21789"/>
    <n v="1.94"/>
    <n v="1.75"/>
    <n v="0.77"/>
    <n v="629"/>
    <x v="0"/>
    <m/>
    <n v="0"/>
    <n v="18"/>
    <s v="Development"/>
    <n v="0.15"/>
    <x v="0"/>
    <n v="0"/>
  </r>
  <r>
    <x v="813"/>
    <d v="2023-01-01T00:00:00"/>
    <n v="36387"/>
    <n v="17938"/>
    <n v="1.42"/>
    <n v="1.03"/>
    <n v="1.59"/>
    <n v="674"/>
    <x v="0"/>
    <m/>
    <n v="0"/>
    <n v="12"/>
    <s v="Development"/>
    <n v="0"/>
    <x v="0"/>
    <n v="0"/>
  </r>
  <r>
    <x v="814"/>
    <d v="2024-12-01T00:00:00"/>
    <n v="48243"/>
    <n v="18853"/>
    <n v="0.99"/>
    <n v="3.54"/>
    <n v="0.41"/>
    <n v="672"/>
    <x v="0"/>
    <m/>
    <n v="0"/>
    <n v="12"/>
    <s v="Validation"/>
    <n v="0.79999999999999993"/>
    <x v="0"/>
    <n v="0"/>
  </r>
  <r>
    <x v="815"/>
    <d v="2024-03-01T00:00:00"/>
    <n v="78741"/>
    <n v="9244"/>
    <n v="2.23"/>
    <n v="1.85"/>
    <n v="1.04"/>
    <n v="671"/>
    <x v="0"/>
    <m/>
    <n v="0"/>
    <n v="12"/>
    <s v="Validation"/>
    <n v="0"/>
    <x v="0"/>
    <n v="0"/>
  </r>
  <r>
    <x v="816"/>
    <d v="2024-11-01T00:00:00"/>
    <n v="67320"/>
    <n v="2959"/>
    <n v="1.02"/>
    <n v="0.56999999999999995"/>
    <n v="1.17"/>
    <n v="682"/>
    <x v="0"/>
    <m/>
    <n v="0"/>
    <n v="12"/>
    <s v="Validation"/>
    <n v="0"/>
    <x v="0"/>
    <n v="0"/>
  </r>
  <r>
    <x v="817"/>
    <d v="2023-10-01T00:00:00"/>
    <n v="13833"/>
    <n v="28796"/>
    <n v="2.4500000000000002"/>
    <n v="0.92"/>
    <n v="2.27"/>
    <n v="684"/>
    <x v="0"/>
    <m/>
    <n v="0"/>
    <n v="12"/>
    <s v="Development"/>
    <n v="0"/>
    <x v="0"/>
    <n v="0"/>
  </r>
  <r>
    <x v="818"/>
    <d v="2024-07-01T00:00:00"/>
    <n v="6905"/>
    <n v="9555"/>
    <n v="1.39"/>
    <n v="0.88"/>
    <n v="1.2"/>
    <n v="656"/>
    <x v="0"/>
    <m/>
    <n v="0"/>
    <n v="12"/>
    <s v="Validation"/>
    <n v="0"/>
    <x v="0"/>
    <n v="0"/>
  </r>
  <r>
    <x v="819"/>
    <d v="2024-05-01T00:00:00"/>
    <n v="66657"/>
    <n v="7303"/>
    <n v="2.42"/>
    <n v="0.3"/>
    <n v="0.14000000000000001"/>
    <n v="750"/>
    <x v="0"/>
    <m/>
    <n v="0"/>
    <n v="6"/>
    <s v="Validation"/>
    <n v="0.15"/>
    <x v="0"/>
    <n v="0"/>
  </r>
  <r>
    <x v="820"/>
    <d v="2023-05-01T00:00:00"/>
    <m/>
    <n v="21708"/>
    <n v="1.92"/>
    <n v="0.47"/>
    <n v="0.25"/>
    <n v="616"/>
    <x v="0"/>
    <m/>
    <n v="0"/>
    <n v="12"/>
    <s v="Development"/>
    <n v="0.15"/>
    <x v="0"/>
    <n v="0"/>
  </r>
  <r>
    <x v="821"/>
    <d v="2023-04-01T00:00:00"/>
    <n v="31379"/>
    <n v="10154"/>
    <n v="1.47"/>
    <n v="0.61"/>
    <n v="1.37"/>
    <n v="640"/>
    <x v="0"/>
    <m/>
    <n v="0"/>
    <n v="12"/>
    <s v="Development"/>
    <n v="0"/>
    <x v="0"/>
    <n v="0"/>
  </r>
  <r>
    <x v="822"/>
    <d v="2023-10-01T00:00:00"/>
    <n v="16974"/>
    <n v="28056"/>
    <n v="1.26"/>
    <n v="0.22"/>
    <n v="1.69"/>
    <n v="833"/>
    <x v="1"/>
    <n v="44911"/>
    <n v="1"/>
    <n v="12"/>
    <s v="Development"/>
    <n v="0"/>
    <x v="1"/>
    <n v="0"/>
  </r>
  <r>
    <x v="823"/>
    <d v="2024-12-01T00:00:00"/>
    <n v="11257"/>
    <n v="20576"/>
    <n v="1.36"/>
    <n v="0.94"/>
    <n v="1.56"/>
    <n v="623"/>
    <x v="0"/>
    <m/>
    <n v="0"/>
    <n v="12"/>
    <s v="Validation"/>
    <n v="0"/>
    <x v="0"/>
    <n v="0"/>
  </r>
  <r>
    <x v="824"/>
    <d v="2024-05-01T00:00:00"/>
    <n v="51635"/>
    <n v="21558"/>
    <n v="1.79"/>
    <n v="0.76"/>
    <n v="1.44"/>
    <n v="606"/>
    <x v="0"/>
    <m/>
    <n v="0"/>
    <n v="12"/>
    <s v="Validation"/>
    <n v="0"/>
    <x v="0"/>
    <n v="0"/>
  </r>
  <r>
    <x v="825"/>
    <d v="2023-10-01T00:00:00"/>
    <n v="59483"/>
    <n v="5135"/>
    <n v="1.59"/>
    <n v="0.28000000000000003"/>
    <n v="1.99"/>
    <n v="720"/>
    <x v="0"/>
    <m/>
    <n v="0"/>
    <n v="6"/>
    <s v="Development"/>
    <n v="0"/>
    <x v="0"/>
    <n v="0"/>
  </r>
  <r>
    <x v="826"/>
    <d v="2024-05-01T00:00:00"/>
    <n v="24966"/>
    <n v="31206"/>
    <n v="1.22"/>
    <n v="1.2"/>
    <n v="1.05"/>
    <n v="566"/>
    <x v="0"/>
    <m/>
    <n v="0"/>
    <n v="12"/>
    <s v="Validation"/>
    <n v="0.2"/>
    <x v="0"/>
    <n v="0"/>
  </r>
  <r>
    <x v="827"/>
    <d v="2024-08-01T00:00:00"/>
    <n v="6740"/>
    <n v="16041"/>
    <n v="1.46"/>
    <n v="1.49"/>
    <n v="1.84"/>
    <n v="667"/>
    <x v="0"/>
    <m/>
    <n v="0"/>
    <n v="12"/>
    <s v="Validation"/>
    <n v="0"/>
    <x v="0"/>
    <n v="0"/>
  </r>
  <r>
    <x v="828"/>
    <d v="2024-12-01T00:00:00"/>
    <n v="25462"/>
    <n v="10317"/>
    <n v="1.59"/>
    <n v="1.06"/>
    <n v="0.45"/>
    <n v="798"/>
    <x v="0"/>
    <m/>
    <n v="0"/>
    <n v="18"/>
    <s v="Validation"/>
    <n v="0.15"/>
    <x v="0"/>
    <n v="0"/>
  </r>
  <r>
    <x v="829"/>
    <d v="2023-05-01T00:00:00"/>
    <n v="46848"/>
    <n v="14770"/>
    <n v="0.38"/>
    <n v="0.72"/>
    <n v="0.85"/>
    <n v="595"/>
    <x v="0"/>
    <n v="49161"/>
    <n v="1"/>
    <n v="6"/>
    <s v="Development"/>
    <n v="0.5"/>
    <x v="1"/>
    <n v="1"/>
  </r>
  <r>
    <x v="830"/>
    <d v="2023-02-01T00:00:00"/>
    <n v="13887"/>
    <n v="3853"/>
    <n v="1.8"/>
    <n v="1.37"/>
    <n v="0.36"/>
    <n v="571"/>
    <x v="1"/>
    <n v="31751"/>
    <n v="1"/>
    <n v="18"/>
    <s v="Development"/>
    <n v="0.35"/>
    <x v="1"/>
    <n v="0"/>
  </r>
  <r>
    <x v="831"/>
    <d v="2023-06-01T00:00:00"/>
    <n v="40912"/>
    <n v="17784"/>
    <n v="1.01"/>
    <n v="1.46"/>
    <n v="1.2"/>
    <n v="598"/>
    <x v="0"/>
    <m/>
    <n v="0"/>
    <n v="6"/>
    <s v="Development"/>
    <n v="0.2"/>
    <x v="0"/>
    <n v="0"/>
  </r>
  <r>
    <x v="832"/>
    <d v="2024-09-01T00:00:00"/>
    <n v="35956"/>
    <n v="6499"/>
    <n v="0.92"/>
    <n v="1.1200000000000001"/>
    <n v="1.32"/>
    <n v="729"/>
    <x v="1"/>
    <n v="24557"/>
    <n v="1"/>
    <n v="12"/>
    <s v="Validation"/>
    <n v="0.3"/>
    <x v="1"/>
    <n v="0"/>
  </r>
  <r>
    <x v="833"/>
    <d v="2023-02-01T00:00:00"/>
    <n v="52920"/>
    <n v="5183"/>
    <n v="0.62"/>
    <n v="0.51"/>
    <n v="1.41"/>
    <n v="742"/>
    <x v="0"/>
    <m/>
    <n v="0"/>
    <n v="6"/>
    <s v="Development"/>
    <n v="0.3"/>
    <x v="0"/>
    <n v="0"/>
  </r>
  <r>
    <x v="834"/>
    <d v="2024-01-01T00:00:00"/>
    <n v="39251"/>
    <n v="4602"/>
    <n v="0.56000000000000005"/>
    <n v="1.1000000000000001"/>
    <n v="1.38"/>
    <n v="652"/>
    <x v="0"/>
    <m/>
    <n v="0"/>
    <n v="6"/>
    <s v="Validation"/>
    <n v="0.3"/>
    <x v="0"/>
    <n v="0"/>
  </r>
  <r>
    <x v="835"/>
    <d v="2023-11-01T00:00:00"/>
    <n v="19293"/>
    <n v="29111"/>
    <m/>
    <n v="2.09"/>
    <n v="0.84"/>
    <n v="718"/>
    <x v="1"/>
    <n v="16418"/>
    <n v="1"/>
    <n v="12"/>
    <s v="Development"/>
    <n v="0.35"/>
    <x v="1"/>
    <n v="0"/>
  </r>
  <r>
    <x v="836"/>
    <d v="2023-11-01T00:00:00"/>
    <n v="79045"/>
    <n v="8600"/>
    <n v="1.1599999999999999"/>
    <n v="0.6"/>
    <n v="1.25"/>
    <n v="756"/>
    <x v="0"/>
    <m/>
    <n v="0"/>
    <n v="18"/>
    <s v="Development"/>
    <n v="0"/>
    <x v="0"/>
    <n v="0"/>
  </r>
  <r>
    <x v="837"/>
    <d v="2024-04-01T00:00:00"/>
    <m/>
    <n v="39090"/>
    <n v="2.62"/>
    <n v="3.93"/>
    <n v="0.53"/>
    <n v="778"/>
    <x v="1"/>
    <n v="3668"/>
    <n v="1"/>
    <n v="18"/>
    <s v="Validation"/>
    <n v="0.5"/>
    <x v="1"/>
    <n v="0"/>
  </r>
  <r>
    <x v="838"/>
    <d v="2023-11-01T00:00:00"/>
    <n v="35677"/>
    <n v="9181"/>
    <n v="1.26"/>
    <n v="0.63"/>
    <n v="2.1"/>
    <n v="666"/>
    <x v="0"/>
    <m/>
    <n v="0"/>
    <n v="12"/>
    <s v="Development"/>
    <n v="0"/>
    <x v="0"/>
    <n v="0"/>
  </r>
  <r>
    <x v="839"/>
    <d v="2024-07-01T00:00:00"/>
    <n v="19799"/>
    <n v="4043"/>
    <n v="1.65"/>
    <n v="0.93"/>
    <n v="1.18"/>
    <n v="553"/>
    <x v="0"/>
    <m/>
    <n v="0"/>
    <n v="18"/>
    <s v="Validation"/>
    <n v="0.2"/>
    <x v="0"/>
    <n v="0"/>
  </r>
  <r>
    <x v="840"/>
    <d v="2024-03-01T00:00:00"/>
    <n v="27224"/>
    <n v="6115"/>
    <n v="1.77"/>
    <n v="0.56999999999999995"/>
    <n v="1.08"/>
    <n v="635"/>
    <x v="0"/>
    <m/>
    <n v="0"/>
    <n v="18"/>
    <s v="Validation"/>
    <n v="0"/>
    <x v="0"/>
    <n v="0"/>
  </r>
  <r>
    <x v="841"/>
    <d v="2024-11-01T00:00:00"/>
    <n v="20432"/>
    <n v="31732"/>
    <n v="1.62"/>
    <n v="1.06"/>
    <n v="2.2200000000000002"/>
    <n v="657"/>
    <x v="1"/>
    <n v="24275"/>
    <n v="1"/>
    <n v="6"/>
    <s v="Validation"/>
    <n v="0"/>
    <x v="1"/>
    <n v="0"/>
  </r>
  <r>
    <x v="842"/>
    <d v="2024-11-01T00:00:00"/>
    <n v="32454"/>
    <n v="11979"/>
    <n v="1.51"/>
    <n v="0.27"/>
    <n v="0.67"/>
    <n v="666"/>
    <x v="0"/>
    <m/>
    <n v="0"/>
    <n v="12"/>
    <s v="Validation"/>
    <n v="0.15"/>
    <x v="0"/>
    <n v="0"/>
  </r>
  <r>
    <x v="843"/>
    <d v="2024-04-01T00:00:00"/>
    <n v="110482"/>
    <n v="9102"/>
    <n v="0.89"/>
    <n v="0.62"/>
    <n v="0.73"/>
    <n v="670"/>
    <x v="0"/>
    <m/>
    <n v="0"/>
    <n v="12"/>
    <s v="Validation"/>
    <n v="0.45"/>
    <x v="0"/>
    <n v="0"/>
  </r>
  <r>
    <x v="844"/>
    <d v="2023-11-01T00:00:00"/>
    <n v="14887"/>
    <n v="14943"/>
    <n v="2.35"/>
    <n v="0.42"/>
    <n v="0.75"/>
    <n v="742"/>
    <x v="0"/>
    <m/>
    <n v="0"/>
    <n v="12"/>
    <s v="Development"/>
    <n v="0.15"/>
    <x v="0"/>
    <n v="0"/>
  </r>
  <r>
    <x v="845"/>
    <d v="2024-10-01T00:00:00"/>
    <n v="12723"/>
    <n v="18982"/>
    <n v="2.54"/>
    <n v="0.99"/>
    <n v="1.31"/>
    <n v="750"/>
    <x v="0"/>
    <m/>
    <n v="0"/>
    <n v="12"/>
    <s v="Validation"/>
    <n v="0"/>
    <x v="0"/>
    <n v="0"/>
  </r>
  <r>
    <x v="846"/>
    <d v="2024-04-01T00:00:00"/>
    <n v="94491"/>
    <n v="29207"/>
    <n v="0.62"/>
    <n v="1.82"/>
    <n v="1.59"/>
    <n v="671"/>
    <x v="0"/>
    <m/>
    <n v="0"/>
    <n v="12"/>
    <s v="Validation"/>
    <n v="0.3"/>
    <x v="0"/>
    <n v="0"/>
  </r>
  <r>
    <x v="847"/>
    <d v="2023-08-01T00:00:00"/>
    <n v="31696"/>
    <n v="36826"/>
    <n v="0.99"/>
    <n v="1.42"/>
    <n v="1.76"/>
    <n v="740"/>
    <x v="0"/>
    <m/>
    <n v="0"/>
    <n v="6"/>
    <s v="Development"/>
    <n v="0.3"/>
    <x v="0"/>
    <n v="0"/>
  </r>
  <r>
    <x v="848"/>
    <d v="2023-04-01T00:00:00"/>
    <n v="23508"/>
    <n v="10385"/>
    <n v="1.4"/>
    <n v="0.17"/>
    <n v="2.76"/>
    <n v="700"/>
    <x v="0"/>
    <m/>
    <n v="0"/>
    <n v="12"/>
    <s v="Development"/>
    <n v="0"/>
    <x v="0"/>
    <n v="0"/>
  </r>
  <r>
    <x v="849"/>
    <d v="2023-08-01T00:00:00"/>
    <n v="71392"/>
    <n v="5280"/>
    <n v="1.02"/>
    <n v="3.78"/>
    <n v="0.11"/>
    <n v="684"/>
    <x v="0"/>
    <m/>
    <n v="0"/>
    <n v="12"/>
    <s v="Development"/>
    <n v="0.5"/>
    <x v="0"/>
    <n v="0"/>
  </r>
  <r>
    <x v="850"/>
    <d v="2023-04-01T00:00:00"/>
    <n v="24498"/>
    <n v="10002"/>
    <n v="1.83"/>
    <n v="1.1100000000000001"/>
    <n v="1.68"/>
    <n v="730"/>
    <x v="0"/>
    <m/>
    <n v="0"/>
    <n v="12"/>
    <s v="Development"/>
    <n v="0"/>
    <x v="0"/>
    <n v="0"/>
  </r>
  <r>
    <x v="851"/>
    <d v="2024-12-01T00:00:00"/>
    <n v="119003"/>
    <n v="16030"/>
    <n v="1.1499999999999999"/>
    <n v="0.53"/>
    <n v="1.04"/>
    <n v="684"/>
    <x v="0"/>
    <m/>
    <n v="0"/>
    <n v="18"/>
    <s v="Validation"/>
    <n v="0"/>
    <x v="0"/>
    <n v="0"/>
  </r>
  <r>
    <x v="852"/>
    <d v="2023-03-01T00:00:00"/>
    <n v="56424"/>
    <n v="6805"/>
    <n v="2.74"/>
    <n v="1.01"/>
    <n v="1.03"/>
    <n v="793"/>
    <x v="0"/>
    <m/>
    <n v="0"/>
    <n v="6"/>
    <s v="Development"/>
    <n v="0"/>
    <x v="0"/>
    <n v="0"/>
  </r>
  <r>
    <x v="853"/>
    <d v="2023-03-01T00:00:00"/>
    <n v="26446"/>
    <n v="6836"/>
    <n v="2.2000000000000002"/>
    <n v="1.02"/>
    <n v="1.01"/>
    <n v="601"/>
    <x v="0"/>
    <m/>
    <n v="0"/>
    <n v="12"/>
    <s v="Development"/>
    <n v="0"/>
    <x v="0"/>
    <n v="0"/>
  </r>
  <r>
    <x v="854"/>
    <d v="2024-06-01T00:00:00"/>
    <n v="147598"/>
    <n v="16995"/>
    <n v="1.67"/>
    <n v="0.56999999999999995"/>
    <n v="0.85"/>
    <n v="652"/>
    <x v="1"/>
    <n v="16686"/>
    <n v="1"/>
    <n v="12"/>
    <s v="Validation"/>
    <n v="0"/>
    <x v="1"/>
    <n v="0"/>
  </r>
  <r>
    <x v="855"/>
    <d v="2024-07-01T00:00:00"/>
    <n v="24496"/>
    <n v="12912"/>
    <n v="2.11"/>
    <n v="1.04"/>
    <n v="2.2799999999999998"/>
    <n v="673"/>
    <x v="0"/>
    <m/>
    <n v="0"/>
    <n v="6"/>
    <s v="Validation"/>
    <n v="0"/>
    <x v="0"/>
    <n v="0"/>
  </r>
  <r>
    <x v="856"/>
    <d v="2024-07-01T00:00:00"/>
    <n v="58827"/>
    <n v="13670"/>
    <n v="2.16"/>
    <n v="0.59"/>
    <n v="1.81"/>
    <n v="704"/>
    <x v="0"/>
    <m/>
    <n v="0"/>
    <n v="12"/>
    <s v="Validation"/>
    <n v="0"/>
    <x v="0"/>
    <n v="0"/>
  </r>
  <r>
    <x v="857"/>
    <d v="2024-09-01T00:00:00"/>
    <n v="44114"/>
    <n v="7856"/>
    <n v="1.24"/>
    <n v="0.68"/>
    <n v="1.36"/>
    <n v="750"/>
    <x v="0"/>
    <m/>
    <n v="0"/>
    <n v="12"/>
    <s v="Validation"/>
    <n v="0"/>
    <x v="0"/>
    <n v="0"/>
  </r>
  <r>
    <x v="858"/>
    <d v="2023-05-01T00:00:00"/>
    <n v="84637"/>
    <n v="11370"/>
    <n v="1.1000000000000001"/>
    <n v="0.56000000000000005"/>
    <n v="2.09"/>
    <n v="679"/>
    <x v="0"/>
    <m/>
    <n v="0"/>
    <n v="12"/>
    <s v="Development"/>
    <n v="0"/>
    <x v="0"/>
    <n v="0"/>
  </r>
  <r>
    <x v="859"/>
    <d v="2024-06-01T00:00:00"/>
    <n v="100206"/>
    <n v="6996"/>
    <n v="1.59"/>
    <n v="0.33"/>
    <n v="0.52"/>
    <n v="602"/>
    <x v="0"/>
    <m/>
    <n v="0"/>
    <n v="12"/>
    <s v="Validation"/>
    <n v="0.15"/>
    <x v="0"/>
    <n v="0"/>
  </r>
  <r>
    <x v="860"/>
    <d v="2023-10-01T00:00:00"/>
    <n v="37079"/>
    <n v="24913"/>
    <n v="2.02"/>
    <n v="1"/>
    <n v="0.62"/>
    <n v="726"/>
    <x v="0"/>
    <m/>
    <n v="0"/>
    <n v="12"/>
    <s v="Development"/>
    <n v="0.15"/>
    <x v="0"/>
    <n v="0"/>
  </r>
  <r>
    <x v="861"/>
    <d v="2024-10-01T00:00:00"/>
    <n v="22254"/>
    <n v="27575"/>
    <n v="1.63"/>
    <n v="1.36"/>
    <n v="0.15"/>
    <n v="722"/>
    <x v="0"/>
    <m/>
    <n v="0"/>
    <n v="12"/>
    <s v="Validation"/>
    <n v="0.15"/>
    <x v="0"/>
    <n v="0"/>
  </r>
  <r>
    <x v="862"/>
    <d v="2024-09-01T00:00:00"/>
    <n v="48971"/>
    <n v="3669"/>
    <n v="0.68"/>
    <n v="1.3"/>
    <n v="0.97"/>
    <n v="573"/>
    <x v="0"/>
    <m/>
    <n v="0"/>
    <n v="6"/>
    <s v="Validation"/>
    <n v="0.5"/>
    <x v="0"/>
    <n v="0"/>
  </r>
  <r>
    <x v="863"/>
    <d v="2023-06-01T00:00:00"/>
    <n v="23376"/>
    <n v="6970"/>
    <n v="1.1100000000000001"/>
    <n v="1.61"/>
    <n v="1.44"/>
    <n v="680"/>
    <x v="0"/>
    <m/>
    <n v="0"/>
    <n v="6"/>
    <s v="Development"/>
    <n v="0"/>
    <x v="0"/>
    <n v="0"/>
  </r>
  <r>
    <x v="864"/>
    <d v="2023-01-01T00:00:00"/>
    <n v="134417"/>
    <n v="4686"/>
    <n v="1.51"/>
    <n v="1.1399999999999999"/>
    <n v="1.41"/>
    <n v="593"/>
    <x v="0"/>
    <m/>
    <n v="0"/>
    <n v="6"/>
    <s v="Development"/>
    <n v="0.2"/>
    <x v="0"/>
    <n v="0"/>
  </r>
  <r>
    <x v="865"/>
    <d v="2023-05-01T00:00:00"/>
    <n v="39686"/>
    <n v="8476"/>
    <n v="1.51"/>
    <n v="0.62"/>
    <n v="1.43"/>
    <n v="643"/>
    <x v="1"/>
    <m/>
    <n v="0"/>
    <n v="18"/>
    <s v="Development"/>
    <n v="0"/>
    <x v="0"/>
    <n v="1"/>
  </r>
  <r>
    <x v="866"/>
    <d v="2023-09-01T00:00:00"/>
    <n v="28639"/>
    <n v="12602"/>
    <n v="2.63"/>
    <n v="1.63"/>
    <n v="0.56999999999999995"/>
    <n v="630"/>
    <x v="1"/>
    <m/>
    <n v="0"/>
    <n v="12"/>
    <s v="Development"/>
    <n v="0.15"/>
    <x v="0"/>
    <n v="1"/>
  </r>
  <r>
    <x v="867"/>
    <d v="2023-12-01T00:00:00"/>
    <n v="40947"/>
    <n v="4843"/>
    <n v="0.79"/>
    <n v="0.35"/>
    <n v="1.79"/>
    <n v="725"/>
    <x v="0"/>
    <m/>
    <n v="0"/>
    <n v="6"/>
    <s v="Development"/>
    <n v="0.3"/>
    <x v="0"/>
    <n v="0"/>
  </r>
  <r>
    <x v="868"/>
    <d v="2024-02-01T00:00:00"/>
    <n v="15129"/>
    <n v="7007"/>
    <n v="1.83"/>
    <n v="0.48"/>
    <n v="1.48"/>
    <n v="686"/>
    <x v="1"/>
    <n v="38807"/>
    <n v="1"/>
    <n v="18"/>
    <s v="Validation"/>
    <n v="0"/>
    <x v="1"/>
    <n v="0"/>
  </r>
  <r>
    <x v="869"/>
    <d v="2023-02-01T00:00:00"/>
    <n v="19311"/>
    <n v="6616"/>
    <n v="2.37"/>
    <n v="0.46"/>
    <n v="1.75"/>
    <n v="609"/>
    <x v="0"/>
    <m/>
    <n v="0"/>
    <n v="12"/>
    <s v="Development"/>
    <n v="0"/>
    <x v="0"/>
    <n v="0"/>
  </r>
  <r>
    <x v="870"/>
    <d v="2024-05-01T00:00:00"/>
    <n v="79243"/>
    <n v="15446"/>
    <n v="2.8"/>
    <n v="1.93"/>
    <n v="0.31"/>
    <n v="728"/>
    <x v="0"/>
    <m/>
    <n v="0"/>
    <n v="6"/>
    <s v="Validation"/>
    <n v="0.15"/>
    <x v="0"/>
    <n v="0"/>
  </r>
  <r>
    <x v="871"/>
    <d v="2024-02-01T00:00:00"/>
    <n v="23695"/>
    <n v="14024"/>
    <n v="1.33"/>
    <n v="1.75"/>
    <n v="1.52"/>
    <n v="601"/>
    <x v="0"/>
    <m/>
    <n v="0"/>
    <n v="12"/>
    <s v="Validation"/>
    <n v="0"/>
    <x v="0"/>
    <n v="0"/>
  </r>
  <r>
    <x v="872"/>
    <d v="2024-01-01T00:00:00"/>
    <n v="18389"/>
    <n v="8061"/>
    <n v="1.82"/>
    <n v="1.27"/>
    <n v="0.7"/>
    <n v="698"/>
    <x v="1"/>
    <n v="15727"/>
    <n v="1"/>
    <n v="12"/>
    <s v="Validation"/>
    <n v="0.15"/>
    <x v="1"/>
    <n v="0"/>
  </r>
  <r>
    <x v="873"/>
    <d v="2023-09-01T00:00:00"/>
    <n v="51474"/>
    <n v="15120"/>
    <n v="1.86"/>
    <n v="1.92"/>
    <n v="1.1299999999999999"/>
    <n v="635"/>
    <x v="0"/>
    <m/>
    <n v="0"/>
    <n v="6"/>
    <s v="Development"/>
    <n v="0"/>
    <x v="0"/>
    <n v="0"/>
  </r>
  <r>
    <x v="874"/>
    <d v="2024-03-01T00:00:00"/>
    <n v="78489"/>
    <n v="9112"/>
    <n v="1.66"/>
    <n v="0.49"/>
    <n v="1.64"/>
    <n v="660"/>
    <x v="0"/>
    <m/>
    <n v="0"/>
    <n v="12"/>
    <s v="Validation"/>
    <n v="0"/>
    <x v="0"/>
    <n v="0"/>
  </r>
  <r>
    <x v="875"/>
    <d v="2024-10-01T00:00:00"/>
    <n v="57949"/>
    <n v="11046"/>
    <n v="1.5"/>
    <n v="1.1499999999999999"/>
    <n v="1.4"/>
    <n v="708"/>
    <x v="0"/>
    <m/>
    <n v="0"/>
    <n v="6"/>
    <s v="Validation"/>
    <n v="0"/>
    <x v="0"/>
    <n v="0"/>
  </r>
  <r>
    <x v="876"/>
    <d v="2024-03-01T00:00:00"/>
    <n v="69385"/>
    <n v="43106"/>
    <n v="1.79"/>
    <n v="0.83"/>
    <n v="0.88"/>
    <n v="709"/>
    <x v="1"/>
    <n v="49086"/>
    <n v="1"/>
    <n v="12"/>
    <s v="Validation"/>
    <n v="0"/>
    <x v="1"/>
    <n v="0"/>
  </r>
  <r>
    <x v="877"/>
    <d v="2024-12-01T00:00:00"/>
    <n v="22205"/>
    <n v="34143"/>
    <n v="0.2"/>
    <n v="1.64"/>
    <n v="1.35"/>
    <n v="754"/>
    <x v="0"/>
    <m/>
    <n v="0"/>
    <n v="12"/>
    <s v="Validation"/>
    <n v="0.3"/>
    <x v="0"/>
    <n v="0"/>
  </r>
  <r>
    <x v="878"/>
    <d v="2023-11-01T00:00:00"/>
    <n v="14412"/>
    <n v="5379"/>
    <n v="1.93"/>
    <n v="0.83"/>
    <n v="0.51"/>
    <n v="675"/>
    <x v="0"/>
    <m/>
    <n v="0"/>
    <n v="18"/>
    <s v="Development"/>
    <n v="0.15"/>
    <x v="0"/>
    <n v="0"/>
  </r>
  <r>
    <x v="879"/>
    <d v="2024-04-01T00:00:00"/>
    <n v="96362"/>
    <n v="23880"/>
    <m/>
    <n v="0.69"/>
    <n v="1.98"/>
    <n v="697"/>
    <x v="0"/>
    <m/>
    <n v="0"/>
    <n v="12"/>
    <s v="Validation"/>
    <n v="0"/>
    <x v="0"/>
    <n v="0"/>
  </r>
  <r>
    <x v="880"/>
    <d v="2024-05-01T00:00:00"/>
    <n v="29444"/>
    <n v="23576"/>
    <n v="1.43"/>
    <n v="1.32"/>
    <n v="1.24"/>
    <n v="656"/>
    <x v="0"/>
    <m/>
    <n v="0"/>
    <n v="12"/>
    <s v="Validation"/>
    <n v="0"/>
    <x v="0"/>
    <n v="0"/>
  </r>
  <r>
    <x v="881"/>
    <d v="2023-04-01T00:00:00"/>
    <n v="30852"/>
    <n v="5980"/>
    <n v="2.68"/>
    <n v="1.67"/>
    <n v="1.97"/>
    <n v="690"/>
    <x v="0"/>
    <m/>
    <n v="0"/>
    <n v="12"/>
    <s v="Development"/>
    <n v="0"/>
    <x v="0"/>
    <n v="0"/>
  </r>
  <r>
    <x v="882"/>
    <d v="2023-01-01T00:00:00"/>
    <n v="86105"/>
    <n v="23698"/>
    <n v="1.18"/>
    <n v="0.56999999999999995"/>
    <n v="1.06"/>
    <n v="704"/>
    <x v="0"/>
    <m/>
    <n v="0"/>
    <n v="12"/>
    <s v="Development"/>
    <n v="0"/>
    <x v="0"/>
    <n v="0"/>
  </r>
  <r>
    <x v="883"/>
    <d v="2023-08-01T00:00:00"/>
    <n v="52133"/>
    <n v="39205"/>
    <n v="1.33"/>
    <n v="0.87"/>
    <n v="1.06"/>
    <m/>
    <x v="0"/>
    <m/>
    <n v="0"/>
    <n v="12"/>
    <s v="Development"/>
    <n v="0"/>
    <x v="0"/>
    <n v="0"/>
  </r>
  <r>
    <x v="884"/>
    <d v="2024-05-01T00:00:00"/>
    <n v="48841"/>
    <n v="6089"/>
    <n v="2.65"/>
    <n v="0.43"/>
    <n v="0.93"/>
    <n v="581"/>
    <x v="0"/>
    <m/>
    <n v="0"/>
    <n v="12"/>
    <s v="Validation"/>
    <n v="0.2"/>
    <x v="0"/>
    <n v="0"/>
  </r>
  <r>
    <x v="885"/>
    <d v="2023-03-01T00:00:00"/>
    <n v="148338"/>
    <n v="7029"/>
    <n v="1.0900000000000001"/>
    <n v="0.16"/>
    <n v="1.83"/>
    <n v="698"/>
    <x v="0"/>
    <m/>
    <n v="0"/>
    <n v="12"/>
    <s v="Development"/>
    <n v="0"/>
    <x v="0"/>
    <n v="0"/>
  </r>
  <r>
    <x v="886"/>
    <d v="2024-08-01T00:00:00"/>
    <n v="23902"/>
    <n v="27238"/>
    <n v="1.25"/>
    <n v="1.04"/>
    <n v="0.96"/>
    <n v="700"/>
    <x v="0"/>
    <m/>
    <n v="0"/>
    <n v="18"/>
    <s v="Validation"/>
    <n v="0"/>
    <x v="0"/>
    <n v="0"/>
  </r>
  <r>
    <x v="887"/>
    <d v="2024-03-01T00:00:00"/>
    <n v="66376"/>
    <n v="16156"/>
    <n v="1.47"/>
    <n v="1.39"/>
    <n v="1.7"/>
    <n v="643"/>
    <x v="0"/>
    <m/>
    <n v="0"/>
    <n v="6"/>
    <s v="Validation"/>
    <n v="0"/>
    <x v="0"/>
    <n v="0"/>
  </r>
  <r>
    <x v="888"/>
    <d v="2024-03-01T00:00:00"/>
    <n v="37687"/>
    <n v="19654"/>
    <n v="2.0099999999999998"/>
    <n v="1.0900000000000001"/>
    <n v="1.1399999999999999"/>
    <n v="609"/>
    <x v="0"/>
    <m/>
    <n v="0"/>
    <n v="12"/>
    <s v="Validation"/>
    <n v="0"/>
    <x v="0"/>
    <n v="0"/>
  </r>
  <r>
    <x v="889"/>
    <d v="2024-12-01T00:00:00"/>
    <n v="43243"/>
    <n v="16957"/>
    <n v="1.66"/>
    <n v="0.23"/>
    <n v="0.26"/>
    <n v="761"/>
    <x v="0"/>
    <m/>
    <n v="0"/>
    <n v="6"/>
    <s v="Validation"/>
    <n v="0.15"/>
    <x v="0"/>
    <n v="0"/>
  </r>
  <r>
    <x v="890"/>
    <d v="2024-10-01T00:00:00"/>
    <n v="98077"/>
    <n v="17562"/>
    <n v="0.84"/>
    <n v="0.71"/>
    <n v="1.04"/>
    <n v="707"/>
    <x v="0"/>
    <m/>
    <n v="0"/>
    <n v="12"/>
    <s v="Validation"/>
    <n v="0.3"/>
    <x v="0"/>
    <n v="0"/>
  </r>
  <r>
    <x v="891"/>
    <d v="2024-02-01T00:00:00"/>
    <n v="50518"/>
    <n v="5279"/>
    <n v="1.26"/>
    <n v="0.19"/>
    <n v="0.7"/>
    <n v="667"/>
    <x v="0"/>
    <m/>
    <n v="0"/>
    <n v="18"/>
    <s v="Validation"/>
    <n v="0.15"/>
    <x v="0"/>
    <n v="0"/>
  </r>
  <r>
    <x v="892"/>
    <d v="2024-11-01T00:00:00"/>
    <n v="51529"/>
    <n v="27809"/>
    <n v="1.22"/>
    <n v="2.36"/>
    <n v="1.37"/>
    <n v="617"/>
    <x v="0"/>
    <m/>
    <n v="0"/>
    <n v="18"/>
    <s v="Validation"/>
    <n v="0.35"/>
    <x v="0"/>
    <n v="0"/>
  </r>
  <r>
    <x v="893"/>
    <d v="2024-02-01T00:00:00"/>
    <n v="72921"/>
    <n v="30294"/>
    <n v="1.51"/>
    <n v="0.42"/>
    <n v="0.7"/>
    <n v="635"/>
    <x v="0"/>
    <m/>
    <n v="0"/>
    <n v="12"/>
    <s v="Validation"/>
    <n v="0.15"/>
    <x v="0"/>
    <n v="0"/>
  </r>
  <r>
    <x v="894"/>
    <d v="2024-12-01T00:00:00"/>
    <n v="28646"/>
    <n v="11378"/>
    <n v="1.78"/>
    <n v="2.1800000000000002"/>
    <n v="1.86"/>
    <n v="752"/>
    <x v="0"/>
    <m/>
    <n v="0"/>
    <n v="12"/>
    <s v="Validation"/>
    <n v="0.35"/>
    <x v="0"/>
    <n v="0"/>
  </r>
  <r>
    <x v="895"/>
    <d v="2023-02-01T00:00:00"/>
    <n v="21047"/>
    <n v="12959"/>
    <n v="1.78"/>
    <n v="1.75"/>
    <n v="1.3"/>
    <n v="688"/>
    <x v="0"/>
    <m/>
    <n v="0"/>
    <n v="12"/>
    <s v="Development"/>
    <n v="0"/>
    <x v="0"/>
    <n v="0"/>
  </r>
  <r>
    <x v="896"/>
    <d v="2024-01-01T00:00:00"/>
    <n v="18414"/>
    <n v="4574"/>
    <n v="0.56999999999999995"/>
    <n v="0.48"/>
    <n v="1.25"/>
    <n v="650"/>
    <x v="0"/>
    <m/>
    <n v="0"/>
    <n v="12"/>
    <s v="Validation"/>
    <n v="0.3"/>
    <x v="0"/>
    <n v="0"/>
  </r>
  <r>
    <x v="897"/>
    <d v="2024-02-01T00:00:00"/>
    <n v="10116"/>
    <n v="19148"/>
    <n v="2.14"/>
    <n v="0.41"/>
    <n v="1.71"/>
    <n v="708"/>
    <x v="0"/>
    <m/>
    <n v="0"/>
    <n v="12"/>
    <s v="Validation"/>
    <n v="0"/>
    <x v="0"/>
    <n v="0"/>
  </r>
  <r>
    <x v="898"/>
    <d v="2024-12-01T00:00:00"/>
    <n v="138211"/>
    <n v="19939"/>
    <n v="1.69"/>
    <n v="1.1599999999999999"/>
    <n v="1.88"/>
    <m/>
    <x v="0"/>
    <m/>
    <n v="0"/>
    <n v="12"/>
    <s v="Validation"/>
    <n v="0"/>
    <x v="0"/>
    <n v="0"/>
  </r>
  <r>
    <x v="899"/>
    <d v="2024-07-01T00:00:00"/>
    <n v="17728"/>
    <n v="12791"/>
    <n v="2.31"/>
    <n v="0.5"/>
    <n v="1.34"/>
    <n v="763"/>
    <x v="0"/>
    <m/>
    <n v="0"/>
    <n v="6"/>
    <s v="Validation"/>
    <n v="0"/>
    <x v="0"/>
    <n v="0"/>
  </r>
  <r>
    <x v="900"/>
    <d v="2023-07-01T00:00:00"/>
    <n v="31451"/>
    <n v="29350"/>
    <n v="1.79"/>
    <n v="0.97"/>
    <n v="0.93"/>
    <n v="754"/>
    <x v="1"/>
    <n v="14591"/>
    <n v="1"/>
    <n v="12"/>
    <s v="Development"/>
    <n v="0"/>
    <x v="1"/>
    <n v="0"/>
  </r>
  <r>
    <x v="901"/>
    <d v="2023-03-01T00:00:00"/>
    <n v="30335"/>
    <n v="10574"/>
    <n v="2.16"/>
    <n v="0.65"/>
    <n v="0.37"/>
    <m/>
    <x v="0"/>
    <m/>
    <n v="0"/>
    <n v="12"/>
    <s v="Development"/>
    <n v="0.15"/>
    <x v="0"/>
    <n v="0"/>
  </r>
  <r>
    <x v="902"/>
    <d v="2024-03-01T00:00:00"/>
    <m/>
    <n v="19835"/>
    <n v="1.81"/>
    <n v="0.26"/>
    <n v="0.97"/>
    <n v="645"/>
    <x v="1"/>
    <n v="38201"/>
    <n v="1"/>
    <n v="12"/>
    <s v="Validation"/>
    <n v="0"/>
    <x v="1"/>
    <n v="0"/>
  </r>
  <r>
    <x v="903"/>
    <d v="2024-11-01T00:00:00"/>
    <n v="61712"/>
    <n v="6544"/>
    <n v="2.29"/>
    <n v="0.19"/>
    <n v="1.01"/>
    <n v="536"/>
    <x v="0"/>
    <m/>
    <n v="0"/>
    <n v="12"/>
    <s v="Validation"/>
    <n v="0.2"/>
    <x v="0"/>
    <n v="0"/>
  </r>
  <r>
    <x v="904"/>
    <d v="2024-02-01T00:00:00"/>
    <n v="63533"/>
    <n v="13141"/>
    <n v="1.84"/>
    <n v="1.06"/>
    <n v="1.41"/>
    <n v="599"/>
    <x v="1"/>
    <n v="4070"/>
    <n v="1"/>
    <n v="12"/>
    <s v="Validation"/>
    <n v="0.2"/>
    <x v="1"/>
    <n v="0"/>
  </r>
  <r>
    <x v="905"/>
    <d v="2023-11-01T00:00:00"/>
    <n v="24860"/>
    <n v="11825"/>
    <n v="1.5"/>
    <n v="0.61"/>
    <n v="1.1599999999999999"/>
    <n v="606"/>
    <x v="0"/>
    <m/>
    <n v="0"/>
    <n v="18"/>
    <s v="Development"/>
    <n v="0"/>
    <x v="0"/>
    <n v="0"/>
  </r>
  <r>
    <x v="906"/>
    <d v="2024-03-01T00:00:00"/>
    <n v="32577"/>
    <n v="15642"/>
    <n v="2.8"/>
    <n v="0.61"/>
    <n v="1.73"/>
    <n v="687"/>
    <x v="0"/>
    <m/>
    <n v="0"/>
    <n v="12"/>
    <s v="Validation"/>
    <n v="0"/>
    <x v="0"/>
    <n v="0"/>
  </r>
  <r>
    <x v="907"/>
    <d v="2024-01-01T00:00:00"/>
    <n v="43638"/>
    <n v="10315"/>
    <n v="2.04"/>
    <n v="1.47"/>
    <n v="1.01"/>
    <n v="662"/>
    <x v="0"/>
    <m/>
    <n v="0"/>
    <n v="12"/>
    <s v="Validation"/>
    <n v="0"/>
    <x v="0"/>
    <n v="0"/>
  </r>
  <r>
    <x v="908"/>
    <d v="2024-06-01T00:00:00"/>
    <n v="30895"/>
    <n v="12185"/>
    <n v="1.87"/>
    <n v="2.06"/>
    <n v="1.32"/>
    <n v="606"/>
    <x v="0"/>
    <m/>
    <n v="0"/>
    <n v="6"/>
    <s v="Validation"/>
    <n v="0.35"/>
    <x v="0"/>
    <n v="0"/>
  </r>
  <r>
    <x v="909"/>
    <d v="2023-06-01T00:00:00"/>
    <n v="103236"/>
    <n v="23819"/>
    <n v="0.85"/>
    <n v="0.75"/>
    <n v="2"/>
    <n v="665"/>
    <x v="1"/>
    <n v="23490"/>
    <n v="1"/>
    <n v="12"/>
    <s v="Development"/>
    <n v="0.3"/>
    <x v="1"/>
    <n v="0"/>
  </r>
  <r>
    <x v="910"/>
    <d v="2023-03-01T00:00:00"/>
    <n v="49968"/>
    <n v="9841"/>
    <n v="0.84"/>
    <n v="0.71"/>
    <n v="1.54"/>
    <n v="708"/>
    <x v="0"/>
    <m/>
    <n v="0"/>
    <n v="18"/>
    <s v="Development"/>
    <n v="0.3"/>
    <x v="0"/>
    <n v="0"/>
  </r>
  <r>
    <x v="911"/>
    <d v="2024-07-01T00:00:00"/>
    <n v="58552"/>
    <n v="4339"/>
    <n v="1.71"/>
    <n v="1.28"/>
    <n v="1.32"/>
    <n v="709"/>
    <x v="0"/>
    <m/>
    <n v="0"/>
    <n v="12"/>
    <s v="Validation"/>
    <n v="0"/>
    <x v="0"/>
    <n v="0"/>
  </r>
  <r>
    <x v="912"/>
    <d v="2024-03-01T00:00:00"/>
    <n v="55875"/>
    <n v="45465"/>
    <n v="1.63"/>
    <n v="0.35"/>
    <n v="1.02"/>
    <n v="576"/>
    <x v="1"/>
    <n v="24553"/>
    <n v="1"/>
    <n v="18"/>
    <s v="Validation"/>
    <n v="0.2"/>
    <x v="1"/>
    <n v="0"/>
  </r>
  <r>
    <x v="913"/>
    <d v="2024-11-01T00:00:00"/>
    <n v="77867"/>
    <n v="35137"/>
    <n v="1.21"/>
    <n v="1.06"/>
    <n v="1"/>
    <n v="673"/>
    <x v="0"/>
    <m/>
    <n v="0"/>
    <n v="12"/>
    <s v="Validation"/>
    <n v="0"/>
    <x v="0"/>
    <n v="0"/>
  </r>
  <r>
    <x v="914"/>
    <d v="2023-05-01T00:00:00"/>
    <n v="40850"/>
    <n v="5407"/>
    <n v="1.63"/>
    <n v="1.33"/>
    <n v="0.88"/>
    <n v="604"/>
    <x v="0"/>
    <m/>
    <n v="0"/>
    <n v="12"/>
    <s v="Development"/>
    <n v="0"/>
    <x v="0"/>
    <n v="0"/>
  </r>
  <r>
    <x v="915"/>
    <d v="2023-10-01T00:00:00"/>
    <n v="15632"/>
    <n v="21651"/>
    <n v="2.42"/>
    <n v="1.46"/>
    <n v="1.05"/>
    <n v="730"/>
    <x v="0"/>
    <m/>
    <n v="0"/>
    <n v="12"/>
    <s v="Development"/>
    <n v="0"/>
    <x v="0"/>
    <n v="0"/>
  </r>
  <r>
    <x v="916"/>
    <d v="2023-07-01T00:00:00"/>
    <n v="47089"/>
    <n v="9395"/>
    <n v="1.93"/>
    <n v="0.23"/>
    <n v="1.77"/>
    <n v="723"/>
    <x v="1"/>
    <n v="47211"/>
    <n v="1"/>
    <n v="12"/>
    <s v="Development"/>
    <n v="0"/>
    <x v="1"/>
    <n v="0"/>
  </r>
  <r>
    <x v="917"/>
    <d v="2024-05-01T00:00:00"/>
    <n v="23780"/>
    <n v="16066"/>
    <n v="0.92"/>
    <n v="0.53"/>
    <n v="1.23"/>
    <n v="631"/>
    <x v="0"/>
    <m/>
    <n v="0"/>
    <n v="12"/>
    <s v="Validation"/>
    <n v="0.3"/>
    <x v="0"/>
    <n v="0"/>
  </r>
  <r>
    <x v="918"/>
    <d v="2023-07-01T00:00:00"/>
    <n v="25755"/>
    <n v="16415"/>
    <n v="1.49"/>
    <n v="0.49"/>
    <n v="0.61"/>
    <n v="638"/>
    <x v="1"/>
    <m/>
    <n v="0"/>
    <n v="12"/>
    <s v="Development"/>
    <n v="0.15"/>
    <x v="0"/>
    <n v="1"/>
  </r>
  <r>
    <x v="919"/>
    <d v="2024-10-01T00:00:00"/>
    <n v="53164"/>
    <n v="11338"/>
    <n v="1.1100000000000001"/>
    <n v="0.97"/>
    <n v="2.3199999999999998"/>
    <n v="655"/>
    <x v="0"/>
    <m/>
    <n v="0"/>
    <n v="6"/>
    <s v="Validation"/>
    <n v="0"/>
    <x v="0"/>
    <n v="0"/>
  </r>
  <r>
    <x v="920"/>
    <d v="2023-12-01T00:00:00"/>
    <n v="81217"/>
    <n v="7718"/>
    <n v="1.34"/>
    <n v="1.27"/>
    <n v="1.53"/>
    <n v="556"/>
    <x v="0"/>
    <m/>
    <n v="0"/>
    <n v="12"/>
    <s v="Development"/>
    <n v="0.2"/>
    <x v="0"/>
    <n v="0"/>
  </r>
  <r>
    <x v="921"/>
    <d v="2024-05-01T00:00:00"/>
    <n v="36821"/>
    <n v="8239"/>
    <n v="1.32"/>
    <n v="2.58"/>
    <n v="0.57999999999999996"/>
    <n v="698"/>
    <x v="0"/>
    <m/>
    <n v="0"/>
    <n v="6"/>
    <s v="Validation"/>
    <n v="0.5"/>
    <x v="0"/>
    <n v="0"/>
  </r>
  <r>
    <x v="922"/>
    <d v="2024-01-01T00:00:00"/>
    <n v="44389"/>
    <n v="7035"/>
    <n v="1.29"/>
    <n v="0.64"/>
    <n v="1.1100000000000001"/>
    <n v="665"/>
    <x v="1"/>
    <n v="25256"/>
    <n v="1"/>
    <n v="6"/>
    <s v="Validation"/>
    <n v="0"/>
    <x v="1"/>
    <n v="0"/>
  </r>
  <r>
    <x v="923"/>
    <d v="2024-08-01T00:00:00"/>
    <n v="109803"/>
    <n v="7463"/>
    <n v="0.86"/>
    <n v="0.64"/>
    <n v="1.41"/>
    <n v="733"/>
    <x v="1"/>
    <n v="47935"/>
    <n v="1"/>
    <n v="6"/>
    <s v="Validation"/>
    <n v="0.3"/>
    <x v="1"/>
    <n v="0"/>
  </r>
  <r>
    <x v="924"/>
    <d v="2023-04-01T00:00:00"/>
    <n v="42467"/>
    <n v="12746"/>
    <n v="1.48"/>
    <n v="2.02"/>
    <n v="2.29"/>
    <n v="620"/>
    <x v="0"/>
    <m/>
    <n v="0"/>
    <n v="6"/>
    <s v="Development"/>
    <n v="0.35"/>
    <x v="0"/>
    <n v="0"/>
  </r>
  <r>
    <x v="925"/>
    <d v="2023-10-01T00:00:00"/>
    <n v="197027"/>
    <n v="8095"/>
    <n v="1.24"/>
    <n v="1.1100000000000001"/>
    <n v="0.74"/>
    <n v="646"/>
    <x v="0"/>
    <m/>
    <n v="0"/>
    <n v="12"/>
    <s v="Development"/>
    <n v="0.15"/>
    <x v="0"/>
    <n v="0"/>
  </r>
  <r>
    <x v="926"/>
    <d v="2023-03-01T00:00:00"/>
    <n v="52448"/>
    <n v="21535"/>
    <n v="0.2"/>
    <n v="2.2000000000000002"/>
    <n v="1.89"/>
    <n v="597"/>
    <x v="0"/>
    <m/>
    <n v="0"/>
    <n v="12"/>
    <s v="Development"/>
    <n v="0.84999999999999987"/>
    <x v="0"/>
    <n v="0"/>
  </r>
  <r>
    <x v="927"/>
    <d v="2023-09-01T00:00:00"/>
    <n v="11562"/>
    <n v="37838"/>
    <n v="2.68"/>
    <n v="1.1100000000000001"/>
    <n v="2.12"/>
    <n v="625"/>
    <x v="0"/>
    <m/>
    <n v="0"/>
    <n v="6"/>
    <s v="Development"/>
    <n v="0"/>
    <x v="0"/>
    <n v="0"/>
  </r>
  <r>
    <x v="928"/>
    <d v="2024-01-01T00:00:00"/>
    <n v="59259"/>
    <n v="8901"/>
    <n v="2.15"/>
    <n v="0.4"/>
    <n v="1"/>
    <n v="615"/>
    <x v="0"/>
    <m/>
    <n v="0"/>
    <n v="12"/>
    <s v="Validation"/>
    <n v="0"/>
    <x v="0"/>
    <n v="0"/>
  </r>
  <r>
    <x v="929"/>
    <d v="2024-06-01T00:00:00"/>
    <n v="46525"/>
    <n v="15797"/>
    <n v="1.34"/>
    <n v="0.36"/>
    <n v="1.2"/>
    <n v="735"/>
    <x v="1"/>
    <n v="15694"/>
    <n v="1"/>
    <n v="6"/>
    <s v="Validation"/>
    <n v="0"/>
    <x v="1"/>
    <n v="0"/>
  </r>
  <r>
    <x v="930"/>
    <d v="2024-03-01T00:00:00"/>
    <n v="83980"/>
    <n v="18954"/>
    <n v="1.56"/>
    <n v="0.31"/>
    <n v="0.78"/>
    <n v="642"/>
    <x v="0"/>
    <m/>
    <n v="0"/>
    <n v="12"/>
    <s v="Validation"/>
    <n v="0.15"/>
    <x v="0"/>
    <n v="0"/>
  </r>
  <r>
    <x v="931"/>
    <d v="2023-04-01T00:00:00"/>
    <n v="56250"/>
    <n v="18590"/>
    <n v="0.91"/>
    <n v="1.44"/>
    <n v="1.24"/>
    <n v="687"/>
    <x v="0"/>
    <m/>
    <n v="0"/>
    <n v="12"/>
    <s v="Development"/>
    <n v="0.3"/>
    <x v="0"/>
    <n v="0"/>
  </r>
  <r>
    <x v="932"/>
    <d v="2024-03-01T00:00:00"/>
    <n v="33190"/>
    <n v="14089"/>
    <n v="2.48"/>
    <n v="2.08"/>
    <n v="1.33"/>
    <n v="659"/>
    <x v="0"/>
    <m/>
    <n v="0"/>
    <n v="12"/>
    <s v="Validation"/>
    <n v="0.35"/>
    <x v="0"/>
    <n v="0"/>
  </r>
  <r>
    <x v="933"/>
    <d v="2024-10-01T00:00:00"/>
    <n v="16386"/>
    <n v="22469"/>
    <n v="2.59"/>
    <n v="3.3"/>
    <n v="1.71"/>
    <n v="610"/>
    <x v="1"/>
    <m/>
    <n v="0"/>
    <n v="12"/>
    <s v="Validation"/>
    <n v="0.35"/>
    <x v="0"/>
    <n v="1"/>
  </r>
  <r>
    <x v="934"/>
    <d v="2023-02-01T00:00:00"/>
    <n v="31702"/>
    <n v="18724"/>
    <n v="1.64"/>
    <n v="1.63"/>
    <n v="1.95"/>
    <n v="671"/>
    <x v="0"/>
    <m/>
    <n v="0"/>
    <n v="6"/>
    <s v="Development"/>
    <n v="0"/>
    <x v="0"/>
    <n v="0"/>
  </r>
  <r>
    <x v="935"/>
    <d v="2024-03-01T00:00:00"/>
    <n v="20893"/>
    <n v="5617"/>
    <n v="2.11"/>
    <n v="2.04"/>
    <n v="0.94"/>
    <n v="713"/>
    <x v="0"/>
    <m/>
    <n v="0"/>
    <n v="12"/>
    <s v="Validation"/>
    <n v="0.35"/>
    <x v="0"/>
    <n v="0"/>
  </r>
  <r>
    <x v="936"/>
    <d v="2023-08-01T00:00:00"/>
    <n v="24901"/>
    <n v="24549"/>
    <n v="1.65"/>
    <n v="0.6"/>
    <n v="0.27"/>
    <n v="614"/>
    <x v="1"/>
    <n v="21585"/>
    <n v="1"/>
    <n v="12"/>
    <s v="Development"/>
    <n v="0.15"/>
    <x v="1"/>
    <n v="0"/>
  </r>
  <r>
    <x v="937"/>
    <d v="2023-08-01T00:00:00"/>
    <n v="53241"/>
    <n v="24862"/>
    <n v="0.81"/>
    <n v="0.4"/>
    <n v="1.34"/>
    <n v="725"/>
    <x v="1"/>
    <n v="48467"/>
    <n v="1"/>
    <n v="18"/>
    <s v="Development"/>
    <n v="0.3"/>
    <x v="1"/>
    <n v="0"/>
  </r>
  <r>
    <x v="938"/>
    <d v="2024-05-01T00:00:00"/>
    <n v="107521"/>
    <n v="7830"/>
    <n v="1.32"/>
    <n v="1.64"/>
    <n v="1.51"/>
    <n v="633"/>
    <x v="0"/>
    <m/>
    <n v="0"/>
    <n v="12"/>
    <s v="Validation"/>
    <n v="0"/>
    <x v="0"/>
    <n v="0"/>
  </r>
  <r>
    <x v="939"/>
    <d v="2023-12-01T00:00:00"/>
    <n v="46936"/>
    <n v="13719"/>
    <n v="1.62"/>
    <n v="1.21"/>
    <n v="1.49"/>
    <n v="653"/>
    <x v="1"/>
    <n v="29368"/>
    <n v="1"/>
    <n v="18"/>
    <s v="Development"/>
    <n v="0"/>
    <x v="1"/>
    <n v="0"/>
  </r>
  <r>
    <x v="940"/>
    <d v="2024-07-01T00:00:00"/>
    <n v="16692"/>
    <n v="21554"/>
    <n v="1.3"/>
    <n v="0.98"/>
    <n v="1.17"/>
    <n v="709"/>
    <x v="0"/>
    <m/>
    <n v="0"/>
    <n v="12"/>
    <s v="Validation"/>
    <n v="0"/>
    <x v="0"/>
    <n v="0"/>
  </r>
  <r>
    <x v="941"/>
    <d v="2023-10-01T00:00:00"/>
    <n v="48484"/>
    <n v="11539"/>
    <n v="1.43"/>
    <n v="1.19"/>
    <n v="1.42"/>
    <n v="644"/>
    <x v="0"/>
    <m/>
    <n v="0"/>
    <n v="6"/>
    <s v="Development"/>
    <n v="0"/>
    <x v="0"/>
    <n v="0"/>
  </r>
  <r>
    <x v="942"/>
    <d v="2023-09-01T00:00:00"/>
    <n v="79048"/>
    <n v="28313"/>
    <n v="1.5"/>
    <n v="1.1299999999999999"/>
    <n v="2.1800000000000002"/>
    <n v="682"/>
    <x v="0"/>
    <m/>
    <n v="0"/>
    <n v="18"/>
    <s v="Development"/>
    <n v="0"/>
    <x v="0"/>
    <n v="0"/>
  </r>
  <r>
    <x v="943"/>
    <d v="2023-05-01T00:00:00"/>
    <n v="24432"/>
    <n v="69892"/>
    <n v="1.51"/>
    <n v="2.2200000000000002"/>
    <n v="1.56"/>
    <n v="663"/>
    <x v="0"/>
    <m/>
    <n v="0"/>
    <n v="12"/>
    <s v="Development"/>
    <n v="0.35"/>
    <x v="0"/>
    <n v="0"/>
  </r>
  <r>
    <x v="944"/>
    <d v="2023-06-01T00:00:00"/>
    <n v="33286"/>
    <n v="7706"/>
    <n v="1.58"/>
    <n v="2.2400000000000002"/>
    <n v="1.1399999999999999"/>
    <n v="687"/>
    <x v="1"/>
    <n v="45603"/>
    <n v="1"/>
    <n v="12"/>
    <s v="Development"/>
    <n v="0.35"/>
    <x v="1"/>
    <n v="0"/>
  </r>
  <r>
    <x v="945"/>
    <d v="2024-08-01T00:00:00"/>
    <n v="36664"/>
    <n v="5081"/>
    <n v="0.97"/>
    <n v="1.32"/>
    <n v="1.07"/>
    <n v="549"/>
    <x v="0"/>
    <m/>
    <n v="0"/>
    <n v="6"/>
    <s v="Validation"/>
    <n v="0.5"/>
    <x v="0"/>
    <n v="0"/>
  </r>
  <r>
    <x v="946"/>
    <d v="2023-02-01T00:00:00"/>
    <n v="21803"/>
    <n v="16526"/>
    <n v="1.1599999999999999"/>
    <n v="1.64"/>
    <n v="1.26"/>
    <n v="579"/>
    <x v="0"/>
    <m/>
    <n v="0"/>
    <n v="18"/>
    <s v="Development"/>
    <n v="0.2"/>
    <x v="0"/>
    <n v="0"/>
  </r>
  <r>
    <x v="947"/>
    <d v="2024-12-01T00:00:00"/>
    <n v="55347"/>
    <n v="22139"/>
    <n v="0.84"/>
    <n v="1.3"/>
    <n v="2.25"/>
    <n v="714"/>
    <x v="0"/>
    <m/>
    <n v="0"/>
    <n v="12"/>
    <s v="Validation"/>
    <n v="0.3"/>
    <x v="0"/>
    <n v="0"/>
  </r>
  <r>
    <x v="948"/>
    <d v="2024-01-01T00:00:00"/>
    <n v="33570"/>
    <n v="11366"/>
    <n v="2.09"/>
    <n v="0.66"/>
    <n v="1.25"/>
    <n v="737"/>
    <x v="0"/>
    <m/>
    <n v="0"/>
    <n v="6"/>
    <s v="Validation"/>
    <n v="0"/>
    <x v="0"/>
    <n v="0"/>
  </r>
  <r>
    <x v="949"/>
    <d v="2023-06-01T00:00:00"/>
    <n v="47700"/>
    <n v="36949"/>
    <n v="0.39"/>
    <n v="1.54"/>
    <n v="1.34"/>
    <n v="630"/>
    <x v="0"/>
    <m/>
    <n v="0"/>
    <n v="6"/>
    <s v="Development"/>
    <n v="0.3"/>
    <x v="0"/>
    <n v="0"/>
  </r>
  <r>
    <x v="950"/>
    <d v="2023-05-01T00:00:00"/>
    <n v="20397"/>
    <n v="5234"/>
    <n v="2.1800000000000002"/>
    <n v="0.34"/>
    <n v="1.08"/>
    <n v="667"/>
    <x v="0"/>
    <m/>
    <n v="0"/>
    <n v="12"/>
    <s v="Development"/>
    <n v="0"/>
    <x v="0"/>
    <n v="0"/>
  </r>
  <r>
    <x v="951"/>
    <d v="2023-01-01T00:00:00"/>
    <n v="27328"/>
    <n v="21699"/>
    <n v="2.31"/>
    <n v="1.89"/>
    <n v="1.95"/>
    <n v="696"/>
    <x v="0"/>
    <m/>
    <n v="0"/>
    <n v="6"/>
    <s v="Development"/>
    <n v="0"/>
    <x v="0"/>
    <n v="0"/>
  </r>
  <r>
    <x v="952"/>
    <d v="2024-09-01T00:00:00"/>
    <n v="58078"/>
    <n v="8742"/>
    <n v="1.38"/>
    <n v="0.39"/>
    <n v="2.4300000000000002"/>
    <n v="718"/>
    <x v="0"/>
    <m/>
    <n v="0"/>
    <n v="12"/>
    <s v="Validation"/>
    <n v="0"/>
    <x v="0"/>
    <n v="0"/>
  </r>
  <r>
    <x v="953"/>
    <d v="2024-10-01T00:00:00"/>
    <n v="28500"/>
    <n v="44514"/>
    <n v="0.2"/>
    <n v="1.1100000000000001"/>
    <n v="1.6"/>
    <n v="568"/>
    <x v="0"/>
    <m/>
    <n v="0"/>
    <n v="12"/>
    <s v="Validation"/>
    <n v="0.5"/>
    <x v="0"/>
    <n v="0"/>
  </r>
  <r>
    <x v="954"/>
    <d v="2024-09-01T00:00:00"/>
    <n v="111583"/>
    <n v="53893"/>
    <n v="1.35"/>
    <n v="0.5"/>
    <n v="1.4"/>
    <n v="631"/>
    <x v="0"/>
    <m/>
    <n v="0"/>
    <n v="12"/>
    <s v="Validation"/>
    <n v="0"/>
    <x v="0"/>
    <n v="0"/>
  </r>
  <r>
    <x v="955"/>
    <d v="2023-06-01T00:00:00"/>
    <n v="28008"/>
    <n v="7811"/>
    <n v="1.51"/>
    <n v="1.33"/>
    <n v="1.37"/>
    <n v="662"/>
    <x v="0"/>
    <m/>
    <n v="0"/>
    <n v="12"/>
    <s v="Development"/>
    <n v="0"/>
    <x v="0"/>
    <n v="0"/>
  </r>
  <r>
    <x v="956"/>
    <d v="2023-06-01T00:00:00"/>
    <n v="42026"/>
    <n v="9093"/>
    <n v="0.99"/>
    <n v="0.88"/>
    <n v="0.1"/>
    <n v="719"/>
    <x v="0"/>
    <m/>
    <n v="0"/>
    <n v="12"/>
    <s v="Development"/>
    <n v="0.45"/>
    <x v="0"/>
    <n v="0"/>
  </r>
  <r>
    <x v="957"/>
    <d v="2024-11-01T00:00:00"/>
    <n v="66582"/>
    <n v="24385"/>
    <n v="1.27"/>
    <n v="0.3"/>
    <n v="1.76"/>
    <n v="817"/>
    <x v="1"/>
    <n v="16179"/>
    <n v="1"/>
    <n v="12"/>
    <s v="Validation"/>
    <n v="0"/>
    <x v="1"/>
    <n v="0"/>
  </r>
  <r>
    <x v="958"/>
    <d v="2024-04-01T00:00:00"/>
    <n v="14444"/>
    <n v="10188"/>
    <n v="2.39"/>
    <n v="1.21"/>
    <n v="1.42"/>
    <n v="667"/>
    <x v="0"/>
    <m/>
    <n v="0"/>
    <n v="18"/>
    <s v="Validation"/>
    <n v="0"/>
    <x v="0"/>
    <n v="0"/>
  </r>
  <r>
    <x v="959"/>
    <d v="2023-04-01T00:00:00"/>
    <n v="11562"/>
    <n v="12942"/>
    <n v="1.92"/>
    <n v="0.6"/>
    <n v="1.59"/>
    <n v="603"/>
    <x v="0"/>
    <m/>
    <n v="0"/>
    <n v="18"/>
    <s v="Development"/>
    <n v="0"/>
    <x v="0"/>
    <n v="0"/>
  </r>
  <r>
    <x v="960"/>
    <d v="2023-11-01T00:00:00"/>
    <n v="13471"/>
    <n v="13599"/>
    <n v="1.04"/>
    <n v="1.68"/>
    <n v="0.96"/>
    <n v="702"/>
    <x v="0"/>
    <m/>
    <n v="0"/>
    <n v="12"/>
    <s v="Development"/>
    <n v="0"/>
    <x v="0"/>
    <n v="0"/>
  </r>
  <r>
    <x v="961"/>
    <d v="2024-12-01T00:00:00"/>
    <n v="82510"/>
    <n v="3485"/>
    <n v="0.67"/>
    <n v="0.91"/>
    <n v="1.1399999999999999"/>
    <n v="753"/>
    <x v="0"/>
    <m/>
    <n v="0"/>
    <n v="12"/>
    <s v="Validation"/>
    <n v="0.3"/>
    <x v="0"/>
    <n v="0"/>
  </r>
  <r>
    <x v="962"/>
    <d v="2024-11-01T00:00:00"/>
    <n v="25369"/>
    <n v="13231"/>
    <n v="1.37"/>
    <n v="1.19"/>
    <n v="1.1200000000000001"/>
    <n v="686"/>
    <x v="0"/>
    <m/>
    <n v="0"/>
    <n v="18"/>
    <s v="Validation"/>
    <n v="0"/>
    <x v="0"/>
    <n v="0"/>
  </r>
  <r>
    <x v="963"/>
    <d v="2023-09-01T00:00:00"/>
    <n v="191536"/>
    <n v="8244"/>
    <n v="1.43"/>
    <n v="0.46"/>
    <n v="1.91"/>
    <n v="630"/>
    <x v="0"/>
    <m/>
    <n v="0"/>
    <n v="18"/>
    <s v="Development"/>
    <n v="0"/>
    <x v="0"/>
    <n v="0"/>
  </r>
  <r>
    <x v="964"/>
    <d v="2024-11-01T00:00:00"/>
    <n v="25166"/>
    <n v="9460"/>
    <n v="1.82"/>
    <n v="0.6"/>
    <n v="1.1399999999999999"/>
    <n v="733"/>
    <x v="0"/>
    <m/>
    <n v="0"/>
    <n v="18"/>
    <s v="Validation"/>
    <n v="0"/>
    <x v="0"/>
    <n v="0"/>
  </r>
  <r>
    <x v="965"/>
    <d v="2023-03-01T00:00:00"/>
    <n v="40944"/>
    <n v="36700"/>
    <n v="1.26"/>
    <n v="0.66"/>
    <n v="2.5"/>
    <n v="716"/>
    <x v="0"/>
    <m/>
    <n v="0"/>
    <n v="12"/>
    <s v="Development"/>
    <n v="0"/>
    <x v="0"/>
    <n v="0"/>
  </r>
  <r>
    <x v="966"/>
    <d v="2024-07-01T00:00:00"/>
    <n v="98950"/>
    <n v="5544"/>
    <n v="1.83"/>
    <n v="1.65"/>
    <n v="1.59"/>
    <n v="624"/>
    <x v="0"/>
    <m/>
    <n v="0"/>
    <n v="12"/>
    <s v="Validation"/>
    <n v="0"/>
    <x v="0"/>
    <n v="0"/>
  </r>
  <r>
    <x v="967"/>
    <d v="2023-08-01T00:00:00"/>
    <n v="133781"/>
    <n v="23606"/>
    <n v="2.61"/>
    <n v="2.93"/>
    <n v="0.65"/>
    <n v="701"/>
    <x v="0"/>
    <m/>
    <n v="0"/>
    <n v="12"/>
    <s v="Development"/>
    <n v="0.5"/>
    <x v="0"/>
    <n v="0"/>
  </r>
  <r>
    <x v="968"/>
    <d v="2023-05-01T00:00:00"/>
    <n v="138687"/>
    <n v="10990"/>
    <n v="2"/>
    <n v="0.51"/>
    <n v="1.28"/>
    <n v="735"/>
    <x v="0"/>
    <m/>
    <n v="0"/>
    <n v="12"/>
    <s v="Development"/>
    <n v="0"/>
    <x v="0"/>
    <n v="0"/>
  </r>
  <r>
    <x v="969"/>
    <d v="2023-04-01T00:00:00"/>
    <n v="79653"/>
    <n v="10984"/>
    <n v="1.52"/>
    <n v="1.92"/>
    <n v="0.99"/>
    <n v="745"/>
    <x v="0"/>
    <m/>
    <n v="0"/>
    <n v="12"/>
    <s v="Development"/>
    <n v="0"/>
    <x v="0"/>
    <n v="0"/>
  </r>
  <r>
    <x v="970"/>
    <d v="2024-12-01T00:00:00"/>
    <n v="70660"/>
    <n v="23231"/>
    <n v="1.45"/>
    <n v="0.2"/>
    <n v="0.14000000000000001"/>
    <n v="676"/>
    <x v="0"/>
    <m/>
    <n v="0"/>
    <n v="18"/>
    <s v="Validation"/>
    <n v="0.15"/>
    <x v="0"/>
    <n v="0"/>
  </r>
  <r>
    <x v="971"/>
    <d v="2023-06-01T00:00:00"/>
    <n v="53377"/>
    <n v="16950"/>
    <n v="1.35"/>
    <n v="0.39"/>
    <n v="2.23"/>
    <n v="660"/>
    <x v="0"/>
    <m/>
    <n v="0"/>
    <n v="18"/>
    <s v="Development"/>
    <n v="0"/>
    <x v="0"/>
    <n v="0"/>
  </r>
  <r>
    <x v="972"/>
    <d v="2023-02-01T00:00:00"/>
    <n v="60231"/>
    <n v="19919"/>
    <n v="2.2000000000000002"/>
    <n v="0.46"/>
    <n v="1.74"/>
    <n v="748"/>
    <x v="0"/>
    <m/>
    <n v="0"/>
    <n v="6"/>
    <s v="Development"/>
    <n v="0"/>
    <x v="0"/>
    <n v="0"/>
  </r>
  <r>
    <x v="973"/>
    <d v="2024-08-01T00:00:00"/>
    <n v="25380"/>
    <n v="26311"/>
    <n v="1.2"/>
    <n v="0.35"/>
    <n v="1.64"/>
    <n v="613"/>
    <x v="0"/>
    <m/>
    <n v="0"/>
    <n v="12"/>
    <s v="Validation"/>
    <n v="0"/>
    <x v="0"/>
    <n v="0"/>
  </r>
  <r>
    <x v="974"/>
    <d v="2023-11-01T00:00:00"/>
    <n v="21336"/>
    <n v="10594"/>
    <n v="1.57"/>
    <n v="0.3"/>
    <n v="1.44"/>
    <n v="704"/>
    <x v="0"/>
    <m/>
    <n v="0"/>
    <n v="18"/>
    <s v="Development"/>
    <n v="0"/>
    <x v="0"/>
    <n v="0"/>
  </r>
  <r>
    <x v="975"/>
    <d v="2023-04-01T00:00:00"/>
    <n v="36236"/>
    <n v="8703"/>
    <n v="1.58"/>
    <n v="1.21"/>
    <n v="0.59"/>
    <n v="605"/>
    <x v="0"/>
    <m/>
    <n v="0"/>
    <n v="18"/>
    <s v="Development"/>
    <n v="0.15"/>
    <x v="0"/>
    <n v="0"/>
  </r>
  <r>
    <x v="976"/>
    <d v="2024-03-01T00:00:00"/>
    <n v="32513"/>
    <n v="6250"/>
    <n v="1.27"/>
    <n v="0.78"/>
    <n v="1.08"/>
    <n v="739"/>
    <x v="0"/>
    <m/>
    <n v="0"/>
    <n v="12"/>
    <s v="Validation"/>
    <n v="0"/>
    <x v="0"/>
    <n v="0"/>
  </r>
  <r>
    <x v="977"/>
    <d v="2023-06-01T00:00:00"/>
    <n v="27049"/>
    <n v="7497"/>
    <n v="0.8"/>
    <n v="1.18"/>
    <n v="1.81"/>
    <n v="666"/>
    <x v="0"/>
    <m/>
    <n v="0"/>
    <n v="6"/>
    <s v="Development"/>
    <n v="0.3"/>
    <x v="0"/>
    <n v="0"/>
  </r>
  <r>
    <x v="978"/>
    <d v="2024-10-01T00:00:00"/>
    <n v="57105"/>
    <n v="105279"/>
    <n v="1.73"/>
    <n v="1.47"/>
    <n v="0.77"/>
    <n v="750"/>
    <x v="0"/>
    <m/>
    <n v="0"/>
    <n v="12"/>
    <s v="Validation"/>
    <n v="0.15"/>
    <x v="0"/>
    <n v="0"/>
  </r>
  <r>
    <x v="979"/>
    <d v="2024-05-01T00:00:00"/>
    <n v="67572"/>
    <n v="31929"/>
    <n v="1.52"/>
    <n v="1.0900000000000001"/>
    <n v="0.1"/>
    <n v="707"/>
    <x v="0"/>
    <m/>
    <n v="0"/>
    <n v="12"/>
    <s v="Validation"/>
    <n v="0.15"/>
    <x v="0"/>
    <n v="0"/>
  </r>
  <r>
    <x v="980"/>
    <d v="2024-12-01T00:00:00"/>
    <n v="38463"/>
    <n v="5189"/>
    <n v="1.83"/>
    <n v="1.43"/>
    <n v="1.23"/>
    <n v="613"/>
    <x v="0"/>
    <m/>
    <n v="0"/>
    <n v="12"/>
    <s v="Validation"/>
    <n v="0"/>
    <x v="0"/>
    <n v="0"/>
  </r>
  <r>
    <x v="981"/>
    <d v="2023-06-01T00:00:00"/>
    <n v="94882"/>
    <n v="5294"/>
    <n v="1.26"/>
    <n v="0.86"/>
    <n v="1.27"/>
    <n v="758"/>
    <x v="0"/>
    <m/>
    <n v="0"/>
    <n v="12"/>
    <s v="Development"/>
    <n v="0"/>
    <x v="0"/>
    <n v="0"/>
  </r>
  <r>
    <x v="982"/>
    <d v="2024-07-01T00:00:00"/>
    <n v="17290"/>
    <n v="18719"/>
    <n v="2.2200000000000002"/>
    <n v="0.39"/>
    <n v="1.42"/>
    <n v="765"/>
    <x v="0"/>
    <m/>
    <n v="0"/>
    <n v="12"/>
    <s v="Validation"/>
    <n v="0"/>
    <x v="0"/>
    <n v="0"/>
  </r>
  <r>
    <x v="983"/>
    <d v="2023-02-01T00:00:00"/>
    <n v="32020"/>
    <n v="19596"/>
    <n v="1.07"/>
    <n v="1.9"/>
    <n v="1.75"/>
    <n v="729"/>
    <x v="0"/>
    <m/>
    <n v="0"/>
    <n v="12"/>
    <s v="Development"/>
    <n v="0"/>
    <x v="0"/>
    <n v="0"/>
  </r>
  <r>
    <x v="984"/>
    <d v="2024-03-01T00:00:00"/>
    <n v="22790"/>
    <n v="19618"/>
    <n v="2.4900000000000002"/>
    <n v="0.6"/>
    <n v="1.7"/>
    <n v="638"/>
    <x v="0"/>
    <m/>
    <n v="0"/>
    <n v="12"/>
    <s v="Validation"/>
    <n v="0"/>
    <x v="0"/>
    <n v="0"/>
  </r>
  <r>
    <x v="985"/>
    <d v="2023-11-01T00:00:00"/>
    <n v="10794"/>
    <n v="11176"/>
    <n v="0.59"/>
    <n v="0.47"/>
    <n v="1.49"/>
    <n v="663"/>
    <x v="0"/>
    <m/>
    <n v="0"/>
    <n v="12"/>
    <s v="Development"/>
    <n v="0.3"/>
    <x v="0"/>
    <n v="0"/>
  </r>
  <r>
    <x v="986"/>
    <d v="2023-08-01T00:00:00"/>
    <n v="34415"/>
    <n v="12237"/>
    <n v="1.79"/>
    <n v="0.8"/>
    <n v="2.0099999999999998"/>
    <n v="688"/>
    <x v="0"/>
    <m/>
    <n v="0"/>
    <n v="18"/>
    <s v="Development"/>
    <n v="0"/>
    <x v="0"/>
    <n v="0"/>
  </r>
  <r>
    <x v="987"/>
    <d v="2024-07-01T00:00:00"/>
    <n v="33552"/>
    <n v="16806"/>
    <n v="1.81"/>
    <n v="0.48"/>
    <n v="0.51"/>
    <n v="641"/>
    <x v="0"/>
    <m/>
    <n v="0"/>
    <n v="12"/>
    <s v="Validation"/>
    <n v="0.15"/>
    <x v="0"/>
    <n v="0"/>
  </r>
  <r>
    <x v="988"/>
    <d v="2024-01-01T00:00:00"/>
    <n v="97124"/>
    <n v="14188"/>
    <n v="1.1100000000000001"/>
    <n v="0.68"/>
    <n v="1.63"/>
    <n v="773"/>
    <x v="0"/>
    <m/>
    <n v="0"/>
    <n v="12"/>
    <s v="Validation"/>
    <n v="0"/>
    <x v="0"/>
    <n v="0"/>
  </r>
  <r>
    <x v="989"/>
    <d v="2023-12-01T00:00:00"/>
    <n v="54722"/>
    <n v="2826"/>
    <n v="1.78"/>
    <n v="1.1499999999999999"/>
    <n v="1.69"/>
    <n v="688"/>
    <x v="0"/>
    <m/>
    <n v="0"/>
    <n v="6"/>
    <s v="Development"/>
    <n v="0"/>
    <x v="0"/>
    <n v="0"/>
  </r>
  <r>
    <x v="990"/>
    <d v="2023-05-01T00:00:00"/>
    <n v="18663"/>
    <n v="11375"/>
    <n v="2.25"/>
    <n v="1.1499999999999999"/>
    <n v="0.67"/>
    <n v="531"/>
    <x v="0"/>
    <m/>
    <n v="0"/>
    <n v="6"/>
    <s v="Development"/>
    <n v="0.35"/>
    <x v="0"/>
    <n v="0"/>
  </r>
  <r>
    <x v="991"/>
    <d v="2023-06-01T00:00:00"/>
    <n v="121195"/>
    <n v="7361"/>
    <n v="0.33"/>
    <n v="0.48"/>
    <n v="0.52"/>
    <n v="699"/>
    <x v="0"/>
    <m/>
    <n v="0"/>
    <n v="12"/>
    <s v="Development"/>
    <n v="0.45"/>
    <x v="0"/>
    <n v="0"/>
  </r>
  <r>
    <x v="992"/>
    <d v="2024-10-01T00:00:00"/>
    <n v="80312"/>
    <n v="15103"/>
    <n v="1.83"/>
    <n v="0.64"/>
    <n v="0.94"/>
    <n v="661"/>
    <x v="0"/>
    <m/>
    <n v="0"/>
    <n v="12"/>
    <s v="Validation"/>
    <n v="0"/>
    <x v="0"/>
    <n v="0"/>
  </r>
  <r>
    <x v="993"/>
    <d v="2023-04-01T00:00:00"/>
    <n v="53017"/>
    <n v="107978"/>
    <n v="0.2"/>
    <n v="1.92"/>
    <n v="0.99"/>
    <n v="676"/>
    <x v="1"/>
    <n v="35734"/>
    <n v="1"/>
    <n v="12"/>
    <s v="Development"/>
    <n v="0.3"/>
    <x v="1"/>
    <n v="0"/>
  </r>
  <r>
    <x v="994"/>
    <d v="2024-07-01T00:00:00"/>
    <n v="31344"/>
    <n v="17279"/>
    <n v="1.02"/>
    <n v="1.28"/>
    <n v="1.76"/>
    <n v="660"/>
    <x v="0"/>
    <m/>
    <n v="0"/>
    <n v="18"/>
    <s v="Validation"/>
    <n v="0"/>
    <x v="0"/>
    <n v="0"/>
  </r>
  <r>
    <x v="995"/>
    <d v="2024-08-01T00:00:00"/>
    <n v="19465"/>
    <n v="10727"/>
    <n v="2.4500000000000002"/>
    <n v="3.87"/>
    <n v="1.01"/>
    <n v="724"/>
    <x v="0"/>
    <m/>
    <n v="0"/>
    <n v="6"/>
    <s v="Validation"/>
    <n v="0.35"/>
    <x v="0"/>
    <n v="0"/>
  </r>
  <r>
    <x v="996"/>
    <d v="2023-01-01T00:00:00"/>
    <n v="28512"/>
    <n v="25470"/>
    <n v="1.23"/>
    <n v="2.0699999999999998"/>
    <n v="0.88"/>
    <n v="742"/>
    <x v="0"/>
    <m/>
    <n v="0"/>
    <n v="12"/>
    <s v="Development"/>
    <n v="0.35"/>
    <x v="0"/>
    <n v="0"/>
  </r>
  <r>
    <x v="997"/>
    <d v="2024-08-01T00:00:00"/>
    <n v="73695"/>
    <n v="18730"/>
    <n v="0.9"/>
    <n v="2.02"/>
    <n v="1.01"/>
    <n v="696"/>
    <x v="0"/>
    <m/>
    <n v="0"/>
    <n v="6"/>
    <s v="Validation"/>
    <n v="0.64999999999999991"/>
    <x v="0"/>
    <n v="0"/>
  </r>
  <r>
    <x v="998"/>
    <d v="2024-05-01T00:00:00"/>
    <n v="123622"/>
    <n v="17927"/>
    <n v="1.44"/>
    <n v="0.34"/>
    <n v="1.97"/>
    <n v="661"/>
    <x v="0"/>
    <m/>
    <n v="0"/>
    <n v="12"/>
    <s v="Validation"/>
    <n v="0"/>
    <x v="0"/>
    <n v="0"/>
  </r>
  <r>
    <x v="999"/>
    <d v="2023-12-01T00:00:00"/>
    <n v="99023"/>
    <n v="20431"/>
    <n v="2.69"/>
    <n v="1.54"/>
    <n v="1.36"/>
    <n v="678"/>
    <x v="0"/>
    <m/>
    <n v="0"/>
    <n v="12"/>
    <s v="Development"/>
    <n v="0"/>
    <x v="0"/>
    <n v="0"/>
  </r>
  <r>
    <x v="1000"/>
    <m/>
    <m/>
    <m/>
    <m/>
    <m/>
    <m/>
    <m/>
    <x v="2"/>
    <m/>
    <m/>
    <m/>
    <m/>
    <m/>
    <x v="2"/>
    <n v="35"/>
  </r>
  <r>
    <x v="1000"/>
    <m/>
    <m/>
    <m/>
    <m/>
    <m/>
    <m/>
    <m/>
    <x v="2"/>
    <m/>
    <m/>
    <m/>
    <m/>
    <m/>
    <x v="3"/>
    <n v="3.500000000000000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943F0-5A3B-4A15-8A83-A7AF4E42D0E8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16">
    <pivotField dataField="1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Customer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EFE2-5C78-4480-BD6A-FCE8198271CB}">
  <dimension ref="A3:F8"/>
  <sheetViews>
    <sheetView workbookViewId="0">
      <selection activeCell="D25" sqref="D25"/>
    </sheetView>
  </sheetViews>
  <sheetFormatPr defaultRowHeight="14.4"/>
  <cols>
    <col min="1" max="1" width="18.5546875" bestFit="1" customWidth="1"/>
    <col min="2" max="2" width="15.5546875" bestFit="1" customWidth="1"/>
    <col min="3" max="4" width="6" bestFit="1" customWidth="1"/>
    <col min="5" max="5" width="4" bestFit="1" customWidth="1"/>
    <col min="6" max="6" width="10.77734375" bestFit="1" customWidth="1"/>
    <col min="7" max="7" width="19.5546875" bestFit="1" customWidth="1"/>
    <col min="8" max="8" width="18.5546875" bestFit="1" customWidth="1"/>
    <col min="9" max="9" width="19.5546875" bestFit="1" customWidth="1"/>
    <col min="10" max="10" width="23.33203125" bestFit="1" customWidth="1"/>
    <col min="11" max="11" width="24.33203125" bestFit="1" customWidth="1"/>
    <col min="12" max="12" width="4" bestFit="1" customWidth="1"/>
    <col min="13" max="13" width="6.6640625" bestFit="1" customWidth="1"/>
    <col min="14" max="14" width="4" bestFit="1" customWidth="1"/>
    <col min="15" max="15" width="6.6640625" bestFit="1" customWidth="1"/>
    <col min="16" max="16" width="4" bestFit="1" customWidth="1"/>
    <col min="17" max="17" width="6.6640625" bestFit="1" customWidth="1"/>
    <col min="18" max="18" width="4" bestFit="1" customWidth="1"/>
    <col min="19" max="19" width="6.6640625" bestFit="1" customWidth="1"/>
    <col min="20" max="20" width="5" bestFit="1" customWidth="1"/>
    <col min="21" max="21" width="7.6640625" bestFit="1" customWidth="1"/>
    <col min="22" max="22" width="5" bestFit="1" customWidth="1"/>
    <col min="23" max="23" width="7.6640625" bestFit="1" customWidth="1"/>
    <col min="24" max="24" width="5" bestFit="1" customWidth="1"/>
    <col min="25" max="25" width="7.6640625" bestFit="1" customWidth="1"/>
    <col min="26" max="26" width="5" bestFit="1" customWidth="1"/>
    <col min="27" max="27" width="7.6640625" bestFit="1" customWidth="1"/>
    <col min="28" max="28" width="5" bestFit="1" customWidth="1"/>
    <col min="29" max="29" width="7.6640625" bestFit="1" customWidth="1"/>
    <col min="30" max="30" width="5" bestFit="1" customWidth="1"/>
    <col min="31" max="31" width="7.6640625" bestFit="1" customWidth="1"/>
    <col min="32" max="32" width="5" bestFit="1" customWidth="1"/>
    <col min="33" max="33" width="7.6640625" bestFit="1" customWidth="1"/>
    <col min="34" max="34" width="5" bestFit="1" customWidth="1"/>
    <col min="35" max="35" width="7.6640625" bestFit="1" customWidth="1"/>
    <col min="36" max="36" width="5" bestFit="1" customWidth="1"/>
    <col min="37" max="37" width="7.6640625" bestFit="1" customWidth="1"/>
    <col min="38" max="38" width="5" bestFit="1" customWidth="1"/>
    <col min="39" max="39" width="7.6640625" bestFit="1" customWidth="1"/>
    <col min="40" max="40" width="5" bestFit="1" customWidth="1"/>
    <col min="41" max="41" width="7.6640625" bestFit="1" customWidth="1"/>
    <col min="42" max="42" width="5" bestFit="1" customWidth="1"/>
    <col min="43" max="43" width="7.6640625" bestFit="1" customWidth="1"/>
    <col min="44" max="44" width="5" bestFit="1" customWidth="1"/>
    <col min="45" max="45" width="7.6640625" bestFit="1" customWidth="1"/>
    <col min="46" max="46" width="5" bestFit="1" customWidth="1"/>
    <col min="47" max="47" width="7.6640625" bestFit="1" customWidth="1"/>
    <col min="48" max="48" width="5" bestFit="1" customWidth="1"/>
    <col min="49" max="49" width="7.6640625" bestFit="1" customWidth="1"/>
    <col min="50" max="50" width="5" bestFit="1" customWidth="1"/>
    <col min="51" max="51" width="7.6640625" bestFit="1" customWidth="1"/>
    <col min="52" max="52" width="5" bestFit="1" customWidth="1"/>
    <col min="53" max="53" width="7.6640625" bestFit="1" customWidth="1"/>
    <col min="54" max="54" width="5" bestFit="1" customWidth="1"/>
    <col min="55" max="55" width="7.6640625" bestFit="1" customWidth="1"/>
    <col min="56" max="56" width="5" bestFit="1" customWidth="1"/>
    <col min="57" max="57" width="7.6640625" bestFit="1" customWidth="1"/>
    <col min="58" max="58" width="5" bestFit="1" customWidth="1"/>
    <col min="59" max="59" width="7.6640625" bestFit="1" customWidth="1"/>
    <col min="60" max="60" width="5" bestFit="1" customWidth="1"/>
    <col min="61" max="61" width="7.6640625" bestFit="1" customWidth="1"/>
    <col min="62" max="62" width="5" bestFit="1" customWidth="1"/>
    <col min="63" max="63" width="7.6640625" bestFit="1" customWidth="1"/>
    <col min="64" max="64" width="5" bestFit="1" customWidth="1"/>
    <col min="65" max="65" width="7.6640625" bestFit="1" customWidth="1"/>
    <col min="66" max="66" width="5" bestFit="1" customWidth="1"/>
    <col min="67" max="67" width="7.6640625" bestFit="1" customWidth="1"/>
    <col min="68" max="68" width="5" bestFit="1" customWidth="1"/>
    <col min="69" max="69" width="7.6640625" bestFit="1" customWidth="1"/>
    <col min="70" max="70" width="5" bestFit="1" customWidth="1"/>
    <col min="71" max="71" width="7.6640625" bestFit="1" customWidth="1"/>
    <col min="72" max="72" width="5" bestFit="1" customWidth="1"/>
    <col min="73" max="73" width="7.6640625" bestFit="1" customWidth="1"/>
    <col min="74" max="74" width="5" bestFit="1" customWidth="1"/>
    <col min="75" max="75" width="7.6640625" bestFit="1" customWidth="1"/>
    <col min="76" max="76" width="5" bestFit="1" customWidth="1"/>
    <col min="77" max="77" width="7.6640625" bestFit="1" customWidth="1"/>
    <col min="78" max="78" width="5" bestFit="1" customWidth="1"/>
    <col min="79" max="79" width="7.6640625" bestFit="1" customWidth="1"/>
    <col min="80" max="80" width="5" bestFit="1" customWidth="1"/>
    <col min="81" max="81" width="7.6640625" bestFit="1" customWidth="1"/>
    <col min="82" max="82" width="5" bestFit="1" customWidth="1"/>
    <col min="83" max="83" width="7.6640625" bestFit="1" customWidth="1"/>
    <col min="84" max="84" width="5" bestFit="1" customWidth="1"/>
    <col min="85" max="85" width="7.6640625" bestFit="1" customWidth="1"/>
    <col min="86" max="86" width="5" bestFit="1" customWidth="1"/>
    <col min="87" max="87" width="7.6640625" bestFit="1" customWidth="1"/>
    <col min="88" max="88" width="5" bestFit="1" customWidth="1"/>
    <col min="89" max="89" width="7.6640625" bestFit="1" customWidth="1"/>
    <col min="90" max="90" width="5" bestFit="1" customWidth="1"/>
    <col min="91" max="91" width="7.6640625" bestFit="1" customWidth="1"/>
    <col min="92" max="92" width="5" bestFit="1" customWidth="1"/>
    <col min="93" max="93" width="7.6640625" bestFit="1" customWidth="1"/>
    <col min="94" max="94" width="5" bestFit="1" customWidth="1"/>
    <col min="95" max="95" width="7.6640625" bestFit="1" customWidth="1"/>
    <col min="96" max="96" width="5" bestFit="1" customWidth="1"/>
    <col min="97" max="97" width="7.6640625" bestFit="1" customWidth="1"/>
    <col min="98" max="98" width="5" bestFit="1" customWidth="1"/>
    <col min="99" max="99" width="7.6640625" bestFit="1" customWidth="1"/>
    <col min="100" max="100" width="5" bestFit="1" customWidth="1"/>
    <col min="101" max="101" width="7.6640625" bestFit="1" customWidth="1"/>
    <col min="102" max="102" width="5" bestFit="1" customWidth="1"/>
    <col min="103" max="103" width="7.6640625" bestFit="1" customWidth="1"/>
    <col min="104" max="104" width="5" bestFit="1" customWidth="1"/>
    <col min="105" max="105" width="7.6640625" bestFit="1" customWidth="1"/>
    <col min="106" max="106" width="5" bestFit="1" customWidth="1"/>
    <col min="107" max="107" width="7.6640625" bestFit="1" customWidth="1"/>
    <col min="108" max="108" width="5" bestFit="1" customWidth="1"/>
    <col min="109" max="109" width="7.6640625" bestFit="1" customWidth="1"/>
    <col min="110" max="110" width="5" bestFit="1" customWidth="1"/>
    <col min="111" max="111" width="7.6640625" bestFit="1" customWidth="1"/>
    <col min="112" max="112" width="5" bestFit="1" customWidth="1"/>
    <col min="113" max="113" width="7.6640625" bestFit="1" customWidth="1"/>
    <col min="114" max="114" width="5" bestFit="1" customWidth="1"/>
    <col min="115" max="115" width="7.6640625" bestFit="1" customWidth="1"/>
    <col min="116" max="116" width="5" bestFit="1" customWidth="1"/>
    <col min="117" max="117" width="7.6640625" bestFit="1" customWidth="1"/>
    <col min="118" max="118" width="5" bestFit="1" customWidth="1"/>
    <col min="119" max="119" width="7.6640625" bestFit="1" customWidth="1"/>
    <col min="120" max="120" width="5" bestFit="1" customWidth="1"/>
    <col min="121" max="121" width="7.6640625" bestFit="1" customWidth="1"/>
    <col min="122" max="122" width="5" bestFit="1" customWidth="1"/>
    <col min="123" max="123" width="7.6640625" bestFit="1" customWidth="1"/>
    <col min="124" max="124" width="5" bestFit="1" customWidth="1"/>
    <col min="125" max="125" width="7.6640625" bestFit="1" customWidth="1"/>
    <col min="126" max="126" width="5" bestFit="1" customWidth="1"/>
    <col min="127" max="127" width="7.6640625" bestFit="1" customWidth="1"/>
    <col min="128" max="128" width="5" bestFit="1" customWidth="1"/>
    <col min="129" max="129" width="7.6640625" bestFit="1" customWidth="1"/>
    <col min="130" max="130" width="5" bestFit="1" customWidth="1"/>
    <col min="131" max="131" width="7.6640625" bestFit="1" customWidth="1"/>
    <col min="132" max="132" width="5" bestFit="1" customWidth="1"/>
    <col min="133" max="133" width="7.6640625" bestFit="1" customWidth="1"/>
    <col min="134" max="134" width="5" bestFit="1" customWidth="1"/>
    <col min="135" max="135" width="7.6640625" bestFit="1" customWidth="1"/>
    <col min="136" max="136" width="5" bestFit="1" customWidth="1"/>
    <col min="137" max="137" width="7.6640625" bestFit="1" customWidth="1"/>
    <col min="138" max="138" width="5" bestFit="1" customWidth="1"/>
    <col min="139" max="139" width="7.6640625" bestFit="1" customWidth="1"/>
    <col min="140" max="140" width="5" bestFit="1" customWidth="1"/>
    <col min="141" max="141" width="7.6640625" bestFit="1" customWidth="1"/>
    <col min="142" max="142" width="5" bestFit="1" customWidth="1"/>
    <col min="143" max="143" width="7.6640625" bestFit="1" customWidth="1"/>
    <col min="144" max="144" width="5" bestFit="1" customWidth="1"/>
    <col min="145" max="145" width="7.6640625" bestFit="1" customWidth="1"/>
    <col min="146" max="146" width="5" bestFit="1" customWidth="1"/>
    <col min="147" max="147" width="7.6640625" bestFit="1" customWidth="1"/>
    <col min="148" max="148" width="5" bestFit="1" customWidth="1"/>
    <col min="149" max="149" width="7.6640625" bestFit="1" customWidth="1"/>
    <col min="150" max="150" width="5" bestFit="1" customWidth="1"/>
    <col min="151" max="151" width="7.6640625" bestFit="1" customWidth="1"/>
    <col min="152" max="152" width="5" bestFit="1" customWidth="1"/>
    <col min="153" max="153" width="7.6640625" bestFit="1" customWidth="1"/>
    <col min="154" max="154" width="5" bestFit="1" customWidth="1"/>
    <col min="155" max="155" width="7.6640625" bestFit="1" customWidth="1"/>
    <col min="156" max="156" width="5" bestFit="1" customWidth="1"/>
    <col min="157" max="157" width="7.6640625" bestFit="1" customWidth="1"/>
    <col min="158" max="158" width="5" bestFit="1" customWidth="1"/>
    <col min="159" max="159" width="7.6640625" bestFit="1" customWidth="1"/>
    <col min="160" max="160" width="5" bestFit="1" customWidth="1"/>
    <col min="161" max="161" width="7.6640625" bestFit="1" customWidth="1"/>
    <col min="162" max="162" width="5" bestFit="1" customWidth="1"/>
    <col min="163" max="163" width="7.6640625" bestFit="1" customWidth="1"/>
    <col min="164" max="164" width="5" bestFit="1" customWidth="1"/>
    <col min="165" max="165" width="7.6640625" bestFit="1" customWidth="1"/>
    <col min="166" max="166" width="5" bestFit="1" customWidth="1"/>
    <col min="167" max="167" width="7.6640625" bestFit="1" customWidth="1"/>
    <col min="168" max="168" width="5" bestFit="1" customWidth="1"/>
    <col min="169" max="169" width="7.6640625" bestFit="1" customWidth="1"/>
    <col min="170" max="170" width="5" bestFit="1" customWidth="1"/>
    <col min="171" max="171" width="7.6640625" bestFit="1" customWidth="1"/>
    <col min="172" max="172" width="5" bestFit="1" customWidth="1"/>
    <col min="173" max="173" width="7.6640625" bestFit="1" customWidth="1"/>
    <col min="174" max="174" width="5" bestFit="1" customWidth="1"/>
    <col min="175" max="175" width="7.6640625" bestFit="1" customWidth="1"/>
    <col min="176" max="176" width="5" bestFit="1" customWidth="1"/>
    <col min="177" max="177" width="7.6640625" bestFit="1" customWidth="1"/>
    <col min="178" max="178" width="5" bestFit="1" customWidth="1"/>
    <col min="179" max="179" width="7.6640625" bestFit="1" customWidth="1"/>
    <col min="180" max="180" width="5" bestFit="1" customWidth="1"/>
    <col min="181" max="181" width="7.6640625" bestFit="1" customWidth="1"/>
    <col min="182" max="182" width="5" bestFit="1" customWidth="1"/>
    <col min="183" max="183" width="7.6640625" bestFit="1" customWidth="1"/>
    <col min="184" max="184" width="5" bestFit="1" customWidth="1"/>
    <col min="185" max="185" width="7.6640625" bestFit="1" customWidth="1"/>
    <col min="186" max="186" width="5" bestFit="1" customWidth="1"/>
    <col min="187" max="187" width="7.6640625" bestFit="1" customWidth="1"/>
    <col min="188" max="188" width="5" bestFit="1" customWidth="1"/>
    <col min="189" max="189" width="7.6640625" bestFit="1" customWidth="1"/>
    <col min="190" max="190" width="5" bestFit="1" customWidth="1"/>
    <col min="191" max="191" width="7.6640625" bestFit="1" customWidth="1"/>
    <col min="192" max="192" width="5" bestFit="1" customWidth="1"/>
    <col min="193" max="193" width="7.6640625" bestFit="1" customWidth="1"/>
    <col min="194" max="194" width="5" bestFit="1" customWidth="1"/>
    <col min="195" max="195" width="7.6640625" bestFit="1" customWidth="1"/>
    <col min="196" max="196" width="5" bestFit="1" customWidth="1"/>
    <col min="197" max="197" width="7.6640625" bestFit="1" customWidth="1"/>
    <col min="198" max="198" width="5" bestFit="1" customWidth="1"/>
    <col min="199" max="199" width="7.6640625" bestFit="1" customWidth="1"/>
    <col min="200" max="200" width="6" bestFit="1" customWidth="1"/>
    <col min="201" max="201" width="8.6640625" bestFit="1" customWidth="1"/>
    <col min="202" max="202" width="6" bestFit="1" customWidth="1"/>
    <col min="203" max="203" width="8.6640625" bestFit="1" customWidth="1"/>
    <col min="204" max="204" width="6" bestFit="1" customWidth="1"/>
    <col min="205" max="205" width="8.6640625" bestFit="1" customWidth="1"/>
    <col min="206" max="206" width="6" bestFit="1" customWidth="1"/>
    <col min="207" max="207" width="8.6640625" bestFit="1" customWidth="1"/>
    <col min="208" max="208" width="6" bestFit="1" customWidth="1"/>
    <col min="209" max="209" width="8.6640625" bestFit="1" customWidth="1"/>
    <col min="210" max="210" width="6" bestFit="1" customWidth="1"/>
    <col min="211" max="211" width="8.6640625" bestFit="1" customWidth="1"/>
    <col min="212" max="212" width="6" bestFit="1" customWidth="1"/>
    <col min="213" max="213" width="8.6640625" bestFit="1" customWidth="1"/>
    <col min="214" max="214" width="6" bestFit="1" customWidth="1"/>
    <col min="215" max="215" width="8.6640625" bestFit="1" customWidth="1"/>
    <col min="216" max="216" width="6" bestFit="1" customWidth="1"/>
    <col min="217" max="217" width="8.6640625" bestFit="1" customWidth="1"/>
    <col min="218" max="218" width="6" bestFit="1" customWidth="1"/>
    <col min="219" max="219" width="8.6640625" bestFit="1" customWidth="1"/>
    <col min="220" max="220" width="6" bestFit="1" customWidth="1"/>
    <col min="221" max="221" width="8.6640625" bestFit="1" customWidth="1"/>
    <col min="222" max="222" width="6" bestFit="1" customWidth="1"/>
    <col min="223" max="223" width="8.6640625" bestFit="1" customWidth="1"/>
    <col min="224" max="224" width="6" bestFit="1" customWidth="1"/>
    <col min="225" max="225" width="8.6640625" bestFit="1" customWidth="1"/>
    <col min="226" max="226" width="6" bestFit="1" customWidth="1"/>
    <col min="227" max="227" width="8.6640625" bestFit="1" customWidth="1"/>
    <col min="228" max="228" width="6" bestFit="1" customWidth="1"/>
    <col min="229" max="229" width="8.6640625" bestFit="1" customWidth="1"/>
    <col min="230" max="230" width="6" bestFit="1" customWidth="1"/>
    <col min="231" max="231" width="8.6640625" bestFit="1" customWidth="1"/>
    <col min="232" max="232" width="6" bestFit="1" customWidth="1"/>
    <col min="233" max="233" width="8.6640625" bestFit="1" customWidth="1"/>
    <col min="234" max="234" width="6" bestFit="1" customWidth="1"/>
    <col min="235" max="235" width="8.6640625" bestFit="1" customWidth="1"/>
    <col min="236" max="236" width="6" bestFit="1" customWidth="1"/>
    <col min="237" max="237" width="8.6640625" bestFit="1" customWidth="1"/>
    <col min="238" max="238" width="6" bestFit="1" customWidth="1"/>
    <col min="239" max="239" width="8.6640625" bestFit="1" customWidth="1"/>
    <col min="240" max="240" width="6" bestFit="1" customWidth="1"/>
    <col min="241" max="241" width="8.6640625" bestFit="1" customWidth="1"/>
    <col min="242" max="242" width="6" bestFit="1" customWidth="1"/>
    <col min="243" max="243" width="8.6640625" bestFit="1" customWidth="1"/>
    <col min="244" max="244" width="6" bestFit="1" customWidth="1"/>
    <col min="245" max="245" width="8.6640625" bestFit="1" customWidth="1"/>
    <col min="246" max="246" width="6" bestFit="1" customWidth="1"/>
    <col min="247" max="247" width="8.6640625" bestFit="1" customWidth="1"/>
    <col min="248" max="248" width="6" bestFit="1" customWidth="1"/>
    <col min="249" max="249" width="8.6640625" bestFit="1" customWidth="1"/>
    <col min="250" max="250" width="6" bestFit="1" customWidth="1"/>
    <col min="251" max="251" width="8.6640625" bestFit="1" customWidth="1"/>
    <col min="252" max="252" width="6" bestFit="1" customWidth="1"/>
    <col min="253" max="253" width="8.6640625" bestFit="1" customWidth="1"/>
    <col min="254" max="254" width="6" bestFit="1" customWidth="1"/>
    <col min="255" max="255" width="8.6640625" bestFit="1" customWidth="1"/>
    <col min="256" max="256" width="6" bestFit="1" customWidth="1"/>
    <col min="257" max="257" width="8.6640625" bestFit="1" customWidth="1"/>
    <col min="258" max="258" width="6" bestFit="1" customWidth="1"/>
    <col min="259" max="259" width="8.6640625" bestFit="1" customWidth="1"/>
    <col min="260" max="260" width="6" bestFit="1" customWidth="1"/>
    <col min="261" max="261" width="8.6640625" bestFit="1" customWidth="1"/>
    <col min="262" max="262" width="6" bestFit="1" customWidth="1"/>
    <col min="263" max="263" width="8.6640625" bestFit="1" customWidth="1"/>
    <col min="264" max="264" width="6" bestFit="1" customWidth="1"/>
    <col min="265" max="265" width="8.6640625" bestFit="1" customWidth="1"/>
    <col min="266" max="266" width="6" bestFit="1" customWidth="1"/>
    <col min="267" max="267" width="8.6640625" bestFit="1" customWidth="1"/>
    <col min="268" max="268" width="6" bestFit="1" customWidth="1"/>
    <col min="269" max="269" width="8.6640625" bestFit="1" customWidth="1"/>
    <col min="270" max="270" width="6" bestFit="1" customWidth="1"/>
    <col min="271" max="271" width="8.6640625" bestFit="1" customWidth="1"/>
    <col min="272" max="272" width="6" bestFit="1" customWidth="1"/>
    <col min="273" max="273" width="8.6640625" bestFit="1" customWidth="1"/>
    <col min="274" max="274" width="6" bestFit="1" customWidth="1"/>
    <col min="275" max="275" width="8.6640625" bestFit="1" customWidth="1"/>
    <col min="276" max="276" width="6" bestFit="1" customWidth="1"/>
    <col min="277" max="277" width="8.6640625" bestFit="1" customWidth="1"/>
    <col min="278" max="278" width="6" bestFit="1" customWidth="1"/>
    <col min="279" max="279" width="8.6640625" bestFit="1" customWidth="1"/>
    <col min="280" max="280" width="6" bestFit="1" customWidth="1"/>
    <col min="281" max="281" width="8.6640625" bestFit="1" customWidth="1"/>
    <col min="282" max="282" width="6" bestFit="1" customWidth="1"/>
    <col min="283" max="283" width="8.6640625" bestFit="1" customWidth="1"/>
    <col min="284" max="284" width="6" bestFit="1" customWidth="1"/>
    <col min="285" max="285" width="8.6640625" bestFit="1" customWidth="1"/>
    <col min="286" max="286" width="6" bestFit="1" customWidth="1"/>
    <col min="287" max="287" width="8.6640625" bestFit="1" customWidth="1"/>
    <col min="288" max="288" width="6" bestFit="1" customWidth="1"/>
    <col min="289" max="289" width="8.6640625" bestFit="1" customWidth="1"/>
    <col min="290" max="290" width="6" bestFit="1" customWidth="1"/>
    <col min="291" max="291" width="8.6640625" bestFit="1" customWidth="1"/>
    <col min="292" max="292" width="6" bestFit="1" customWidth="1"/>
    <col min="293" max="293" width="8.6640625" bestFit="1" customWidth="1"/>
    <col min="294" max="294" width="6" bestFit="1" customWidth="1"/>
    <col min="295" max="295" width="8.6640625" bestFit="1" customWidth="1"/>
    <col min="296" max="296" width="6" bestFit="1" customWidth="1"/>
    <col min="297" max="297" width="8.6640625" bestFit="1" customWidth="1"/>
    <col min="298" max="298" width="6" bestFit="1" customWidth="1"/>
    <col min="299" max="299" width="8.6640625" bestFit="1" customWidth="1"/>
    <col min="300" max="300" width="6" bestFit="1" customWidth="1"/>
    <col min="301" max="301" width="8.6640625" bestFit="1" customWidth="1"/>
    <col min="302" max="302" width="6" bestFit="1" customWidth="1"/>
    <col min="303" max="303" width="8.6640625" bestFit="1" customWidth="1"/>
    <col min="304" max="304" width="6" bestFit="1" customWidth="1"/>
    <col min="305" max="305" width="8.6640625" bestFit="1" customWidth="1"/>
    <col min="306" max="306" width="6" bestFit="1" customWidth="1"/>
    <col min="307" max="307" width="8.6640625" bestFit="1" customWidth="1"/>
    <col min="308" max="308" width="6" bestFit="1" customWidth="1"/>
    <col min="309" max="309" width="8.6640625" bestFit="1" customWidth="1"/>
    <col min="310" max="310" width="6" bestFit="1" customWidth="1"/>
    <col min="311" max="311" width="8.6640625" bestFit="1" customWidth="1"/>
    <col min="312" max="312" width="6" bestFit="1" customWidth="1"/>
    <col min="313" max="313" width="8.6640625" bestFit="1" customWidth="1"/>
    <col min="314" max="314" width="6" bestFit="1" customWidth="1"/>
    <col min="315" max="315" width="8.6640625" bestFit="1" customWidth="1"/>
    <col min="316" max="316" width="6" bestFit="1" customWidth="1"/>
    <col min="317" max="317" width="8.6640625" bestFit="1" customWidth="1"/>
    <col min="318" max="318" width="6" bestFit="1" customWidth="1"/>
    <col min="319" max="319" width="8.6640625" bestFit="1" customWidth="1"/>
    <col min="320" max="320" width="6" bestFit="1" customWidth="1"/>
    <col min="321" max="321" width="8.6640625" bestFit="1" customWidth="1"/>
    <col min="322" max="322" width="6" bestFit="1" customWidth="1"/>
    <col min="323" max="323" width="8.6640625" bestFit="1" customWidth="1"/>
    <col min="324" max="324" width="6" bestFit="1" customWidth="1"/>
    <col min="325" max="325" width="8.6640625" bestFit="1" customWidth="1"/>
    <col min="326" max="326" width="6" bestFit="1" customWidth="1"/>
    <col min="327" max="327" width="8.6640625" bestFit="1" customWidth="1"/>
    <col min="328" max="328" width="6" bestFit="1" customWidth="1"/>
    <col min="329" max="329" width="8.6640625" bestFit="1" customWidth="1"/>
    <col min="330" max="330" width="6" bestFit="1" customWidth="1"/>
    <col min="331" max="331" width="8.6640625" bestFit="1" customWidth="1"/>
    <col min="332" max="332" width="6" bestFit="1" customWidth="1"/>
    <col min="333" max="333" width="8.6640625" bestFit="1" customWidth="1"/>
    <col min="334" max="334" width="6" bestFit="1" customWidth="1"/>
    <col min="335" max="335" width="8.6640625" bestFit="1" customWidth="1"/>
    <col min="336" max="336" width="6" bestFit="1" customWidth="1"/>
    <col min="337" max="337" width="8.6640625" bestFit="1" customWidth="1"/>
    <col min="338" max="338" width="6" bestFit="1" customWidth="1"/>
    <col min="339" max="339" width="8.6640625" bestFit="1" customWidth="1"/>
    <col min="340" max="340" width="6" bestFit="1" customWidth="1"/>
    <col min="341" max="341" width="8.6640625" bestFit="1" customWidth="1"/>
    <col min="342" max="342" width="6" bestFit="1" customWidth="1"/>
    <col min="343" max="343" width="8.6640625" bestFit="1" customWidth="1"/>
    <col min="344" max="344" width="6" bestFit="1" customWidth="1"/>
    <col min="345" max="345" width="8.6640625" bestFit="1" customWidth="1"/>
    <col min="346" max="346" width="6" bestFit="1" customWidth="1"/>
    <col min="347" max="347" width="8.6640625" bestFit="1" customWidth="1"/>
    <col min="348" max="348" width="6" bestFit="1" customWidth="1"/>
    <col min="349" max="349" width="8.6640625" bestFit="1" customWidth="1"/>
    <col min="350" max="350" width="6" bestFit="1" customWidth="1"/>
    <col min="351" max="351" width="8.6640625" bestFit="1" customWidth="1"/>
    <col min="352" max="352" width="6" bestFit="1" customWidth="1"/>
    <col min="353" max="353" width="8.6640625" bestFit="1" customWidth="1"/>
    <col min="354" max="354" width="6" bestFit="1" customWidth="1"/>
    <col min="355" max="355" width="8.6640625" bestFit="1" customWidth="1"/>
    <col min="356" max="356" width="6" bestFit="1" customWidth="1"/>
    <col min="357" max="357" width="8.6640625" bestFit="1" customWidth="1"/>
    <col min="358" max="358" width="6" bestFit="1" customWidth="1"/>
    <col min="359" max="359" width="8.6640625" bestFit="1" customWidth="1"/>
    <col min="360" max="360" width="6" bestFit="1" customWidth="1"/>
    <col min="361" max="361" width="8.6640625" bestFit="1" customWidth="1"/>
    <col min="362" max="362" width="6" bestFit="1" customWidth="1"/>
    <col min="363" max="363" width="8.6640625" bestFit="1" customWidth="1"/>
    <col min="364" max="364" width="6" bestFit="1" customWidth="1"/>
    <col min="365" max="365" width="8.6640625" bestFit="1" customWidth="1"/>
    <col min="366" max="366" width="6" bestFit="1" customWidth="1"/>
    <col min="367" max="367" width="8.6640625" bestFit="1" customWidth="1"/>
    <col min="368" max="368" width="6" bestFit="1" customWidth="1"/>
    <col min="369" max="369" width="8.6640625" bestFit="1" customWidth="1"/>
    <col min="370" max="370" width="6" bestFit="1" customWidth="1"/>
    <col min="371" max="371" width="8.6640625" bestFit="1" customWidth="1"/>
    <col min="372" max="372" width="6" bestFit="1" customWidth="1"/>
    <col min="373" max="373" width="8.6640625" bestFit="1" customWidth="1"/>
    <col min="374" max="374" width="6" bestFit="1" customWidth="1"/>
    <col min="375" max="375" width="8.6640625" bestFit="1" customWidth="1"/>
    <col min="376" max="376" width="6" bestFit="1" customWidth="1"/>
    <col min="377" max="377" width="8.6640625" bestFit="1" customWidth="1"/>
    <col min="378" max="378" width="6" bestFit="1" customWidth="1"/>
    <col min="379" max="379" width="8.6640625" bestFit="1" customWidth="1"/>
    <col min="380" max="380" width="6" bestFit="1" customWidth="1"/>
    <col min="381" max="381" width="8.6640625" bestFit="1" customWidth="1"/>
    <col min="382" max="382" width="6" bestFit="1" customWidth="1"/>
    <col min="383" max="383" width="8.6640625" bestFit="1" customWidth="1"/>
    <col min="384" max="384" width="6" bestFit="1" customWidth="1"/>
    <col min="385" max="385" width="8.6640625" bestFit="1" customWidth="1"/>
    <col min="386" max="386" width="6" bestFit="1" customWidth="1"/>
    <col min="387" max="387" width="8.6640625" bestFit="1" customWidth="1"/>
    <col min="388" max="388" width="6" bestFit="1" customWidth="1"/>
    <col min="389" max="389" width="8.6640625" bestFit="1" customWidth="1"/>
    <col min="390" max="390" width="6" bestFit="1" customWidth="1"/>
    <col min="391" max="391" width="8.6640625" bestFit="1" customWidth="1"/>
    <col min="392" max="392" width="6" bestFit="1" customWidth="1"/>
    <col min="393" max="393" width="8.6640625" bestFit="1" customWidth="1"/>
    <col min="394" max="394" width="6" bestFit="1" customWidth="1"/>
    <col min="395" max="395" width="8.6640625" bestFit="1" customWidth="1"/>
    <col min="396" max="396" width="6" bestFit="1" customWidth="1"/>
    <col min="397" max="397" width="8.6640625" bestFit="1" customWidth="1"/>
    <col min="398" max="398" width="6" bestFit="1" customWidth="1"/>
    <col min="399" max="399" width="8.6640625" bestFit="1" customWidth="1"/>
    <col min="400" max="400" width="6" bestFit="1" customWidth="1"/>
    <col min="401" max="401" width="8.6640625" bestFit="1" customWidth="1"/>
    <col min="402" max="402" width="6" bestFit="1" customWidth="1"/>
    <col min="403" max="403" width="8.6640625" bestFit="1" customWidth="1"/>
    <col min="404" max="404" width="6" bestFit="1" customWidth="1"/>
    <col min="405" max="405" width="8.6640625" bestFit="1" customWidth="1"/>
    <col min="406" max="406" width="6" bestFit="1" customWidth="1"/>
    <col min="407" max="407" width="8.6640625" bestFit="1" customWidth="1"/>
    <col min="408" max="408" width="6" bestFit="1" customWidth="1"/>
    <col min="409" max="409" width="8.6640625" bestFit="1" customWidth="1"/>
    <col min="410" max="410" width="6" bestFit="1" customWidth="1"/>
    <col min="411" max="411" width="8.6640625" bestFit="1" customWidth="1"/>
    <col min="412" max="412" width="6" bestFit="1" customWidth="1"/>
    <col min="413" max="413" width="8.6640625" bestFit="1" customWidth="1"/>
    <col min="414" max="414" width="6" bestFit="1" customWidth="1"/>
    <col min="415" max="415" width="8.6640625" bestFit="1" customWidth="1"/>
    <col min="416" max="416" width="6" bestFit="1" customWidth="1"/>
    <col min="417" max="417" width="8.6640625" bestFit="1" customWidth="1"/>
    <col min="418" max="418" width="6" bestFit="1" customWidth="1"/>
    <col min="419" max="419" width="8.6640625" bestFit="1" customWidth="1"/>
    <col min="420" max="420" width="6" bestFit="1" customWidth="1"/>
    <col min="421" max="421" width="8.6640625" bestFit="1" customWidth="1"/>
    <col min="422" max="422" width="6" bestFit="1" customWidth="1"/>
    <col min="423" max="423" width="8.6640625" bestFit="1" customWidth="1"/>
    <col min="424" max="424" width="6" bestFit="1" customWidth="1"/>
    <col min="425" max="425" width="8.6640625" bestFit="1" customWidth="1"/>
    <col min="426" max="426" width="6" bestFit="1" customWidth="1"/>
    <col min="427" max="427" width="8.6640625" bestFit="1" customWidth="1"/>
    <col min="428" max="428" width="6" bestFit="1" customWidth="1"/>
    <col min="429" max="429" width="8.6640625" bestFit="1" customWidth="1"/>
    <col min="430" max="430" width="6" bestFit="1" customWidth="1"/>
    <col min="431" max="431" width="8.6640625" bestFit="1" customWidth="1"/>
    <col min="432" max="432" width="6" bestFit="1" customWidth="1"/>
    <col min="433" max="433" width="8.6640625" bestFit="1" customWidth="1"/>
    <col min="434" max="434" width="6" bestFit="1" customWidth="1"/>
    <col min="435" max="435" width="8.6640625" bestFit="1" customWidth="1"/>
    <col min="436" max="436" width="6" bestFit="1" customWidth="1"/>
    <col min="437" max="437" width="8.6640625" bestFit="1" customWidth="1"/>
    <col min="438" max="438" width="6" bestFit="1" customWidth="1"/>
    <col min="439" max="439" width="8.6640625" bestFit="1" customWidth="1"/>
    <col min="440" max="440" width="6" bestFit="1" customWidth="1"/>
    <col min="441" max="441" width="8.6640625" bestFit="1" customWidth="1"/>
    <col min="442" max="442" width="6" bestFit="1" customWidth="1"/>
    <col min="443" max="443" width="8.6640625" bestFit="1" customWidth="1"/>
    <col min="444" max="444" width="6" bestFit="1" customWidth="1"/>
    <col min="445" max="445" width="8.6640625" bestFit="1" customWidth="1"/>
    <col min="446" max="446" width="6" bestFit="1" customWidth="1"/>
    <col min="447" max="447" width="8.6640625" bestFit="1" customWidth="1"/>
    <col min="448" max="448" width="6" bestFit="1" customWidth="1"/>
    <col min="449" max="449" width="8.6640625" bestFit="1" customWidth="1"/>
    <col min="450" max="450" width="6" bestFit="1" customWidth="1"/>
    <col min="451" max="451" width="8.6640625" bestFit="1" customWidth="1"/>
    <col min="452" max="452" width="6" bestFit="1" customWidth="1"/>
    <col min="453" max="453" width="8.6640625" bestFit="1" customWidth="1"/>
    <col min="454" max="454" width="6" bestFit="1" customWidth="1"/>
    <col min="455" max="455" width="8.6640625" bestFit="1" customWidth="1"/>
    <col min="456" max="456" width="6" bestFit="1" customWidth="1"/>
    <col min="457" max="457" width="8.6640625" bestFit="1" customWidth="1"/>
    <col min="458" max="458" width="6" bestFit="1" customWidth="1"/>
    <col min="459" max="459" width="8.6640625" bestFit="1" customWidth="1"/>
    <col min="460" max="460" width="6" bestFit="1" customWidth="1"/>
    <col min="461" max="461" width="8.6640625" bestFit="1" customWidth="1"/>
    <col min="462" max="462" width="6" bestFit="1" customWidth="1"/>
    <col min="463" max="463" width="8.6640625" bestFit="1" customWidth="1"/>
    <col min="464" max="464" width="6" bestFit="1" customWidth="1"/>
    <col min="465" max="465" width="8.6640625" bestFit="1" customWidth="1"/>
    <col min="466" max="466" width="6" bestFit="1" customWidth="1"/>
    <col min="467" max="467" width="8.6640625" bestFit="1" customWidth="1"/>
    <col min="468" max="468" width="6" bestFit="1" customWidth="1"/>
    <col min="469" max="469" width="8.6640625" bestFit="1" customWidth="1"/>
    <col min="470" max="470" width="6" bestFit="1" customWidth="1"/>
    <col min="471" max="471" width="8.6640625" bestFit="1" customWidth="1"/>
    <col min="472" max="472" width="6" bestFit="1" customWidth="1"/>
    <col min="473" max="473" width="8.6640625" bestFit="1" customWidth="1"/>
    <col min="474" max="474" width="6" bestFit="1" customWidth="1"/>
    <col min="475" max="475" width="8.6640625" bestFit="1" customWidth="1"/>
    <col min="476" max="476" width="6" bestFit="1" customWidth="1"/>
    <col min="477" max="477" width="8.6640625" bestFit="1" customWidth="1"/>
    <col min="478" max="478" width="6" bestFit="1" customWidth="1"/>
    <col min="479" max="479" width="8.6640625" bestFit="1" customWidth="1"/>
    <col min="480" max="480" width="6" bestFit="1" customWidth="1"/>
    <col min="481" max="481" width="8.6640625" bestFit="1" customWidth="1"/>
    <col min="482" max="482" width="6" bestFit="1" customWidth="1"/>
    <col min="483" max="483" width="8.6640625" bestFit="1" customWidth="1"/>
    <col min="484" max="484" width="6" bestFit="1" customWidth="1"/>
    <col min="485" max="485" width="8.6640625" bestFit="1" customWidth="1"/>
    <col min="486" max="486" width="6" bestFit="1" customWidth="1"/>
    <col min="487" max="487" width="8.6640625" bestFit="1" customWidth="1"/>
    <col min="488" max="488" width="6" bestFit="1" customWidth="1"/>
    <col min="489" max="489" width="8.6640625" bestFit="1" customWidth="1"/>
    <col min="490" max="490" width="6" bestFit="1" customWidth="1"/>
    <col min="491" max="491" width="8.6640625" bestFit="1" customWidth="1"/>
    <col min="492" max="492" width="6" bestFit="1" customWidth="1"/>
    <col min="493" max="493" width="8.6640625" bestFit="1" customWidth="1"/>
    <col min="494" max="494" width="6" bestFit="1" customWidth="1"/>
    <col min="495" max="495" width="8.6640625" bestFit="1" customWidth="1"/>
    <col min="496" max="496" width="6" bestFit="1" customWidth="1"/>
    <col min="497" max="497" width="8.6640625" bestFit="1" customWidth="1"/>
    <col min="498" max="498" width="6" bestFit="1" customWidth="1"/>
    <col min="499" max="499" width="8.6640625" bestFit="1" customWidth="1"/>
    <col min="500" max="500" width="6" bestFit="1" customWidth="1"/>
    <col min="501" max="501" width="8.6640625" bestFit="1" customWidth="1"/>
    <col min="502" max="502" width="6" bestFit="1" customWidth="1"/>
    <col min="503" max="503" width="8.6640625" bestFit="1" customWidth="1"/>
    <col min="504" max="504" width="6" bestFit="1" customWidth="1"/>
    <col min="505" max="505" width="8.6640625" bestFit="1" customWidth="1"/>
    <col min="506" max="506" width="6" bestFit="1" customWidth="1"/>
    <col min="507" max="507" width="8.6640625" bestFit="1" customWidth="1"/>
    <col min="508" max="508" width="6" bestFit="1" customWidth="1"/>
    <col min="509" max="509" width="8.6640625" bestFit="1" customWidth="1"/>
    <col min="510" max="510" width="6" bestFit="1" customWidth="1"/>
    <col min="511" max="511" width="8.6640625" bestFit="1" customWidth="1"/>
    <col min="512" max="512" width="6" bestFit="1" customWidth="1"/>
    <col min="513" max="513" width="8.6640625" bestFit="1" customWidth="1"/>
    <col min="514" max="514" width="6" bestFit="1" customWidth="1"/>
    <col min="515" max="515" width="8.6640625" bestFit="1" customWidth="1"/>
    <col min="516" max="516" width="6" bestFit="1" customWidth="1"/>
    <col min="517" max="517" width="8.6640625" bestFit="1" customWidth="1"/>
    <col min="518" max="518" width="6" bestFit="1" customWidth="1"/>
    <col min="519" max="519" width="8.6640625" bestFit="1" customWidth="1"/>
    <col min="520" max="520" width="6" bestFit="1" customWidth="1"/>
    <col min="521" max="521" width="8.6640625" bestFit="1" customWidth="1"/>
    <col min="522" max="522" width="6" bestFit="1" customWidth="1"/>
    <col min="523" max="523" width="8.6640625" bestFit="1" customWidth="1"/>
    <col min="524" max="524" width="6" bestFit="1" customWidth="1"/>
    <col min="525" max="525" width="8.6640625" bestFit="1" customWidth="1"/>
    <col min="526" max="526" width="6" bestFit="1" customWidth="1"/>
    <col min="527" max="527" width="8.6640625" bestFit="1" customWidth="1"/>
    <col min="528" max="528" width="6" bestFit="1" customWidth="1"/>
    <col min="529" max="529" width="8.6640625" bestFit="1" customWidth="1"/>
    <col min="530" max="530" width="6" bestFit="1" customWidth="1"/>
    <col min="531" max="531" width="8.6640625" bestFit="1" customWidth="1"/>
    <col min="532" max="532" width="6" bestFit="1" customWidth="1"/>
    <col min="533" max="533" width="8.6640625" bestFit="1" customWidth="1"/>
    <col min="534" max="534" width="6" bestFit="1" customWidth="1"/>
    <col min="535" max="535" width="8.6640625" bestFit="1" customWidth="1"/>
    <col min="536" max="536" width="6" bestFit="1" customWidth="1"/>
    <col min="537" max="537" width="8.6640625" bestFit="1" customWidth="1"/>
    <col min="538" max="538" width="6" bestFit="1" customWidth="1"/>
    <col min="539" max="539" width="8.6640625" bestFit="1" customWidth="1"/>
    <col min="540" max="540" width="6" bestFit="1" customWidth="1"/>
    <col min="541" max="541" width="8.6640625" bestFit="1" customWidth="1"/>
    <col min="542" max="542" width="6" bestFit="1" customWidth="1"/>
    <col min="543" max="543" width="8.6640625" bestFit="1" customWidth="1"/>
    <col min="544" max="544" width="6" bestFit="1" customWidth="1"/>
    <col min="545" max="545" width="8.6640625" bestFit="1" customWidth="1"/>
    <col min="546" max="546" width="6" bestFit="1" customWidth="1"/>
    <col min="547" max="547" width="8.6640625" bestFit="1" customWidth="1"/>
    <col min="548" max="548" width="6" bestFit="1" customWidth="1"/>
    <col min="549" max="549" width="8.6640625" bestFit="1" customWidth="1"/>
    <col min="550" max="550" width="6" bestFit="1" customWidth="1"/>
    <col min="551" max="551" width="8.6640625" bestFit="1" customWidth="1"/>
    <col min="552" max="552" width="6" bestFit="1" customWidth="1"/>
    <col min="553" max="553" width="8.6640625" bestFit="1" customWidth="1"/>
    <col min="554" max="554" width="6" bestFit="1" customWidth="1"/>
    <col min="555" max="555" width="8.6640625" bestFit="1" customWidth="1"/>
    <col min="556" max="556" width="6" bestFit="1" customWidth="1"/>
    <col min="557" max="557" width="8.6640625" bestFit="1" customWidth="1"/>
    <col min="558" max="558" width="6" bestFit="1" customWidth="1"/>
    <col min="559" max="559" width="8.6640625" bestFit="1" customWidth="1"/>
    <col min="560" max="560" width="6" bestFit="1" customWidth="1"/>
    <col min="561" max="561" width="8.6640625" bestFit="1" customWidth="1"/>
    <col min="562" max="562" width="6" bestFit="1" customWidth="1"/>
    <col min="563" max="563" width="8.6640625" bestFit="1" customWidth="1"/>
    <col min="564" max="564" width="6" bestFit="1" customWidth="1"/>
    <col min="565" max="565" width="8.6640625" bestFit="1" customWidth="1"/>
    <col min="566" max="566" width="6" bestFit="1" customWidth="1"/>
    <col min="567" max="567" width="8.6640625" bestFit="1" customWidth="1"/>
    <col min="568" max="568" width="6" bestFit="1" customWidth="1"/>
    <col min="569" max="569" width="8.6640625" bestFit="1" customWidth="1"/>
    <col min="570" max="570" width="6" bestFit="1" customWidth="1"/>
    <col min="571" max="571" width="8.6640625" bestFit="1" customWidth="1"/>
    <col min="572" max="572" width="6" bestFit="1" customWidth="1"/>
    <col min="573" max="573" width="8.6640625" bestFit="1" customWidth="1"/>
    <col min="574" max="574" width="6" bestFit="1" customWidth="1"/>
    <col min="575" max="575" width="8.6640625" bestFit="1" customWidth="1"/>
    <col min="576" max="576" width="6" bestFit="1" customWidth="1"/>
    <col min="577" max="577" width="8.6640625" bestFit="1" customWidth="1"/>
    <col min="578" max="578" width="6" bestFit="1" customWidth="1"/>
    <col min="579" max="579" width="8.6640625" bestFit="1" customWidth="1"/>
    <col min="580" max="580" width="6" bestFit="1" customWidth="1"/>
    <col min="581" max="581" width="8.6640625" bestFit="1" customWidth="1"/>
    <col min="582" max="582" width="6" bestFit="1" customWidth="1"/>
    <col min="583" max="583" width="8.6640625" bestFit="1" customWidth="1"/>
    <col min="584" max="584" width="6" bestFit="1" customWidth="1"/>
    <col min="585" max="585" width="8.6640625" bestFit="1" customWidth="1"/>
    <col min="586" max="586" width="6" bestFit="1" customWidth="1"/>
    <col min="587" max="587" width="8.6640625" bestFit="1" customWidth="1"/>
    <col min="588" max="588" width="6" bestFit="1" customWidth="1"/>
    <col min="589" max="589" width="8.6640625" bestFit="1" customWidth="1"/>
    <col min="590" max="590" width="6" bestFit="1" customWidth="1"/>
    <col min="591" max="591" width="8.6640625" bestFit="1" customWidth="1"/>
    <col min="592" max="592" width="6" bestFit="1" customWidth="1"/>
    <col min="593" max="593" width="8.6640625" bestFit="1" customWidth="1"/>
    <col min="594" max="594" width="6" bestFit="1" customWidth="1"/>
    <col min="595" max="595" width="8.6640625" bestFit="1" customWidth="1"/>
    <col min="596" max="596" width="6" bestFit="1" customWidth="1"/>
    <col min="597" max="597" width="8.6640625" bestFit="1" customWidth="1"/>
    <col min="598" max="598" width="6" bestFit="1" customWidth="1"/>
    <col min="599" max="599" width="8.6640625" bestFit="1" customWidth="1"/>
    <col min="600" max="600" width="6" bestFit="1" customWidth="1"/>
    <col min="601" max="601" width="8.6640625" bestFit="1" customWidth="1"/>
    <col min="602" max="602" width="6" bestFit="1" customWidth="1"/>
    <col min="603" max="603" width="8.6640625" bestFit="1" customWidth="1"/>
    <col min="604" max="604" width="6" bestFit="1" customWidth="1"/>
    <col min="605" max="605" width="8.6640625" bestFit="1" customWidth="1"/>
    <col min="606" max="606" width="6" bestFit="1" customWidth="1"/>
    <col min="607" max="607" width="8.6640625" bestFit="1" customWidth="1"/>
    <col min="608" max="608" width="6" bestFit="1" customWidth="1"/>
    <col min="609" max="609" width="8.6640625" bestFit="1" customWidth="1"/>
    <col min="610" max="610" width="6" bestFit="1" customWidth="1"/>
    <col min="611" max="611" width="8.6640625" bestFit="1" customWidth="1"/>
    <col min="612" max="612" width="6" bestFit="1" customWidth="1"/>
    <col min="613" max="613" width="8.6640625" bestFit="1" customWidth="1"/>
    <col min="614" max="614" width="6" bestFit="1" customWidth="1"/>
    <col min="615" max="615" width="8.6640625" bestFit="1" customWidth="1"/>
    <col min="616" max="616" width="6" bestFit="1" customWidth="1"/>
    <col min="617" max="617" width="8.6640625" bestFit="1" customWidth="1"/>
    <col min="618" max="618" width="6" bestFit="1" customWidth="1"/>
    <col min="619" max="619" width="8.6640625" bestFit="1" customWidth="1"/>
    <col min="620" max="620" width="6" bestFit="1" customWidth="1"/>
    <col min="621" max="621" width="8.6640625" bestFit="1" customWidth="1"/>
    <col min="622" max="622" width="6" bestFit="1" customWidth="1"/>
    <col min="623" max="623" width="8.6640625" bestFit="1" customWidth="1"/>
    <col min="624" max="624" width="6" bestFit="1" customWidth="1"/>
    <col min="625" max="625" width="8.6640625" bestFit="1" customWidth="1"/>
    <col min="626" max="626" width="6" bestFit="1" customWidth="1"/>
    <col min="627" max="627" width="8.6640625" bestFit="1" customWidth="1"/>
    <col min="628" max="628" width="6" bestFit="1" customWidth="1"/>
    <col min="629" max="629" width="8.6640625" bestFit="1" customWidth="1"/>
    <col min="630" max="630" width="6" bestFit="1" customWidth="1"/>
    <col min="631" max="631" width="8.6640625" bestFit="1" customWidth="1"/>
    <col min="632" max="632" width="6" bestFit="1" customWidth="1"/>
    <col min="633" max="633" width="8.6640625" bestFit="1" customWidth="1"/>
    <col min="634" max="634" width="6" bestFit="1" customWidth="1"/>
    <col min="635" max="635" width="8.6640625" bestFit="1" customWidth="1"/>
    <col min="636" max="636" width="6" bestFit="1" customWidth="1"/>
    <col min="637" max="637" width="8.6640625" bestFit="1" customWidth="1"/>
    <col min="638" max="638" width="6" bestFit="1" customWidth="1"/>
    <col min="639" max="639" width="8.6640625" bestFit="1" customWidth="1"/>
    <col min="640" max="640" width="6" bestFit="1" customWidth="1"/>
    <col min="641" max="641" width="8.6640625" bestFit="1" customWidth="1"/>
    <col min="642" max="642" width="6" bestFit="1" customWidth="1"/>
    <col min="643" max="643" width="8.6640625" bestFit="1" customWidth="1"/>
    <col min="644" max="644" width="6" bestFit="1" customWidth="1"/>
    <col min="645" max="645" width="8.6640625" bestFit="1" customWidth="1"/>
    <col min="646" max="646" width="6" bestFit="1" customWidth="1"/>
    <col min="647" max="647" width="8.6640625" bestFit="1" customWidth="1"/>
    <col min="648" max="648" width="6" bestFit="1" customWidth="1"/>
    <col min="649" max="649" width="8.6640625" bestFit="1" customWidth="1"/>
    <col min="650" max="650" width="6" bestFit="1" customWidth="1"/>
    <col min="651" max="651" width="8.6640625" bestFit="1" customWidth="1"/>
    <col min="652" max="652" width="6" bestFit="1" customWidth="1"/>
    <col min="653" max="653" width="8.6640625" bestFit="1" customWidth="1"/>
    <col min="654" max="654" width="6" bestFit="1" customWidth="1"/>
    <col min="655" max="655" width="8.6640625" bestFit="1" customWidth="1"/>
    <col min="656" max="656" width="6" bestFit="1" customWidth="1"/>
    <col min="657" max="657" width="8.6640625" bestFit="1" customWidth="1"/>
    <col min="658" max="658" width="6" bestFit="1" customWidth="1"/>
    <col min="659" max="659" width="8.6640625" bestFit="1" customWidth="1"/>
    <col min="660" max="660" width="6" bestFit="1" customWidth="1"/>
    <col min="661" max="661" width="8.6640625" bestFit="1" customWidth="1"/>
    <col min="662" max="662" width="6" bestFit="1" customWidth="1"/>
    <col min="663" max="663" width="8.6640625" bestFit="1" customWidth="1"/>
    <col min="664" max="664" width="6" bestFit="1" customWidth="1"/>
    <col min="665" max="665" width="8.6640625" bestFit="1" customWidth="1"/>
    <col min="666" max="666" width="6" bestFit="1" customWidth="1"/>
    <col min="667" max="667" width="8.6640625" bestFit="1" customWidth="1"/>
    <col min="668" max="668" width="6" bestFit="1" customWidth="1"/>
    <col min="669" max="669" width="8.6640625" bestFit="1" customWidth="1"/>
    <col min="670" max="670" width="6" bestFit="1" customWidth="1"/>
    <col min="671" max="671" width="8.6640625" bestFit="1" customWidth="1"/>
    <col min="672" max="672" width="6" bestFit="1" customWidth="1"/>
    <col min="673" max="673" width="8.6640625" bestFit="1" customWidth="1"/>
    <col min="674" max="674" width="6" bestFit="1" customWidth="1"/>
    <col min="675" max="675" width="8.6640625" bestFit="1" customWidth="1"/>
    <col min="676" max="676" width="6" bestFit="1" customWidth="1"/>
    <col min="677" max="677" width="8.6640625" bestFit="1" customWidth="1"/>
    <col min="678" max="678" width="6" bestFit="1" customWidth="1"/>
    <col min="679" max="679" width="8.6640625" bestFit="1" customWidth="1"/>
    <col min="680" max="680" width="6" bestFit="1" customWidth="1"/>
    <col min="681" max="681" width="8.6640625" bestFit="1" customWidth="1"/>
    <col min="682" max="682" width="6" bestFit="1" customWidth="1"/>
    <col min="683" max="683" width="8.6640625" bestFit="1" customWidth="1"/>
    <col min="684" max="684" width="6" bestFit="1" customWidth="1"/>
    <col min="685" max="685" width="8.6640625" bestFit="1" customWidth="1"/>
    <col min="686" max="686" width="6" bestFit="1" customWidth="1"/>
    <col min="687" max="687" width="8.6640625" bestFit="1" customWidth="1"/>
    <col min="688" max="688" width="6" bestFit="1" customWidth="1"/>
    <col min="689" max="689" width="8.6640625" bestFit="1" customWidth="1"/>
    <col min="690" max="690" width="6" bestFit="1" customWidth="1"/>
    <col min="691" max="691" width="8.6640625" bestFit="1" customWidth="1"/>
    <col min="692" max="692" width="6" bestFit="1" customWidth="1"/>
    <col min="693" max="693" width="8.6640625" bestFit="1" customWidth="1"/>
    <col min="694" max="694" width="6" bestFit="1" customWidth="1"/>
    <col min="695" max="695" width="8.6640625" bestFit="1" customWidth="1"/>
    <col min="696" max="696" width="6" bestFit="1" customWidth="1"/>
    <col min="697" max="697" width="8.6640625" bestFit="1" customWidth="1"/>
    <col min="698" max="698" width="6" bestFit="1" customWidth="1"/>
    <col min="699" max="699" width="8.6640625" bestFit="1" customWidth="1"/>
    <col min="700" max="700" width="6" bestFit="1" customWidth="1"/>
    <col min="701" max="701" width="8.6640625" bestFit="1" customWidth="1"/>
    <col min="702" max="702" width="6" bestFit="1" customWidth="1"/>
    <col min="703" max="703" width="8.6640625" bestFit="1" customWidth="1"/>
    <col min="704" max="704" width="6" bestFit="1" customWidth="1"/>
    <col min="705" max="705" width="8.6640625" bestFit="1" customWidth="1"/>
    <col min="706" max="706" width="6" bestFit="1" customWidth="1"/>
    <col min="707" max="707" width="8.6640625" bestFit="1" customWidth="1"/>
    <col min="708" max="708" width="6" bestFit="1" customWidth="1"/>
    <col min="709" max="709" width="8.6640625" bestFit="1" customWidth="1"/>
    <col min="710" max="710" width="6" bestFit="1" customWidth="1"/>
    <col min="711" max="711" width="8.6640625" bestFit="1" customWidth="1"/>
    <col min="712" max="712" width="6" bestFit="1" customWidth="1"/>
    <col min="713" max="713" width="8.6640625" bestFit="1" customWidth="1"/>
    <col min="714" max="714" width="6" bestFit="1" customWidth="1"/>
    <col min="715" max="715" width="8.6640625" bestFit="1" customWidth="1"/>
    <col min="716" max="716" width="6" bestFit="1" customWidth="1"/>
    <col min="717" max="717" width="8.6640625" bestFit="1" customWidth="1"/>
    <col min="718" max="718" width="6" bestFit="1" customWidth="1"/>
    <col min="719" max="719" width="8.6640625" bestFit="1" customWidth="1"/>
    <col min="720" max="720" width="6" bestFit="1" customWidth="1"/>
    <col min="721" max="721" width="8.6640625" bestFit="1" customWidth="1"/>
    <col min="722" max="722" width="6" bestFit="1" customWidth="1"/>
    <col min="723" max="723" width="8.6640625" bestFit="1" customWidth="1"/>
    <col min="724" max="724" width="6" bestFit="1" customWidth="1"/>
    <col min="725" max="725" width="8.6640625" bestFit="1" customWidth="1"/>
    <col min="726" max="726" width="6" bestFit="1" customWidth="1"/>
    <col min="727" max="727" width="8.6640625" bestFit="1" customWidth="1"/>
    <col min="728" max="728" width="6" bestFit="1" customWidth="1"/>
    <col min="729" max="729" width="8.6640625" bestFit="1" customWidth="1"/>
    <col min="730" max="730" width="6" bestFit="1" customWidth="1"/>
    <col min="731" max="731" width="8.6640625" bestFit="1" customWidth="1"/>
    <col min="732" max="732" width="6" bestFit="1" customWidth="1"/>
    <col min="733" max="733" width="8.6640625" bestFit="1" customWidth="1"/>
    <col min="734" max="734" width="6" bestFit="1" customWidth="1"/>
    <col min="735" max="735" width="8.6640625" bestFit="1" customWidth="1"/>
    <col min="736" max="736" width="6" bestFit="1" customWidth="1"/>
    <col min="737" max="737" width="8.6640625" bestFit="1" customWidth="1"/>
    <col min="738" max="738" width="6" bestFit="1" customWidth="1"/>
    <col min="739" max="739" width="8.6640625" bestFit="1" customWidth="1"/>
    <col min="740" max="740" width="6" bestFit="1" customWidth="1"/>
    <col min="741" max="741" width="8.6640625" bestFit="1" customWidth="1"/>
    <col min="742" max="742" width="6" bestFit="1" customWidth="1"/>
    <col min="743" max="743" width="8.6640625" bestFit="1" customWidth="1"/>
    <col min="744" max="744" width="6" bestFit="1" customWidth="1"/>
    <col min="745" max="745" width="8.6640625" bestFit="1" customWidth="1"/>
    <col min="746" max="746" width="6" bestFit="1" customWidth="1"/>
    <col min="747" max="747" width="8.6640625" bestFit="1" customWidth="1"/>
    <col min="748" max="748" width="6" bestFit="1" customWidth="1"/>
    <col min="749" max="749" width="8.6640625" bestFit="1" customWidth="1"/>
    <col min="750" max="750" width="6" bestFit="1" customWidth="1"/>
    <col min="751" max="751" width="8.6640625" bestFit="1" customWidth="1"/>
    <col min="752" max="752" width="6" bestFit="1" customWidth="1"/>
    <col min="753" max="753" width="8.6640625" bestFit="1" customWidth="1"/>
    <col min="754" max="754" width="6" bestFit="1" customWidth="1"/>
    <col min="755" max="755" width="8.6640625" bestFit="1" customWidth="1"/>
    <col min="756" max="756" width="6" bestFit="1" customWidth="1"/>
    <col min="757" max="757" width="8.6640625" bestFit="1" customWidth="1"/>
    <col min="758" max="758" width="6" bestFit="1" customWidth="1"/>
    <col min="759" max="759" width="8.6640625" bestFit="1" customWidth="1"/>
    <col min="760" max="760" width="6" bestFit="1" customWidth="1"/>
    <col min="761" max="761" width="8.6640625" bestFit="1" customWidth="1"/>
    <col min="762" max="762" width="6" bestFit="1" customWidth="1"/>
    <col min="763" max="763" width="8.6640625" bestFit="1" customWidth="1"/>
    <col min="764" max="764" width="6" bestFit="1" customWidth="1"/>
    <col min="765" max="765" width="8.6640625" bestFit="1" customWidth="1"/>
    <col min="766" max="766" width="6" bestFit="1" customWidth="1"/>
    <col min="767" max="767" width="8.6640625" bestFit="1" customWidth="1"/>
    <col min="768" max="768" width="6" bestFit="1" customWidth="1"/>
    <col min="769" max="769" width="8.6640625" bestFit="1" customWidth="1"/>
    <col min="770" max="770" width="6" bestFit="1" customWidth="1"/>
    <col min="771" max="771" width="8.6640625" bestFit="1" customWidth="1"/>
    <col min="772" max="772" width="6" bestFit="1" customWidth="1"/>
    <col min="773" max="773" width="8.6640625" bestFit="1" customWidth="1"/>
    <col min="774" max="774" width="6" bestFit="1" customWidth="1"/>
    <col min="775" max="775" width="8.6640625" bestFit="1" customWidth="1"/>
    <col min="776" max="776" width="6" bestFit="1" customWidth="1"/>
    <col min="777" max="777" width="8.6640625" bestFit="1" customWidth="1"/>
    <col min="778" max="778" width="6" bestFit="1" customWidth="1"/>
    <col min="779" max="779" width="8.6640625" bestFit="1" customWidth="1"/>
    <col min="780" max="780" width="6" bestFit="1" customWidth="1"/>
    <col min="781" max="781" width="8.6640625" bestFit="1" customWidth="1"/>
    <col min="782" max="782" width="6" bestFit="1" customWidth="1"/>
    <col min="783" max="783" width="8.6640625" bestFit="1" customWidth="1"/>
    <col min="784" max="784" width="6" bestFit="1" customWidth="1"/>
    <col min="785" max="785" width="8.6640625" bestFit="1" customWidth="1"/>
    <col min="786" max="786" width="6" bestFit="1" customWidth="1"/>
    <col min="787" max="787" width="8.6640625" bestFit="1" customWidth="1"/>
    <col min="788" max="788" width="6" bestFit="1" customWidth="1"/>
    <col min="789" max="789" width="8.6640625" bestFit="1" customWidth="1"/>
    <col min="790" max="790" width="6" bestFit="1" customWidth="1"/>
    <col min="791" max="791" width="8.6640625" bestFit="1" customWidth="1"/>
    <col min="792" max="792" width="6" bestFit="1" customWidth="1"/>
    <col min="793" max="793" width="8.6640625" bestFit="1" customWidth="1"/>
    <col min="794" max="794" width="6" bestFit="1" customWidth="1"/>
    <col min="795" max="795" width="8.6640625" bestFit="1" customWidth="1"/>
    <col min="796" max="796" width="6" bestFit="1" customWidth="1"/>
    <col min="797" max="797" width="8.6640625" bestFit="1" customWidth="1"/>
    <col min="798" max="798" width="6" bestFit="1" customWidth="1"/>
    <col min="799" max="799" width="8.6640625" bestFit="1" customWidth="1"/>
    <col min="800" max="800" width="6" bestFit="1" customWidth="1"/>
    <col min="801" max="801" width="8.6640625" bestFit="1" customWidth="1"/>
    <col min="802" max="802" width="6" bestFit="1" customWidth="1"/>
    <col min="803" max="803" width="8.6640625" bestFit="1" customWidth="1"/>
    <col min="804" max="804" width="6" bestFit="1" customWidth="1"/>
    <col min="805" max="805" width="8.6640625" bestFit="1" customWidth="1"/>
    <col min="806" max="806" width="6" bestFit="1" customWidth="1"/>
    <col min="807" max="807" width="8.6640625" bestFit="1" customWidth="1"/>
    <col min="808" max="808" width="6" bestFit="1" customWidth="1"/>
    <col min="809" max="809" width="8.6640625" bestFit="1" customWidth="1"/>
    <col min="810" max="810" width="6" bestFit="1" customWidth="1"/>
    <col min="811" max="811" width="8.6640625" bestFit="1" customWidth="1"/>
    <col min="812" max="812" width="6" bestFit="1" customWidth="1"/>
    <col min="813" max="813" width="8.6640625" bestFit="1" customWidth="1"/>
    <col min="814" max="814" width="6" bestFit="1" customWidth="1"/>
    <col min="815" max="815" width="8.6640625" bestFit="1" customWidth="1"/>
    <col min="816" max="816" width="6" bestFit="1" customWidth="1"/>
    <col min="817" max="817" width="8.6640625" bestFit="1" customWidth="1"/>
    <col min="818" max="818" width="6" bestFit="1" customWidth="1"/>
    <col min="819" max="819" width="8.6640625" bestFit="1" customWidth="1"/>
    <col min="820" max="820" width="6" bestFit="1" customWidth="1"/>
    <col min="821" max="821" width="8.6640625" bestFit="1" customWidth="1"/>
    <col min="822" max="822" width="6" bestFit="1" customWidth="1"/>
    <col min="823" max="823" width="8.6640625" bestFit="1" customWidth="1"/>
    <col min="824" max="824" width="6" bestFit="1" customWidth="1"/>
    <col min="825" max="825" width="8.6640625" bestFit="1" customWidth="1"/>
    <col min="826" max="826" width="6" bestFit="1" customWidth="1"/>
    <col min="827" max="827" width="8.6640625" bestFit="1" customWidth="1"/>
    <col min="828" max="828" width="6" bestFit="1" customWidth="1"/>
    <col min="829" max="829" width="8.6640625" bestFit="1" customWidth="1"/>
    <col min="830" max="830" width="6" bestFit="1" customWidth="1"/>
    <col min="831" max="831" width="8.6640625" bestFit="1" customWidth="1"/>
    <col min="832" max="832" width="6" bestFit="1" customWidth="1"/>
    <col min="833" max="833" width="8.6640625" bestFit="1" customWidth="1"/>
    <col min="834" max="834" width="6" bestFit="1" customWidth="1"/>
    <col min="835" max="835" width="8.6640625" bestFit="1" customWidth="1"/>
    <col min="836" max="836" width="6" bestFit="1" customWidth="1"/>
    <col min="837" max="837" width="8.6640625" bestFit="1" customWidth="1"/>
    <col min="838" max="838" width="6" bestFit="1" customWidth="1"/>
    <col min="839" max="839" width="8.6640625" bestFit="1" customWidth="1"/>
    <col min="840" max="840" width="6" bestFit="1" customWidth="1"/>
    <col min="841" max="841" width="8.6640625" bestFit="1" customWidth="1"/>
    <col min="842" max="842" width="6" bestFit="1" customWidth="1"/>
    <col min="843" max="843" width="8.6640625" bestFit="1" customWidth="1"/>
    <col min="844" max="844" width="6" bestFit="1" customWidth="1"/>
    <col min="845" max="845" width="8.6640625" bestFit="1" customWidth="1"/>
    <col min="846" max="846" width="6" bestFit="1" customWidth="1"/>
    <col min="847" max="847" width="8.6640625" bestFit="1" customWidth="1"/>
    <col min="848" max="848" width="6" bestFit="1" customWidth="1"/>
    <col min="849" max="849" width="8.6640625" bestFit="1" customWidth="1"/>
    <col min="850" max="850" width="6" bestFit="1" customWidth="1"/>
    <col min="851" max="851" width="8.6640625" bestFit="1" customWidth="1"/>
    <col min="852" max="852" width="6" bestFit="1" customWidth="1"/>
    <col min="853" max="853" width="8.6640625" bestFit="1" customWidth="1"/>
    <col min="854" max="854" width="6" bestFit="1" customWidth="1"/>
    <col min="855" max="855" width="8.6640625" bestFit="1" customWidth="1"/>
    <col min="856" max="856" width="6" bestFit="1" customWidth="1"/>
    <col min="857" max="857" width="8.6640625" bestFit="1" customWidth="1"/>
    <col min="858" max="858" width="6" bestFit="1" customWidth="1"/>
    <col min="859" max="859" width="8.6640625" bestFit="1" customWidth="1"/>
    <col min="860" max="860" width="6" bestFit="1" customWidth="1"/>
    <col min="861" max="861" width="8.6640625" bestFit="1" customWidth="1"/>
    <col min="862" max="862" width="6" bestFit="1" customWidth="1"/>
    <col min="863" max="863" width="8.6640625" bestFit="1" customWidth="1"/>
    <col min="864" max="864" width="6" bestFit="1" customWidth="1"/>
    <col min="865" max="865" width="8.6640625" bestFit="1" customWidth="1"/>
    <col min="866" max="866" width="6" bestFit="1" customWidth="1"/>
    <col min="867" max="867" width="8.6640625" bestFit="1" customWidth="1"/>
    <col min="868" max="868" width="6" bestFit="1" customWidth="1"/>
    <col min="869" max="869" width="8.6640625" bestFit="1" customWidth="1"/>
    <col min="870" max="870" width="6" bestFit="1" customWidth="1"/>
    <col min="871" max="871" width="8.6640625" bestFit="1" customWidth="1"/>
    <col min="872" max="872" width="6" bestFit="1" customWidth="1"/>
    <col min="873" max="873" width="8.6640625" bestFit="1" customWidth="1"/>
    <col min="874" max="874" width="6" bestFit="1" customWidth="1"/>
    <col min="875" max="875" width="8.6640625" bestFit="1" customWidth="1"/>
    <col min="876" max="876" width="6" bestFit="1" customWidth="1"/>
    <col min="877" max="877" width="8.6640625" bestFit="1" customWidth="1"/>
    <col min="878" max="878" width="6" bestFit="1" customWidth="1"/>
    <col min="879" max="879" width="8.6640625" bestFit="1" customWidth="1"/>
    <col min="880" max="880" width="6" bestFit="1" customWidth="1"/>
    <col min="881" max="881" width="8.6640625" bestFit="1" customWidth="1"/>
    <col min="882" max="882" width="6" bestFit="1" customWidth="1"/>
    <col min="883" max="883" width="8.6640625" bestFit="1" customWidth="1"/>
    <col min="884" max="884" width="6" bestFit="1" customWidth="1"/>
    <col min="885" max="885" width="8.6640625" bestFit="1" customWidth="1"/>
    <col min="886" max="886" width="6" bestFit="1" customWidth="1"/>
    <col min="887" max="887" width="8.6640625" bestFit="1" customWidth="1"/>
    <col min="888" max="888" width="6" bestFit="1" customWidth="1"/>
    <col min="889" max="889" width="8.6640625" bestFit="1" customWidth="1"/>
    <col min="890" max="890" width="6" bestFit="1" customWidth="1"/>
    <col min="891" max="891" width="8.6640625" bestFit="1" customWidth="1"/>
    <col min="892" max="892" width="6" bestFit="1" customWidth="1"/>
    <col min="893" max="893" width="8.6640625" bestFit="1" customWidth="1"/>
    <col min="894" max="894" width="6" bestFit="1" customWidth="1"/>
    <col min="895" max="895" width="8.6640625" bestFit="1" customWidth="1"/>
    <col min="896" max="896" width="6" bestFit="1" customWidth="1"/>
    <col min="897" max="897" width="8.6640625" bestFit="1" customWidth="1"/>
    <col min="898" max="898" width="6" bestFit="1" customWidth="1"/>
    <col min="899" max="899" width="8.6640625" bestFit="1" customWidth="1"/>
    <col min="900" max="900" width="6" bestFit="1" customWidth="1"/>
    <col min="901" max="901" width="8.6640625" bestFit="1" customWidth="1"/>
    <col min="902" max="902" width="6" bestFit="1" customWidth="1"/>
    <col min="903" max="903" width="8.6640625" bestFit="1" customWidth="1"/>
    <col min="904" max="904" width="6" bestFit="1" customWidth="1"/>
    <col min="905" max="905" width="8.6640625" bestFit="1" customWidth="1"/>
    <col min="906" max="906" width="6" bestFit="1" customWidth="1"/>
    <col min="907" max="907" width="8.6640625" bestFit="1" customWidth="1"/>
    <col min="908" max="908" width="6" bestFit="1" customWidth="1"/>
    <col min="909" max="909" width="8.6640625" bestFit="1" customWidth="1"/>
    <col min="910" max="910" width="6" bestFit="1" customWidth="1"/>
    <col min="911" max="911" width="8.6640625" bestFit="1" customWidth="1"/>
    <col min="912" max="912" width="6" bestFit="1" customWidth="1"/>
    <col min="913" max="913" width="8.6640625" bestFit="1" customWidth="1"/>
    <col min="914" max="914" width="6" bestFit="1" customWidth="1"/>
    <col min="915" max="915" width="8.6640625" bestFit="1" customWidth="1"/>
    <col min="916" max="916" width="6" bestFit="1" customWidth="1"/>
    <col min="917" max="917" width="8.6640625" bestFit="1" customWidth="1"/>
    <col min="918" max="918" width="6" bestFit="1" customWidth="1"/>
    <col min="919" max="919" width="8.6640625" bestFit="1" customWidth="1"/>
    <col min="920" max="920" width="6" bestFit="1" customWidth="1"/>
    <col min="921" max="921" width="8.6640625" bestFit="1" customWidth="1"/>
    <col min="922" max="922" width="6" bestFit="1" customWidth="1"/>
    <col min="923" max="923" width="8.6640625" bestFit="1" customWidth="1"/>
    <col min="924" max="924" width="6" bestFit="1" customWidth="1"/>
    <col min="925" max="925" width="8.6640625" bestFit="1" customWidth="1"/>
    <col min="926" max="926" width="6" bestFit="1" customWidth="1"/>
    <col min="927" max="927" width="8.6640625" bestFit="1" customWidth="1"/>
    <col min="928" max="928" width="6" bestFit="1" customWidth="1"/>
    <col min="929" max="929" width="8.6640625" bestFit="1" customWidth="1"/>
    <col min="930" max="930" width="6" bestFit="1" customWidth="1"/>
    <col min="931" max="931" width="8.6640625" bestFit="1" customWidth="1"/>
    <col min="932" max="932" width="6" bestFit="1" customWidth="1"/>
    <col min="933" max="933" width="8.6640625" bestFit="1" customWidth="1"/>
    <col min="934" max="934" width="6" bestFit="1" customWidth="1"/>
    <col min="935" max="935" width="8.6640625" bestFit="1" customWidth="1"/>
    <col min="936" max="936" width="6" bestFit="1" customWidth="1"/>
    <col min="937" max="937" width="8.6640625" bestFit="1" customWidth="1"/>
    <col min="938" max="938" width="6" bestFit="1" customWidth="1"/>
    <col min="939" max="939" width="8.6640625" bestFit="1" customWidth="1"/>
    <col min="940" max="940" width="6" bestFit="1" customWidth="1"/>
    <col min="941" max="941" width="8.6640625" bestFit="1" customWidth="1"/>
    <col min="942" max="942" width="6" bestFit="1" customWidth="1"/>
    <col min="943" max="943" width="8.6640625" bestFit="1" customWidth="1"/>
    <col min="944" max="944" width="6" bestFit="1" customWidth="1"/>
    <col min="945" max="945" width="8.6640625" bestFit="1" customWidth="1"/>
    <col min="946" max="946" width="6" bestFit="1" customWidth="1"/>
    <col min="947" max="947" width="8.6640625" bestFit="1" customWidth="1"/>
    <col min="948" max="948" width="6" bestFit="1" customWidth="1"/>
    <col min="949" max="949" width="8.6640625" bestFit="1" customWidth="1"/>
    <col min="950" max="950" width="6" bestFit="1" customWidth="1"/>
    <col min="951" max="951" width="8.6640625" bestFit="1" customWidth="1"/>
    <col min="952" max="952" width="6" bestFit="1" customWidth="1"/>
    <col min="953" max="953" width="8.6640625" bestFit="1" customWidth="1"/>
    <col min="954" max="954" width="6" bestFit="1" customWidth="1"/>
    <col min="955" max="955" width="8.6640625" bestFit="1" customWidth="1"/>
    <col min="956" max="956" width="6" bestFit="1" customWidth="1"/>
    <col min="957" max="957" width="8.6640625" bestFit="1" customWidth="1"/>
    <col min="958" max="958" width="6" bestFit="1" customWidth="1"/>
    <col min="959" max="959" width="8.6640625" bestFit="1" customWidth="1"/>
    <col min="960" max="960" width="6" bestFit="1" customWidth="1"/>
    <col min="961" max="961" width="8.6640625" bestFit="1" customWidth="1"/>
    <col min="962" max="962" width="6" bestFit="1" customWidth="1"/>
    <col min="963" max="963" width="8.6640625" bestFit="1" customWidth="1"/>
    <col min="964" max="964" width="6" bestFit="1" customWidth="1"/>
    <col min="965" max="965" width="8.6640625" bestFit="1" customWidth="1"/>
    <col min="966" max="966" width="6" bestFit="1" customWidth="1"/>
    <col min="967" max="967" width="8.6640625" bestFit="1" customWidth="1"/>
    <col min="968" max="968" width="6" bestFit="1" customWidth="1"/>
    <col min="969" max="969" width="8.6640625" bestFit="1" customWidth="1"/>
    <col min="970" max="970" width="6" bestFit="1" customWidth="1"/>
    <col min="971" max="971" width="8.6640625" bestFit="1" customWidth="1"/>
    <col min="972" max="972" width="6" bestFit="1" customWidth="1"/>
    <col min="973" max="973" width="8.6640625" bestFit="1" customWidth="1"/>
    <col min="974" max="974" width="6" bestFit="1" customWidth="1"/>
    <col min="975" max="975" width="8.6640625" bestFit="1" customWidth="1"/>
    <col min="976" max="976" width="6" bestFit="1" customWidth="1"/>
    <col min="977" max="977" width="8.6640625" bestFit="1" customWidth="1"/>
    <col min="978" max="978" width="6" bestFit="1" customWidth="1"/>
    <col min="979" max="979" width="8.6640625" bestFit="1" customWidth="1"/>
    <col min="980" max="980" width="6" bestFit="1" customWidth="1"/>
    <col min="981" max="981" width="8.6640625" bestFit="1" customWidth="1"/>
    <col min="982" max="982" width="6" bestFit="1" customWidth="1"/>
    <col min="983" max="983" width="8.6640625" bestFit="1" customWidth="1"/>
    <col min="984" max="984" width="6" bestFit="1" customWidth="1"/>
    <col min="985" max="985" width="8.6640625" bestFit="1" customWidth="1"/>
    <col min="986" max="986" width="6" bestFit="1" customWidth="1"/>
    <col min="987" max="987" width="8.6640625" bestFit="1" customWidth="1"/>
    <col min="988" max="988" width="6" bestFit="1" customWidth="1"/>
    <col min="989" max="989" width="8.6640625" bestFit="1" customWidth="1"/>
    <col min="990" max="990" width="6" bestFit="1" customWidth="1"/>
    <col min="991" max="991" width="8.6640625" bestFit="1" customWidth="1"/>
    <col min="992" max="992" width="6" bestFit="1" customWidth="1"/>
    <col min="993" max="993" width="8.6640625" bestFit="1" customWidth="1"/>
    <col min="994" max="994" width="6" bestFit="1" customWidth="1"/>
    <col min="995" max="995" width="8.6640625" bestFit="1" customWidth="1"/>
    <col min="996" max="996" width="6" bestFit="1" customWidth="1"/>
    <col min="997" max="997" width="8.6640625" bestFit="1" customWidth="1"/>
    <col min="998" max="998" width="6" bestFit="1" customWidth="1"/>
    <col min="999" max="999" width="8.6640625" bestFit="1" customWidth="1"/>
    <col min="1000" max="1000" width="6" bestFit="1" customWidth="1"/>
    <col min="1001" max="1001" width="8.6640625" bestFit="1" customWidth="1"/>
    <col min="1002" max="1002" width="6" bestFit="1" customWidth="1"/>
    <col min="1003" max="1003" width="8.6640625" bestFit="1" customWidth="1"/>
    <col min="1004" max="1004" width="6" bestFit="1" customWidth="1"/>
    <col min="1005" max="1005" width="8.6640625" bestFit="1" customWidth="1"/>
    <col min="1006" max="1006" width="6" bestFit="1" customWidth="1"/>
    <col min="1007" max="1007" width="8.6640625" bestFit="1" customWidth="1"/>
    <col min="1008" max="1008" width="6" bestFit="1" customWidth="1"/>
    <col min="1009" max="1009" width="8.6640625" bestFit="1" customWidth="1"/>
    <col min="1010" max="1010" width="6" bestFit="1" customWidth="1"/>
    <col min="1011" max="1011" width="8.6640625" bestFit="1" customWidth="1"/>
    <col min="1012" max="1012" width="6" bestFit="1" customWidth="1"/>
    <col min="1013" max="1013" width="8.6640625" bestFit="1" customWidth="1"/>
    <col min="1014" max="1014" width="6" bestFit="1" customWidth="1"/>
    <col min="1015" max="1015" width="8.6640625" bestFit="1" customWidth="1"/>
    <col min="1016" max="1016" width="6" bestFit="1" customWidth="1"/>
    <col min="1017" max="1017" width="8.6640625" bestFit="1" customWidth="1"/>
    <col min="1018" max="1018" width="6" bestFit="1" customWidth="1"/>
    <col min="1019" max="1019" width="8.6640625" bestFit="1" customWidth="1"/>
    <col min="1020" max="1020" width="6" bestFit="1" customWidth="1"/>
    <col min="1021" max="1021" width="8.6640625" bestFit="1" customWidth="1"/>
    <col min="1022" max="1022" width="6" bestFit="1" customWidth="1"/>
    <col min="1023" max="1023" width="8.6640625" bestFit="1" customWidth="1"/>
    <col min="1024" max="1024" width="6" bestFit="1" customWidth="1"/>
    <col min="1025" max="1025" width="8.6640625" bestFit="1" customWidth="1"/>
    <col min="1026" max="1026" width="6" bestFit="1" customWidth="1"/>
    <col min="1027" max="1027" width="8.6640625" bestFit="1" customWidth="1"/>
    <col min="1028" max="1028" width="6" bestFit="1" customWidth="1"/>
    <col min="1029" max="1029" width="8.6640625" bestFit="1" customWidth="1"/>
    <col min="1030" max="1030" width="6" bestFit="1" customWidth="1"/>
    <col min="1031" max="1031" width="8.6640625" bestFit="1" customWidth="1"/>
    <col min="1032" max="1032" width="6" bestFit="1" customWidth="1"/>
    <col min="1033" max="1033" width="8.6640625" bestFit="1" customWidth="1"/>
    <col min="1034" max="1034" width="6" bestFit="1" customWidth="1"/>
    <col min="1035" max="1035" width="8.6640625" bestFit="1" customWidth="1"/>
    <col min="1036" max="1036" width="6" bestFit="1" customWidth="1"/>
    <col min="1037" max="1037" width="8.6640625" bestFit="1" customWidth="1"/>
    <col min="1038" max="1038" width="6" bestFit="1" customWidth="1"/>
    <col min="1039" max="1039" width="8.6640625" bestFit="1" customWidth="1"/>
    <col min="1040" max="1040" width="6" bestFit="1" customWidth="1"/>
    <col min="1041" max="1041" width="8.6640625" bestFit="1" customWidth="1"/>
    <col min="1042" max="1042" width="6" bestFit="1" customWidth="1"/>
    <col min="1043" max="1043" width="8.6640625" bestFit="1" customWidth="1"/>
    <col min="1044" max="1044" width="6" bestFit="1" customWidth="1"/>
    <col min="1045" max="1045" width="8.6640625" bestFit="1" customWidth="1"/>
    <col min="1046" max="1046" width="6" bestFit="1" customWidth="1"/>
    <col min="1047" max="1047" width="8.6640625" bestFit="1" customWidth="1"/>
    <col min="1048" max="1048" width="6" bestFit="1" customWidth="1"/>
    <col min="1049" max="1049" width="8.6640625" bestFit="1" customWidth="1"/>
    <col min="1050" max="1050" width="6" bestFit="1" customWidth="1"/>
    <col min="1051" max="1051" width="8.6640625" bestFit="1" customWidth="1"/>
    <col min="1052" max="1052" width="6" bestFit="1" customWidth="1"/>
    <col min="1053" max="1053" width="8.6640625" bestFit="1" customWidth="1"/>
    <col min="1054" max="1054" width="6" bestFit="1" customWidth="1"/>
    <col min="1055" max="1055" width="8.6640625" bestFit="1" customWidth="1"/>
    <col min="1056" max="1056" width="6" bestFit="1" customWidth="1"/>
    <col min="1057" max="1057" width="8.6640625" bestFit="1" customWidth="1"/>
    <col min="1058" max="1058" width="6" bestFit="1" customWidth="1"/>
    <col min="1059" max="1059" width="8.6640625" bestFit="1" customWidth="1"/>
    <col min="1060" max="1060" width="6" bestFit="1" customWidth="1"/>
    <col min="1061" max="1061" width="8.6640625" bestFit="1" customWidth="1"/>
    <col min="1062" max="1062" width="6" bestFit="1" customWidth="1"/>
    <col min="1063" max="1063" width="8.6640625" bestFit="1" customWidth="1"/>
    <col min="1064" max="1064" width="6" bestFit="1" customWidth="1"/>
    <col min="1065" max="1065" width="8.6640625" bestFit="1" customWidth="1"/>
    <col min="1066" max="1066" width="6" bestFit="1" customWidth="1"/>
    <col min="1067" max="1067" width="8.6640625" bestFit="1" customWidth="1"/>
    <col min="1068" max="1068" width="6" bestFit="1" customWidth="1"/>
    <col min="1069" max="1069" width="8.6640625" bestFit="1" customWidth="1"/>
    <col min="1070" max="1070" width="6" bestFit="1" customWidth="1"/>
    <col min="1071" max="1071" width="8.6640625" bestFit="1" customWidth="1"/>
    <col min="1072" max="1072" width="6" bestFit="1" customWidth="1"/>
    <col min="1073" max="1073" width="8.6640625" bestFit="1" customWidth="1"/>
    <col min="1074" max="1074" width="6" bestFit="1" customWidth="1"/>
    <col min="1075" max="1075" width="8.6640625" bestFit="1" customWidth="1"/>
    <col min="1076" max="1076" width="6" bestFit="1" customWidth="1"/>
    <col min="1077" max="1077" width="8.6640625" bestFit="1" customWidth="1"/>
    <col min="1078" max="1078" width="6" bestFit="1" customWidth="1"/>
    <col min="1079" max="1079" width="8.6640625" bestFit="1" customWidth="1"/>
    <col min="1080" max="1080" width="6" bestFit="1" customWidth="1"/>
    <col min="1081" max="1081" width="8.6640625" bestFit="1" customWidth="1"/>
    <col min="1082" max="1082" width="6" bestFit="1" customWidth="1"/>
    <col min="1083" max="1083" width="8.6640625" bestFit="1" customWidth="1"/>
    <col min="1084" max="1084" width="6" bestFit="1" customWidth="1"/>
    <col min="1085" max="1085" width="8.6640625" bestFit="1" customWidth="1"/>
    <col min="1086" max="1086" width="6" bestFit="1" customWidth="1"/>
    <col min="1087" max="1087" width="8.6640625" bestFit="1" customWidth="1"/>
    <col min="1088" max="1088" width="6" bestFit="1" customWidth="1"/>
    <col min="1089" max="1089" width="8.6640625" bestFit="1" customWidth="1"/>
    <col min="1090" max="1090" width="6" bestFit="1" customWidth="1"/>
    <col min="1091" max="1091" width="8.6640625" bestFit="1" customWidth="1"/>
    <col min="1092" max="1092" width="6" bestFit="1" customWidth="1"/>
    <col min="1093" max="1093" width="8.6640625" bestFit="1" customWidth="1"/>
    <col min="1094" max="1094" width="6" bestFit="1" customWidth="1"/>
    <col min="1095" max="1095" width="8.6640625" bestFit="1" customWidth="1"/>
    <col min="1096" max="1096" width="6" bestFit="1" customWidth="1"/>
    <col min="1097" max="1097" width="8.6640625" bestFit="1" customWidth="1"/>
    <col min="1098" max="1098" width="6" bestFit="1" customWidth="1"/>
    <col min="1099" max="1099" width="8.6640625" bestFit="1" customWidth="1"/>
    <col min="1100" max="1100" width="6" bestFit="1" customWidth="1"/>
    <col min="1101" max="1101" width="8.6640625" bestFit="1" customWidth="1"/>
    <col min="1102" max="1102" width="6" bestFit="1" customWidth="1"/>
    <col min="1103" max="1103" width="8.6640625" bestFit="1" customWidth="1"/>
    <col min="1104" max="1104" width="6" bestFit="1" customWidth="1"/>
    <col min="1105" max="1105" width="8.6640625" bestFit="1" customWidth="1"/>
    <col min="1106" max="1106" width="6" bestFit="1" customWidth="1"/>
    <col min="1107" max="1107" width="8.6640625" bestFit="1" customWidth="1"/>
    <col min="1108" max="1108" width="6" bestFit="1" customWidth="1"/>
    <col min="1109" max="1109" width="8.6640625" bestFit="1" customWidth="1"/>
    <col min="1110" max="1110" width="6" bestFit="1" customWidth="1"/>
    <col min="1111" max="1111" width="8.6640625" bestFit="1" customWidth="1"/>
    <col min="1112" max="1112" width="6" bestFit="1" customWidth="1"/>
    <col min="1113" max="1113" width="8.6640625" bestFit="1" customWidth="1"/>
    <col min="1114" max="1114" width="6" bestFit="1" customWidth="1"/>
    <col min="1115" max="1115" width="8.6640625" bestFit="1" customWidth="1"/>
    <col min="1116" max="1116" width="6" bestFit="1" customWidth="1"/>
    <col min="1117" max="1117" width="8.6640625" bestFit="1" customWidth="1"/>
    <col min="1118" max="1118" width="6" bestFit="1" customWidth="1"/>
    <col min="1119" max="1119" width="8.6640625" bestFit="1" customWidth="1"/>
    <col min="1120" max="1120" width="6" bestFit="1" customWidth="1"/>
    <col min="1121" max="1121" width="8.6640625" bestFit="1" customWidth="1"/>
    <col min="1122" max="1122" width="6" bestFit="1" customWidth="1"/>
    <col min="1123" max="1123" width="8.6640625" bestFit="1" customWidth="1"/>
    <col min="1124" max="1124" width="6" bestFit="1" customWidth="1"/>
    <col min="1125" max="1125" width="8.6640625" bestFit="1" customWidth="1"/>
    <col min="1126" max="1126" width="6" bestFit="1" customWidth="1"/>
    <col min="1127" max="1127" width="8.6640625" bestFit="1" customWidth="1"/>
    <col min="1128" max="1128" width="6" bestFit="1" customWidth="1"/>
    <col min="1129" max="1129" width="8.6640625" bestFit="1" customWidth="1"/>
    <col min="1130" max="1130" width="6" bestFit="1" customWidth="1"/>
    <col min="1131" max="1131" width="8.6640625" bestFit="1" customWidth="1"/>
    <col min="1132" max="1132" width="6" bestFit="1" customWidth="1"/>
    <col min="1133" max="1133" width="8.6640625" bestFit="1" customWidth="1"/>
    <col min="1134" max="1134" width="6" bestFit="1" customWidth="1"/>
    <col min="1135" max="1135" width="8.6640625" bestFit="1" customWidth="1"/>
    <col min="1136" max="1136" width="6" bestFit="1" customWidth="1"/>
    <col min="1137" max="1137" width="8.6640625" bestFit="1" customWidth="1"/>
    <col min="1138" max="1138" width="6" bestFit="1" customWidth="1"/>
    <col min="1139" max="1139" width="8.6640625" bestFit="1" customWidth="1"/>
    <col min="1140" max="1140" width="6" bestFit="1" customWidth="1"/>
    <col min="1141" max="1141" width="8.6640625" bestFit="1" customWidth="1"/>
    <col min="1142" max="1142" width="6" bestFit="1" customWidth="1"/>
    <col min="1143" max="1143" width="8.6640625" bestFit="1" customWidth="1"/>
    <col min="1144" max="1144" width="6" bestFit="1" customWidth="1"/>
    <col min="1145" max="1145" width="8.6640625" bestFit="1" customWidth="1"/>
    <col min="1146" max="1146" width="6" bestFit="1" customWidth="1"/>
    <col min="1147" max="1147" width="8.6640625" bestFit="1" customWidth="1"/>
    <col min="1148" max="1148" width="6" bestFit="1" customWidth="1"/>
    <col min="1149" max="1149" width="8.6640625" bestFit="1" customWidth="1"/>
    <col min="1150" max="1150" width="6" bestFit="1" customWidth="1"/>
    <col min="1151" max="1151" width="8.6640625" bestFit="1" customWidth="1"/>
    <col min="1152" max="1152" width="6" bestFit="1" customWidth="1"/>
    <col min="1153" max="1153" width="8.6640625" bestFit="1" customWidth="1"/>
    <col min="1154" max="1154" width="6" bestFit="1" customWidth="1"/>
    <col min="1155" max="1155" width="8.6640625" bestFit="1" customWidth="1"/>
    <col min="1156" max="1156" width="6" bestFit="1" customWidth="1"/>
    <col min="1157" max="1157" width="8.6640625" bestFit="1" customWidth="1"/>
    <col min="1158" max="1158" width="6" bestFit="1" customWidth="1"/>
    <col min="1159" max="1159" width="8.6640625" bestFit="1" customWidth="1"/>
    <col min="1160" max="1160" width="6" bestFit="1" customWidth="1"/>
    <col min="1161" max="1161" width="8.6640625" bestFit="1" customWidth="1"/>
    <col min="1162" max="1162" width="6" bestFit="1" customWidth="1"/>
    <col min="1163" max="1163" width="8.6640625" bestFit="1" customWidth="1"/>
    <col min="1164" max="1164" width="6" bestFit="1" customWidth="1"/>
    <col min="1165" max="1165" width="8.6640625" bestFit="1" customWidth="1"/>
    <col min="1166" max="1166" width="6" bestFit="1" customWidth="1"/>
    <col min="1167" max="1167" width="8.6640625" bestFit="1" customWidth="1"/>
    <col min="1168" max="1168" width="6" bestFit="1" customWidth="1"/>
    <col min="1169" max="1169" width="8.6640625" bestFit="1" customWidth="1"/>
    <col min="1170" max="1170" width="6" bestFit="1" customWidth="1"/>
    <col min="1171" max="1171" width="8.6640625" bestFit="1" customWidth="1"/>
    <col min="1172" max="1172" width="6" bestFit="1" customWidth="1"/>
    <col min="1173" max="1173" width="8.6640625" bestFit="1" customWidth="1"/>
    <col min="1174" max="1174" width="6" bestFit="1" customWidth="1"/>
    <col min="1175" max="1175" width="8.6640625" bestFit="1" customWidth="1"/>
    <col min="1176" max="1176" width="6" bestFit="1" customWidth="1"/>
    <col min="1177" max="1177" width="8.6640625" bestFit="1" customWidth="1"/>
    <col min="1178" max="1178" width="6" bestFit="1" customWidth="1"/>
    <col min="1179" max="1179" width="8.6640625" bestFit="1" customWidth="1"/>
    <col min="1180" max="1180" width="6" bestFit="1" customWidth="1"/>
    <col min="1181" max="1181" width="8.6640625" bestFit="1" customWidth="1"/>
    <col min="1182" max="1182" width="6" bestFit="1" customWidth="1"/>
    <col min="1183" max="1183" width="8.6640625" bestFit="1" customWidth="1"/>
    <col min="1184" max="1184" width="6" bestFit="1" customWidth="1"/>
    <col min="1185" max="1185" width="8.6640625" bestFit="1" customWidth="1"/>
    <col min="1186" max="1186" width="6" bestFit="1" customWidth="1"/>
    <col min="1187" max="1187" width="8.6640625" bestFit="1" customWidth="1"/>
    <col min="1188" max="1188" width="6" bestFit="1" customWidth="1"/>
    <col min="1189" max="1189" width="8.6640625" bestFit="1" customWidth="1"/>
    <col min="1190" max="1190" width="6" bestFit="1" customWidth="1"/>
    <col min="1191" max="1191" width="8.6640625" bestFit="1" customWidth="1"/>
    <col min="1192" max="1192" width="6" bestFit="1" customWidth="1"/>
    <col min="1193" max="1193" width="8.6640625" bestFit="1" customWidth="1"/>
    <col min="1194" max="1194" width="6" bestFit="1" customWidth="1"/>
    <col min="1195" max="1195" width="8.6640625" bestFit="1" customWidth="1"/>
    <col min="1196" max="1196" width="6" bestFit="1" customWidth="1"/>
    <col min="1197" max="1197" width="8.6640625" bestFit="1" customWidth="1"/>
    <col min="1198" max="1198" width="6" bestFit="1" customWidth="1"/>
    <col min="1199" max="1199" width="8.6640625" bestFit="1" customWidth="1"/>
    <col min="1200" max="1200" width="6" bestFit="1" customWidth="1"/>
    <col min="1201" max="1201" width="8.6640625" bestFit="1" customWidth="1"/>
    <col min="1202" max="1202" width="6" bestFit="1" customWidth="1"/>
    <col min="1203" max="1203" width="8.6640625" bestFit="1" customWidth="1"/>
    <col min="1204" max="1204" width="6" bestFit="1" customWidth="1"/>
    <col min="1205" max="1205" width="8.6640625" bestFit="1" customWidth="1"/>
    <col min="1206" max="1206" width="6" bestFit="1" customWidth="1"/>
    <col min="1207" max="1207" width="8.6640625" bestFit="1" customWidth="1"/>
    <col min="1208" max="1208" width="6" bestFit="1" customWidth="1"/>
    <col min="1209" max="1209" width="8.6640625" bestFit="1" customWidth="1"/>
    <col min="1210" max="1210" width="6" bestFit="1" customWidth="1"/>
    <col min="1211" max="1211" width="8.6640625" bestFit="1" customWidth="1"/>
    <col min="1212" max="1212" width="6" bestFit="1" customWidth="1"/>
    <col min="1213" max="1213" width="8.6640625" bestFit="1" customWidth="1"/>
    <col min="1214" max="1214" width="6" bestFit="1" customWidth="1"/>
    <col min="1215" max="1215" width="8.6640625" bestFit="1" customWidth="1"/>
    <col min="1216" max="1216" width="6" bestFit="1" customWidth="1"/>
    <col min="1217" max="1217" width="8.6640625" bestFit="1" customWidth="1"/>
    <col min="1218" max="1218" width="6" bestFit="1" customWidth="1"/>
    <col min="1219" max="1219" width="8.6640625" bestFit="1" customWidth="1"/>
    <col min="1220" max="1220" width="6" bestFit="1" customWidth="1"/>
    <col min="1221" max="1221" width="8.6640625" bestFit="1" customWidth="1"/>
    <col min="1222" max="1222" width="6" bestFit="1" customWidth="1"/>
    <col min="1223" max="1223" width="8.6640625" bestFit="1" customWidth="1"/>
    <col min="1224" max="1224" width="6" bestFit="1" customWidth="1"/>
    <col min="1225" max="1225" width="8.6640625" bestFit="1" customWidth="1"/>
    <col min="1226" max="1226" width="6" bestFit="1" customWidth="1"/>
    <col min="1227" max="1227" width="8.6640625" bestFit="1" customWidth="1"/>
    <col min="1228" max="1228" width="6" bestFit="1" customWidth="1"/>
    <col min="1229" max="1229" width="8.6640625" bestFit="1" customWidth="1"/>
    <col min="1230" max="1230" width="6" bestFit="1" customWidth="1"/>
    <col min="1231" max="1231" width="8.6640625" bestFit="1" customWidth="1"/>
    <col min="1232" max="1232" width="6" bestFit="1" customWidth="1"/>
    <col min="1233" max="1233" width="8.6640625" bestFit="1" customWidth="1"/>
    <col min="1234" max="1234" width="6" bestFit="1" customWidth="1"/>
    <col min="1235" max="1235" width="8.6640625" bestFit="1" customWidth="1"/>
    <col min="1236" max="1236" width="6" bestFit="1" customWidth="1"/>
    <col min="1237" max="1237" width="8.6640625" bestFit="1" customWidth="1"/>
    <col min="1238" max="1238" width="6" bestFit="1" customWidth="1"/>
    <col min="1239" max="1239" width="8.6640625" bestFit="1" customWidth="1"/>
    <col min="1240" max="1240" width="6" bestFit="1" customWidth="1"/>
    <col min="1241" max="1241" width="8.6640625" bestFit="1" customWidth="1"/>
    <col min="1242" max="1242" width="6" bestFit="1" customWidth="1"/>
    <col min="1243" max="1243" width="8.6640625" bestFit="1" customWidth="1"/>
    <col min="1244" max="1244" width="6" bestFit="1" customWidth="1"/>
    <col min="1245" max="1245" width="8.6640625" bestFit="1" customWidth="1"/>
    <col min="1246" max="1246" width="6" bestFit="1" customWidth="1"/>
    <col min="1247" max="1247" width="8.6640625" bestFit="1" customWidth="1"/>
    <col min="1248" max="1248" width="6" bestFit="1" customWidth="1"/>
    <col min="1249" max="1249" width="8.6640625" bestFit="1" customWidth="1"/>
    <col min="1250" max="1250" width="6" bestFit="1" customWidth="1"/>
    <col min="1251" max="1251" width="8.6640625" bestFit="1" customWidth="1"/>
    <col min="1252" max="1252" width="6" bestFit="1" customWidth="1"/>
    <col min="1253" max="1253" width="8.6640625" bestFit="1" customWidth="1"/>
    <col min="1254" max="1254" width="6" bestFit="1" customWidth="1"/>
    <col min="1255" max="1255" width="8.6640625" bestFit="1" customWidth="1"/>
    <col min="1256" max="1256" width="6" bestFit="1" customWidth="1"/>
    <col min="1257" max="1257" width="8.6640625" bestFit="1" customWidth="1"/>
    <col min="1258" max="1258" width="6" bestFit="1" customWidth="1"/>
    <col min="1259" max="1259" width="8.6640625" bestFit="1" customWidth="1"/>
    <col min="1260" max="1260" width="6" bestFit="1" customWidth="1"/>
    <col min="1261" max="1261" width="8.6640625" bestFit="1" customWidth="1"/>
    <col min="1262" max="1262" width="6" bestFit="1" customWidth="1"/>
    <col min="1263" max="1263" width="8.6640625" bestFit="1" customWidth="1"/>
    <col min="1264" max="1264" width="6" bestFit="1" customWidth="1"/>
    <col min="1265" max="1265" width="8.6640625" bestFit="1" customWidth="1"/>
    <col min="1266" max="1266" width="6" bestFit="1" customWidth="1"/>
    <col min="1267" max="1267" width="8.6640625" bestFit="1" customWidth="1"/>
    <col min="1268" max="1268" width="6" bestFit="1" customWidth="1"/>
    <col min="1269" max="1269" width="8.6640625" bestFit="1" customWidth="1"/>
    <col min="1270" max="1270" width="6" bestFit="1" customWidth="1"/>
    <col min="1271" max="1271" width="8.6640625" bestFit="1" customWidth="1"/>
    <col min="1272" max="1272" width="6" bestFit="1" customWidth="1"/>
    <col min="1273" max="1273" width="8.6640625" bestFit="1" customWidth="1"/>
    <col min="1274" max="1274" width="6" bestFit="1" customWidth="1"/>
    <col min="1275" max="1275" width="8.6640625" bestFit="1" customWidth="1"/>
    <col min="1276" max="1276" width="6" bestFit="1" customWidth="1"/>
    <col min="1277" max="1277" width="8.6640625" bestFit="1" customWidth="1"/>
    <col min="1278" max="1278" width="6" bestFit="1" customWidth="1"/>
    <col min="1279" max="1279" width="8.6640625" bestFit="1" customWidth="1"/>
    <col min="1280" max="1280" width="6" bestFit="1" customWidth="1"/>
    <col min="1281" max="1281" width="8.6640625" bestFit="1" customWidth="1"/>
    <col min="1282" max="1282" width="6" bestFit="1" customWidth="1"/>
    <col min="1283" max="1283" width="8.6640625" bestFit="1" customWidth="1"/>
    <col min="1284" max="1284" width="6" bestFit="1" customWidth="1"/>
    <col min="1285" max="1285" width="8.6640625" bestFit="1" customWidth="1"/>
    <col min="1286" max="1286" width="6" bestFit="1" customWidth="1"/>
    <col min="1287" max="1287" width="8.6640625" bestFit="1" customWidth="1"/>
    <col min="1288" max="1288" width="6" bestFit="1" customWidth="1"/>
    <col min="1289" max="1289" width="8.6640625" bestFit="1" customWidth="1"/>
    <col min="1290" max="1290" width="6" bestFit="1" customWidth="1"/>
    <col min="1291" max="1291" width="8.6640625" bestFit="1" customWidth="1"/>
    <col min="1292" max="1292" width="6" bestFit="1" customWidth="1"/>
    <col min="1293" max="1293" width="8.6640625" bestFit="1" customWidth="1"/>
    <col min="1294" max="1294" width="6" bestFit="1" customWidth="1"/>
    <col min="1295" max="1295" width="8.6640625" bestFit="1" customWidth="1"/>
    <col min="1296" max="1296" width="6" bestFit="1" customWidth="1"/>
    <col min="1297" max="1297" width="8.6640625" bestFit="1" customWidth="1"/>
    <col min="1298" max="1298" width="6" bestFit="1" customWidth="1"/>
    <col min="1299" max="1299" width="8.6640625" bestFit="1" customWidth="1"/>
    <col min="1300" max="1300" width="6" bestFit="1" customWidth="1"/>
    <col min="1301" max="1301" width="8.6640625" bestFit="1" customWidth="1"/>
    <col min="1302" max="1302" width="6" bestFit="1" customWidth="1"/>
    <col min="1303" max="1303" width="8.6640625" bestFit="1" customWidth="1"/>
    <col min="1304" max="1304" width="6" bestFit="1" customWidth="1"/>
    <col min="1305" max="1305" width="8.6640625" bestFit="1" customWidth="1"/>
    <col min="1306" max="1306" width="6" bestFit="1" customWidth="1"/>
    <col min="1307" max="1307" width="8.6640625" bestFit="1" customWidth="1"/>
    <col min="1308" max="1308" width="6" bestFit="1" customWidth="1"/>
    <col min="1309" max="1309" width="8.6640625" bestFit="1" customWidth="1"/>
    <col min="1310" max="1310" width="6" bestFit="1" customWidth="1"/>
    <col min="1311" max="1311" width="8.6640625" bestFit="1" customWidth="1"/>
    <col min="1312" max="1312" width="6" bestFit="1" customWidth="1"/>
    <col min="1313" max="1313" width="8.6640625" bestFit="1" customWidth="1"/>
    <col min="1314" max="1314" width="6" bestFit="1" customWidth="1"/>
    <col min="1315" max="1315" width="8.6640625" bestFit="1" customWidth="1"/>
    <col min="1316" max="1316" width="6" bestFit="1" customWidth="1"/>
    <col min="1317" max="1317" width="8.6640625" bestFit="1" customWidth="1"/>
    <col min="1318" max="1318" width="6" bestFit="1" customWidth="1"/>
    <col min="1319" max="1319" width="8.6640625" bestFit="1" customWidth="1"/>
    <col min="1320" max="1320" width="6" bestFit="1" customWidth="1"/>
    <col min="1321" max="1321" width="8.6640625" bestFit="1" customWidth="1"/>
    <col min="1322" max="1322" width="6" bestFit="1" customWidth="1"/>
    <col min="1323" max="1323" width="8.6640625" bestFit="1" customWidth="1"/>
    <col min="1324" max="1324" width="6" bestFit="1" customWidth="1"/>
    <col min="1325" max="1325" width="8.6640625" bestFit="1" customWidth="1"/>
    <col min="1326" max="1326" width="6" bestFit="1" customWidth="1"/>
    <col min="1327" max="1327" width="8.6640625" bestFit="1" customWidth="1"/>
    <col min="1328" max="1328" width="6" bestFit="1" customWidth="1"/>
    <col min="1329" max="1329" width="8.6640625" bestFit="1" customWidth="1"/>
    <col min="1330" max="1330" width="6" bestFit="1" customWidth="1"/>
    <col min="1331" max="1331" width="8.6640625" bestFit="1" customWidth="1"/>
    <col min="1332" max="1332" width="6" bestFit="1" customWidth="1"/>
    <col min="1333" max="1333" width="8.6640625" bestFit="1" customWidth="1"/>
    <col min="1334" max="1334" width="6" bestFit="1" customWidth="1"/>
    <col min="1335" max="1335" width="8.6640625" bestFit="1" customWidth="1"/>
    <col min="1336" max="1336" width="6" bestFit="1" customWidth="1"/>
    <col min="1337" max="1337" width="8.6640625" bestFit="1" customWidth="1"/>
    <col min="1338" max="1338" width="6" bestFit="1" customWidth="1"/>
    <col min="1339" max="1339" width="8.6640625" bestFit="1" customWidth="1"/>
    <col min="1340" max="1340" width="6" bestFit="1" customWidth="1"/>
    <col min="1341" max="1341" width="8.6640625" bestFit="1" customWidth="1"/>
    <col min="1342" max="1342" width="6" bestFit="1" customWidth="1"/>
    <col min="1343" max="1343" width="8.6640625" bestFit="1" customWidth="1"/>
    <col min="1344" max="1344" width="6" bestFit="1" customWidth="1"/>
    <col min="1345" max="1345" width="8.6640625" bestFit="1" customWidth="1"/>
    <col min="1346" max="1346" width="6" bestFit="1" customWidth="1"/>
    <col min="1347" max="1347" width="8.6640625" bestFit="1" customWidth="1"/>
    <col min="1348" max="1348" width="6" bestFit="1" customWidth="1"/>
    <col min="1349" max="1349" width="8.6640625" bestFit="1" customWidth="1"/>
    <col min="1350" max="1350" width="6" bestFit="1" customWidth="1"/>
    <col min="1351" max="1351" width="8.6640625" bestFit="1" customWidth="1"/>
    <col min="1352" max="1352" width="6" bestFit="1" customWidth="1"/>
    <col min="1353" max="1353" width="8.6640625" bestFit="1" customWidth="1"/>
    <col min="1354" max="1354" width="6" bestFit="1" customWidth="1"/>
    <col min="1355" max="1355" width="8.6640625" bestFit="1" customWidth="1"/>
    <col min="1356" max="1356" width="6" bestFit="1" customWidth="1"/>
    <col min="1357" max="1357" width="8.6640625" bestFit="1" customWidth="1"/>
    <col min="1358" max="1358" width="6" bestFit="1" customWidth="1"/>
    <col min="1359" max="1359" width="8.6640625" bestFit="1" customWidth="1"/>
    <col min="1360" max="1360" width="6" bestFit="1" customWidth="1"/>
    <col min="1361" max="1361" width="8.6640625" bestFit="1" customWidth="1"/>
    <col min="1362" max="1362" width="6" bestFit="1" customWidth="1"/>
    <col min="1363" max="1363" width="8.6640625" bestFit="1" customWidth="1"/>
    <col min="1364" max="1364" width="6" bestFit="1" customWidth="1"/>
    <col min="1365" max="1365" width="8.6640625" bestFit="1" customWidth="1"/>
    <col min="1366" max="1366" width="6" bestFit="1" customWidth="1"/>
    <col min="1367" max="1367" width="8.6640625" bestFit="1" customWidth="1"/>
    <col min="1368" max="1368" width="6" bestFit="1" customWidth="1"/>
    <col min="1369" max="1369" width="8.6640625" bestFit="1" customWidth="1"/>
    <col min="1370" max="1370" width="6" bestFit="1" customWidth="1"/>
    <col min="1371" max="1371" width="8.6640625" bestFit="1" customWidth="1"/>
    <col min="1372" max="1372" width="6" bestFit="1" customWidth="1"/>
    <col min="1373" max="1373" width="8.6640625" bestFit="1" customWidth="1"/>
    <col min="1374" max="1374" width="6" bestFit="1" customWidth="1"/>
    <col min="1375" max="1375" width="8.6640625" bestFit="1" customWidth="1"/>
    <col min="1376" max="1376" width="6" bestFit="1" customWidth="1"/>
    <col min="1377" max="1377" width="8.6640625" bestFit="1" customWidth="1"/>
    <col min="1378" max="1378" width="6" bestFit="1" customWidth="1"/>
    <col min="1379" max="1379" width="8.6640625" bestFit="1" customWidth="1"/>
    <col min="1380" max="1380" width="6" bestFit="1" customWidth="1"/>
    <col min="1381" max="1381" width="8.6640625" bestFit="1" customWidth="1"/>
    <col min="1382" max="1382" width="6" bestFit="1" customWidth="1"/>
    <col min="1383" max="1383" width="8.6640625" bestFit="1" customWidth="1"/>
    <col min="1384" max="1384" width="6" bestFit="1" customWidth="1"/>
    <col min="1385" max="1385" width="8.6640625" bestFit="1" customWidth="1"/>
    <col min="1386" max="1386" width="6" bestFit="1" customWidth="1"/>
    <col min="1387" max="1387" width="8.6640625" bestFit="1" customWidth="1"/>
    <col min="1388" max="1388" width="6" bestFit="1" customWidth="1"/>
    <col min="1389" max="1389" width="8.6640625" bestFit="1" customWidth="1"/>
    <col min="1390" max="1390" width="6" bestFit="1" customWidth="1"/>
    <col min="1391" max="1391" width="8.6640625" bestFit="1" customWidth="1"/>
    <col min="1392" max="1392" width="6" bestFit="1" customWidth="1"/>
    <col min="1393" max="1393" width="8.6640625" bestFit="1" customWidth="1"/>
    <col min="1394" max="1394" width="6" bestFit="1" customWidth="1"/>
    <col min="1395" max="1395" width="8.6640625" bestFit="1" customWidth="1"/>
    <col min="1396" max="1396" width="6" bestFit="1" customWidth="1"/>
    <col min="1397" max="1397" width="8.6640625" bestFit="1" customWidth="1"/>
    <col min="1398" max="1398" width="6" bestFit="1" customWidth="1"/>
    <col min="1399" max="1399" width="8.6640625" bestFit="1" customWidth="1"/>
    <col min="1400" max="1400" width="6" bestFit="1" customWidth="1"/>
    <col min="1401" max="1401" width="8.6640625" bestFit="1" customWidth="1"/>
    <col min="1402" max="1402" width="6" bestFit="1" customWidth="1"/>
    <col min="1403" max="1403" width="8.6640625" bestFit="1" customWidth="1"/>
    <col min="1404" max="1404" width="6" bestFit="1" customWidth="1"/>
    <col min="1405" max="1405" width="8.6640625" bestFit="1" customWidth="1"/>
    <col min="1406" max="1406" width="6" bestFit="1" customWidth="1"/>
    <col min="1407" max="1407" width="8.6640625" bestFit="1" customWidth="1"/>
    <col min="1408" max="1408" width="6" bestFit="1" customWidth="1"/>
    <col min="1409" max="1409" width="8.6640625" bestFit="1" customWidth="1"/>
    <col min="1410" max="1410" width="6" bestFit="1" customWidth="1"/>
    <col min="1411" max="1411" width="8.6640625" bestFit="1" customWidth="1"/>
    <col min="1412" max="1412" width="6" bestFit="1" customWidth="1"/>
    <col min="1413" max="1413" width="8.6640625" bestFit="1" customWidth="1"/>
    <col min="1414" max="1414" width="6" bestFit="1" customWidth="1"/>
    <col min="1415" max="1415" width="8.6640625" bestFit="1" customWidth="1"/>
    <col min="1416" max="1416" width="6" bestFit="1" customWidth="1"/>
    <col min="1417" max="1417" width="8.6640625" bestFit="1" customWidth="1"/>
    <col min="1418" max="1418" width="6" bestFit="1" customWidth="1"/>
    <col min="1419" max="1419" width="8.6640625" bestFit="1" customWidth="1"/>
    <col min="1420" max="1420" width="6" bestFit="1" customWidth="1"/>
    <col min="1421" max="1421" width="8.6640625" bestFit="1" customWidth="1"/>
    <col min="1422" max="1422" width="6" bestFit="1" customWidth="1"/>
    <col min="1423" max="1423" width="8.6640625" bestFit="1" customWidth="1"/>
    <col min="1424" max="1424" width="6" bestFit="1" customWidth="1"/>
    <col min="1425" max="1425" width="8.6640625" bestFit="1" customWidth="1"/>
    <col min="1426" max="1426" width="6" bestFit="1" customWidth="1"/>
    <col min="1427" max="1427" width="8.6640625" bestFit="1" customWidth="1"/>
    <col min="1428" max="1428" width="6" bestFit="1" customWidth="1"/>
    <col min="1429" max="1429" width="8.6640625" bestFit="1" customWidth="1"/>
    <col min="1430" max="1430" width="6" bestFit="1" customWidth="1"/>
    <col min="1431" max="1431" width="8.6640625" bestFit="1" customWidth="1"/>
    <col min="1432" max="1432" width="6" bestFit="1" customWidth="1"/>
    <col min="1433" max="1433" width="8.6640625" bestFit="1" customWidth="1"/>
    <col min="1434" max="1434" width="6" bestFit="1" customWidth="1"/>
    <col min="1435" max="1435" width="8.6640625" bestFit="1" customWidth="1"/>
    <col min="1436" max="1436" width="6" bestFit="1" customWidth="1"/>
    <col min="1437" max="1437" width="8.6640625" bestFit="1" customWidth="1"/>
    <col min="1438" max="1438" width="6" bestFit="1" customWidth="1"/>
    <col min="1439" max="1439" width="8.6640625" bestFit="1" customWidth="1"/>
    <col min="1440" max="1440" width="6" bestFit="1" customWidth="1"/>
    <col min="1441" max="1441" width="8.6640625" bestFit="1" customWidth="1"/>
    <col min="1442" max="1442" width="6" bestFit="1" customWidth="1"/>
    <col min="1443" max="1443" width="8.6640625" bestFit="1" customWidth="1"/>
    <col min="1444" max="1444" width="6" bestFit="1" customWidth="1"/>
    <col min="1445" max="1445" width="8.6640625" bestFit="1" customWidth="1"/>
    <col min="1446" max="1446" width="6" bestFit="1" customWidth="1"/>
    <col min="1447" max="1447" width="8.6640625" bestFit="1" customWidth="1"/>
    <col min="1448" max="1448" width="6" bestFit="1" customWidth="1"/>
    <col min="1449" max="1449" width="8.6640625" bestFit="1" customWidth="1"/>
    <col min="1450" max="1450" width="6" bestFit="1" customWidth="1"/>
    <col min="1451" max="1451" width="8.6640625" bestFit="1" customWidth="1"/>
    <col min="1452" max="1452" width="6" bestFit="1" customWidth="1"/>
    <col min="1453" max="1453" width="8.6640625" bestFit="1" customWidth="1"/>
    <col min="1454" max="1454" width="6" bestFit="1" customWidth="1"/>
    <col min="1455" max="1455" width="8.6640625" bestFit="1" customWidth="1"/>
    <col min="1456" max="1456" width="6" bestFit="1" customWidth="1"/>
    <col min="1457" max="1457" width="8.6640625" bestFit="1" customWidth="1"/>
    <col min="1458" max="1458" width="6" bestFit="1" customWidth="1"/>
    <col min="1459" max="1459" width="8.6640625" bestFit="1" customWidth="1"/>
    <col min="1460" max="1460" width="6" bestFit="1" customWidth="1"/>
    <col min="1461" max="1461" width="8.6640625" bestFit="1" customWidth="1"/>
    <col min="1462" max="1462" width="6" bestFit="1" customWidth="1"/>
    <col min="1463" max="1463" width="8.6640625" bestFit="1" customWidth="1"/>
    <col min="1464" max="1464" width="6" bestFit="1" customWidth="1"/>
    <col min="1465" max="1465" width="8.6640625" bestFit="1" customWidth="1"/>
    <col min="1466" max="1466" width="6" bestFit="1" customWidth="1"/>
    <col min="1467" max="1467" width="8.6640625" bestFit="1" customWidth="1"/>
    <col min="1468" max="1468" width="6" bestFit="1" customWidth="1"/>
    <col min="1469" max="1469" width="8.6640625" bestFit="1" customWidth="1"/>
    <col min="1470" max="1470" width="6" bestFit="1" customWidth="1"/>
    <col min="1471" max="1471" width="8.6640625" bestFit="1" customWidth="1"/>
    <col min="1472" max="1472" width="6" bestFit="1" customWidth="1"/>
    <col min="1473" max="1473" width="8.6640625" bestFit="1" customWidth="1"/>
    <col min="1474" max="1474" width="6" bestFit="1" customWidth="1"/>
    <col min="1475" max="1475" width="8.6640625" bestFit="1" customWidth="1"/>
    <col min="1476" max="1476" width="6" bestFit="1" customWidth="1"/>
    <col min="1477" max="1477" width="8.6640625" bestFit="1" customWidth="1"/>
    <col min="1478" max="1478" width="6" bestFit="1" customWidth="1"/>
    <col min="1479" max="1479" width="8.6640625" bestFit="1" customWidth="1"/>
    <col min="1480" max="1480" width="6" bestFit="1" customWidth="1"/>
    <col min="1481" max="1481" width="8.6640625" bestFit="1" customWidth="1"/>
    <col min="1482" max="1482" width="6" bestFit="1" customWidth="1"/>
    <col min="1483" max="1483" width="8.6640625" bestFit="1" customWidth="1"/>
    <col min="1484" max="1484" width="6" bestFit="1" customWidth="1"/>
    <col min="1485" max="1485" width="8.6640625" bestFit="1" customWidth="1"/>
    <col min="1486" max="1486" width="6" bestFit="1" customWidth="1"/>
    <col min="1487" max="1487" width="8.6640625" bestFit="1" customWidth="1"/>
    <col min="1488" max="1488" width="6" bestFit="1" customWidth="1"/>
    <col min="1489" max="1489" width="8.6640625" bestFit="1" customWidth="1"/>
    <col min="1490" max="1490" width="6" bestFit="1" customWidth="1"/>
    <col min="1491" max="1491" width="8.6640625" bestFit="1" customWidth="1"/>
    <col min="1492" max="1492" width="6" bestFit="1" customWidth="1"/>
    <col min="1493" max="1493" width="8.6640625" bestFit="1" customWidth="1"/>
    <col min="1494" max="1494" width="6" bestFit="1" customWidth="1"/>
    <col min="1495" max="1495" width="8.6640625" bestFit="1" customWidth="1"/>
    <col min="1496" max="1496" width="6" bestFit="1" customWidth="1"/>
    <col min="1497" max="1497" width="8.6640625" bestFit="1" customWidth="1"/>
    <col min="1498" max="1498" width="6" bestFit="1" customWidth="1"/>
    <col min="1499" max="1499" width="8.6640625" bestFit="1" customWidth="1"/>
    <col min="1500" max="1500" width="6" bestFit="1" customWidth="1"/>
    <col min="1501" max="1501" width="8.6640625" bestFit="1" customWidth="1"/>
    <col min="1502" max="1502" width="6" bestFit="1" customWidth="1"/>
    <col min="1503" max="1503" width="8.6640625" bestFit="1" customWidth="1"/>
    <col min="1504" max="1504" width="6" bestFit="1" customWidth="1"/>
    <col min="1505" max="1505" width="8.6640625" bestFit="1" customWidth="1"/>
    <col min="1506" max="1506" width="6" bestFit="1" customWidth="1"/>
    <col min="1507" max="1507" width="8.6640625" bestFit="1" customWidth="1"/>
    <col min="1508" max="1508" width="6" bestFit="1" customWidth="1"/>
    <col min="1509" max="1509" width="8.6640625" bestFit="1" customWidth="1"/>
    <col min="1510" max="1510" width="6" bestFit="1" customWidth="1"/>
    <col min="1511" max="1511" width="8.6640625" bestFit="1" customWidth="1"/>
    <col min="1512" max="1512" width="6" bestFit="1" customWidth="1"/>
    <col min="1513" max="1513" width="8.6640625" bestFit="1" customWidth="1"/>
    <col min="1514" max="1514" width="6" bestFit="1" customWidth="1"/>
    <col min="1515" max="1515" width="8.6640625" bestFit="1" customWidth="1"/>
    <col min="1516" max="1516" width="6" bestFit="1" customWidth="1"/>
    <col min="1517" max="1517" width="8.6640625" bestFit="1" customWidth="1"/>
    <col min="1518" max="1518" width="6" bestFit="1" customWidth="1"/>
    <col min="1519" max="1519" width="8.6640625" bestFit="1" customWidth="1"/>
    <col min="1520" max="1520" width="6" bestFit="1" customWidth="1"/>
    <col min="1521" max="1521" width="8.6640625" bestFit="1" customWidth="1"/>
    <col min="1522" max="1522" width="6" bestFit="1" customWidth="1"/>
    <col min="1523" max="1523" width="8.6640625" bestFit="1" customWidth="1"/>
    <col min="1524" max="1524" width="6" bestFit="1" customWidth="1"/>
    <col min="1525" max="1525" width="8.6640625" bestFit="1" customWidth="1"/>
    <col min="1526" max="1526" width="6" bestFit="1" customWidth="1"/>
    <col min="1527" max="1527" width="8.6640625" bestFit="1" customWidth="1"/>
    <col min="1528" max="1528" width="6" bestFit="1" customWidth="1"/>
    <col min="1529" max="1529" width="8.6640625" bestFit="1" customWidth="1"/>
    <col min="1530" max="1530" width="6" bestFit="1" customWidth="1"/>
    <col min="1531" max="1531" width="8.6640625" bestFit="1" customWidth="1"/>
    <col min="1532" max="1532" width="6" bestFit="1" customWidth="1"/>
    <col min="1533" max="1533" width="8.6640625" bestFit="1" customWidth="1"/>
    <col min="1534" max="1534" width="6" bestFit="1" customWidth="1"/>
    <col min="1535" max="1535" width="8.6640625" bestFit="1" customWidth="1"/>
    <col min="1536" max="1536" width="6" bestFit="1" customWidth="1"/>
    <col min="1537" max="1537" width="8.6640625" bestFit="1" customWidth="1"/>
    <col min="1538" max="1538" width="6" bestFit="1" customWidth="1"/>
    <col min="1539" max="1539" width="8.6640625" bestFit="1" customWidth="1"/>
    <col min="1540" max="1540" width="6" bestFit="1" customWidth="1"/>
    <col min="1541" max="1541" width="8.6640625" bestFit="1" customWidth="1"/>
    <col min="1542" max="1542" width="6" bestFit="1" customWidth="1"/>
    <col min="1543" max="1543" width="8.6640625" bestFit="1" customWidth="1"/>
    <col min="1544" max="1544" width="6" bestFit="1" customWidth="1"/>
    <col min="1545" max="1545" width="8.6640625" bestFit="1" customWidth="1"/>
    <col min="1546" max="1546" width="6" bestFit="1" customWidth="1"/>
    <col min="1547" max="1547" width="8.6640625" bestFit="1" customWidth="1"/>
    <col min="1548" max="1548" width="6" bestFit="1" customWidth="1"/>
    <col min="1549" max="1549" width="8.6640625" bestFit="1" customWidth="1"/>
    <col min="1550" max="1550" width="6" bestFit="1" customWidth="1"/>
    <col min="1551" max="1551" width="8.6640625" bestFit="1" customWidth="1"/>
    <col min="1552" max="1552" width="6" bestFit="1" customWidth="1"/>
    <col min="1553" max="1553" width="8.6640625" bestFit="1" customWidth="1"/>
    <col min="1554" max="1554" width="6" bestFit="1" customWidth="1"/>
    <col min="1555" max="1555" width="8.6640625" bestFit="1" customWidth="1"/>
    <col min="1556" max="1556" width="6" bestFit="1" customWidth="1"/>
    <col min="1557" max="1557" width="8.6640625" bestFit="1" customWidth="1"/>
    <col min="1558" max="1558" width="6" bestFit="1" customWidth="1"/>
    <col min="1559" max="1559" width="8.6640625" bestFit="1" customWidth="1"/>
    <col min="1560" max="1560" width="6" bestFit="1" customWidth="1"/>
    <col min="1561" max="1561" width="8.6640625" bestFit="1" customWidth="1"/>
    <col min="1562" max="1562" width="6" bestFit="1" customWidth="1"/>
    <col min="1563" max="1563" width="8.6640625" bestFit="1" customWidth="1"/>
    <col min="1564" max="1564" width="6" bestFit="1" customWidth="1"/>
    <col min="1565" max="1565" width="8.6640625" bestFit="1" customWidth="1"/>
    <col min="1566" max="1566" width="6" bestFit="1" customWidth="1"/>
    <col min="1567" max="1567" width="8.6640625" bestFit="1" customWidth="1"/>
    <col min="1568" max="1568" width="6" bestFit="1" customWidth="1"/>
    <col min="1569" max="1569" width="8.6640625" bestFit="1" customWidth="1"/>
    <col min="1570" max="1570" width="6" bestFit="1" customWidth="1"/>
    <col min="1571" max="1571" width="8.6640625" bestFit="1" customWidth="1"/>
    <col min="1572" max="1572" width="6" bestFit="1" customWidth="1"/>
    <col min="1573" max="1573" width="8.6640625" bestFit="1" customWidth="1"/>
    <col min="1574" max="1574" width="6" bestFit="1" customWidth="1"/>
    <col min="1575" max="1575" width="8.6640625" bestFit="1" customWidth="1"/>
    <col min="1576" max="1576" width="6" bestFit="1" customWidth="1"/>
    <col min="1577" max="1577" width="8.6640625" bestFit="1" customWidth="1"/>
    <col min="1578" max="1578" width="6" bestFit="1" customWidth="1"/>
    <col min="1579" max="1579" width="8.6640625" bestFit="1" customWidth="1"/>
    <col min="1580" max="1580" width="6" bestFit="1" customWidth="1"/>
    <col min="1581" max="1581" width="8.6640625" bestFit="1" customWidth="1"/>
    <col min="1582" max="1582" width="6" bestFit="1" customWidth="1"/>
    <col min="1583" max="1583" width="8.6640625" bestFit="1" customWidth="1"/>
    <col min="1584" max="1584" width="6" bestFit="1" customWidth="1"/>
    <col min="1585" max="1585" width="8.6640625" bestFit="1" customWidth="1"/>
    <col min="1586" max="1586" width="6" bestFit="1" customWidth="1"/>
    <col min="1587" max="1587" width="8.6640625" bestFit="1" customWidth="1"/>
    <col min="1588" max="1588" width="6" bestFit="1" customWidth="1"/>
    <col min="1589" max="1589" width="8.6640625" bestFit="1" customWidth="1"/>
    <col min="1590" max="1590" width="6" bestFit="1" customWidth="1"/>
    <col min="1591" max="1591" width="8.6640625" bestFit="1" customWidth="1"/>
    <col min="1592" max="1592" width="6" bestFit="1" customWidth="1"/>
    <col min="1593" max="1593" width="8.6640625" bestFit="1" customWidth="1"/>
    <col min="1594" max="1594" width="6" bestFit="1" customWidth="1"/>
    <col min="1595" max="1595" width="8.6640625" bestFit="1" customWidth="1"/>
    <col min="1596" max="1596" width="6" bestFit="1" customWidth="1"/>
    <col min="1597" max="1597" width="8.6640625" bestFit="1" customWidth="1"/>
    <col min="1598" max="1598" width="6" bestFit="1" customWidth="1"/>
    <col min="1599" max="1599" width="8.6640625" bestFit="1" customWidth="1"/>
    <col min="1600" max="1600" width="6" bestFit="1" customWidth="1"/>
    <col min="1601" max="1601" width="8.6640625" bestFit="1" customWidth="1"/>
    <col min="1602" max="1602" width="6" bestFit="1" customWidth="1"/>
    <col min="1603" max="1603" width="8.6640625" bestFit="1" customWidth="1"/>
    <col min="1604" max="1604" width="6" bestFit="1" customWidth="1"/>
    <col min="1605" max="1605" width="8.6640625" bestFit="1" customWidth="1"/>
    <col min="1606" max="1606" width="6" bestFit="1" customWidth="1"/>
    <col min="1607" max="1607" width="8.6640625" bestFit="1" customWidth="1"/>
    <col min="1608" max="1608" width="6" bestFit="1" customWidth="1"/>
    <col min="1609" max="1609" width="8.6640625" bestFit="1" customWidth="1"/>
    <col min="1610" max="1610" width="6" bestFit="1" customWidth="1"/>
    <col min="1611" max="1611" width="8.6640625" bestFit="1" customWidth="1"/>
    <col min="1612" max="1612" width="6" bestFit="1" customWidth="1"/>
    <col min="1613" max="1613" width="8.6640625" bestFit="1" customWidth="1"/>
    <col min="1614" max="1614" width="6" bestFit="1" customWidth="1"/>
    <col min="1615" max="1615" width="8.6640625" bestFit="1" customWidth="1"/>
    <col min="1616" max="1616" width="6" bestFit="1" customWidth="1"/>
    <col min="1617" max="1617" width="8.6640625" bestFit="1" customWidth="1"/>
    <col min="1618" max="1618" width="6" bestFit="1" customWidth="1"/>
    <col min="1619" max="1619" width="8.6640625" bestFit="1" customWidth="1"/>
    <col min="1620" max="1620" width="6" bestFit="1" customWidth="1"/>
    <col min="1621" max="1621" width="8.6640625" bestFit="1" customWidth="1"/>
    <col min="1622" max="1622" width="6" bestFit="1" customWidth="1"/>
    <col min="1623" max="1623" width="8.6640625" bestFit="1" customWidth="1"/>
    <col min="1624" max="1624" width="6" bestFit="1" customWidth="1"/>
    <col min="1625" max="1625" width="8.6640625" bestFit="1" customWidth="1"/>
    <col min="1626" max="1626" width="6" bestFit="1" customWidth="1"/>
    <col min="1627" max="1627" width="8.6640625" bestFit="1" customWidth="1"/>
    <col min="1628" max="1628" width="6" bestFit="1" customWidth="1"/>
    <col min="1629" max="1629" width="8.6640625" bestFit="1" customWidth="1"/>
    <col min="1630" max="1630" width="6" bestFit="1" customWidth="1"/>
    <col min="1631" max="1631" width="8.6640625" bestFit="1" customWidth="1"/>
    <col min="1632" max="1632" width="6" bestFit="1" customWidth="1"/>
    <col min="1633" max="1633" width="8.6640625" bestFit="1" customWidth="1"/>
    <col min="1634" max="1634" width="6" bestFit="1" customWidth="1"/>
    <col min="1635" max="1635" width="8.6640625" bestFit="1" customWidth="1"/>
    <col min="1636" max="1636" width="6" bestFit="1" customWidth="1"/>
    <col min="1637" max="1637" width="8.6640625" bestFit="1" customWidth="1"/>
    <col min="1638" max="1638" width="6" bestFit="1" customWidth="1"/>
    <col min="1639" max="1639" width="8.6640625" bestFit="1" customWidth="1"/>
    <col min="1640" max="1640" width="6" bestFit="1" customWidth="1"/>
    <col min="1641" max="1641" width="8.6640625" bestFit="1" customWidth="1"/>
    <col min="1642" max="1642" width="6" bestFit="1" customWidth="1"/>
    <col min="1643" max="1643" width="8.6640625" bestFit="1" customWidth="1"/>
    <col min="1644" max="1644" width="6" bestFit="1" customWidth="1"/>
    <col min="1645" max="1645" width="8.6640625" bestFit="1" customWidth="1"/>
    <col min="1646" max="1646" width="6" bestFit="1" customWidth="1"/>
    <col min="1647" max="1647" width="8.6640625" bestFit="1" customWidth="1"/>
    <col min="1648" max="1648" width="6" bestFit="1" customWidth="1"/>
    <col min="1649" max="1649" width="8.6640625" bestFit="1" customWidth="1"/>
    <col min="1650" max="1650" width="6" bestFit="1" customWidth="1"/>
    <col min="1651" max="1651" width="8.6640625" bestFit="1" customWidth="1"/>
    <col min="1652" max="1652" width="6" bestFit="1" customWidth="1"/>
    <col min="1653" max="1653" width="8.6640625" bestFit="1" customWidth="1"/>
    <col min="1654" max="1654" width="6" bestFit="1" customWidth="1"/>
    <col min="1655" max="1655" width="8.6640625" bestFit="1" customWidth="1"/>
    <col min="1656" max="1656" width="6" bestFit="1" customWidth="1"/>
    <col min="1657" max="1657" width="8.6640625" bestFit="1" customWidth="1"/>
    <col min="1658" max="1658" width="6" bestFit="1" customWidth="1"/>
    <col min="1659" max="1659" width="8.6640625" bestFit="1" customWidth="1"/>
    <col min="1660" max="1660" width="6" bestFit="1" customWidth="1"/>
    <col min="1661" max="1661" width="8.6640625" bestFit="1" customWidth="1"/>
    <col min="1662" max="1662" width="6" bestFit="1" customWidth="1"/>
    <col min="1663" max="1663" width="8.6640625" bestFit="1" customWidth="1"/>
    <col min="1664" max="1664" width="6" bestFit="1" customWidth="1"/>
    <col min="1665" max="1665" width="8.6640625" bestFit="1" customWidth="1"/>
    <col min="1666" max="1666" width="6" bestFit="1" customWidth="1"/>
    <col min="1667" max="1667" width="8.6640625" bestFit="1" customWidth="1"/>
    <col min="1668" max="1668" width="6" bestFit="1" customWidth="1"/>
    <col min="1669" max="1669" width="8.6640625" bestFit="1" customWidth="1"/>
    <col min="1670" max="1670" width="6" bestFit="1" customWidth="1"/>
    <col min="1671" max="1671" width="8.6640625" bestFit="1" customWidth="1"/>
    <col min="1672" max="1672" width="6" bestFit="1" customWidth="1"/>
    <col min="1673" max="1673" width="8.6640625" bestFit="1" customWidth="1"/>
    <col min="1674" max="1674" width="6" bestFit="1" customWidth="1"/>
    <col min="1675" max="1675" width="8.6640625" bestFit="1" customWidth="1"/>
    <col min="1676" max="1676" width="6" bestFit="1" customWidth="1"/>
    <col min="1677" max="1677" width="8.6640625" bestFit="1" customWidth="1"/>
    <col min="1678" max="1678" width="6" bestFit="1" customWidth="1"/>
    <col min="1679" max="1679" width="8.6640625" bestFit="1" customWidth="1"/>
    <col min="1680" max="1680" width="6" bestFit="1" customWidth="1"/>
    <col min="1681" max="1681" width="8.6640625" bestFit="1" customWidth="1"/>
    <col min="1682" max="1682" width="6" bestFit="1" customWidth="1"/>
    <col min="1683" max="1683" width="8.6640625" bestFit="1" customWidth="1"/>
    <col min="1684" max="1684" width="6" bestFit="1" customWidth="1"/>
    <col min="1685" max="1685" width="8.6640625" bestFit="1" customWidth="1"/>
    <col min="1686" max="1686" width="6" bestFit="1" customWidth="1"/>
    <col min="1687" max="1687" width="8.6640625" bestFit="1" customWidth="1"/>
    <col min="1688" max="1688" width="6" bestFit="1" customWidth="1"/>
    <col min="1689" max="1689" width="8.6640625" bestFit="1" customWidth="1"/>
    <col min="1690" max="1690" width="6" bestFit="1" customWidth="1"/>
    <col min="1691" max="1691" width="8.6640625" bestFit="1" customWidth="1"/>
    <col min="1692" max="1692" width="6" bestFit="1" customWidth="1"/>
    <col min="1693" max="1693" width="8.6640625" bestFit="1" customWidth="1"/>
    <col min="1694" max="1694" width="6" bestFit="1" customWidth="1"/>
    <col min="1695" max="1695" width="8.6640625" bestFit="1" customWidth="1"/>
    <col min="1696" max="1696" width="6" bestFit="1" customWidth="1"/>
    <col min="1697" max="1697" width="8.6640625" bestFit="1" customWidth="1"/>
    <col min="1698" max="1698" width="6" bestFit="1" customWidth="1"/>
    <col min="1699" max="1699" width="8.6640625" bestFit="1" customWidth="1"/>
    <col min="1700" max="1700" width="6" bestFit="1" customWidth="1"/>
    <col min="1701" max="1701" width="8.6640625" bestFit="1" customWidth="1"/>
    <col min="1702" max="1702" width="6" bestFit="1" customWidth="1"/>
    <col min="1703" max="1703" width="8.6640625" bestFit="1" customWidth="1"/>
    <col min="1704" max="1704" width="6" bestFit="1" customWidth="1"/>
    <col min="1705" max="1705" width="8.6640625" bestFit="1" customWidth="1"/>
    <col min="1706" max="1706" width="6" bestFit="1" customWidth="1"/>
    <col min="1707" max="1707" width="8.6640625" bestFit="1" customWidth="1"/>
    <col min="1708" max="1708" width="6" bestFit="1" customWidth="1"/>
    <col min="1709" max="1709" width="8.6640625" bestFit="1" customWidth="1"/>
    <col min="1710" max="1710" width="6" bestFit="1" customWidth="1"/>
    <col min="1711" max="1711" width="8.6640625" bestFit="1" customWidth="1"/>
    <col min="1712" max="1712" width="6" bestFit="1" customWidth="1"/>
    <col min="1713" max="1713" width="8.6640625" bestFit="1" customWidth="1"/>
    <col min="1714" max="1714" width="6" bestFit="1" customWidth="1"/>
    <col min="1715" max="1715" width="8.6640625" bestFit="1" customWidth="1"/>
    <col min="1716" max="1716" width="6" bestFit="1" customWidth="1"/>
    <col min="1717" max="1717" width="8.6640625" bestFit="1" customWidth="1"/>
    <col min="1718" max="1718" width="6" bestFit="1" customWidth="1"/>
    <col min="1719" max="1719" width="8.6640625" bestFit="1" customWidth="1"/>
    <col min="1720" max="1720" width="6" bestFit="1" customWidth="1"/>
    <col min="1721" max="1721" width="8.6640625" bestFit="1" customWidth="1"/>
    <col min="1722" max="1722" width="6" bestFit="1" customWidth="1"/>
    <col min="1723" max="1723" width="8.6640625" bestFit="1" customWidth="1"/>
    <col min="1724" max="1724" width="6" bestFit="1" customWidth="1"/>
    <col min="1725" max="1725" width="8.6640625" bestFit="1" customWidth="1"/>
    <col min="1726" max="1726" width="6" bestFit="1" customWidth="1"/>
    <col min="1727" max="1727" width="8.6640625" bestFit="1" customWidth="1"/>
    <col min="1728" max="1728" width="6" bestFit="1" customWidth="1"/>
    <col min="1729" max="1729" width="8.6640625" bestFit="1" customWidth="1"/>
    <col min="1730" max="1730" width="6" bestFit="1" customWidth="1"/>
    <col min="1731" max="1731" width="8.6640625" bestFit="1" customWidth="1"/>
    <col min="1732" max="1732" width="6" bestFit="1" customWidth="1"/>
    <col min="1733" max="1733" width="8.6640625" bestFit="1" customWidth="1"/>
    <col min="1734" max="1734" width="6" bestFit="1" customWidth="1"/>
    <col min="1735" max="1735" width="8.6640625" bestFit="1" customWidth="1"/>
    <col min="1736" max="1736" width="6" bestFit="1" customWidth="1"/>
    <col min="1737" max="1737" width="8.6640625" bestFit="1" customWidth="1"/>
    <col min="1738" max="1738" width="6" bestFit="1" customWidth="1"/>
    <col min="1739" max="1739" width="8.6640625" bestFit="1" customWidth="1"/>
    <col min="1740" max="1740" width="6" bestFit="1" customWidth="1"/>
    <col min="1741" max="1741" width="8.6640625" bestFit="1" customWidth="1"/>
    <col min="1742" max="1742" width="6" bestFit="1" customWidth="1"/>
    <col min="1743" max="1743" width="8.6640625" bestFit="1" customWidth="1"/>
    <col min="1744" max="1744" width="6" bestFit="1" customWidth="1"/>
    <col min="1745" max="1745" width="8.6640625" bestFit="1" customWidth="1"/>
    <col min="1746" max="1746" width="6" bestFit="1" customWidth="1"/>
    <col min="1747" max="1747" width="8.6640625" bestFit="1" customWidth="1"/>
    <col min="1748" max="1748" width="6" bestFit="1" customWidth="1"/>
    <col min="1749" max="1749" width="8.6640625" bestFit="1" customWidth="1"/>
    <col min="1750" max="1750" width="6" bestFit="1" customWidth="1"/>
    <col min="1751" max="1751" width="8.6640625" bestFit="1" customWidth="1"/>
    <col min="1752" max="1752" width="6" bestFit="1" customWidth="1"/>
    <col min="1753" max="1753" width="8.6640625" bestFit="1" customWidth="1"/>
    <col min="1754" max="1754" width="6" bestFit="1" customWidth="1"/>
    <col min="1755" max="1755" width="8.6640625" bestFit="1" customWidth="1"/>
    <col min="1756" max="1756" width="6" bestFit="1" customWidth="1"/>
    <col min="1757" max="1757" width="8.6640625" bestFit="1" customWidth="1"/>
    <col min="1758" max="1758" width="6" bestFit="1" customWidth="1"/>
    <col min="1759" max="1759" width="8.6640625" bestFit="1" customWidth="1"/>
    <col min="1760" max="1760" width="6" bestFit="1" customWidth="1"/>
    <col min="1761" max="1761" width="8.6640625" bestFit="1" customWidth="1"/>
    <col min="1762" max="1762" width="6" bestFit="1" customWidth="1"/>
    <col min="1763" max="1763" width="8.6640625" bestFit="1" customWidth="1"/>
    <col min="1764" max="1764" width="6" bestFit="1" customWidth="1"/>
    <col min="1765" max="1765" width="8.6640625" bestFit="1" customWidth="1"/>
    <col min="1766" max="1766" width="6" bestFit="1" customWidth="1"/>
    <col min="1767" max="1767" width="8.6640625" bestFit="1" customWidth="1"/>
    <col min="1768" max="1768" width="6" bestFit="1" customWidth="1"/>
    <col min="1769" max="1769" width="8.6640625" bestFit="1" customWidth="1"/>
    <col min="1770" max="1770" width="6" bestFit="1" customWidth="1"/>
    <col min="1771" max="1771" width="8.6640625" bestFit="1" customWidth="1"/>
    <col min="1772" max="1772" width="6" bestFit="1" customWidth="1"/>
    <col min="1773" max="1773" width="8.6640625" bestFit="1" customWidth="1"/>
    <col min="1774" max="1774" width="6" bestFit="1" customWidth="1"/>
    <col min="1775" max="1775" width="8.6640625" bestFit="1" customWidth="1"/>
    <col min="1776" max="1776" width="6" bestFit="1" customWidth="1"/>
    <col min="1777" max="1777" width="8.6640625" bestFit="1" customWidth="1"/>
    <col min="1778" max="1778" width="6" bestFit="1" customWidth="1"/>
    <col min="1779" max="1779" width="8.6640625" bestFit="1" customWidth="1"/>
    <col min="1780" max="1780" width="6" bestFit="1" customWidth="1"/>
    <col min="1781" max="1781" width="8.6640625" bestFit="1" customWidth="1"/>
    <col min="1782" max="1782" width="6" bestFit="1" customWidth="1"/>
    <col min="1783" max="1783" width="8.6640625" bestFit="1" customWidth="1"/>
    <col min="1784" max="1784" width="6" bestFit="1" customWidth="1"/>
    <col min="1785" max="1785" width="8.6640625" bestFit="1" customWidth="1"/>
    <col min="1786" max="1786" width="6" bestFit="1" customWidth="1"/>
    <col min="1787" max="1787" width="8.6640625" bestFit="1" customWidth="1"/>
    <col min="1788" max="1788" width="6" bestFit="1" customWidth="1"/>
    <col min="1789" max="1789" width="8.6640625" bestFit="1" customWidth="1"/>
    <col min="1790" max="1790" width="6" bestFit="1" customWidth="1"/>
    <col min="1791" max="1791" width="8.6640625" bestFit="1" customWidth="1"/>
    <col min="1792" max="1792" width="6" bestFit="1" customWidth="1"/>
    <col min="1793" max="1793" width="8.6640625" bestFit="1" customWidth="1"/>
    <col min="1794" max="1794" width="6" bestFit="1" customWidth="1"/>
    <col min="1795" max="1795" width="8.6640625" bestFit="1" customWidth="1"/>
    <col min="1796" max="1796" width="6" bestFit="1" customWidth="1"/>
    <col min="1797" max="1797" width="8.6640625" bestFit="1" customWidth="1"/>
    <col min="1798" max="1798" width="6" bestFit="1" customWidth="1"/>
    <col min="1799" max="1799" width="8.6640625" bestFit="1" customWidth="1"/>
    <col min="1800" max="1800" width="6" bestFit="1" customWidth="1"/>
    <col min="1801" max="1801" width="8.6640625" bestFit="1" customWidth="1"/>
    <col min="1802" max="1802" width="6" bestFit="1" customWidth="1"/>
    <col min="1803" max="1803" width="8.6640625" bestFit="1" customWidth="1"/>
    <col min="1804" max="1804" width="6" bestFit="1" customWidth="1"/>
    <col min="1805" max="1805" width="8.6640625" bestFit="1" customWidth="1"/>
    <col min="1806" max="1806" width="6" bestFit="1" customWidth="1"/>
    <col min="1807" max="1807" width="8.6640625" bestFit="1" customWidth="1"/>
    <col min="1808" max="1808" width="6" bestFit="1" customWidth="1"/>
    <col min="1809" max="1809" width="8.6640625" bestFit="1" customWidth="1"/>
    <col min="1810" max="1810" width="6" bestFit="1" customWidth="1"/>
    <col min="1811" max="1811" width="8.6640625" bestFit="1" customWidth="1"/>
    <col min="1812" max="1812" width="6" bestFit="1" customWidth="1"/>
    <col min="1813" max="1813" width="8.6640625" bestFit="1" customWidth="1"/>
    <col min="1814" max="1814" width="6" bestFit="1" customWidth="1"/>
    <col min="1815" max="1815" width="8.6640625" bestFit="1" customWidth="1"/>
    <col min="1816" max="1816" width="6" bestFit="1" customWidth="1"/>
    <col min="1817" max="1817" width="8.6640625" bestFit="1" customWidth="1"/>
    <col min="1818" max="1818" width="6" bestFit="1" customWidth="1"/>
    <col min="1819" max="1819" width="8.6640625" bestFit="1" customWidth="1"/>
    <col min="1820" max="1820" width="6" bestFit="1" customWidth="1"/>
    <col min="1821" max="1821" width="8.6640625" bestFit="1" customWidth="1"/>
    <col min="1822" max="1822" width="6" bestFit="1" customWidth="1"/>
    <col min="1823" max="1823" width="8.6640625" bestFit="1" customWidth="1"/>
    <col min="1824" max="1824" width="6" bestFit="1" customWidth="1"/>
    <col min="1825" max="1825" width="8.6640625" bestFit="1" customWidth="1"/>
    <col min="1826" max="1826" width="6" bestFit="1" customWidth="1"/>
    <col min="1827" max="1827" width="8.6640625" bestFit="1" customWidth="1"/>
    <col min="1828" max="1828" width="6" bestFit="1" customWidth="1"/>
    <col min="1829" max="1829" width="8.6640625" bestFit="1" customWidth="1"/>
    <col min="1830" max="1830" width="6" bestFit="1" customWidth="1"/>
    <col min="1831" max="1831" width="8.6640625" bestFit="1" customWidth="1"/>
    <col min="1832" max="1832" width="6" bestFit="1" customWidth="1"/>
    <col min="1833" max="1833" width="8.6640625" bestFit="1" customWidth="1"/>
    <col min="1834" max="1834" width="6" bestFit="1" customWidth="1"/>
    <col min="1835" max="1835" width="8.6640625" bestFit="1" customWidth="1"/>
    <col min="1836" max="1836" width="6" bestFit="1" customWidth="1"/>
    <col min="1837" max="1837" width="8.6640625" bestFit="1" customWidth="1"/>
    <col min="1838" max="1838" width="6" bestFit="1" customWidth="1"/>
    <col min="1839" max="1839" width="8.6640625" bestFit="1" customWidth="1"/>
    <col min="1840" max="1840" width="6" bestFit="1" customWidth="1"/>
    <col min="1841" max="1841" width="8.6640625" bestFit="1" customWidth="1"/>
    <col min="1842" max="1842" width="6" bestFit="1" customWidth="1"/>
    <col min="1843" max="1843" width="8.6640625" bestFit="1" customWidth="1"/>
    <col min="1844" max="1844" width="6" bestFit="1" customWidth="1"/>
    <col min="1845" max="1845" width="8.6640625" bestFit="1" customWidth="1"/>
    <col min="1846" max="1846" width="6" bestFit="1" customWidth="1"/>
    <col min="1847" max="1847" width="8.6640625" bestFit="1" customWidth="1"/>
    <col min="1848" max="1848" width="6" bestFit="1" customWidth="1"/>
    <col min="1849" max="1849" width="8.6640625" bestFit="1" customWidth="1"/>
    <col min="1850" max="1850" width="6" bestFit="1" customWidth="1"/>
    <col min="1851" max="1851" width="8.6640625" bestFit="1" customWidth="1"/>
    <col min="1852" max="1852" width="6" bestFit="1" customWidth="1"/>
    <col min="1853" max="1853" width="8.6640625" bestFit="1" customWidth="1"/>
    <col min="1854" max="1854" width="6" bestFit="1" customWidth="1"/>
    <col min="1855" max="1855" width="8.6640625" bestFit="1" customWidth="1"/>
    <col min="1856" max="1856" width="6" bestFit="1" customWidth="1"/>
    <col min="1857" max="1857" width="8.6640625" bestFit="1" customWidth="1"/>
    <col min="1858" max="1858" width="6" bestFit="1" customWidth="1"/>
    <col min="1859" max="1859" width="8.6640625" bestFit="1" customWidth="1"/>
    <col min="1860" max="1860" width="6" bestFit="1" customWidth="1"/>
    <col min="1861" max="1861" width="8.6640625" bestFit="1" customWidth="1"/>
    <col min="1862" max="1862" width="6" bestFit="1" customWidth="1"/>
    <col min="1863" max="1863" width="8.6640625" bestFit="1" customWidth="1"/>
    <col min="1864" max="1864" width="6" bestFit="1" customWidth="1"/>
    <col min="1865" max="1865" width="8.6640625" bestFit="1" customWidth="1"/>
    <col min="1866" max="1866" width="6" bestFit="1" customWidth="1"/>
    <col min="1867" max="1867" width="8.6640625" bestFit="1" customWidth="1"/>
    <col min="1868" max="1868" width="6" bestFit="1" customWidth="1"/>
    <col min="1869" max="1869" width="8.6640625" bestFit="1" customWidth="1"/>
    <col min="1870" max="1870" width="6" bestFit="1" customWidth="1"/>
    <col min="1871" max="1871" width="8.6640625" bestFit="1" customWidth="1"/>
    <col min="1872" max="1872" width="6" bestFit="1" customWidth="1"/>
    <col min="1873" max="1873" width="8.6640625" bestFit="1" customWidth="1"/>
    <col min="1874" max="1874" width="6" bestFit="1" customWidth="1"/>
    <col min="1875" max="1875" width="8.6640625" bestFit="1" customWidth="1"/>
    <col min="1876" max="1876" width="6" bestFit="1" customWidth="1"/>
    <col min="1877" max="1877" width="8.6640625" bestFit="1" customWidth="1"/>
    <col min="1878" max="1878" width="6" bestFit="1" customWidth="1"/>
    <col min="1879" max="1879" width="8.6640625" bestFit="1" customWidth="1"/>
    <col min="1880" max="1880" width="6" bestFit="1" customWidth="1"/>
    <col min="1881" max="1881" width="8.6640625" bestFit="1" customWidth="1"/>
    <col min="1882" max="1882" width="6" bestFit="1" customWidth="1"/>
    <col min="1883" max="1883" width="8.6640625" bestFit="1" customWidth="1"/>
    <col min="1884" max="1884" width="6" bestFit="1" customWidth="1"/>
    <col min="1885" max="1885" width="8.6640625" bestFit="1" customWidth="1"/>
    <col min="1886" max="1886" width="6" bestFit="1" customWidth="1"/>
    <col min="1887" max="1887" width="8.6640625" bestFit="1" customWidth="1"/>
    <col min="1888" max="1888" width="6" bestFit="1" customWidth="1"/>
    <col min="1889" max="1889" width="8.6640625" bestFit="1" customWidth="1"/>
    <col min="1890" max="1890" width="6" bestFit="1" customWidth="1"/>
    <col min="1891" max="1891" width="8.6640625" bestFit="1" customWidth="1"/>
    <col min="1892" max="1892" width="6" bestFit="1" customWidth="1"/>
    <col min="1893" max="1893" width="8.6640625" bestFit="1" customWidth="1"/>
    <col min="1894" max="1894" width="6" bestFit="1" customWidth="1"/>
    <col min="1895" max="1895" width="8.6640625" bestFit="1" customWidth="1"/>
    <col min="1896" max="1896" width="6" bestFit="1" customWidth="1"/>
    <col min="1897" max="1897" width="8.6640625" bestFit="1" customWidth="1"/>
    <col min="1898" max="1898" width="6" bestFit="1" customWidth="1"/>
    <col min="1899" max="1899" width="8.6640625" bestFit="1" customWidth="1"/>
    <col min="1900" max="1900" width="6" bestFit="1" customWidth="1"/>
    <col min="1901" max="1901" width="8.6640625" bestFit="1" customWidth="1"/>
    <col min="1902" max="1902" width="6" bestFit="1" customWidth="1"/>
    <col min="1903" max="1903" width="8.6640625" bestFit="1" customWidth="1"/>
    <col min="1904" max="1904" width="6" bestFit="1" customWidth="1"/>
    <col min="1905" max="1905" width="8.6640625" bestFit="1" customWidth="1"/>
    <col min="1906" max="1906" width="6" bestFit="1" customWidth="1"/>
    <col min="1907" max="1907" width="8.6640625" bestFit="1" customWidth="1"/>
    <col min="1908" max="1908" width="6" bestFit="1" customWidth="1"/>
    <col min="1909" max="1909" width="8.6640625" bestFit="1" customWidth="1"/>
    <col min="1910" max="1910" width="6" bestFit="1" customWidth="1"/>
    <col min="1911" max="1911" width="8.6640625" bestFit="1" customWidth="1"/>
    <col min="1912" max="1912" width="6" bestFit="1" customWidth="1"/>
    <col min="1913" max="1913" width="8.6640625" bestFit="1" customWidth="1"/>
    <col min="1914" max="1914" width="6" bestFit="1" customWidth="1"/>
    <col min="1915" max="1915" width="8.6640625" bestFit="1" customWidth="1"/>
    <col min="1916" max="1916" width="6" bestFit="1" customWidth="1"/>
    <col min="1917" max="1917" width="8.6640625" bestFit="1" customWidth="1"/>
    <col min="1918" max="1918" width="6" bestFit="1" customWidth="1"/>
    <col min="1919" max="1919" width="8.6640625" bestFit="1" customWidth="1"/>
    <col min="1920" max="1920" width="6" bestFit="1" customWidth="1"/>
    <col min="1921" max="1921" width="8.6640625" bestFit="1" customWidth="1"/>
    <col min="1922" max="1922" width="6" bestFit="1" customWidth="1"/>
    <col min="1923" max="1923" width="8.6640625" bestFit="1" customWidth="1"/>
    <col min="1924" max="1924" width="6" bestFit="1" customWidth="1"/>
    <col min="1925" max="1925" width="8.6640625" bestFit="1" customWidth="1"/>
    <col min="1926" max="1926" width="6" bestFit="1" customWidth="1"/>
    <col min="1927" max="1927" width="8.6640625" bestFit="1" customWidth="1"/>
    <col min="1928" max="1928" width="6" bestFit="1" customWidth="1"/>
    <col min="1929" max="1929" width="8.6640625" bestFit="1" customWidth="1"/>
    <col min="1930" max="1930" width="6" bestFit="1" customWidth="1"/>
    <col min="1931" max="1931" width="8.6640625" bestFit="1" customWidth="1"/>
    <col min="1932" max="1932" width="6" bestFit="1" customWidth="1"/>
    <col min="1933" max="1933" width="8.6640625" bestFit="1" customWidth="1"/>
    <col min="1934" max="1934" width="6" bestFit="1" customWidth="1"/>
    <col min="1935" max="1935" width="8.6640625" bestFit="1" customWidth="1"/>
    <col min="1936" max="1936" width="6" bestFit="1" customWidth="1"/>
    <col min="1937" max="1937" width="8.6640625" bestFit="1" customWidth="1"/>
    <col min="1938" max="1938" width="6" bestFit="1" customWidth="1"/>
    <col min="1939" max="1939" width="8.6640625" bestFit="1" customWidth="1"/>
    <col min="1940" max="1940" width="6" bestFit="1" customWidth="1"/>
    <col min="1941" max="1941" width="8.6640625" bestFit="1" customWidth="1"/>
    <col min="1942" max="1942" width="6" bestFit="1" customWidth="1"/>
    <col min="1943" max="1943" width="8.6640625" bestFit="1" customWidth="1"/>
    <col min="1944" max="1944" width="6" bestFit="1" customWidth="1"/>
    <col min="1945" max="1945" width="8.6640625" bestFit="1" customWidth="1"/>
    <col min="1946" max="1946" width="6" bestFit="1" customWidth="1"/>
    <col min="1947" max="1947" width="8.6640625" bestFit="1" customWidth="1"/>
    <col min="1948" max="1948" width="6" bestFit="1" customWidth="1"/>
    <col min="1949" max="1949" width="8.6640625" bestFit="1" customWidth="1"/>
    <col min="1950" max="1950" width="6" bestFit="1" customWidth="1"/>
    <col min="1951" max="1951" width="8.6640625" bestFit="1" customWidth="1"/>
    <col min="1952" max="1952" width="6" bestFit="1" customWidth="1"/>
    <col min="1953" max="1953" width="8.6640625" bestFit="1" customWidth="1"/>
    <col min="1954" max="1954" width="6" bestFit="1" customWidth="1"/>
    <col min="1955" max="1955" width="8.6640625" bestFit="1" customWidth="1"/>
    <col min="1956" max="1956" width="6" bestFit="1" customWidth="1"/>
    <col min="1957" max="1957" width="8.6640625" bestFit="1" customWidth="1"/>
    <col min="1958" max="1958" width="6" bestFit="1" customWidth="1"/>
    <col min="1959" max="1959" width="8.6640625" bestFit="1" customWidth="1"/>
    <col min="1960" max="1960" width="6" bestFit="1" customWidth="1"/>
    <col min="1961" max="1961" width="8.6640625" bestFit="1" customWidth="1"/>
    <col min="1962" max="1962" width="6" bestFit="1" customWidth="1"/>
    <col min="1963" max="1963" width="8.6640625" bestFit="1" customWidth="1"/>
    <col min="1964" max="1964" width="6" bestFit="1" customWidth="1"/>
    <col min="1965" max="1965" width="8.6640625" bestFit="1" customWidth="1"/>
    <col min="1966" max="1966" width="6" bestFit="1" customWidth="1"/>
    <col min="1967" max="1967" width="8.6640625" bestFit="1" customWidth="1"/>
    <col min="1968" max="1968" width="6" bestFit="1" customWidth="1"/>
    <col min="1969" max="1969" width="8.6640625" bestFit="1" customWidth="1"/>
    <col min="1970" max="1970" width="6" bestFit="1" customWidth="1"/>
    <col min="1971" max="1971" width="8.6640625" bestFit="1" customWidth="1"/>
    <col min="1972" max="1972" width="6" bestFit="1" customWidth="1"/>
    <col min="1973" max="1973" width="8.6640625" bestFit="1" customWidth="1"/>
    <col min="1974" max="1974" width="6" bestFit="1" customWidth="1"/>
    <col min="1975" max="1975" width="8.6640625" bestFit="1" customWidth="1"/>
    <col min="1976" max="1976" width="6" bestFit="1" customWidth="1"/>
    <col min="1977" max="1977" width="8.6640625" bestFit="1" customWidth="1"/>
    <col min="1978" max="1978" width="6" bestFit="1" customWidth="1"/>
    <col min="1979" max="1979" width="8.6640625" bestFit="1" customWidth="1"/>
    <col min="1980" max="1980" width="6" bestFit="1" customWidth="1"/>
    <col min="1981" max="1981" width="8.6640625" bestFit="1" customWidth="1"/>
    <col min="1982" max="1982" width="6" bestFit="1" customWidth="1"/>
    <col min="1983" max="1983" width="8.6640625" bestFit="1" customWidth="1"/>
    <col min="1984" max="1984" width="6" bestFit="1" customWidth="1"/>
    <col min="1985" max="1985" width="8.6640625" bestFit="1" customWidth="1"/>
    <col min="1986" max="1986" width="6" bestFit="1" customWidth="1"/>
    <col min="1987" max="1987" width="8.6640625" bestFit="1" customWidth="1"/>
    <col min="1988" max="1988" width="6" bestFit="1" customWidth="1"/>
    <col min="1989" max="1989" width="8.6640625" bestFit="1" customWidth="1"/>
    <col min="1990" max="1990" width="6" bestFit="1" customWidth="1"/>
    <col min="1991" max="1991" width="8.6640625" bestFit="1" customWidth="1"/>
    <col min="1992" max="1992" width="6" bestFit="1" customWidth="1"/>
    <col min="1993" max="1993" width="8.6640625" bestFit="1" customWidth="1"/>
    <col min="1994" max="1994" width="6" bestFit="1" customWidth="1"/>
    <col min="1995" max="1995" width="8.6640625" bestFit="1" customWidth="1"/>
    <col min="1996" max="1996" width="6" bestFit="1" customWidth="1"/>
    <col min="1997" max="1997" width="8.6640625" bestFit="1" customWidth="1"/>
    <col min="1998" max="1998" width="6" bestFit="1" customWidth="1"/>
    <col min="1999" max="1999" width="8.6640625" bestFit="1" customWidth="1"/>
    <col min="2000" max="2000" width="7" bestFit="1" customWidth="1"/>
    <col min="2001" max="2001" width="9.6640625" bestFit="1" customWidth="1"/>
    <col min="2002" max="2002" width="9" bestFit="1" customWidth="1"/>
    <col min="2003" max="2003" width="4" bestFit="1" customWidth="1"/>
    <col min="2004" max="2004" width="11.6640625" bestFit="1" customWidth="1"/>
    <col min="2005" max="2005" width="10.77734375" bestFit="1" customWidth="1"/>
  </cols>
  <sheetData>
    <row r="3" spans="1:6">
      <c r="A3" s="4" t="s">
        <v>59</v>
      </c>
      <c r="B3" s="4" t="s">
        <v>37</v>
      </c>
    </row>
    <row r="4" spans="1:6">
      <c r="A4" s="4" t="s">
        <v>32</v>
      </c>
      <c r="B4">
        <v>0</v>
      </c>
      <c r="C4">
        <v>0.106</v>
      </c>
      <c r="D4">
        <v>1</v>
      </c>
      <c r="E4">
        <v>106</v>
      </c>
      <c r="F4" t="s">
        <v>33</v>
      </c>
    </row>
    <row r="5" spans="1:6">
      <c r="A5" s="5">
        <v>0</v>
      </c>
      <c r="B5" s="6">
        <v>430585</v>
      </c>
      <c r="C5" s="6"/>
      <c r="D5" s="6">
        <v>2441</v>
      </c>
      <c r="E5" s="6"/>
      <c r="F5" s="6">
        <v>433026</v>
      </c>
    </row>
    <row r="6" spans="1:6">
      <c r="A6" s="5">
        <v>1</v>
      </c>
      <c r="B6" s="6">
        <v>14778</v>
      </c>
      <c r="C6" s="6"/>
      <c r="D6" s="6">
        <v>52696</v>
      </c>
      <c r="E6" s="6"/>
      <c r="F6" s="6">
        <v>67474</v>
      </c>
    </row>
    <row r="7" spans="1:6">
      <c r="A7" s="5" t="s">
        <v>38</v>
      </c>
      <c r="B7" s="6"/>
      <c r="C7" s="6"/>
      <c r="D7" s="6"/>
      <c r="E7" s="6"/>
      <c r="F7" s="6"/>
    </row>
    <row r="8" spans="1:6">
      <c r="A8" s="5" t="s">
        <v>33</v>
      </c>
      <c r="B8" s="6">
        <v>445363</v>
      </c>
      <c r="C8" s="6"/>
      <c r="D8" s="6">
        <v>55137</v>
      </c>
      <c r="E8" s="6"/>
      <c r="F8" s="6">
        <v>500500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3"/>
  <sheetViews>
    <sheetView workbookViewId="0">
      <selection activeCell="J17" sqref="J17"/>
    </sheetView>
  </sheetViews>
  <sheetFormatPr defaultRowHeight="14.4"/>
  <cols>
    <col min="2" max="2" width="12.88671875" customWidth="1"/>
    <col min="3" max="4" width="8.88671875" customWidth="1"/>
    <col min="9" max="9" width="17" customWidth="1"/>
    <col min="11" max="11" width="21.109375" customWidth="1"/>
    <col min="14" max="14" width="12.21875" customWidth="1"/>
    <col min="15" max="15" width="16.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6" t="s">
        <v>58</v>
      </c>
      <c r="P1" s="3" t="s">
        <v>39</v>
      </c>
    </row>
    <row r="2" spans="1:16">
      <c r="A2">
        <v>1</v>
      </c>
      <c r="B2" s="2">
        <v>45108</v>
      </c>
      <c r="C2">
        <v>42994</v>
      </c>
      <c r="D2">
        <v>9488</v>
      </c>
      <c r="E2">
        <v>2.68</v>
      </c>
      <c r="F2">
        <v>0.25</v>
      </c>
      <c r="G2">
        <v>1.32</v>
      </c>
      <c r="H2">
        <v>670</v>
      </c>
      <c r="I2">
        <v>0</v>
      </c>
      <c r="K2">
        <v>0</v>
      </c>
      <c r="L2">
        <v>12</v>
      </c>
      <c r="M2" t="s">
        <v>14</v>
      </c>
      <c r="N2">
        <v>0</v>
      </c>
      <c r="O2">
        <f>IF(J2="",0,1)</f>
        <v>0</v>
      </c>
      <c r="P2">
        <f>IF(I2=K2,0,1)</f>
        <v>0</v>
      </c>
    </row>
    <row r="3" spans="1:16">
      <c r="A3">
        <v>2</v>
      </c>
      <c r="B3" s="2">
        <v>45505</v>
      </c>
      <c r="C3">
        <v>20175</v>
      </c>
      <c r="D3">
        <v>6101</v>
      </c>
      <c r="E3">
        <v>0.93</v>
      </c>
      <c r="F3">
        <v>0.43</v>
      </c>
      <c r="G3">
        <v>1.05</v>
      </c>
      <c r="H3">
        <v>674</v>
      </c>
      <c r="I3">
        <v>0</v>
      </c>
      <c r="K3">
        <v>0</v>
      </c>
      <c r="L3">
        <v>18</v>
      </c>
      <c r="M3" t="s">
        <v>15</v>
      </c>
      <c r="N3">
        <v>0.3</v>
      </c>
      <c r="O3">
        <f t="shared" ref="O3:O66" si="0">IF(J3="",0,1)</f>
        <v>0</v>
      </c>
      <c r="P3">
        <f t="shared" ref="P3:P66" si="1">IF(I3=K3,0,1)</f>
        <v>0</v>
      </c>
    </row>
    <row r="4" spans="1:16">
      <c r="A4">
        <v>3</v>
      </c>
      <c r="B4" s="2">
        <v>45352</v>
      </c>
      <c r="C4">
        <v>55000</v>
      </c>
      <c r="D4">
        <v>14744</v>
      </c>
      <c r="E4">
        <v>1.81</v>
      </c>
      <c r="F4">
        <v>2.58</v>
      </c>
      <c r="G4">
        <v>1.44</v>
      </c>
      <c r="H4">
        <v>751</v>
      </c>
      <c r="I4">
        <v>1</v>
      </c>
      <c r="J4">
        <v>2220</v>
      </c>
      <c r="K4">
        <v>1</v>
      </c>
      <c r="L4">
        <v>12</v>
      </c>
      <c r="M4" t="s">
        <v>15</v>
      </c>
      <c r="N4">
        <v>0.35</v>
      </c>
      <c r="O4">
        <f t="shared" si="0"/>
        <v>1</v>
      </c>
      <c r="P4">
        <f t="shared" si="1"/>
        <v>0</v>
      </c>
    </row>
    <row r="5" spans="1:16">
      <c r="A5">
        <v>4</v>
      </c>
      <c r="B5" s="2">
        <v>45231</v>
      </c>
      <c r="C5">
        <v>12333</v>
      </c>
      <c r="D5">
        <v>3874</v>
      </c>
      <c r="E5">
        <v>1.04</v>
      </c>
      <c r="F5">
        <v>3.32</v>
      </c>
      <c r="G5">
        <v>1.87</v>
      </c>
      <c r="H5">
        <v>639</v>
      </c>
      <c r="I5">
        <v>0</v>
      </c>
      <c r="K5">
        <v>0</v>
      </c>
      <c r="L5">
        <v>12</v>
      </c>
      <c r="M5" t="s">
        <v>14</v>
      </c>
      <c r="N5">
        <v>0.35</v>
      </c>
      <c r="O5">
        <f t="shared" si="0"/>
        <v>0</v>
      </c>
      <c r="P5">
        <f t="shared" si="1"/>
        <v>0</v>
      </c>
    </row>
    <row r="6" spans="1:16">
      <c r="A6">
        <v>5</v>
      </c>
      <c r="B6" s="2">
        <v>45139</v>
      </c>
      <c r="C6">
        <v>34789</v>
      </c>
      <c r="D6">
        <v>16751</v>
      </c>
      <c r="E6">
        <v>1.86</v>
      </c>
      <c r="F6">
        <v>0.84</v>
      </c>
      <c r="G6">
        <v>1.63</v>
      </c>
      <c r="H6">
        <v>752</v>
      </c>
      <c r="I6">
        <v>0</v>
      </c>
      <c r="K6">
        <v>0</v>
      </c>
      <c r="L6">
        <v>12</v>
      </c>
      <c r="M6" t="s">
        <v>14</v>
      </c>
      <c r="N6">
        <v>0</v>
      </c>
      <c r="O6">
        <f t="shared" si="0"/>
        <v>0</v>
      </c>
      <c r="P6">
        <f t="shared" si="1"/>
        <v>0</v>
      </c>
    </row>
    <row r="7" spans="1:16">
      <c r="A7">
        <v>6</v>
      </c>
      <c r="B7" s="2">
        <v>45536</v>
      </c>
      <c r="C7">
        <v>16528</v>
      </c>
      <c r="D7">
        <v>12048</v>
      </c>
      <c r="E7">
        <v>1.04</v>
      </c>
      <c r="F7">
        <v>0.38</v>
      </c>
      <c r="G7">
        <v>0.87</v>
      </c>
      <c r="H7">
        <v>692</v>
      </c>
      <c r="I7">
        <v>0</v>
      </c>
      <c r="K7">
        <v>0</v>
      </c>
      <c r="L7">
        <v>18</v>
      </c>
      <c r="M7" t="s">
        <v>15</v>
      </c>
      <c r="N7">
        <v>0</v>
      </c>
      <c r="O7">
        <f t="shared" si="0"/>
        <v>0</v>
      </c>
      <c r="P7">
        <f t="shared" si="1"/>
        <v>0</v>
      </c>
    </row>
    <row r="8" spans="1:16">
      <c r="A8">
        <v>7</v>
      </c>
      <c r="B8" s="2">
        <v>45108</v>
      </c>
      <c r="C8">
        <v>23773</v>
      </c>
      <c r="D8">
        <v>9641</v>
      </c>
      <c r="E8">
        <v>1.32</v>
      </c>
      <c r="F8">
        <v>3.92</v>
      </c>
      <c r="G8">
        <v>1.76</v>
      </c>
      <c r="H8">
        <v>671</v>
      </c>
      <c r="I8">
        <v>0</v>
      </c>
      <c r="K8">
        <v>0</v>
      </c>
      <c r="L8">
        <v>18</v>
      </c>
      <c r="M8" t="s">
        <v>14</v>
      </c>
      <c r="N8">
        <v>0.35</v>
      </c>
      <c r="O8">
        <f t="shared" si="0"/>
        <v>0</v>
      </c>
      <c r="P8">
        <f t="shared" si="1"/>
        <v>0</v>
      </c>
    </row>
    <row r="9" spans="1:16">
      <c r="A9">
        <v>8</v>
      </c>
      <c r="B9" s="2">
        <v>45474</v>
      </c>
      <c r="C9">
        <v>37452</v>
      </c>
      <c r="D9">
        <v>4375</v>
      </c>
      <c r="E9">
        <v>1.39</v>
      </c>
      <c r="F9">
        <v>2.76</v>
      </c>
      <c r="G9">
        <v>1</v>
      </c>
      <c r="H9">
        <v>818</v>
      </c>
      <c r="I9">
        <v>0</v>
      </c>
      <c r="K9">
        <v>0</v>
      </c>
      <c r="L9">
        <v>12</v>
      </c>
      <c r="M9" t="s">
        <v>15</v>
      </c>
      <c r="N9">
        <v>0.35</v>
      </c>
      <c r="O9">
        <f t="shared" si="0"/>
        <v>0</v>
      </c>
      <c r="P9">
        <f t="shared" si="1"/>
        <v>0</v>
      </c>
    </row>
    <row r="10" spans="1:16">
      <c r="A10">
        <v>9</v>
      </c>
      <c r="B10" s="2">
        <v>45597</v>
      </c>
      <c r="C10">
        <v>20759</v>
      </c>
      <c r="D10">
        <v>19140</v>
      </c>
      <c r="E10">
        <v>2.09</v>
      </c>
      <c r="F10">
        <v>1.46</v>
      </c>
      <c r="G10">
        <v>1.47</v>
      </c>
      <c r="H10">
        <v>622</v>
      </c>
      <c r="I10">
        <v>0</v>
      </c>
      <c r="K10">
        <v>0</v>
      </c>
      <c r="L10">
        <v>6</v>
      </c>
      <c r="M10" t="s">
        <v>15</v>
      </c>
      <c r="N10">
        <v>0</v>
      </c>
      <c r="O10">
        <f t="shared" si="0"/>
        <v>0</v>
      </c>
      <c r="P10">
        <f t="shared" si="1"/>
        <v>0</v>
      </c>
    </row>
    <row r="11" spans="1:16">
      <c r="A11">
        <v>10</v>
      </c>
      <c r="B11" s="2">
        <v>45231</v>
      </c>
      <c r="C11">
        <v>28284</v>
      </c>
      <c r="D11">
        <v>9201</v>
      </c>
      <c r="E11">
        <v>2.06</v>
      </c>
      <c r="F11">
        <v>0.51</v>
      </c>
      <c r="G11">
        <v>1.18</v>
      </c>
      <c r="H11">
        <v>661</v>
      </c>
      <c r="I11">
        <v>0</v>
      </c>
      <c r="K11">
        <v>0</v>
      </c>
      <c r="L11">
        <v>18</v>
      </c>
      <c r="M11" t="s">
        <v>14</v>
      </c>
      <c r="N11">
        <v>0</v>
      </c>
      <c r="O11">
        <f t="shared" si="0"/>
        <v>0</v>
      </c>
      <c r="P11">
        <f t="shared" si="1"/>
        <v>0</v>
      </c>
    </row>
    <row r="12" spans="1:16">
      <c r="A12">
        <v>11</v>
      </c>
      <c r="B12" s="2">
        <v>45231</v>
      </c>
      <c r="C12">
        <v>69849</v>
      </c>
      <c r="D12">
        <v>5890</v>
      </c>
      <c r="F12">
        <v>0.87</v>
      </c>
      <c r="G12">
        <v>1.23</v>
      </c>
      <c r="H12">
        <v>612</v>
      </c>
      <c r="I12">
        <v>0</v>
      </c>
      <c r="K12">
        <v>0</v>
      </c>
      <c r="L12">
        <v>18</v>
      </c>
      <c r="M12" t="s">
        <v>14</v>
      </c>
      <c r="N12">
        <v>0</v>
      </c>
      <c r="O12">
        <f t="shared" si="0"/>
        <v>0</v>
      </c>
      <c r="P12">
        <f t="shared" si="1"/>
        <v>0</v>
      </c>
    </row>
    <row r="13" spans="1:16">
      <c r="A13">
        <v>12</v>
      </c>
      <c r="B13" s="2">
        <v>45627</v>
      </c>
      <c r="C13">
        <v>24960</v>
      </c>
      <c r="D13">
        <v>1789</v>
      </c>
      <c r="E13">
        <v>1.58</v>
      </c>
      <c r="F13">
        <v>0.81</v>
      </c>
      <c r="G13">
        <v>1.77</v>
      </c>
      <c r="H13">
        <v>732</v>
      </c>
      <c r="I13">
        <v>0</v>
      </c>
      <c r="K13">
        <v>0</v>
      </c>
      <c r="L13">
        <v>12</v>
      </c>
      <c r="M13" t="s">
        <v>15</v>
      </c>
      <c r="N13">
        <v>0</v>
      </c>
      <c r="O13">
        <f t="shared" si="0"/>
        <v>0</v>
      </c>
      <c r="P13">
        <f t="shared" si="1"/>
        <v>0</v>
      </c>
    </row>
    <row r="14" spans="1:16">
      <c r="A14">
        <v>13</v>
      </c>
      <c r="B14" s="2">
        <v>45536</v>
      </c>
      <c r="C14">
        <v>62517</v>
      </c>
      <c r="D14">
        <v>13105</v>
      </c>
      <c r="E14">
        <v>1.1599999999999999</v>
      </c>
      <c r="F14">
        <v>1.1399999999999999</v>
      </c>
      <c r="G14">
        <v>0.78</v>
      </c>
      <c r="H14">
        <v>773</v>
      </c>
      <c r="I14">
        <v>0</v>
      </c>
      <c r="K14">
        <v>0</v>
      </c>
      <c r="L14">
        <v>18</v>
      </c>
      <c r="M14" t="s">
        <v>15</v>
      </c>
      <c r="N14">
        <v>0.15</v>
      </c>
      <c r="O14">
        <f t="shared" si="0"/>
        <v>0</v>
      </c>
      <c r="P14">
        <f t="shared" si="1"/>
        <v>0</v>
      </c>
    </row>
    <row r="15" spans="1:16">
      <c r="A15">
        <v>14</v>
      </c>
      <c r="B15" s="2">
        <v>45017</v>
      </c>
      <c r="C15">
        <v>17426</v>
      </c>
      <c r="D15">
        <v>46193</v>
      </c>
      <c r="E15">
        <v>0.86</v>
      </c>
      <c r="F15">
        <v>2.5</v>
      </c>
      <c r="G15">
        <v>2.42</v>
      </c>
      <c r="H15">
        <v>772</v>
      </c>
      <c r="I15">
        <v>0</v>
      </c>
      <c r="K15">
        <v>0</v>
      </c>
      <c r="L15">
        <v>12</v>
      </c>
      <c r="M15" t="s">
        <v>14</v>
      </c>
      <c r="N15">
        <v>0.64999999999999991</v>
      </c>
      <c r="O15">
        <f t="shared" si="0"/>
        <v>0</v>
      </c>
      <c r="P15">
        <f t="shared" si="1"/>
        <v>0</v>
      </c>
    </row>
    <row r="16" spans="1:16">
      <c r="A16">
        <v>15</v>
      </c>
      <c r="B16" s="2">
        <v>45139</v>
      </c>
      <c r="C16">
        <v>51245</v>
      </c>
      <c r="D16">
        <v>42740</v>
      </c>
      <c r="E16">
        <v>1.43</v>
      </c>
      <c r="F16">
        <v>1.67</v>
      </c>
      <c r="G16">
        <v>0.35</v>
      </c>
      <c r="H16">
        <v>747</v>
      </c>
      <c r="I16">
        <v>0</v>
      </c>
      <c r="K16">
        <v>0</v>
      </c>
      <c r="L16">
        <v>12</v>
      </c>
      <c r="M16" t="s">
        <v>14</v>
      </c>
      <c r="N16">
        <v>0.15</v>
      </c>
      <c r="O16">
        <f t="shared" si="0"/>
        <v>0</v>
      </c>
      <c r="P16">
        <f t="shared" si="1"/>
        <v>0</v>
      </c>
    </row>
    <row r="17" spans="1:16">
      <c r="A17">
        <v>16</v>
      </c>
      <c r="B17" s="2">
        <v>45627</v>
      </c>
      <c r="C17">
        <v>92690</v>
      </c>
      <c r="D17">
        <v>9701</v>
      </c>
      <c r="E17">
        <v>1.38</v>
      </c>
      <c r="F17">
        <v>0.43</v>
      </c>
      <c r="G17">
        <v>1.02</v>
      </c>
      <c r="H17">
        <v>669</v>
      </c>
      <c r="I17">
        <v>0</v>
      </c>
      <c r="K17">
        <v>0</v>
      </c>
      <c r="L17">
        <v>12</v>
      </c>
      <c r="M17" t="s">
        <v>15</v>
      </c>
      <c r="N17">
        <v>0</v>
      </c>
      <c r="O17">
        <f t="shared" si="0"/>
        <v>0</v>
      </c>
      <c r="P17">
        <f t="shared" si="1"/>
        <v>0</v>
      </c>
    </row>
    <row r="18" spans="1:16">
      <c r="A18">
        <v>17</v>
      </c>
      <c r="B18" s="2">
        <v>44986</v>
      </c>
      <c r="C18">
        <v>7284</v>
      </c>
      <c r="D18">
        <v>8764</v>
      </c>
      <c r="E18">
        <v>2.88</v>
      </c>
      <c r="F18">
        <v>2.37</v>
      </c>
      <c r="G18">
        <v>1.55</v>
      </c>
      <c r="H18">
        <v>660</v>
      </c>
      <c r="I18">
        <v>0</v>
      </c>
      <c r="K18">
        <v>0</v>
      </c>
      <c r="L18">
        <v>12</v>
      </c>
      <c r="M18" t="s">
        <v>14</v>
      </c>
      <c r="N18">
        <v>0.35</v>
      </c>
      <c r="O18">
        <f t="shared" si="0"/>
        <v>0</v>
      </c>
      <c r="P18">
        <f t="shared" si="1"/>
        <v>0</v>
      </c>
    </row>
    <row r="19" spans="1:16">
      <c r="A19">
        <v>18</v>
      </c>
      <c r="B19" s="2">
        <v>45566</v>
      </c>
      <c r="C19">
        <v>21634</v>
      </c>
      <c r="D19">
        <v>18548</v>
      </c>
      <c r="E19">
        <v>1.79</v>
      </c>
      <c r="F19">
        <v>1.1299999999999999</v>
      </c>
      <c r="G19">
        <v>1.67</v>
      </c>
      <c r="H19">
        <v>588</v>
      </c>
      <c r="I19">
        <v>0</v>
      </c>
      <c r="K19">
        <v>0</v>
      </c>
      <c r="L19">
        <v>18</v>
      </c>
      <c r="M19" t="s">
        <v>15</v>
      </c>
      <c r="N19">
        <v>0.2</v>
      </c>
      <c r="O19">
        <f t="shared" si="0"/>
        <v>0</v>
      </c>
      <c r="P19">
        <f t="shared" si="1"/>
        <v>0</v>
      </c>
    </row>
    <row r="20" spans="1:16">
      <c r="A20">
        <v>19</v>
      </c>
      <c r="B20" s="2">
        <v>45536</v>
      </c>
      <c r="C20">
        <v>52844</v>
      </c>
      <c r="D20">
        <v>6642</v>
      </c>
      <c r="E20">
        <v>0.79</v>
      </c>
      <c r="F20">
        <v>1.46</v>
      </c>
      <c r="G20">
        <v>1.29</v>
      </c>
      <c r="H20">
        <v>792</v>
      </c>
      <c r="I20">
        <v>0</v>
      </c>
      <c r="K20">
        <v>0</v>
      </c>
      <c r="L20">
        <v>6</v>
      </c>
      <c r="M20" t="s">
        <v>15</v>
      </c>
      <c r="N20">
        <v>0.3</v>
      </c>
      <c r="O20">
        <f t="shared" si="0"/>
        <v>0</v>
      </c>
      <c r="P20">
        <f t="shared" si="1"/>
        <v>0</v>
      </c>
    </row>
    <row r="21" spans="1:16">
      <c r="A21">
        <v>20</v>
      </c>
      <c r="B21" s="2">
        <v>44958</v>
      </c>
      <c r="C21">
        <v>31825</v>
      </c>
      <c r="D21">
        <v>16502</v>
      </c>
      <c r="E21">
        <v>1.24</v>
      </c>
      <c r="F21">
        <v>2.5299999999999998</v>
      </c>
      <c r="G21">
        <v>1.32</v>
      </c>
      <c r="H21">
        <v>706</v>
      </c>
      <c r="I21">
        <v>0</v>
      </c>
      <c r="K21">
        <v>0</v>
      </c>
      <c r="L21">
        <v>18</v>
      </c>
      <c r="M21" t="s">
        <v>14</v>
      </c>
      <c r="N21">
        <v>0.35</v>
      </c>
      <c r="O21">
        <f t="shared" si="0"/>
        <v>0</v>
      </c>
      <c r="P21">
        <f t="shared" si="1"/>
        <v>0</v>
      </c>
    </row>
    <row r="22" spans="1:16">
      <c r="A22">
        <v>21</v>
      </c>
      <c r="B22" s="2">
        <v>45627</v>
      </c>
      <c r="C22">
        <v>46224</v>
      </c>
      <c r="D22">
        <v>22840</v>
      </c>
      <c r="E22">
        <v>2.11</v>
      </c>
      <c r="F22">
        <v>0.42</v>
      </c>
      <c r="G22">
        <v>1.58</v>
      </c>
      <c r="H22">
        <v>653</v>
      </c>
      <c r="I22">
        <v>0</v>
      </c>
      <c r="K22">
        <v>0</v>
      </c>
      <c r="L22">
        <v>12</v>
      </c>
      <c r="M22" t="s">
        <v>15</v>
      </c>
      <c r="N22">
        <v>0</v>
      </c>
      <c r="O22">
        <f t="shared" si="0"/>
        <v>0</v>
      </c>
      <c r="P22">
        <f t="shared" si="1"/>
        <v>0</v>
      </c>
    </row>
    <row r="23" spans="1:16">
      <c r="A23">
        <v>22</v>
      </c>
      <c r="B23" s="2">
        <v>45261</v>
      </c>
      <c r="C23">
        <v>24524</v>
      </c>
      <c r="D23">
        <v>31535</v>
      </c>
      <c r="E23">
        <v>2.7</v>
      </c>
      <c r="F23">
        <v>0.88</v>
      </c>
      <c r="G23">
        <v>1.22</v>
      </c>
      <c r="H23">
        <v>753</v>
      </c>
      <c r="I23">
        <v>0</v>
      </c>
      <c r="K23">
        <v>0</v>
      </c>
      <c r="L23">
        <v>6</v>
      </c>
      <c r="M23" t="s">
        <v>14</v>
      </c>
      <c r="N23">
        <v>0</v>
      </c>
      <c r="O23">
        <f t="shared" si="0"/>
        <v>0</v>
      </c>
      <c r="P23">
        <f t="shared" si="1"/>
        <v>0</v>
      </c>
    </row>
    <row r="24" spans="1:16">
      <c r="A24">
        <v>23</v>
      </c>
      <c r="B24" s="2">
        <v>45078</v>
      </c>
      <c r="C24">
        <v>38418</v>
      </c>
      <c r="D24">
        <v>12455</v>
      </c>
      <c r="E24">
        <v>0.68</v>
      </c>
      <c r="F24">
        <v>0.62</v>
      </c>
      <c r="G24">
        <v>2.12</v>
      </c>
      <c r="H24">
        <v>626</v>
      </c>
      <c r="I24">
        <v>0</v>
      </c>
      <c r="K24">
        <v>0</v>
      </c>
      <c r="L24">
        <v>12</v>
      </c>
      <c r="M24" t="s">
        <v>14</v>
      </c>
      <c r="N24">
        <v>0.3</v>
      </c>
      <c r="O24">
        <f t="shared" si="0"/>
        <v>0</v>
      </c>
      <c r="P24">
        <f t="shared" si="1"/>
        <v>0</v>
      </c>
    </row>
    <row r="25" spans="1:16">
      <c r="A25">
        <v>24</v>
      </c>
      <c r="B25" s="2">
        <v>44958</v>
      </c>
      <c r="C25">
        <v>32821</v>
      </c>
      <c r="D25">
        <v>11585</v>
      </c>
      <c r="E25">
        <v>0.52</v>
      </c>
      <c r="F25">
        <v>0.3</v>
      </c>
      <c r="G25">
        <v>1.81</v>
      </c>
      <c r="H25">
        <v>702</v>
      </c>
      <c r="I25">
        <v>0</v>
      </c>
      <c r="K25">
        <v>0</v>
      </c>
      <c r="L25">
        <v>12</v>
      </c>
      <c r="M25" t="s">
        <v>14</v>
      </c>
      <c r="N25">
        <v>0.3</v>
      </c>
      <c r="O25">
        <f t="shared" si="0"/>
        <v>0</v>
      </c>
      <c r="P25">
        <f t="shared" si="1"/>
        <v>0</v>
      </c>
    </row>
    <row r="26" spans="1:16">
      <c r="A26">
        <v>25</v>
      </c>
      <c r="B26" s="2">
        <v>45536</v>
      </c>
      <c r="C26">
        <v>77579</v>
      </c>
      <c r="D26">
        <v>7226</v>
      </c>
      <c r="E26">
        <v>2.58</v>
      </c>
      <c r="F26">
        <v>1.1499999999999999</v>
      </c>
      <c r="G26">
        <v>1.83</v>
      </c>
      <c r="I26">
        <v>0</v>
      </c>
      <c r="K26">
        <v>0</v>
      </c>
      <c r="L26">
        <v>18</v>
      </c>
      <c r="M26" t="s">
        <v>15</v>
      </c>
      <c r="N26">
        <v>0</v>
      </c>
      <c r="O26">
        <f t="shared" si="0"/>
        <v>0</v>
      </c>
      <c r="P26">
        <f t="shared" si="1"/>
        <v>0</v>
      </c>
    </row>
    <row r="27" spans="1:16">
      <c r="A27">
        <v>26</v>
      </c>
      <c r="B27" s="2">
        <v>44927</v>
      </c>
      <c r="C27">
        <v>42846</v>
      </c>
      <c r="D27">
        <v>7489</v>
      </c>
      <c r="E27">
        <v>1.76</v>
      </c>
      <c r="F27">
        <v>5.25</v>
      </c>
      <c r="G27">
        <v>0.82</v>
      </c>
      <c r="H27">
        <v>715</v>
      </c>
      <c r="I27">
        <v>0</v>
      </c>
      <c r="K27">
        <v>0</v>
      </c>
      <c r="L27">
        <v>18</v>
      </c>
      <c r="M27" t="s">
        <v>14</v>
      </c>
      <c r="N27">
        <v>0.35</v>
      </c>
      <c r="O27">
        <f t="shared" si="0"/>
        <v>0</v>
      </c>
      <c r="P27">
        <f t="shared" si="1"/>
        <v>0</v>
      </c>
    </row>
    <row r="28" spans="1:16">
      <c r="A28">
        <v>27</v>
      </c>
      <c r="B28" s="2">
        <v>45261</v>
      </c>
      <c r="C28">
        <v>45227</v>
      </c>
      <c r="D28">
        <v>11401</v>
      </c>
      <c r="E28">
        <v>1.07</v>
      </c>
      <c r="F28">
        <v>0.25</v>
      </c>
      <c r="G28">
        <v>1.31</v>
      </c>
      <c r="H28">
        <v>677</v>
      </c>
      <c r="I28">
        <v>0</v>
      </c>
      <c r="K28">
        <v>0</v>
      </c>
      <c r="L28">
        <v>6</v>
      </c>
      <c r="M28" t="s">
        <v>14</v>
      </c>
      <c r="N28">
        <v>0</v>
      </c>
      <c r="O28">
        <f t="shared" si="0"/>
        <v>0</v>
      </c>
      <c r="P28">
        <f t="shared" si="1"/>
        <v>0</v>
      </c>
    </row>
    <row r="29" spans="1:16">
      <c r="A29">
        <v>28</v>
      </c>
      <c r="B29" s="2">
        <v>45566</v>
      </c>
      <c r="C29">
        <v>27786</v>
      </c>
      <c r="D29">
        <v>17277</v>
      </c>
      <c r="E29">
        <v>1.84</v>
      </c>
      <c r="F29">
        <v>0.88</v>
      </c>
      <c r="G29">
        <v>1.18</v>
      </c>
      <c r="H29">
        <v>600</v>
      </c>
      <c r="I29">
        <v>0</v>
      </c>
      <c r="K29">
        <v>0</v>
      </c>
      <c r="L29">
        <v>6</v>
      </c>
      <c r="M29" t="s">
        <v>15</v>
      </c>
      <c r="N29">
        <v>0</v>
      </c>
      <c r="O29">
        <f t="shared" si="0"/>
        <v>0</v>
      </c>
      <c r="P29">
        <f t="shared" si="1"/>
        <v>0</v>
      </c>
    </row>
    <row r="30" spans="1:16">
      <c r="A30">
        <v>29</v>
      </c>
      <c r="B30" s="2">
        <v>45261</v>
      </c>
      <c r="C30">
        <v>26451</v>
      </c>
      <c r="D30">
        <v>25324</v>
      </c>
      <c r="E30">
        <v>0.2</v>
      </c>
      <c r="F30">
        <v>1.42</v>
      </c>
      <c r="G30">
        <v>0.8</v>
      </c>
      <c r="H30">
        <v>684</v>
      </c>
      <c r="I30">
        <v>0</v>
      </c>
      <c r="K30">
        <v>0</v>
      </c>
      <c r="L30">
        <v>18</v>
      </c>
      <c r="M30" t="s">
        <v>14</v>
      </c>
      <c r="N30">
        <v>0.3</v>
      </c>
      <c r="O30">
        <f t="shared" si="0"/>
        <v>0</v>
      </c>
      <c r="P30">
        <f t="shared" si="1"/>
        <v>0</v>
      </c>
    </row>
    <row r="31" spans="1:16">
      <c r="A31">
        <v>30</v>
      </c>
      <c r="B31" s="2">
        <v>45413</v>
      </c>
      <c r="C31">
        <v>27415</v>
      </c>
      <c r="D31">
        <v>7614</v>
      </c>
      <c r="E31">
        <v>1.55</v>
      </c>
      <c r="F31">
        <v>0.99</v>
      </c>
      <c r="G31">
        <v>1.55</v>
      </c>
      <c r="H31">
        <v>738</v>
      </c>
      <c r="I31">
        <v>0</v>
      </c>
      <c r="K31">
        <v>0</v>
      </c>
      <c r="L31">
        <v>12</v>
      </c>
      <c r="M31" t="s">
        <v>15</v>
      </c>
      <c r="N31">
        <v>0</v>
      </c>
      <c r="O31">
        <f t="shared" si="0"/>
        <v>0</v>
      </c>
      <c r="P31">
        <f t="shared" si="1"/>
        <v>0</v>
      </c>
    </row>
    <row r="32" spans="1:16">
      <c r="A32">
        <v>31</v>
      </c>
      <c r="B32" s="2">
        <v>45200</v>
      </c>
      <c r="C32">
        <v>46929</v>
      </c>
      <c r="D32">
        <v>37983</v>
      </c>
      <c r="E32">
        <v>1.73</v>
      </c>
      <c r="F32">
        <v>0.84</v>
      </c>
      <c r="G32">
        <v>1.05</v>
      </c>
      <c r="H32">
        <v>678</v>
      </c>
      <c r="I32">
        <v>0</v>
      </c>
      <c r="K32">
        <v>0</v>
      </c>
      <c r="L32">
        <v>12</v>
      </c>
      <c r="M32" t="s">
        <v>14</v>
      </c>
      <c r="N32">
        <v>0</v>
      </c>
      <c r="O32">
        <f t="shared" si="0"/>
        <v>0</v>
      </c>
      <c r="P32">
        <f t="shared" si="1"/>
        <v>0</v>
      </c>
    </row>
    <row r="33" spans="1:16">
      <c r="A33">
        <v>32</v>
      </c>
      <c r="B33" s="2">
        <v>45383</v>
      </c>
      <c r="C33">
        <v>27622</v>
      </c>
      <c r="D33">
        <v>11050</v>
      </c>
      <c r="E33">
        <v>2.06</v>
      </c>
      <c r="F33">
        <v>0.36</v>
      </c>
      <c r="G33">
        <v>1.71</v>
      </c>
      <c r="H33">
        <v>723</v>
      </c>
      <c r="I33">
        <v>0</v>
      </c>
      <c r="K33">
        <v>0</v>
      </c>
      <c r="L33">
        <v>6</v>
      </c>
      <c r="M33" t="s">
        <v>15</v>
      </c>
      <c r="N33">
        <v>0</v>
      </c>
      <c r="O33">
        <f t="shared" si="0"/>
        <v>0</v>
      </c>
      <c r="P33">
        <f t="shared" si="1"/>
        <v>0</v>
      </c>
    </row>
    <row r="34" spans="1:16">
      <c r="A34">
        <v>33</v>
      </c>
      <c r="B34" s="2">
        <v>45352</v>
      </c>
      <c r="C34">
        <v>43842</v>
      </c>
      <c r="D34">
        <v>13161</v>
      </c>
      <c r="E34">
        <v>0.99</v>
      </c>
      <c r="F34">
        <v>1.06</v>
      </c>
      <c r="G34">
        <v>0.76</v>
      </c>
      <c r="H34">
        <v>622</v>
      </c>
      <c r="I34">
        <v>0</v>
      </c>
      <c r="K34">
        <v>0</v>
      </c>
      <c r="L34">
        <v>12</v>
      </c>
      <c r="M34" t="s">
        <v>15</v>
      </c>
      <c r="N34">
        <v>0.45</v>
      </c>
      <c r="O34">
        <f t="shared" si="0"/>
        <v>0</v>
      </c>
      <c r="P34">
        <f t="shared" si="1"/>
        <v>0</v>
      </c>
    </row>
    <row r="35" spans="1:16">
      <c r="A35">
        <v>34</v>
      </c>
      <c r="B35" s="2">
        <v>45352</v>
      </c>
      <c r="C35">
        <v>139946</v>
      </c>
      <c r="D35">
        <v>7918</v>
      </c>
      <c r="E35">
        <v>1.6</v>
      </c>
      <c r="F35">
        <v>0.53</v>
      </c>
      <c r="G35">
        <v>2.2999999999999998</v>
      </c>
      <c r="H35">
        <v>679</v>
      </c>
      <c r="I35">
        <v>0</v>
      </c>
      <c r="K35">
        <v>0</v>
      </c>
      <c r="L35">
        <v>18</v>
      </c>
      <c r="M35" t="s">
        <v>15</v>
      </c>
      <c r="N35">
        <v>0</v>
      </c>
      <c r="O35">
        <f t="shared" si="0"/>
        <v>0</v>
      </c>
      <c r="P35">
        <f t="shared" si="1"/>
        <v>0</v>
      </c>
    </row>
    <row r="36" spans="1:16">
      <c r="A36">
        <v>35</v>
      </c>
      <c r="B36" s="2">
        <v>45474</v>
      </c>
      <c r="C36">
        <v>63974</v>
      </c>
      <c r="D36">
        <v>2448</v>
      </c>
      <c r="E36">
        <v>1.04</v>
      </c>
      <c r="F36">
        <v>0.2</v>
      </c>
      <c r="G36">
        <v>0.86</v>
      </c>
      <c r="H36">
        <v>646</v>
      </c>
      <c r="I36">
        <v>1</v>
      </c>
      <c r="K36">
        <v>0</v>
      </c>
      <c r="L36">
        <v>12</v>
      </c>
      <c r="M36" t="s">
        <v>15</v>
      </c>
      <c r="N36">
        <v>0</v>
      </c>
      <c r="O36">
        <f t="shared" si="0"/>
        <v>0</v>
      </c>
      <c r="P36">
        <f t="shared" si="1"/>
        <v>1</v>
      </c>
    </row>
    <row r="37" spans="1:16">
      <c r="A37">
        <v>36</v>
      </c>
      <c r="B37" s="2">
        <v>45261</v>
      </c>
      <c r="C37">
        <v>29380</v>
      </c>
      <c r="D37">
        <v>24806</v>
      </c>
      <c r="E37">
        <v>1.69</v>
      </c>
      <c r="F37">
        <v>2.09</v>
      </c>
      <c r="G37">
        <v>1.47</v>
      </c>
      <c r="H37">
        <v>721</v>
      </c>
      <c r="I37">
        <v>0</v>
      </c>
      <c r="K37">
        <v>0</v>
      </c>
      <c r="L37">
        <v>6</v>
      </c>
      <c r="M37" t="s">
        <v>14</v>
      </c>
      <c r="N37">
        <v>0.35</v>
      </c>
      <c r="O37">
        <f t="shared" si="0"/>
        <v>0</v>
      </c>
      <c r="P37">
        <f t="shared" si="1"/>
        <v>0</v>
      </c>
    </row>
    <row r="38" spans="1:16">
      <c r="A38">
        <v>37</v>
      </c>
      <c r="B38" s="2">
        <v>45597</v>
      </c>
      <c r="C38">
        <v>79284</v>
      </c>
      <c r="D38">
        <v>22377</v>
      </c>
      <c r="E38">
        <v>1.06</v>
      </c>
      <c r="F38">
        <v>1.77</v>
      </c>
      <c r="G38">
        <v>1.79</v>
      </c>
      <c r="H38">
        <v>682</v>
      </c>
      <c r="I38">
        <v>0</v>
      </c>
      <c r="K38">
        <v>0</v>
      </c>
      <c r="L38">
        <v>12</v>
      </c>
      <c r="M38" t="s">
        <v>15</v>
      </c>
      <c r="N38">
        <v>0</v>
      </c>
      <c r="O38">
        <f t="shared" si="0"/>
        <v>0</v>
      </c>
      <c r="P38">
        <f t="shared" si="1"/>
        <v>0</v>
      </c>
    </row>
    <row r="39" spans="1:16">
      <c r="A39">
        <v>38</v>
      </c>
      <c r="B39" s="2">
        <v>45505</v>
      </c>
      <c r="C39">
        <v>27855</v>
      </c>
      <c r="D39">
        <v>10972</v>
      </c>
      <c r="E39">
        <v>1.33</v>
      </c>
      <c r="F39">
        <v>0.94</v>
      </c>
      <c r="G39">
        <v>1.04</v>
      </c>
      <c r="H39">
        <v>718</v>
      </c>
      <c r="I39">
        <v>0</v>
      </c>
      <c r="K39">
        <v>0</v>
      </c>
      <c r="L39">
        <v>12</v>
      </c>
      <c r="M39" t="s">
        <v>15</v>
      </c>
      <c r="N39">
        <v>0</v>
      </c>
      <c r="O39">
        <f t="shared" si="0"/>
        <v>0</v>
      </c>
      <c r="P39">
        <f t="shared" si="1"/>
        <v>0</v>
      </c>
    </row>
    <row r="40" spans="1:16">
      <c r="A40">
        <v>39</v>
      </c>
      <c r="B40" s="2">
        <v>44986</v>
      </c>
      <c r="C40">
        <v>9655</v>
      </c>
      <c r="D40">
        <v>14001</v>
      </c>
      <c r="E40">
        <v>1</v>
      </c>
      <c r="F40">
        <v>1.06</v>
      </c>
      <c r="G40">
        <v>1.82</v>
      </c>
      <c r="H40">
        <v>740</v>
      </c>
      <c r="I40">
        <v>0</v>
      </c>
      <c r="K40">
        <v>0</v>
      </c>
      <c r="L40">
        <v>12</v>
      </c>
      <c r="M40" t="s">
        <v>14</v>
      </c>
      <c r="N40">
        <v>0</v>
      </c>
      <c r="O40">
        <f t="shared" si="0"/>
        <v>0</v>
      </c>
      <c r="P40">
        <f t="shared" si="1"/>
        <v>0</v>
      </c>
    </row>
    <row r="41" spans="1:16">
      <c r="A41">
        <v>40</v>
      </c>
      <c r="B41" s="2">
        <v>45047</v>
      </c>
      <c r="C41">
        <v>18859</v>
      </c>
      <c r="D41">
        <v>19171</v>
      </c>
      <c r="E41">
        <v>1.91</v>
      </c>
      <c r="F41">
        <v>1.92</v>
      </c>
      <c r="G41">
        <v>0.67</v>
      </c>
      <c r="H41">
        <v>718</v>
      </c>
      <c r="I41">
        <v>1</v>
      </c>
      <c r="J41">
        <v>26504</v>
      </c>
      <c r="K41">
        <v>1</v>
      </c>
      <c r="L41">
        <v>12</v>
      </c>
      <c r="M41" t="s">
        <v>14</v>
      </c>
      <c r="N41">
        <v>0.15</v>
      </c>
      <c r="O41">
        <f t="shared" si="0"/>
        <v>1</v>
      </c>
      <c r="P41">
        <f t="shared" si="1"/>
        <v>0</v>
      </c>
    </row>
    <row r="42" spans="1:16">
      <c r="A42">
        <v>41</v>
      </c>
      <c r="B42" s="2">
        <v>45474</v>
      </c>
      <c r="C42">
        <v>10764</v>
      </c>
      <c r="D42">
        <v>4475</v>
      </c>
      <c r="E42">
        <v>2.02</v>
      </c>
      <c r="F42">
        <v>1.06</v>
      </c>
      <c r="G42">
        <v>2.15</v>
      </c>
      <c r="H42">
        <v>695</v>
      </c>
      <c r="I42">
        <v>0</v>
      </c>
      <c r="K42">
        <v>0</v>
      </c>
      <c r="L42">
        <v>12</v>
      </c>
      <c r="M42" t="s">
        <v>15</v>
      </c>
      <c r="N42">
        <v>0</v>
      </c>
      <c r="O42">
        <f t="shared" si="0"/>
        <v>0</v>
      </c>
      <c r="P42">
        <f t="shared" si="1"/>
        <v>0</v>
      </c>
    </row>
    <row r="43" spans="1:16">
      <c r="A43">
        <v>42</v>
      </c>
      <c r="B43" s="2">
        <v>45108</v>
      </c>
      <c r="C43">
        <v>28898</v>
      </c>
      <c r="D43">
        <v>9225</v>
      </c>
      <c r="E43">
        <v>1.42</v>
      </c>
      <c r="F43">
        <v>1.7</v>
      </c>
      <c r="G43">
        <v>1.36</v>
      </c>
      <c r="H43">
        <v>625</v>
      </c>
      <c r="I43">
        <v>0</v>
      </c>
      <c r="K43">
        <v>0</v>
      </c>
      <c r="L43">
        <v>12</v>
      </c>
      <c r="M43" t="s">
        <v>14</v>
      </c>
      <c r="N43">
        <v>0</v>
      </c>
      <c r="O43">
        <f t="shared" si="0"/>
        <v>0</v>
      </c>
      <c r="P43">
        <f t="shared" si="1"/>
        <v>0</v>
      </c>
    </row>
    <row r="44" spans="1:16">
      <c r="A44">
        <v>43</v>
      </c>
      <c r="B44" s="2">
        <v>45536</v>
      </c>
      <c r="C44">
        <v>36753</v>
      </c>
      <c r="D44">
        <v>23295</v>
      </c>
      <c r="E44">
        <v>1.57</v>
      </c>
      <c r="F44">
        <v>0.73</v>
      </c>
      <c r="G44">
        <v>1.02</v>
      </c>
      <c r="H44">
        <v>680</v>
      </c>
      <c r="I44">
        <v>0</v>
      </c>
      <c r="K44">
        <v>0</v>
      </c>
      <c r="L44">
        <v>6</v>
      </c>
      <c r="M44" t="s">
        <v>15</v>
      </c>
      <c r="N44">
        <v>0</v>
      </c>
      <c r="O44">
        <f t="shared" si="0"/>
        <v>0</v>
      </c>
      <c r="P44">
        <f t="shared" si="1"/>
        <v>0</v>
      </c>
    </row>
    <row r="45" spans="1:16">
      <c r="A45">
        <v>44</v>
      </c>
      <c r="B45" s="2">
        <v>45170</v>
      </c>
      <c r="C45">
        <v>107978</v>
      </c>
      <c r="D45">
        <v>5552</v>
      </c>
      <c r="E45">
        <v>0.75</v>
      </c>
      <c r="F45">
        <v>2.27</v>
      </c>
      <c r="G45">
        <v>1.19</v>
      </c>
      <c r="H45">
        <v>651</v>
      </c>
      <c r="I45">
        <v>0</v>
      </c>
      <c r="K45">
        <v>0</v>
      </c>
      <c r="L45">
        <v>6</v>
      </c>
      <c r="M45" t="s">
        <v>14</v>
      </c>
      <c r="N45">
        <v>0.64999999999999991</v>
      </c>
      <c r="O45">
        <f t="shared" si="0"/>
        <v>0</v>
      </c>
      <c r="P45">
        <f t="shared" si="1"/>
        <v>0</v>
      </c>
    </row>
    <row r="46" spans="1:16">
      <c r="A46">
        <v>45</v>
      </c>
      <c r="B46" s="2">
        <v>45108</v>
      </c>
      <c r="C46">
        <v>44914</v>
      </c>
      <c r="D46">
        <v>16407</v>
      </c>
      <c r="E46">
        <v>1.39</v>
      </c>
      <c r="F46">
        <v>1.1299999999999999</v>
      </c>
      <c r="G46">
        <v>1.79</v>
      </c>
      <c r="H46">
        <v>661</v>
      </c>
      <c r="I46">
        <v>0</v>
      </c>
      <c r="K46">
        <v>0</v>
      </c>
      <c r="L46">
        <v>12</v>
      </c>
      <c r="M46" t="s">
        <v>14</v>
      </c>
      <c r="N46">
        <v>0</v>
      </c>
      <c r="O46">
        <f t="shared" si="0"/>
        <v>0</v>
      </c>
      <c r="P46">
        <f t="shared" si="1"/>
        <v>0</v>
      </c>
    </row>
    <row r="47" spans="1:16">
      <c r="A47">
        <v>46</v>
      </c>
      <c r="B47" s="2">
        <v>45444</v>
      </c>
      <c r="C47">
        <v>31495</v>
      </c>
      <c r="D47">
        <v>5169</v>
      </c>
      <c r="E47">
        <v>1.52</v>
      </c>
      <c r="F47">
        <v>1.04</v>
      </c>
      <c r="G47">
        <v>1.03</v>
      </c>
      <c r="H47">
        <v>659</v>
      </c>
      <c r="I47">
        <v>0</v>
      </c>
      <c r="K47">
        <v>0</v>
      </c>
      <c r="L47">
        <v>12</v>
      </c>
      <c r="M47" t="s">
        <v>15</v>
      </c>
      <c r="N47">
        <v>0</v>
      </c>
      <c r="O47">
        <f t="shared" si="0"/>
        <v>0</v>
      </c>
      <c r="P47">
        <f t="shared" si="1"/>
        <v>0</v>
      </c>
    </row>
    <row r="48" spans="1:16">
      <c r="A48">
        <v>47</v>
      </c>
      <c r="B48" s="2">
        <v>45017</v>
      </c>
      <c r="C48">
        <v>62262</v>
      </c>
      <c r="D48">
        <v>18518</v>
      </c>
      <c r="E48">
        <v>2.99</v>
      </c>
      <c r="F48">
        <v>0.37</v>
      </c>
      <c r="G48">
        <v>0.94</v>
      </c>
      <c r="H48">
        <v>626</v>
      </c>
      <c r="I48">
        <v>0</v>
      </c>
      <c r="K48">
        <v>0</v>
      </c>
      <c r="L48">
        <v>12</v>
      </c>
      <c r="M48" t="s">
        <v>14</v>
      </c>
      <c r="N48">
        <v>0</v>
      </c>
      <c r="O48">
        <f t="shared" si="0"/>
        <v>0</v>
      </c>
      <c r="P48">
        <f t="shared" si="1"/>
        <v>0</v>
      </c>
    </row>
    <row r="49" spans="1:16">
      <c r="A49">
        <v>48</v>
      </c>
      <c r="B49" s="2">
        <v>45323</v>
      </c>
      <c r="C49">
        <v>8628</v>
      </c>
      <c r="D49">
        <v>13031</v>
      </c>
      <c r="E49">
        <v>0.94</v>
      </c>
      <c r="F49">
        <v>1.1100000000000001</v>
      </c>
      <c r="G49">
        <v>1.23</v>
      </c>
      <c r="H49">
        <v>572</v>
      </c>
      <c r="I49">
        <v>0</v>
      </c>
      <c r="K49">
        <v>0</v>
      </c>
      <c r="L49">
        <v>12</v>
      </c>
      <c r="M49" t="s">
        <v>15</v>
      </c>
      <c r="N49">
        <v>0.5</v>
      </c>
      <c r="O49">
        <f t="shared" si="0"/>
        <v>0</v>
      </c>
      <c r="P49">
        <f t="shared" si="1"/>
        <v>0</v>
      </c>
    </row>
    <row r="50" spans="1:16">
      <c r="A50">
        <v>49</v>
      </c>
      <c r="B50" s="2">
        <v>45444</v>
      </c>
      <c r="C50">
        <v>42326</v>
      </c>
      <c r="D50">
        <v>4313</v>
      </c>
      <c r="E50">
        <v>2.36</v>
      </c>
      <c r="F50">
        <v>0.51</v>
      </c>
      <c r="G50">
        <v>0.7</v>
      </c>
      <c r="H50">
        <v>643</v>
      </c>
      <c r="I50">
        <v>1</v>
      </c>
      <c r="J50">
        <v>48971</v>
      </c>
      <c r="K50">
        <v>1</v>
      </c>
      <c r="L50">
        <v>18</v>
      </c>
      <c r="M50" t="s">
        <v>15</v>
      </c>
      <c r="N50">
        <v>0.15</v>
      </c>
      <c r="O50">
        <f t="shared" si="0"/>
        <v>1</v>
      </c>
      <c r="P50">
        <f t="shared" si="1"/>
        <v>0</v>
      </c>
    </row>
    <row r="51" spans="1:16">
      <c r="A51">
        <v>50</v>
      </c>
      <c r="B51" s="2">
        <v>45170</v>
      </c>
      <c r="C51">
        <v>59938</v>
      </c>
      <c r="D51">
        <v>30192</v>
      </c>
      <c r="E51">
        <v>2.1</v>
      </c>
      <c r="F51">
        <v>0.57999999999999996</v>
      </c>
      <c r="G51">
        <v>2.35</v>
      </c>
      <c r="H51">
        <v>691</v>
      </c>
      <c r="I51">
        <v>0</v>
      </c>
      <c r="K51">
        <v>0</v>
      </c>
      <c r="L51">
        <v>12</v>
      </c>
      <c r="M51" t="s">
        <v>14</v>
      </c>
      <c r="N51">
        <v>0</v>
      </c>
      <c r="O51">
        <f t="shared" si="0"/>
        <v>0</v>
      </c>
      <c r="P51">
        <f t="shared" si="1"/>
        <v>0</v>
      </c>
    </row>
    <row r="52" spans="1:16">
      <c r="A52">
        <v>51</v>
      </c>
      <c r="B52" s="2">
        <v>45536</v>
      </c>
      <c r="C52">
        <v>13890</v>
      </c>
      <c r="D52">
        <v>7989</v>
      </c>
      <c r="E52">
        <v>1.7</v>
      </c>
      <c r="F52">
        <v>0.51</v>
      </c>
      <c r="G52">
        <v>1.04</v>
      </c>
      <c r="H52">
        <v>606</v>
      </c>
      <c r="I52">
        <v>0</v>
      </c>
      <c r="K52">
        <v>0</v>
      </c>
      <c r="L52">
        <v>12</v>
      </c>
      <c r="M52" t="s">
        <v>15</v>
      </c>
      <c r="N52">
        <v>0</v>
      </c>
      <c r="O52">
        <f t="shared" si="0"/>
        <v>0</v>
      </c>
      <c r="P52">
        <f t="shared" si="1"/>
        <v>0</v>
      </c>
    </row>
    <row r="53" spans="1:16">
      <c r="A53">
        <v>52</v>
      </c>
      <c r="B53" s="2">
        <v>44958</v>
      </c>
      <c r="C53">
        <v>76377</v>
      </c>
      <c r="D53">
        <v>7577</v>
      </c>
      <c r="E53">
        <v>2.52</v>
      </c>
      <c r="F53">
        <v>0.43</v>
      </c>
      <c r="G53">
        <v>1.81</v>
      </c>
      <c r="H53">
        <v>681</v>
      </c>
      <c r="I53">
        <v>0</v>
      </c>
      <c r="K53">
        <v>0</v>
      </c>
      <c r="L53">
        <v>12</v>
      </c>
      <c r="M53" t="s">
        <v>14</v>
      </c>
      <c r="N53">
        <v>0</v>
      </c>
      <c r="O53">
        <f t="shared" si="0"/>
        <v>0</v>
      </c>
      <c r="P53">
        <f t="shared" si="1"/>
        <v>0</v>
      </c>
    </row>
    <row r="54" spans="1:16">
      <c r="A54">
        <v>53</v>
      </c>
      <c r="B54" s="2">
        <v>45505</v>
      </c>
      <c r="C54">
        <v>45253</v>
      </c>
      <c r="D54">
        <v>15373</v>
      </c>
      <c r="E54">
        <v>1.75</v>
      </c>
      <c r="F54">
        <v>4</v>
      </c>
      <c r="G54">
        <v>1.47</v>
      </c>
      <c r="H54">
        <v>785</v>
      </c>
      <c r="I54">
        <v>0</v>
      </c>
      <c r="K54">
        <v>0</v>
      </c>
      <c r="L54">
        <v>18</v>
      </c>
      <c r="M54" t="s">
        <v>15</v>
      </c>
      <c r="N54">
        <v>0.35</v>
      </c>
      <c r="O54">
        <f t="shared" si="0"/>
        <v>0</v>
      </c>
      <c r="P54">
        <f t="shared" si="1"/>
        <v>0</v>
      </c>
    </row>
    <row r="55" spans="1:16">
      <c r="A55">
        <v>54</v>
      </c>
      <c r="B55" s="2">
        <v>45352</v>
      </c>
      <c r="C55">
        <v>27724</v>
      </c>
      <c r="D55">
        <v>29853</v>
      </c>
      <c r="E55">
        <v>1.76</v>
      </c>
      <c r="F55">
        <v>2.2999999999999998</v>
      </c>
      <c r="G55">
        <v>0.81</v>
      </c>
      <c r="H55">
        <v>736</v>
      </c>
      <c r="I55">
        <v>0</v>
      </c>
      <c r="K55">
        <v>0</v>
      </c>
      <c r="L55">
        <v>6</v>
      </c>
      <c r="M55" t="s">
        <v>15</v>
      </c>
      <c r="N55">
        <v>0.35</v>
      </c>
      <c r="O55">
        <f t="shared" si="0"/>
        <v>0</v>
      </c>
      <c r="P55">
        <f t="shared" si="1"/>
        <v>0</v>
      </c>
    </row>
    <row r="56" spans="1:16">
      <c r="A56">
        <v>55</v>
      </c>
      <c r="B56" s="2">
        <v>45108</v>
      </c>
      <c r="C56">
        <v>54792</v>
      </c>
      <c r="D56">
        <v>6561</v>
      </c>
      <c r="E56">
        <v>1.52</v>
      </c>
      <c r="F56">
        <v>3.47</v>
      </c>
      <c r="G56">
        <v>1.35</v>
      </c>
      <c r="H56">
        <v>770</v>
      </c>
      <c r="I56">
        <v>0</v>
      </c>
      <c r="K56">
        <v>0</v>
      </c>
      <c r="L56">
        <v>12</v>
      </c>
      <c r="M56" t="s">
        <v>14</v>
      </c>
      <c r="N56">
        <v>0.35</v>
      </c>
      <c r="O56">
        <f t="shared" si="0"/>
        <v>0</v>
      </c>
      <c r="P56">
        <f t="shared" si="1"/>
        <v>0</v>
      </c>
    </row>
    <row r="57" spans="1:16">
      <c r="A57">
        <v>56</v>
      </c>
      <c r="B57" s="2">
        <v>45261</v>
      </c>
      <c r="C57">
        <v>158887</v>
      </c>
      <c r="D57">
        <v>13949</v>
      </c>
      <c r="E57">
        <v>2.2200000000000002</v>
      </c>
      <c r="F57">
        <v>0.38</v>
      </c>
      <c r="G57">
        <v>1.78</v>
      </c>
      <c r="H57">
        <v>702</v>
      </c>
      <c r="I57">
        <v>0</v>
      </c>
      <c r="K57">
        <v>0</v>
      </c>
      <c r="L57">
        <v>18</v>
      </c>
      <c r="M57" t="s">
        <v>14</v>
      </c>
      <c r="N57">
        <v>0</v>
      </c>
      <c r="O57">
        <f t="shared" si="0"/>
        <v>0</v>
      </c>
      <c r="P57">
        <f t="shared" si="1"/>
        <v>0</v>
      </c>
    </row>
    <row r="58" spans="1:16">
      <c r="A58">
        <v>57</v>
      </c>
      <c r="B58" s="2">
        <v>45139</v>
      </c>
      <c r="C58">
        <v>40873</v>
      </c>
      <c r="D58">
        <v>18037</v>
      </c>
      <c r="E58">
        <v>2.15</v>
      </c>
      <c r="F58">
        <v>0.95</v>
      </c>
      <c r="G58">
        <v>1.25</v>
      </c>
      <c r="H58">
        <v>744</v>
      </c>
      <c r="I58">
        <v>1</v>
      </c>
      <c r="J58">
        <v>14813</v>
      </c>
      <c r="K58">
        <v>1</v>
      </c>
      <c r="L58">
        <v>12</v>
      </c>
      <c r="M58" t="s">
        <v>14</v>
      </c>
      <c r="N58">
        <v>0</v>
      </c>
      <c r="O58">
        <f t="shared" si="0"/>
        <v>1</v>
      </c>
      <c r="P58">
        <f t="shared" si="1"/>
        <v>0</v>
      </c>
    </row>
    <row r="59" spans="1:16">
      <c r="A59">
        <v>58</v>
      </c>
      <c r="B59" s="2">
        <v>45352</v>
      </c>
      <c r="C59">
        <v>42674</v>
      </c>
      <c r="D59">
        <v>21702</v>
      </c>
      <c r="E59">
        <v>1.21</v>
      </c>
      <c r="F59">
        <v>0.37</v>
      </c>
      <c r="G59">
        <v>2.0099999999999998</v>
      </c>
      <c r="H59">
        <v>640</v>
      </c>
      <c r="I59">
        <v>0</v>
      </c>
      <c r="K59">
        <v>0</v>
      </c>
      <c r="L59">
        <v>12</v>
      </c>
      <c r="M59" t="s">
        <v>15</v>
      </c>
      <c r="N59">
        <v>0</v>
      </c>
      <c r="O59">
        <f t="shared" si="0"/>
        <v>0</v>
      </c>
      <c r="P59">
        <f t="shared" si="1"/>
        <v>0</v>
      </c>
    </row>
    <row r="60" spans="1:16">
      <c r="A60">
        <v>59</v>
      </c>
      <c r="B60" s="2">
        <v>44986</v>
      </c>
      <c r="C60">
        <v>26941</v>
      </c>
      <c r="D60">
        <v>15116</v>
      </c>
      <c r="E60">
        <v>0.82</v>
      </c>
      <c r="F60">
        <v>0.56000000000000005</v>
      </c>
      <c r="G60">
        <v>1.91</v>
      </c>
      <c r="H60">
        <v>645</v>
      </c>
      <c r="I60">
        <v>0</v>
      </c>
      <c r="K60">
        <v>0</v>
      </c>
      <c r="L60">
        <v>18</v>
      </c>
      <c r="M60" t="s">
        <v>14</v>
      </c>
      <c r="N60">
        <v>0.3</v>
      </c>
      <c r="O60">
        <f t="shared" si="0"/>
        <v>0</v>
      </c>
      <c r="P60">
        <f t="shared" si="1"/>
        <v>0</v>
      </c>
    </row>
    <row r="61" spans="1:16">
      <c r="A61">
        <v>60</v>
      </c>
      <c r="B61" s="2">
        <v>45323</v>
      </c>
      <c r="C61">
        <v>20902</v>
      </c>
      <c r="D61">
        <v>10333</v>
      </c>
      <c r="E61">
        <v>1.44</v>
      </c>
      <c r="F61">
        <v>0.48</v>
      </c>
      <c r="G61">
        <v>1.86</v>
      </c>
      <c r="H61">
        <v>529</v>
      </c>
      <c r="I61">
        <v>0</v>
      </c>
      <c r="K61">
        <v>0</v>
      </c>
      <c r="L61">
        <v>18</v>
      </c>
      <c r="M61" t="s">
        <v>15</v>
      </c>
      <c r="N61">
        <v>0.2</v>
      </c>
      <c r="O61">
        <f t="shared" si="0"/>
        <v>0</v>
      </c>
      <c r="P61">
        <f t="shared" si="1"/>
        <v>0</v>
      </c>
    </row>
    <row r="62" spans="1:16">
      <c r="A62">
        <v>61</v>
      </c>
      <c r="B62" s="2">
        <v>45413</v>
      </c>
      <c r="C62">
        <v>62300</v>
      </c>
      <c r="D62">
        <v>7485</v>
      </c>
      <c r="E62">
        <v>1.1100000000000001</v>
      </c>
      <c r="F62">
        <v>2.15</v>
      </c>
      <c r="G62">
        <v>1.1000000000000001</v>
      </c>
      <c r="H62">
        <v>745</v>
      </c>
      <c r="I62">
        <v>0</v>
      </c>
      <c r="K62">
        <v>0</v>
      </c>
      <c r="L62">
        <v>6</v>
      </c>
      <c r="M62" t="s">
        <v>15</v>
      </c>
      <c r="N62">
        <v>0.35</v>
      </c>
      <c r="O62">
        <f t="shared" si="0"/>
        <v>0</v>
      </c>
      <c r="P62">
        <f t="shared" si="1"/>
        <v>0</v>
      </c>
    </row>
    <row r="63" spans="1:16">
      <c r="A63">
        <v>62</v>
      </c>
      <c r="B63" s="2">
        <v>45017</v>
      </c>
      <c r="C63">
        <v>20817</v>
      </c>
      <c r="D63">
        <v>14190</v>
      </c>
      <c r="E63">
        <v>1.52</v>
      </c>
      <c r="F63">
        <v>0.69</v>
      </c>
      <c r="G63">
        <v>0.76</v>
      </c>
      <c r="H63">
        <v>765</v>
      </c>
      <c r="I63">
        <v>0</v>
      </c>
      <c r="K63">
        <v>0</v>
      </c>
      <c r="L63">
        <v>12</v>
      </c>
      <c r="M63" t="s">
        <v>14</v>
      </c>
      <c r="N63">
        <v>0.15</v>
      </c>
      <c r="O63">
        <f t="shared" si="0"/>
        <v>0</v>
      </c>
      <c r="P63">
        <f t="shared" si="1"/>
        <v>0</v>
      </c>
    </row>
    <row r="64" spans="1:16">
      <c r="A64">
        <v>63</v>
      </c>
      <c r="B64" s="2">
        <v>45444</v>
      </c>
      <c r="C64">
        <v>38045</v>
      </c>
      <c r="D64">
        <v>6308</v>
      </c>
      <c r="E64">
        <v>2.23</v>
      </c>
      <c r="F64">
        <v>1.91</v>
      </c>
      <c r="G64">
        <v>1.01</v>
      </c>
      <c r="H64">
        <v>650</v>
      </c>
      <c r="I64">
        <v>0</v>
      </c>
      <c r="K64">
        <v>0</v>
      </c>
      <c r="L64">
        <v>12</v>
      </c>
      <c r="M64" t="s">
        <v>15</v>
      </c>
      <c r="N64">
        <v>0</v>
      </c>
      <c r="O64">
        <f t="shared" si="0"/>
        <v>0</v>
      </c>
      <c r="P64">
        <f t="shared" si="1"/>
        <v>0</v>
      </c>
    </row>
    <row r="65" spans="1:16">
      <c r="A65">
        <v>64</v>
      </c>
      <c r="B65" s="2">
        <v>45139</v>
      </c>
      <c r="C65">
        <v>26623</v>
      </c>
      <c r="D65">
        <v>1729</v>
      </c>
      <c r="E65">
        <v>1.3</v>
      </c>
      <c r="F65">
        <v>1.38</v>
      </c>
      <c r="G65">
        <v>1.46</v>
      </c>
      <c r="H65">
        <v>666</v>
      </c>
      <c r="I65">
        <v>0</v>
      </c>
      <c r="K65">
        <v>0</v>
      </c>
      <c r="L65">
        <v>12</v>
      </c>
      <c r="M65" t="s">
        <v>14</v>
      </c>
      <c r="N65">
        <v>0</v>
      </c>
      <c r="O65">
        <f t="shared" si="0"/>
        <v>0</v>
      </c>
      <c r="P65">
        <f t="shared" si="1"/>
        <v>0</v>
      </c>
    </row>
    <row r="66" spans="1:16">
      <c r="A66">
        <v>65</v>
      </c>
      <c r="B66" s="2">
        <v>45017</v>
      </c>
      <c r="C66">
        <v>49580</v>
      </c>
      <c r="D66">
        <v>18135</v>
      </c>
      <c r="E66">
        <v>1.53</v>
      </c>
      <c r="F66">
        <v>4.54</v>
      </c>
      <c r="G66">
        <v>1.65</v>
      </c>
      <c r="H66">
        <v>639</v>
      </c>
      <c r="I66">
        <v>0</v>
      </c>
      <c r="K66">
        <v>0</v>
      </c>
      <c r="L66">
        <v>12</v>
      </c>
      <c r="M66" t="s">
        <v>14</v>
      </c>
      <c r="N66">
        <v>0.35</v>
      </c>
      <c r="O66">
        <f t="shared" si="0"/>
        <v>0</v>
      </c>
      <c r="P66">
        <f t="shared" si="1"/>
        <v>0</v>
      </c>
    </row>
    <row r="67" spans="1:16">
      <c r="A67">
        <v>66</v>
      </c>
      <c r="B67" s="2">
        <v>44958</v>
      </c>
      <c r="C67">
        <v>45111</v>
      </c>
      <c r="D67">
        <v>25154</v>
      </c>
      <c r="E67">
        <v>1.58</v>
      </c>
      <c r="F67">
        <v>0.32</v>
      </c>
      <c r="G67">
        <v>0.16</v>
      </c>
      <c r="H67">
        <v>701</v>
      </c>
      <c r="I67">
        <v>0</v>
      </c>
      <c r="K67">
        <v>0</v>
      </c>
      <c r="L67">
        <v>6</v>
      </c>
      <c r="M67" t="s">
        <v>14</v>
      </c>
      <c r="N67">
        <v>0.15</v>
      </c>
      <c r="O67">
        <f t="shared" ref="O67:O130" si="2">IF(J67="",0,1)</f>
        <v>0</v>
      </c>
      <c r="P67">
        <f t="shared" ref="P67:P130" si="3">IF(I67=K67,0,1)</f>
        <v>0</v>
      </c>
    </row>
    <row r="68" spans="1:16">
      <c r="A68">
        <v>67</v>
      </c>
      <c r="B68" s="2">
        <v>45078</v>
      </c>
      <c r="C68">
        <v>71282</v>
      </c>
      <c r="D68">
        <v>2555</v>
      </c>
      <c r="F68">
        <v>2.1800000000000002</v>
      </c>
      <c r="G68">
        <v>1.35</v>
      </c>
      <c r="H68">
        <v>742</v>
      </c>
      <c r="I68">
        <v>0</v>
      </c>
      <c r="K68">
        <v>0</v>
      </c>
      <c r="L68">
        <v>6</v>
      </c>
      <c r="M68" t="s">
        <v>14</v>
      </c>
      <c r="N68">
        <v>0.35</v>
      </c>
      <c r="O68">
        <f t="shared" si="2"/>
        <v>0</v>
      </c>
      <c r="P68">
        <f t="shared" si="3"/>
        <v>0</v>
      </c>
    </row>
    <row r="69" spans="1:16">
      <c r="A69">
        <v>68</v>
      </c>
      <c r="B69" s="2">
        <v>45566</v>
      </c>
      <c r="C69">
        <v>26069</v>
      </c>
      <c r="D69">
        <v>6589</v>
      </c>
      <c r="E69">
        <v>0.31</v>
      </c>
      <c r="F69">
        <v>2.02</v>
      </c>
      <c r="G69">
        <v>1.44</v>
      </c>
      <c r="H69">
        <v>584</v>
      </c>
      <c r="I69">
        <v>1</v>
      </c>
      <c r="K69">
        <v>0</v>
      </c>
      <c r="L69">
        <v>12</v>
      </c>
      <c r="M69" t="s">
        <v>15</v>
      </c>
      <c r="N69">
        <v>0.84999999999999987</v>
      </c>
      <c r="O69">
        <f t="shared" si="2"/>
        <v>0</v>
      </c>
      <c r="P69">
        <f t="shared" si="3"/>
        <v>1</v>
      </c>
    </row>
    <row r="70" spans="1:16">
      <c r="A70">
        <v>69</v>
      </c>
      <c r="B70" s="2">
        <v>45200</v>
      </c>
      <c r="C70">
        <v>30473</v>
      </c>
      <c r="D70">
        <v>20607</v>
      </c>
      <c r="E70">
        <v>1.22</v>
      </c>
      <c r="F70">
        <v>0.46</v>
      </c>
      <c r="G70">
        <v>1.2</v>
      </c>
      <c r="H70">
        <v>703</v>
      </c>
      <c r="I70">
        <v>0</v>
      </c>
      <c r="K70">
        <v>0</v>
      </c>
      <c r="L70">
        <v>12</v>
      </c>
      <c r="M70" t="s">
        <v>14</v>
      </c>
      <c r="N70">
        <v>0</v>
      </c>
      <c r="O70">
        <f t="shared" si="2"/>
        <v>0</v>
      </c>
      <c r="P70">
        <f t="shared" si="3"/>
        <v>0</v>
      </c>
    </row>
    <row r="71" spans="1:16">
      <c r="A71">
        <v>70</v>
      </c>
      <c r="B71" s="2">
        <v>45017</v>
      </c>
      <c r="C71">
        <v>19222</v>
      </c>
      <c r="D71">
        <v>56401</v>
      </c>
      <c r="E71">
        <v>1.67</v>
      </c>
      <c r="F71">
        <v>1.83</v>
      </c>
      <c r="G71">
        <v>2.06</v>
      </c>
      <c r="H71">
        <v>665</v>
      </c>
      <c r="I71">
        <v>0</v>
      </c>
      <c r="K71">
        <v>0</v>
      </c>
      <c r="L71">
        <v>12</v>
      </c>
      <c r="M71" t="s">
        <v>14</v>
      </c>
      <c r="N71">
        <v>0</v>
      </c>
      <c r="O71">
        <f t="shared" si="2"/>
        <v>0</v>
      </c>
      <c r="P71">
        <f t="shared" si="3"/>
        <v>0</v>
      </c>
    </row>
    <row r="72" spans="1:16">
      <c r="A72">
        <v>71</v>
      </c>
      <c r="B72" s="2">
        <v>45566</v>
      </c>
      <c r="C72">
        <v>27206</v>
      </c>
      <c r="D72">
        <v>13556</v>
      </c>
      <c r="E72">
        <v>2.21</v>
      </c>
      <c r="F72">
        <v>1.1399999999999999</v>
      </c>
      <c r="G72">
        <v>1.58</v>
      </c>
      <c r="H72">
        <v>686</v>
      </c>
      <c r="I72">
        <v>0</v>
      </c>
      <c r="K72">
        <v>0</v>
      </c>
      <c r="L72">
        <v>18</v>
      </c>
      <c r="M72" t="s">
        <v>15</v>
      </c>
      <c r="N72">
        <v>0</v>
      </c>
      <c r="O72">
        <f t="shared" si="2"/>
        <v>0</v>
      </c>
      <c r="P72">
        <f t="shared" si="3"/>
        <v>0</v>
      </c>
    </row>
    <row r="73" spans="1:16">
      <c r="A73">
        <v>72</v>
      </c>
      <c r="B73" s="2">
        <v>45444</v>
      </c>
      <c r="C73">
        <v>46409</v>
      </c>
      <c r="D73">
        <v>8026</v>
      </c>
      <c r="E73">
        <v>1.28</v>
      </c>
      <c r="F73">
        <v>0.77</v>
      </c>
      <c r="G73">
        <v>2.0699999999999998</v>
      </c>
      <c r="H73">
        <v>705</v>
      </c>
      <c r="I73">
        <v>0</v>
      </c>
      <c r="K73">
        <v>0</v>
      </c>
      <c r="L73">
        <v>6</v>
      </c>
      <c r="M73" t="s">
        <v>15</v>
      </c>
      <c r="N73">
        <v>0</v>
      </c>
      <c r="O73">
        <f t="shared" si="2"/>
        <v>0</v>
      </c>
      <c r="P73">
        <f t="shared" si="3"/>
        <v>0</v>
      </c>
    </row>
    <row r="74" spans="1:16">
      <c r="A74">
        <v>73</v>
      </c>
      <c r="B74" s="2">
        <v>45261</v>
      </c>
      <c r="C74">
        <v>59400</v>
      </c>
      <c r="D74">
        <v>11754</v>
      </c>
      <c r="E74">
        <v>0.52</v>
      </c>
      <c r="F74">
        <v>0.51</v>
      </c>
      <c r="G74">
        <v>1.23</v>
      </c>
      <c r="H74">
        <v>670</v>
      </c>
      <c r="I74">
        <v>0</v>
      </c>
      <c r="K74">
        <v>0</v>
      </c>
      <c r="L74">
        <v>12</v>
      </c>
      <c r="M74" t="s">
        <v>14</v>
      </c>
      <c r="N74">
        <v>0.3</v>
      </c>
      <c r="O74">
        <f t="shared" si="2"/>
        <v>0</v>
      </c>
      <c r="P74">
        <f t="shared" si="3"/>
        <v>0</v>
      </c>
    </row>
    <row r="75" spans="1:16">
      <c r="A75">
        <v>74</v>
      </c>
      <c r="B75" s="2">
        <v>44958</v>
      </c>
      <c r="C75">
        <v>19942</v>
      </c>
      <c r="D75">
        <v>34976</v>
      </c>
      <c r="E75">
        <v>1.89</v>
      </c>
      <c r="F75">
        <v>0.55000000000000004</v>
      </c>
      <c r="G75">
        <v>1.87</v>
      </c>
      <c r="H75">
        <v>674</v>
      </c>
      <c r="I75">
        <v>0</v>
      </c>
      <c r="K75">
        <v>0</v>
      </c>
      <c r="L75">
        <v>12</v>
      </c>
      <c r="M75" t="s">
        <v>14</v>
      </c>
      <c r="N75">
        <v>0</v>
      </c>
      <c r="O75">
        <f t="shared" si="2"/>
        <v>0</v>
      </c>
      <c r="P75">
        <f t="shared" si="3"/>
        <v>0</v>
      </c>
    </row>
    <row r="76" spans="1:16">
      <c r="A76">
        <v>75</v>
      </c>
      <c r="B76" s="2">
        <v>45200</v>
      </c>
      <c r="C76">
        <v>63911</v>
      </c>
      <c r="D76">
        <v>8500</v>
      </c>
      <c r="F76">
        <v>3.8</v>
      </c>
      <c r="G76">
        <v>2.25</v>
      </c>
      <c r="H76">
        <v>668</v>
      </c>
      <c r="I76">
        <v>0</v>
      </c>
      <c r="K76">
        <v>0</v>
      </c>
      <c r="L76">
        <v>12</v>
      </c>
      <c r="M76" t="s">
        <v>14</v>
      </c>
      <c r="N76">
        <v>0.35</v>
      </c>
      <c r="O76">
        <f t="shared" si="2"/>
        <v>0</v>
      </c>
      <c r="P76">
        <f t="shared" si="3"/>
        <v>0</v>
      </c>
    </row>
    <row r="77" spans="1:16">
      <c r="A77">
        <v>76</v>
      </c>
      <c r="B77" s="2">
        <v>45017</v>
      </c>
      <c r="C77">
        <v>87655</v>
      </c>
      <c r="D77">
        <v>7636</v>
      </c>
      <c r="E77">
        <v>0.9</v>
      </c>
      <c r="F77">
        <v>0.91</v>
      </c>
      <c r="G77">
        <v>2.0699999999999998</v>
      </c>
      <c r="H77">
        <v>733</v>
      </c>
      <c r="I77">
        <v>0</v>
      </c>
      <c r="K77">
        <v>0</v>
      </c>
      <c r="L77">
        <v>12</v>
      </c>
      <c r="M77" t="s">
        <v>14</v>
      </c>
      <c r="N77">
        <v>0.3</v>
      </c>
      <c r="O77">
        <f t="shared" si="2"/>
        <v>0</v>
      </c>
      <c r="P77">
        <f t="shared" si="3"/>
        <v>0</v>
      </c>
    </row>
    <row r="78" spans="1:16">
      <c r="A78">
        <v>77</v>
      </c>
      <c r="B78" s="2">
        <v>45323</v>
      </c>
      <c r="C78">
        <v>47512</v>
      </c>
      <c r="D78">
        <v>9529</v>
      </c>
      <c r="E78">
        <v>1.21</v>
      </c>
      <c r="F78">
        <v>1.56</v>
      </c>
      <c r="G78">
        <v>0.75</v>
      </c>
      <c r="H78">
        <v>703</v>
      </c>
      <c r="I78">
        <v>0</v>
      </c>
      <c r="K78">
        <v>0</v>
      </c>
      <c r="L78">
        <v>12</v>
      </c>
      <c r="M78" t="s">
        <v>15</v>
      </c>
      <c r="N78">
        <v>0.15</v>
      </c>
      <c r="O78">
        <f t="shared" si="2"/>
        <v>0</v>
      </c>
      <c r="P78">
        <f t="shared" si="3"/>
        <v>0</v>
      </c>
    </row>
    <row r="79" spans="1:16">
      <c r="A79">
        <v>78</v>
      </c>
      <c r="B79" s="2">
        <v>45383</v>
      </c>
      <c r="C79">
        <v>122997</v>
      </c>
      <c r="D79">
        <v>6855</v>
      </c>
      <c r="E79">
        <v>1.45</v>
      </c>
      <c r="F79">
        <v>0.52</v>
      </c>
      <c r="G79">
        <v>1.21</v>
      </c>
      <c r="H79">
        <v>692</v>
      </c>
      <c r="I79">
        <v>0</v>
      </c>
      <c r="K79">
        <v>0</v>
      </c>
      <c r="L79">
        <v>12</v>
      </c>
      <c r="M79" t="s">
        <v>15</v>
      </c>
      <c r="N79">
        <v>0</v>
      </c>
      <c r="O79">
        <f t="shared" si="2"/>
        <v>0</v>
      </c>
      <c r="P79">
        <f t="shared" si="3"/>
        <v>0</v>
      </c>
    </row>
    <row r="80" spans="1:16">
      <c r="A80">
        <v>79</v>
      </c>
      <c r="B80" s="2">
        <v>45352</v>
      </c>
      <c r="C80">
        <v>21961</v>
      </c>
      <c r="D80">
        <v>14558</v>
      </c>
      <c r="E80">
        <v>1.22</v>
      </c>
      <c r="F80">
        <v>0.52</v>
      </c>
      <c r="G80">
        <v>1.1599999999999999</v>
      </c>
      <c r="H80">
        <v>610</v>
      </c>
      <c r="I80">
        <v>0</v>
      </c>
      <c r="K80">
        <v>0</v>
      </c>
      <c r="L80">
        <v>6</v>
      </c>
      <c r="M80" t="s">
        <v>15</v>
      </c>
      <c r="N80">
        <v>0</v>
      </c>
      <c r="O80">
        <f t="shared" si="2"/>
        <v>0</v>
      </c>
      <c r="P80">
        <f t="shared" si="3"/>
        <v>0</v>
      </c>
    </row>
    <row r="81" spans="1:16">
      <c r="A81">
        <v>80</v>
      </c>
      <c r="B81" s="2">
        <v>45139</v>
      </c>
      <c r="C81">
        <v>16171</v>
      </c>
      <c r="D81">
        <v>41659</v>
      </c>
      <c r="E81">
        <v>0.34</v>
      </c>
      <c r="F81">
        <v>1.93</v>
      </c>
      <c r="G81">
        <v>1.62</v>
      </c>
      <c r="H81">
        <v>659</v>
      </c>
      <c r="I81">
        <v>0</v>
      </c>
      <c r="K81">
        <v>0</v>
      </c>
      <c r="L81">
        <v>12</v>
      </c>
      <c r="M81" t="s">
        <v>14</v>
      </c>
      <c r="N81">
        <v>0.3</v>
      </c>
      <c r="O81">
        <f t="shared" si="2"/>
        <v>0</v>
      </c>
      <c r="P81">
        <f t="shared" si="3"/>
        <v>0</v>
      </c>
    </row>
    <row r="82" spans="1:16">
      <c r="A82">
        <v>81</v>
      </c>
      <c r="B82" s="2">
        <v>45323</v>
      </c>
      <c r="C82">
        <v>11428</v>
      </c>
      <c r="D82">
        <v>16750</v>
      </c>
      <c r="E82">
        <v>2.04</v>
      </c>
      <c r="F82">
        <v>0.35</v>
      </c>
      <c r="G82">
        <v>1.73</v>
      </c>
      <c r="H82">
        <v>729</v>
      </c>
      <c r="I82">
        <v>0</v>
      </c>
      <c r="K82">
        <v>0</v>
      </c>
      <c r="L82">
        <v>12</v>
      </c>
      <c r="M82" t="s">
        <v>15</v>
      </c>
      <c r="N82">
        <v>0</v>
      </c>
      <c r="O82">
        <f t="shared" si="2"/>
        <v>0</v>
      </c>
      <c r="P82">
        <f t="shared" si="3"/>
        <v>0</v>
      </c>
    </row>
    <row r="83" spans="1:16">
      <c r="A83">
        <v>82</v>
      </c>
      <c r="B83" s="2">
        <v>45597</v>
      </c>
      <c r="C83">
        <v>96031</v>
      </c>
      <c r="D83">
        <v>11196</v>
      </c>
      <c r="E83">
        <v>2.25</v>
      </c>
      <c r="F83">
        <v>0.68</v>
      </c>
      <c r="G83">
        <v>0.89</v>
      </c>
      <c r="H83">
        <v>682</v>
      </c>
      <c r="I83">
        <v>0</v>
      </c>
      <c r="K83">
        <v>0</v>
      </c>
      <c r="L83">
        <v>6</v>
      </c>
      <c r="M83" t="s">
        <v>15</v>
      </c>
      <c r="N83">
        <v>0</v>
      </c>
      <c r="O83">
        <f t="shared" si="2"/>
        <v>0</v>
      </c>
      <c r="P83">
        <f t="shared" si="3"/>
        <v>0</v>
      </c>
    </row>
    <row r="84" spans="1:16">
      <c r="A84">
        <v>83</v>
      </c>
      <c r="B84" s="2">
        <v>45139</v>
      </c>
      <c r="C84">
        <v>55567</v>
      </c>
      <c r="D84">
        <v>10891</v>
      </c>
      <c r="E84">
        <v>1.91</v>
      </c>
      <c r="F84">
        <v>0.93</v>
      </c>
      <c r="G84">
        <v>1.39</v>
      </c>
      <c r="H84">
        <v>716</v>
      </c>
      <c r="I84">
        <v>0</v>
      </c>
      <c r="K84">
        <v>0</v>
      </c>
      <c r="L84">
        <v>18</v>
      </c>
      <c r="M84" t="s">
        <v>14</v>
      </c>
      <c r="N84">
        <v>0</v>
      </c>
      <c r="O84">
        <f t="shared" si="2"/>
        <v>0</v>
      </c>
      <c r="P84">
        <f t="shared" si="3"/>
        <v>0</v>
      </c>
    </row>
    <row r="85" spans="1:16">
      <c r="A85">
        <v>84</v>
      </c>
      <c r="B85" s="2">
        <v>45536</v>
      </c>
      <c r="C85">
        <v>35027</v>
      </c>
      <c r="D85">
        <v>4473</v>
      </c>
      <c r="E85">
        <v>0.92</v>
      </c>
      <c r="F85">
        <v>0.98</v>
      </c>
      <c r="G85">
        <v>0.24</v>
      </c>
      <c r="H85">
        <v>777</v>
      </c>
      <c r="I85">
        <v>0</v>
      </c>
      <c r="K85">
        <v>0</v>
      </c>
      <c r="L85">
        <v>18</v>
      </c>
      <c r="M85" t="s">
        <v>15</v>
      </c>
      <c r="N85">
        <v>0.45</v>
      </c>
      <c r="O85">
        <f t="shared" si="2"/>
        <v>0</v>
      </c>
      <c r="P85">
        <f t="shared" si="3"/>
        <v>0</v>
      </c>
    </row>
    <row r="86" spans="1:16">
      <c r="A86">
        <v>85</v>
      </c>
      <c r="B86" s="2">
        <v>45383</v>
      </c>
      <c r="C86">
        <v>43564</v>
      </c>
      <c r="D86">
        <v>24790</v>
      </c>
      <c r="E86">
        <v>1.44</v>
      </c>
      <c r="F86">
        <v>0.8</v>
      </c>
      <c r="G86">
        <v>2.14</v>
      </c>
      <c r="H86">
        <v>737</v>
      </c>
      <c r="I86">
        <v>0</v>
      </c>
      <c r="K86">
        <v>0</v>
      </c>
      <c r="L86">
        <v>12</v>
      </c>
      <c r="M86" t="s">
        <v>15</v>
      </c>
      <c r="N86">
        <v>0</v>
      </c>
      <c r="O86">
        <f t="shared" si="2"/>
        <v>0</v>
      </c>
      <c r="P86">
        <f t="shared" si="3"/>
        <v>0</v>
      </c>
    </row>
    <row r="87" spans="1:16">
      <c r="A87">
        <v>86</v>
      </c>
      <c r="B87" s="2">
        <v>45292</v>
      </c>
      <c r="C87">
        <v>17473</v>
      </c>
      <c r="D87">
        <v>12651</v>
      </c>
      <c r="E87">
        <v>1.55</v>
      </c>
      <c r="F87">
        <v>1.19</v>
      </c>
      <c r="G87">
        <v>1.07</v>
      </c>
      <c r="H87">
        <v>685</v>
      </c>
      <c r="I87">
        <v>0</v>
      </c>
      <c r="K87">
        <v>0</v>
      </c>
      <c r="L87">
        <v>12</v>
      </c>
      <c r="M87" t="s">
        <v>15</v>
      </c>
      <c r="N87">
        <v>0</v>
      </c>
      <c r="O87">
        <f t="shared" si="2"/>
        <v>0</v>
      </c>
      <c r="P87">
        <f t="shared" si="3"/>
        <v>0</v>
      </c>
    </row>
    <row r="88" spans="1:16">
      <c r="A88">
        <v>87</v>
      </c>
      <c r="B88" s="2">
        <v>45444</v>
      </c>
      <c r="C88">
        <v>178036</v>
      </c>
      <c r="D88">
        <v>11774</v>
      </c>
      <c r="E88">
        <v>1.88</v>
      </c>
      <c r="F88">
        <v>1.47</v>
      </c>
      <c r="G88">
        <v>1.38</v>
      </c>
      <c r="H88">
        <v>652</v>
      </c>
      <c r="I88">
        <v>0</v>
      </c>
      <c r="K88">
        <v>0</v>
      </c>
      <c r="L88">
        <v>12</v>
      </c>
      <c r="M88" t="s">
        <v>15</v>
      </c>
      <c r="N88">
        <v>0</v>
      </c>
      <c r="O88">
        <f t="shared" si="2"/>
        <v>0</v>
      </c>
      <c r="P88">
        <f t="shared" si="3"/>
        <v>0</v>
      </c>
    </row>
    <row r="89" spans="1:16">
      <c r="A89">
        <v>88</v>
      </c>
      <c r="B89" s="2">
        <v>45352</v>
      </c>
      <c r="C89">
        <v>39498</v>
      </c>
      <c r="D89">
        <v>124888</v>
      </c>
      <c r="E89">
        <v>1.92</v>
      </c>
      <c r="F89">
        <v>1.51</v>
      </c>
      <c r="G89">
        <v>1.18</v>
      </c>
      <c r="H89">
        <v>540</v>
      </c>
      <c r="I89">
        <v>0</v>
      </c>
      <c r="K89">
        <v>0</v>
      </c>
      <c r="L89">
        <v>12</v>
      </c>
      <c r="M89" t="s">
        <v>15</v>
      </c>
      <c r="N89">
        <v>0.2</v>
      </c>
      <c r="O89">
        <f t="shared" si="2"/>
        <v>0</v>
      </c>
      <c r="P89">
        <f t="shared" si="3"/>
        <v>0</v>
      </c>
    </row>
    <row r="90" spans="1:16">
      <c r="A90">
        <v>89</v>
      </c>
      <c r="B90" s="2">
        <v>45536</v>
      </c>
      <c r="C90">
        <v>38992</v>
      </c>
      <c r="D90">
        <v>16467</v>
      </c>
      <c r="E90">
        <v>1.1499999999999999</v>
      </c>
      <c r="F90">
        <v>0.45</v>
      </c>
      <c r="G90">
        <v>1.98</v>
      </c>
      <c r="H90">
        <v>671</v>
      </c>
      <c r="I90">
        <v>0</v>
      </c>
      <c r="K90">
        <v>0</v>
      </c>
      <c r="L90">
        <v>12</v>
      </c>
      <c r="M90" t="s">
        <v>15</v>
      </c>
      <c r="N90">
        <v>0</v>
      </c>
      <c r="O90">
        <f t="shared" si="2"/>
        <v>0</v>
      </c>
      <c r="P90">
        <f t="shared" si="3"/>
        <v>0</v>
      </c>
    </row>
    <row r="91" spans="1:16">
      <c r="A91">
        <v>90</v>
      </c>
      <c r="B91" s="2">
        <v>45627</v>
      </c>
      <c r="C91">
        <v>58206</v>
      </c>
      <c r="D91">
        <v>7893</v>
      </c>
      <c r="E91">
        <v>1.6</v>
      </c>
      <c r="F91">
        <v>0.74</v>
      </c>
      <c r="G91">
        <v>0.1</v>
      </c>
      <c r="H91">
        <v>662</v>
      </c>
      <c r="I91">
        <v>0</v>
      </c>
      <c r="K91">
        <v>0</v>
      </c>
      <c r="L91">
        <v>18</v>
      </c>
      <c r="M91" t="s">
        <v>15</v>
      </c>
      <c r="N91">
        <v>0.15</v>
      </c>
      <c r="O91">
        <f t="shared" si="2"/>
        <v>0</v>
      </c>
      <c r="P91">
        <f t="shared" si="3"/>
        <v>0</v>
      </c>
    </row>
    <row r="92" spans="1:16">
      <c r="A92">
        <v>91</v>
      </c>
      <c r="B92" s="2">
        <v>45292</v>
      </c>
      <c r="C92">
        <v>49645</v>
      </c>
      <c r="D92">
        <v>9912</v>
      </c>
      <c r="E92">
        <v>1.8</v>
      </c>
      <c r="F92">
        <v>2.09</v>
      </c>
      <c r="G92">
        <v>1.34</v>
      </c>
      <c r="H92">
        <v>701</v>
      </c>
      <c r="I92">
        <v>0</v>
      </c>
      <c r="K92">
        <v>0</v>
      </c>
      <c r="L92">
        <v>12</v>
      </c>
      <c r="M92" t="s">
        <v>15</v>
      </c>
      <c r="N92">
        <v>0.35</v>
      </c>
      <c r="O92">
        <f t="shared" si="2"/>
        <v>0</v>
      </c>
      <c r="P92">
        <f t="shared" si="3"/>
        <v>0</v>
      </c>
    </row>
    <row r="93" spans="1:16">
      <c r="A93">
        <v>92</v>
      </c>
      <c r="B93" s="2">
        <v>45170</v>
      </c>
      <c r="C93">
        <v>42004</v>
      </c>
      <c r="D93">
        <v>29849</v>
      </c>
      <c r="E93">
        <v>2.35</v>
      </c>
      <c r="F93">
        <v>1.69</v>
      </c>
      <c r="G93">
        <v>1.29</v>
      </c>
      <c r="H93">
        <v>672</v>
      </c>
      <c r="I93">
        <v>0</v>
      </c>
      <c r="K93">
        <v>0</v>
      </c>
      <c r="L93">
        <v>12</v>
      </c>
      <c r="M93" t="s">
        <v>14</v>
      </c>
      <c r="N93">
        <v>0</v>
      </c>
      <c r="O93">
        <f t="shared" si="2"/>
        <v>0</v>
      </c>
      <c r="P93">
        <f t="shared" si="3"/>
        <v>0</v>
      </c>
    </row>
    <row r="94" spans="1:16">
      <c r="A94">
        <v>93</v>
      </c>
      <c r="B94" s="2">
        <v>45352</v>
      </c>
      <c r="C94">
        <v>21724</v>
      </c>
      <c r="D94">
        <v>14462</v>
      </c>
      <c r="E94">
        <v>1.94</v>
      </c>
      <c r="F94">
        <v>0.35</v>
      </c>
      <c r="G94">
        <v>1.1000000000000001</v>
      </c>
      <c r="H94">
        <v>662</v>
      </c>
      <c r="I94">
        <v>1</v>
      </c>
      <c r="K94">
        <v>0</v>
      </c>
      <c r="L94">
        <v>18</v>
      </c>
      <c r="M94" t="s">
        <v>15</v>
      </c>
      <c r="N94">
        <v>0</v>
      </c>
      <c r="O94">
        <f t="shared" si="2"/>
        <v>0</v>
      </c>
      <c r="P94">
        <f t="shared" si="3"/>
        <v>1</v>
      </c>
    </row>
    <row r="95" spans="1:16">
      <c r="A95">
        <v>94</v>
      </c>
      <c r="B95" s="2">
        <v>45292</v>
      </c>
      <c r="C95">
        <v>49338</v>
      </c>
      <c r="D95">
        <v>4881</v>
      </c>
      <c r="E95">
        <v>1.98</v>
      </c>
      <c r="F95">
        <v>1.1599999999999999</v>
      </c>
      <c r="G95">
        <v>2.2999999999999998</v>
      </c>
      <c r="H95">
        <v>582</v>
      </c>
      <c r="I95">
        <v>0</v>
      </c>
      <c r="K95">
        <v>0</v>
      </c>
      <c r="L95">
        <v>12</v>
      </c>
      <c r="M95" t="s">
        <v>15</v>
      </c>
      <c r="N95">
        <v>0.2</v>
      </c>
      <c r="O95">
        <f t="shared" si="2"/>
        <v>0</v>
      </c>
      <c r="P95">
        <f t="shared" si="3"/>
        <v>0</v>
      </c>
    </row>
    <row r="96" spans="1:16">
      <c r="A96">
        <v>95</v>
      </c>
      <c r="B96" s="2">
        <v>44927</v>
      </c>
      <c r="C96">
        <v>123416</v>
      </c>
      <c r="D96">
        <v>25424</v>
      </c>
      <c r="E96">
        <v>1.6</v>
      </c>
      <c r="F96">
        <v>0.23</v>
      </c>
      <c r="G96">
        <v>0.86</v>
      </c>
      <c r="H96">
        <v>628</v>
      </c>
      <c r="I96">
        <v>0</v>
      </c>
      <c r="K96">
        <v>0</v>
      </c>
      <c r="L96">
        <v>18</v>
      </c>
      <c r="M96" t="s">
        <v>14</v>
      </c>
      <c r="N96">
        <v>0</v>
      </c>
      <c r="O96">
        <f t="shared" si="2"/>
        <v>0</v>
      </c>
      <c r="P96">
        <f t="shared" si="3"/>
        <v>0</v>
      </c>
    </row>
    <row r="97" spans="1:16">
      <c r="A97">
        <v>96</v>
      </c>
      <c r="B97" s="2">
        <v>45108</v>
      </c>
      <c r="C97">
        <v>87075</v>
      </c>
      <c r="D97">
        <v>8369</v>
      </c>
      <c r="E97">
        <v>2.33</v>
      </c>
      <c r="F97">
        <v>0.94</v>
      </c>
      <c r="G97">
        <v>1.77</v>
      </c>
      <c r="H97">
        <v>706</v>
      </c>
      <c r="I97">
        <v>0</v>
      </c>
      <c r="K97">
        <v>0</v>
      </c>
      <c r="L97">
        <v>6</v>
      </c>
      <c r="M97" t="s">
        <v>14</v>
      </c>
      <c r="N97">
        <v>0</v>
      </c>
      <c r="O97">
        <f t="shared" si="2"/>
        <v>0</v>
      </c>
      <c r="P97">
        <f t="shared" si="3"/>
        <v>0</v>
      </c>
    </row>
    <row r="98" spans="1:16">
      <c r="A98">
        <v>97</v>
      </c>
      <c r="B98" s="2">
        <v>45170</v>
      </c>
      <c r="D98">
        <v>49578</v>
      </c>
      <c r="E98">
        <v>1.78</v>
      </c>
      <c r="F98">
        <v>3.42</v>
      </c>
      <c r="G98">
        <v>1.55</v>
      </c>
      <c r="H98">
        <v>774</v>
      </c>
      <c r="I98">
        <v>0</v>
      </c>
      <c r="K98">
        <v>0</v>
      </c>
      <c r="L98">
        <v>18</v>
      </c>
      <c r="M98" t="s">
        <v>14</v>
      </c>
      <c r="N98">
        <v>0.35</v>
      </c>
      <c r="O98">
        <f t="shared" si="2"/>
        <v>0</v>
      </c>
      <c r="P98">
        <f t="shared" si="3"/>
        <v>0</v>
      </c>
    </row>
    <row r="99" spans="1:16">
      <c r="A99">
        <v>98</v>
      </c>
      <c r="B99" s="2">
        <v>45627</v>
      </c>
      <c r="C99">
        <v>26048</v>
      </c>
      <c r="D99">
        <v>28454</v>
      </c>
      <c r="E99">
        <v>1.08</v>
      </c>
      <c r="F99">
        <v>0.47</v>
      </c>
      <c r="G99">
        <v>2.04</v>
      </c>
      <c r="H99">
        <v>675</v>
      </c>
      <c r="I99">
        <v>0</v>
      </c>
      <c r="K99">
        <v>0</v>
      </c>
      <c r="L99">
        <v>18</v>
      </c>
      <c r="M99" t="s">
        <v>15</v>
      </c>
      <c r="N99">
        <v>0</v>
      </c>
      <c r="O99">
        <f t="shared" si="2"/>
        <v>0</v>
      </c>
      <c r="P99">
        <f t="shared" si="3"/>
        <v>0</v>
      </c>
    </row>
    <row r="100" spans="1:16">
      <c r="A100">
        <v>99</v>
      </c>
      <c r="B100" s="2">
        <v>44927</v>
      </c>
      <c r="C100">
        <v>19087</v>
      </c>
      <c r="D100">
        <v>9768</v>
      </c>
      <c r="E100">
        <v>2.3199999999999998</v>
      </c>
      <c r="F100">
        <v>0.5</v>
      </c>
      <c r="G100">
        <v>0.98</v>
      </c>
      <c r="I100">
        <v>1</v>
      </c>
      <c r="J100">
        <v>27882</v>
      </c>
      <c r="K100">
        <v>1</v>
      </c>
      <c r="L100">
        <v>12</v>
      </c>
      <c r="M100" t="s">
        <v>14</v>
      </c>
      <c r="N100">
        <v>0</v>
      </c>
      <c r="O100">
        <f t="shared" si="2"/>
        <v>1</v>
      </c>
      <c r="P100">
        <f t="shared" si="3"/>
        <v>0</v>
      </c>
    </row>
    <row r="101" spans="1:16">
      <c r="A101">
        <v>100</v>
      </c>
      <c r="B101" s="2">
        <v>45261</v>
      </c>
      <c r="C101">
        <v>33464</v>
      </c>
      <c r="D101">
        <v>32752</v>
      </c>
      <c r="E101">
        <v>1.93</v>
      </c>
      <c r="F101">
        <v>1.54</v>
      </c>
      <c r="G101">
        <v>0.95</v>
      </c>
      <c r="H101">
        <v>732</v>
      </c>
      <c r="I101">
        <v>0</v>
      </c>
      <c r="K101">
        <v>0</v>
      </c>
      <c r="L101">
        <v>12</v>
      </c>
      <c r="M101" t="s">
        <v>14</v>
      </c>
      <c r="N101">
        <v>0</v>
      </c>
      <c r="O101">
        <f t="shared" si="2"/>
        <v>0</v>
      </c>
      <c r="P101">
        <f t="shared" si="3"/>
        <v>0</v>
      </c>
    </row>
    <row r="102" spans="1:16">
      <c r="A102">
        <v>101</v>
      </c>
      <c r="B102" s="2">
        <v>45139</v>
      </c>
      <c r="C102">
        <v>37655</v>
      </c>
      <c r="D102">
        <v>14010</v>
      </c>
      <c r="E102">
        <v>1.31</v>
      </c>
      <c r="F102">
        <v>0.31</v>
      </c>
      <c r="G102">
        <v>1.95</v>
      </c>
      <c r="H102">
        <v>635</v>
      </c>
      <c r="I102">
        <v>0</v>
      </c>
      <c r="K102">
        <v>0</v>
      </c>
      <c r="L102">
        <v>18</v>
      </c>
      <c r="M102" t="s">
        <v>14</v>
      </c>
      <c r="N102">
        <v>0</v>
      </c>
      <c r="O102">
        <f t="shared" si="2"/>
        <v>0</v>
      </c>
      <c r="P102">
        <f t="shared" si="3"/>
        <v>0</v>
      </c>
    </row>
    <row r="103" spans="1:16">
      <c r="A103">
        <v>102</v>
      </c>
      <c r="B103" s="2">
        <v>45627</v>
      </c>
      <c r="C103">
        <v>73956</v>
      </c>
      <c r="D103">
        <v>24269</v>
      </c>
      <c r="E103">
        <v>1.29</v>
      </c>
      <c r="F103">
        <v>0.57999999999999996</v>
      </c>
      <c r="G103">
        <v>1.58</v>
      </c>
      <c r="H103">
        <v>700</v>
      </c>
      <c r="I103">
        <v>0</v>
      </c>
      <c r="K103">
        <v>0</v>
      </c>
      <c r="L103">
        <v>18</v>
      </c>
      <c r="M103" t="s">
        <v>15</v>
      </c>
      <c r="N103">
        <v>0</v>
      </c>
      <c r="O103">
        <f t="shared" si="2"/>
        <v>0</v>
      </c>
      <c r="P103">
        <f t="shared" si="3"/>
        <v>0</v>
      </c>
    </row>
    <row r="104" spans="1:16">
      <c r="A104">
        <v>103</v>
      </c>
      <c r="B104" s="2">
        <v>45231</v>
      </c>
      <c r="C104">
        <v>12087</v>
      </c>
      <c r="D104">
        <v>18757</v>
      </c>
      <c r="E104">
        <v>1.71</v>
      </c>
      <c r="F104">
        <v>1.37</v>
      </c>
      <c r="G104">
        <v>0.5</v>
      </c>
      <c r="H104">
        <v>639</v>
      </c>
      <c r="I104">
        <v>0</v>
      </c>
      <c r="K104">
        <v>0</v>
      </c>
      <c r="L104">
        <v>12</v>
      </c>
      <c r="M104" t="s">
        <v>14</v>
      </c>
      <c r="N104">
        <v>0.15</v>
      </c>
      <c r="O104">
        <f t="shared" si="2"/>
        <v>0</v>
      </c>
      <c r="P104">
        <f t="shared" si="3"/>
        <v>0</v>
      </c>
    </row>
    <row r="105" spans="1:16">
      <c r="A105">
        <v>104</v>
      </c>
      <c r="B105" s="2">
        <v>45474</v>
      </c>
      <c r="C105">
        <v>98146</v>
      </c>
      <c r="D105">
        <v>7388</v>
      </c>
      <c r="E105">
        <v>1.8</v>
      </c>
      <c r="F105">
        <v>0.57999999999999996</v>
      </c>
      <c r="G105">
        <v>1.05</v>
      </c>
      <c r="H105">
        <v>728</v>
      </c>
      <c r="I105">
        <v>0</v>
      </c>
      <c r="K105">
        <v>0</v>
      </c>
      <c r="L105">
        <v>6</v>
      </c>
      <c r="M105" t="s">
        <v>15</v>
      </c>
      <c r="N105">
        <v>0</v>
      </c>
      <c r="O105">
        <f t="shared" si="2"/>
        <v>0</v>
      </c>
      <c r="P105">
        <f t="shared" si="3"/>
        <v>0</v>
      </c>
    </row>
    <row r="106" spans="1:16">
      <c r="A106">
        <v>105</v>
      </c>
      <c r="B106" s="2">
        <v>45413</v>
      </c>
      <c r="C106">
        <v>32771</v>
      </c>
      <c r="D106">
        <v>8514</v>
      </c>
      <c r="E106">
        <v>1.66</v>
      </c>
      <c r="F106">
        <v>0.77</v>
      </c>
      <c r="G106">
        <v>1.56</v>
      </c>
      <c r="H106">
        <v>688</v>
      </c>
      <c r="I106">
        <v>1</v>
      </c>
      <c r="J106">
        <v>38056</v>
      </c>
      <c r="K106">
        <v>1</v>
      </c>
      <c r="L106">
        <v>6</v>
      </c>
      <c r="M106" t="s">
        <v>15</v>
      </c>
      <c r="N106">
        <v>0</v>
      </c>
      <c r="O106">
        <f t="shared" si="2"/>
        <v>1</v>
      </c>
      <c r="P106">
        <f t="shared" si="3"/>
        <v>0</v>
      </c>
    </row>
    <row r="107" spans="1:16">
      <c r="A107">
        <v>106</v>
      </c>
      <c r="B107" s="2">
        <v>45139</v>
      </c>
      <c r="C107">
        <v>27516</v>
      </c>
      <c r="D107">
        <v>27473</v>
      </c>
      <c r="E107">
        <v>1.72</v>
      </c>
      <c r="F107">
        <v>1.52</v>
      </c>
      <c r="G107">
        <v>1.81</v>
      </c>
      <c r="H107">
        <v>696</v>
      </c>
      <c r="I107">
        <v>0</v>
      </c>
      <c r="K107">
        <v>0</v>
      </c>
      <c r="L107">
        <v>12</v>
      </c>
      <c r="M107" t="s">
        <v>14</v>
      </c>
      <c r="N107">
        <v>0</v>
      </c>
      <c r="O107">
        <f t="shared" si="2"/>
        <v>0</v>
      </c>
      <c r="P107">
        <f t="shared" si="3"/>
        <v>0</v>
      </c>
    </row>
    <row r="108" spans="1:16">
      <c r="A108">
        <v>107</v>
      </c>
      <c r="B108" s="2">
        <v>44986</v>
      </c>
      <c r="C108">
        <v>18810</v>
      </c>
      <c r="D108">
        <v>10569</v>
      </c>
      <c r="E108">
        <v>2.48</v>
      </c>
      <c r="F108">
        <v>1.22</v>
      </c>
      <c r="G108">
        <v>0.98</v>
      </c>
      <c r="H108">
        <v>637</v>
      </c>
      <c r="I108">
        <v>0</v>
      </c>
      <c r="K108">
        <v>0</v>
      </c>
      <c r="L108">
        <v>18</v>
      </c>
      <c r="M108" t="s">
        <v>14</v>
      </c>
      <c r="N108">
        <v>0</v>
      </c>
      <c r="O108">
        <f t="shared" si="2"/>
        <v>0</v>
      </c>
      <c r="P108">
        <f t="shared" si="3"/>
        <v>0</v>
      </c>
    </row>
    <row r="109" spans="1:16">
      <c r="A109">
        <v>108</v>
      </c>
      <c r="B109" s="2">
        <v>44986</v>
      </c>
      <c r="C109">
        <v>12386</v>
      </c>
      <c r="D109">
        <v>10071</v>
      </c>
      <c r="E109">
        <v>2.14</v>
      </c>
      <c r="F109">
        <v>1.0900000000000001</v>
      </c>
      <c r="G109">
        <v>0.1</v>
      </c>
      <c r="H109">
        <v>719</v>
      </c>
      <c r="I109">
        <v>0</v>
      </c>
      <c r="K109">
        <v>0</v>
      </c>
      <c r="L109">
        <v>18</v>
      </c>
      <c r="M109" t="s">
        <v>14</v>
      </c>
      <c r="N109">
        <v>0.15</v>
      </c>
      <c r="O109">
        <f t="shared" si="2"/>
        <v>0</v>
      </c>
      <c r="P109">
        <f t="shared" si="3"/>
        <v>0</v>
      </c>
    </row>
    <row r="110" spans="1:16">
      <c r="A110">
        <v>109</v>
      </c>
      <c r="B110" s="2">
        <v>44927</v>
      </c>
      <c r="C110">
        <v>62011</v>
      </c>
      <c r="D110">
        <v>6846</v>
      </c>
      <c r="E110">
        <v>1.65</v>
      </c>
      <c r="F110">
        <v>0.71</v>
      </c>
      <c r="G110">
        <v>1.64</v>
      </c>
      <c r="H110">
        <v>795</v>
      </c>
      <c r="I110">
        <v>0</v>
      </c>
      <c r="K110">
        <v>0</v>
      </c>
      <c r="L110">
        <v>18</v>
      </c>
      <c r="M110" t="s">
        <v>14</v>
      </c>
      <c r="N110">
        <v>0</v>
      </c>
      <c r="O110">
        <f t="shared" si="2"/>
        <v>0</v>
      </c>
      <c r="P110">
        <f t="shared" si="3"/>
        <v>0</v>
      </c>
    </row>
    <row r="111" spans="1:16">
      <c r="A111">
        <v>110</v>
      </c>
      <c r="B111" s="2">
        <v>45047</v>
      </c>
      <c r="C111">
        <v>38088</v>
      </c>
      <c r="D111">
        <v>17971</v>
      </c>
      <c r="E111">
        <v>2.0699999999999998</v>
      </c>
      <c r="F111">
        <v>1.17</v>
      </c>
      <c r="G111">
        <v>0.68</v>
      </c>
      <c r="H111">
        <v>625</v>
      </c>
      <c r="I111">
        <v>0</v>
      </c>
      <c r="K111">
        <v>0</v>
      </c>
      <c r="L111">
        <v>18</v>
      </c>
      <c r="M111" t="s">
        <v>14</v>
      </c>
      <c r="N111">
        <v>0.15</v>
      </c>
      <c r="O111">
        <f t="shared" si="2"/>
        <v>0</v>
      </c>
      <c r="P111">
        <f t="shared" si="3"/>
        <v>0</v>
      </c>
    </row>
    <row r="112" spans="1:16">
      <c r="A112">
        <v>111</v>
      </c>
      <c r="B112" s="2">
        <v>45200</v>
      </c>
      <c r="C112">
        <v>15702</v>
      </c>
      <c r="D112">
        <v>56600</v>
      </c>
      <c r="E112">
        <v>0.98</v>
      </c>
      <c r="F112">
        <v>0.83</v>
      </c>
      <c r="G112">
        <v>0.24</v>
      </c>
      <c r="H112">
        <v>661</v>
      </c>
      <c r="I112">
        <v>0</v>
      </c>
      <c r="K112">
        <v>0</v>
      </c>
      <c r="L112">
        <v>6</v>
      </c>
      <c r="M112" t="s">
        <v>14</v>
      </c>
      <c r="N112">
        <v>0.45</v>
      </c>
      <c r="O112">
        <f t="shared" si="2"/>
        <v>0</v>
      </c>
      <c r="P112">
        <f t="shared" si="3"/>
        <v>0</v>
      </c>
    </row>
    <row r="113" spans="1:16">
      <c r="A113">
        <v>112</v>
      </c>
      <c r="B113" s="2">
        <v>45108</v>
      </c>
      <c r="C113">
        <v>15650</v>
      </c>
      <c r="D113">
        <v>6328</v>
      </c>
      <c r="E113">
        <v>1.77</v>
      </c>
      <c r="F113">
        <v>1.25</v>
      </c>
      <c r="G113">
        <v>0.1</v>
      </c>
      <c r="H113">
        <v>693</v>
      </c>
      <c r="I113">
        <v>1</v>
      </c>
      <c r="J113">
        <v>27351</v>
      </c>
      <c r="K113">
        <v>1</v>
      </c>
      <c r="L113">
        <v>12</v>
      </c>
      <c r="M113" t="s">
        <v>14</v>
      </c>
      <c r="N113">
        <v>0.15</v>
      </c>
      <c r="O113">
        <f t="shared" si="2"/>
        <v>1</v>
      </c>
      <c r="P113">
        <f t="shared" si="3"/>
        <v>0</v>
      </c>
    </row>
    <row r="114" spans="1:16">
      <c r="A114">
        <v>113</v>
      </c>
      <c r="B114" s="2">
        <v>45170</v>
      </c>
      <c r="C114">
        <v>29195</v>
      </c>
      <c r="D114">
        <v>13588</v>
      </c>
      <c r="E114">
        <v>2.5499999999999998</v>
      </c>
      <c r="F114">
        <v>0.64</v>
      </c>
      <c r="G114">
        <v>1.8</v>
      </c>
      <c r="H114">
        <v>723</v>
      </c>
      <c r="I114">
        <v>0</v>
      </c>
      <c r="K114">
        <v>0</v>
      </c>
      <c r="L114">
        <v>12</v>
      </c>
      <c r="M114" t="s">
        <v>14</v>
      </c>
      <c r="N114">
        <v>0</v>
      </c>
      <c r="O114">
        <f t="shared" si="2"/>
        <v>0</v>
      </c>
      <c r="P114">
        <f t="shared" si="3"/>
        <v>0</v>
      </c>
    </row>
    <row r="115" spans="1:16">
      <c r="A115">
        <v>114</v>
      </c>
      <c r="B115" s="2">
        <v>45108</v>
      </c>
      <c r="C115">
        <v>107459</v>
      </c>
      <c r="D115">
        <v>35902</v>
      </c>
      <c r="E115">
        <v>1.43</v>
      </c>
      <c r="F115">
        <v>0.8</v>
      </c>
      <c r="G115">
        <v>1.42</v>
      </c>
      <c r="H115">
        <v>649</v>
      </c>
      <c r="I115">
        <v>1</v>
      </c>
      <c r="J115">
        <v>19930</v>
      </c>
      <c r="K115">
        <v>1</v>
      </c>
      <c r="L115">
        <v>12</v>
      </c>
      <c r="M115" t="s">
        <v>14</v>
      </c>
      <c r="N115">
        <v>0</v>
      </c>
      <c r="O115">
        <f t="shared" si="2"/>
        <v>1</v>
      </c>
      <c r="P115">
        <f t="shared" si="3"/>
        <v>0</v>
      </c>
    </row>
    <row r="116" spans="1:16">
      <c r="A116">
        <v>115</v>
      </c>
      <c r="B116" s="2">
        <v>45170</v>
      </c>
      <c r="C116">
        <v>30677</v>
      </c>
      <c r="D116">
        <v>12635</v>
      </c>
      <c r="E116">
        <v>1.08</v>
      </c>
      <c r="F116">
        <v>0.45</v>
      </c>
      <c r="G116">
        <v>1.23</v>
      </c>
      <c r="H116">
        <v>524</v>
      </c>
      <c r="I116">
        <v>0</v>
      </c>
      <c r="K116">
        <v>0</v>
      </c>
      <c r="L116">
        <v>12</v>
      </c>
      <c r="M116" t="s">
        <v>14</v>
      </c>
      <c r="N116">
        <v>0.2</v>
      </c>
      <c r="O116">
        <f t="shared" si="2"/>
        <v>0</v>
      </c>
      <c r="P116">
        <f t="shared" si="3"/>
        <v>0</v>
      </c>
    </row>
    <row r="117" spans="1:16">
      <c r="A117">
        <v>116</v>
      </c>
      <c r="B117" s="2">
        <v>45139</v>
      </c>
      <c r="C117">
        <v>13670</v>
      </c>
      <c r="D117">
        <v>18337</v>
      </c>
      <c r="E117">
        <v>1.19</v>
      </c>
      <c r="F117">
        <v>0.88</v>
      </c>
      <c r="G117">
        <v>2.11</v>
      </c>
      <c r="H117">
        <v>755</v>
      </c>
      <c r="I117">
        <v>0</v>
      </c>
      <c r="K117">
        <v>0</v>
      </c>
      <c r="L117">
        <v>6</v>
      </c>
      <c r="M117" t="s">
        <v>14</v>
      </c>
      <c r="N117">
        <v>0</v>
      </c>
      <c r="O117">
        <f t="shared" si="2"/>
        <v>0</v>
      </c>
      <c r="P117">
        <f t="shared" si="3"/>
        <v>0</v>
      </c>
    </row>
    <row r="118" spans="1:16">
      <c r="A118">
        <v>117</v>
      </c>
      <c r="B118" s="2">
        <v>45261</v>
      </c>
      <c r="C118">
        <v>30954</v>
      </c>
      <c r="D118">
        <v>6351</v>
      </c>
      <c r="E118">
        <v>0.95</v>
      </c>
      <c r="F118">
        <v>0.51</v>
      </c>
      <c r="G118">
        <v>1.7</v>
      </c>
      <c r="H118">
        <v>722</v>
      </c>
      <c r="I118">
        <v>0</v>
      </c>
      <c r="K118">
        <v>0</v>
      </c>
      <c r="L118">
        <v>12</v>
      </c>
      <c r="M118" t="s">
        <v>14</v>
      </c>
      <c r="N118">
        <v>0.3</v>
      </c>
      <c r="O118">
        <f t="shared" si="2"/>
        <v>0</v>
      </c>
      <c r="P118">
        <f t="shared" si="3"/>
        <v>0</v>
      </c>
    </row>
    <row r="119" spans="1:16">
      <c r="A119">
        <v>118</v>
      </c>
      <c r="B119" s="2">
        <v>44958</v>
      </c>
      <c r="C119">
        <v>30416</v>
      </c>
      <c r="D119">
        <v>18030</v>
      </c>
      <c r="F119">
        <v>0.41</v>
      </c>
      <c r="G119">
        <v>2.2400000000000002</v>
      </c>
      <c r="H119">
        <v>584</v>
      </c>
      <c r="I119">
        <v>0</v>
      </c>
      <c r="K119">
        <v>0</v>
      </c>
      <c r="L119">
        <v>18</v>
      </c>
      <c r="M119" t="s">
        <v>14</v>
      </c>
      <c r="N119">
        <v>0.2</v>
      </c>
      <c r="O119">
        <f t="shared" si="2"/>
        <v>0</v>
      </c>
      <c r="P119">
        <f t="shared" si="3"/>
        <v>0</v>
      </c>
    </row>
    <row r="120" spans="1:16">
      <c r="A120">
        <v>119</v>
      </c>
      <c r="B120" s="2">
        <v>44927</v>
      </c>
      <c r="C120">
        <v>6292</v>
      </c>
      <c r="D120">
        <v>11719</v>
      </c>
      <c r="E120">
        <v>1.35</v>
      </c>
      <c r="F120">
        <v>1.08</v>
      </c>
      <c r="G120">
        <v>0.57999999999999996</v>
      </c>
      <c r="H120">
        <v>647</v>
      </c>
      <c r="I120">
        <v>0</v>
      </c>
      <c r="K120">
        <v>0</v>
      </c>
      <c r="L120">
        <v>6</v>
      </c>
      <c r="M120" t="s">
        <v>14</v>
      </c>
      <c r="N120">
        <v>0.15</v>
      </c>
      <c r="O120">
        <f t="shared" si="2"/>
        <v>0</v>
      </c>
      <c r="P120">
        <f t="shared" si="3"/>
        <v>0</v>
      </c>
    </row>
    <row r="121" spans="1:16">
      <c r="A121">
        <v>120</v>
      </c>
      <c r="B121" s="2">
        <v>45383</v>
      </c>
      <c r="C121">
        <v>35056</v>
      </c>
      <c r="D121">
        <v>26636</v>
      </c>
      <c r="E121">
        <v>0.78</v>
      </c>
      <c r="F121">
        <v>1.05</v>
      </c>
      <c r="G121">
        <v>1.33</v>
      </c>
      <c r="H121">
        <v>766</v>
      </c>
      <c r="I121">
        <v>0</v>
      </c>
      <c r="K121">
        <v>0</v>
      </c>
      <c r="L121">
        <v>6</v>
      </c>
      <c r="M121" t="s">
        <v>15</v>
      </c>
      <c r="N121">
        <v>0.3</v>
      </c>
      <c r="O121">
        <f t="shared" si="2"/>
        <v>0</v>
      </c>
      <c r="P121">
        <f t="shared" si="3"/>
        <v>0</v>
      </c>
    </row>
    <row r="122" spans="1:16">
      <c r="A122">
        <v>121</v>
      </c>
      <c r="B122" s="2">
        <v>45597</v>
      </c>
      <c r="C122">
        <v>31254</v>
      </c>
      <c r="D122">
        <v>30674</v>
      </c>
      <c r="E122">
        <v>1.56</v>
      </c>
      <c r="F122">
        <v>1.57</v>
      </c>
      <c r="G122">
        <v>0.46</v>
      </c>
      <c r="H122">
        <v>760</v>
      </c>
      <c r="I122">
        <v>0</v>
      </c>
      <c r="K122">
        <v>0</v>
      </c>
      <c r="L122">
        <v>12</v>
      </c>
      <c r="M122" t="s">
        <v>15</v>
      </c>
      <c r="N122">
        <v>0.15</v>
      </c>
      <c r="O122">
        <f t="shared" si="2"/>
        <v>0</v>
      </c>
      <c r="P122">
        <f t="shared" si="3"/>
        <v>0</v>
      </c>
    </row>
    <row r="123" spans="1:16">
      <c r="A123">
        <v>122</v>
      </c>
      <c r="B123" s="2">
        <v>45597</v>
      </c>
      <c r="C123">
        <v>57099</v>
      </c>
      <c r="D123">
        <v>81854</v>
      </c>
      <c r="E123">
        <v>2.0499999999999998</v>
      </c>
      <c r="F123">
        <v>0.67</v>
      </c>
      <c r="G123">
        <v>1.22</v>
      </c>
      <c r="H123">
        <v>732</v>
      </c>
      <c r="I123">
        <v>0</v>
      </c>
      <c r="K123">
        <v>0</v>
      </c>
      <c r="L123">
        <v>12</v>
      </c>
      <c r="M123" t="s">
        <v>15</v>
      </c>
      <c r="N123">
        <v>0</v>
      </c>
      <c r="O123">
        <f t="shared" si="2"/>
        <v>0</v>
      </c>
      <c r="P123">
        <f t="shared" si="3"/>
        <v>0</v>
      </c>
    </row>
    <row r="124" spans="1:16">
      <c r="A124">
        <v>123</v>
      </c>
      <c r="B124" s="2">
        <v>45627</v>
      </c>
      <c r="D124">
        <v>20045</v>
      </c>
      <c r="E124">
        <v>1.05</v>
      </c>
      <c r="F124">
        <v>1.2</v>
      </c>
      <c r="G124">
        <v>1.21</v>
      </c>
      <c r="H124">
        <v>670</v>
      </c>
      <c r="I124">
        <v>0</v>
      </c>
      <c r="K124">
        <v>0</v>
      </c>
      <c r="L124">
        <v>6</v>
      </c>
      <c r="M124" t="s">
        <v>15</v>
      </c>
      <c r="N124">
        <v>0</v>
      </c>
      <c r="O124">
        <f t="shared" si="2"/>
        <v>0</v>
      </c>
      <c r="P124">
        <f t="shared" si="3"/>
        <v>0</v>
      </c>
    </row>
    <row r="125" spans="1:16">
      <c r="A125">
        <v>124</v>
      </c>
      <c r="B125" s="2">
        <v>45047</v>
      </c>
      <c r="C125">
        <v>75529</v>
      </c>
      <c r="D125">
        <v>16782</v>
      </c>
      <c r="E125">
        <v>2.39</v>
      </c>
      <c r="F125">
        <v>1.33</v>
      </c>
      <c r="G125">
        <v>1.69</v>
      </c>
      <c r="H125">
        <v>685</v>
      </c>
      <c r="I125">
        <v>1</v>
      </c>
      <c r="J125">
        <v>8020</v>
      </c>
      <c r="K125">
        <v>1</v>
      </c>
      <c r="L125">
        <v>12</v>
      </c>
      <c r="M125" t="s">
        <v>14</v>
      </c>
      <c r="N125">
        <v>0</v>
      </c>
      <c r="O125">
        <f t="shared" si="2"/>
        <v>1</v>
      </c>
      <c r="P125">
        <f t="shared" si="3"/>
        <v>0</v>
      </c>
    </row>
    <row r="126" spans="1:16">
      <c r="A126">
        <v>125</v>
      </c>
      <c r="B126" s="2">
        <v>44986</v>
      </c>
      <c r="C126">
        <v>30492</v>
      </c>
      <c r="D126">
        <v>15307</v>
      </c>
      <c r="E126">
        <v>1.83</v>
      </c>
      <c r="F126">
        <v>1.24</v>
      </c>
      <c r="G126">
        <v>1.38</v>
      </c>
      <c r="H126">
        <v>673</v>
      </c>
      <c r="I126">
        <v>0</v>
      </c>
      <c r="K126">
        <v>0</v>
      </c>
      <c r="L126">
        <v>12</v>
      </c>
      <c r="M126" t="s">
        <v>14</v>
      </c>
      <c r="N126">
        <v>0</v>
      </c>
      <c r="O126">
        <f t="shared" si="2"/>
        <v>0</v>
      </c>
      <c r="P126">
        <f t="shared" si="3"/>
        <v>0</v>
      </c>
    </row>
    <row r="127" spans="1:16">
      <c r="A127">
        <v>126</v>
      </c>
      <c r="B127" s="2">
        <v>45261</v>
      </c>
      <c r="C127">
        <v>17690</v>
      </c>
      <c r="D127">
        <v>10434</v>
      </c>
      <c r="E127">
        <v>2.12</v>
      </c>
      <c r="F127">
        <v>0.51</v>
      </c>
      <c r="G127">
        <v>1.69</v>
      </c>
      <c r="H127">
        <v>742</v>
      </c>
      <c r="I127">
        <v>0</v>
      </c>
      <c r="K127">
        <v>0</v>
      </c>
      <c r="L127">
        <v>18</v>
      </c>
      <c r="M127" t="s">
        <v>14</v>
      </c>
      <c r="N127">
        <v>0</v>
      </c>
      <c r="O127">
        <f t="shared" si="2"/>
        <v>0</v>
      </c>
      <c r="P127">
        <f t="shared" si="3"/>
        <v>0</v>
      </c>
    </row>
    <row r="128" spans="1:16">
      <c r="A128">
        <v>127</v>
      </c>
      <c r="B128" s="2">
        <v>45139</v>
      </c>
      <c r="C128">
        <v>193432</v>
      </c>
      <c r="D128">
        <v>16932</v>
      </c>
      <c r="E128">
        <v>1.19</v>
      </c>
      <c r="F128">
        <v>1</v>
      </c>
      <c r="G128">
        <v>1.74</v>
      </c>
      <c r="H128">
        <v>632</v>
      </c>
      <c r="I128">
        <v>0</v>
      </c>
      <c r="K128">
        <v>0</v>
      </c>
      <c r="L128">
        <v>6</v>
      </c>
      <c r="M128" t="s">
        <v>14</v>
      </c>
      <c r="N128">
        <v>0</v>
      </c>
      <c r="O128">
        <f t="shared" si="2"/>
        <v>0</v>
      </c>
      <c r="P128">
        <f t="shared" si="3"/>
        <v>0</v>
      </c>
    </row>
    <row r="129" spans="1:16">
      <c r="A129">
        <v>128</v>
      </c>
      <c r="B129" s="2">
        <v>45566</v>
      </c>
      <c r="C129">
        <v>37741</v>
      </c>
      <c r="D129">
        <v>10864</v>
      </c>
      <c r="E129">
        <v>2.02</v>
      </c>
      <c r="F129">
        <v>1.17</v>
      </c>
      <c r="G129">
        <v>2.54</v>
      </c>
      <c r="H129">
        <v>636</v>
      </c>
      <c r="I129">
        <v>0</v>
      </c>
      <c r="K129">
        <v>0</v>
      </c>
      <c r="L129">
        <v>18</v>
      </c>
      <c r="M129" t="s">
        <v>15</v>
      </c>
      <c r="N129">
        <v>0</v>
      </c>
      <c r="O129">
        <f t="shared" si="2"/>
        <v>0</v>
      </c>
      <c r="P129">
        <f t="shared" si="3"/>
        <v>0</v>
      </c>
    </row>
    <row r="130" spans="1:16">
      <c r="A130">
        <v>129</v>
      </c>
      <c r="B130" s="2">
        <v>44986</v>
      </c>
      <c r="C130">
        <v>36646</v>
      </c>
      <c r="D130">
        <v>15032</v>
      </c>
      <c r="E130">
        <v>0.95</v>
      </c>
      <c r="F130">
        <v>0.91</v>
      </c>
      <c r="G130">
        <v>1.18</v>
      </c>
      <c r="H130">
        <v>736</v>
      </c>
      <c r="I130">
        <v>0</v>
      </c>
      <c r="K130">
        <v>0</v>
      </c>
      <c r="L130">
        <v>6</v>
      </c>
      <c r="M130" t="s">
        <v>14</v>
      </c>
      <c r="N130">
        <v>0.3</v>
      </c>
      <c r="O130">
        <f t="shared" si="2"/>
        <v>0</v>
      </c>
      <c r="P130">
        <f t="shared" si="3"/>
        <v>0</v>
      </c>
    </row>
    <row r="131" spans="1:16">
      <c r="A131">
        <v>130</v>
      </c>
      <c r="B131" s="2">
        <v>44927</v>
      </c>
      <c r="C131">
        <v>35750</v>
      </c>
      <c r="D131">
        <v>33601</v>
      </c>
      <c r="E131">
        <v>2.04</v>
      </c>
      <c r="F131">
        <v>0.21</v>
      </c>
      <c r="G131">
        <v>0.83</v>
      </c>
      <c r="H131">
        <v>678</v>
      </c>
      <c r="I131">
        <v>0</v>
      </c>
      <c r="K131">
        <v>0</v>
      </c>
      <c r="L131">
        <v>12</v>
      </c>
      <c r="M131" t="s">
        <v>14</v>
      </c>
      <c r="N131">
        <v>0</v>
      </c>
      <c r="O131">
        <f t="shared" ref="O131:O194" si="4">IF(J131="",0,1)</f>
        <v>0</v>
      </c>
      <c r="P131">
        <f t="shared" ref="P131:P194" si="5">IF(I131=K131,0,1)</f>
        <v>0</v>
      </c>
    </row>
    <row r="132" spans="1:16">
      <c r="A132">
        <v>131</v>
      </c>
      <c r="B132" s="2">
        <v>44986</v>
      </c>
      <c r="C132">
        <v>41306</v>
      </c>
      <c r="D132">
        <v>6604</v>
      </c>
      <c r="E132">
        <v>1.64</v>
      </c>
      <c r="F132">
        <v>1.01</v>
      </c>
      <c r="G132">
        <v>1.49</v>
      </c>
      <c r="H132">
        <v>756</v>
      </c>
      <c r="I132">
        <v>0</v>
      </c>
      <c r="K132">
        <v>0</v>
      </c>
      <c r="L132">
        <v>6</v>
      </c>
      <c r="M132" t="s">
        <v>14</v>
      </c>
      <c r="N132">
        <v>0</v>
      </c>
      <c r="O132">
        <f t="shared" si="4"/>
        <v>0</v>
      </c>
      <c r="P132">
        <f t="shared" si="5"/>
        <v>0</v>
      </c>
    </row>
    <row r="133" spans="1:16">
      <c r="A133">
        <v>132</v>
      </c>
      <c r="B133" s="2">
        <v>45047</v>
      </c>
      <c r="C133">
        <v>33063</v>
      </c>
      <c r="D133">
        <v>29671</v>
      </c>
      <c r="E133">
        <v>1.85</v>
      </c>
      <c r="F133">
        <v>4.26</v>
      </c>
      <c r="G133">
        <v>0.91</v>
      </c>
      <c r="H133">
        <v>643</v>
      </c>
      <c r="I133">
        <v>0</v>
      </c>
      <c r="K133">
        <v>0</v>
      </c>
      <c r="L133">
        <v>12</v>
      </c>
      <c r="M133" t="s">
        <v>14</v>
      </c>
      <c r="N133">
        <v>0.35</v>
      </c>
      <c r="O133">
        <f t="shared" si="4"/>
        <v>0</v>
      </c>
      <c r="P133">
        <f t="shared" si="5"/>
        <v>0</v>
      </c>
    </row>
    <row r="134" spans="1:16">
      <c r="A134">
        <v>133</v>
      </c>
      <c r="B134" s="2">
        <v>45352</v>
      </c>
      <c r="C134">
        <v>25012</v>
      </c>
      <c r="D134">
        <v>33590</v>
      </c>
      <c r="E134">
        <v>0.9</v>
      </c>
      <c r="F134">
        <v>0.7</v>
      </c>
      <c r="G134">
        <v>2.17</v>
      </c>
      <c r="H134">
        <v>677</v>
      </c>
      <c r="I134">
        <v>0</v>
      </c>
      <c r="K134">
        <v>0</v>
      </c>
      <c r="L134">
        <v>12</v>
      </c>
      <c r="M134" t="s">
        <v>15</v>
      </c>
      <c r="N134">
        <v>0.3</v>
      </c>
      <c r="O134">
        <f t="shared" si="4"/>
        <v>0</v>
      </c>
      <c r="P134">
        <f t="shared" si="5"/>
        <v>0</v>
      </c>
    </row>
    <row r="135" spans="1:16">
      <c r="A135">
        <v>134</v>
      </c>
      <c r="B135" s="2">
        <v>45323</v>
      </c>
      <c r="C135">
        <v>25452</v>
      </c>
      <c r="D135">
        <v>12300</v>
      </c>
      <c r="E135">
        <v>1.06</v>
      </c>
      <c r="F135">
        <v>0.54</v>
      </c>
      <c r="G135">
        <v>1.19</v>
      </c>
      <c r="I135">
        <v>0</v>
      </c>
      <c r="K135">
        <v>0</v>
      </c>
      <c r="L135">
        <v>12</v>
      </c>
      <c r="M135" t="s">
        <v>15</v>
      </c>
      <c r="N135">
        <v>0</v>
      </c>
      <c r="O135">
        <f t="shared" si="4"/>
        <v>0</v>
      </c>
      <c r="P135">
        <f t="shared" si="5"/>
        <v>0</v>
      </c>
    </row>
    <row r="136" spans="1:16">
      <c r="A136">
        <v>135</v>
      </c>
      <c r="B136" s="2">
        <v>44986</v>
      </c>
      <c r="C136">
        <v>35551</v>
      </c>
      <c r="D136">
        <v>3025</v>
      </c>
      <c r="E136">
        <v>1.88</v>
      </c>
      <c r="F136">
        <v>1.18</v>
      </c>
      <c r="G136">
        <v>1.04</v>
      </c>
      <c r="H136">
        <v>680</v>
      </c>
      <c r="I136">
        <v>0</v>
      </c>
      <c r="K136">
        <v>0</v>
      </c>
      <c r="L136">
        <v>12</v>
      </c>
      <c r="M136" t="s">
        <v>14</v>
      </c>
      <c r="N136">
        <v>0</v>
      </c>
      <c r="O136">
        <f t="shared" si="4"/>
        <v>0</v>
      </c>
      <c r="P136">
        <f t="shared" si="5"/>
        <v>0</v>
      </c>
    </row>
    <row r="137" spans="1:16">
      <c r="A137">
        <v>136</v>
      </c>
      <c r="B137" s="2">
        <v>44927</v>
      </c>
      <c r="C137">
        <v>25509</v>
      </c>
      <c r="D137">
        <v>8730</v>
      </c>
      <c r="E137">
        <v>1.03</v>
      </c>
      <c r="F137">
        <v>1.1299999999999999</v>
      </c>
      <c r="G137">
        <v>1.0900000000000001</v>
      </c>
      <c r="H137">
        <v>599</v>
      </c>
      <c r="I137">
        <v>0</v>
      </c>
      <c r="K137">
        <v>0</v>
      </c>
      <c r="L137">
        <v>18</v>
      </c>
      <c r="M137" t="s">
        <v>14</v>
      </c>
      <c r="N137">
        <v>0.2</v>
      </c>
      <c r="O137">
        <f t="shared" si="4"/>
        <v>0</v>
      </c>
      <c r="P137">
        <f t="shared" si="5"/>
        <v>0</v>
      </c>
    </row>
    <row r="138" spans="1:16">
      <c r="A138">
        <v>137</v>
      </c>
      <c r="B138" s="2">
        <v>45047</v>
      </c>
      <c r="C138">
        <v>22849</v>
      </c>
      <c r="D138">
        <v>33120</v>
      </c>
      <c r="E138">
        <v>1.8</v>
      </c>
      <c r="F138">
        <v>2.09</v>
      </c>
      <c r="G138">
        <v>1.75</v>
      </c>
      <c r="H138">
        <v>653</v>
      </c>
      <c r="I138">
        <v>0</v>
      </c>
      <c r="K138">
        <v>0</v>
      </c>
      <c r="L138">
        <v>12</v>
      </c>
      <c r="M138" t="s">
        <v>14</v>
      </c>
      <c r="N138">
        <v>0.35</v>
      </c>
      <c r="O138">
        <f t="shared" si="4"/>
        <v>0</v>
      </c>
      <c r="P138">
        <f t="shared" si="5"/>
        <v>0</v>
      </c>
    </row>
    <row r="139" spans="1:16">
      <c r="A139">
        <v>138</v>
      </c>
      <c r="B139" s="2">
        <v>45597</v>
      </c>
      <c r="C139">
        <v>38917</v>
      </c>
      <c r="D139">
        <v>13148</v>
      </c>
      <c r="F139">
        <v>0.38</v>
      </c>
      <c r="G139">
        <v>1.26</v>
      </c>
      <c r="H139">
        <v>601</v>
      </c>
      <c r="I139">
        <v>0</v>
      </c>
      <c r="K139">
        <v>0</v>
      </c>
      <c r="L139">
        <v>12</v>
      </c>
      <c r="M139" t="s">
        <v>15</v>
      </c>
      <c r="N139">
        <v>0</v>
      </c>
      <c r="O139">
        <f t="shared" si="4"/>
        <v>0</v>
      </c>
      <c r="P139">
        <f t="shared" si="5"/>
        <v>0</v>
      </c>
    </row>
    <row r="140" spans="1:16">
      <c r="A140">
        <v>139</v>
      </c>
      <c r="B140" s="2">
        <v>45323</v>
      </c>
      <c r="C140">
        <v>30769</v>
      </c>
      <c r="D140">
        <v>6637</v>
      </c>
      <c r="E140">
        <v>2.02</v>
      </c>
      <c r="F140">
        <v>1.51</v>
      </c>
      <c r="G140">
        <v>1</v>
      </c>
      <c r="I140">
        <v>0</v>
      </c>
      <c r="K140">
        <v>0</v>
      </c>
      <c r="L140">
        <v>12</v>
      </c>
      <c r="M140" t="s">
        <v>15</v>
      </c>
      <c r="N140">
        <v>0</v>
      </c>
      <c r="O140">
        <f t="shared" si="4"/>
        <v>0</v>
      </c>
      <c r="P140">
        <f t="shared" si="5"/>
        <v>0</v>
      </c>
    </row>
    <row r="141" spans="1:16">
      <c r="A141">
        <v>140</v>
      </c>
      <c r="B141" s="2">
        <v>45108</v>
      </c>
      <c r="C141">
        <v>96529</v>
      </c>
      <c r="D141">
        <v>9383</v>
      </c>
      <c r="E141">
        <v>0.87</v>
      </c>
      <c r="F141">
        <v>1.37</v>
      </c>
      <c r="G141">
        <v>2.27</v>
      </c>
      <c r="H141">
        <v>719</v>
      </c>
      <c r="I141">
        <v>1</v>
      </c>
      <c r="J141">
        <v>3474</v>
      </c>
      <c r="K141">
        <v>1</v>
      </c>
      <c r="L141">
        <v>6</v>
      </c>
      <c r="M141" t="s">
        <v>14</v>
      </c>
      <c r="N141">
        <v>0.3</v>
      </c>
      <c r="O141">
        <f t="shared" si="4"/>
        <v>1</v>
      </c>
      <c r="P141">
        <f t="shared" si="5"/>
        <v>0</v>
      </c>
    </row>
    <row r="142" spans="1:16">
      <c r="A142">
        <v>141</v>
      </c>
      <c r="B142" s="2">
        <v>45170</v>
      </c>
      <c r="C142">
        <v>6483</v>
      </c>
      <c r="D142">
        <v>24063</v>
      </c>
      <c r="E142">
        <v>1.85</v>
      </c>
      <c r="F142">
        <v>0.82</v>
      </c>
      <c r="G142">
        <v>0.88</v>
      </c>
      <c r="H142">
        <v>585</v>
      </c>
      <c r="I142">
        <v>0</v>
      </c>
      <c r="K142">
        <v>0</v>
      </c>
      <c r="L142">
        <v>6</v>
      </c>
      <c r="M142" t="s">
        <v>14</v>
      </c>
      <c r="N142">
        <v>0.2</v>
      </c>
      <c r="O142">
        <f t="shared" si="4"/>
        <v>0</v>
      </c>
      <c r="P142">
        <f t="shared" si="5"/>
        <v>0</v>
      </c>
    </row>
    <row r="143" spans="1:16">
      <c r="A143">
        <v>142</v>
      </c>
      <c r="B143" s="2">
        <v>45352</v>
      </c>
      <c r="C143">
        <v>73827</v>
      </c>
      <c r="D143">
        <v>19589</v>
      </c>
      <c r="E143">
        <v>1.89</v>
      </c>
      <c r="F143">
        <v>1.1499999999999999</v>
      </c>
      <c r="G143">
        <v>1.37</v>
      </c>
      <c r="H143">
        <v>753</v>
      </c>
      <c r="I143">
        <v>0</v>
      </c>
      <c r="K143">
        <v>0</v>
      </c>
      <c r="L143">
        <v>6</v>
      </c>
      <c r="M143" t="s">
        <v>15</v>
      </c>
      <c r="N143">
        <v>0</v>
      </c>
      <c r="O143">
        <f t="shared" si="4"/>
        <v>0</v>
      </c>
      <c r="P143">
        <f t="shared" si="5"/>
        <v>0</v>
      </c>
    </row>
    <row r="144" spans="1:16">
      <c r="A144">
        <v>143</v>
      </c>
      <c r="B144" s="2">
        <v>45352</v>
      </c>
      <c r="C144">
        <v>81630</v>
      </c>
      <c r="D144">
        <v>11302</v>
      </c>
      <c r="E144">
        <v>1.17</v>
      </c>
      <c r="F144">
        <v>1.86</v>
      </c>
      <c r="G144">
        <v>1.71</v>
      </c>
      <c r="H144">
        <v>817</v>
      </c>
      <c r="I144">
        <v>0</v>
      </c>
      <c r="K144">
        <v>0</v>
      </c>
      <c r="L144">
        <v>12</v>
      </c>
      <c r="M144" t="s">
        <v>15</v>
      </c>
      <c r="N144">
        <v>0</v>
      </c>
      <c r="O144">
        <f t="shared" si="4"/>
        <v>0</v>
      </c>
      <c r="P144">
        <f t="shared" si="5"/>
        <v>0</v>
      </c>
    </row>
    <row r="145" spans="1:16">
      <c r="A145">
        <v>144</v>
      </c>
      <c r="B145" s="2">
        <v>45200</v>
      </c>
      <c r="C145">
        <v>9436</v>
      </c>
      <c r="D145">
        <v>10334</v>
      </c>
      <c r="E145">
        <v>1.87</v>
      </c>
      <c r="F145">
        <v>1.67</v>
      </c>
      <c r="G145">
        <v>0.45</v>
      </c>
      <c r="H145">
        <v>683</v>
      </c>
      <c r="I145">
        <v>0</v>
      </c>
      <c r="K145">
        <v>0</v>
      </c>
      <c r="L145">
        <v>12</v>
      </c>
      <c r="M145" t="s">
        <v>14</v>
      </c>
      <c r="N145">
        <v>0.15</v>
      </c>
      <c r="O145">
        <f t="shared" si="4"/>
        <v>0</v>
      </c>
      <c r="P145">
        <f t="shared" si="5"/>
        <v>0</v>
      </c>
    </row>
    <row r="146" spans="1:16">
      <c r="A146">
        <v>145</v>
      </c>
      <c r="B146" s="2">
        <v>45292</v>
      </c>
      <c r="C146">
        <v>29064</v>
      </c>
      <c r="D146">
        <v>10155</v>
      </c>
      <c r="E146">
        <v>1.69</v>
      </c>
      <c r="F146">
        <v>0.41</v>
      </c>
      <c r="G146">
        <v>1.61</v>
      </c>
      <c r="H146">
        <v>645</v>
      </c>
      <c r="I146">
        <v>0</v>
      </c>
      <c r="K146">
        <v>0</v>
      </c>
      <c r="L146">
        <v>12</v>
      </c>
      <c r="M146" t="s">
        <v>15</v>
      </c>
      <c r="N146">
        <v>0</v>
      </c>
      <c r="O146">
        <f t="shared" si="4"/>
        <v>0</v>
      </c>
      <c r="P146">
        <f t="shared" si="5"/>
        <v>0</v>
      </c>
    </row>
    <row r="147" spans="1:16">
      <c r="A147">
        <v>146</v>
      </c>
      <c r="B147" s="2">
        <v>45474</v>
      </c>
      <c r="C147">
        <v>28526</v>
      </c>
      <c r="D147">
        <v>7005</v>
      </c>
      <c r="E147">
        <v>1.25</v>
      </c>
      <c r="F147">
        <v>1.61</v>
      </c>
      <c r="G147">
        <v>0.77</v>
      </c>
      <c r="H147">
        <v>835</v>
      </c>
      <c r="I147">
        <v>0</v>
      </c>
      <c r="K147">
        <v>0</v>
      </c>
      <c r="L147">
        <v>12</v>
      </c>
      <c r="M147" t="s">
        <v>15</v>
      </c>
      <c r="N147">
        <v>0.15</v>
      </c>
      <c r="O147">
        <f t="shared" si="4"/>
        <v>0</v>
      </c>
      <c r="P147">
        <f t="shared" si="5"/>
        <v>0</v>
      </c>
    </row>
    <row r="148" spans="1:16">
      <c r="A148">
        <v>147</v>
      </c>
      <c r="B148" s="2">
        <v>45108</v>
      </c>
      <c r="C148">
        <v>14547</v>
      </c>
      <c r="D148">
        <v>41389</v>
      </c>
      <c r="E148">
        <v>1</v>
      </c>
      <c r="F148">
        <v>0.86</v>
      </c>
      <c r="G148">
        <v>1.8</v>
      </c>
      <c r="H148">
        <v>607</v>
      </c>
      <c r="I148">
        <v>1</v>
      </c>
      <c r="J148">
        <v>48570</v>
      </c>
      <c r="K148">
        <v>1</v>
      </c>
      <c r="L148">
        <v>12</v>
      </c>
      <c r="M148" t="s">
        <v>14</v>
      </c>
      <c r="N148">
        <v>0</v>
      </c>
      <c r="O148">
        <f t="shared" si="4"/>
        <v>1</v>
      </c>
      <c r="P148">
        <f t="shared" si="5"/>
        <v>0</v>
      </c>
    </row>
    <row r="149" spans="1:16">
      <c r="A149">
        <v>148</v>
      </c>
      <c r="B149" s="2">
        <v>45413</v>
      </c>
      <c r="C149">
        <v>21904</v>
      </c>
      <c r="D149">
        <v>10661</v>
      </c>
      <c r="E149">
        <v>0.47</v>
      </c>
      <c r="F149">
        <v>0.95</v>
      </c>
      <c r="G149">
        <v>0.82</v>
      </c>
      <c r="H149">
        <v>681</v>
      </c>
      <c r="I149">
        <v>0</v>
      </c>
      <c r="K149">
        <v>0</v>
      </c>
      <c r="L149">
        <v>12</v>
      </c>
      <c r="M149" t="s">
        <v>15</v>
      </c>
      <c r="N149">
        <v>0.3</v>
      </c>
      <c r="O149">
        <f t="shared" si="4"/>
        <v>0</v>
      </c>
      <c r="P149">
        <f t="shared" si="5"/>
        <v>0</v>
      </c>
    </row>
    <row r="150" spans="1:16">
      <c r="A150">
        <v>149</v>
      </c>
      <c r="B150" s="2">
        <v>45505</v>
      </c>
      <c r="C150">
        <v>17644</v>
      </c>
      <c r="D150">
        <v>31320</v>
      </c>
      <c r="E150">
        <v>1.74</v>
      </c>
      <c r="F150">
        <v>0.95</v>
      </c>
      <c r="G150">
        <v>1.73</v>
      </c>
      <c r="H150">
        <v>690</v>
      </c>
      <c r="I150">
        <v>0</v>
      </c>
      <c r="K150">
        <v>0</v>
      </c>
      <c r="L150">
        <v>6</v>
      </c>
      <c r="M150" t="s">
        <v>15</v>
      </c>
      <c r="N150">
        <v>0</v>
      </c>
      <c r="O150">
        <f t="shared" si="4"/>
        <v>0</v>
      </c>
      <c r="P150">
        <f t="shared" si="5"/>
        <v>0</v>
      </c>
    </row>
    <row r="151" spans="1:16">
      <c r="A151">
        <v>150</v>
      </c>
      <c r="B151" s="2">
        <v>45017</v>
      </c>
      <c r="C151">
        <v>113434</v>
      </c>
      <c r="D151">
        <v>38751</v>
      </c>
      <c r="E151">
        <v>0.69</v>
      </c>
      <c r="F151">
        <v>0.81</v>
      </c>
      <c r="G151">
        <v>1.96</v>
      </c>
      <c r="H151">
        <v>754</v>
      </c>
      <c r="I151">
        <v>0</v>
      </c>
      <c r="K151">
        <v>0</v>
      </c>
      <c r="L151">
        <v>12</v>
      </c>
      <c r="M151" t="s">
        <v>14</v>
      </c>
      <c r="N151">
        <v>0.3</v>
      </c>
      <c r="O151">
        <f t="shared" si="4"/>
        <v>0</v>
      </c>
      <c r="P151">
        <f t="shared" si="5"/>
        <v>0</v>
      </c>
    </row>
    <row r="152" spans="1:16">
      <c r="A152">
        <v>151</v>
      </c>
      <c r="B152" s="2">
        <v>45047</v>
      </c>
      <c r="C152">
        <v>66715</v>
      </c>
      <c r="D152">
        <v>26871</v>
      </c>
      <c r="E152">
        <v>1.6</v>
      </c>
      <c r="F152">
        <v>2.08</v>
      </c>
      <c r="G152">
        <v>1.82</v>
      </c>
      <c r="H152">
        <v>700</v>
      </c>
      <c r="I152">
        <v>0</v>
      </c>
      <c r="K152">
        <v>0</v>
      </c>
      <c r="L152">
        <v>12</v>
      </c>
      <c r="M152" t="s">
        <v>14</v>
      </c>
      <c r="N152">
        <v>0.35</v>
      </c>
      <c r="O152">
        <f t="shared" si="4"/>
        <v>0</v>
      </c>
      <c r="P152">
        <f t="shared" si="5"/>
        <v>0</v>
      </c>
    </row>
    <row r="153" spans="1:16">
      <c r="A153">
        <v>152</v>
      </c>
      <c r="B153" s="2">
        <v>45597</v>
      </c>
      <c r="C153">
        <v>82993</v>
      </c>
      <c r="D153">
        <v>9876</v>
      </c>
      <c r="E153">
        <v>1.41</v>
      </c>
      <c r="F153">
        <v>0.85</v>
      </c>
      <c r="G153">
        <v>1.49</v>
      </c>
      <c r="H153">
        <v>653</v>
      </c>
      <c r="I153">
        <v>0</v>
      </c>
      <c r="K153">
        <v>0</v>
      </c>
      <c r="L153">
        <v>6</v>
      </c>
      <c r="M153" t="s">
        <v>15</v>
      </c>
      <c r="N153">
        <v>0</v>
      </c>
      <c r="O153">
        <f t="shared" si="4"/>
        <v>0</v>
      </c>
      <c r="P153">
        <f t="shared" si="5"/>
        <v>0</v>
      </c>
    </row>
    <row r="154" spans="1:16">
      <c r="A154">
        <v>153</v>
      </c>
      <c r="B154" s="2">
        <v>45108</v>
      </c>
      <c r="C154">
        <v>58052</v>
      </c>
      <c r="D154">
        <v>17723</v>
      </c>
      <c r="E154">
        <v>1.92</v>
      </c>
      <c r="F154">
        <v>0.41</v>
      </c>
      <c r="G154">
        <v>1.22</v>
      </c>
      <c r="H154">
        <v>628</v>
      </c>
      <c r="I154">
        <v>0</v>
      </c>
      <c r="K154">
        <v>0</v>
      </c>
      <c r="L154">
        <v>12</v>
      </c>
      <c r="M154" t="s">
        <v>14</v>
      </c>
      <c r="N154">
        <v>0</v>
      </c>
      <c r="O154">
        <f t="shared" si="4"/>
        <v>0</v>
      </c>
      <c r="P154">
        <f t="shared" si="5"/>
        <v>0</v>
      </c>
    </row>
    <row r="155" spans="1:16">
      <c r="A155">
        <v>154</v>
      </c>
      <c r="B155" s="2">
        <v>45292</v>
      </c>
      <c r="C155">
        <v>17433</v>
      </c>
      <c r="D155">
        <v>13135</v>
      </c>
      <c r="E155">
        <v>1.38</v>
      </c>
      <c r="F155">
        <v>0.69</v>
      </c>
      <c r="G155">
        <v>1.03</v>
      </c>
      <c r="H155">
        <v>661</v>
      </c>
      <c r="I155">
        <v>0</v>
      </c>
      <c r="K155">
        <v>0</v>
      </c>
      <c r="L155">
        <v>18</v>
      </c>
      <c r="M155" t="s">
        <v>15</v>
      </c>
      <c r="N155">
        <v>0</v>
      </c>
      <c r="O155">
        <f t="shared" si="4"/>
        <v>0</v>
      </c>
      <c r="P155">
        <f t="shared" si="5"/>
        <v>0</v>
      </c>
    </row>
    <row r="156" spans="1:16">
      <c r="A156">
        <v>155</v>
      </c>
      <c r="B156" s="2">
        <v>45352</v>
      </c>
      <c r="C156">
        <v>25824</v>
      </c>
      <c r="D156">
        <v>7097</v>
      </c>
      <c r="E156">
        <v>1.37</v>
      </c>
      <c r="F156">
        <v>1.03</v>
      </c>
      <c r="G156">
        <v>2.16</v>
      </c>
      <c r="H156">
        <v>625</v>
      </c>
      <c r="I156">
        <v>0</v>
      </c>
      <c r="K156">
        <v>0</v>
      </c>
      <c r="L156">
        <v>12</v>
      </c>
      <c r="M156" t="s">
        <v>15</v>
      </c>
      <c r="N156">
        <v>0</v>
      </c>
      <c r="O156">
        <f t="shared" si="4"/>
        <v>0</v>
      </c>
      <c r="P156">
        <f t="shared" si="5"/>
        <v>0</v>
      </c>
    </row>
    <row r="157" spans="1:16">
      <c r="A157">
        <v>156</v>
      </c>
      <c r="B157" s="2">
        <v>45231</v>
      </c>
      <c r="C157">
        <v>49916</v>
      </c>
      <c r="D157">
        <v>16765</v>
      </c>
      <c r="E157">
        <v>1.95</v>
      </c>
      <c r="F157">
        <v>2.14</v>
      </c>
      <c r="G157">
        <v>0.97</v>
      </c>
      <c r="H157">
        <v>683</v>
      </c>
      <c r="I157">
        <v>0</v>
      </c>
      <c r="K157">
        <v>0</v>
      </c>
      <c r="L157">
        <v>12</v>
      </c>
      <c r="M157" t="s">
        <v>14</v>
      </c>
      <c r="N157">
        <v>0.35</v>
      </c>
      <c r="O157">
        <f t="shared" si="4"/>
        <v>0</v>
      </c>
      <c r="P157">
        <f t="shared" si="5"/>
        <v>0</v>
      </c>
    </row>
    <row r="158" spans="1:16">
      <c r="A158">
        <v>157</v>
      </c>
      <c r="B158" s="2">
        <v>45017</v>
      </c>
      <c r="C158">
        <v>16410</v>
      </c>
      <c r="D158">
        <v>5853</v>
      </c>
      <c r="E158">
        <v>1.73</v>
      </c>
      <c r="F158">
        <v>1.38</v>
      </c>
      <c r="G158">
        <v>0.78</v>
      </c>
      <c r="H158">
        <v>649</v>
      </c>
      <c r="I158">
        <v>0</v>
      </c>
      <c r="K158">
        <v>0</v>
      </c>
      <c r="L158">
        <v>12</v>
      </c>
      <c r="M158" t="s">
        <v>14</v>
      </c>
      <c r="N158">
        <v>0.15</v>
      </c>
      <c r="O158">
        <f t="shared" si="4"/>
        <v>0</v>
      </c>
      <c r="P158">
        <f t="shared" si="5"/>
        <v>0</v>
      </c>
    </row>
    <row r="159" spans="1:16">
      <c r="A159">
        <v>158</v>
      </c>
      <c r="B159" s="2">
        <v>45292</v>
      </c>
      <c r="C159">
        <v>57725</v>
      </c>
      <c r="D159">
        <v>30680</v>
      </c>
      <c r="E159">
        <v>1.72</v>
      </c>
      <c r="F159">
        <v>0.5</v>
      </c>
      <c r="G159">
        <v>1.72</v>
      </c>
      <c r="H159">
        <v>598</v>
      </c>
      <c r="I159">
        <v>0</v>
      </c>
      <c r="K159">
        <v>0</v>
      </c>
      <c r="L159">
        <v>12</v>
      </c>
      <c r="M159" t="s">
        <v>15</v>
      </c>
      <c r="N159">
        <v>0.2</v>
      </c>
      <c r="O159">
        <f t="shared" si="4"/>
        <v>0</v>
      </c>
      <c r="P159">
        <f t="shared" si="5"/>
        <v>0</v>
      </c>
    </row>
    <row r="160" spans="1:16">
      <c r="A160">
        <v>159</v>
      </c>
      <c r="B160" s="2">
        <v>45108</v>
      </c>
      <c r="C160">
        <v>31063</v>
      </c>
      <c r="D160">
        <v>9651</v>
      </c>
      <c r="E160">
        <v>1.81</v>
      </c>
      <c r="F160">
        <v>5.15</v>
      </c>
      <c r="G160">
        <v>0.91</v>
      </c>
      <c r="I160">
        <v>0</v>
      </c>
      <c r="K160">
        <v>0</v>
      </c>
      <c r="L160">
        <v>6</v>
      </c>
      <c r="M160" t="s">
        <v>14</v>
      </c>
      <c r="N160">
        <v>0.35</v>
      </c>
      <c r="O160">
        <f t="shared" si="4"/>
        <v>0</v>
      </c>
      <c r="P160">
        <f t="shared" si="5"/>
        <v>0</v>
      </c>
    </row>
    <row r="161" spans="1:16">
      <c r="A161">
        <v>160</v>
      </c>
      <c r="B161" s="2">
        <v>45474</v>
      </c>
      <c r="C161">
        <v>28463</v>
      </c>
      <c r="D161">
        <v>15380</v>
      </c>
      <c r="E161">
        <v>0.71</v>
      </c>
      <c r="F161">
        <v>1.0900000000000001</v>
      </c>
      <c r="G161">
        <v>0.83</v>
      </c>
      <c r="H161">
        <v>653</v>
      </c>
      <c r="I161">
        <v>0</v>
      </c>
      <c r="K161">
        <v>0</v>
      </c>
      <c r="L161">
        <v>12</v>
      </c>
      <c r="M161" t="s">
        <v>15</v>
      </c>
      <c r="N161">
        <v>0.3</v>
      </c>
      <c r="O161">
        <f t="shared" si="4"/>
        <v>0</v>
      </c>
      <c r="P161">
        <f t="shared" si="5"/>
        <v>0</v>
      </c>
    </row>
    <row r="162" spans="1:16">
      <c r="A162">
        <v>161</v>
      </c>
      <c r="B162" s="2">
        <v>45566</v>
      </c>
      <c r="C162">
        <v>57649</v>
      </c>
      <c r="D162">
        <v>16290</v>
      </c>
      <c r="E162">
        <v>1.97</v>
      </c>
      <c r="F162">
        <v>2.21</v>
      </c>
      <c r="G162">
        <v>0.56000000000000005</v>
      </c>
      <c r="H162">
        <v>610</v>
      </c>
      <c r="I162">
        <v>0</v>
      </c>
      <c r="K162">
        <v>0</v>
      </c>
      <c r="L162">
        <v>12</v>
      </c>
      <c r="M162" t="s">
        <v>15</v>
      </c>
      <c r="N162">
        <v>0.5</v>
      </c>
      <c r="O162">
        <f t="shared" si="4"/>
        <v>0</v>
      </c>
      <c r="P162">
        <f t="shared" si="5"/>
        <v>0</v>
      </c>
    </row>
    <row r="163" spans="1:16">
      <c r="A163">
        <v>162</v>
      </c>
      <c r="B163" s="2">
        <v>44958</v>
      </c>
      <c r="C163">
        <v>48473</v>
      </c>
      <c r="D163">
        <v>11145</v>
      </c>
      <c r="E163">
        <v>1.89</v>
      </c>
      <c r="F163">
        <v>0.81</v>
      </c>
      <c r="G163">
        <v>1.08</v>
      </c>
      <c r="H163">
        <v>671</v>
      </c>
      <c r="I163">
        <v>0</v>
      </c>
      <c r="K163">
        <v>0</v>
      </c>
      <c r="L163">
        <v>6</v>
      </c>
      <c r="M163" t="s">
        <v>14</v>
      </c>
      <c r="N163">
        <v>0</v>
      </c>
      <c r="O163">
        <f t="shared" si="4"/>
        <v>0</v>
      </c>
      <c r="P163">
        <f t="shared" si="5"/>
        <v>0</v>
      </c>
    </row>
    <row r="164" spans="1:16">
      <c r="A164">
        <v>163</v>
      </c>
      <c r="B164" s="2">
        <v>45200</v>
      </c>
      <c r="C164">
        <v>28721</v>
      </c>
      <c r="D164">
        <v>20144</v>
      </c>
      <c r="E164">
        <v>0.99</v>
      </c>
      <c r="F164">
        <v>1.31</v>
      </c>
      <c r="G164">
        <v>1.3</v>
      </c>
      <c r="I164">
        <v>0</v>
      </c>
      <c r="K164">
        <v>0</v>
      </c>
      <c r="L164">
        <v>12</v>
      </c>
      <c r="M164" t="s">
        <v>14</v>
      </c>
      <c r="N164">
        <v>0.3</v>
      </c>
      <c r="O164">
        <f t="shared" si="4"/>
        <v>0</v>
      </c>
      <c r="P164">
        <f t="shared" si="5"/>
        <v>0</v>
      </c>
    </row>
    <row r="165" spans="1:16">
      <c r="A165">
        <v>164</v>
      </c>
      <c r="B165" s="2">
        <v>45292</v>
      </c>
      <c r="C165">
        <v>77154</v>
      </c>
      <c r="D165">
        <v>9581</v>
      </c>
      <c r="E165">
        <v>1.42</v>
      </c>
      <c r="F165">
        <v>1.63</v>
      </c>
      <c r="G165">
        <v>1.48</v>
      </c>
      <c r="H165">
        <v>584</v>
      </c>
      <c r="I165">
        <v>0</v>
      </c>
      <c r="K165">
        <v>0</v>
      </c>
      <c r="L165">
        <v>12</v>
      </c>
      <c r="M165" t="s">
        <v>15</v>
      </c>
      <c r="N165">
        <v>0.2</v>
      </c>
      <c r="O165">
        <f t="shared" si="4"/>
        <v>0</v>
      </c>
      <c r="P165">
        <f t="shared" si="5"/>
        <v>0</v>
      </c>
    </row>
    <row r="166" spans="1:16">
      <c r="A166">
        <v>165</v>
      </c>
      <c r="B166" s="2">
        <v>45536</v>
      </c>
      <c r="C166">
        <v>17985</v>
      </c>
      <c r="D166">
        <v>24585</v>
      </c>
      <c r="E166">
        <v>1.53</v>
      </c>
      <c r="F166">
        <v>2.12</v>
      </c>
      <c r="G166">
        <v>1.87</v>
      </c>
      <c r="H166">
        <v>698</v>
      </c>
      <c r="I166">
        <v>0</v>
      </c>
      <c r="K166">
        <v>0</v>
      </c>
      <c r="L166">
        <v>12</v>
      </c>
      <c r="M166" t="s">
        <v>15</v>
      </c>
      <c r="N166">
        <v>0.35</v>
      </c>
      <c r="O166">
        <f t="shared" si="4"/>
        <v>0</v>
      </c>
      <c r="P166">
        <f t="shared" si="5"/>
        <v>0</v>
      </c>
    </row>
    <row r="167" spans="1:16">
      <c r="A167">
        <v>166</v>
      </c>
      <c r="B167" s="2">
        <v>45078</v>
      </c>
      <c r="C167">
        <v>54196</v>
      </c>
      <c r="D167">
        <v>5207</v>
      </c>
      <c r="E167">
        <v>1.48</v>
      </c>
      <c r="F167">
        <v>1.9</v>
      </c>
      <c r="G167">
        <v>1.64</v>
      </c>
      <c r="H167">
        <v>622</v>
      </c>
      <c r="I167">
        <v>0</v>
      </c>
      <c r="K167">
        <v>0</v>
      </c>
      <c r="L167">
        <v>12</v>
      </c>
      <c r="M167" t="s">
        <v>14</v>
      </c>
      <c r="N167">
        <v>0</v>
      </c>
      <c r="O167">
        <f t="shared" si="4"/>
        <v>0</v>
      </c>
      <c r="P167">
        <f t="shared" si="5"/>
        <v>0</v>
      </c>
    </row>
    <row r="168" spans="1:16">
      <c r="A168">
        <v>167</v>
      </c>
      <c r="B168" s="2">
        <v>45261</v>
      </c>
      <c r="D168">
        <v>14595</v>
      </c>
      <c r="E168">
        <v>1.73</v>
      </c>
      <c r="F168">
        <v>1.67</v>
      </c>
      <c r="G168">
        <v>1.25</v>
      </c>
      <c r="H168">
        <v>774</v>
      </c>
      <c r="I168">
        <v>1</v>
      </c>
      <c r="J168">
        <v>9015</v>
      </c>
      <c r="K168">
        <v>1</v>
      </c>
      <c r="L168">
        <v>12</v>
      </c>
      <c r="M168" t="s">
        <v>14</v>
      </c>
      <c r="N168">
        <v>0</v>
      </c>
      <c r="O168">
        <f t="shared" si="4"/>
        <v>1</v>
      </c>
      <c r="P168">
        <f t="shared" si="5"/>
        <v>0</v>
      </c>
    </row>
    <row r="169" spans="1:16">
      <c r="A169">
        <v>168</v>
      </c>
      <c r="B169" s="2">
        <v>45261</v>
      </c>
      <c r="C169">
        <v>29697</v>
      </c>
      <c r="D169">
        <v>51909</v>
      </c>
      <c r="E169">
        <v>2.34</v>
      </c>
      <c r="F169">
        <v>0.73</v>
      </c>
      <c r="G169">
        <v>1.24</v>
      </c>
      <c r="H169">
        <v>709</v>
      </c>
      <c r="I169">
        <v>1</v>
      </c>
      <c r="K169">
        <v>0</v>
      </c>
      <c r="L169">
        <v>12</v>
      </c>
      <c r="M169" t="s">
        <v>14</v>
      </c>
      <c r="N169">
        <v>0</v>
      </c>
      <c r="O169">
        <f t="shared" si="4"/>
        <v>0</v>
      </c>
      <c r="P169">
        <f t="shared" si="5"/>
        <v>1</v>
      </c>
    </row>
    <row r="170" spans="1:16">
      <c r="A170">
        <v>169</v>
      </c>
      <c r="B170" s="2">
        <v>45505</v>
      </c>
      <c r="C170">
        <v>44891</v>
      </c>
      <c r="D170">
        <v>6633</v>
      </c>
      <c r="E170">
        <v>2.14</v>
      </c>
      <c r="F170">
        <v>0.61</v>
      </c>
      <c r="G170">
        <v>1.63</v>
      </c>
      <c r="H170">
        <v>658</v>
      </c>
      <c r="I170">
        <v>0</v>
      </c>
      <c r="K170">
        <v>0</v>
      </c>
      <c r="L170">
        <v>18</v>
      </c>
      <c r="M170" t="s">
        <v>15</v>
      </c>
      <c r="N170">
        <v>0</v>
      </c>
      <c r="O170">
        <f t="shared" si="4"/>
        <v>0</v>
      </c>
      <c r="P170">
        <f t="shared" si="5"/>
        <v>0</v>
      </c>
    </row>
    <row r="171" spans="1:16">
      <c r="A171">
        <v>170</v>
      </c>
      <c r="B171" s="2">
        <v>45231</v>
      </c>
      <c r="C171">
        <v>16103</v>
      </c>
      <c r="D171">
        <v>8313</v>
      </c>
      <c r="E171">
        <v>0.83</v>
      </c>
      <c r="F171">
        <v>1.1399999999999999</v>
      </c>
      <c r="G171">
        <v>2.0499999999999998</v>
      </c>
      <c r="H171">
        <v>639</v>
      </c>
      <c r="I171">
        <v>0</v>
      </c>
      <c r="K171">
        <v>0</v>
      </c>
      <c r="L171">
        <v>12</v>
      </c>
      <c r="M171" t="s">
        <v>14</v>
      </c>
      <c r="N171">
        <v>0.3</v>
      </c>
      <c r="O171">
        <f t="shared" si="4"/>
        <v>0</v>
      </c>
      <c r="P171">
        <f t="shared" si="5"/>
        <v>0</v>
      </c>
    </row>
    <row r="172" spans="1:16">
      <c r="A172">
        <v>171</v>
      </c>
      <c r="B172" s="2">
        <v>45597</v>
      </c>
      <c r="C172">
        <v>66212</v>
      </c>
      <c r="D172">
        <v>19144</v>
      </c>
      <c r="E172">
        <v>1.89</v>
      </c>
      <c r="F172">
        <v>1.74</v>
      </c>
      <c r="G172">
        <v>1.42</v>
      </c>
      <c r="H172">
        <v>674</v>
      </c>
      <c r="I172">
        <v>1</v>
      </c>
      <c r="J172">
        <v>30346</v>
      </c>
      <c r="K172">
        <v>1</v>
      </c>
      <c r="L172">
        <v>12</v>
      </c>
      <c r="M172" t="s">
        <v>15</v>
      </c>
      <c r="N172">
        <v>0</v>
      </c>
      <c r="O172">
        <f t="shared" si="4"/>
        <v>1</v>
      </c>
      <c r="P172">
        <f t="shared" si="5"/>
        <v>0</v>
      </c>
    </row>
    <row r="173" spans="1:16">
      <c r="A173">
        <v>172</v>
      </c>
      <c r="B173" s="2">
        <v>45108</v>
      </c>
      <c r="C173">
        <v>32203</v>
      </c>
      <c r="D173">
        <v>15149</v>
      </c>
      <c r="E173">
        <v>2.2799999999999998</v>
      </c>
      <c r="F173">
        <v>0.77</v>
      </c>
      <c r="G173">
        <v>1.0900000000000001</v>
      </c>
      <c r="H173">
        <v>714</v>
      </c>
      <c r="I173">
        <v>0</v>
      </c>
      <c r="K173">
        <v>0</v>
      </c>
      <c r="L173">
        <v>12</v>
      </c>
      <c r="M173" t="s">
        <v>14</v>
      </c>
      <c r="N173">
        <v>0</v>
      </c>
      <c r="O173">
        <f t="shared" si="4"/>
        <v>0</v>
      </c>
      <c r="P173">
        <f t="shared" si="5"/>
        <v>0</v>
      </c>
    </row>
    <row r="174" spans="1:16">
      <c r="A174">
        <v>173</v>
      </c>
      <c r="B174" s="2">
        <v>44927</v>
      </c>
      <c r="C174">
        <v>25854</v>
      </c>
      <c r="D174">
        <v>17076</v>
      </c>
      <c r="E174">
        <v>1.76</v>
      </c>
      <c r="F174">
        <v>1.91</v>
      </c>
      <c r="G174">
        <v>0.8</v>
      </c>
      <c r="H174">
        <v>679</v>
      </c>
      <c r="I174">
        <v>1</v>
      </c>
      <c r="J174">
        <v>43047</v>
      </c>
      <c r="K174">
        <v>1</v>
      </c>
      <c r="L174">
        <v>6</v>
      </c>
      <c r="M174" t="s">
        <v>14</v>
      </c>
      <c r="N174">
        <v>0</v>
      </c>
      <c r="O174">
        <f t="shared" si="4"/>
        <v>1</v>
      </c>
      <c r="P174">
        <f t="shared" si="5"/>
        <v>0</v>
      </c>
    </row>
    <row r="175" spans="1:16">
      <c r="A175">
        <v>174</v>
      </c>
      <c r="B175" s="2">
        <v>44927</v>
      </c>
      <c r="C175">
        <v>71816</v>
      </c>
      <c r="D175">
        <v>18815</v>
      </c>
      <c r="E175">
        <v>2.15</v>
      </c>
      <c r="F175">
        <v>2.5</v>
      </c>
      <c r="G175">
        <v>0.56000000000000005</v>
      </c>
      <c r="H175">
        <v>668</v>
      </c>
      <c r="I175">
        <v>1</v>
      </c>
      <c r="J175">
        <v>41082</v>
      </c>
      <c r="K175">
        <v>1</v>
      </c>
      <c r="L175">
        <v>12</v>
      </c>
      <c r="M175" t="s">
        <v>14</v>
      </c>
      <c r="N175">
        <v>0.5</v>
      </c>
      <c r="O175">
        <f t="shared" si="4"/>
        <v>1</v>
      </c>
      <c r="P175">
        <f t="shared" si="5"/>
        <v>0</v>
      </c>
    </row>
    <row r="176" spans="1:16">
      <c r="A176">
        <v>175</v>
      </c>
      <c r="B176" s="2">
        <v>45505</v>
      </c>
      <c r="C176">
        <v>22975</v>
      </c>
      <c r="D176">
        <v>20833</v>
      </c>
      <c r="E176">
        <v>2.66</v>
      </c>
      <c r="F176">
        <v>0.48</v>
      </c>
      <c r="G176">
        <v>1.72</v>
      </c>
      <c r="H176">
        <v>683</v>
      </c>
      <c r="I176">
        <v>0</v>
      </c>
      <c r="K176">
        <v>0</v>
      </c>
      <c r="L176">
        <v>12</v>
      </c>
      <c r="M176" t="s">
        <v>15</v>
      </c>
      <c r="N176">
        <v>0</v>
      </c>
      <c r="O176">
        <f t="shared" si="4"/>
        <v>0</v>
      </c>
      <c r="P176">
        <f t="shared" si="5"/>
        <v>0</v>
      </c>
    </row>
    <row r="177" spans="1:16">
      <c r="A177">
        <v>176</v>
      </c>
      <c r="B177" s="2">
        <v>45292</v>
      </c>
      <c r="C177">
        <v>14538</v>
      </c>
      <c r="D177">
        <v>29050</v>
      </c>
      <c r="F177">
        <v>0.5</v>
      </c>
      <c r="G177">
        <v>1.67</v>
      </c>
      <c r="H177">
        <v>647</v>
      </c>
      <c r="I177">
        <v>0</v>
      </c>
      <c r="K177">
        <v>0</v>
      </c>
      <c r="L177">
        <v>12</v>
      </c>
      <c r="M177" t="s">
        <v>15</v>
      </c>
      <c r="N177">
        <v>0</v>
      </c>
      <c r="O177">
        <f t="shared" si="4"/>
        <v>0</v>
      </c>
      <c r="P177">
        <f t="shared" si="5"/>
        <v>0</v>
      </c>
    </row>
    <row r="178" spans="1:16">
      <c r="A178">
        <v>177</v>
      </c>
      <c r="B178" s="2">
        <v>45170</v>
      </c>
      <c r="C178">
        <v>13203</v>
      </c>
      <c r="D178">
        <v>17799</v>
      </c>
      <c r="E178">
        <v>1.69</v>
      </c>
      <c r="F178">
        <v>0.82</v>
      </c>
      <c r="G178">
        <v>1.67</v>
      </c>
      <c r="H178">
        <v>661</v>
      </c>
      <c r="I178">
        <v>1</v>
      </c>
      <c r="J178">
        <v>20703</v>
      </c>
      <c r="K178">
        <v>1</v>
      </c>
      <c r="L178">
        <v>6</v>
      </c>
      <c r="M178" t="s">
        <v>14</v>
      </c>
      <c r="N178">
        <v>0</v>
      </c>
      <c r="O178">
        <f t="shared" si="4"/>
        <v>1</v>
      </c>
      <c r="P178">
        <f t="shared" si="5"/>
        <v>0</v>
      </c>
    </row>
    <row r="179" spans="1:16">
      <c r="A179">
        <v>178</v>
      </c>
      <c r="B179" s="2">
        <v>44986</v>
      </c>
      <c r="C179">
        <v>53847</v>
      </c>
      <c r="D179">
        <v>11284</v>
      </c>
      <c r="E179">
        <v>2.12</v>
      </c>
      <c r="F179">
        <v>1.1200000000000001</v>
      </c>
      <c r="G179">
        <v>1.28</v>
      </c>
      <c r="H179">
        <v>565</v>
      </c>
      <c r="I179">
        <v>0</v>
      </c>
      <c r="K179">
        <v>0</v>
      </c>
      <c r="L179">
        <v>6</v>
      </c>
      <c r="M179" t="s">
        <v>14</v>
      </c>
      <c r="N179">
        <v>0.2</v>
      </c>
      <c r="O179">
        <f t="shared" si="4"/>
        <v>0</v>
      </c>
      <c r="P179">
        <f t="shared" si="5"/>
        <v>0</v>
      </c>
    </row>
    <row r="180" spans="1:16">
      <c r="A180">
        <v>179</v>
      </c>
      <c r="B180" s="2">
        <v>45108</v>
      </c>
      <c r="C180">
        <v>15799</v>
      </c>
      <c r="D180">
        <v>21393</v>
      </c>
      <c r="E180">
        <v>1.63</v>
      </c>
      <c r="F180">
        <v>0.63</v>
      </c>
      <c r="G180">
        <v>2.12</v>
      </c>
      <c r="H180">
        <v>734</v>
      </c>
      <c r="I180">
        <v>0</v>
      </c>
      <c r="K180">
        <v>0</v>
      </c>
      <c r="L180">
        <v>18</v>
      </c>
      <c r="M180" t="s">
        <v>14</v>
      </c>
      <c r="N180">
        <v>0</v>
      </c>
      <c r="O180">
        <f t="shared" si="4"/>
        <v>0</v>
      </c>
      <c r="P180">
        <f t="shared" si="5"/>
        <v>0</v>
      </c>
    </row>
    <row r="181" spans="1:16">
      <c r="A181">
        <v>180</v>
      </c>
      <c r="B181" s="2">
        <v>45078</v>
      </c>
      <c r="C181">
        <v>113620</v>
      </c>
      <c r="D181">
        <v>50510</v>
      </c>
      <c r="E181">
        <v>1.56</v>
      </c>
      <c r="F181">
        <v>2.33</v>
      </c>
      <c r="G181">
        <v>1.08</v>
      </c>
      <c r="H181">
        <v>696</v>
      </c>
      <c r="I181">
        <v>0</v>
      </c>
      <c r="K181">
        <v>0</v>
      </c>
      <c r="L181">
        <v>12</v>
      </c>
      <c r="M181" t="s">
        <v>14</v>
      </c>
      <c r="N181">
        <v>0.35</v>
      </c>
      <c r="O181">
        <f t="shared" si="4"/>
        <v>0</v>
      </c>
      <c r="P181">
        <f t="shared" si="5"/>
        <v>0</v>
      </c>
    </row>
    <row r="182" spans="1:16">
      <c r="A182">
        <v>181</v>
      </c>
      <c r="B182" s="2">
        <v>45139</v>
      </c>
      <c r="C182">
        <v>9384</v>
      </c>
      <c r="D182">
        <v>12175</v>
      </c>
      <c r="E182">
        <v>1.36</v>
      </c>
      <c r="F182">
        <v>1.22</v>
      </c>
      <c r="G182">
        <v>1.88</v>
      </c>
      <c r="H182">
        <v>637</v>
      </c>
      <c r="I182">
        <v>0</v>
      </c>
      <c r="K182">
        <v>0</v>
      </c>
      <c r="L182">
        <v>12</v>
      </c>
      <c r="M182" t="s">
        <v>14</v>
      </c>
      <c r="N182">
        <v>0</v>
      </c>
      <c r="O182">
        <f t="shared" si="4"/>
        <v>0</v>
      </c>
      <c r="P182">
        <f t="shared" si="5"/>
        <v>0</v>
      </c>
    </row>
    <row r="183" spans="1:16">
      <c r="A183">
        <v>182</v>
      </c>
      <c r="B183" s="2">
        <v>45170</v>
      </c>
      <c r="C183">
        <v>109392</v>
      </c>
      <c r="D183">
        <v>6754</v>
      </c>
      <c r="E183">
        <v>2.41</v>
      </c>
      <c r="F183">
        <v>0.93</v>
      </c>
      <c r="G183">
        <v>1.33</v>
      </c>
      <c r="H183">
        <v>784</v>
      </c>
      <c r="I183">
        <v>0</v>
      </c>
      <c r="K183">
        <v>0</v>
      </c>
      <c r="L183">
        <v>12</v>
      </c>
      <c r="M183" t="s">
        <v>14</v>
      </c>
      <c r="N183">
        <v>0</v>
      </c>
      <c r="O183">
        <f t="shared" si="4"/>
        <v>0</v>
      </c>
      <c r="P183">
        <f t="shared" si="5"/>
        <v>0</v>
      </c>
    </row>
    <row r="184" spans="1:16">
      <c r="A184">
        <v>183</v>
      </c>
      <c r="B184" s="2">
        <v>45047</v>
      </c>
      <c r="C184">
        <v>41654</v>
      </c>
      <c r="D184">
        <v>28997</v>
      </c>
      <c r="E184">
        <v>1.1000000000000001</v>
      </c>
      <c r="F184">
        <v>0.33</v>
      </c>
      <c r="G184">
        <v>1.02</v>
      </c>
      <c r="H184">
        <v>685</v>
      </c>
      <c r="I184">
        <v>0</v>
      </c>
      <c r="K184">
        <v>0</v>
      </c>
      <c r="L184">
        <v>6</v>
      </c>
      <c r="M184" t="s">
        <v>14</v>
      </c>
      <c r="N184">
        <v>0</v>
      </c>
      <c r="O184">
        <f t="shared" si="4"/>
        <v>0</v>
      </c>
      <c r="P184">
        <f t="shared" si="5"/>
        <v>0</v>
      </c>
    </row>
    <row r="185" spans="1:16">
      <c r="A185">
        <v>184</v>
      </c>
      <c r="B185" s="2">
        <v>44927</v>
      </c>
      <c r="C185">
        <v>34103</v>
      </c>
      <c r="D185">
        <v>12280</v>
      </c>
      <c r="E185">
        <v>2.39</v>
      </c>
      <c r="F185">
        <v>0.36</v>
      </c>
      <c r="G185">
        <v>1.68</v>
      </c>
      <c r="H185">
        <v>623</v>
      </c>
      <c r="I185">
        <v>0</v>
      </c>
      <c r="K185">
        <v>0</v>
      </c>
      <c r="L185">
        <v>6</v>
      </c>
      <c r="M185" t="s">
        <v>14</v>
      </c>
      <c r="N185">
        <v>0</v>
      </c>
      <c r="O185">
        <f t="shared" si="4"/>
        <v>0</v>
      </c>
      <c r="P185">
        <f t="shared" si="5"/>
        <v>0</v>
      </c>
    </row>
    <row r="186" spans="1:16">
      <c r="A186">
        <v>185</v>
      </c>
      <c r="B186" s="2">
        <v>45474</v>
      </c>
      <c r="C186">
        <v>25484</v>
      </c>
      <c r="D186">
        <v>2919</v>
      </c>
      <c r="E186">
        <v>1.82</v>
      </c>
      <c r="F186">
        <v>1.1000000000000001</v>
      </c>
      <c r="G186">
        <v>1.58</v>
      </c>
      <c r="H186">
        <v>727</v>
      </c>
      <c r="I186">
        <v>0</v>
      </c>
      <c r="K186">
        <v>0</v>
      </c>
      <c r="L186">
        <v>18</v>
      </c>
      <c r="M186" t="s">
        <v>15</v>
      </c>
      <c r="N186">
        <v>0</v>
      </c>
      <c r="O186">
        <f t="shared" si="4"/>
        <v>0</v>
      </c>
      <c r="P186">
        <f t="shared" si="5"/>
        <v>0</v>
      </c>
    </row>
    <row r="187" spans="1:16">
      <c r="A187">
        <v>186</v>
      </c>
      <c r="B187" s="2">
        <v>45200</v>
      </c>
      <c r="C187">
        <v>47072</v>
      </c>
      <c r="D187">
        <v>24178</v>
      </c>
      <c r="E187">
        <v>0.78</v>
      </c>
      <c r="F187">
        <v>0.2</v>
      </c>
      <c r="G187">
        <v>1.55</v>
      </c>
      <c r="H187">
        <v>702</v>
      </c>
      <c r="I187">
        <v>0</v>
      </c>
      <c r="K187">
        <v>0</v>
      </c>
      <c r="L187">
        <v>12</v>
      </c>
      <c r="M187" t="s">
        <v>14</v>
      </c>
      <c r="N187">
        <v>0.3</v>
      </c>
      <c r="O187">
        <f t="shared" si="4"/>
        <v>0</v>
      </c>
      <c r="P187">
        <f t="shared" si="5"/>
        <v>0</v>
      </c>
    </row>
    <row r="188" spans="1:16">
      <c r="A188">
        <v>187</v>
      </c>
      <c r="B188" s="2">
        <v>45261</v>
      </c>
      <c r="D188">
        <v>9184</v>
      </c>
      <c r="E188">
        <v>1.75</v>
      </c>
      <c r="F188">
        <v>1.84</v>
      </c>
      <c r="G188">
        <v>1.39</v>
      </c>
      <c r="H188">
        <v>702</v>
      </c>
      <c r="I188">
        <v>0</v>
      </c>
      <c r="K188">
        <v>0</v>
      </c>
      <c r="L188">
        <v>6</v>
      </c>
      <c r="M188" t="s">
        <v>14</v>
      </c>
      <c r="N188">
        <v>0</v>
      </c>
      <c r="O188">
        <f t="shared" si="4"/>
        <v>0</v>
      </c>
      <c r="P188">
        <f t="shared" si="5"/>
        <v>0</v>
      </c>
    </row>
    <row r="189" spans="1:16">
      <c r="A189">
        <v>188</v>
      </c>
      <c r="B189" s="2">
        <v>45627</v>
      </c>
      <c r="C189">
        <v>74395</v>
      </c>
      <c r="D189">
        <v>12539</v>
      </c>
      <c r="E189">
        <v>0.39</v>
      </c>
      <c r="F189">
        <v>0.81</v>
      </c>
      <c r="G189">
        <v>1.33</v>
      </c>
      <c r="H189">
        <v>657</v>
      </c>
      <c r="I189">
        <v>0</v>
      </c>
      <c r="K189">
        <v>0</v>
      </c>
      <c r="L189">
        <v>12</v>
      </c>
      <c r="M189" t="s">
        <v>15</v>
      </c>
      <c r="N189">
        <v>0.3</v>
      </c>
      <c r="O189">
        <f t="shared" si="4"/>
        <v>0</v>
      </c>
      <c r="P189">
        <f t="shared" si="5"/>
        <v>0</v>
      </c>
    </row>
    <row r="190" spans="1:16">
      <c r="A190">
        <v>189</v>
      </c>
      <c r="B190" s="2">
        <v>45352</v>
      </c>
      <c r="C190">
        <v>39114</v>
      </c>
      <c r="D190">
        <v>16855</v>
      </c>
      <c r="E190">
        <v>1.89</v>
      </c>
      <c r="F190">
        <v>8</v>
      </c>
      <c r="G190">
        <v>2.66</v>
      </c>
      <c r="H190">
        <v>705</v>
      </c>
      <c r="I190">
        <v>0</v>
      </c>
      <c r="K190">
        <v>0</v>
      </c>
      <c r="L190">
        <v>18</v>
      </c>
      <c r="M190" t="s">
        <v>15</v>
      </c>
      <c r="N190">
        <v>0.35</v>
      </c>
      <c r="O190">
        <f t="shared" si="4"/>
        <v>0</v>
      </c>
      <c r="P190">
        <f t="shared" si="5"/>
        <v>0</v>
      </c>
    </row>
    <row r="191" spans="1:16">
      <c r="A191">
        <v>190</v>
      </c>
      <c r="B191" s="2">
        <v>45566</v>
      </c>
      <c r="C191">
        <v>40042</v>
      </c>
      <c r="D191">
        <v>15265</v>
      </c>
      <c r="E191">
        <v>2.04</v>
      </c>
      <c r="F191">
        <v>4.55</v>
      </c>
      <c r="G191">
        <v>2</v>
      </c>
      <c r="H191">
        <v>666</v>
      </c>
      <c r="I191">
        <v>0</v>
      </c>
      <c r="K191">
        <v>0</v>
      </c>
      <c r="L191">
        <v>12</v>
      </c>
      <c r="M191" t="s">
        <v>15</v>
      </c>
      <c r="N191">
        <v>0.35</v>
      </c>
      <c r="O191">
        <f t="shared" si="4"/>
        <v>0</v>
      </c>
      <c r="P191">
        <f t="shared" si="5"/>
        <v>0</v>
      </c>
    </row>
    <row r="192" spans="1:16">
      <c r="A192">
        <v>191</v>
      </c>
      <c r="B192" s="2">
        <v>45627</v>
      </c>
      <c r="C192">
        <v>28671</v>
      </c>
      <c r="D192">
        <v>21952</v>
      </c>
      <c r="E192">
        <v>1.22</v>
      </c>
      <c r="F192">
        <v>0.8</v>
      </c>
      <c r="G192">
        <v>1.75</v>
      </c>
      <c r="H192">
        <v>711</v>
      </c>
      <c r="I192">
        <v>0</v>
      </c>
      <c r="K192">
        <v>0</v>
      </c>
      <c r="L192">
        <v>18</v>
      </c>
      <c r="M192" t="s">
        <v>15</v>
      </c>
      <c r="N192">
        <v>0</v>
      </c>
      <c r="O192">
        <f t="shared" si="4"/>
        <v>0</v>
      </c>
      <c r="P192">
        <f t="shared" si="5"/>
        <v>0</v>
      </c>
    </row>
    <row r="193" spans="1:16">
      <c r="A193">
        <v>192</v>
      </c>
      <c r="B193" s="2">
        <v>45170</v>
      </c>
      <c r="C193">
        <v>34996</v>
      </c>
      <c r="D193">
        <v>9849</v>
      </c>
      <c r="E193">
        <v>1.62</v>
      </c>
      <c r="F193">
        <v>0.84</v>
      </c>
      <c r="G193">
        <v>1.41</v>
      </c>
      <c r="H193">
        <v>575</v>
      </c>
      <c r="I193">
        <v>1</v>
      </c>
      <c r="J193">
        <v>7579</v>
      </c>
      <c r="K193">
        <v>1</v>
      </c>
      <c r="L193">
        <v>6</v>
      </c>
      <c r="M193" t="s">
        <v>14</v>
      </c>
      <c r="N193">
        <v>0.2</v>
      </c>
      <c r="O193">
        <f t="shared" si="4"/>
        <v>1</v>
      </c>
      <c r="P193">
        <f t="shared" si="5"/>
        <v>0</v>
      </c>
    </row>
    <row r="194" spans="1:16">
      <c r="A194">
        <v>193</v>
      </c>
      <c r="B194" s="2">
        <v>45505</v>
      </c>
      <c r="C194">
        <v>44359</v>
      </c>
      <c r="D194">
        <v>19133</v>
      </c>
      <c r="E194">
        <v>2.62</v>
      </c>
      <c r="F194">
        <v>1.82</v>
      </c>
      <c r="G194">
        <v>1.9</v>
      </c>
      <c r="H194">
        <v>656</v>
      </c>
      <c r="I194">
        <v>0</v>
      </c>
      <c r="K194">
        <v>0</v>
      </c>
      <c r="L194">
        <v>12</v>
      </c>
      <c r="M194" t="s">
        <v>15</v>
      </c>
      <c r="N194">
        <v>0</v>
      </c>
      <c r="O194">
        <f t="shared" si="4"/>
        <v>0</v>
      </c>
      <c r="P194">
        <f t="shared" si="5"/>
        <v>0</v>
      </c>
    </row>
    <row r="195" spans="1:16">
      <c r="A195">
        <v>194</v>
      </c>
      <c r="B195" s="2">
        <v>45413</v>
      </c>
      <c r="C195">
        <v>11949</v>
      </c>
      <c r="D195">
        <v>11140</v>
      </c>
      <c r="E195">
        <v>1.27</v>
      </c>
      <c r="F195">
        <v>2.98</v>
      </c>
      <c r="G195">
        <v>1.63</v>
      </c>
      <c r="H195">
        <v>775</v>
      </c>
      <c r="I195">
        <v>0</v>
      </c>
      <c r="K195">
        <v>0</v>
      </c>
      <c r="L195">
        <v>12</v>
      </c>
      <c r="M195" t="s">
        <v>15</v>
      </c>
      <c r="N195">
        <v>0.35</v>
      </c>
      <c r="O195">
        <f t="shared" ref="O195:O258" si="6">IF(J195="",0,1)</f>
        <v>0</v>
      </c>
      <c r="P195">
        <f t="shared" ref="P195:P258" si="7">IF(I195=K195,0,1)</f>
        <v>0</v>
      </c>
    </row>
    <row r="196" spans="1:16">
      <c r="A196">
        <v>195</v>
      </c>
      <c r="B196" s="2">
        <v>45413</v>
      </c>
      <c r="C196">
        <v>15119</v>
      </c>
      <c r="D196">
        <v>22408</v>
      </c>
      <c r="E196">
        <v>0.97</v>
      </c>
      <c r="F196">
        <v>0.28999999999999998</v>
      </c>
      <c r="G196">
        <v>1.36</v>
      </c>
      <c r="H196">
        <v>638</v>
      </c>
      <c r="I196">
        <v>1</v>
      </c>
      <c r="J196">
        <v>33992</v>
      </c>
      <c r="K196">
        <v>1</v>
      </c>
      <c r="L196">
        <v>12</v>
      </c>
      <c r="M196" t="s">
        <v>15</v>
      </c>
      <c r="N196">
        <v>0.3</v>
      </c>
      <c r="O196">
        <f t="shared" si="6"/>
        <v>1</v>
      </c>
      <c r="P196">
        <f t="shared" si="7"/>
        <v>0</v>
      </c>
    </row>
    <row r="197" spans="1:16">
      <c r="A197">
        <v>196</v>
      </c>
      <c r="B197" s="2">
        <v>45505</v>
      </c>
      <c r="C197">
        <v>58872</v>
      </c>
      <c r="D197">
        <v>20553</v>
      </c>
      <c r="E197">
        <v>2.36</v>
      </c>
      <c r="F197">
        <v>0.26</v>
      </c>
      <c r="G197">
        <v>1.18</v>
      </c>
      <c r="H197">
        <v>647</v>
      </c>
      <c r="I197">
        <v>1</v>
      </c>
      <c r="J197">
        <v>40551</v>
      </c>
      <c r="K197">
        <v>1</v>
      </c>
      <c r="L197">
        <v>12</v>
      </c>
      <c r="M197" t="s">
        <v>15</v>
      </c>
      <c r="N197">
        <v>0</v>
      </c>
      <c r="O197">
        <f t="shared" si="6"/>
        <v>1</v>
      </c>
      <c r="P197">
        <f t="shared" si="7"/>
        <v>0</v>
      </c>
    </row>
    <row r="198" spans="1:16">
      <c r="A198">
        <v>197</v>
      </c>
      <c r="B198" s="2">
        <v>45261</v>
      </c>
      <c r="C198">
        <v>40581</v>
      </c>
      <c r="D198">
        <v>6941</v>
      </c>
      <c r="E198">
        <v>2.63</v>
      </c>
      <c r="F198">
        <v>0.59</v>
      </c>
      <c r="G198">
        <v>1.31</v>
      </c>
      <c r="H198">
        <v>655</v>
      </c>
      <c r="I198">
        <v>0</v>
      </c>
      <c r="K198">
        <v>0</v>
      </c>
      <c r="L198">
        <v>12</v>
      </c>
      <c r="M198" t="s">
        <v>14</v>
      </c>
      <c r="N198">
        <v>0</v>
      </c>
      <c r="O198">
        <f t="shared" si="6"/>
        <v>0</v>
      </c>
      <c r="P198">
        <f t="shared" si="7"/>
        <v>0</v>
      </c>
    </row>
    <row r="199" spans="1:16">
      <c r="A199">
        <v>198</v>
      </c>
      <c r="B199" s="2">
        <v>45108</v>
      </c>
      <c r="C199">
        <v>32222</v>
      </c>
      <c r="D199">
        <v>28572</v>
      </c>
      <c r="E199">
        <v>1.55</v>
      </c>
      <c r="F199">
        <v>1.36</v>
      </c>
      <c r="G199">
        <v>0.1</v>
      </c>
      <c r="H199">
        <v>613</v>
      </c>
      <c r="I199">
        <v>0</v>
      </c>
      <c r="K199">
        <v>0</v>
      </c>
      <c r="L199">
        <v>12</v>
      </c>
      <c r="M199" t="s">
        <v>14</v>
      </c>
      <c r="N199">
        <v>0.15</v>
      </c>
      <c r="O199">
        <f t="shared" si="6"/>
        <v>0</v>
      </c>
      <c r="P199">
        <f t="shared" si="7"/>
        <v>0</v>
      </c>
    </row>
    <row r="200" spans="1:16">
      <c r="A200">
        <v>199</v>
      </c>
      <c r="B200" s="2">
        <v>44958</v>
      </c>
      <c r="C200">
        <v>36753</v>
      </c>
      <c r="D200">
        <v>9180</v>
      </c>
      <c r="F200">
        <v>1.28</v>
      </c>
      <c r="G200">
        <v>1.47</v>
      </c>
      <c r="H200">
        <v>559</v>
      </c>
      <c r="I200">
        <v>0</v>
      </c>
      <c r="K200">
        <v>0</v>
      </c>
      <c r="L200">
        <v>12</v>
      </c>
      <c r="M200" t="s">
        <v>14</v>
      </c>
      <c r="N200">
        <v>0.2</v>
      </c>
      <c r="O200">
        <f t="shared" si="6"/>
        <v>0</v>
      </c>
      <c r="P200">
        <f t="shared" si="7"/>
        <v>0</v>
      </c>
    </row>
    <row r="201" spans="1:16">
      <c r="A201">
        <v>200</v>
      </c>
      <c r="B201" s="2">
        <v>44986</v>
      </c>
      <c r="C201">
        <v>45521</v>
      </c>
      <c r="D201">
        <v>23521</v>
      </c>
      <c r="E201">
        <v>2.29</v>
      </c>
      <c r="F201">
        <v>1.91</v>
      </c>
      <c r="G201">
        <v>1.08</v>
      </c>
      <c r="H201">
        <v>667</v>
      </c>
      <c r="I201">
        <v>0</v>
      </c>
      <c r="K201">
        <v>0</v>
      </c>
      <c r="L201">
        <v>12</v>
      </c>
      <c r="M201" t="s">
        <v>14</v>
      </c>
      <c r="N201">
        <v>0</v>
      </c>
      <c r="O201">
        <f t="shared" si="6"/>
        <v>0</v>
      </c>
      <c r="P201">
        <f t="shared" si="7"/>
        <v>0</v>
      </c>
    </row>
    <row r="202" spans="1:16">
      <c r="A202">
        <v>201</v>
      </c>
      <c r="B202" s="2">
        <v>45413</v>
      </c>
      <c r="C202">
        <v>25570</v>
      </c>
      <c r="D202">
        <v>17276</v>
      </c>
      <c r="E202">
        <v>1.1399999999999999</v>
      </c>
      <c r="F202">
        <v>0.39</v>
      </c>
      <c r="G202">
        <v>2.23</v>
      </c>
      <c r="H202">
        <v>687</v>
      </c>
      <c r="I202">
        <v>0</v>
      </c>
      <c r="K202">
        <v>0</v>
      </c>
      <c r="L202">
        <v>6</v>
      </c>
      <c r="M202" t="s">
        <v>15</v>
      </c>
      <c r="N202">
        <v>0</v>
      </c>
      <c r="O202">
        <f t="shared" si="6"/>
        <v>0</v>
      </c>
      <c r="P202">
        <f t="shared" si="7"/>
        <v>0</v>
      </c>
    </row>
    <row r="203" spans="1:16">
      <c r="A203">
        <v>202</v>
      </c>
      <c r="B203" s="2">
        <v>45047</v>
      </c>
      <c r="C203">
        <v>21897</v>
      </c>
      <c r="D203">
        <v>48375</v>
      </c>
      <c r="E203">
        <v>1.28</v>
      </c>
      <c r="F203">
        <v>0.18</v>
      </c>
      <c r="G203">
        <v>1.36</v>
      </c>
      <c r="H203">
        <v>677</v>
      </c>
      <c r="I203">
        <v>0</v>
      </c>
      <c r="K203">
        <v>0</v>
      </c>
      <c r="L203">
        <v>12</v>
      </c>
      <c r="M203" t="s">
        <v>14</v>
      </c>
      <c r="N203">
        <v>0</v>
      </c>
      <c r="O203">
        <f t="shared" si="6"/>
        <v>0</v>
      </c>
      <c r="P203">
        <f t="shared" si="7"/>
        <v>0</v>
      </c>
    </row>
    <row r="204" spans="1:16">
      <c r="A204">
        <v>203</v>
      </c>
      <c r="B204" s="2">
        <v>45413</v>
      </c>
      <c r="C204">
        <v>41246</v>
      </c>
      <c r="D204">
        <v>11425</v>
      </c>
      <c r="E204">
        <v>2.23</v>
      </c>
      <c r="F204">
        <v>1.65</v>
      </c>
      <c r="G204">
        <v>0.7</v>
      </c>
      <c r="H204">
        <v>672</v>
      </c>
      <c r="I204">
        <v>0</v>
      </c>
      <c r="K204">
        <v>0</v>
      </c>
      <c r="L204">
        <v>12</v>
      </c>
      <c r="M204" t="s">
        <v>15</v>
      </c>
      <c r="N204">
        <v>0.15</v>
      </c>
      <c r="O204">
        <f t="shared" si="6"/>
        <v>0</v>
      </c>
      <c r="P204">
        <f t="shared" si="7"/>
        <v>0</v>
      </c>
    </row>
    <row r="205" spans="1:16">
      <c r="A205">
        <v>204</v>
      </c>
      <c r="B205" s="2">
        <v>45627</v>
      </c>
      <c r="C205">
        <v>19227</v>
      </c>
      <c r="D205">
        <v>10462</v>
      </c>
      <c r="E205">
        <v>2.48</v>
      </c>
      <c r="F205">
        <v>0.51</v>
      </c>
      <c r="G205">
        <v>1.32</v>
      </c>
      <c r="H205">
        <v>682</v>
      </c>
      <c r="I205">
        <v>0</v>
      </c>
      <c r="K205">
        <v>0</v>
      </c>
      <c r="L205">
        <v>12</v>
      </c>
      <c r="M205" t="s">
        <v>15</v>
      </c>
      <c r="N205">
        <v>0</v>
      </c>
      <c r="O205">
        <f t="shared" si="6"/>
        <v>0</v>
      </c>
      <c r="P205">
        <f t="shared" si="7"/>
        <v>0</v>
      </c>
    </row>
    <row r="206" spans="1:16">
      <c r="A206">
        <v>205</v>
      </c>
      <c r="B206" s="2">
        <v>45413</v>
      </c>
      <c r="C206">
        <v>47352</v>
      </c>
      <c r="D206">
        <v>13179</v>
      </c>
      <c r="E206">
        <v>1.86</v>
      </c>
      <c r="F206">
        <v>0.22</v>
      </c>
      <c r="G206">
        <v>0.77</v>
      </c>
      <c r="H206">
        <v>736</v>
      </c>
      <c r="I206">
        <v>1</v>
      </c>
      <c r="K206">
        <v>0</v>
      </c>
      <c r="L206">
        <v>6</v>
      </c>
      <c r="M206" t="s">
        <v>15</v>
      </c>
      <c r="N206">
        <v>0.15</v>
      </c>
      <c r="O206">
        <f t="shared" si="6"/>
        <v>0</v>
      </c>
      <c r="P206">
        <f t="shared" si="7"/>
        <v>1</v>
      </c>
    </row>
    <row r="207" spans="1:16">
      <c r="A207">
        <v>206</v>
      </c>
      <c r="B207" s="2">
        <v>45413</v>
      </c>
      <c r="C207">
        <v>12008</v>
      </c>
      <c r="D207">
        <v>10805</v>
      </c>
      <c r="E207">
        <v>1.07</v>
      </c>
      <c r="F207">
        <v>1</v>
      </c>
      <c r="G207">
        <v>1.61</v>
      </c>
      <c r="H207">
        <v>670</v>
      </c>
      <c r="I207">
        <v>1</v>
      </c>
      <c r="J207">
        <v>33936</v>
      </c>
      <c r="K207">
        <v>1</v>
      </c>
      <c r="L207">
        <v>12</v>
      </c>
      <c r="M207" t="s">
        <v>15</v>
      </c>
      <c r="N207">
        <v>0</v>
      </c>
      <c r="O207">
        <f t="shared" si="6"/>
        <v>1</v>
      </c>
      <c r="P207">
        <f t="shared" si="7"/>
        <v>0</v>
      </c>
    </row>
    <row r="208" spans="1:16">
      <c r="A208">
        <v>207</v>
      </c>
      <c r="B208" s="2">
        <v>44958</v>
      </c>
      <c r="C208">
        <v>70895</v>
      </c>
      <c r="D208">
        <v>23388</v>
      </c>
      <c r="E208">
        <v>2.64</v>
      </c>
      <c r="F208">
        <v>1.58</v>
      </c>
      <c r="G208">
        <v>1.51</v>
      </c>
      <c r="H208">
        <v>648</v>
      </c>
      <c r="I208">
        <v>0</v>
      </c>
      <c r="K208">
        <v>0</v>
      </c>
      <c r="L208">
        <v>12</v>
      </c>
      <c r="M208" t="s">
        <v>14</v>
      </c>
      <c r="N208">
        <v>0</v>
      </c>
      <c r="O208">
        <f t="shared" si="6"/>
        <v>0</v>
      </c>
      <c r="P208">
        <f t="shared" si="7"/>
        <v>0</v>
      </c>
    </row>
    <row r="209" spans="1:16">
      <c r="A209">
        <v>208</v>
      </c>
      <c r="B209" s="2">
        <v>44958</v>
      </c>
      <c r="C209">
        <v>49374</v>
      </c>
      <c r="D209">
        <v>4310</v>
      </c>
      <c r="E209">
        <v>1.26</v>
      </c>
      <c r="F209">
        <v>0.83</v>
      </c>
      <c r="G209">
        <v>1.88</v>
      </c>
      <c r="H209">
        <v>665</v>
      </c>
      <c r="I209">
        <v>1</v>
      </c>
      <c r="J209">
        <v>44988</v>
      </c>
      <c r="K209">
        <v>1</v>
      </c>
      <c r="L209">
        <v>12</v>
      </c>
      <c r="M209" t="s">
        <v>14</v>
      </c>
      <c r="N209">
        <v>0</v>
      </c>
      <c r="O209">
        <f t="shared" si="6"/>
        <v>1</v>
      </c>
      <c r="P209">
        <f t="shared" si="7"/>
        <v>0</v>
      </c>
    </row>
    <row r="210" spans="1:16">
      <c r="A210">
        <v>209</v>
      </c>
      <c r="B210" s="2">
        <v>45566</v>
      </c>
      <c r="C210">
        <v>42891</v>
      </c>
      <c r="D210">
        <v>6390</v>
      </c>
      <c r="E210">
        <v>1.37</v>
      </c>
      <c r="F210">
        <v>0.66</v>
      </c>
      <c r="G210">
        <v>0.92</v>
      </c>
      <c r="I210">
        <v>1</v>
      </c>
      <c r="J210">
        <v>16808</v>
      </c>
      <c r="K210">
        <v>1</v>
      </c>
      <c r="L210">
        <v>12</v>
      </c>
      <c r="M210" t="s">
        <v>15</v>
      </c>
      <c r="N210">
        <v>0</v>
      </c>
      <c r="O210">
        <f t="shared" si="6"/>
        <v>1</v>
      </c>
      <c r="P210">
        <f t="shared" si="7"/>
        <v>0</v>
      </c>
    </row>
    <row r="211" spans="1:16">
      <c r="A211">
        <v>210</v>
      </c>
      <c r="B211" s="2">
        <v>45597</v>
      </c>
      <c r="C211">
        <v>68786</v>
      </c>
      <c r="D211">
        <v>6327</v>
      </c>
      <c r="E211">
        <v>1.74</v>
      </c>
      <c r="F211">
        <v>0.81</v>
      </c>
      <c r="G211">
        <v>1.37</v>
      </c>
      <c r="H211">
        <v>758</v>
      </c>
      <c r="I211">
        <v>0</v>
      </c>
      <c r="K211">
        <v>0</v>
      </c>
      <c r="L211">
        <v>12</v>
      </c>
      <c r="M211" t="s">
        <v>15</v>
      </c>
      <c r="N211">
        <v>0</v>
      </c>
      <c r="O211">
        <f t="shared" si="6"/>
        <v>0</v>
      </c>
      <c r="P211">
        <f t="shared" si="7"/>
        <v>0</v>
      </c>
    </row>
    <row r="212" spans="1:16">
      <c r="A212">
        <v>211</v>
      </c>
      <c r="B212" s="2">
        <v>45047</v>
      </c>
      <c r="C212">
        <v>107211</v>
      </c>
      <c r="D212">
        <v>25983</v>
      </c>
      <c r="E212">
        <v>2.4</v>
      </c>
      <c r="F212">
        <v>0.7</v>
      </c>
      <c r="G212">
        <v>0.6</v>
      </c>
      <c r="H212">
        <v>645</v>
      </c>
      <c r="I212">
        <v>0</v>
      </c>
      <c r="K212">
        <v>0</v>
      </c>
      <c r="L212">
        <v>18</v>
      </c>
      <c r="M212" t="s">
        <v>14</v>
      </c>
      <c r="N212">
        <v>0.15</v>
      </c>
      <c r="O212">
        <f t="shared" si="6"/>
        <v>0</v>
      </c>
      <c r="P212">
        <f t="shared" si="7"/>
        <v>0</v>
      </c>
    </row>
    <row r="213" spans="1:16">
      <c r="A213">
        <v>212</v>
      </c>
      <c r="B213" s="2">
        <v>44927</v>
      </c>
      <c r="C213">
        <v>70217</v>
      </c>
      <c r="D213">
        <v>44242</v>
      </c>
      <c r="E213">
        <v>2.02</v>
      </c>
      <c r="F213">
        <v>0.35</v>
      </c>
      <c r="G213">
        <v>1.74</v>
      </c>
      <c r="H213">
        <v>685</v>
      </c>
      <c r="I213">
        <v>0</v>
      </c>
      <c r="K213">
        <v>0</v>
      </c>
      <c r="L213">
        <v>12</v>
      </c>
      <c r="M213" t="s">
        <v>14</v>
      </c>
      <c r="N213">
        <v>0</v>
      </c>
      <c r="O213">
        <f t="shared" si="6"/>
        <v>0</v>
      </c>
      <c r="P213">
        <f t="shared" si="7"/>
        <v>0</v>
      </c>
    </row>
    <row r="214" spans="1:16">
      <c r="A214">
        <v>213</v>
      </c>
      <c r="B214" s="2">
        <v>44927</v>
      </c>
      <c r="C214">
        <v>10976</v>
      </c>
      <c r="D214">
        <v>12418</v>
      </c>
      <c r="E214">
        <v>1.78</v>
      </c>
      <c r="F214">
        <v>0.55000000000000004</v>
      </c>
      <c r="G214">
        <v>1.64</v>
      </c>
      <c r="H214">
        <v>699</v>
      </c>
      <c r="I214">
        <v>0</v>
      </c>
      <c r="K214">
        <v>0</v>
      </c>
      <c r="L214">
        <v>12</v>
      </c>
      <c r="M214" t="s">
        <v>14</v>
      </c>
      <c r="N214">
        <v>0</v>
      </c>
      <c r="O214">
        <f t="shared" si="6"/>
        <v>0</v>
      </c>
      <c r="P214">
        <f t="shared" si="7"/>
        <v>0</v>
      </c>
    </row>
    <row r="215" spans="1:16">
      <c r="A215">
        <v>214</v>
      </c>
      <c r="B215" s="2">
        <v>45474</v>
      </c>
      <c r="C215">
        <v>15808</v>
      </c>
      <c r="D215">
        <v>11871</v>
      </c>
      <c r="E215">
        <v>1.8</v>
      </c>
      <c r="F215">
        <v>1.3</v>
      </c>
      <c r="G215">
        <v>1.62</v>
      </c>
      <c r="H215">
        <v>625</v>
      </c>
      <c r="I215">
        <v>0</v>
      </c>
      <c r="K215">
        <v>0</v>
      </c>
      <c r="L215">
        <v>12</v>
      </c>
      <c r="M215" t="s">
        <v>15</v>
      </c>
      <c r="N215">
        <v>0</v>
      </c>
      <c r="O215">
        <f t="shared" si="6"/>
        <v>0</v>
      </c>
      <c r="P215">
        <f t="shared" si="7"/>
        <v>0</v>
      </c>
    </row>
    <row r="216" spans="1:16">
      <c r="A216">
        <v>215</v>
      </c>
      <c r="B216" s="2">
        <v>44958</v>
      </c>
      <c r="C216">
        <v>24194</v>
      </c>
      <c r="D216">
        <v>14031</v>
      </c>
      <c r="E216">
        <v>1.57</v>
      </c>
      <c r="F216">
        <v>1.1299999999999999</v>
      </c>
      <c r="G216">
        <v>1.35</v>
      </c>
      <c r="H216">
        <v>681</v>
      </c>
      <c r="I216">
        <v>0</v>
      </c>
      <c r="K216">
        <v>0</v>
      </c>
      <c r="L216">
        <v>12</v>
      </c>
      <c r="M216" t="s">
        <v>14</v>
      </c>
      <c r="N216">
        <v>0</v>
      </c>
      <c r="O216">
        <f t="shared" si="6"/>
        <v>0</v>
      </c>
      <c r="P216">
        <f t="shared" si="7"/>
        <v>0</v>
      </c>
    </row>
    <row r="217" spans="1:16">
      <c r="A217">
        <v>216</v>
      </c>
      <c r="B217" s="2">
        <v>45536</v>
      </c>
      <c r="C217">
        <v>36937</v>
      </c>
      <c r="D217">
        <v>30131</v>
      </c>
      <c r="E217">
        <v>1.86</v>
      </c>
      <c r="F217">
        <v>1.02</v>
      </c>
      <c r="G217">
        <v>1.58</v>
      </c>
      <c r="H217">
        <v>599</v>
      </c>
      <c r="I217">
        <v>1</v>
      </c>
      <c r="J217">
        <v>32811</v>
      </c>
      <c r="K217">
        <v>1</v>
      </c>
      <c r="L217">
        <v>6</v>
      </c>
      <c r="M217" t="s">
        <v>15</v>
      </c>
      <c r="N217">
        <v>0.2</v>
      </c>
      <c r="O217">
        <f t="shared" si="6"/>
        <v>1</v>
      </c>
      <c r="P217">
        <f t="shared" si="7"/>
        <v>0</v>
      </c>
    </row>
    <row r="218" spans="1:16">
      <c r="A218">
        <v>217</v>
      </c>
      <c r="B218" s="2">
        <v>45261</v>
      </c>
      <c r="C218">
        <v>50842</v>
      </c>
      <c r="D218">
        <v>6980</v>
      </c>
      <c r="E218">
        <v>0.2</v>
      </c>
      <c r="F218">
        <v>0.45</v>
      </c>
      <c r="G218">
        <v>2.23</v>
      </c>
      <c r="H218">
        <v>583</v>
      </c>
      <c r="I218">
        <v>0</v>
      </c>
      <c r="K218">
        <v>0</v>
      </c>
      <c r="L218">
        <v>12</v>
      </c>
      <c r="M218" t="s">
        <v>14</v>
      </c>
      <c r="N218">
        <v>0.5</v>
      </c>
      <c r="O218">
        <f t="shared" si="6"/>
        <v>0</v>
      </c>
      <c r="P218">
        <f t="shared" si="7"/>
        <v>0</v>
      </c>
    </row>
    <row r="219" spans="1:16">
      <c r="A219">
        <v>218</v>
      </c>
      <c r="B219" s="2">
        <v>45078</v>
      </c>
      <c r="C219">
        <v>22658</v>
      </c>
      <c r="D219">
        <v>15786</v>
      </c>
      <c r="E219">
        <v>1.39</v>
      </c>
      <c r="F219">
        <v>0.8</v>
      </c>
      <c r="G219">
        <v>1.19</v>
      </c>
      <c r="H219">
        <v>700</v>
      </c>
      <c r="I219">
        <v>0</v>
      </c>
      <c r="K219">
        <v>0</v>
      </c>
      <c r="L219">
        <v>12</v>
      </c>
      <c r="M219" t="s">
        <v>14</v>
      </c>
      <c r="N219">
        <v>0</v>
      </c>
      <c r="O219">
        <f t="shared" si="6"/>
        <v>0</v>
      </c>
      <c r="P219">
        <f t="shared" si="7"/>
        <v>0</v>
      </c>
    </row>
    <row r="220" spans="1:16">
      <c r="A220">
        <v>219</v>
      </c>
      <c r="B220" s="2">
        <v>45597</v>
      </c>
      <c r="C220">
        <v>41003</v>
      </c>
      <c r="D220">
        <v>26440</v>
      </c>
      <c r="E220">
        <v>1.68</v>
      </c>
      <c r="F220">
        <v>0.2</v>
      </c>
      <c r="G220">
        <v>1.43</v>
      </c>
      <c r="H220">
        <v>659</v>
      </c>
      <c r="I220">
        <v>0</v>
      </c>
      <c r="K220">
        <v>0</v>
      </c>
      <c r="L220">
        <v>12</v>
      </c>
      <c r="M220" t="s">
        <v>15</v>
      </c>
      <c r="N220">
        <v>0</v>
      </c>
      <c r="O220">
        <f t="shared" si="6"/>
        <v>0</v>
      </c>
      <c r="P220">
        <f t="shared" si="7"/>
        <v>0</v>
      </c>
    </row>
    <row r="221" spans="1:16">
      <c r="A221">
        <v>220</v>
      </c>
      <c r="B221" s="2">
        <v>45017</v>
      </c>
      <c r="C221">
        <v>22226</v>
      </c>
      <c r="D221">
        <v>18973</v>
      </c>
      <c r="E221">
        <v>0.92</v>
      </c>
      <c r="F221">
        <v>1.03</v>
      </c>
      <c r="G221">
        <v>0.75</v>
      </c>
      <c r="H221">
        <v>691</v>
      </c>
      <c r="I221">
        <v>0</v>
      </c>
      <c r="K221">
        <v>0</v>
      </c>
      <c r="L221">
        <v>12</v>
      </c>
      <c r="M221" t="s">
        <v>14</v>
      </c>
      <c r="N221">
        <v>0.45</v>
      </c>
      <c r="O221">
        <f t="shared" si="6"/>
        <v>0</v>
      </c>
      <c r="P221">
        <f t="shared" si="7"/>
        <v>0</v>
      </c>
    </row>
    <row r="222" spans="1:16">
      <c r="A222">
        <v>221</v>
      </c>
      <c r="B222" s="2">
        <v>45597</v>
      </c>
      <c r="C222">
        <v>24404</v>
      </c>
      <c r="D222">
        <v>15256</v>
      </c>
      <c r="E222">
        <v>1.76</v>
      </c>
      <c r="F222">
        <v>2.46</v>
      </c>
      <c r="G222">
        <v>0.87</v>
      </c>
      <c r="H222">
        <v>679</v>
      </c>
      <c r="I222">
        <v>1</v>
      </c>
      <c r="J222">
        <v>18877</v>
      </c>
      <c r="K222">
        <v>1</v>
      </c>
      <c r="L222">
        <v>12</v>
      </c>
      <c r="M222" t="s">
        <v>15</v>
      </c>
      <c r="N222">
        <v>0.35</v>
      </c>
      <c r="O222">
        <f t="shared" si="6"/>
        <v>1</v>
      </c>
      <c r="P222">
        <f t="shared" si="7"/>
        <v>0</v>
      </c>
    </row>
    <row r="223" spans="1:16">
      <c r="A223">
        <v>222</v>
      </c>
      <c r="B223" s="2">
        <v>45231</v>
      </c>
      <c r="C223">
        <v>14555</v>
      </c>
      <c r="D223">
        <v>26923</v>
      </c>
      <c r="E223">
        <v>1.44</v>
      </c>
      <c r="F223">
        <v>0.32</v>
      </c>
      <c r="G223">
        <v>1.4</v>
      </c>
      <c r="H223">
        <v>626</v>
      </c>
      <c r="I223">
        <v>0</v>
      </c>
      <c r="K223">
        <v>0</v>
      </c>
      <c r="L223">
        <v>12</v>
      </c>
      <c r="M223" t="s">
        <v>14</v>
      </c>
      <c r="N223">
        <v>0</v>
      </c>
      <c r="O223">
        <f t="shared" si="6"/>
        <v>0</v>
      </c>
      <c r="P223">
        <f t="shared" si="7"/>
        <v>0</v>
      </c>
    </row>
    <row r="224" spans="1:16">
      <c r="A224">
        <v>223</v>
      </c>
      <c r="B224" s="2">
        <v>45627</v>
      </c>
      <c r="C224">
        <v>19928</v>
      </c>
      <c r="D224">
        <v>2014</v>
      </c>
      <c r="E224">
        <v>2.52</v>
      </c>
      <c r="F224">
        <v>0.6</v>
      </c>
      <c r="G224">
        <v>1.96</v>
      </c>
      <c r="H224">
        <v>678</v>
      </c>
      <c r="I224">
        <v>0</v>
      </c>
      <c r="K224">
        <v>0</v>
      </c>
      <c r="L224">
        <v>12</v>
      </c>
      <c r="M224" t="s">
        <v>15</v>
      </c>
      <c r="N224">
        <v>0</v>
      </c>
      <c r="O224">
        <f t="shared" si="6"/>
        <v>0</v>
      </c>
      <c r="P224">
        <f t="shared" si="7"/>
        <v>0</v>
      </c>
    </row>
    <row r="225" spans="1:16">
      <c r="A225">
        <v>224</v>
      </c>
      <c r="B225" s="2">
        <v>45413</v>
      </c>
      <c r="C225">
        <v>15084</v>
      </c>
      <c r="D225">
        <v>21472</v>
      </c>
      <c r="E225">
        <v>2.42</v>
      </c>
      <c r="F225">
        <v>1.1399999999999999</v>
      </c>
      <c r="G225">
        <v>1.21</v>
      </c>
      <c r="H225">
        <v>612</v>
      </c>
      <c r="I225">
        <v>0</v>
      </c>
      <c r="K225">
        <v>0</v>
      </c>
      <c r="L225">
        <v>18</v>
      </c>
      <c r="M225" t="s">
        <v>15</v>
      </c>
      <c r="N225">
        <v>0</v>
      </c>
      <c r="O225">
        <f t="shared" si="6"/>
        <v>0</v>
      </c>
      <c r="P225">
        <f t="shared" si="7"/>
        <v>0</v>
      </c>
    </row>
    <row r="226" spans="1:16">
      <c r="A226">
        <v>225</v>
      </c>
      <c r="B226" s="2">
        <v>45078</v>
      </c>
      <c r="C226">
        <v>19258</v>
      </c>
      <c r="D226">
        <v>8452</v>
      </c>
      <c r="E226">
        <v>1.29</v>
      </c>
      <c r="F226">
        <v>2.17</v>
      </c>
      <c r="G226">
        <v>1.22</v>
      </c>
      <c r="H226">
        <v>757</v>
      </c>
      <c r="I226">
        <v>0</v>
      </c>
      <c r="K226">
        <v>0</v>
      </c>
      <c r="L226">
        <v>18</v>
      </c>
      <c r="M226" t="s">
        <v>14</v>
      </c>
      <c r="N226">
        <v>0.35</v>
      </c>
      <c r="O226">
        <f t="shared" si="6"/>
        <v>0</v>
      </c>
      <c r="P226">
        <f t="shared" si="7"/>
        <v>0</v>
      </c>
    </row>
    <row r="227" spans="1:16">
      <c r="A227">
        <v>226</v>
      </c>
      <c r="B227" s="2">
        <v>45627</v>
      </c>
      <c r="C227">
        <v>72032</v>
      </c>
      <c r="D227">
        <v>3709</v>
      </c>
      <c r="E227">
        <v>1.47</v>
      </c>
      <c r="F227">
        <v>0.66</v>
      </c>
      <c r="G227">
        <v>1.1299999999999999</v>
      </c>
      <c r="H227">
        <v>605</v>
      </c>
      <c r="I227">
        <v>0</v>
      </c>
      <c r="K227">
        <v>0</v>
      </c>
      <c r="L227">
        <v>12</v>
      </c>
      <c r="M227" t="s">
        <v>15</v>
      </c>
      <c r="N227">
        <v>0</v>
      </c>
      <c r="O227">
        <f t="shared" si="6"/>
        <v>0</v>
      </c>
      <c r="P227">
        <f t="shared" si="7"/>
        <v>0</v>
      </c>
    </row>
    <row r="228" spans="1:16">
      <c r="A228">
        <v>227</v>
      </c>
      <c r="B228" s="2">
        <v>45047</v>
      </c>
      <c r="C228">
        <v>19592</v>
      </c>
      <c r="D228">
        <v>19108</v>
      </c>
      <c r="E228">
        <v>1.51</v>
      </c>
      <c r="F228">
        <v>0.56000000000000005</v>
      </c>
      <c r="G228">
        <v>1.06</v>
      </c>
      <c r="H228">
        <v>669</v>
      </c>
      <c r="I228">
        <v>0</v>
      </c>
      <c r="K228">
        <v>0</v>
      </c>
      <c r="L228">
        <v>18</v>
      </c>
      <c r="M228" t="s">
        <v>14</v>
      </c>
      <c r="N228">
        <v>0</v>
      </c>
      <c r="O228">
        <f t="shared" si="6"/>
        <v>0</v>
      </c>
      <c r="P228">
        <f t="shared" si="7"/>
        <v>0</v>
      </c>
    </row>
    <row r="229" spans="1:16">
      <c r="A229">
        <v>228</v>
      </c>
      <c r="B229" s="2">
        <v>45505</v>
      </c>
      <c r="C229">
        <v>200998</v>
      </c>
      <c r="D229">
        <v>34946</v>
      </c>
      <c r="E229">
        <v>1.3</v>
      </c>
      <c r="F229">
        <v>0.23</v>
      </c>
      <c r="G229">
        <v>1.51</v>
      </c>
      <c r="H229">
        <v>623</v>
      </c>
      <c r="I229">
        <v>0</v>
      </c>
      <c r="K229">
        <v>0</v>
      </c>
      <c r="L229">
        <v>18</v>
      </c>
      <c r="M229" t="s">
        <v>15</v>
      </c>
      <c r="N229">
        <v>0</v>
      </c>
      <c r="O229">
        <f t="shared" si="6"/>
        <v>0</v>
      </c>
      <c r="P229">
        <f t="shared" si="7"/>
        <v>0</v>
      </c>
    </row>
    <row r="230" spans="1:16">
      <c r="A230">
        <v>229</v>
      </c>
      <c r="B230" s="2">
        <v>44958</v>
      </c>
      <c r="C230">
        <v>50044</v>
      </c>
      <c r="D230">
        <v>12134</v>
      </c>
      <c r="E230">
        <v>1.66</v>
      </c>
      <c r="F230">
        <v>0.97</v>
      </c>
      <c r="G230">
        <v>0.53</v>
      </c>
      <c r="H230">
        <v>711</v>
      </c>
      <c r="I230">
        <v>1</v>
      </c>
      <c r="J230">
        <v>10326</v>
      </c>
      <c r="K230">
        <v>1</v>
      </c>
      <c r="L230">
        <v>6</v>
      </c>
      <c r="M230" t="s">
        <v>14</v>
      </c>
      <c r="N230">
        <v>0.15</v>
      </c>
      <c r="O230">
        <f t="shared" si="6"/>
        <v>1</v>
      </c>
      <c r="P230">
        <f t="shared" si="7"/>
        <v>0</v>
      </c>
    </row>
    <row r="231" spans="1:16">
      <c r="A231">
        <v>230</v>
      </c>
      <c r="B231" s="2">
        <v>45078</v>
      </c>
      <c r="C231">
        <v>40951</v>
      </c>
      <c r="D231">
        <v>26030</v>
      </c>
      <c r="E231">
        <v>1.1299999999999999</v>
      </c>
      <c r="F231">
        <v>3.78</v>
      </c>
      <c r="G231">
        <v>2.0499999999999998</v>
      </c>
      <c r="H231">
        <v>662</v>
      </c>
      <c r="I231">
        <v>1</v>
      </c>
      <c r="J231">
        <v>48491</v>
      </c>
      <c r="K231">
        <v>1</v>
      </c>
      <c r="L231">
        <v>12</v>
      </c>
      <c r="M231" t="s">
        <v>14</v>
      </c>
      <c r="N231">
        <v>0.35</v>
      </c>
      <c r="O231">
        <f t="shared" si="6"/>
        <v>1</v>
      </c>
      <c r="P231">
        <f t="shared" si="7"/>
        <v>0</v>
      </c>
    </row>
    <row r="232" spans="1:16">
      <c r="A232">
        <v>231</v>
      </c>
      <c r="B232" s="2">
        <v>45566</v>
      </c>
      <c r="C232">
        <v>20787</v>
      </c>
      <c r="D232">
        <v>41299</v>
      </c>
      <c r="E232">
        <v>0.93</v>
      </c>
      <c r="F232">
        <v>1.1000000000000001</v>
      </c>
      <c r="G232">
        <v>0.98</v>
      </c>
      <c r="H232">
        <v>651</v>
      </c>
      <c r="I232">
        <v>0</v>
      </c>
      <c r="K232">
        <v>0</v>
      </c>
      <c r="L232">
        <v>12</v>
      </c>
      <c r="M232" t="s">
        <v>15</v>
      </c>
      <c r="N232">
        <v>0.3</v>
      </c>
      <c r="O232">
        <f t="shared" si="6"/>
        <v>0</v>
      </c>
      <c r="P232">
        <f t="shared" si="7"/>
        <v>0</v>
      </c>
    </row>
    <row r="233" spans="1:16">
      <c r="A233">
        <v>232</v>
      </c>
      <c r="B233" s="2">
        <v>45231</v>
      </c>
      <c r="C233">
        <v>57251</v>
      </c>
      <c r="D233">
        <v>33538</v>
      </c>
      <c r="E233">
        <v>1.89</v>
      </c>
      <c r="F233">
        <v>0.89</v>
      </c>
      <c r="G233">
        <v>1.75</v>
      </c>
      <c r="H233">
        <v>727</v>
      </c>
      <c r="I233">
        <v>0</v>
      </c>
      <c r="K233">
        <v>0</v>
      </c>
      <c r="L233">
        <v>18</v>
      </c>
      <c r="M233" t="s">
        <v>14</v>
      </c>
      <c r="N233">
        <v>0</v>
      </c>
      <c r="O233">
        <f t="shared" si="6"/>
        <v>0</v>
      </c>
      <c r="P233">
        <f t="shared" si="7"/>
        <v>0</v>
      </c>
    </row>
    <row r="234" spans="1:16">
      <c r="A234">
        <v>233</v>
      </c>
      <c r="B234" s="2">
        <v>45383</v>
      </c>
      <c r="C234">
        <v>24980</v>
      </c>
      <c r="D234">
        <v>42107</v>
      </c>
      <c r="E234">
        <v>1.9</v>
      </c>
      <c r="F234">
        <v>1.1299999999999999</v>
      </c>
      <c r="G234">
        <v>0.65</v>
      </c>
      <c r="H234">
        <v>682</v>
      </c>
      <c r="I234">
        <v>0</v>
      </c>
      <c r="K234">
        <v>0</v>
      </c>
      <c r="L234">
        <v>12</v>
      </c>
      <c r="M234" t="s">
        <v>15</v>
      </c>
      <c r="N234">
        <v>0.15</v>
      </c>
      <c r="O234">
        <f t="shared" si="6"/>
        <v>0</v>
      </c>
      <c r="P234">
        <f t="shared" si="7"/>
        <v>0</v>
      </c>
    </row>
    <row r="235" spans="1:16">
      <c r="A235">
        <v>234</v>
      </c>
      <c r="B235" s="2">
        <v>45383</v>
      </c>
      <c r="C235">
        <v>39313</v>
      </c>
      <c r="D235">
        <v>22460</v>
      </c>
      <c r="E235">
        <v>1.1100000000000001</v>
      </c>
      <c r="F235">
        <v>0.9</v>
      </c>
      <c r="G235">
        <v>1.72</v>
      </c>
      <c r="H235">
        <v>708</v>
      </c>
      <c r="I235">
        <v>0</v>
      </c>
      <c r="K235">
        <v>0</v>
      </c>
      <c r="L235">
        <v>18</v>
      </c>
      <c r="M235" t="s">
        <v>15</v>
      </c>
      <c r="N235">
        <v>0</v>
      </c>
      <c r="O235">
        <f t="shared" si="6"/>
        <v>0</v>
      </c>
      <c r="P235">
        <f t="shared" si="7"/>
        <v>0</v>
      </c>
    </row>
    <row r="236" spans="1:16">
      <c r="A236">
        <v>235</v>
      </c>
      <c r="B236" s="2">
        <v>44927</v>
      </c>
      <c r="C236">
        <v>191771</v>
      </c>
      <c r="D236">
        <v>14084</v>
      </c>
      <c r="E236">
        <v>2.04</v>
      </c>
      <c r="F236">
        <v>0.51</v>
      </c>
      <c r="G236">
        <v>1.72</v>
      </c>
      <c r="H236">
        <v>626</v>
      </c>
      <c r="I236">
        <v>0</v>
      </c>
      <c r="K236">
        <v>0</v>
      </c>
      <c r="L236">
        <v>18</v>
      </c>
      <c r="M236" t="s">
        <v>14</v>
      </c>
      <c r="N236">
        <v>0</v>
      </c>
      <c r="O236">
        <f t="shared" si="6"/>
        <v>0</v>
      </c>
      <c r="P236">
        <f t="shared" si="7"/>
        <v>0</v>
      </c>
    </row>
    <row r="237" spans="1:16">
      <c r="A237">
        <v>236</v>
      </c>
      <c r="B237" s="2">
        <v>45170</v>
      </c>
      <c r="C237">
        <v>34117</v>
      </c>
      <c r="D237">
        <v>4353</v>
      </c>
      <c r="E237">
        <v>1.2</v>
      </c>
      <c r="F237">
        <v>1.61</v>
      </c>
      <c r="G237">
        <v>1.56</v>
      </c>
      <c r="H237">
        <v>603</v>
      </c>
      <c r="I237">
        <v>0</v>
      </c>
      <c r="K237">
        <v>0</v>
      </c>
      <c r="L237">
        <v>12</v>
      </c>
      <c r="M237" t="s">
        <v>14</v>
      </c>
      <c r="N237">
        <v>0</v>
      </c>
      <c r="O237">
        <f t="shared" si="6"/>
        <v>0</v>
      </c>
      <c r="P237">
        <f t="shared" si="7"/>
        <v>0</v>
      </c>
    </row>
    <row r="238" spans="1:16">
      <c r="A238">
        <v>237</v>
      </c>
      <c r="B238" s="2">
        <v>45078</v>
      </c>
      <c r="C238">
        <v>76652</v>
      </c>
      <c r="D238">
        <v>11246</v>
      </c>
      <c r="E238">
        <v>1.69</v>
      </c>
      <c r="F238">
        <v>1.06</v>
      </c>
      <c r="G238">
        <v>0.8</v>
      </c>
      <c r="I238">
        <v>0</v>
      </c>
      <c r="K238">
        <v>0</v>
      </c>
      <c r="L238">
        <v>6</v>
      </c>
      <c r="M238" t="s">
        <v>14</v>
      </c>
      <c r="N238">
        <v>0</v>
      </c>
      <c r="O238">
        <f t="shared" si="6"/>
        <v>0</v>
      </c>
      <c r="P238">
        <f t="shared" si="7"/>
        <v>0</v>
      </c>
    </row>
    <row r="239" spans="1:16">
      <c r="A239">
        <v>238</v>
      </c>
      <c r="B239" s="2">
        <v>45383</v>
      </c>
      <c r="C239">
        <v>22993</v>
      </c>
      <c r="D239">
        <v>7404</v>
      </c>
      <c r="F239">
        <v>0.92</v>
      </c>
      <c r="G239">
        <v>1.49</v>
      </c>
      <c r="H239">
        <v>662</v>
      </c>
      <c r="I239">
        <v>0</v>
      </c>
      <c r="K239">
        <v>0</v>
      </c>
      <c r="L239">
        <v>12</v>
      </c>
      <c r="M239" t="s">
        <v>15</v>
      </c>
      <c r="N239">
        <v>0</v>
      </c>
      <c r="O239">
        <f t="shared" si="6"/>
        <v>0</v>
      </c>
      <c r="P239">
        <f t="shared" si="7"/>
        <v>0</v>
      </c>
    </row>
    <row r="240" spans="1:16">
      <c r="A240">
        <v>239</v>
      </c>
      <c r="B240" s="2">
        <v>44986</v>
      </c>
      <c r="C240">
        <v>35499</v>
      </c>
      <c r="D240">
        <v>61063</v>
      </c>
      <c r="E240">
        <v>1.53</v>
      </c>
      <c r="F240">
        <v>0.46</v>
      </c>
      <c r="G240">
        <v>0.7</v>
      </c>
      <c r="H240">
        <v>714</v>
      </c>
      <c r="I240">
        <v>0</v>
      </c>
      <c r="K240">
        <v>0</v>
      </c>
      <c r="L240">
        <v>12</v>
      </c>
      <c r="M240" t="s">
        <v>14</v>
      </c>
      <c r="N240">
        <v>0.15</v>
      </c>
      <c r="O240">
        <f t="shared" si="6"/>
        <v>0</v>
      </c>
      <c r="P240">
        <f t="shared" si="7"/>
        <v>0</v>
      </c>
    </row>
    <row r="241" spans="1:16">
      <c r="A241">
        <v>240</v>
      </c>
      <c r="B241" s="2">
        <v>45505</v>
      </c>
      <c r="C241">
        <v>114808</v>
      </c>
      <c r="D241">
        <v>11812</v>
      </c>
      <c r="E241">
        <v>1.8</v>
      </c>
      <c r="F241">
        <v>2.25</v>
      </c>
      <c r="G241">
        <v>1.21</v>
      </c>
      <c r="H241">
        <v>676</v>
      </c>
      <c r="I241">
        <v>0</v>
      </c>
      <c r="K241">
        <v>0</v>
      </c>
      <c r="L241">
        <v>12</v>
      </c>
      <c r="M241" t="s">
        <v>15</v>
      </c>
      <c r="N241">
        <v>0.35</v>
      </c>
      <c r="O241">
        <f t="shared" si="6"/>
        <v>0</v>
      </c>
      <c r="P241">
        <f t="shared" si="7"/>
        <v>0</v>
      </c>
    </row>
    <row r="242" spans="1:16">
      <c r="A242">
        <v>241</v>
      </c>
      <c r="B242" s="2">
        <v>45017</v>
      </c>
      <c r="C242">
        <v>24160</v>
      </c>
      <c r="D242">
        <v>14563</v>
      </c>
      <c r="E242">
        <v>1.27</v>
      </c>
      <c r="F242">
        <v>1.44</v>
      </c>
      <c r="G242">
        <v>1.92</v>
      </c>
      <c r="H242">
        <v>691</v>
      </c>
      <c r="I242">
        <v>0</v>
      </c>
      <c r="K242">
        <v>0</v>
      </c>
      <c r="L242">
        <v>12</v>
      </c>
      <c r="M242" t="s">
        <v>14</v>
      </c>
      <c r="N242">
        <v>0</v>
      </c>
      <c r="O242">
        <f t="shared" si="6"/>
        <v>0</v>
      </c>
      <c r="P242">
        <f t="shared" si="7"/>
        <v>0</v>
      </c>
    </row>
    <row r="243" spans="1:16">
      <c r="A243">
        <v>242</v>
      </c>
      <c r="B243" s="2">
        <v>45474</v>
      </c>
      <c r="C243">
        <v>117959</v>
      </c>
      <c r="D243">
        <v>19654</v>
      </c>
      <c r="F243">
        <v>0.61</v>
      </c>
      <c r="G243">
        <v>1.79</v>
      </c>
      <c r="H243">
        <v>591</v>
      </c>
      <c r="I243">
        <v>0</v>
      </c>
      <c r="K243">
        <v>0</v>
      </c>
      <c r="L243">
        <v>12</v>
      </c>
      <c r="M243" t="s">
        <v>15</v>
      </c>
      <c r="N243">
        <v>0.2</v>
      </c>
      <c r="O243">
        <f t="shared" si="6"/>
        <v>0</v>
      </c>
      <c r="P243">
        <f t="shared" si="7"/>
        <v>0</v>
      </c>
    </row>
    <row r="244" spans="1:16">
      <c r="A244">
        <v>243</v>
      </c>
      <c r="B244" s="2">
        <v>44986</v>
      </c>
      <c r="C244">
        <v>57529</v>
      </c>
      <c r="D244">
        <v>13774</v>
      </c>
      <c r="E244">
        <v>1.44</v>
      </c>
      <c r="F244">
        <v>1.82</v>
      </c>
      <c r="G244">
        <v>1.36</v>
      </c>
      <c r="H244">
        <v>784</v>
      </c>
      <c r="I244">
        <v>1</v>
      </c>
      <c r="J244">
        <v>38028</v>
      </c>
      <c r="K244">
        <v>1</v>
      </c>
      <c r="L244">
        <v>12</v>
      </c>
      <c r="M244" t="s">
        <v>14</v>
      </c>
      <c r="N244">
        <v>0</v>
      </c>
      <c r="O244">
        <f t="shared" si="6"/>
        <v>1</v>
      </c>
      <c r="P244">
        <f t="shared" si="7"/>
        <v>0</v>
      </c>
    </row>
    <row r="245" spans="1:16">
      <c r="A245">
        <v>244</v>
      </c>
      <c r="B245" s="2">
        <v>45474</v>
      </c>
      <c r="C245">
        <v>25195</v>
      </c>
      <c r="D245">
        <v>43763</v>
      </c>
      <c r="E245">
        <v>1.1399999999999999</v>
      </c>
      <c r="F245">
        <v>0.64</v>
      </c>
      <c r="G245">
        <v>0.81</v>
      </c>
      <c r="H245">
        <v>671</v>
      </c>
      <c r="I245">
        <v>0</v>
      </c>
      <c r="K245">
        <v>0</v>
      </c>
      <c r="L245">
        <v>6</v>
      </c>
      <c r="M245" t="s">
        <v>15</v>
      </c>
      <c r="N245">
        <v>0</v>
      </c>
      <c r="O245">
        <f t="shared" si="6"/>
        <v>0</v>
      </c>
      <c r="P245">
        <f t="shared" si="7"/>
        <v>0</v>
      </c>
    </row>
    <row r="246" spans="1:16">
      <c r="A246">
        <v>245</v>
      </c>
      <c r="B246" s="2">
        <v>45505</v>
      </c>
      <c r="C246">
        <v>54779</v>
      </c>
      <c r="D246">
        <v>8640</v>
      </c>
      <c r="E246">
        <v>1.45</v>
      </c>
      <c r="F246">
        <v>0.52</v>
      </c>
      <c r="G246">
        <v>1.71</v>
      </c>
      <c r="H246">
        <v>718</v>
      </c>
      <c r="I246">
        <v>0</v>
      </c>
      <c r="K246">
        <v>0</v>
      </c>
      <c r="L246">
        <v>18</v>
      </c>
      <c r="M246" t="s">
        <v>15</v>
      </c>
      <c r="N246">
        <v>0</v>
      </c>
      <c r="O246">
        <f t="shared" si="6"/>
        <v>0</v>
      </c>
      <c r="P246">
        <f t="shared" si="7"/>
        <v>0</v>
      </c>
    </row>
    <row r="247" spans="1:16">
      <c r="A247">
        <v>246</v>
      </c>
      <c r="B247" s="2">
        <v>45108</v>
      </c>
      <c r="C247">
        <v>68334</v>
      </c>
      <c r="D247">
        <v>15309</v>
      </c>
      <c r="E247">
        <v>0.7</v>
      </c>
      <c r="F247">
        <v>0.53</v>
      </c>
      <c r="G247">
        <v>1.36</v>
      </c>
      <c r="H247">
        <v>634</v>
      </c>
      <c r="I247">
        <v>0</v>
      </c>
      <c r="K247">
        <v>0</v>
      </c>
      <c r="L247">
        <v>6</v>
      </c>
      <c r="M247" t="s">
        <v>14</v>
      </c>
      <c r="N247">
        <v>0.3</v>
      </c>
      <c r="O247">
        <f t="shared" si="6"/>
        <v>0</v>
      </c>
      <c r="P247">
        <f t="shared" si="7"/>
        <v>0</v>
      </c>
    </row>
    <row r="248" spans="1:16">
      <c r="A248">
        <v>247</v>
      </c>
      <c r="B248" s="2">
        <v>45505</v>
      </c>
      <c r="C248">
        <v>54403</v>
      </c>
      <c r="D248">
        <v>7945</v>
      </c>
      <c r="E248">
        <v>1.28</v>
      </c>
      <c r="F248">
        <v>0.26</v>
      </c>
      <c r="G248">
        <v>0.1</v>
      </c>
      <c r="H248">
        <v>697</v>
      </c>
      <c r="I248">
        <v>0</v>
      </c>
      <c r="K248">
        <v>0</v>
      </c>
      <c r="L248">
        <v>12</v>
      </c>
      <c r="M248" t="s">
        <v>15</v>
      </c>
      <c r="N248">
        <v>0.15</v>
      </c>
      <c r="O248">
        <f t="shared" si="6"/>
        <v>0</v>
      </c>
      <c r="P248">
        <f t="shared" si="7"/>
        <v>0</v>
      </c>
    </row>
    <row r="249" spans="1:16">
      <c r="A249">
        <v>248</v>
      </c>
      <c r="B249" s="2">
        <v>45170</v>
      </c>
      <c r="C249">
        <v>13087</v>
      </c>
      <c r="D249">
        <v>5303</v>
      </c>
      <c r="F249">
        <v>1.26</v>
      </c>
      <c r="G249">
        <v>1.78</v>
      </c>
      <c r="H249">
        <v>608</v>
      </c>
      <c r="I249">
        <v>0</v>
      </c>
      <c r="K249">
        <v>0</v>
      </c>
      <c r="L249">
        <v>18</v>
      </c>
      <c r="M249" t="s">
        <v>14</v>
      </c>
      <c r="N249">
        <v>0</v>
      </c>
      <c r="O249">
        <f t="shared" si="6"/>
        <v>0</v>
      </c>
      <c r="P249">
        <f t="shared" si="7"/>
        <v>0</v>
      </c>
    </row>
    <row r="250" spans="1:16">
      <c r="A250">
        <v>249</v>
      </c>
      <c r="B250" s="2">
        <v>44927</v>
      </c>
      <c r="C250">
        <v>22637</v>
      </c>
      <c r="D250">
        <v>8706</v>
      </c>
      <c r="E250">
        <v>1.41</v>
      </c>
      <c r="F250">
        <v>0.25</v>
      </c>
      <c r="G250">
        <v>1.34</v>
      </c>
      <c r="H250">
        <v>705</v>
      </c>
      <c r="I250">
        <v>0</v>
      </c>
      <c r="K250">
        <v>0</v>
      </c>
      <c r="L250">
        <v>12</v>
      </c>
      <c r="M250" t="s">
        <v>14</v>
      </c>
      <c r="N250">
        <v>0</v>
      </c>
      <c r="O250">
        <f t="shared" si="6"/>
        <v>0</v>
      </c>
      <c r="P250">
        <f t="shared" si="7"/>
        <v>0</v>
      </c>
    </row>
    <row r="251" spans="1:16">
      <c r="A251">
        <v>250</v>
      </c>
      <c r="B251" s="2">
        <v>45139</v>
      </c>
      <c r="C251">
        <v>30919</v>
      </c>
      <c r="D251">
        <v>13018</v>
      </c>
      <c r="E251">
        <v>1.42</v>
      </c>
      <c r="F251">
        <v>0.38</v>
      </c>
      <c r="G251">
        <v>2.0099999999999998</v>
      </c>
      <c r="H251">
        <v>660</v>
      </c>
      <c r="I251">
        <v>1</v>
      </c>
      <c r="J251">
        <v>44234</v>
      </c>
      <c r="K251">
        <v>1</v>
      </c>
      <c r="L251">
        <v>6</v>
      </c>
      <c r="M251" t="s">
        <v>14</v>
      </c>
      <c r="N251">
        <v>0</v>
      </c>
      <c r="O251">
        <f t="shared" si="6"/>
        <v>1</v>
      </c>
      <c r="P251">
        <f t="shared" si="7"/>
        <v>0</v>
      </c>
    </row>
    <row r="252" spans="1:16">
      <c r="A252">
        <v>251</v>
      </c>
      <c r="B252" s="2">
        <v>45108</v>
      </c>
      <c r="C252">
        <v>34600</v>
      </c>
      <c r="D252">
        <v>9892</v>
      </c>
      <c r="E252">
        <v>1.52</v>
      </c>
      <c r="F252">
        <v>0.21</v>
      </c>
      <c r="G252">
        <v>0.75</v>
      </c>
      <c r="H252">
        <v>682</v>
      </c>
      <c r="I252">
        <v>0</v>
      </c>
      <c r="K252">
        <v>0</v>
      </c>
      <c r="L252">
        <v>6</v>
      </c>
      <c r="M252" t="s">
        <v>14</v>
      </c>
      <c r="N252">
        <v>0.15</v>
      </c>
      <c r="O252">
        <f t="shared" si="6"/>
        <v>0</v>
      </c>
      <c r="P252">
        <f t="shared" si="7"/>
        <v>0</v>
      </c>
    </row>
    <row r="253" spans="1:16">
      <c r="A253">
        <v>252</v>
      </c>
      <c r="B253" s="2">
        <v>45444</v>
      </c>
      <c r="C253">
        <v>54363</v>
      </c>
      <c r="D253">
        <v>8228</v>
      </c>
      <c r="E253">
        <v>1.81</v>
      </c>
      <c r="F253">
        <v>0.85</v>
      </c>
      <c r="G253">
        <v>0.1</v>
      </c>
      <c r="H253">
        <v>718</v>
      </c>
      <c r="I253">
        <v>0</v>
      </c>
      <c r="K253">
        <v>0</v>
      </c>
      <c r="L253">
        <v>6</v>
      </c>
      <c r="M253" t="s">
        <v>15</v>
      </c>
      <c r="N253">
        <v>0.15</v>
      </c>
      <c r="O253">
        <f t="shared" si="6"/>
        <v>0</v>
      </c>
      <c r="P253">
        <f t="shared" si="7"/>
        <v>0</v>
      </c>
    </row>
    <row r="254" spans="1:16">
      <c r="A254">
        <v>253</v>
      </c>
      <c r="B254" s="2">
        <v>45139</v>
      </c>
      <c r="C254">
        <v>40762</v>
      </c>
      <c r="D254">
        <v>4992</v>
      </c>
      <c r="E254">
        <v>2.0299999999999998</v>
      </c>
      <c r="F254">
        <v>0.81</v>
      </c>
      <c r="G254">
        <v>1.5</v>
      </c>
      <c r="H254">
        <v>612</v>
      </c>
      <c r="I254">
        <v>0</v>
      </c>
      <c r="K254">
        <v>0</v>
      </c>
      <c r="L254">
        <v>18</v>
      </c>
      <c r="M254" t="s">
        <v>14</v>
      </c>
      <c r="N254">
        <v>0</v>
      </c>
      <c r="O254">
        <f t="shared" si="6"/>
        <v>0</v>
      </c>
      <c r="P254">
        <f t="shared" si="7"/>
        <v>0</v>
      </c>
    </row>
    <row r="255" spans="1:16">
      <c r="A255">
        <v>254</v>
      </c>
      <c r="B255" s="2">
        <v>44927</v>
      </c>
      <c r="C255">
        <v>15245</v>
      </c>
      <c r="D255">
        <v>12605</v>
      </c>
      <c r="E255">
        <v>1.19</v>
      </c>
      <c r="F255">
        <v>0.72</v>
      </c>
      <c r="G255">
        <v>1.51</v>
      </c>
      <c r="H255">
        <v>642</v>
      </c>
      <c r="I255">
        <v>0</v>
      </c>
      <c r="K255">
        <v>0</v>
      </c>
      <c r="L255">
        <v>12</v>
      </c>
      <c r="M255" t="s">
        <v>14</v>
      </c>
      <c r="N255">
        <v>0</v>
      </c>
      <c r="O255">
        <f t="shared" si="6"/>
        <v>0</v>
      </c>
      <c r="P255">
        <f t="shared" si="7"/>
        <v>0</v>
      </c>
    </row>
    <row r="256" spans="1:16">
      <c r="A256">
        <v>255</v>
      </c>
      <c r="B256" s="2">
        <v>45231</v>
      </c>
      <c r="C256">
        <v>46496</v>
      </c>
      <c r="D256">
        <v>4660</v>
      </c>
      <c r="E256">
        <v>0.89</v>
      </c>
      <c r="F256">
        <v>0.44</v>
      </c>
      <c r="G256">
        <v>0.42</v>
      </c>
      <c r="I256">
        <v>1</v>
      </c>
      <c r="K256">
        <v>0</v>
      </c>
      <c r="L256">
        <v>12</v>
      </c>
      <c r="M256" t="s">
        <v>14</v>
      </c>
      <c r="N256">
        <v>0.45</v>
      </c>
      <c r="O256">
        <f t="shared" si="6"/>
        <v>0</v>
      </c>
      <c r="P256">
        <f t="shared" si="7"/>
        <v>1</v>
      </c>
    </row>
    <row r="257" spans="1:16">
      <c r="A257">
        <v>256</v>
      </c>
      <c r="B257" s="2">
        <v>45444</v>
      </c>
      <c r="C257">
        <v>54008</v>
      </c>
      <c r="D257">
        <v>22744</v>
      </c>
      <c r="E257">
        <v>0.98</v>
      </c>
      <c r="F257">
        <v>0.4</v>
      </c>
      <c r="G257">
        <v>0.81</v>
      </c>
      <c r="H257">
        <v>795</v>
      </c>
      <c r="I257">
        <v>0</v>
      </c>
      <c r="K257">
        <v>0</v>
      </c>
      <c r="L257">
        <v>12</v>
      </c>
      <c r="M257" t="s">
        <v>15</v>
      </c>
      <c r="N257">
        <v>0.3</v>
      </c>
      <c r="O257">
        <f t="shared" si="6"/>
        <v>0</v>
      </c>
      <c r="P257">
        <f t="shared" si="7"/>
        <v>0</v>
      </c>
    </row>
    <row r="258" spans="1:16">
      <c r="A258">
        <v>257</v>
      </c>
      <c r="B258" s="2">
        <v>45597</v>
      </c>
      <c r="C258">
        <v>52254</v>
      </c>
      <c r="D258">
        <v>14153</v>
      </c>
      <c r="E258">
        <v>1.28</v>
      </c>
      <c r="F258">
        <v>1.25</v>
      </c>
      <c r="G258">
        <v>2.87</v>
      </c>
      <c r="H258">
        <v>672</v>
      </c>
      <c r="I258">
        <v>0</v>
      </c>
      <c r="K258">
        <v>0</v>
      </c>
      <c r="L258">
        <v>18</v>
      </c>
      <c r="M258" t="s">
        <v>15</v>
      </c>
      <c r="N258">
        <v>0</v>
      </c>
      <c r="O258">
        <f t="shared" si="6"/>
        <v>0</v>
      </c>
      <c r="P258">
        <f t="shared" si="7"/>
        <v>0</v>
      </c>
    </row>
    <row r="259" spans="1:16">
      <c r="A259">
        <v>258</v>
      </c>
      <c r="B259" s="2">
        <v>45200</v>
      </c>
      <c r="C259">
        <v>73314</v>
      </c>
      <c r="D259">
        <v>4816</v>
      </c>
      <c r="E259">
        <v>1.36</v>
      </c>
      <c r="F259">
        <v>0.62</v>
      </c>
      <c r="G259">
        <v>1.18</v>
      </c>
      <c r="H259">
        <v>713</v>
      </c>
      <c r="I259">
        <v>0</v>
      </c>
      <c r="K259">
        <v>0</v>
      </c>
      <c r="L259">
        <v>12</v>
      </c>
      <c r="M259" t="s">
        <v>14</v>
      </c>
      <c r="N259">
        <v>0</v>
      </c>
      <c r="O259">
        <f t="shared" ref="O259:O322" si="8">IF(J259="",0,1)</f>
        <v>0</v>
      </c>
      <c r="P259">
        <f t="shared" ref="P259:P322" si="9">IF(I259=K259,0,1)</f>
        <v>0</v>
      </c>
    </row>
    <row r="260" spans="1:16">
      <c r="A260">
        <v>259</v>
      </c>
      <c r="B260" s="2">
        <v>44986</v>
      </c>
      <c r="C260">
        <v>62445</v>
      </c>
      <c r="D260">
        <v>10760</v>
      </c>
      <c r="E260">
        <v>1.1299999999999999</v>
      </c>
      <c r="F260">
        <v>1.1299999999999999</v>
      </c>
      <c r="G260">
        <v>1.75</v>
      </c>
      <c r="H260">
        <v>674</v>
      </c>
      <c r="I260">
        <v>0</v>
      </c>
      <c r="K260">
        <v>0</v>
      </c>
      <c r="L260">
        <v>12</v>
      </c>
      <c r="M260" t="s">
        <v>14</v>
      </c>
      <c r="N260">
        <v>0</v>
      </c>
      <c r="O260">
        <f t="shared" si="8"/>
        <v>0</v>
      </c>
      <c r="P260">
        <f t="shared" si="9"/>
        <v>0</v>
      </c>
    </row>
    <row r="261" spans="1:16">
      <c r="A261">
        <v>260</v>
      </c>
      <c r="B261" s="2">
        <v>45108</v>
      </c>
      <c r="C261">
        <v>48946</v>
      </c>
      <c r="D261">
        <v>7891</v>
      </c>
      <c r="E261">
        <v>0.84</v>
      </c>
      <c r="F261">
        <v>0.49</v>
      </c>
      <c r="G261">
        <v>0.99</v>
      </c>
      <c r="H261">
        <v>787</v>
      </c>
      <c r="I261">
        <v>0</v>
      </c>
      <c r="K261">
        <v>0</v>
      </c>
      <c r="L261">
        <v>18</v>
      </c>
      <c r="M261" t="s">
        <v>14</v>
      </c>
      <c r="N261">
        <v>0.3</v>
      </c>
      <c r="O261">
        <f t="shared" si="8"/>
        <v>0</v>
      </c>
      <c r="P261">
        <f t="shared" si="9"/>
        <v>0</v>
      </c>
    </row>
    <row r="262" spans="1:16">
      <c r="A262">
        <v>261</v>
      </c>
      <c r="B262" s="2">
        <v>45383</v>
      </c>
      <c r="C262">
        <v>34696</v>
      </c>
      <c r="D262">
        <v>16704</v>
      </c>
      <c r="E262">
        <v>1.3</v>
      </c>
      <c r="F262">
        <v>1.03</v>
      </c>
      <c r="G262">
        <v>0.2</v>
      </c>
      <c r="H262">
        <v>584</v>
      </c>
      <c r="I262">
        <v>0</v>
      </c>
      <c r="K262">
        <v>0</v>
      </c>
      <c r="L262">
        <v>18</v>
      </c>
      <c r="M262" t="s">
        <v>15</v>
      </c>
      <c r="N262">
        <v>0.35</v>
      </c>
      <c r="O262">
        <f t="shared" si="8"/>
        <v>0</v>
      </c>
      <c r="P262">
        <f t="shared" si="9"/>
        <v>0</v>
      </c>
    </row>
    <row r="263" spans="1:16">
      <c r="A263">
        <v>262</v>
      </c>
      <c r="B263" s="2">
        <v>45383</v>
      </c>
      <c r="C263">
        <v>12337</v>
      </c>
      <c r="D263">
        <v>34143</v>
      </c>
      <c r="E263">
        <v>1.65</v>
      </c>
      <c r="F263">
        <v>2.25</v>
      </c>
      <c r="G263">
        <v>1.26</v>
      </c>
      <c r="H263">
        <v>685</v>
      </c>
      <c r="I263">
        <v>0</v>
      </c>
      <c r="K263">
        <v>0</v>
      </c>
      <c r="L263">
        <v>12</v>
      </c>
      <c r="M263" t="s">
        <v>15</v>
      </c>
      <c r="N263">
        <v>0.35</v>
      </c>
      <c r="O263">
        <f t="shared" si="8"/>
        <v>0</v>
      </c>
      <c r="P263">
        <f t="shared" si="9"/>
        <v>0</v>
      </c>
    </row>
    <row r="264" spans="1:16">
      <c r="A264">
        <v>263</v>
      </c>
      <c r="B264" s="2">
        <v>45505</v>
      </c>
      <c r="C264">
        <v>48014</v>
      </c>
      <c r="D264">
        <v>3595</v>
      </c>
      <c r="E264">
        <v>1.88</v>
      </c>
      <c r="F264">
        <v>1.36</v>
      </c>
      <c r="G264">
        <v>1.2</v>
      </c>
      <c r="H264">
        <v>591</v>
      </c>
      <c r="I264">
        <v>1</v>
      </c>
      <c r="J264">
        <v>17622</v>
      </c>
      <c r="K264">
        <v>1</v>
      </c>
      <c r="L264">
        <v>18</v>
      </c>
      <c r="M264" t="s">
        <v>15</v>
      </c>
      <c r="N264">
        <v>0.2</v>
      </c>
      <c r="O264">
        <f t="shared" si="8"/>
        <v>1</v>
      </c>
      <c r="P264">
        <f t="shared" si="9"/>
        <v>0</v>
      </c>
    </row>
    <row r="265" spans="1:16">
      <c r="A265">
        <v>264</v>
      </c>
      <c r="B265" s="2">
        <v>45413</v>
      </c>
      <c r="C265">
        <v>41564</v>
      </c>
      <c r="D265">
        <v>14480</v>
      </c>
      <c r="E265">
        <v>1.24</v>
      </c>
      <c r="F265">
        <v>0.68</v>
      </c>
      <c r="G265">
        <v>1.1299999999999999</v>
      </c>
      <c r="H265">
        <v>542</v>
      </c>
      <c r="I265">
        <v>1</v>
      </c>
      <c r="K265">
        <v>0</v>
      </c>
      <c r="L265">
        <v>18</v>
      </c>
      <c r="M265" t="s">
        <v>15</v>
      </c>
      <c r="N265">
        <v>0.2</v>
      </c>
      <c r="O265">
        <f t="shared" si="8"/>
        <v>0</v>
      </c>
      <c r="P265">
        <f t="shared" si="9"/>
        <v>1</v>
      </c>
    </row>
    <row r="266" spans="1:16">
      <c r="A266">
        <v>265</v>
      </c>
      <c r="B266" s="2">
        <v>44958</v>
      </c>
      <c r="C266">
        <v>43327</v>
      </c>
      <c r="D266">
        <v>11943</v>
      </c>
      <c r="E266">
        <v>1.32</v>
      </c>
      <c r="F266">
        <v>1.08</v>
      </c>
      <c r="G266">
        <v>1.29</v>
      </c>
      <c r="H266">
        <v>696</v>
      </c>
      <c r="I266">
        <v>0</v>
      </c>
      <c r="K266">
        <v>0</v>
      </c>
      <c r="L266">
        <v>12</v>
      </c>
      <c r="M266" t="s">
        <v>14</v>
      </c>
      <c r="N266">
        <v>0</v>
      </c>
      <c r="O266">
        <f t="shared" si="8"/>
        <v>0</v>
      </c>
      <c r="P266">
        <f t="shared" si="9"/>
        <v>0</v>
      </c>
    </row>
    <row r="267" spans="1:16">
      <c r="A267">
        <v>266</v>
      </c>
      <c r="B267" s="2">
        <v>44927</v>
      </c>
      <c r="C267">
        <v>15837</v>
      </c>
      <c r="D267">
        <v>21374</v>
      </c>
      <c r="E267">
        <v>1.04</v>
      </c>
      <c r="F267">
        <v>0.76</v>
      </c>
      <c r="G267">
        <v>1.5</v>
      </c>
      <c r="H267">
        <v>688</v>
      </c>
      <c r="I267">
        <v>0</v>
      </c>
      <c r="K267">
        <v>0</v>
      </c>
      <c r="L267">
        <v>6</v>
      </c>
      <c r="M267" t="s">
        <v>14</v>
      </c>
      <c r="N267">
        <v>0</v>
      </c>
      <c r="O267">
        <f t="shared" si="8"/>
        <v>0</v>
      </c>
      <c r="P267">
        <f t="shared" si="9"/>
        <v>0</v>
      </c>
    </row>
    <row r="268" spans="1:16">
      <c r="A268">
        <v>267</v>
      </c>
      <c r="B268" s="2">
        <v>45383</v>
      </c>
      <c r="C268">
        <v>17985</v>
      </c>
      <c r="D268">
        <v>15510</v>
      </c>
      <c r="E268">
        <v>1.53</v>
      </c>
      <c r="F268">
        <v>0.91</v>
      </c>
      <c r="G268">
        <v>1.27</v>
      </c>
      <c r="H268">
        <v>664</v>
      </c>
      <c r="I268">
        <v>0</v>
      </c>
      <c r="K268">
        <v>0</v>
      </c>
      <c r="L268">
        <v>12</v>
      </c>
      <c r="M268" t="s">
        <v>15</v>
      </c>
      <c r="N268">
        <v>0</v>
      </c>
      <c r="O268">
        <f t="shared" si="8"/>
        <v>0</v>
      </c>
      <c r="P268">
        <f t="shared" si="9"/>
        <v>0</v>
      </c>
    </row>
    <row r="269" spans="1:16">
      <c r="A269">
        <v>268</v>
      </c>
      <c r="B269" s="2">
        <v>45261</v>
      </c>
      <c r="C269">
        <v>72009</v>
      </c>
      <c r="D269">
        <v>7892</v>
      </c>
      <c r="E269">
        <v>1.08</v>
      </c>
      <c r="F269">
        <v>0.72</v>
      </c>
      <c r="G269">
        <v>0.65</v>
      </c>
      <c r="H269">
        <v>674</v>
      </c>
      <c r="I269">
        <v>0</v>
      </c>
      <c r="K269">
        <v>0</v>
      </c>
      <c r="L269">
        <v>12</v>
      </c>
      <c r="M269" t="s">
        <v>14</v>
      </c>
      <c r="N269">
        <v>0.15</v>
      </c>
      <c r="O269">
        <f t="shared" si="8"/>
        <v>0</v>
      </c>
      <c r="P269">
        <f t="shared" si="9"/>
        <v>0</v>
      </c>
    </row>
    <row r="270" spans="1:16">
      <c r="A270">
        <v>269</v>
      </c>
      <c r="B270" s="2">
        <v>45047</v>
      </c>
      <c r="C270">
        <v>35394</v>
      </c>
      <c r="D270">
        <v>10686</v>
      </c>
      <c r="E270">
        <v>1.87</v>
      </c>
      <c r="F270">
        <v>0.81</v>
      </c>
      <c r="G270">
        <v>1.62</v>
      </c>
      <c r="H270">
        <v>850</v>
      </c>
      <c r="I270">
        <v>0</v>
      </c>
      <c r="K270">
        <v>0</v>
      </c>
      <c r="L270">
        <v>12</v>
      </c>
      <c r="M270" t="s">
        <v>14</v>
      </c>
      <c r="N270">
        <v>0</v>
      </c>
      <c r="O270">
        <f t="shared" si="8"/>
        <v>0</v>
      </c>
      <c r="P270">
        <f t="shared" si="9"/>
        <v>0</v>
      </c>
    </row>
    <row r="271" spans="1:16">
      <c r="A271">
        <v>270</v>
      </c>
      <c r="B271" s="2">
        <v>45047</v>
      </c>
      <c r="C271">
        <v>56555</v>
      </c>
      <c r="D271">
        <v>7652</v>
      </c>
      <c r="E271">
        <v>0.56999999999999995</v>
      </c>
      <c r="F271">
        <v>1.05</v>
      </c>
      <c r="G271">
        <v>0.28000000000000003</v>
      </c>
      <c r="H271">
        <v>666</v>
      </c>
      <c r="I271">
        <v>0</v>
      </c>
      <c r="K271">
        <v>0</v>
      </c>
      <c r="L271">
        <v>6</v>
      </c>
      <c r="M271" t="s">
        <v>14</v>
      </c>
      <c r="N271">
        <v>0.45</v>
      </c>
      <c r="O271">
        <f t="shared" si="8"/>
        <v>0</v>
      </c>
      <c r="P271">
        <f t="shared" si="9"/>
        <v>0</v>
      </c>
    </row>
    <row r="272" spans="1:16">
      <c r="A272">
        <v>271</v>
      </c>
      <c r="B272" s="2">
        <v>45597</v>
      </c>
      <c r="C272">
        <v>36990</v>
      </c>
      <c r="D272">
        <v>28373</v>
      </c>
      <c r="E272">
        <v>1.35</v>
      </c>
      <c r="F272">
        <v>0.45</v>
      </c>
      <c r="G272">
        <v>0.22</v>
      </c>
      <c r="H272">
        <v>708</v>
      </c>
      <c r="I272">
        <v>0</v>
      </c>
      <c r="K272">
        <v>0</v>
      </c>
      <c r="L272">
        <v>6</v>
      </c>
      <c r="M272" t="s">
        <v>15</v>
      </c>
      <c r="N272">
        <v>0.15</v>
      </c>
      <c r="O272">
        <f t="shared" si="8"/>
        <v>0</v>
      </c>
      <c r="P272">
        <f t="shared" si="9"/>
        <v>0</v>
      </c>
    </row>
    <row r="273" spans="1:16">
      <c r="A273">
        <v>272</v>
      </c>
      <c r="B273" s="2">
        <v>45170</v>
      </c>
      <c r="C273">
        <v>37025</v>
      </c>
      <c r="D273">
        <v>13561</v>
      </c>
      <c r="E273">
        <v>1.72</v>
      </c>
      <c r="F273">
        <v>0.44</v>
      </c>
      <c r="G273">
        <v>1.76</v>
      </c>
      <c r="H273">
        <v>644</v>
      </c>
      <c r="I273">
        <v>0</v>
      </c>
      <c r="K273">
        <v>0</v>
      </c>
      <c r="L273">
        <v>18</v>
      </c>
      <c r="M273" t="s">
        <v>14</v>
      </c>
      <c r="N273">
        <v>0</v>
      </c>
      <c r="O273">
        <f t="shared" si="8"/>
        <v>0</v>
      </c>
      <c r="P273">
        <f t="shared" si="9"/>
        <v>0</v>
      </c>
    </row>
    <row r="274" spans="1:16">
      <c r="A274">
        <v>273</v>
      </c>
      <c r="B274" s="2">
        <v>45170</v>
      </c>
      <c r="C274">
        <v>66828</v>
      </c>
      <c r="D274">
        <v>50556</v>
      </c>
      <c r="F274">
        <v>0.34</v>
      </c>
      <c r="G274">
        <v>1.63</v>
      </c>
      <c r="H274">
        <v>696</v>
      </c>
      <c r="I274">
        <v>0</v>
      </c>
      <c r="K274">
        <v>0</v>
      </c>
      <c r="L274">
        <v>12</v>
      </c>
      <c r="M274" t="s">
        <v>14</v>
      </c>
      <c r="N274">
        <v>0</v>
      </c>
      <c r="O274">
        <f t="shared" si="8"/>
        <v>0</v>
      </c>
      <c r="P274">
        <f t="shared" si="9"/>
        <v>0</v>
      </c>
    </row>
    <row r="275" spans="1:16">
      <c r="A275">
        <v>274</v>
      </c>
      <c r="B275" s="2">
        <v>44986</v>
      </c>
      <c r="C275">
        <v>25967</v>
      </c>
      <c r="D275">
        <v>12804</v>
      </c>
      <c r="E275">
        <v>3.03</v>
      </c>
      <c r="F275">
        <v>0.3</v>
      </c>
      <c r="G275">
        <v>1.32</v>
      </c>
      <c r="H275">
        <v>667</v>
      </c>
      <c r="I275">
        <v>1</v>
      </c>
      <c r="J275">
        <v>49938</v>
      </c>
      <c r="K275">
        <v>1</v>
      </c>
      <c r="L275">
        <v>6</v>
      </c>
      <c r="M275" t="s">
        <v>14</v>
      </c>
      <c r="N275">
        <v>0</v>
      </c>
      <c r="O275">
        <f t="shared" si="8"/>
        <v>1</v>
      </c>
      <c r="P275">
        <f t="shared" si="9"/>
        <v>0</v>
      </c>
    </row>
    <row r="276" spans="1:16">
      <c r="A276">
        <v>275</v>
      </c>
      <c r="B276" s="2">
        <v>45474</v>
      </c>
      <c r="C276">
        <v>38657</v>
      </c>
      <c r="D276">
        <v>8136</v>
      </c>
      <c r="E276">
        <v>1.74</v>
      </c>
      <c r="F276">
        <v>0.39</v>
      </c>
      <c r="G276">
        <v>0.57999999999999996</v>
      </c>
      <c r="H276">
        <v>657</v>
      </c>
      <c r="I276">
        <v>0</v>
      </c>
      <c r="K276">
        <v>0</v>
      </c>
      <c r="L276">
        <v>12</v>
      </c>
      <c r="M276" t="s">
        <v>15</v>
      </c>
      <c r="N276">
        <v>0.15</v>
      </c>
      <c r="O276">
        <f t="shared" si="8"/>
        <v>0</v>
      </c>
      <c r="P276">
        <f t="shared" si="9"/>
        <v>0</v>
      </c>
    </row>
    <row r="277" spans="1:16">
      <c r="A277">
        <v>276</v>
      </c>
      <c r="B277" s="2">
        <v>45383</v>
      </c>
      <c r="C277">
        <v>26890</v>
      </c>
      <c r="D277">
        <v>4630</v>
      </c>
      <c r="E277">
        <v>1</v>
      </c>
      <c r="F277">
        <v>1.01</v>
      </c>
      <c r="G277">
        <v>0.96</v>
      </c>
      <c r="H277">
        <v>780</v>
      </c>
      <c r="I277">
        <v>1</v>
      </c>
      <c r="J277">
        <v>14940</v>
      </c>
      <c r="K277">
        <v>1</v>
      </c>
      <c r="L277">
        <v>6</v>
      </c>
      <c r="M277" t="s">
        <v>15</v>
      </c>
      <c r="N277">
        <v>0</v>
      </c>
      <c r="O277">
        <f t="shared" si="8"/>
        <v>1</v>
      </c>
      <c r="P277">
        <f t="shared" si="9"/>
        <v>0</v>
      </c>
    </row>
    <row r="278" spans="1:16">
      <c r="A278">
        <v>277</v>
      </c>
      <c r="B278" s="2">
        <v>45383</v>
      </c>
      <c r="C278">
        <v>27380</v>
      </c>
      <c r="D278">
        <v>3781</v>
      </c>
      <c r="E278">
        <v>1.5</v>
      </c>
      <c r="F278">
        <v>0.48</v>
      </c>
      <c r="G278">
        <v>1.21</v>
      </c>
      <c r="H278">
        <v>745</v>
      </c>
      <c r="I278">
        <v>0</v>
      </c>
      <c r="K278">
        <v>0</v>
      </c>
      <c r="L278">
        <v>12</v>
      </c>
      <c r="M278" t="s">
        <v>15</v>
      </c>
      <c r="N278">
        <v>0</v>
      </c>
      <c r="O278">
        <f t="shared" si="8"/>
        <v>0</v>
      </c>
      <c r="P278">
        <f t="shared" si="9"/>
        <v>0</v>
      </c>
    </row>
    <row r="279" spans="1:16">
      <c r="A279">
        <v>278</v>
      </c>
      <c r="B279" s="2">
        <v>44986</v>
      </c>
      <c r="C279">
        <v>29704</v>
      </c>
      <c r="D279">
        <v>4408</v>
      </c>
      <c r="E279">
        <v>0.56999999999999995</v>
      </c>
      <c r="F279">
        <v>1.3</v>
      </c>
      <c r="G279">
        <v>0.47</v>
      </c>
      <c r="H279">
        <v>688</v>
      </c>
      <c r="I279">
        <v>0</v>
      </c>
      <c r="K279">
        <v>0</v>
      </c>
      <c r="L279">
        <v>6</v>
      </c>
      <c r="M279" t="s">
        <v>14</v>
      </c>
      <c r="N279">
        <v>0.45</v>
      </c>
      <c r="O279">
        <f t="shared" si="8"/>
        <v>0</v>
      </c>
      <c r="P279">
        <f t="shared" si="9"/>
        <v>0</v>
      </c>
    </row>
    <row r="280" spans="1:16">
      <c r="A280">
        <v>279</v>
      </c>
      <c r="B280" s="2">
        <v>45505</v>
      </c>
      <c r="C280">
        <v>41956</v>
      </c>
      <c r="D280">
        <v>16107</v>
      </c>
      <c r="E280">
        <v>1.51</v>
      </c>
      <c r="F280">
        <v>0.93</v>
      </c>
      <c r="G280">
        <v>0.94</v>
      </c>
      <c r="H280">
        <v>553</v>
      </c>
      <c r="I280">
        <v>1</v>
      </c>
      <c r="J280">
        <v>31482</v>
      </c>
      <c r="K280">
        <v>1</v>
      </c>
      <c r="L280">
        <v>12</v>
      </c>
      <c r="M280" t="s">
        <v>15</v>
      </c>
      <c r="N280">
        <v>0.2</v>
      </c>
      <c r="O280">
        <f t="shared" si="8"/>
        <v>1</v>
      </c>
      <c r="P280">
        <f t="shared" si="9"/>
        <v>0</v>
      </c>
    </row>
    <row r="281" spans="1:16">
      <c r="A281">
        <v>280</v>
      </c>
      <c r="B281" s="2">
        <v>45627</v>
      </c>
      <c r="C281">
        <v>26604</v>
      </c>
      <c r="D281">
        <v>19074</v>
      </c>
      <c r="E281">
        <v>1.0900000000000001</v>
      </c>
      <c r="F281">
        <v>0.23</v>
      </c>
      <c r="G281">
        <v>1.71</v>
      </c>
      <c r="H281">
        <v>660</v>
      </c>
      <c r="I281">
        <v>1</v>
      </c>
      <c r="J281">
        <v>39757</v>
      </c>
      <c r="K281">
        <v>1</v>
      </c>
      <c r="L281">
        <v>18</v>
      </c>
      <c r="M281" t="s">
        <v>15</v>
      </c>
      <c r="N281">
        <v>0</v>
      </c>
      <c r="O281">
        <f t="shared" si="8"/>
        <v>1</v>
      </c>
      <c r="P281">
        <f t="shared" si="9"/>
        <v>0</v>
      </c>
    </row>
    <row r="282" spans="1:16">
      <c r="A282">
        <v>281</v>
      </c>
      <c r="B282" s="2">
        <v>45566</v>
      </c>
      <c r="C282">
        <v>82145</v>
      </c>
      <c r="D282">
        <v>4417</v>
      </c>
      <c r="E282">
        <v>2.0499999999999998</v>
      </c>
      <c r="F282">
        <v>1.43</v>
      </c>
      <c r="G282">
        <v>2.14</v>
      </c>
      <c r="H282">
        <v>829</v>
      </c>
      <c r="I282">
        <v>0</v>
      </c>
      <c r="K282">
        <v>0</v>
      </c>
      <c r="L282">
        <v>12</v>
      </c>
      <c r="M282" t="s">
        <v>15</v>
      </c>
      <c r="N282">
        <v>0</v>
      </c>
      <c r="O282">
        <f t="shared" si="8"/>
        <v>0</v>
      </c>
      <c r="P282">
        <f t="shared" si="9"/>
        <v>0</v>
      </c>
    </row>
    <row r="283" spans="1:16">
      <c r="A283">
        <v>282</v>
      </c>
      <c r="B283" s="2">
        <v>45627</v>
      </c>
      <c r="C283">
        <v>20303</v>
      </c>
      <c r="D283">
        <v>24997</v>
      </c>
      <c r="E283">
        <v>1.25</v>
      </c>
      <c r="F283">
        <v>1.6</v>
      </c>
      <c r="G283">
        <v>1.1200000000000001</v>
      </c>
      <c r="H283">
        <v>667</v>
      </c>
      <c r="I283">
        <v>0</v>
      </c>
      <c r="K283">
        <v>0</v>
      </c>
      <c r="L283">
        <v>12</v>
      </c>
      <c r="M283" t="s">
        <v>15</v>
      </c>
      <c r="N283">
        <v>0</v>
      </c>
      <c r="O283">
        <f t="shared" si="8"/>
        <v>0</v>
      </c>
      <c r="P283">
        <f t="shared" si="9"/>
        <v>0</v>
      </c>
    </row>
    <row r="284" spans="1:16">
      <c r="A284">
        <v>283</v>
      </c>
      <c r="B284" s="2">
        <v>44927</v>
      </c>
      <c r="C284">
        <v>32162</v>
      </c>
      <c r="D284">
        <v>9527</v>
      </c>
      <c r="E284">
        <v>1.49</v>
      </c>
      <c r="F284">
        <v>0.45</v>
      </c>
      <c r="G284">
        <v>1.77</v>
      </c>
      <c r="H284">
        <v>741</v>
      </c>
      <c r="I284">
        <v>0</v>
      </c>
      <c r="K284">
        <v>0</v>
      </c>
      <c r="L284">
        <v>12</v>
      </c>
      <c r="M284" t="s">
        <v>14</v>
      </c>
      <c r="N284">
        <v>0</v>
      </c>
      <c r="O284">
        <f t="shared" si="8"/>
        <v>0</v>
      </c>
      <c r="P284">
        <f t="shared" si="9"/>
        <v>0</v>
      </c>
    </row>
    <row r="285" spans="1:16">
      <c r="A285">
        <v>284</v>
      </c>
      <c r="B285" s="2">
        <v>45627</v>
      </c>
      <c r="C285">
        <v>27287</v>
      </c>
      <c r="D285">
        <v>14806</v>
      </c>
      <c r="E285">
        <v>1.2</v>
      </c>
      <c r="F285">
        <v>1.21</v>
      </c>
      <c r="G285">
        <v>0.3</v>
      </c>
      <c r="H285">
        <v>759</v>
      </c>
      <c r="I285">
        <v>0</v>
      </c>
      <c r="K285">
        <v>0</v>
      </c>
      <c r="L285">
        <v>12</v>
      </c>
      <c r="M285" t="s">
        <v>15</v>
      </c>
      <c r="N285">
        <v>0.15</v>
      </c>
      <c r="O285">
        <f t="shared" si="8"/>
        <v>0</v>
      </c>
      <c r="P285">
        <f t="shared" si="9"/>
        <v>0</v>
      </c>
    </row>
    <row r="286" spans="1:16">
      <c r="A286">
        <v>285</v>
      </c>
      <c r="B286" s="2">
        <v>45505</v>
      </c>
      <c r="C286">
        <v>93017</v>
      </c>
      <c r="D286">
        <v>41297</v>
      </c>
      <c r="F286">
        <v>0.5</v>
      </c>
      <c r="G286">
        <v>1.71</v>
      </c>
      <c r="H286">
        <v>692</v>
      </c>
      <c r="I286">
        <v>0</v>
      </c>
      <c r="K286">
        <v>0</v>
      </c>
      <c r="L286">
        <v>12</v>
      </c>
      <c r="M286" t="s">
        <v>15</v>
      </c>
      <c r="N286">
        <v>0</v>
      </c>
      <c r="O286">
        <f t="shared" si="8"/>
        <v>0</v>
      </c>
      <c r="P286">
        <f t="shared" si="9"/>
        <v>0</v>
      </c>
    </row>
    <row r="287" spans="1:16">
      <c r="A287">
        <v>286</v>
      </c>
      <c r="B287" s="2">
        <v>45231</v>
      </c>
      <c r="C287">
        <v>41265</v>
      </c>
      <c r="D287">
        <v>25029</v>
      </c>
      <c r="E287">
        <v>1.37</v>
      </c>
      <c r="F287">
        <v>0.97</v>
      </c>
      <c r="G287">
        <v>0.91</v>
      </c>
      <c r="H287">
        <v>634</v>
      </c>
      <c r="I287">
        <v>0</v>
      </c>
      <c r="K287">
        <v>0</v>
      </c>
      <c r="L287">
        <v>12</v>
      </c>
      <c r="M287" t="s">
        <v>14</v>
      </c>
      <c r="N287">
        <v>0</v>
      </c>
      <c r="O287">
        <f t="shared" si="8"/>
        <v>0</v>
      </c>
      <c r="P287">
        <f t="shared" si="9"/>
        <v>0</v>
      </c>
    </row>
    <row r="288" spans="1:16">
      <c r="A288">
        <v>287</v>
      </c>
      <c r="B288" s="2">
        <v>45413</v>
      </c>
      <c r="C288">
        <v>71019</v>
      </c>
      <c r="D288">
        <v>11070</v>
      </c>
      <c r="E288">
        <v>2.56</v>
      </c>
      <c r="F288">
        <v>0.37</v>
      </c>
      <c r="G288">
        <v>1.52</v>
      </c>
      <c r="H288">
        <v>546</v>
      </c>
      <c r="I288">
        <v>0</v>
      </c>
      <c r="K288">
        <v>0</v>
      </c>
      <c r="L288">
        <v>6</v>
      </c>
      <c r="M288" t="s">
        <v>15</v>
      </c>
      <c r="N288">
        <v>0.2</v>
      </c>
      <c r="O288">
        <f t="shared" si="8"/>
        <v>0</v>
      </c>
      <c r="P288">
        <f t="shared" si="9"/>
        <v>0</v>
      </c>
    </row>
    <row r="289" spans="1:16">
      <c r="A289">
        <v>288</v>
      </c>
      <c r="B289" s="2">
        <v>45139</v>
      </c>
      <c r="C289">
        <v>13827</v>
      </c>
      <c r="D289">
        <v>7159</v>
      </c>
      <c r="E289">
        <v>2</v>
      </c>
      <c r="F289">
        <v>0.26</v>
      </c>
      <c r="G289">
        <v>1.21</v>
      </c>
      <c r="H289">
        <v>718</v>
      </c>
      <c r="I289">
        <v>0</v>
      </c>
      <c r="K289">
        <v>0</v>
      </c>
      <c r="L289">
        <v>12</v>
      </c>
      <c r="M289" t="s">
        <v>14</v>
      </c>
      <c r="N289">
        <v>0</v>
      </c>
      <c r="O289">
        <f t="shared" si="8"/>
        <v>0</v>
      </c>
      <c r="P289">
        <f t="shared" si="9"/>
        <v>0</v>
      </c>
    </row>
    <row r="290" spans="1:16">
      <c r="A290">
        <v>289</v>
      </c>
      <c r="B290" s="2">
        <v>45017</v>
      </c>
      <c r="C290">
        <v>43199</v>
      </c>
      <c r="D290">
        <v>2962</v>
      </c>
      <c r="E290">
        <v>1.82</v>
      </c>
      <c r="F290">
        <v>0.69</v>
      </c>
      <c r="G290">
        <v>2.08</v>
      </c>
      <c r="H290">
        <v>635</v>
      </c>
      <c r="I290">
        <v>0</v>
      </c>
      <c r="K290">
        <v>0</v>
      </c>
      <c r="L290">
        <v>12</v>
      </c>
      <c r="M290" t="s">
        <v>14</v>
      </c>
      <c r="N290">
        <v>0</v>
      </c>
      <c r="O290">
        <f t="shared" si="8"/>
        <v>0</v>
      </c>
      <c r="P290">
        <f t="shared" si="9"/>
        <v>0</v>
      </c>
    </row>
    <row r="291" spans="1:16">
      <c r="A291">
        <v>290</v>
      </c>
      <c r="B291" s="2">
        <v>45078</v>
      </c>
      <c r="C291">
        <v>64748</v>
      </c>
      <c r="D291">
        <v>8076</v>
      </c>
      <c r="E291">
        <v>1.75</v>
      </c>
      <c r="F291">
        <v>0.83</v>
      </c>
      <c r="G291">
        <v>0.87</v>
      </c>
      <c r="H291">
        <v>690</v>
      </c>
      <c r="I291">
        <v>0</v>
      </c>
      <c r="K291">
        <v>0</v>
      </c>
      <c r="L291">
        <v>18</v>
      </c>
      <c r="M291" t="s">
        <v>14</v>
      </c>
      <c r="N291">
        <v>0</v>
      </c>
      <c r="O291">
        <f t="shared" si="8"/>
        <v>0</v>
      </c>
      <c r="P291">
        <f t="shared" si="9"/>
        <v>0</v>
      </c>
    </row>
    <row r="292" spans="1:16">
      <c r="A292">
        <v>291</v>
      </c>
      <c r="B292" s="2">
        <v>45139</v>
      </c>
      <c r="C292">
        <v>38311</v>
      </c>
      <c r="D292">
        <v>11524</v>
      </c>
      <c r="E292">
        <v>1.77</v>
      </c>
      <c r="F292">
        <v>0.68</v>
      </c>
      <c r="G292">
        <v>1.7</v>
      </c>
      <c r="I292">
        <v>0</v>
      </c>
      <c r="K292">
        <v>0</v>
      </c>
      <c r="L292">
        <v>12</v>
      </c>
      <c r="M292" t="s">
        <v>14</v>
      </c>
      <c r="N292">
        <v>0</v>
      </c>
      <c r="O292">
        <f t="shared" si="8"/>
        <v>0</v>
      </c>
      <c r="P292">
        <f t="shared" si="9"/>
        <v>0</v>
      </c>
    </row>
    <row r="293" spans="1:16">
      <c r="A293">
        <v>292</v>
      </c>
      <c r="B293" s="2">
        <v>45505</v>
      </c>
      <c r="C293">
        <v>72589</v>
      </c>
      <c r="D293">
        <v>6694</v>
      </c>
      <c r="E293">
        <v>0.49</v>
      </c>
      <c r="F293">
        <v>0.4</v>
      </c>
      <c r="G293">
        <v>1.2</v>
      </c>
      <c r="H293">
        <v>665</v>
      </c>
      <c r="I293">
        <v>0</v>
      </c>
      <c r="K293">
        <v>0</v>
      </c>
      <c r="L293">
        <v>12</v>
      </c>
      <c r="M293" t="s">
        <v>15</v>
      </c>
      <c r="N293">
        <v>0.3</v>
      </c>
      <c r="O293">
        <f t="shared" si="8"/>
        <v>0</v>
      </c>
      <c r="P293">
        <f t="shared" si="9"/>
        <v>0</v>
      </c>
    </row>
    <row r="294" spans="1:16">
      <c r="A294">
        <v>293</v>
      </c>
      <c r="B294" s="2">
        <v>44986</v>
      </c>
      <c r="C294">
        <v>25946</v>
      </c>
      <c r="D294">
        <v>12187</v>
      </c>
      <c r="E294">
        <v>1.4</v>
      </c>
      <c r="F294">
        <v>0.68</v>
      </c>
      <c r="G294">
        <v>1.26</v>
      </c>
      <c r="H294">
        <v>682</v>
      </c>
      <c r="I294">
        <v>0</v>
      </c>
      <c r="K294">
        <v>0</v>
      </c>
      <c r="L294">
        <v>6</v>
      </c>
      <c r="M294" t="s">
        <v>14</v>
      </c>
      <c r="N294">
        <v>0</v>
      </c>
      <c r="O294">
        <f t="shared" si="8"/>
        <v>0</v>
      </c>
      <c r="P294">
        <f t="shared" si="9"/>
        <v>0</v>
      </c>
    </row>
    <row r="295" spans="1:16">
      <c r="A295">
        <v>294</v>
      </c>
      <c r="B295" s="2">
        <v>45383</v>
      </c>
      <c r="C295">
        <v>90769</v>
      </c>
      <c r="D295">
        <v>14098</v>
      </c>
      <c r="E295">
        <v>2.0099999999999998</v>
      </c>
      <c r="F295">
        <v>1.0900000000000001</v>
      </c>
      <c r="G295">
        <v>1.25</v>
      </c>
      <c r="H295">
        <v>695</v>
      </c>
      <c r="I295">
        <v>0</v>
      </c>
      <c r="K295">
        <v>0</v>
      </c>
      <c r="L295">
        <v>6</v>
      </c>
      <c r="M295" t="s">
        <v>15</v>
      </c>
      <c r="N295">
        <v>0</v>
      </c>
      <c r="O295">
        <f t="shared" si="8"/>
        <v>0</v>
      </c>
      <c r="P295">
        <f t="shared" si="9"/>
        <v>0</v>
      </c>
    </row>
    <row r="296" spans="1:16">
      <c r="A296">
        <v>295</v>
      </c>
      <c r="B296" s="2">
        <v>44986</v>
      </c>
      <c r="C296">
        <v>161827</v>
      </c>
      <c r="D296">
        <v>11414</v>
      </c>
      <c r="E296">
        <v>1.52</v>
      </c>
      <c r="F296">
        <v>0.88</v>
      </c>
      <c r="G296">
        <v>0.88</v>
      </c>
      <c r="H296">
        <v>619</v>
      </c>
      <c r="I296">
        <v>1</v>
      </c>
      <c r="J296">
        <v>26705</v>
      </c>
      <c r="K296">
        <v>1</v>
      </c>
      <c r="L296">
        <v>18</v>
      </c>
      <c r="M296" t="s">
        <v>14</v>
      </c>
      <c r="N296">
        <v>0</v>
      </c>
      <c r="O296">
        <f t="shared" si="8"/>
        <v>1</v>
      </c>
      <c r="P296">
        <f t="shared" si="9"/>
        <v>0</v>
      </c>
    </row>
    <row r="297" spans="1:16">
      <c r="A297">
        <v>296</v>
      </c>
      <c r="B297" s="2">
        <v>45444</v>
      </c>
      <c r="C297">
        <v>28686</v>
      </c>
      <c r="D297">
        <v>8476</v>
      </c>
      <c r="E297">
        <v>0.78</v>
      </c>
      <c r="F297">
        <v>1.03</v>
      </c>
      <c r="G297">
        <v>1.34</v>
      </c>
      <c r="H297">
        <v>746</v>
      </c>
      <c r="I297">
        <v>0</v>
      </c>
      <c r="K297">
        <v>0</v>
      </c>
      <c r="L297">
        <v>18</v>
      </c>
      <c r="M297" t="s">
        <v>15</v>
      </c>
      <c r="N297">
        <v>0.3</v>
      </c>
      <c r="O297">
        <f t="shared" si="8"/>
        <v>0</v>
      </c>
      <c r="P297">
        <f t="shared" si="9"/>
        <v>0</v>
      </c>
    </row>
    <row r="298" spans="1:16">
      <c r="A298">
        <v>297</v>
      </c>
      <c r="B298" s="2">
        <v>45323</v>
      </c>
      <c r="C298">
        <v>27185</v>
      </c>
      <c r="D298">
        <v>15034</v>
      </c>
      <c r="E298">
        <v>1.52</v>
      </c>
      <c r="F298">
        <v>0.56999999999999995</v>
      </c>
      <c r="G298">
        <v>1.32</v>
      </c>
      <c r="H298">
        <v>647</v>
      </c>
      <c r="I298">
        <v>0</v>
      </c>
      <c r="K298">
        <v>0</v>
      </c>
      <c r="L298">
        <v>12</v>
      </c>
      <c r="M298" t="s">
        <v>15</v>
      </c>
      <c r="N298">
        <v>0</v>
      </c>
      <c r="O298">
        <f t="shared" si="8"/>
        <v>0</v>
      </c>
      <c r="P298">
        <f t="shared" si="9"/>
        <v>0</v>
      </c>
    </row>
    <row r="299" spans="1:16">
      <c r="A299">
        <v>298</v>
      </c>
      <c r="B299" s="2">
        <v>45444</v>
      </c>
      <c r="C299">
        <v>93405</v>
      </c>
      <c r="D299">
        <v>18203</v>
      </c>
      <c r="E299">
        <v>2.4900000000000002</v>
      </c>
      <c r="F299">
        <v>2.0499999999999998</v>
      </c>
      <c r="G299">
        <v>1.48</v>
      </c>
      <c r="H299">
        <v>588</v>
      </c>
      <c r="I299">
        <v>0</v>
      </c>
      <c r="K299">
        <v>0</v>
      </c>
      <c r="L299">
        <v>18</v>
      </c>
      <c r="M299" t="s">
        <v>15</v>
      </c>
      <c r="N299">
        <v>0.55000000000000004</v>
      </c>
      <c r="O299">
        <f t="shared" si="8"/>
        <v>0</v>
      </c>
      <c r="P299">
        <f t="shared" si="9"/>
        <v>0</v>
      </c>
    </row>
    <row r="300" spans="1:16">
      <c r="A300">
        <v>299</v>
      </c>
      <c r="B300" s="2">
        <v>44958</v>
      </c>
      <c r="C300">
        <v>101389</v>
      </c>
      <c r="D300">
        <v>6227</v>
      </c>
      <c r="E300">
        <v>2.2400000000000002</v>
      </c>
      <c r="F300">
        <v>0.4</v>
      </c>
      <c r="G300">
        <v>1.4</v>
      </c>
      <c r="H300">
        <v>674</v>
      </c>
      <c r="I300">
        <v>0</v>
      </c>
      <c r="K300">
        <v>0</v>
      </c>
      <c r="L300">
        <v>18</v>
      </c>
      <c r="M300" t="s">
        <v>14</v>
      </c>
      <c r="N300">
        <v>0</v>
      </c>
      <c r="O300">
        <f t="shared" si="8"/>
        <v>0</v>
      </c>
      <c r="P300">
        <f t="shared" si="9"/>
        <v>0</v>
      </c>
    </row>
    <row r="301" spans="1:16">
      <c r="A301">
        <v>300</v>
      </c>
      <c r="B301" s="2">
        <v>45566</v>
      </c>
      <c r="C301">
        <v>25852</v>
      </c>
      <c r="D301">
        <v>35870</v>
      </c>
      <c r="E301">
        <v>1.52</v>
      </c>
      <c r="F301">
        <v>1.27</v>
      </c>
      <c r="G301">
        <v>1.79</v>
      </c>
      <c r="H301">
        <v>682</v>
      </c>
      <c r="I301">
        <v>0</v>
      </c>
      <c r="K301">
        <v>0</v>
      </c>
      <c r="L301">
        <v>6</v>
      </c>
      <c r="M301" t="s">
        <v>15</v>
      </c>
      <c r="N301">
        <v>0</v>
      </c>
      <c r="O301">
        <f t="shared" si="8"/>
        <v>0</v>
      </c>
      <c r="P301">
        <f t="shared" si="9"/>
        <v>0</v>
      </c>
    </row>
    <row r="302" spans="1:16">
      <c r="A302">
        <v>301</v>
      </c>
      <c r="B302" s="2">
        <v>44986</v>
      </c>
      <c r="C302">
        <v>27636</v>
      </c>
      <c r="D302">
        <v>12469</v>
      </c>
      <c r="E302">
        <v>2.0699999999999998</v>
      </c>
      <c r="F302">
        <v>2.0699999999999998</v>
      </c>
      <c r="G302">
        <v>1.86</v>
      </c>
      <c r="H302">
        <v>689</v>
      </c>
      <c r="I302">
        <v>0</v>
      </c>
      <c r="K302">
        <v>0</v>
      </c>
      <c r="L302">
        <v>12</v>
      </c>
      <c r="M302" t="s">
        <v>14</v>
      </c>
      <c r="N302">
        <v>0.35</v>
      </c>
      <c r="O302">
        <f t="shared" si="8"/>
        <v>0</v>
      </c>
      <c r="P302">
        <f t="shared" si="9"/>
        <v>0</v>
      </c>
    </row>
    <row r="303" spans="1:16">
      <c r="A303">
        <v>302</v>
      </c>
      <c r="B303" s="2">
        <v>45383</v>
      </c>
      <c r="C303">
        <v>30238</v>
      </c>
      <c r="D303">
        <v>13537</v>
      </c>
      <c r="E303">
        <v>1.35</v>
      </c>
      <c r="F303">
        <v>1.27</v>
      </c>
      <c r="G303">
        <v>0.77</v>
      </c>
      <c r="H303">
        <v>755</v>
      </c>
      <c r="I303">
        <v>0</v>
      </c>
      <c r="K303">
        <v>0</v>
      </c>
      <c r="L303">
        <v>18</v>
      </c>
      <c r="M303" t="s">
        <v>15</v>
      </c>
      <c r="N303">
        <v>0.15</v>
      </c>
      <c r="O303">
        <f t="shared" si="8"/>
        <v>0</v>
      </c>
      <c r="P303">
        <f t="shared" si="9"/>
        <v>0</v>
      </c>
    </row>
    <row r="304" spans="1:16">
      <c r="A304">
        <v>303</v>
      </c>
      <c r="B304" s="2">
        <v>45170</v>
      </c>
      <c r="C304">
        <v>15155</v>
      </c>
      <c r="D304">
        <v>21933</v>
      </c>
      <c r="E304">
        <v>0.61</v>
      </c>
      <c r="F304">
        <v>0.79</v>
      </c>
      <c r="G304">
        <v>1.83</v>
      </c>
      <c r="H304">
        <v>667</v>
      </c>
      <c r="I304">
        <v>0</v>
      </c>
      <c r="K304">
        <v>0</v>
      </c>
      <c r="L304">
        <v>12</v>
      </c>
      <c r="M304" t="s">
        <v>14</v>
      </c>
      <c r="N304">
        <v>0.3</v>
      </c>
      <c r="O304">
        <f t="shared" si="8"/>
        <v>0</v>
      </c>
      <c r="P304">
        <f t="shared" si="9"/>
        <v>0</v>
      </c>
    </row>
    <row r="305" spans="1:16">
      <c r="A305">
        <v>304</v>
      </c>
      <c r="B305" s="2">
        <v>45017</v>
      </c>
      <c r="C305">
        <v>19988</v>
      </c>
      <c r="D305">
        <v>15729</v>
      </c>
      <c r="E305">
        <v>1.04</v>
      </c>
      <c r="F305">
        <v>0.63</v>
      </c>
      <c r="G305">
        <v>0.7</v>
      </c>
      <c r="H305">
        <v>673</v>
      </c>
      <c r="I305">
        <v>0</v>
      </c>
      <c r="K305">
        <v>0</v>
      </c>
      <c r="L305">
        <v>12</v>
      </c>
      <c r="M305" t="s">
        <v>14</v>
      </c>
      <c r="N305">
        <v>0.15</v>
      </c>
      <c r="O305">
        <f t="shared" si="8"/>
        <v>0</v>
      </c>
      <c r="P305">
        <f t="shared" si="9"/>
        <v>0</v>
      </c>
    </row>
    <row r="306" spans="1:16">
      <c r="A306">
        <v>305</v>
      </c>
      <c r="B306" s="2">
        <v>44927</v>
      </c>
      <c r="C306">
        <v>18907</v>
      </c>
      <c r="D306">
        <v>26035</v>
      </c>
      <c r="E306">
        <v>2.41</v>
      </c>
      <c r="F306">
        <v>1.87</v>
      </c>
      <c r="G306">
        <v>1.67</v>
      </c>
      <c r="H306">
        <v>619</v>
      </c>
      <c r="I306">
        <v>0</v>
      </c>
      <c r="K306">
        <v>0</v>
      </c>
      <c r="L306">
        <v>6</v>
      </c>
      <c r="M306" t="s">
        <v>14</v>
      </c>
      <c r="N306">
        <v>0</v>
      </c>
      <c r="O306">
        <f t="shared" si="8"/>
        <v>0</v>
      </c>
      <c r="P306">
        <f t="shared" si="9"/>
        <v>0</v>
      </c>
    </row>
    <row r="307" spans="1:16">
      <c r="A307">
        <v>306</v>
      </c>
      <c r="B307" s="2">
        <v>45017</v>
      </c>
      <c r="C307">
        <v>22047</v>
      </c>
      <c r="D307">
        <v>16334</v>
      </c>
      <c r="E307">
        <v>1.4</v>
      </c>
      <c r="F307">
        <v>0.33</v>
      </c>
      <c r="G307">
        <v>1.69</v>
      </c>
      <c r="H307">
        <v>725</v>
      </c>
      <c r="I307">
        <v>1</v>
      </c>
      <c r="J307">
        <v>32674</v>
      </c>
      <c r="K307">
        <v>1</v>
      </c>
      <c r="L307">
        <v>6</v>
      </c>
      <c r="M307" t="s">
        <v>14</v>
      </c>
      <c r="N307">
        <v>0</v>
      </c>
      <c r="O307">
        <f t="shared" si="8"/>
        <v>1</v>
      </c>
      <c r="P307">
        <f t="shared" si="9"/>
        <v>0</v>
      </c>
    </row>
    <row r="308" spans="1:16">
      <c r="A308">
        <v>307</v>
      </c>
      <c r="B308" s="2">
        <v>44927</v>
      </c>
      <c r="C308">
        <v>35506</v>
      </c>
      <c r="D308">
        <v>8702</v>
      </c>
      <c r="E308">
        <v>1.42</v>
      </c>
      <c r="F308">
        <v>0.46</v>
      </c>
      <c r="G308">
        <v>0.3</v>
      </c>
      <c r="H308">
        <v>690</v>
      </c>
      <c r="I308">
        <v>0</v>
      </c>
      <c r="K308">
        <v>0</v>
      </c>
      <c r="L308">
        <v>6</v>
      </c>
      <c r="M308" t="s">
        <v>14</v>
      </c>
      <c r="N308">
        <v>0.15</v>
      </c>
      <c r="O308">
        <f t="shared" si="8"/>
        <v>0</v>
      </c>
      <c r="P308">
        <f t="shared" si="9"/>
        <v>0</v>
      </c>
    </row>
    <row r="309" spans="1:16">
      <c r="A309">
        <v>308</v>
      </c>
      <c r="B309" s="2">
        <v>45323</v>
      </c>
      <c r="C309">
        <v>42287</v>
      </c>
      <c r="D309">
        <v>17207</v>
      </c>
      <c r="E309">
        <v>1.39</v>
      </c>
      <c r="F309">
        <v>0.69</v>
      </c>
      <c r="G309">
        <v>1.4</v>
      </c>
      <c r="H309">
        <v>657</v>
      </c>
      <c r="I309">
        <v>0</v>
      </c>
      <c r="K309">
        <v>0</v>
      </c>
      <c r="L309">
        <v>12</v>
      </c>
      <c r="M309" t="s">
        <v>15</v>
      </c>
      <c r="N309">
        <v>0</v>
      </c>
      <c r="O309">
        <f t="shared" si="8"/>
        <v>0</v>
      </c>
      <c r="P309">
        <f t="shared" si="9"/>
        <v>0</v>
      </c>
    </row>
    <row r="310" spans="1:16">
      <c r="A310">
        <v>309</v>
      </c>
      <c r="B310" s="2">
        <v>45536</v>
      </c>
      <c r="C310">
        <v>99491</v>
      </c>
      <c r="D310">
        <v>5999</v>
      </c>
      <c r="E310">
        <v>2.6</v>
      </c>
      <c r="F310">
        <v>2.15</v>
      </c>
      <c r="G310">
        <v>1.0900000000000001</v>
      </c>
      <c r="H310">
        <v>575</v>
      </c>
      <c r="I310">
        <v>0</v>
      </c>
      <c r="K310">
        <v>0</v>
      </c>
      <c r="L310">
        <v>12</v>
      </c>
      <c r="M310" t="s">
        <v>15</v>
      </c>
      <c r="N310">
        <v>0.55000000000000004</v>
      </c>
      <c r="O310">
        <f t="shared" si="8"/>
        <v>0</v>
      </c>
      <c r="P310">
        <f t="shared" si="9"/>
        <v>0</v>
      </c>
    </row>
    <row r="311" spans="1:16">
      <c r="A311">
        <v>310</v>
      </c>
      <c r="B311" s="2">
        <v>45383</v>
      </c>
      <c r="C311">
        <v>18979</v>
      </c>
      <c r="D311">
        <v>14415</v>
      </c>
      <c r="E311">
        <v>2.44</v>
      </c>
      <c r="F311">
        <v>1.18</v>
      </c>
      <c r="G311">
        <v>0.93</v>
      </c>
      <c r="H311">
        <v>759</v>
      </c>
      <c r="I311">
        <v>0</v>
      </c>
      <c r="K311">
        <v>0</v>
      </c>
      <c r="L311">
        <v>12</v>
      </c>
      <c r="M311" t="s">
        <v>15</v>
      </c>
      <c r="N311">
        <v>0</v>
      </c>
      <c r="O311">
        <f t="shared" si="8"/>
        <v>0</v>
      </c>
      <c r="P311">
        <f t="shared" si="9"/>
        <v>0</v>
      </c>
    </row>
    <row r="312" spans="1:16">
      <c r="A312">
        <v>311</v>
      </c>
      <c r="B312" s="2">
        <v>45505</v>
      </c>
      <c r="C312">
        <v>68859</v>
      </c>
      <c r="D312">
        <v>13053</v>
      </c>
      <c r="E312">
        <v>2.77</v>
      </c>
      <c r="F312">
        <v>0.46</v>
      </c>
      <c r="G312">
        <v>2.09</v>
      </c>
      <c r="H312">
        <v>612</v>
      </c>
      <c r="I312">
        <v>0</v>
      </c>
      <c r="K312">
        <v>0</v>
      </c>
      <c r="L312">
        <v>18</v>
      </c>
      <c r="M312" t="s">
        <v>15</v>
      </c>
      <c r="N312">
        <v>0</v>
      </c>
      <c r="O312">
        <f t="shared" si="8"/>
        <v>0</v>
      </c>
      <c r="P312">
        <f t="shared" si="9"/>
        <v>0</v>
      </c>
    </row>
    <row r="313" spans="1:16">
      <c r="A313">
        <v>312</v>
      </c>
      <c r="B313" s="2">
        <v>45627</v>
      </c>
      <c r="C313">
        <v>31600</v>
      </c>
      <c r="D313">
        <v>11549</v>
      </c>
      <c r="E313">
        <v>1.46</v>
      </c>
      <c r="F313">
        <v>0.73</v>
      </c>
      <c r="G313">
        <v>0.99</v>
      </c>
      <c r="H313">
        <v>647</v>
      </c>
      <c r="I313">
        <v>0</v>
      </c>
      <c r="K313">
        <v>0</v>
      </c>
      <c r="L313">
        <v>12</v>
      </c>
      <c r="M313" t="s">
        <v>15</v>
      </c>
      <c r="N313">
        <v>0</v>
      </c>
      <c r="O313">
        <f t="shared" si="8"/>
        <v>0</v>
      </c>
      <c r="P313">
        <f t="shared" si="9"/>
        <v>0</v>
      </c>
    </row>
    <row r="314" spans="1:16">
      <c r="A314">
        <v>313</v>
      </c>
      <c r="B314" s="2">
        <v>45139</v>
      </c>
      <c r="C314">
        <v>35166</v>
      </c>
      <c r="D314">
        <v>12210</v>
      </c>
      <c r="E314">
        <v>1.71</v>
      </c>
      <c r="F314">
        <v>0.59</v>
      </c>
      <c r="G314">
        <v>0.91</v>
      </c>
      <c r="H314">
        <v>700</v>
      </c>
      <c r="I314">
        <v>0</v>
      </c>
      <c r="K314">
        <v>0</v>
      </c>
      <c r="L314">
        <v>12</v>
      </c>
      <c r="M314" t="s">
        <v>14</v>
      </c>
      <c r="N314">
        <v>0</v>
      </c>
      <c r="O314">
        <f t="shared" si="8"/>
        <v>0</v>
      </c>
      <c r="P314">
        <f t="shared" si="9"/>
        <v>0</v>
      </c>
    </row>
    <row r="315" spans="1:16">
      <c r="A315">
        <v>314</v>
      </c>
      <c r="B315" s="2">
        <v>45108</v>
      </c>
      <c r="C315">
        <v>56310</v>
      </c>
      <c r="D315">
        <v>3579</v>
      </c>
      <c r="E315">
        <v>0.72</v>
      </c>
      <c r="F315">
        <v>0.55000000000000004</v>
      </c>
      <c r="G315">
        <v>1.39</v>
      </c>
      <c r="H315">
        <v>614</v>
      </c>
      <c r="I315">
        <v>0</v>
      </c>
      <c r="K315">
        <v>0</v>
      </c>
      <c r="L315">
        <v>6</v>
      </c>
      <c r="M315" t="s">
        <v>14</v>
      </c>
      <c r="N315">
        <v>0.3</v>
      </c>
      <c r="O315">
        <f t="shared" si="8"/>
        <v>0</v>
      </c>
      <c r="P315">
        <f t="shared" si="9"/>
        <v>0</v>
      </c>
    </row>
    <row r="316" spans="1:16">
      <c r="A316">
        <v>315</v>
      </c>
      <c r="B316" s="2">
        <v>44986</v>
      </c>
      <c r="C316">
        <v>17505</v>
      </c>
      <c r="D316">
        <v>9099</v>
      </c>
      <c r="F316">
        <v>1.8</v>
      </c>
      <c r="G316">
        <v>1.73</v>
      </c>
      <c r="H316">
        <v>598</v>
      </c>
      <c r="I316">
        <v>0</v>
      </c>
      <c r="K316">
        <v>0</v>
      </c>
      <c r="L316">
        <v>12</v>
      </c>
      <c r="M316" t="s">
        <v>14</v>
      </c>
      <c r="N316">
        <v>0.2</v>
      </c>
      <c r="O316">
        <f t="shared" si="8"/>
        <v>0</v>
      </c>
      <c r="P316">
        <f t="shared" si="9"/>
        <v>0</v>
      </c>
    </row>
    <row r="317" spans="1:16">
      <c r="A317">
        <v>316</v>
      </c>
      <c r="B317" s="2">
        <v>45413</v>
      </c>
      <c r="C317">
        <v>46563</v>
      </c>
      <c r="D317">
        <v>14257</v>
      </c>
      <c r="E317">
        <v>0.91</v>
      </c>
      <c r="F317">
        <v>0.35</v>
      </c>
      <c r="G317">
        <v>1.27</v>
      </c>
      <c r="H317">
        <v>563</v>
      </c>
      <c r="I317">
        <v>0</v>
      </c>
      <c r="K317">
        <v>0</v>
      </c>
      <c r="L317">
        <v>12</v>
      </c>
      <c r="M317" t="s">
        <v>15</v>
      </c>
      <c r="N317">
        <v>0.5</v>
      </c>
      <c r="O317">
        <f t="shared" si="8"/>
        <v>0</v>
      </c>
      <c r="P317">
        <f t="shared" si="9"/>
        <v>0</v>
      </c>
    </row>
    <row r="318" spans="1:16">
      <c r="A318">
        <v>317</v>
      </c>
      <c r="B318" s="2">
        <v>44927</v>
      </c>
      <c r="D318">
        <v>14942</v>
      </c>
      <c r="E318">
        <v>1.67</v>
      </c>
      <c r="F318">
        <v>2.79</v>
      </c>
      <c r="G318">
        <v>1.99</v>
      </c>
      <c r="H318">
        <v>720</v>
      </c>
      <c r="I318">
        <v>0</v>
      </c>
      <c r="K318">
        <v>0</v>
      </c>
      <c r="L318">
        <v>12</v>
      </c>
      <c r="M318" t="s">
        <v>14</v>
      </c>
      <c r="N318">
        <v>0.35</v>
      </c>
      <c r="O318">
        <f t="shared" si="8"/>
        <v>0</v>
      </c>
      <c r="P318">
        <f t="shared" si="9"/>
        <v>0</v>
      </c>
    </row>
    <row r="319" spans="1:16">
      <c r="A319">
        <v>318</v>
      </c>
      <c r="B319" s="2">
        <v>45383</v>
      </c>
      <c r="C319">
        <v>50016</v>
      </c>
      <c r="D319">
        <v>6507</v>
      </c>
      <c r="E319">
        <v>0.95</v>
      </c>
      <c r="F319">
        <v>1.62</v>
      </c>
      <c r="G319">
        <v>1.64</v>
      </c>
      <c r="H319">
        <v>650</v>
      </c>
      <c r="I319">
        <v>0</v>
      </c>
      <c r="K319">
        <v>0</v>
      </c>
      <c r="L319">
        <v>18</v>
      </c>
      <c r="M319" t="s">
        <v>15</v>
      </c>
      <c r="N319">
        <v>0.3</v>
      </c>
      <c r="O319">
        <f t="shared" si="8"/>
        <v>0</v>
      </c>
      <c r="P319">
        <f t="shared" si="9"/>
        <v>0</v>
      </c>
    </row>
    <row r="320" spans="1:16">
      <c r="A320">
        <v>319</v>
      </c>
      <c r="B320" s="2">
        <v>45261</v>
      </c>
      <c r="C320">
        <v>43825</v>
      </c>
      <c r="D320">
        <v>32403</v>
      </c>
      <c r="E320">
        <v>1.23</v>
      </c>
      <c r="F320">
        <v>1.94</v>
      </c>
      <c r="G320">
        <v>0.15</v>
      </c>
      <c r="H320">
        <v>841</v>
      </c>
      <c r="I320">
        <v>0</v>
      </c>
      <c r="K320">
        <v>0</v>
      </c>
      <c r="L320">
        <v>12</v>
      </c>
      <c r="M320" t="s">
        <v>14</v>
      </c>
      <c r="N320">
        <v>0.15</v>
      </c>
      <c r="O320">
        <f t="shared" si="8"/>
        <v>0</v>
      </c>
      <c r="P320">
        <f t="shared" si="9"/>
        <v>0</v>
      </c>
    </row>
    <row r="321" spans="1:16">
      <c r="A321">
        <v>320</v>
      </c>
      <c r="B321" s="2">
        <v>45474</v>
      </c>
      <c r="C321">
        <v>179144</v>
      </c>
      <c r="D321">
        <v>7286</v>
      </c>
      <c r="E321">
        <v>1.0900000000000001</v>
      </c>
      <c r="F321">
        <v>0.65</v>
      </c>
      <c r="G321">
        <v>1.06</v>
      </c>
      <c r="H321">
        <v>625</v>
      </c>
      <c r="I321">
        <v>0</v>
      </c>
      <c r="K321">
        <v>0</v>
      </c>
      <c r="L321">
        <v>12</v>
      </c>
      <c r="M321" t="s">
        <v>15</v>
      </c>
      <c r="N321">
        <v>0</v>
      </c>
      <c r="O321">
        <f t="shared" si="8"/>
        <v>0</v>
      </c>
      <c r="P321">
        <f t="shared" si="9"/>
        <v>0</v>
      </c>
    </row>
    <row r="322" spans="1:16">
      <c r="A322">
        <v>321</v>
      </c>
      <c r="B322" s="2">
        <v>45566</v>
      </c>
      <c r="D322">
        <v>26334</v>
      </c>
      <c r="E322">
        <v>1.22</v>
      </c>
      <c r="F322">
        <v>0.81</v>
      </c>
      <c r="G322">
        <v>1.04</v>
      </c>
      <c r="H322">
        <v>629</v>
      </c>
      <c r="I322">
        <v>0</v>
      </c>
      <c r="K322">
        <v>0</v>
      </c>
      <c r="L322">
        <v>18</v>
      </c>
      <c r="M322" t="s">
        <v>15</v>
      </c>
      <c r="N322">
        <v>0</v>
      </c>
      <c r="O322">
        <f t="shared" si="8"/>
        <v>0</v>
      </c>
      <c r="P322">
        <f t="shared" si="9"/>
        <v>0</v>
      </c>
    </row>
    <row r="323" spans="1:16">
      <c r="A323">
        <v>322</v>
      </c>
      <c r="B323" s="2">
        <v>45597</v>
      </c>
      <c r="C323">
        <v>25716</v>
      </c>
      <c r="D323">
        <v>18016</v>
      </c>
      <c r="E323">
        <v>1.25</v>
      </c>
      <c r="F323">
        <v>0.33</v>
      </c>
      <c r="G323">
        <v>1.61</v>
      </c>
      <c r="H323">
        <v>649</v>
      </c>
      <c r="I323">
        <v>0</v>
      </c>
      <c r="K323">
        <v>0</v>
      </c>
      <c r="L323">
        <v>12</v>
      </c>
      <c r="M323" t="s">
        <v>15</v>
      </c>
      <c r="N323">
        <v>0</v>
      </c>
      <c r="O323">
        <f t="shared" ref="O323:O386" si="10">IF(J323="",0,1)</f>
        <v>0</v>
      </c>
      <c r="P323">
        <f t="shared" ref="P323:P386" si="11">IF(I323=K323,0,1)</f>
        <v>0</v>
      </c>
    </row>
    <row r="324" spans="1:16">
      <c r="A324">
        <v>323</v>
      </c>
      <c r="B324" s="2">
        <v>45566</v>
      </c>
      <c r="C324">
        <v>24221</v>
      </c>
      <c r="D324">
        <v>8498</v>
      </c>
      <c r="E324">
        <v>1.25</v>
      </c>
      <c r="F324">
        <v>0.63</v>
      </c>
      <c r="G324">
        <v>0.1</v>
      </c>
      <c r="H324">
        <v>693</v>
      </c>
      <c r="I324">
        <v>0</v>
      </c>
      <c r="K324">
        <v>0</v>
      </c>
      <c r="L324">
        <v>6</v>
      </c>
      <c r="M324" t="s">
        <v>15</v>
      </c>
      <c r="N324">
        <v>0.15</v>
      </c>
      <c r="O324">
        <f t="shared" si="10"/>
        <v>0</v>
      </c>
      <c r="P324">
        <f t="shared" si="11"/>
        <v>0</v>
      </c>
    </row>
    <row r="325" spans="1:16">
      <c r="A325">
        <v>324</v>
      </c>
      <c r="B325" s="2">
        <v>45323</v>
      </c>
      <c r="C325">
        <v>25310</v>
      </c>
      <c r="D325">
        <v>46292</v>
      </c>
      <c r="E325">
        <v>2.0099999999999998</v>
      </c>
      <c r="F325">
        <v>1.28</v>
      </c>
      <c r="G325">
        <v>2.75</v>
      </c>
      <c r="H325">
        <v>654</v>
      </c>
      <c r="I325">
        <v>1</v>
      </c>
      <c r="J325">
        <v>49837</v>
      </c>
      <c r="K325">
        <v>1</v>
      </c>
      <c r="L325">
        <v>6</v>
      </c>
      <c r="M325" t="s">
        <v>15</v>
      </c>
      <c r="N325">
        <v>0</v>
      </c>
      <c r="O325">
        <f t="shared" si="10"/>
        <v>1</v>
      </c>
      <c r="P325">
        <f t="shared" si="11"/>
        <v>0</v>
      </c>
    </row>
    <row r="326" spans="1:16">
      <c r="A326">
        <v>325</v>
      </c>
      <c r="B326" s="2">
        <v>45078</v>
      </c>
      <c r="C326">
        <v>23997</v>
      </c>
      <c r="D326">
        <v>5793</v>
      </c>
      <c r="E326">
        <v>0.94</v>
      </c>
      <c r="F326">
        <v>2.2400000000000002</v>
      </c>
      <c r="G326">
        <v>1.64</v>
      </c>
      <c r="H326">
        <v>714</v>
      </c>
      <c r="I326">
        <v>1</v>
      </c>
      <c r="J326">
        <v>18762</v>
      </c>
      <c r="K326">
        <v>1</v>
      </c>
      <c r="L326">
        <v>12</v>
      </c>
      <c r="M326" t="s">
        <v>14</v>
      </c>
      <c r="N326">
        <v>0.64999999999999991</v>
      </c>
      <c r="O326">
        <f t="shared" si="10"/>
        <v>1</v>
      </c>
      <c r="P326">
        <f t="shared" si="11"/>
        <v>0</v>
      </c>
    </row>
    <row r="327" spans="1:16">
      <c r="A327">
        <v>326</v>
      </c>
      <c r="B327" s="2">
        <v>45078</v>
      </c>
      <c r="C327">
        <v>78658</v>
      </c>
      <c r="D327">
        <v>25423</v>
      </c>
      <c r="E327">
        <v>1.67</v>
      </c>
      <c r="F327">
        <v>0.42</v>
      </c>
      <c r="G327">
        <v>1.43</v>
      </c>
      <c r="H327">
        <v>626</v>
      </c>
      <c r="I327">
        <v>1</v>
      </c>
      <c r="K327">
        <v>0</v>
      </c>
      <c r="L327">
        <v>18</v>
      </c>
      <c r="M327" t="s">
        <v>14</v>
      </c>
      <c r="N327">
        <v>0</v>
      </c>
      <c r="O327">
        <f t="shared" si="10"/>
        <v>0</v>
      </c>
      <c r="P327">
        <f t="shared" si="11"/>
        <v>1</v>
      </c>
    </row>
    <row r="328" spans="1:16">
      <c r="A328">
        <v>327</v>
      </c>
      <c r="B328" s="2">
        <v>45292</v>
      </c>
      <c r="C328">
        <v>91430</v>
      </c>
      <c r="D328">
        <v>26914</v>
      </c>
      <c r="E328">
        <v>2.2200000000000002</v>
      </c>
      <c r="F328">
        <v>0.7</v>
      </c>
      <c r="G328">
        <v>2</v>
      </c>
      <c r="H328">
        <v>604</v>
      </c>
      <c r="I328">
        <v>0</v>
      </c>
      <c r="K328">
        <v>0</v>
      </c>
      <c r="L328">
        <v>12</v>
      </c>
      <c r="M328" t="s">
        <v>15</v>
      </c>
      <c r="N328">
        <v>0</v>
      </c>
      <c r="O328">
        <f t="shared" si="10"/>
        <v>0</v>
      </c>
      <c r="P328">
        <f t="shared" si="11"/>
        <v>0</v>
      </c>
    </row>
    <row r="329" spans="1:16">
      <c r="A329">
        <v>328</v>
      </c>
      <c r="B329" s="2">
        <v>45474</v>
      </c>
      <c r="D329">
        <v>8355</v>
      </c>
      <c r="E329">
        <v>1.27</v>
      </c>
      <c r="F329">
        <v>0.81</v>
      </c>
      <c r="G329">
        <v>2.64</v>
      </c>
      <c r="H329">
        <v>581</v>
      </c>
      <c r="I329">
        <v>1</v>
      </c>
      <c r="J329">
        <v>5873</v>
      </c>
      <c r="K329">
        <v>1</v>
      </c>
      <c r="L329">
        <v>12</v>
      </c>
      <c r="M329" t="s">
        <v>15</v>
      </c>
      <c r="N329">
        <v>0.2</v>
      </c>
      <c r="O329">
        <f t="shared" si="10"/>
        <v>1</v>
      </c>
      <c r="P329">
        <f t="shared" si="11"/>
        <v>0</v>
      </c>
    </row>
    <row r="330" spans="1:16">
      <c r="A330">
        <v>329</v>
      </c>
      <c r="B330" s="2">
        <v>45566</v>
      </c>
      <c r="C330">
        <v>21141</v>
      </c>
      <c r="D330">
        <v>35409</v>
      </c>
      <c r="E330">
        <v>1.1599999999999999</v>
      </c>
      <c r="F330">
        <v>0.34</v>
      </c>
      <c r="G330">
        <v>1.83</v>
      </c>
      <c r="H330">
        <v>558</v>
      </c>
      <c r="I330">
        <v>1</v>
      </c>
      <c r="J330">
        <v>34478</v>
      </c>
      <c r="K330">
        <v>1</v>
      </c>
      <c r="L330">
        <v>12</v>
      </c>
      <c r="M330" t="s">
        <v>15</v>
      </c>
      <c r="N330">
        <v>0.2</v>
      </c>
      <c r="O330">
        <f t="shared" si="10"/>
        <v>1</v>
      </c>
      <c r="P330">
        <f t="shared" si="11"/>
        <v>0</v>
      </c>
    </row>
    <row r="331" spans="1:16">
      <c r="A331">
        <v>330</v>
      </c>
      <c r="B331" s="2">
        <v>45139</v>
      </c>
      <c r="C331">
        <v>49337</v>
      </c>
      <c r="D331">
        <v>11215</v>
      </c>
      <c r="F331">
        <v>1.37</v>
      </c>
      <c r="G331">
        <v>1.87</v>
      </c>
      <c r="H331">
        <v>652</v>
      </c>
      <c r="I331">
        <v>0</v>
      </c>
      <c r="K331">
        <v>0</v>
      </c>
      <c r="L331">
        <v>12</v>
      </c>
      <c r="M331" t="s">
        <v>14</v>
      </c>
      <c r="N331">
        <v>0</v>
      </c>
      <c r="O331">
        <f t="shared" si="10"/>
        <v>0</v>
      </c>
      <c r="P331">
        <f t="shared" si="11"/>
        <v>0</v>
      </c>
    </row>
    <row r="332" spans="1:16">
      <c r="A332">
        <v>331</v>
      </c>
      <c r="B332" s="2">
        <v>44958</v>
      </c>
      <c r="C332">
        <v>25363</v>
      </c>
      <c r="D332">
        <v>16352</v>
      </c>
      <c r="E332">
        <v>2.2000000000000002</v>
      </c>
      <c r="F332">
        <v>0.55000000000000004</v>
      </c>
      <c r="G332">
        <v>1.42</v>
      </c>
      <c r="H332">
        <v>663</v>
      </c>
      <c r="I332">
        <v>0</v>
      </c>
      <c r="K332">
        <v>0</v>
      </c>
      <c r="L332">
        <v>12</v>
      </c>
      <c r="M332" t="s">
        <v>14</v>
      </c>
      <c r="N332">
        <v>0</v>
      </c>
      <c r="O332">
        <f t="shared" si="10"/>
        <v>0</v>
      </c>
      <c r="P332">
        <f t="shared" si="11"/>
        <v>0</v>
      </c>
    </row>
    <row r="333" spans="1:16">
      <c r="A333">
        <v>332</v>
      </c>
      <c r="B333" s="2">
        <v>45536</v>
      </c>
      <c r="C333">
        <v>54798</v>
      </c>
      <c r="D333">
        <v>16030</v>
      </c>
      <c r="E333">
        <v>1.66</v>
      </c>
      <c r="F333">
        <v>0.79</v>
      </c>
      <c r="G333">
        <v>1.27</v>
      </c>
      <c r="H333">
        <v>645</v>
      </c>
      <c r="I333">
        <v>0</v>
      </c>
      <c r="K333">
        <v>0</v>
      </c>
      <c r="L333">
        <v>18</v>
      </c>
      <c r="M333" t="s">
        <v>15</v>
      </c>
      <c r="N333">
        <v>0</v>
      </c>
      <c r="O333">
        <f t="shared" si="10"/>
        <v>0</v>
      </c>
      <c r="P333">
        <f t="shared" si="11"/>
        <v>0</v>
      </c>
    </row>
    <row r="334" spans="1:16">
      <c r="A334">
        <v>333</v>
      </c>
      <c r="B334" s="2">
        <v>44927</v>
      </c>
      <c r="C334">
        <v>41436</v>
      </c>
      <c r="D334">
        <v>12161</v>
      </c>
      <c r="E334">
        <v>1.26</v>
      </c>
      <c r="F334">
        <v>0.66</v>
      </c>
      <c r="G334">
        <v>1.0900000000000001</v>
      </c>
      <c r="H334">
        <v>748</v>
      </c>
      <c r="I334">
        <v>0</v>
      </c>
      <c r="J334">
        <v>3798</v>
      </c>
      <c r="K334">
        <v>1</v>
      </c>
      <c r="L334">
        <v>18</v>
      </c>
      <c r="M334" t="s">
        <v>14</v>
      </c>
      <c r="N334">
        <v>0</v>
      </c>
      <c r="O334">
        <f t="shared" si="10"/>
        <v>1</v>
      </c>
      <c r="P334">
        <f t="shared" si="11"/>
        <v>1</v>
      </c>
    </row>
    <row r="335" spans="1:16">
      <c r="A335">
        <v>334</v>
      </c>
      <c r="B335" s="2">
        <v>45352</v>
      </c>
      <c r="C335">
        <v>13558</v>
      </c>
      <c r="D335">
        <v>23566</v>
      </c>
      <c r="E335">
        <v>1.82</v>
      </c>
      <c r="F335">
        <v>0.52</v>
      </c>
      <c r="G335">
        <v>0.9</v>
      </c>
      <c r="H335">
        <v>748</v>
      </c>
      <c r="I335">
        <v>0</v>
      </c>
      <c r="K335">
        <v>0</v>
      </c>
      <c r="L335">
        <v>12</v>
      </c>
      <c r="M335" t="s">
        <v>15</v>
      </c>
      <c r="N335">
        <v>0</v>
      </c>
      <c r="O335">
        <f t="shared" si="10"/>
        <v>0</v>
      </c>
      <c r="P335">
        <f t="shared" si="11"/>
        <v>0</v>
      </c>
    </row>
    <row r="336" spans="1:16">
      <c r="A336">
        <v>335</v>
      </c>
      <c r="B336" s="2">
        <v>44927</v>
      </c>
      <c r="C336">
        <v>99298</v>
      </c>
      <c r="D336">
        <v>23282</v>
      </c>
      <c r="E336">
        <v>0.94</v>
      </c>
      <c r="F336">
        <v>0.9</v>
      </c>
      <c r="G336">
        <v>0.97</v>
      </c>
      <c r="H336">
        <v>662</v>
      </c>
      <c r="I336">
        <v>0</v>
      </c>
      <c r="K336">
        <v>0</v>
      </c>
      <c r="L336">
        <v>12</v>
      </c>
      <c r="M336" t="s">
        <v>14</v>
      </c>
      <c r="N336">
        <v>0.3</v>
      </c>
      <c r="O336">
        <f t="shared" si="10"/>
        <v>0</v>
      </c>
      <c r="P336">
        <f t="shared" si="11"/>
        <v>0</v>
      </c>
    </row>
    <row r="337" spans="1:16">
      <c r="A337">
        <v>336</v>
      </c>
      <c r="B337" s="2">
        <v>45047</v>
      </c>
      <c r="C337">
        <v>116695</v>
      </c>
      <c r="D337">
        <v>3929</v>
      </c>
      <c r="E337">
        <v>1.92</v>
      </c>
      <c r="F337">
        <v>0.78</v>
      </c>
      <c r="G337">
        <v>0.61</v>
      </c>
      <c r="H337">
        <v>581</v>
      </c>
      <c r="I337">
        <v>0</v>
      </c>
      <c r="K337">
        <v>0</v>
      </c>
      <c r="L337">
        <v>12</v>
      </c>
      <c r="M337" t="s">
        <v>14</v>
      </c>
      <c r="N337">
        <v>0.35</v>
      </c>
      <c r="O337">
        <f t="shared" si="10"/>
        <v>0</v>
      </c>
      <c r="P337">
        <f t="shared" si="11"/>
        <v>0</v>
      </c>
    </row>
    <row r="338" spans="1:16">
      <c r="A338">
        <v>337</v>
      </c>
      <c r="B338" s="2">
        <v>45383</v>
      </c>
      <c r="C338">
        <v>24384</v>
      </c>
      <c r="D338">
        <v>33291</v>
      </c>
      <c r="E338">
        <v>1.77</v>
      </c>
      <c r="F338">
        <v>0.7</v>
      </c>
      <c r="G338">
        <v>1.31</v>
      </c>
      <c r="H338">
        <v>649</v>
      </c>
      <c r="I338">
        <v>1</v>
      </c>
      <c r="K338">
        <v>0</v>
      </c>
      <c r="L338">
        <v>12</v>
      </c>
      <c r="M338" t="s">
        <v>15</v>
      </c>
      <c r="N338">
        <v>0</v>
      </c>
      <c r="O338">
        <f t="shared" si="10"/>
        <v>0</v>
      </c>
      <c r="P338">
        <f t="shared" si="11"/>
        <v>1</v>
      </c>
    </row>
    <row r="339" spans="1:16">
      <c r="A339">
        <v>338</v>
      </c>
      <c r="B339" s="2">
        <v>45474</v>
      </c>
      <c r="C339">
        <v>28226</v>
      </c>
      <c r="D339">
        <v>4172</v>
      </c>
      <c r="E339">
        <v>1.38</v>
      </c>
      <c r="F339">
        <v>0.54</v>
      </c>
      <c r="G339">
        <v>0.42</v>
      </c>
      <c r="H339">
        <v>647</v>
      </c>
      <c r="I339">
        <v>0</v>
      </c>
      <c r="K339">
        <v>0</v>
      </c>
      <c r="L339">
        <v>12</v>
      </c>
      <c r="M339" t="s">
        <v>15</v>
      </c>
      <c r="N339">
        <v>0.15</v>
      </c>
      <c r="O339">
        <f t="shared" si="10"/>
        <v>0</v>
      </c>
      <c r="P339">
        <f t="shared" si="11"/>
        <v>0</v>
      </c>
    </row>
    <row r="340" spans="1:16">
      <c r="A340">
        <v>339</v>
      </c>
      <c r="B340" s="2">
        <v>45017</v>
      </c>
      <c r="C340">
        <v>43731</v>
      </c>
      <c r="D340">
        <v>27523</v>
      </c>
      <c r="E340">
        <v>1.0900000000000001</v>
      </c>
      <c r="F340">
        <v>1.1299999999999999</v>
      </c>
      <c r="G340">
        <v>1.46</v>
      </c>
      <c r="H340">
        <v>644</v>
      </c>
      <c r="I340">
        <v>0</v>
      </c>
      <c r="K340">
        <v>0</v>
      </c>
      <c r="L340">
        <v>18</v>
      </c>
      <c r="M340" t="s">
        <v>14</v>
      </c>
      <c r="N340">
        <v>0</v>
      </c>
      <c r="O340">
        <f t="shared" si="10"/>
        <v>0</v>
      </c>
      <c r="P340">
        <f t="shared" si="11"/>
        <v>0</v>
      </c>
    </row>
    <row r="341" spans="1:16">
      <c r="A341">
        <v>340</v>
      </c>
      <c r="B341" s="2">
        <v>44986</v>
      </c>
      <c r="C341">
        <v>45134</v>
      </c>
      <c r="D341">
        <v>29398</v>
      </c>
      <c r="E341">
        <v>1.06</v>
      </c>
      <c r="F341">
        <v>2.88</v>
      </c>
      <c r="G341">
        <v>1.33</v>
      </c>
      <c r="H341">
        <v>642</v>
      </c>
      <c r="I341">
        <v>0</v>
      </c>
      <c r="K341">
        <v>0</v>
      </c>
      <c r="L341">
        <v>18</v>
      </c>
      <c r="M341" t="s">
        <v>14</v>
      </c>
      <c r="N341">
        <v>0.35</v>
      </c>
      <c r="O341">
        <f t="shared" si="10"/>
        <v>0</v>
      </c>
      <c r="P341">
        <f t="shared" si="11"/>
        <v>0</v>
      </c>
    </row>
    <row r="342" spans="1:16">
      <c r="A342">
        <v>341</v>
      </c>
      <c r="B342" s="2">
        <v>45413</v>
      </c>
      <c r="C342">
        <v>55718</v>
      </c>
      <c r="D342">
        <v>6225</v>
      </c>
      <c r="E342">
        <v>1.84</v>
      </c>
      <c r="F342">
        <v>1</v>
      </c>
      <c r="G342">
        <v>1.43</v>
      </c>
      <c r="H342">
        <v>644</v>
      </c>
      <c r="I342">
        <v>0</v>
      </c>
      <c r="K342">
        <v>0</v>
      </c>
      <c r="L342">
        <v>12</v>
      </c>
      <c r="M342" t="s">
        <v>15</v>
      </c>
      <c r="N342">
        <v>0</v>
      </c>
      <c r="O342">
        <f t="shared" si="10"/>
        <v>0</v>
      </c>
      <c r="P342">
        <f t="shared" si="11"/>
        <v>0</v>
      </c>
    </row>
    <row r="343" spans="1:16">
      <c r="A343">
        <v>342</v>
      </c>
      <c r="B343" s="2">
        <v>45413</v>
      </c>
      <c r="C343">
        <v>134139</v>
      </c>
      <c r="D343">
        <v>10021</v>
      </c>
      <c r="E343">
        <v>2.23</v>
      </c>
      <c r="F343">
        <v>1.82</v>
      </c>
      <c r="G343">
        <v>1.06</v>
      </c>
      <c r="H343">
        <v>659</v>
      </c>
      <c r="I343">
        <v>0</v>
      </c>
      <c r="K343">
        <v>0</v>
      </c>
      <c r="L343">
        <v>18</v>
      </c>
      <c r="M343" t="s">
        <v>15</v>
      </c>
      <c r="N343">
        <v>0</v>
      </c>
      <c r="O343">
        <f t="shared" si="10"/>
        <v>0</v>
      </c>
      <c r="P343">
        <f t="shared" si="11"/>
        <v>0</v>
      </c>
    </row>
    <row r="344" spans="1:16">
      <c r="A344">
        <v>343</v>
      </c>
      <c r="B344" s="2">
        <v>45261</v>
      </c>
      <c r="C344">
        <v>32370</v>
      </c>
      <c r="D344">
        <v>6161</v>
      </c>
      <c r="E344">
        <v>1.2</v>
      </c>
      <c r="F344">
        <v>0.34</v>
      </c>
      <c r="G344">
        <v>3.04</v>
      </c>
      <c r="H344">
        <v>645</v>
      </c>
      <c r="I344">
        <v>0</v>
      </c>
      <c r="K344">
        <v>0</v>
      </c>
      <c r="L344">
        <v>18</v>
      </c>
      <c r="M344" t="s">
        <v>14</v>
      </c>
      <c r="N344">
        <v>0</v>
      </c>
      <c r="O344">
        <f t="shared" si="10"/>
        <v>0</v>
      </c>
      <c r="P344">
        <f t="shared" si="11"/>
        <v>0</v>
      </c>
    </row>
    <row r="345" spans="1:16">
      <c r="A345">
        <v>344</v>
      </c>
      <c r="B345" s="2">
        <v>45323</v>
      </c>
      <c r="C345">
        <v>21614</v>
      </c>
      <c r="D345">
        <v>11494</v>
      </c>
      <c r="E345">
        <v>1.8</v>
      </c>
      <c r="F345">
        <v>1.01</v>
      </c>
      <c r="G345">
        <v>2.1</v>
      </c>
      <c r="H345">
        <v>691</v>
      </c>
      <c r="I345">
        <v>0</v>
      </c>
      <c r="K345">
        <v>0</v>
      </c>
      <c r="L345">
        <v>12</v>
      </c>
      <c r="M345" t="s">
        <v>15</v>
      </c>
      <c r="N345">
        <v>0</v>
      </c>
      <c r="O345">
        <f t="shared" si="10"/>
        <v>0</v>
      </c>
      <c r="P345">
        <f t="shared" si="11"/>
        <v>0</v>
      </c>
    </row>
    <row r="346" spans="1:16">
      <c r="A346">
        <v>345</v>
      </c>
      <c r="B346" s="2">
        <v>45536</v>
      </c>
      <c r="C346">
        <v>14816</v>
      </c>
      <c r="D346">
        <v>10768</v>
      </c>
      <c r="E346">
        <v>0.4</v>
      </c>
      <c r="F346">
        <v>0.42</v>
      </c>
      <c r="G346">
        <v>0.67</v>
      </c>
      <c r="H346">
        <v>700</v>
      </c>
      <c r="I346">
        <v>0</v>
      </c>
      <c r="K346">
        <v>0</v>
      </c>
      <c r="L346">
        <v>12</v>
      </c>
      <c r="M346" t="s">
        <v>15</v>
      </c>
      <c r="N346">
        <v>0.45</v>
      </c>
      <c r="O346">
        <f t="shared" si="10"/>
        <v>0</v>
      </c>
      <c r="P346">
        <f t="shared" si="11"/>
        <v>0</v>
      </c>
    </row>
    <row r="347" spans="1:16">
      <c r="A347">
        <v>346</v>
      </c>
      <c r="B347" s="2">
        <v>45078</v>
      </c>
      <c r="C347">
        <v>22582</v>
      </c>
      <c r="D347">
        <v>23058</v>
      </c>
      <c r="E347">
        <v>1.23</v>
      </c>
      <c r="F347">
        <v>0.32</v>
      </c>
      <c r="G347">
        <v>1.48</v>
      </c>
      <c r="H347">
        <v>630</v>
      </c>
      <c r="I347">
        <v>0</v>
      </c>
      <c r="K347">
        <v>0</v>
      </c>
      <c r="L347">
        <v>12</v>
      </c>
      <c r="M347" t="s">
        <v>14</v>
      </c>
      <c r="N347">
        <v>0</v>
      </c>
      <c r="O347">
        <f t="shared" si="10"/>
        <v>0</v>
      </c>
      <c r="P347">
        <f t="shared" si="11"/>
        <v>0</v>
      </c>
    </row>
    <row r="348" spans="1:16">
      <c r="A348">
        <v>347</v>
      </c>
      <c r="B348" s="2">
        <v>44986</v>
      </c>
      <c r="C348">
        <v>35542</v>
      </c>
      <c r="D348">
        <v>33430</v>
      </c>
      <c r="F348">
        <v>0.54</v>
      </c>
      <c r="G348">
        <v>1.02</v>
      </c>
      <c r="H348">
        <v>750</v>
      </c>
      <c r="I348">
        <v>0</v>
      </c>
      <c r="K348">
        <v>0</v>
      </c>
      <c r="L348">
        <v>6</v>
      </c>
      <c r="M348" t="s">
        <v>14</v>
      </c>
      <c r="N348">
        <v>0</v>
      </c>
      <c r="O348">
        <f t="shared" si="10"/>
        <v>0</v>
      </c>
      <c r="P348">
        <f t="shared" si="11"/>
        <v>0</v>
      </c>
    </row>
    <row r="349" spans="1:16">
      <c r="A349">
        <v>348</v>
      </c>
      <c r="B349" s="2">
        <v>45170</v>
      </c>
      <c r="C349">
        <v>116595</v>
      </c>
      <c r="D349">
        <v>35489</v>
      </c>
      <c r="E349">
        <v>1.05</v>
      </c>
      <c r="F349">
        <v>2.08</v>
      </c>
      <c r="G349">
        <v>0.79</v>
      </c>
      <c r="H349">
        <v>626</v>
      </c>
      <c r="I349">
        <v>0</v>
      </c>
      <c r="K349">
        <v>0</v>
      </c>
      <c r="L349">
        <v>12</v>
      </c>
      <c r="M349" t="s">
        <v>14</v>
      </c>
      <c r="N349">
        <v>0.5</v>
      </c>
      <c r="O349">
        <f t="shared" si="10"/>
        <v>0</v>
      </c>
      <c r="P349">
        <f t="shared" si="11"/>
        <v>0</v>
      </c>
    </row>
    <row r="350" spans="1:16">
      <c r="A350">
        <v>349</v>
      </c>
      <c r="B350" s="2">
        <v>45047</v>
      </c>
      <c r="D350">
        <v>9014</v>
      </c>
      <c r="E350">
        <v>1.03</v>
      </c>
      <c r="F350">
        <v>1.76</v>
      </c>
      <c r="G350">
        <v>0.61</v>
      </c>
      <c r="H350">
        <v>591</v>
      </c>
      <c r="I350">
        <v>0</v>
      </c>
      <c r="K350">
        <v>0</v>
      </c>
      <c r="L350">
        <v>6</v>
      </c>
      <c r="M350" t="s">
        <v>14</v>
      </c>
      <c r="N350">
        <v>0.35</v>
      </c>
      <c r="O350">
        <f t="shared" si="10"/>
        <v>0</v>
      </c>
      <c r="P350">
        <f t="shared" si="11"/>
        <v>0</v>
      </c>
    </row>
    <row r="351" spans="1:16">
      <c r="A351">
        <v>350</v>
      </c>
      <c r="B351" s="2">
        <v>45627</v>
      </c>
      <c r="C351">
        <v>42002</v>
      </c>
      <c r="D351">
        <v>11540</v>
      </c>
      <c r="E351">
        <v>1.18</v>
      </c>
      <c r="F351">
        <v>1.07</v>
      </c>
      <c r="G351">
        <v>1.59</v>
      </c>
      <c r="H351">
        <v>701</v>
      </c>
      <c r="I351">
        <v>0</v>
      </c>
      <c r="K351">
        <v>0</v>
      </c>
      <c r="L351">
        <v>12</v>
      </c>
      <c r="M351" t="s">
        <v>15</v>
      </c>
      <c r="N351">
        <v>0</v>
      </c>
      <c r="O351">
        <f t="shared" si="10"/>
        <v>0</v>
      </c>
      <c r="P351">
        <f t="shared" si="11"/>
        <v>0</v>
      </c>
    </row>
    <row r="352" spans="1:16">
      <c r="A352">
        <v>351</v>
      </c>
      <c r="B352" s="2">
        <v>45413</v>
      </c>
      <c r="C352">
        <v>35930</v>
      </c>
      <c r="D352">
        <v>4112</v>
      </c>
      <c r="E352">
        <v>1.71</v>
      </c>
      <c r="F352">
        <v>0.31</v>
      </c>
      <c r="G352">
        <v>0.98</v>
      </c>
      <c r="H352">
        <v>635</v>
      </c>
      <c r="I352">
        <v>0</v>
      </c>
      <c r="K352">
        <v>0</v>
      </c>
      <c r="L352">
        <v>6</v>
      </c>
      <c r="M352" t="s">
        <v>15</v>
      </c>
      <c r="N352">
        <v>0</v>
      </c>
      <c r="O352">
        <f t="shared" si="10"/>
        <v>0</v>
      </c>
      <c r="P352">
        <f t="shared" si="11"/>
        <v>0</v>
      </c>
    </row>
    <row r="353" spans="1:16">
      <c r="A353">
        <v>352</v>
      </c>
      <c r="B353" s="2">
        <v>45323</v>
      </c>
      <c r="C353">
        <v>78626</v>
      </c>
      <c r="D353">
        <v>7600</v>
      </c>
      <c r="E353">
        <v>1.45</v>
      </c>
      <c r="F353">
        <v>0.79</v>
      </c>
      <c r="G353">
        <v>1.88</v>
      </c>
      <c r="H353">
        <v>698</v>
      </c>
      <c r="I353">
        <v>0</v>
      </c>
      <c r="K353">
        <v>0</v>
      </c>
      <c r="L353">
        <v>6</v>
      </c>
      <c r="M353" t="s">
        <v>15</v>
      </c>
      <c r="N353">
        <v>0</v>
      </c>
      <c r="O353">
        <f t="shared" si="10"/>
        <v>0</v>
      </c>
      <c r="P353">
        <f t="shared" si="11"/>
        <v>0</v>
      </c>
    </row>
    <row r="354" spans="1:16">
      <c r="A354">
        <v>353</v>
      </c>
      <c r="B354" s="2">
        <v>45536</v>
      </c>
      <c r="C354">
        <v>187682</v>
      </c>
      <c r="D354">
        <v>26249</v>
      </c>
      <c r="E354">
        <v>0.32</v>
      </c>
      <c r="F354">
        <v>1.1200000000000001</v>
      </c>
      <c r="G354">
        <v>1.9</v>
      </c>
      <c r="H354">
        <v>548</v>
      </c>
      <c r="I354">
        <v>0</v>
      </c>
      <c r="K354">
        <v>0</v>
      </c>
      <c r="L354">
        <v>12</v>
      </c>
      <c r="M354" t="s">
        <v>15</v>
      </c>
      <c r="N354">
        <v>0.5</v>
      </c>
      <c r="O354">
        <f t="shared" si="10"/>
        <v>0</v>
      </c>
      <c r="P354">
        <f t="shared" si="11"/>
        <v>0</v>
      </c>
    </row>
    <row r="355" spans="1:16">
      <c r="A355">
        <v>354</v>
      </c>
      <c r="B355" s="2">
        <v>44986</v>
      </c>
      <c r="C355">
        <v>25718</v>
      </c>
      <c r="D355">
        <v>41395</v>
      </c>
      <c r="E355">
        <v>0.38</v>
      </c>
      <c r="F355">
        <v>1.02</v>
      </c>
      <c r="G355">
        <v>2.11</v>
      </c>
      <c r="H355">
        <v>757</v>
      </c>
      <c r="I355">
        <v>1</v>
      </c>
      <c r="K355">
        <v>0</v>
      </c>
      <c r="L355">
        <v>18</v>
      </c>
      <c r="M355" t="s">
        <v>14</v>
      </c>
      <c r="N355">
        <v>0.3</v>
      </c>
      <c r="O355">
        <f t="shared" si="10"/>
        <v>0</v>
      </c>
      <c r="P355">
        <f t="shared" si="11"/>
        <v>1</v>
      </c>
    </row>
    <row r="356" spans="1:16">
      <c r="A356">
        <v>355</v>
      </c>
      <c r="B356" s="2">
        <v>44927</v>
      </c>
      <c r="C356">
        <v>26420</v>
      </c>
      <c r="D356">
        <v>5631</v>
      </c>
      <c r="E356">
        <v>1.22</v>
      </c>
      <c r="F356">
        <v>0.25</v>
      </c>
      <c r="G356">
        <v>0.88</v>
      </c>
      <c r="H356">
        <v>717</v>
      </c>
      <c r="I356">
        <v>0</v>
      </c>
      <c r="K356">
        <v>0</v>
      </c>
      <c r="L356">
        <v>12</v>
      </c>
      <c r="M356" t="s">
        <v>14</v>
      </c>
      <c r="N356">
        <v>0</v>
      </c>
      <c r="O356">
        <f t="shared" si="10"/>
        <v>0</v>
      </c>
      <c r="P356">
        <f t="shared" si="11"/>
        <v>0</v>
      </c>
    </row>
    <row r="357" spans="1:16">
      <c r="A357">
        <v>356</v>
      </c>
      <c r="B357" s="2">
        <v>45505</v>
      </c>
      <c r="C357">
        <v>71590</v>
      </c>
      <c r="D357">
        <v>8824</v>
      </c>
      <c r="E357">
        <v>1.8</v>
      </c>
      <c r="F357">
        <v>0.49</v>
      </c>
      <c r="G357">
        <v>1.61</v>
      </c>
      <c r="H357">
        <v>597</v>
      </c>
      <c r="I357">
        <v>0</v>
      </c>
      <c r="K357">
        <v>0</v>
      </c>
      <c r="L357">
        <v>18</v>
      </c>
      <c r="M357" t="s">
        <v>15</v>
      </c>
      <c r="N357">
        <v>0.2</v>
      </c>
      <c r="O357">
        <f t="shared" si="10"/>
        <v>0</v>
      </c>
      <c r="P357">
        <f t="shared" si="11"/>
        <v>0</v>
      </c>
    </row>
    <row r="358" spans="1:16">
      <c r="A358">
        <v>357</v>
      </c>
      <c r="B358" s="2">
        <v>45536</v>
      </c>
      <c r="C358">
        <v>56570</v>
      </c>
      <c r="D358">
        <v>13115</v>
      </c>
      <c r="E358">
        <v>0.2</v>
      </c>
      <c r="F358">
        <v>0.87</v>
      </c>
      <c r="G358">
        <v>1.7</v>
      </c>
      <c r="H358">
        <v>599</v>
      </c>
      <c r="I358">
        <v>0</v>
      </c>
      <c r="K358">
        <v>0</v>
      </c>
      <c r="L358">
        <v>6</v>
      </c>
      <c r="M358" t="s">
        <v>15</v>
      </c>
      <c r="N358">
        <v>0.5</v>
      </c>
      <c r="O358">
        <f t="shared" si="10"/>
        <v>0</v>
      </c>
      <c r="P358">
        <f t="shared" si="11"/>
        <v>0</v>
      </c>
    </row>
    <row r="359" spans="1:16">
      <c r="A359">
        <v>358</v>
      </c>
      <c r="B359" s="2">
        <v>45597</v>
      </c>
      <c r="C359">
        <v>120615</v>
      </c>
      <c r="D359">
        <v>16254</v>
      </c>
      <c r="E359">
        <v>1.28</v>
      </c>
      <c r="F359">
        <v>1.32</v>
      </c>
      <c r="G359">
        <v>1.0900000000000001</v>
      </c>
      <c r="H359">
        <v>772</v>
      </c>
      <c r="I359">
        <v>0</v>
      </c>
      <c r="K359">
        <v>0</v>
      </c>
      <c r="L359">
        <v>12</v>
      </c>
      <c r="M359" t="s">
        <v>15</v>
      </c>
      <c r="N359">
        <v>0</v>
      </c>
      <c r="O359">
        <f t="shared" si="10"/>
        <v>0</v>
      </c>
      <c r="P359">
        <f t="shared" si="11"/>
        <v>0</v>
      </c>
    </row>
    <row r="360" spans="1:16">
      <c r="A360">
        <v>359</v>
      </c>
      <c r="B360" s="2">
        <v>44927</v>
      </c>
      <c r="C360">
        <v>53080</v>
      </c>
      <c r="D360">
        <v>7580</v>
      </c>
      <c r="E360">
        <v>1.26</v>
      </c>
      <c r="F360">
        <v>0.19</v>
      </c>
      <c r="G360">
        <v>0.93</v>
      </c>
      <c r="H360">
        <v>639</v>
      </c>
      <c r="I360">
        <v>0</v>
      </c>
      <c r="K360">
        <v>0</v>
      </c>
      <c r="L360">
        <v>12</v>
      </c>
      <c r="M360" t="s">
        <v>14</v>
      </c>
      <c r="N360">
        <v>0</v>
      </c>
      <c r="O360">
        <f t="shared" si="10"/>
        <v>0</v>
      </c>
      <c r="P360">
        <f t="shared" si="11"/>
        <v>0</v>
      </c>
    </row>
    <row r="361" spans="1:16">
      <c r="A361">
        <v>360</v>
      </c>
      <c r="B361" s="2">
        <v>44986</v>
      </c>
      <c r="C361">
        <v>28752</v>
      </c>
      <c r="D361">
        <v>17977</v>
      </c>
      <c r="E361">
        <v>2.31</v>
      </c>
      <c r="F361">
        <v>0.81</v>
      </c>
      <c r="G361">
        <v>2.2400000000000002</v>
      </c>
      <c r="H361">
        <v>634</v>
      </c>
      <c r="I361">
        <v>0</v>
      </c>
      <c r="K361">
        <v>0</v>
      </c>
      <c r="L361">
        <v>12</v>
      </c>
      <c r="M361" t="s">
        <v>14</v>
      </c>
      <c r="N361">
        <v>0</v>
      </c>
      <c r="O361">
        <f t="shared" si="10"/>
        <v>0</v>
      </c>
      <c r="P361">
        <f t="shared" si="11"/>
        <v>0</v>
      </c>
    </row>
    <row r="362" spans="1:16">
      <c r="A362">
        <v>361</v>
      </c>
      <c r="B362" s="2">
        <v>45444</v>
      </c>
      <c r="C362">
        <v>53312</v>
      </c>
      <c r="D362">
        <v>9588</v>
      </c>
      <c r="E362">
        <v>1.34</v>
      </c>
      <c r="F362">
        <v>1</v>
      </c>
      <c r="G362">
        <v>1.48</v>
      </c>
      <c r="H362">
        <v>555</v>
      </c>
      <c r="I362">
        <v>0</v>
      </c>
      <c r="K362">
        <v>0</v>
      </c>
      <c r="L362">
        <v>12</v>
      </c>
      <c r="M362" t="s">
        <v>15</v>
      </c>
      <c r="N362">
        <v>0.2</v>
      </c>
      <c r="O362">
        <f t="shared" si="10"/>
        <v>0</v>
      </c>
      <c r="P362">
        <f t="shared" si="11"/>
        <v>0</v>
      </c>
    </row>
    <row r="363" spans="1:16">
      <c r="A363">
        <v>362</v>
      </c>
      <c r="B363" s="2">
        <v>45200</v>
      </c>
      <c r="C363">
        <v>74657</v>
      </c>
      <c r="D363">
        <v>13225</v>
      </c>
      <c r="E363">
        <v>1.76</v>
      </c>
      <c r="F363">
        <v>1.64</v>
      </c>
      <c r="G363">
        <v>1.7</v>
      </c>
      <c r="H363">
        <v>661</v>
      </c>
      <c r="I363">
        <v>0</v>
      </c>
      <c r="K363">
        <v>0</v>
      </c>
      <c r="L363">
        <v>12</v>
      </c>
      <c r="M363" t="s">
        <v>14</v>
      </c>
      <c r="N363">
        <v>0</v>
      </c>
      <c r="O363">
        <f t="shared" si="10"/>
        <v>0</v>
      </c>
      <c r="P363">
        <f t="shared" si="11"/>
        <v>0</v>
      </c>
    </row>
    <row r="364" spans="1:16">
      <c r="A364">
        <v>363</v>
      </c>
      <c r="B364" s="2">
        <v>45566</v>
      </c>
      <c r="C364">
        <v>61902</v>
      </c>
      <c r="D364">
        <v>19583</v>
      </c>
      <c r="E364">
        <v>1.63</v>
      </c>
      <c r="F364">
        <v>1.47</v>
      </c>
      <c r="G364">
        <v>0.9</v>
      </c>
      <c r="H364">
        <v>667</v>
      </c>
      <c r="I364">
        <v>0</v>
      </c>
      <c r="K364">
        <v>0</v>
      </c>
      <c r="L364">
        <v>12</v>
      </c>
      <c r="M364" t="s">
        <v>15</v>
      </c>
      <c r="N364">
        <v>0</v>
      </c>
      <c r="O364">
        <f t="shared" si="10"/>
        <v>0</v>
      </c>
      <c r="P364">
        <f t="shared" si="11"/>
        <v>0</v>
      </c>
    </row>
    <row r="365" spans="1:16">
      <c r="A365">
        <v>364</v>
      </c>
      <c r="B365" s="2">
        <v>44986</v>
      </c>
      <c r="C365">
        <v>50500</v>
      </c>
      <c r="D365">
        <v>13420</v>
      </c>
      <c r="E365">
        <v>0.38</v>
      </c>
      <c r="F365">
        <v>1.36</v>
      </c>
      <c r="G365">
        <v>0.68</v>
      </c>
      <c r="H365">
        <v>719</v>
      </c>
      <c r="I365">
        <v>1</v>
      </c>
      <c r="K365">
        <v>0</v>
      </c>
      <c r="L365">
        <v>6</v>
      </c>
      <c r="M365" t="s">
        <v>14</v>
      </c>
      <c r="N365">
        <v>0.45</v>
      </c>
      <c r="O365">
        <f t="shared" si="10"/>
        <v>0</v>
      </c>
      <c r="P365">
        <f t="shared" si="11"/>
        <v>1</v>
      </c>
    </row>
    <row r="366" spans="1:16">
      <c r="A366">
        <v>365</v>
      </c>
      <c r="B366" s="2">
        <v>45139</v>
      </c>
      <c r="C366">
        <v>72645</v>
      </c>
      <c r="D366">
        <v>9843</v>
      </c>
      <c r="E366">
        <v>1.97</v>
      </c>
      <c r="F366">
        <v>0.52</v>
      </c>
      <c r="G366">
        <v>1.04</v>
      </c>
      <c r="H366">
        <v>603</v>
      </c>
      <c r="I366">
        <v>0</v>
      </c>
      <c r="K366">
        <v>0</v>
      </c>
      <c r="L366">
        <v>12</v>
      </c>
      <c r="M366" t="s">
        <v>14</v>
      </c>
      <c r="N366">
        <v>0</v>
      </c>
      <c r="O366">
        <f t="shared" si="10"/>
        <v>0</v>
      </c>
      <c r="P366">
        <f t="shared" si="11"/>
        <v>0</v>
      </c>
    </row>
    <row r="367" spans="1:16">
      <c r="A367">
        <v>366</v>
      </c>
      <c r="B367" s="2">
        <v>45323</v>
      </c>
      <c r="C367">
        <v>77656</v>
      </c>
      <c r="D367">
        <v>12373</v>
      </c>
      <c r="F367">
        <v>0.24</v>
      </c>
      <c r="G367">
        <v>1.28</v>
      </c>
      <c r="H367">
        <v>596</v>
      </c>
      <c r="I367">
        <v>0</v>
      </c>
      <c r="K367">
        <v>0</v>
      </c>
      <c r="L367">
        <v>18</v>
      </c>
      <c r="M367" t="s">
        <v>15</v>
      </c>
      <c r="N367">
        <v>0.2</v>
      </c>
      <c r="O367">
        <f t="shared" si="10"/>
        <v>0</v>
      </c>
      <c r="P367">
        <f t="shared" si="11"/>
        <v>0</v>
      </c>
    </row>
    <row r="368" spans="1:16">
      <c r="A368">
        <v>367</v>
      </c>
      <c r="B368" s="2">
        <v>45627</v>
      </c>
      <c r="C368">
        <v>89179</v>
      </c>
      <c r="D368">
        <v>12558</v>
      </c>
      <c r="E368">
        <v>1.83</v>
      </c>
      <c r="F368">
        <v>0.69</v>
      </c>
      <c r="G368">
        <v>0.76</v>
      </c>
      <c r="H368">
        <v>705</v>
      </c>
      <c r="I368">
        <v>0</v>
      </c>
      <c r="K368">
        <v>0</v>
      </c>
      <c r="L368">
        <v>12</v>
      </c>
      <c r="M368" t="s">
        <v>15</v>
      </c>
      <c r="N368">
        <v>0.15</v>
      </c>
      <c r="O368">
        <f t="shared" si="10"/>
        <v>0</v>
      </c>
      <c r="P368">
        <f t="shared" si="11"/>
        <v>0</v>
      </c>
    </row>
    <row r="369" spans="1:16">
      <c r="A369">
        <v>368</v>
      </c>
      <c r="B369" s="2">
        <v>45444</v>
      </c>
      <c r="C369">
        <v>55363</v>
      </c>
      <c r="D369">
        <v>10311</v>
      </c>
      <c r="E369">
        <v>3.71</v>
      </c>
      <c r="F369">
        <v>1.82</v>
      </c>
      <c r="G369">
        <v>1.34</v>
      </c>
      <c r="H369">
        <v>735</v>
      </c>
      <c r="I369">
        <v>0</v>
      </c>
      <c r="K369">
        <v>0</v>
      </c>
      <c r="L369">
        <v>12</v>
      </c>
      <c r="M369" t="s">
        <v>15</v>
      </c>
      <c r="N369">
        <v>0</v>
      </c>
      <c r="O369">
        <f t="shared" si="10"/>
        <v>0</v>
      </c>
      <c r="P369">
        <f t="shared" si="11"/>
        <v>0</v>
      </c>
    </row>
    <row r="370" spans="1:16">
      <c r="A370">
        <v>369</v>
      </c>
      <c r="B370" s="2">
        <v>45352</v>
      </c>
      <c r="C370">
        <v>32577</v>
      </c>
      <c r="D370">
        <v>11146</v>
      </c>
      <c r="E370">
        <v>0.4</v>
      </c>
      <c r="F370">
        <v>2.4</v>
      </c>
      <c r="G370">
        <v>0.42</v>
      </c>
      <c r="H370">
        <v>594</v>
      </c>
      <c r="I370">
        <v>0</v>
      </c>
      <c r="K370">
        <v>0</v>
      </c>
      <c r="L370">
        <v>12</v>
      </c>
      <c r="M370" t="s">
        <v>15</v>
      </c>
      <c r="N370">
        <v>0.99999999999999989</v>
      </c>
      <c r="O370">
        <f t="shared" si="10"/>
        <v>0</v>
      </c>
      <c r="P370">
        <f t="shared" si="11"/>
        <v>0</v>
      </c>
    </row>
    <row r="371" spans="1:16">
      <c r="A371">
        <v>370</v>
      </c>
      <c r="B371" s="2">
        <v>45566</v>
      </c>
      <c r="C371">
        <v>39949</v>
      </c>
      <c r="D371">
        <v>40907</v>
      </c>
      <c r="E371">
        <v>2.5</v>
      </c>
      <c r="F371">
        <v>1.49</v>
      </c>
      <c r="G371">
        <v>0.73</v>
      </c>
      <c r="H371">
        <v>739</v>
      </c>
      <c r="I371">
        <v>0</v>
      </c>
      <c r="K371">
        <v>0</v>
      </c>
      <c r="L371">
        <v>12</v>
      </c>
      <c r="M371" t="s">
        <v>15</v>
      </c>
      <c r="N371">
        <v>0.15</v>
      </c>
      <c r="O371">
        <f t="shared" si="10"/>
        <v>0</v>
      </c>
      <c r="P371">
        <f t="shared" si="11"/>
        <v>0</v>
      </c>
    </row>
    <row r="372" spans="1:16">
      <c r="A372">
        <v>371</v>
      </c>
      <c r="B372" s="2">
        <v>45597</v>
      </c>
      <c r="C372">
        <v>79557</v>
      </c>
      <c r="D372">
        <v>19784</v>
      </c>
      <c r="E372">
        <v>1.39</v>
      </c>
      <c r="F372">
        <v>1.22</v>
      </c>
      <c r="G372">
        <v>1.72</v>
      </c>
      <c r="H372">
        <v>682</v>
      </c>
      <c r="I372">
        <v>0</v>
      </c>
      <c r="K372">
        <v>0</v>
      </c>
      <c r="L372">
        <v>18</v>
      </c>
      <c r="M372" t="s">
        <v>15</v>
      </c>
      <c r="N372">
        <v>0</v>
      </c>
      <c r="O372">
        <f t="shared" si="10"/>
        <v>0</v>
      </c>
      <c r="P372">
        <f t="shared" si="11"/>
        <v>0</v>
      </c>
    </row>
    <row r="373" spans="1:16">
      <c r="A373">
        <v>372</v>
      </c>
      <c r="B373" s="2">
        <v>44958</v>
      </c>
      <c r="C373">
        <v>21354</v>
      </c>
      <c r="D373">
        <v>10863</v>
      </c>
      <c r="E373">
        <v>1.71</v>
      </c>
      <c r="F373">
        <v>1.18</v>
      </c>
      <c r="G373">
        <v>1.68</v>
      </c>
      <c r="H373">
        <v>740</v>
      </c>
      <c r="I373">
        <v>1</v>
      </c>
      <c r="J373">
        <v>25395</v>
      </c>
      <c r="K373">
        <v>1</v>
      </c>
      <c r="L373">
        <v>12</v>
      </c>
      <c r="M373" t="s">
        <v>14</v>
      </c>
      <c r="N373">
        <v>0</v>
      </c>
      <c r="O373">
        <f t="shared" si="10"/>
        <v>1</v>
      </c>
      <c r="P373">
        <f t="shared" si="11"/>
        <v>0</v>
      </c>
    </row>
    <row r="374" spans="1:16">
      <c r="A374">
        <v>373</v>
      </c>
      <c r="B374" s="2">
        <v>45200</v>
      </c>
      <c r="C374">
        <v>46149</v>
      </c>
      <c r="D374">
        <v>21761</v>
      </c>
      <c r="E374">
        <v>1.52</v>
      </c>
      <c r="F374">
        <v>0.61</v>
      </c>
      <c r="G374">
        <v>1.1299999999999999</v>
      </c>
      <c r="H374">
        <v>676</v>
      </c>
      <c r="I374">
        <v>0</v>
      </c>
      <c r="K374">
        <v>0</v>
      </c>
      <c r="L374">
        <v>12</v>
      </c>
      <c r="M374" t="s">
        <v>14</v>
      </c>
      <c r="N374">
        <v>0</v>
      </c>
      <c r="O374">
        <f t="shared" si="10"/>
        <v>0</v>
      </c>
      <c r="P374">
        <f t="shared" si="11"/>
        <v>0</v>
      </c>
    </row>
    <row r="375" spans="1:16">
      <c r="A375">
        <v>374</v>
      </c>
      <c r="B375" s="2">
        <v>44958</v>
      </c>
      <c r="C375">
        <v>28123</v>
      </c>
      <c r="D375">
        <v>10576</v>
      </c>
      <c r="E375">
        <v>1.32</v>
      </c>
      <c r="F375">
        <v>0.83</v>
      </c>
      <c r="G375">
        <v>0.79</v>
      </c>
      <c r="H375">
        <v>541</v>
      </c>
      <c r="I375">
        <v>0</v>
      </c>
      <c r="K375">
        <v>0</v>
      </c>
      <c r="L375">
        <v>6</v>
      </c>
      <c r="M375" t="s">
        <v>14</v>
      </c>
      <c r="N375">
        <v>0.35</v>
      </c>
      <c r="O375">
        <f t="shared" si="10"/>
        <v>0</v>
      </c>
      <c r="P375">
        <f t="shared" si="11"/>
        <v>0</v>
      </c>
    </row>
    <row r="376" spans="1:16">
      <c r="A376">
        <v>375</v>
      </c>
      <c r="B376" s="2">
        <v>45413</v>
      </c>
      <c r="C376">
        <v>37000</v>
      </c>
      <c r="D376">
        <v>30369</v>
      </c>
      <c r="E376">
        <v>1.24</v>
      </c>
      <c r="F376">
        <v>2.91</v>
      </c>
      <c r="G376">
        <v>0.78</v>
      </c>
      <c r="H376">
        <v>672</v>
      </c>
      <c r="I376">
        <v>0</v>
      </c>
      <c r="K376">
        <v>0</v>
      </c>
      <c r="L376">
        <v>12</v>
      </c>
      <c r="M376" t="s">
        <v>15</v>
      </c>
      <c r="N376">
        <v>0.5</v>
      </c>
      <c r="O376">
        <f t="shared" si="10"/>
        <v>0</v>
      </c>
      <c r="P376">
        <f t="shared" si="11"/>
        <v>0</v>
      </c>
    </row>
    <row r="377" spans="1:16">
      <c r="A377">
        <v>376</v>
      </c>
      <c r="B377" s="2">
        <v>45139</v>
      </c>
      <c r="C377">
        <v>83366</v>
      </c>
      <c r="D377">
        <v>17305</v>
      </c>
      <c r="E377">
        <v>1.73</v>
      </c>
      <c r="F377">
        <v>0.47</v>
      </c>
      <c r="G377">
        <v>1.1399999999999999</v>
      </c>
      <c r="H377">
        <v>738</v>
      </c>
      <c r="I377">
        <v>0</v>
      </c>
      <c r="K377">
        <v>0</v>
      </c>
      <c r="L377">
        <v>18</v>
      </c>
      <c r="M377" t="s">
        <v>14</v>
      </c>
      <c r="N377">
        <v>0</v>
      </c>
      <c r="O377">
        <f t="shared" si="10"/>
        <v>0</v>
      </c>
      <c r="P377">
        <f t="shared" si="11"/>
        <v>0</v>
      </c>
    </row>
    <row r="378" spans="1:16">
      <c r="A378">
        <v>377</v>
      </c>
      <c r="B378" s="2">
        <v>44927</v>
      </c>
      <c r="C378">
        <v>41119</v>
      </c>
      <c r="D378">
        <v>12393</v>
      </c>
      <c r="E378">
        <v>0.72</v>
      </c>
      <c r="F378">
        <v>2.8</v>
      </c>
      <c r="G378">
        <v>1.7</v>
      </c>
      <c r="H378">
        <v>631</v>
      </c>
      <c r="I378">
        <v>0</v>
      </c>
      <c r="K378">
        <v>0</v>
      </c>
      <c r="L378">
        <v>12</v>
      </c>
      <c r="M378" t="s">
        <v>14</v>
      </c>
      <c r="N378">
        <v>0.64999999999999991</v>
      </c>
      <c r="O378">
        <f t="shared" si="10"/>
        <v>0</v>
      </c>
      <c r="P378">
        <f t="shared" si="11"/>
        <v>0</v>
      </c>
    </row>
    <row r="379" spans="1:16">
      <c r="A379">
        <v>378</v>
      </c>
      <c r="B379" s="2">
        <v>45170</v>
      </c>
      <c r="C379">
        <v>37428</v>
      </c>
      <c r="D379">
        <v>18277</v>
      </c>
      <c r="E379">
        <v>1.96</v>
      </c>
      <c r="F379">
        <v>0.72</v>
      </c>
      <c r="G379">
        <v>1.86</v>
      </c>
      <c r="H379">
        <v>659</v>
      </c>
      <c r="I379">
        <v>0</v>
      </c>
      <c r="K379">
        <v>0</v>
      </c>
      <c r="L379">
        <v>12</v>
      </c>
      <c r="M379" t="s">
        <v>14</v>
      </c>
      <c r="N379">
        <v>0</v>
      </c>
      <c r="O379">
        <f t="shared" si="10"/>
        <v>0</v>
      </c>
      <c r="P379">
        <f t="shared" si="11"/>
        <v>0</v>
      </c>
    </row>
    <row r="380" spans="1:16">
      <c r="A380">
        <v>379</v>
      </c>
      <c r="B380" s="2">
        <v>45231</v>
      </c>
      <c r="C380">
        <v>15004</v>
      </c>
      <c r="D380">
        <v>4449</v>
      </c>
      <c r="E380">
        <v>1.32</v>
      </c>
      <c r="F380">
        <v>2.29</v>
      </c>
      <c r="G380">
        <v>1.08</v>
      </c>
      <c r="H380">
        <v>670</v>
      </c>
      <c r="I380">
        <v>1</v>
      </c>
      <c r="K380">
        <v>0</v>
      </c>
      <c r="L380">
        <v>6</v>
      </c>
      <c r="M380" t="s">
        <v>14</v>
      </c>
      <c r="N380">
        <v>0.35</v>
      </c>
      <c r="O380">
        <f t="shared" si="10"/>
        <v>0</v>
      </c>
      <c r="P380">
        <f t="shared" si="11"/>
        <v>1</v>
      </c>
    </row>
    <row r="381" spans="1:16">
      <c r="A381">
        <v>380</v>
      </c>
      <c r="B381" s="2">
        <v>45566</v>
      </c>
      <c r="C381">
        <v>58987</v>
      </c>
      <c r="D381">
        <v>6071</v>
      </c>
      <c r="E381">
        <v>0.93</v>
      </c>
      <c r="F381">
        <v>0.34</v>
      </c>
      <c r="G381">
        <v>0.72</v>
      </c>
      <c r="H381">
        <v>521</v>
      </c>
      <c r="I381">
        <v>0</v>
      </c>
      <c r="K381">
        <v>0</v>
      </c>
      <c r="L381">
        <v>12</v>
      </c>
      <c r="M381" t="s">
        <v>15</v>
      </c>
      <c r="N381">
        <v>0.65</v>
      </c>
      <c r="O381">
        <f t="shared" si="10"/>
        <v>0</v>
      </c>
      <c r="P381">
        <f t="shared" si="11"/>
        <v>0</v>
      </c>
    </row>
    <row r="382" spans="1:16">
      <c r="A382">
        <v>381</v>
      </c>
      <c r="B382" s="2">
        <v>45383</v>
      </c>
      <c r="C382">
        <v>55247</v>
      </c>
      <c r="D382">
        <v>5792</v>
      </c>
      <c r="E382">
        <v>1.3</v>
      </c>
      <c r="F382">
        <v>1.36</v>
      </c>
      <c r="G382">
        <v>1.5</v>
      </c>
      <c r="H382">
        <v>772</v>
      </c>
      <c r="I382">
        <v>0</v>
      </c>
      <c r="K382">
        <v>0</v>
      </c>
      <c r="L382">
        <v>6</v>
      </c>
      <c r="M382" t="s">
        <v>15</v>
      </c>
      <c r="N382">
        <v>0</v>
      </c>
      <c r="O382">
        <f t="shared" si="10"/>
        <v>0</v>
      </c>
      <c r="P382">
        <f t="shared" si="11"/>
        <v>0</v>
      </c>
    </row>
    <row r="383" spans="1:16">
      <c r="A383">
        <v>382</v>
      </c>
      <c r="B383" s="2">
        <v>45108</v>
      </c>
      <c r="C383">
        <v>148170</v>
      </c>
      <c r="D383">
        <v>14766</v>
      </c>
      <c r="E383">
        <v>2.2400000000000002</v>
      </c>
      <c r="F383">
        <v>0.54</v>
      </c>
      <c r="G383">
        <v>0.9</v>
      </c>
      <c r="H383">
        <v>630</v>
      </c>
      <c r="I383">
        <v>0</v>
      </c>
      <c r="K383">
        <v>0</v>
      </c>
      <c r="L383">
        <v>12</v>
      </c>
      <c r="M383" t="s">
        <v>14</v>
      </c>
      <c r="N383">
        <v>0</v>
      </c>
      <c r="O383">
        <f t="shared" si="10"/>
        <v>0</v>
      </c>
      <c r="P383">
        <f t="shared" si="11"/>
        <v>0</v>
      </c>
    </row>
    <row r="384" spans="1:16">
      <c r="A384">
        <v>383</v>
      </c>
      <c r="B384" s="2">
        <v>45200</v>
      </c>
      <c r="C384">
        <v>29731</v>
      </c>
      <c r="D384">
        <v>44925</v>
      </c>
      <c r="E384">
        <v>1.26</v>
      </c>
      <c r="F384">
        <v>0.34</v>
      </c>
      <c r="G384">
        <v>1.06</v>
      </c>
      <c r="H384">
        <v>708</v>
      </c>
      <c r="I384">
        <v>1</v>
      </c>
      <c r="J384">
        <v>12849</v>
      </c>
      <c r="K384">
        <v>1</v>
      </c>
      <c r="L384">
        <v>6</v>
      </c>
      <c r="M384" t="s">
        <v>14</v>
      </c>
      <c r="N384">
        <v>0</v>
      </c>
      <c r="O384">
        <f t="shared" si="10"/>
        <v>1</v>
      </c>
      <c r="P384">
        <f t="shared" si="11"/>
        <v>0</v>
      </c>
    </row>
    <row r="385" spans="1:16">
      <c r="A385">
        <v>384</v>
      </c>
      <c r="B385" s="2">
        <v>45597</v>
      </c>
      <c r="C385">
        <v>41875</v>
      </c>
      <c r="D385">
        <v>63698</v>
      </c>
      <c r="E385">
        <v>1.75</v>
      </c>
      <c r="F385">
        <v>1.05</v>
      </c>
      <c r="G385">
        <v>2.08</v>
      </c>
      <c r="H385">
        <v>675</v>
      </c>
      <c r="I385">
        <v>0</v>
      </c>
      <c r="K385">
        <v>0</v>
      </c>
      <c r="L385">
        <v>12</v>
      </c>
      <c r="M385" t="s">
        <v>15</v>
      </c>
      <c r="N385">
        <v>0</v>
      </c>
      <c r="O385">
        <f t="shared" si="10"/>
        <v>0</v>
      </c>
      <c r="P385">
        <f t="shared" si="11"/>
        <v>0</v>
      </c>
    </row>
    <row r="386" spans="1:16">
      <c r="A386">
        <v>385</v>
      </c>
      <c r="B386" s="2">
        <v>44986</v>
      </c>
      <c r="C386">
        <v>42706</v>
      </c>
      <c r="D386">
        <v>20882</v>
      </c>
      <c r="E386">
        <v>1.1499999999999999</v>
      </c>
      <c r="F386">
        <v>1.83</v>
      </c>
      <c r="G386">
        <v>1.8</v>
      </c>
      <c r="H386">
        <v>749</v>
      </c>
      <c r="I386">
        <v>0</v>
      </c>
      <c r="K386">
        <v>0</v>
      </c>
      <c r="L386">
        <v>12</v>
      </c>
      <c r="M386" t="s">
        <v>14</v>
      </c>
      <c r="N386">
        <v>0</v>
      </c>
      <c r="O386">
        <f t="shared" si="10"/>
        <v>0</v>
      </c>
      <c r="P386">
        <f t="shared" si="11"/>
        <v>0</v>
      </c>
    </row>
    <row r="387" spans="1:16">
      <c r="A387">
        <v>386</v>
      </c>
      <c r="B387" s="2">
        <v>45444</v>
      </c>
      <c r="C387">
        <v>101250</v>
      </c>
      <c r="D387">
        <v>18970</v>
      </c>
      <c r="E387">
        <v>1.97</v>
      </c>
      <c r="F387">
        <v>0.5</v>
      </c>
      <c r="G387">
        <v>1.44</v>
      </c>
      <c r="H387">
        <v>702</v>
      </c>
      <c r="I387">
        <v>0</v>
      </c>
      <c r="K387">
        <v>0</v>
      </c>
      <c r="L387">
        <v>12</v>
      </c>
      <c r="M387" t="s">
        <v>15</v>
      </c>
      <c r="N387">
        <v>0</v>
      </c>
      <c r="O387">
        <f t="shared" ref="O387:O450" si="12">IF(J387="",0,1)</f>
        <v>0</v>
      </c>
      <c r="P387">
        <f t="shared" ref="P387:P450" si="13">IF(I387=K387,0,1)</f>
        <v>0</v>
      </c>
    </row>
    <row r="388" spans="1:16">
      <c r="A388">
        <v>387</v>
      </c>
      <c r="B388" s="2">
        <v>45627</v>
      </c>
      <c r="C388">
        <v>34134</v>
      </c>
      <c r="D388">
        <v>3787</v>
      </c>
      <c r="E388">
        <v>1.93</v>
      </c>
      <c r="F388">
        <v>0.32</v>
      </c>
      <c r="G388">
        <v>0.65</v>
      </c>
      <c r="H388">
        <v>667</v>
      </c>
      <c r="I388">
        <v>0</v>
      </c>
      <c r="K388">
        <v>0</v>
      </c>
      <c r="L388">
        <v>12</v>
      </c>
      <c r="M388" t="s">
        <v>15</v>
      </c>
      <c r="N388">
        <v>0.15</v>
      </c>
      <c r="O388">
        <f t="shared" si="12"/>
        <v>0</v>
      </c>
      <c r="P388">
        <f t="shared" si="13"/>
        <v>0</v>
      </c>
    </row>
    <row r="389" spans="1:16">
      <c r="A389">
        <v>388</v>
      </c>
      <c r="B389" s="2">
        <v>45292</v>
      </c>
      <c r="C389">
        <v>43537</v>
      </c>
      <c r="D389">
        <v>9137</v>
      </c>
      <c r="E389">
        <v>2.57</v>
      </c>
      <c r="F389">
        <v>0.85</v>
      </c>
      <c r="G389">
        <v>1.47</v>
      </c>
      <c r="I389">
        <v>0</v>
      </c>
      <c r="K389">
        <v>0</v>
      </c>
      <c r="L389">
        <v>12</v>
      </c>
      <c r="M389" t="s">
        <v>15</v>
      </c>
      <c r="N389">
        <v>0</v>
      </c>
      <c r="O389">
        <f t="shared" si="12"/>
        <v>0</v>
      </c>
      <c r="P389">
        <f t="shared" si="13"/>
        <v>0</v>
      </c>
    </row>
    <row r="390" spans="1:16">
      <c r="A390">
        <v>389</v>
      </c>
      <c r="B390" s="2">
        <v>45108</v>
      </c>
      <c r="C390">
        <v>53913</v>
      </c>
      <c r="D390">
        <v>7697</v>
      </c>
      <c r="E390">
        <v>1.45</v>
      </c>
      <c r="F390">
        <v>0.85</v>
      </c>
      <c r="G390">
        <v>1.93</v>
      </c>
      <c r="H390">
        <v>724</v>
      </c>
      <c r="I390">
        <v>0</v>
      </c>
      <c r="K390">
        <v>0</v>
      </c>
      <c r="L390">
        <v>6</v>
      </c>
      <c r="M390" t="s">
        <v>14</v>
      </c>
      <c r="N390">
        <v>0</v>
      </c>
      <c r="O390">
        <f t="shared" si="12"/>
        <v>0</v>
      </c>
      <c r="P390">
        <f t="shared" si="13"/>
        <v>0</v>
      </c>
    </row>
    <row r="391" spans="1:16">
      <c r="A391">
        <v>390</v>
      </c>
      <c r="B391" s="2">
        <v>45017</v>
      </c>
      <c r="C391">
        <v>40999</v>
      </c>
      <c r="D391">
        <v>8651</v>
      </c>
      <c r="E391">
        <v>1.92</v>
      </c>
      <c r="F391">
        <v>1.33</v>
      </c>
      <c r="G391">
        <v>1.1399999999999999</v>
      </c>
      <c r="H391">
        <v>577</v>
      </c>
      <c r="I391">
        <v>0</v>
      </c>
      <c r="K391">
        <v>0</v>
      </c>
      <c r="L391">
        <v>12</v>
      </c>
      <c r="M391" t="s">
        <v>14</v>
      </c>
      <c r="N391">
        <v>0.2</v>
      </c>
      <c r="O391">
        <f t="shared" si="12"/>
        <v>0</v>
      </c>
      <c r="P391">
        <f t="shared" si="13"/>
        <v>0</v>
      </c>
    </row>
    <row r="392" spans="1:16">
      <c r="A392">
        <v>391</v>
      </c>
      <c r="B392" s="2">
        <v>45292</v>
      </c>
      <c r="C392">
        <v>27169</v>
      </c>
      <c r="D392">
        <v>11876</v>
      </c>
      <c r="E392">
        <v>1.6</v>
      </c>
      <c r="F392">
        <v>1.76</v>
      </c>
      <c r="G392">
        <v>2.09</v>
      </c>
      <c r="H392">
        <v>716</v>
      </c>
      <c r="I392">
        <v>0</v>
      </c>
      <c r="K392">
        <v>0</v>
      </c>
      <c r="L392">
        <v>12</v>
      </c>
      <c r="M392" t="s">
        <v>15</v>
      </c>
      <c r="N392">
        <v>0</v>
      </c>
      <c r="O392">
        <f t="shared" si="12"/>
        <v>0</v>
      </c>
      <c r="P392">
        <f t="shared" si="13"/>
        <v>0</v>
      </c>
    </row>
    <row r="393" spans="1:16">
      <c r="A393">
        <v>392</v>
      </c>
      <c r="B393" s="2">
        <v>45505</v>
      </c>
      <c r="C393">
        <v>41199</v>
      </c>
      <c r="D393">
        <v>9600</v>
      </c>
      <c r="E393">
        <v>2.2599999999999998</v>
      </c>
      <c r="F393">
        <v>0.87</v>
      </c>
      <c r="G393">
        <v>2.06</v>
      </c>
      <c r="H393">
        <v>620</v>
      </c>
      <c r="I393">
        <v>0</v>
      </c>
      <c r="K393">
        <v>0</v>
      </c>
      <c r="L393">
        <v>6</v>
      </c>
      <c r="M393" t="s">
        <v>15</v>
      </c>
      <c r="N393">
        <v>0</v>
      </c>
      <c r="O393">
        <f t="shared" si="12"/>
        <v>0</v>
      </c>
      <c r="P393">
        <f t="shared" si="13"/>
        <v>0</v>
      </c>
    </row>
    <row r="394" spans="1:16">
      <c r="A394">
        <v>393</v>
      </c>
      <c r="B394" s="2">
        <v>44927</v>
      </c>
      <c r="D394">
        <v>3343</v>
      </c>
      <c r="E394">
        <v>1.1499999999999999</v>
      </c>
      <c r="F394">
        <v>3.32</v>
      </c>
      <c r="G394">
        <v>2.27</v>
      </c>
      <c r="H394">
        <v>749</v>
      </c>
      <c r="I394">
        <v>0</v>
      </c>
      <c r="K394">
        <v>0</v>
      </c>
      <c r="L394">
        <v>12</v>
      </c>
      <c r="M394" t="s">
        <v>14</v>
      </c>
      <c r="N394">
        <v>0.35</v>
      </c>
      <c r="O394">
        <f t="shared" si="12"/>
        <v>0</v>
      </c>
      <c r="P394">
        <f t="shared" si="13"/>
        <v>0</v>
      </c>
    </row>
    <row r="395" spans="1:16">
      <c r="A395">
        <v>394</v>
      </c>
      <c r="B395" s="2">
        <v>45139</v>
      </c>
      <c r="C395">
        <v>18634</v>
      </c>
      <c r="D395">
        <v>22551</v>
      </c>
      <c r="E395">
        <v>1.96</v>
      </c>
      <c r="F395">
        <v>1.06</v>
      </c>
      <c r="G395">
        <v>1.52</v>
      </c>
      <c r="H395">
        <v>689</v>
      </c>
      <c r="I395">
        <v>0</v>
      </c>
      <c r="K395">
        <v>0</v>
      </c>
      <c r="L395">
        <v>6</v>
      </c>
      <c r="M395" t="s">
        <v>14</v>
      </c>
      <c r="N395">
        <v>0</v>
      </c>
      <c r="O395">
        <f t="shared" si="12"/>
        <v>0</v>
      </c>
      <c r="P395">
        <f t="shared" si="13"/>
        <v>0</v>
      </c>
    </row>
    <row r="396" spans="1:16">
      <c r="A396">
        <v>395</v>
      </c>
      <c r="B396" s="2">
        <v>45323</v>
      </c>
      <c r="C396">
        <v>39594</v>
      </c>
      <c r="D396">
        <v>6305</v>
      </c>
      <c r="E396">
        <v>1.44</v>
      </c>
      <c r="F396">
        <v>0.71</v>
      </c>
      <c r="G396">
        <v>1.67</v>
      </c>
      <c r="H396">
        <v>715</v>
      </c>
      <c r="I396">
        <v>0</v>
      </c>
      <c r="K396">
        <v>0</v>
      </c>
      <c r="L396">
        <v>12</v>
      </c>
      <c r="M396" t="s">
        <v>15</v>
      </c>
      <c r="N396">
        <v>0</v>
      </c>
      <c r="O396">
        <f t="shared" si="12"/>
        <v>0</v>
      </c>
      <c r="P396">
        <f t="shared" si="13"/>
        <v>0</v>
      </c>
    </row>
    <row r="397" spans="1:16">
      <c r="A397">
        <v>396</v>
      </c>
      <c r="B397" s="2">
        <v>45383</v>
      </c>
      <c r="C397">
        <v>23038</v>
      </c>
      <c r="D397">
        <v>15795</v>
      </c>
      <c r="E397">
        <v>1.51</v>
      </c>
      <c r="F397">
        <v>0.28999999999999998</v>
      </c>
      <c r="G397">
        <v>2.13</v>
      </c>
      <c r="H397">
        <v>685</v>
      </c>
      <c r="I397">
        <v>0</v>
      </c>
      <c r="K397">
        <v>0</v>
      </c>
      <c r="L397">
        <v>12</v>
      </c>
      <c r="M397" t="s">
        <v>15</v>
      </c>
      <c r="N397">
        <v>0</v>
      </c>
      <c r="O397">
        <f t="shared" si="12"/>
        <v>0</v>
      </c>
      <c r="P397">
        <f t="shared" si="13"/>
        <v>0</v>
      </c>
    </row>
    <row r="398" spans="1:16">
      <c r="A398">
        <v>397</v>
      </c>
      <c r="B398" s="2">
        <v>45323</v>
      </c>
      <c r="C398">
        <v>78967</v>
      </c>
      <c r="D398">
        <v>57060</v>
      </c>
      <c r="E398">
        <v>1.6</v>
      </c>
      <c r="F398">
        <v>0.75</v>
      </c>
      <c r="G398">
        <v>1.6</v>
      </c>
      <c r="H398">
        <v>584</v>
      </c>
      <c r="I398">
        <v>0</v>
      </c>
      <c r="K398">
        <v>0</v>
      </c>
      <c r="L398">
        <v>6</v>
      </c>
      <c r="M398" t="s">
        <v>15</v>
      </c>
      <c r="N398">
        <v>0.2</v>
      </c>
      <c r="O398">
        <f t="shared" si="12"/>
        <v>0</v>
      </c>
      <c r="P398">
        <f t="shared" si="13"/>
        <v>0</v>
      </c>
    </row>
    <row r="399" spans="1:16">
      <c r="A399">
        <v>398</v>
      </c>
      <c r="B399" s="2">
        <v>45261</v>
      </c>
      <c r="C399">
        <v>13493</v>
      </c>
      <c r="D399">
        <v>7019</v>
      </c>
      <c r="E399">
        <v>1.69</v>
      </c>
      <c r="F399">
        <v>0.72</v>
      </c>
      <c r="G399">
        <v>1.07</v>
      </c>
      <c r="H399">
        <v>633</v>
      </c>
      <c r="I399">
        <v>0</v>
      </c>
      <c r="K399">
        <v>0</v>
      </c>
      <c r="L399">
        <v>12</v>
      </c>
      <c r="M399" t="s">
        <v>14</v>
      </c>
      <c r="N399">
        <v>0</v>
      </c>
      <c r="O399">
        <f t="shared" si="12"/>
        <v>0</v>
      </c>
      <c r="P399">
        <f t="shared" si="13"/>
        <v>0</v>
      </c>
    </row>
    <row r="400" spans="1:16">
      <c r="A400">
        <v>399</v>
      </c>
      <c r="B400" s="2">
        <v>45474</v>
      </c>
      <c r="C400">
        <v>25253</v>
      </c>
      <c r="D400">
        <v>2273</v>
      </c>
      <c r="E400">
        <v>1.49</v>
      </c>
      <c r="F400">
        <v>1.77</v>
      </c>
      <c r="G400">
        <v>1.1000000000000001</v>
      </c>
      <c r="H400">
        <v>717</v>
      </c>
      <c r="I400">
        <v>0</v>
      </c>
      <c r="K400">
        <v>0</v>
      </c>
      <c r="L400">
        <v>18</v>
      </c>
      <c r="M400" t="s">
        <v>15</v>
      </c>
      <c r="N400">
        <v>0</v>
      </c>
      <c r="O400">
        <f t="shared" si="12"/>
        <v>0</v>
      </c>
      <c r="P400">
        <f t="shared" si="13"/>
        <v>0</v>
      </c>
    </row>
    <row r="401" spans="1:16">
      <c r="A401">
        <v>400</v>
      </c>
      <c r="B401" s="2">
        <v>45597</v>
      </c>
      <c r="C401">
        <v>46406</v>
      </c>
      <c r="D401">
        <v>10936</v>
      </c>
      <c r="E401">
        <v>1.67</v>
      </c>
      <c r="F401">
        <v>1.25</v>
      </c>
      <c r="G401">
        <v>1.48</v>
      </c>
      <c r="H401">
        <v>689</v>
      </c>
      <c r="I401">
        <v>0</v>
      </c>
      <c r="K401">
        <v>0</v>
      </c>
      <c r="L401">
        <v>12</v>
      </c>
      <c r="M401" t="s">
        <v>15</v>
      </c>
      <c r="N401">
        <v>0</v>
      </c>
      <c r="O401">
        <f t="shared" si="12"/>
        <v>0</v>
      </c>
      <c r="P401">
        <f t="shared" si="13"/>
        <v>0</v>
      </c>
    </row>
    <row r="402" spans="1:16">
      <c r="A402">
        <v>401</v>
      </c>
      <c r="B402" s="2">
        <v>45352</v>
      </c>
      <c r="C402">
        <v>100468</v>
      </c>
      <c r="D402">
        <v>28873</v>
      </c>
      <c r="E402">
        <v>2.42</v>
      </c>
      <c r="F402">
        <v>0.4</v>
      </c>
      <c r="G402">
        <v>0.64</v>
      </c>
      <c r="H402">
        <v>745</v>
      </c>
      <c r="I402">
        <v>1</v>
      </c>
      <c r="K402">
        <v>0</v>
      </c>
      <c r="L402">
        <v>12</v>
      </c>
      <c r="M402" t="s">
        <v>15</v>
      </c>
      <c r="N402">
        <v>0.15</v>
      </c>
      <c r="O402">
        <f t="shared" si="12"/>
        <v>0</v>
      </c>
      <c r="P402">
        <f t="shared" si="13"/>
        <v>1</v>
      </c>
    </row>
    <row r="403" spans="1:16">
      <c r="A403">
        <v>402</v>
      </c>
      <c r="B403" s="2">
        <v>44958</v>
      </c>
      <c r="C403">
        <v>34796</v>
      </c>
      <c r="D403">
        <v>52620</v>
      </c>
      <c r="E403">
        <v>2.09</v>
      </c>
      <c r="F403">
        <v>1.02</v>
      </c>
      <c r="G403">
        <v>1.27</v>
      </c>
      <c r="H403">
        <v>702</v>
      </c>
      <c r="I403">
        <v>0</v>
      </c>
      <c r="K403">
        <v>0</v>
      </c>
      <c r="L403">
        <v>18</v>
      </c>
      <c r="M403" t="s">
        <v>14</v>
      </c>
      <c r="N403">
        <v>0</v>
      </c>
      <c r="O403">
        <f t="shared" si="12"/>
        <v>0</v>
      </c>
      <c r="P403">
        <f t="shared" si="13"/>
        <v>0</v>
      </c>
    </row>
    <row r="404" spans="1:16">
      <c r="A404">
        <v>403</v>
      </c>
      <c r="B404" s="2">
        <v>44958</v>
      </c>
      <c r="C404">
        <v>25314</v>
      </c>
      <c r="D404">
        <v>5649</v>
      </c>
      <c r="E404">
        <v>2.0299999999999998</v>
      </c>
      <c r="F404">
        <v>1.45</v>
      </c>
      <c r="G404">
        <v>1.95</v>
      </c>
      <c r="H404">
        <v>627</v>
      </c>
      <c r="I404">
        <v>0</v>
      </c>
      <c r="K404">
        <v>0</v>
      </c>
      <c r="L404">
        <v>6</v>
      </c>
      <c r="M404" t="s">
        <v>14</v>
      </c>
      <c r="N404">
        <v>0</v>
      </c>
      <c r="O404">
        <f t="shared" si="12"/>
        <v>0</v>
      </c>
      <c r="P404">
        <f t="shared" si="13"/>
        <v>0</v>
      </c>
    </row>
    <row r="405" spans="1:16">
      <c r="A405">
        <v>404</v>
      </c>
      <c r="B405" s="2">
        <v>45597</v>
      </c>
      <c r="C405">
        <v>123346</v>
      </c>
      <c r="D405">
        <v>18915</v>
      </c>
      <c r="E405">
        <v>1.3</v>
      </c>
      <c r="F405">
        <v>2.64</v>
      </c>
      <c r="G405">
        <v>0.14000000000000001</v>
      </c>
      <c r="H405">
        <v>636</v>
      </c>
      <c r="I405">
        <v>0</v>
      </c>
      <c r="K405">
        <v>0</v>
      </c>
      <c r="L405">
        <v>6</v>
      </c>
      <c r="M405" t="s">
        <v>15</v>
      </c>
      <c r="N405">
        <v>0.5</v>
      </c>
      <c r="O405">
        <f t="shared" si="12"/>
        <v>0</v>
      </c>
      <c r="P405">
        <f t="shared" si="13"/>
        <v>0</v>
      </c>
    </row>
    <row r="406" spans="1:16">
      <c r="A406">
        <v>405</v>
      </c>
      <c r="B406" s="2">
        <v>45566</v>
      </c>
      <c r="C406">
        <v>14169</v>
      </c>
      <c r="D406">
        <v>9646</v>
      </c>
      <c r="E406">
        <v>1.06</v>
      </c>
      <c r="F406">
        <v>1.68</v>
      </c>
      <c r="G406">
        <v>2.19</v>
      </c>
      <c r="H406">
        <v>686</v>
      </c>
      <c r="I406">
        <v>0</v>
      </c>
      <c r="K406">
        <v>0</v>
      </c>
      <c r="L406">
        <v>18</v>
      </c>
      <c r="M406" t="s">
        <v>15</v>
      </c>
      <c r="N406">
        <v>0</v>
      </c>
      <c r="O406">
        <f t="shared" si="12"/>
        <v>0</v>
      </c>
      <c r="P406">
        <f t="shared" si="13"/>
        <v>0</v>
      </c>
    </row>
    <row r="407" spans="1:16">
      <c r="A407">
        <v>406</v>
      </c>
      <c r="B407" s="2">
        <v>45474</v>
      </c>
      <c r="D407">
        <v>12405</v>
      </c>
      <c r="E407">
        <v>2.08</v>
      </c>
      <c r="F407">
        <v>1.54</v>
      </c>
      <c r="G407">
        <v>1.97</v>
      </c>
      <c r="H407">
        <v>553</v>
      </c>
      <c r="I407">
        <v>0</v>
      </c>
      <c r="K407">
        <v>0</v>
      </c>
      <c r="L407">
        <v>18</v>
      </c>
      <c r="M407" t="s">
        <v>15</v>
      </c>
      <c r="N407">
        <v>0.2</v>
      </c>
      <c r="O407">
        <f t="shared" si="12"/>
        <v>0</v>
      </c>
      <c r="P407">
        <f t="shared" si="13"/>
        <v>0</v>
      </c>
    </row>
    <row r="408" spans="1:16">
      <c r="A408">
        <v>407</v>
      </c>
      <c r="B408" s="2">
        <v>45566</v>
      </c>
      <c r="C408">
        <v>48340</v>
      </c>
      <c r="D408">
        <v>85054</v>
      </c>
      <c r="E408">
        <v>2.0299999999999998</v>
      </c>
      <c r="F408">
        <v>0.94</v>
      </c>
      <c r="G408">
        <v>1.1000000000000001</v>
      </c>
      <c r="H408">
        <v>772</v>
      </c>
      <c r="I408">
        <v>1</v>
      </c>
      <c r="K408">
        <v>0</v>
      </c>
      <c r="L408">
        <v>12</v>
      </c>
      <c r="M408" t="s">
        <v>15</v>
      </c>
      <c r="N408">
        <v>0</v>
      </c>
      <c r="O408">
        <f t="shared" si="12"/>
        <v>0</v>
      </c>
      <c r="P408">
        <f t="shared" si="13"/>
        <v>1</v>
      </c>
    </row>
    <row r="409" spans="1:16">
      <c r="A409">
        <v>408</v>
      </c>
      <c r="B409" s="2">
        <v>45566</v>
      </c>
      <c r="C409">
        <v>26204</v>
      </c>
      <c r="D409">
        <v>4665</v>
      </c>
      <c r="E409">
        <v>2.36</v>
      </c>
      <c r="F409">
        <v>1.19</v>
      </c>
      <c r="G409">
        <v>1.65</v>
      </c>
      <c r="H409">
        <v>704</v>
      </c>
      <c r="I409">
        <v>0</v>
      </c>
      <c r="K409">
        <v>0</v>
      </c>
      <c r="L409">
        <v>6</v>
      </c>
      <c r="M409" t="s">
        <v>15</v>
      </c>
      <c r="N409">
        <v>0</v>
      </c>
      <c r="O409">
        <f t="shared" si="12"/>
        <v>0</v>
      </c>
      <c r="P409">
        <f t="shared" si="13"/>
        <v>0</v>
      </c>
    </row>
    <row r="410" spans="1:16">
      <c r="A410">
        <v>409</v>
      </c>
      <c r="B410" s="2">
        <v>45413</v>
      </c>
      <c r="C410">
        <v>18699</v>
      </c>
      <c r="D410">
        <v>15956</v>
      </c>
      <c r="E410">
        <v>1.22</v>
      </c>
      <c r="F410">
        <v>2.17</v>
      </c>
      <c r="G410">
        <v>1.35</v>
      </c>
      <c r="H410">
        <v>747</v>
      </c>
      <c r="I410">
        <v>1</v>
      </c>
      <c r="J410">
        <v>49600</v>
      </c>
      <c r="K410">
        <v>1</v>
      </c>
      <c r="L410">
        <v>18</v>
      </c>
      <c r="M410" t="s">
        <v>15</v>
      </c>
      <c r="N410">
        <v>0.35</v>
      </c>
      <c r="O410">
        <f t="shared" si="12"/>
        <v>1</v>
      </c>
      <c r="P410">
        <f t="shared" si="13"/>
        <v>0</v>
      </c>
    </row>
    <row r="411" spans="1:16">
      <c r="A411">
        <v>410</v>
      </c>
      <c r="B411" s="2">
        <v>45505</v>
      </c>
      <c r="C411">
        <v>57551</v>
      </c>
      <c r="D411">
        <v>18534</v>
      </c>
      <c r="E411">
        <v>1.42</v>
      </c>
      <c r="F411">
        <v>0.36</v>
      </c>
      <c r="G411">
        <v>2.0299999999999998</v>
      </c>
      <c r="H411">
        <v>593</v>
      </c>
      <c r="I411">
        <v>0</v>
      </c>
      <c r="K411">
        <v>0</v>
      </c>
      <c r="L411">
        <v>12</v>
      </c>
      <c r="M411" t="s">
        <v>15</v>
      </c>
      <c r="N411">
        <v>0.2</v>
      </c>
      <c r="O411">
        <f t="shared" si="12"/>
        <v>0</v>
      </c>
      <c r="P411">
        <f t="shared" si="13"/>
        <v>0</v>
      </c>
    </row>
    <row r="412" spans="1:16">
      <c r="A412">
        <v>411</v>
      </c>
      <c r="B412" s="2">
        <v>45200</v>
      </c>
      <c r="D412">
        <v>28568</v>
      </c>
      <c r="E412">
        <v>0.65</v>
      </c>
      <c r="F412">
        <v>0.71</v>
      </c>
      <c r="G412">
        <v>1.89</v>
      </c>
      <c r="H412">
        <v>748</v>
      </c>
      <c r="I412">
        <v>1</v>
      </c>
      <c r="K412">
        <v>0</v>
      </c>
      <c r="L412">
        <v>12</v>
      </c>
      <c r="M412" t="s">
        <v>14</v>
      </c>
      <c r="N412">
        <v>0.3</v>
      </c>
      <c r="O412">
        <f t="shared" si="12"/>
        <v>0</v>
      </c>
      <c r="P412">
        <f t="shared" si="13"/>
        <v>1</v>
      </c>
    </row>
    <row r="413" spans="1:16">
      <c r="A413">
        <v>412</v>
      </c>
      <c r="B413" s="2">
        <v>45078</v>
      </c>
      <c r="C413">
        <v>25169</v>
      </c>
      <c r="D413">
        <v>14308</v>
      </c>
      <c r="E413">
        <v>1.33</v>
      </c>
      <c r="F413">
        <v>0.53</v>
      </c>
      <c r="G413">
        <v>0.57999999999999996</v>
      </c>
      <c r="H413">
        <v>803</v>
      </c>
      <c r="I413">
        <v>0</v>
      </c>
      <c r="K413">
        <v>0</v>
      </c>
      <c r="L413">
        <v>18</v>
      </c>
      <c r="M413" t="s">
        <v>14</v>
      </c>
      <c r="N413">
        <v>0.15</v>
      </c>
      <c r="O413">
        <f t="shared" si="12"/>
        <v>0</v>
      </c>
      <c r="P413">
        <f t="shared" si="13"/>
        <v>0</v>
      </c>
    </row>
    <row r="414" spans="1:16">
      <c r="A414">
        <v>413</v>
      </c>
      <c r="B414" s="2">
        <v>45352</v>
      </c>
      <c r="C414">
        <v>15801</v>
      </c>
      <c r="D414">
        <v>16575</v>
      </c>
      <c r="E414">
        <v>2.1</v>
      </c>
      <c r="F414">
        <v>1.18</v>
      </c>
      <c r="G414">
        <v>1.67</v>
      </c>
      <c r="H414">
        <v>607</v>
      </c>
      <c r="I414">
        <v>1</v>
      </c>
      <c r="J414">
        <v>11252</v>
      </c>
      <c r="K414">
        <v>1</v>
      </c>
      <c r="L414">
        <v>12</v>
      </c>
      <c r="M414" t="s">
        <v>15</v>
      </c>
      <c r="N414">
        <v>0</v>
      </c>
      <c r="O414">
        <f t="shared" si="12"/>
        <v>1</v>
      </c>
      <c r="P414">
        <f t="shared" si="13"/>
        <v>0</v>
      </c>
    </row>
    <row r="415" spans="1:16">
      <c r="A415">
        <v>414</v>
      </c>
      <c r="B415" s="2">
        <v>45566</v>
      </c>
      <c r="C415">
        <v>64029</v>
      </c>
      <c r="D415">
        <v>10156</v>
      </c>
      <c r="E415">
        <v>1.29</v>
      </c>
      <c r="F415">
        <v>2.14</v>
      </c>
      <c r="G415">
        <v>1.24</v>
      </c>
      <c r="H415">
        <v>722</v>
      </c>
      <c r="I415">
        <v>0</v>
      </c>
      <c r="K415">
        <v>0</v>
      </c>
      <c r="L415">
        <v>6</v>
      </c>
      <c r="M415" t="s">
        <v>15</v>
      </c>
      <c r="N415">
        <v>0.35</v>
      </c>
      <c r="O415">
        <f t="shared" si="12"/>
        <v>0</v>
      </c>
      <c r="P415">
        <f t="shared" si="13"/>
        <v>0</v>
      </c>
    </row>
    <row r="416" spans="1:16">
      <c r="A416">
        <v>415</v>
      </c>
      <c r="B416" s="2">
        <v>45231</v>
      </c>
      <c r="C416">
        <v>55416</v>
      </c>
      <c r="D416">
        <v>16129</v>
      </c>
      <c r="E416">
        <v>1.9</v>
      </c>
      <c r="F416">
        <v>0.6</v>
      </c>
      <c r="G416">
        <v>1.4</v>
      </c>
      <c r="H416">
        <v>680</v>
      </c>
      <c r="I416">
        <v>0</v>
      </c>
      <c r="K416">
        <v>0</v>
      </c>
      <c r="L416">
        <v>12</v>
      </c>
      <c r="M416" t="s">
        <v>14</v>
      </c>
      <c r="N416">
        <v>0</v>
      </c>
      <c r="O416">
        <f t="shared" si="12"/>
        <v>0</v>
      </c>
      <c r="P416">
        <f t="shared" si="13"/>
        <v>0</v>
      </c>
    </row>
    <row r="417" spans="1:16">
      <c r="A417">
        <v>416</v>
      </c>
      <c r="B417" s="2">
        <v>45047</v>
      </c>
      <c r="C417">
        <v>34048</v>
      </c>
      <c r="D417">
        <v>10507</v>
      </c>
      <c r="E417">
        <v>1.45</v>
      </c>
      <c r="F417">
        <v>0.17</v>
      </c>
      <c r="G417">
        <v>0.95</v>
      </c>
      <c r="H417">
        <v>595</v>
      </c>
      <c r="I417">
        <v>0</v>
      </c>
      <c r="K417">
        <v>0</v>
      </c>
      <c r="L417">
        <v>18</v>
      </c>
      <c r="M417" t="s">
        <v>14</v>
      </c>
      <c r="N417">
        <v>0.2</v>
      </c>
      <c r="O417">
        <f t="shared" si="12"/>
        <v>0</v>
      </c>
      <c r="P417">
        <f t="shared" si="13"/>
        <v>0</v>
      </c>
    </row>
    <row r="418" spans="1:16">
      <c r="A418">
        <v>417</v>
      </c>
      <c r="B418" s="2">
        <v>44927</v>
      </c>
      <c r="C418">
        <v>120610</v>
      </c>
      <c r="D418">
        <v>20642</v>
      </c>
      <c r="F418">
        <v>0.68</v>
      </c>
      <c r="G418">
        <v>2.31</v>
      </c>
      <c r="H418">
        <v>707</v>
      </c>
      <c r="I418">
        <v>0</v>
      </c>
      <c r="K418">
        <v>0</v>
      </c>
      <c r="L418">
        <v>18</v>
      </c>
      <c r="M418" t="s">
        <v>14</v>
      </c>
      <c r="N418">
        <v>0</v>
      </c>
      <c r="O418">
        <f t="shared" si="12"/>
        <v>0</v>
      </c>
      <c r="P418">
        <f t="shared" si="13"/>
        <v>0</v>
      </c>
    </row>
    <row r="419" spans="1:16">
      <c r="A419">
        <v>418</v>
      </c>
      <c r="B419" s="2">
        <v>45139</v>
      </c>
      <c r="C419">
        <v>18114</v>
      </c>
      <c r="D419">
        <v>10314</v>
      </c>
      <c r="E419">
        <v>0.92</v>
      </c>
      <c r="F419">
        <v>1.72</v>
      </c>
      <c r="G419">
        <v>1.92</v>
      </c>
      <c r="H419">
        <v>726</v>
      </c>
      <c r="I419">
        <v>0</v>
      </c>
      <c r="K419">
        <v>0</v>
      </c>
      <c r="L419">
        <v>12</v>
      </c>
      <c r="M419" t="s">
        <v>14</v>
      </c>
      <c r="N419">
        <v>0.3</v>
      </c>
      <c r="O419">
        <f t="shared" si="12"/>
        <v>0</v>
      </c>
      <c r="P419">
        <f t="shared" si="13"/>
        <v>0</v>
      </c>
    </row>
    <row r="420" spans="1:16">
      <c r="A420">
        <v>419</v>
      </c>
      <c r="B420" s="2">
        <v>45536</v>
      </c>
      <c r="C420">
        <v>13473</v>
      </c>
      <c r="D420">
        <v>17396</v>
      </c>
      <c r="E420">
        <v>1.6</v>
      </c>
      <c r="F420">
        <v>1.32</v>
      </c>
      <c r="G420">
        <v>0.94</v>
      </c>
      <c r="H420">
        <v>647</v>
      </c>
      <c r="I420">
        <v>0</v>
      </c>
      <c r="K420">
        <v>0</v>
      </c>
      <c r="L420">
        <v>18</v>
      </c>
      <c r="M420" t="s">
        <v>15</v>
      </c>
      <c r="N420">
        <v>0</v>
      </c>
      <c r="O420">
        <f t="shared" si="12"/>
        <v>0</v>
      </c>
      <c r="P420">
        <f t="shared" si="13"/>
        <v>0</v>
      </c>
    </row>
    <row r="421" spans="1:16">
      <c r="A421">
        <v>420</v>
      </c>
      <c r="B421" s="2">
        <v>45261</v>
      </c>
      <c r="C421">
        <v>23162</v>
      </c>
      <c r="D421">
        <v>13089</v>
      </c>
      <c r="E421">
        <v>0.2</v>
      </c>
      <c r="F421">
        <v>1.22</v>
      </c>
      <c r="G421">
        <v>0.62</v>
      </c>
      <c r="H421">
        <v>744</v>
      </c>
      <c r="I421">
        <v>0</v>
      </c>
      <c r="K421">
        <v>0</v>
      </c>
      <c r="L421">
        <v>12</v>
      </c>
      <c r="M421" t="s">
        <v>14</v>
      </c>
      <c r="N421">
        <v>0.45</v>
      </c>
      <c r="O421">
        <f t="shared" si="12"/>
        <v>0</v>
      </c>
      <c r="P421">
        <f t="shared" si="13"/>
        <v>0</v>
      </c>
    </row>
    <row r="422" spans="1:16">
      <c r="A422">
        <v>421</v>
      </c>
      <c r="B422" s="2">
        <v>45261</v>
      </c>
      <c r="C422">
        <v>35255</v>
      </c>
      <c r="D422">
        <v>29385</v>
      </c>
      <c r="E422">
        <v>1.45</v>
      </c>
      <c r="F422">
        <v>0.74</v>
      </c>
      <c r="G422">
        <v>1.1399999999999999</v>
      </c>
      <c r="H422">
        <v>588</v>
      </c>
      <c r="I422">
        <v>0</v>
      </c>
      <c r="K422">
        <v>0</v>
      </c>
      <c r="L422">
        <v>12</v>
      </c>
      <c r="M422" t="s">
        <v>14</v>
      </c>
      <c r="N422">
        <v>0.2</v>
      </c>
      <c r="O422">
        <f t="shared" si="12"/>
        <v>0</v>
      </c>
      <c r="P422">
        <f t="shared" si="13"/>
        <v>0</v>
      </c>
    </row>
    <row r="423" spans="1:16">
      <c r="A423">
        <v>422</v>
      </c>
      <c r="B423" s="2">
        <v>45047</v>
      </c>
      <c r="C423">
        <v>42539</v>
      </c>
      <c r="D423">
        <v>12888</v>
      </c>
      <c r="E423">
        <v>0.65</v>
      </c>
      <c r="F423">
        <v>0.37</v>
      </c>
      <c r="G423">
        <v>1.59</v>
      </c>
      <c r="H423">
        <v>598</v>
      </c>
      <c r="I423">
        <v>0</v>
      </c>
      <c r="K423">
        <v>0</v>
      </c>
      <c r="L423">
        <v>12</v>
      </c>
      <c r="M423" t="s">
        <v>14</v>
      </c>
      <c r="N423">
        <v>0.5</v>
      </c>
      <c r="O423">
        <f t="shared" si="12"/>
        <v>0</v>
      </c>
      <c r="P423">
        <f t="shared" si="13"/>
        <v>0</v>
      </c>
    </row>
    <row r="424" spans="1:16">
      <c r="A424">
        <v>423</v>
      </c>
      <c r="B424" s="2">
        <v>45108</v>
      </c>
      <c r="C424">
        <v>31045</v>
      </c>
      <c r="D424">
        <v>3862</v>
      </c>
      <c r="E424">
        <v>2.21</v>
      </c>
      <c r="F424">
        <v>1.3</v>
      </c>
      <c r="G424">
        <v>1.48</v>
      </c>
      <c r="H424">
        <v>688</v>
      </c>
      <c r="I424">
        <v>1</v>
      </c>
      <c r="K424">
        <v>0</v>
      </c>
      <c r="L424">
        <v>12</v>
      </c>
      <c r="M424" t="s">
        <v>14</v>
      </c>
      <c r="N424">
        <v>0</v>
      </c>
      <c r="O424">
        <f t="shared" si="12"/>
        <v>0</v>
      </c>
      <c r="P424">
        <f t="shared" si="13"/>
        <v>1</v>
      </c>
    </row>
    <row r="425" spans="1:16">
      <c r="A425">
        <v>424</v>
      </c>
      <c r="B425" s="2">
        <v>45017</v>
      </c>
      <c r="C425">
        <v>45654</v>
      </c>
      <c r="D425">
        <v>32317</v>
      </c>
      <c r="E425">
        <v>1.98</v>
      </c>
      <c r="F425">
        <v>0.5</v>
      </c>
      <c r="G425">
        <v>2.04</v>
      </c>
      <c r="H425">
        <v>681</v>
      </c>
      <c r="I425">
        <v>0</v>
      </c>
      <c r="K425">
        <v>0</v>
      </c>
      <c r="L425">
        <v>12</v>
      </c>
      <c r="M425" t="s">
        <v>14</v>
      </c>
      <c r="N425">
        <v>0</v>
      </c>
      <c r="O425">
        <f t="shared" si="12"/>
        <v>0</v>
      </c>
      <c r="P425">
        <f t="shared" si="13"/>
        <v>0</v>
      </c>
    </row>
    <row r="426" spans="1:16">
      <c r="A426">
        <v>425</v>
      </c>
      <c r="B426" s="2">
        <v>45078</v>
      </c>
      <c r="C426">
        <v>16099</v>
      </c>
      <c r="D426">
        <v>7087</v>
      </c>
      <c r="E426">
        <v>1.81</v>
      </c>
      <c r="F426">
        <v>4.17</v>
      </c>
      <c r="G426">
        <v>1.78</v>
      </c>
      <c r="H426">
        <v>641</v>
      </c>
      <c r="I426">
        <v>0</v>
      </c>
      <c r="K426">
        <v>0</v>
      </c>
      <c r="L426">
        <v>12</v>
      </c>
      <c r="M426" t="s">
        <v>14</v>
      </c>
      <c r="N426">
        <v>0.35</v>
      </c>
      <c r="O426">
        <f t="shared" si="12"/>
        <v>0</v>
      </c>
      <c r="P426">
        <f t="shared" si="13"/>
        <v>0</v>
      </c>
    </row>
    <row r="427" spans="1:16">
      <c r="A427">
        <v>426</v>
      </c>
      <c r="B427" s="2">
        <v>45292</v>
      </c>
      <c r="C427">
        <v>92823</v>
      </c>
      <c r="D427">
        <v>8454</v>
      </c>
      <c r="E427">
        <v>2.39</v>
      </c>
      <c r="F427">
        <v>1.35</v>
      </c>
      <c r="G427">
        <v>1.88</v>
      </c>
      <c r="H427">
        <v>725</v>
      </c>
      <c r="I427">
        <v>0</v>
      </c>
      <c r="K427">
        <v>0</v>
      </c>
      <c r="L427">
        <v>18</v>
      </c>
      <c r="M427" t="s">
        <v>15</v>
      </c>
      <c r="N427">
        <v>0</v>
      </c>
      <c r="O427">
        <f t="shared" si="12"/>
        <v>0</v>
      </c>
      <c r="P427">
        <f t="shared" si="13"/>
        <v>0</v>
      </c>
    </row>
    <row r="428" spans="1:16">
      <c r="A428">
        <v>427</v>
      </c>
      <c r="B428" s="2">
        <v>45505</v>
      </c>
      <c r="C428">
        <v>34427</v>
      </c>
      <c r="D428">
        <v>8805</v>
      </c>
      <c r="E428">
        <v>1.03</v>
      </c>
      <c r="F428">
        <v>0.6</v>
      </c>
      <c r="G428">
        <v>1.53</v>
      </c>
      <c r="H428">
        <v>709</v>
      </c>
      <c r="I428">
        <v>1</v>
      </c>
      <c r="J428">
        <v>48274</v>
      </c>
      <c r="K428">
        <v>1</v>
      </c>
      <c r="L428">
        <v>12</v>
      </c>
      <c r="M428" t="s">
        <v>15</v>
      </c>
      <c r="N428">
        <v>0</v>
      </c>
      <c r="O428">
        <f t="shared" si="12"/>
        <v>1</v>
      </c>
      <c r="P428">
        <f t="shared" si="13"/>
        <v>0</v>
      </c>
    </row>
    <row r="429" spans="1:16">
      <c r="A429">
        <v>428</v>
      </c>
      <c r="B429" s="2">
        <v>45352</v>
      </c>
      <c r="C429">
        <v>75075</v>
      </c>
      <c r="D429">
        <v>34965</v>
      </c>
      <c r="E429">
        <v>2.5099999999999998</v>
      </c>
      <c r="F429">
        <v>0.59</v>
      </c>
      <c r="G429">
        <v>0.59</v>
      </c>
      <c r="H429">
        <v>727</v>
      </c>
      <c r="I429">
        <v>0</v>
      </c>
      <c r="K429">
        <v>0</v>
      </c>
      <c r="L429">
        <v>18</v>
      </c>
      <c r="M429" t="s">
        <v>15</v>
      </c>
      <c r="N429">
        <v>0.15</v>
      </c>
      <c r="O429">
        <f t="shared" si="12"/>
        <v>0</v>
      </c>
      <c r="P429">
        <f t="shared" si="13"/>
        <v>0</v>
      </c>
    </row>
    <row r="430" spans="1:16">
      <c r="A430">
        <v>429</v>
      </c>
      <c r="B430" s="2">
        <v>44986</v>
      </c>
      <c r="C430">
        <v>45377</v>
      </c>
      <c r="D430">
        <v>2996</v>
      </c>
      <c r="E430">
        <v>2.06</v>
      </c>
      <c r="F430">
        <v>0.85</v>
      </c>
      <c r="G430">
        <v>1.24</v>
      </c>
      <c r="H430">
        <v>673</v>
      </c>
      <c r="I430">
        <v>0</v>
      </c>
      <c r="K430">
        <v>0</v>
      </c>
      <c r="L430">
        <v>12</v>
      </c>
      <c r="M430" t="s">
        <v>14</v>
      </c>
      <c r="N430">
        <v>0</v>
      </c>
      <c r="O430">
        <f t="shared" si="12"/>
        <v>0</v>
      </c>
      <c r="P430">
        <f t="shared" si="13"/>
        <v>0</v>
      </c>
    </row>
    <row r="431" spans="1:16">
      <c r="A431">
        <v>430</v>
      </c>
      <c r="B431" s="2">
        <v>45597</v>
      </c>
      <c r="C431">
        <v>48869</v>
      </c>
      <c r="D431">
        <v>120141</v>
      </c>
      <c r="E431">
        <v>1.42</v>
      </c>
      <c r="F431">
        <v>0.77</v>
      </c>
      <c r="G431">
        <v>1.93</v>
      </c>
      <c r="H431">
        <v>713</v>
      </c>
      <c r="I431">
        <v>0</v>
      </c>
      <c r="K431">
        <v>0</v>
      </c>
      <c r="L431">
        <v>12</v>
      </c>
      <c r="M431" t="s">
        <v>15</v>
      </c>
      <c r="N431">
        <v>0</v>
      </c>
      <c r="O431">
        <f t="shared" si="12"/>
        <v>0</v>
      </c>
      <c r="P431">
        <f t="shared" si="13"/>
        <v>0</v>
      </c>
    </row>
    <row r="432" spans="1:16">
      <c r="A432">
        <v>431</v>
      </c>
      <c r="B432" s="2">
        <v>45139</v>
      </c>
      <c r="C432">
        <v>52594</v>
      </c>
      <c r="D432">
        <v>27980</v>
      </c>
      <c r="E432">
        <v>2.17</v>
      </c>
      <c r="F432">
        <v>1.98</v>
      </c>
      <c r="G432">
        <v>1.32</v>
      </c>
      <c r="H432">
        <v>655</v>
      </c>
      <c r="I432">
        <v>1</v>
      </c>
      <c r="J432">
        <v>12027</v>
      </c>
      <c r="K432">
        <v>1</v>
      </c>
      <c r="L432">
        <v>12</v>
      </c>
      <c r="M432" t="s">
        <v>14</v>
      </c>
      <c r="N432">
        <v>0</v>
      </c>
      <c r="O432">
        <f t="shared" si="12"/>
        <v>1</v>
      </c>
      <c r="P432">
        <f t="shared" si="13"/>
        <v>0</v>
      </c>
    </row>
    <row r="433" spans="1:16">
      <c r="A433">
        <v>432</v>
      </c>
      <c r="B433" s="2">
        <v>45505</v>
      </c>
      <c r="D433">
        <v>15619</v>
      </c>
      <c r="E433">
        <v>0.94</v>
      </c>
      <c r="F433">
        <v>1.03</v>
      </c>
      <c r="G433">
        <v>1.63</v>
      </c>
      <c r="H433">
        <v>793</v>
      </c>
      <c r="I433">
        <v>0</v>
      </c>
      <c r="K433">
        <v>0</v>
      </c>
      <c r="L433">
        <v>6</v>
      </c>
      <c r="M433" t="s">
        <v>15</v>
      </c>
      <c r="N433">
        <v>0.3</v>
      </c>
      <c r="O433">
        <f t="shared" si="12"/>
        <v>0</v>
      </c>
      <c r="P433">
        <f t="shared" si="13"/>
        <v>0</v>
      </c>
    </row>
    <row r="434" spans="1:16">
      <c r="A434">
        <v>433</v>
      </c>
      <c r="B434" s="2">
        <v>45383</v>
      </c>
      <c r="C434">
        <v>55148</v>
      </c>
      <c r="D434">
        <v>12856</v>
      </c>
      <c r="E434">
        <v>1.1000000000000001</v>
      </c>
      <c r="F434">
        <v>0.54</v>
      </c>
      <c r="G434">
        <v>1.17</v>
      </c>
      <c r="H434">
        <v>635</v>
      </c>
      <c r="I434">
        <v>0</v>
      </c>
      <c r="K434">
        <v>0</v>
      </c>
      <c r="L434">
        <v>12</v>
      </c>
      <c r="M434" t="s">
        <v>15</v>
      </c>
      <c r="N434">
        <v>0</v>
      </c>
      <c r="O434">
        <f t="shared" si="12"/>
        <v>0</v>
      </c>
      <c r="P434">
        <f t="shared" si="13"/>
        <v>0</v>
      </c>
    </row>
    <row r="435" spans="1:16">
      <c r="A435">
        <v>434</v>
      </c>
      <c r="B435" s="2">
        <v>45292</v>
      </c>
      <c r="C435">
        <v>86159</v>
      </c>
      <c r="D435">
        <v>16316</v>
      </c>
      <c r="E435">
        <v>1.22</v>
      </c>
      <c r="F435">
        <v>3.4</v>
      </c>
      <c r="G435">
        <v>0.78</v>
      </c>
      <c r="H435">
        <v>796</v>
      </c>
      <c r="I435">
        <v>0</v>
      </c>
      <c r="K435">
        <v>0</v>
      </c>
      <c r="L435">
        <v>6</v>
      </c>
      <c r="M435" t="s">
        <v>15</v>
      </c>
      <c r="N435">
        <v>0.5</v>
      </c>
      <c r="O435">
        <f t="shared" si="12"/>
        <v>0</v>
      </c>
      <c r="P435">
        <f t="shared" si="13"/>
        <v>0</v>
      </c>
    </row>
    <row r="436" spans="1:16">
      <c r="A436">
        <v>435</v>
      </c>
      <c r="B436" s="2">
        <v>45444</v>
      </c>
      <c r="C436">
        <v>41264</v>
      </c>
      <c r="D436">
        <v>19241</v>
      </c>
      <c r="E436">
        <v>1.26</v>
      </c>
      <c r="F436">
        <v>0.94</v>
      </c>
      <c r="G436">
        <v>1.28</v>
      </c>
      <c r="H436">
        <v>682</v>
      </c>
      <c r="I436">
        <v>0</v>
      </c>
      <c r="K436">
        <v>0</v>
      </c>
      <c r="L436">
        <v>18</v>
      </c>
      <c r="M436" t="s">
        <v>15</v>
      </c>
      <c r="N436">
        <v>0</v>
      </c>
      <c r="O436">
        <f t="shared" si="12"/>
        <v>0</v>
      </c>
      <c r="P436">
        <f t="shared" si="13"/>
        <v>0</v>
      </c>
    </row>
    <row r="437" spans="1:16">
      <c r="A437">
        <v>436</v>
      </c>
      <c r="B437" s="2">
        <v>45200</v>
      </c>
      <c r="C437">
        <v>57576</v>
      </c>
      <c r="D437">
        <v>20987</v>
      </c>
      <c r="E437">
        <v>0.97</v>
      </c>
      <c r="F437">
        <v>1.55</v>
      </c>
      <c r="G437">
        <v>1.52</v>
      </c>
      <c r="H437">
        <v>604</v>
      </c>
      <c r="I437">
        <v>0</v>
      </c>
      <c r="K437">
        <v>0</v>
      </c>
      <c r="L437">
        <v>18</v>
      </c>
      <c r="M437" t="s">
        <v>14</v>
      </c>
      <c r="N437">
        <v>0.3</v>
      </c>
      <c r="O437">
        <f t="shared" si="12"/>
        <v>0</v>
      </c>
      <c r="P437">
        <f t="shared" si="13"/>
        <v>0</v>
      </c>
    </row>
    <row r="438" spans="1:16">
      <c r="A438">
        <v>437</v>
      </c>
      <c r="B438" s="2">
        <v>45474</v>
      </c>
      <c r="C438">
        <v>34258</v>
      </c>
      <c r="D438">
        <v>19711</v>
      </c>
      <c r="E438">
        <v>2.2200000000000002</v>
      </c>
      <c r="F438">
        <v>0.59</v>
      </c>
      <c r="G438">
        <v>0.99</v>
      </c>
      <c r="H438">
        <v>755</v>
      </c>
      <c r="I438">
        <v>0</v>
      </c>
      <c r="K438">
        <v>0</v>
      </c>
      <c r="L438">
        <v>18</v>
      </c>
      <c r="M438" t="s">
        <v>15</v>
      </c>
      <c r="N438">
        <v>0</v>
      </c>
      <c r="O438">
        <f t="shared" si="12"/>
        <v>0</v>
      </c>
      <c r="P438">
        <f t="shared" si="13"/>
        <v>0</v>
      </c>
    </row>
    <row r="439" spans="1:16">
      <c r="A439">
        <v>438</v>
      </c>
      <c r="B439" s="2">
        <v>45413</v>
      </c>
      <c r="C439">
        <v>92603</v>
      </c>
      <c r="D439">
        <v>14224</v>
      </c>
      <c r="E439">
        <v>1.41</v>
      </c>
      <c r="F439">
        <v>1.17</v>
      </c>
      <c r="G439">
        <v>1.22</v>
      </c>
      <c r="H439">
        <v>687</v>
      </c>
      <c r="I439">
        <v>0</v>
      </c>
      <c r="K439">
        <v>0</v>
      </c>
      <c r="L439">
        <v>6</v>
      </c>
      <c r="M439" t="s">
        <v>15</v>
      </c>
      <c r="N439">
        <v>0</v>
      </c>
      <c r="O439">
        <f t="shared" si="12"/>
        <v>0</v>
      </c>
      <c r="P439">
        <f t="shared" si="13"/>
        <v>0</v>
      </c>
    </row>
    <row r="440" spans="1:16">
      <c r="A440">
        <v>439</v>
      </c>
      <c r="B440" s="2">
        <v>45627</v>
      </c>
      <c r="C440">
        <v>23397</v>
      </c>
      <c r="D440">
        <v>11636</v>
      </c>
      <c r="E440">
        <v>1.74</v>
      </c>
      <c r="F440">
        <v>1.1200000000000001</v>
      </c>
      <c r="G440">
        <v>0.83</v>
      </c>
      <c r="H440">
        <v>727</v>
      </c>
      <c r="I440">
        <v>1</v>
      </c>
      <c r="K440">
        <v>0</v>
      </c>
      <c r="L440">
        <v>18</v>
      </c>
      <c r="M440" t="s">
        <v>15</v>
      </c>
      <c r="N440">
        <v>0</v>
      </c>
      <c r="O440">
        <f t="shared" si="12"/>
        <v>0</v>
      </c>
      <c r="P440">
        <f t="shared" si="13"/>
        <v>1</v>
      </c>
    </row>
    <row r="441" spans="1:16">
      <c r="A441">
        <v>440</v>
      </c>
      <c r="B441" s="2">
        <v>45474</v>
      </c>
      <c r="C441">
        <v>117080</v>
      </c>
      <c r="D441">
        <v>12017</v>
      </c>
      <c r="E441">
        <v>1.24</v>
      </c>
      <c r="F441">
        <v>0.24</v>
      </c>
      <c r="G441">
        <v>1.97</v>
      </c>
      <c r="H441">
        <v>747</v>
      </c>
      <c r="I441">
        <v>0</v>
      </c>
      <c r="K441">
        <v>0</v>
      </c>
      <c r="L441">
        <v>12</v>
      </c>
      <c r="M441" t="s">
        <v>15</v>
      </c>
      <c r="N441">
        <v>0</v>
      </c>
      <c r="O441">
        <f t="shared" si="12"/>
        <v>0</v>
      </c>
      <c r="P441">
        <f t="shared" si="13"/>
        <v>0</v>
      </c>
    </row>
    <row r="442" spans="1:16">
      <c r="A442">
        <v>441</v>
      </c>
      <c r="B442" s="2">
        <v>45597</v>
      </c>
      <c r="C442">
        <v>35380</v>
      </c>
      <c r="D442">
        <v>11656</v>
      </c>
      <c r="E442">
        <v>0.55000000000000004</v>
      </c>
      <c r="F442">
        <v>3.71</v>
      </c>
      <c r="G442">
        <v>1.19</v>
      </c>
      <c r="H442">
        <v>699</v>
      </c>
      <c r="I442">
        <v>0</v>
      </c>
      <c r="K442">
        <v>0</v>
      </c>
      <c r="L442">
        <v>12</v>
      </c>
      <c r="M442" t="s">
        <v>15</v>
      </c>
      <c r="N442">
        <v>0.64999999999999991</v>
      </c>
      <c r="O442">
        <f t="shared" si="12"/>
        <v>0</v>
      </c>
      <c r="P442">
        <f t="shared" si="13"/>
        <v>0</v>
      </c>
    </row>
    <row r="443" spans="1:16">
      <c r="A443">
        <v>442</v>
      </c>
      <c r="B443" s="2">
        <v>45047</v>
      </c>
      <c r="C443">
        <v>14328</v>
      </c>
      <c r="D443">
        <v>29544</v>
      </c>
      <c r="E443">
        <v>1.7</v>
      </c>
      <c r="F443">
        <v>2.23</v>
      </c>
      <c r="G443">
        <v>2.15</v>
      </c>
      <c r="H443">
        <v>647</v>
      </c>
      <c r="I443">
        <v>0</v>
      </c>
      <c r="K443">
        <v>0</v>
      </c>
      <c r="L443">
        <v>6</v>
      </c>
      <c r="M443" t="s">
        <v>14</v>
      </c>
      <c r="N443">
        <v>0.35</v>
      </c>
      <c r="O443">
        <f t="shared" si="12"/>
        <v>0</v>
      </c>
      <c r="P443">
        <f t="shared" si="13"/>
        <v>0</v>
      </c>
    </row>
    <row r="444" spans="1:16">
      <c r="A444">
        <v>443</v>
      </c>
      <c r="B444" s="2">
        <v>45536</v>
      </c>
      <c r="C444">
        <v>39469</v>
      </c>
      <c r="D444">
        <v>20241</v>
      </c>
      <c r="E444">
        <v>0.5</v>
      </c>
      <c r="F444">
        <v>0.69</v>
      </c>
      <c r="G444">
        <v>2.19</v>
      </c>
      <c r="H444">
        <v>734</v>
      </c>
      <c r="I444">
        <v>0</v>
      </c>
      <c r="K444">
        <v>0</v>
      </c>
      <c r="L444">
        <v>18</v>
      </c>
      <c r="M444" t="s">
        <v>15</v>
      </c>
      <c r="N444">
        <v>0.3</v>
      </c>
      <c r="O444">
        <f t="shared" si="12"/>
        <v>0</v>
      </c>
      <c r="P444">
        <f t="shared" si="13"/>
        <v>0</v>
      </c>
    </row>
    <row r="445" spans="1:16">
      <c r="A445">
        <v>444</v>
      </c>
      <c r="B445" s="2">
        <v>45597</v>
      </c>
      <c r="C445">
        <v>23326</v>
      </c>
      <c r="D445">
        <v>1706</v>
      </c>
      <c r="E445">
        <v>1.51</v>
      </c>
      <c r="F445">
        <v>0.42</v>
      </c>
      <c r="G445">
        <v>1.31</v>
      </c>
      <c r="H445">
        <v>680</v>
      </c>
      <c r="I445">
        <v>0</v>
      </c>
      <c r="K445">
        <v>0</v>
      </c>
      <c r="L445">
        <v>12</v>
      </c>
      <c r="M445" t="s">
        <v>15</v>
      </c>
      <c r="N445">
        <v>0</v>
      </c>
      <c r="O445">
        <f t="shared" si="12"/>
        <v>0</v>
      </c>
      <c r="P445">
        <f t="shared" si="13"/>
        <v>0</v>
      </c>
    </row>
    <row r="446" spans="1:16">
      <c r="A446">
        <v>445</v>
      </c>
      <c r="B446" s="2">
        <v>45170</v>
      </c>
      <c r="C446">
        <v>62719</v>
      </c>
      <c r="D446">
        <v>21144</v>
      </c>
      <c r="E446">
        <v>0.8</v>
      </c>
      <c r="F446">
        <v>1.1499999999999999</v>
      </c>
      <c r="G446">
        <v>0.8</v>
      </c>
      <c r="H446">
        <v>718</v>
      </c>
      <c r="I446">
        <v>0</v>
      </c>
      <c r="K446">
        <v>0</v>
      </c>
      <c r="L446">
        <v>12</v>
      </c>
      <c r="M446" t="s">
        <v>14</v>
      </c>
      <c r="N446">
        <v>0.3</v>
      </c>
      <c r="O446">
        <f t="shared" si="12"/>
        <v>0</v>
      </c>
      <c r="P446">
        <f t="shared" si="13"/>
        <v>0</v>
      </c>
    </row>
    <row r="447" spans="1:16">
      <c r="A447">
        <v>446</v>
      </c>
      <c r="B447" s="2">
        <v>45261</v>
      </c>
      <c r="C447">
        <v>23761</v>
      </c>
      <c r="D447">
        <v>15311</v>
      </c>
      <c r="E447">
        <v>2.64</v>
      </c>
      <c r="F447">
        <v>0.96</v>
      </c>
      <c r="G447">
        <v>0.2</v>
      </c>
      <c r="H447">
        <v>562</v>
      </c>
      <c r="I447">
        <v>0</v>
      </c>
      <c r="K447">
        <v>0</v>
      </c>
      <c r="L447">
        <v>12</v>
      </c>
      <c r="M447" t="s">
        <v>14</v>
      </c>
      <c r="N447">
        <v>0.35</v>
      </c>
      <c r="O447">
        <f t="shared" si="12"/>
        <v>0</v>
      </c>
      <c r="P447">
        <f t="shared" si="13"/>
        <v>0</v>
      </c>
    </row>
    <row r="448" spans="1:16">
      <c r="A448">
        <v>447</v>
      </c>
      <c r="B448" s="2">
        <v>45536</v>
      </c>
      <c r="C448">
        <v>27173</v>
      </c>
      <c r="D448">
        <v>13186</v>
      </c>
      <c r="E448">
        <v>2.0499999999999998</v>
      </c>
      <c r="F448">
        <v>1.1599999999999999</v>
      </c>
      <c r="G448">
        <v>0.54</v>
      </c>
      <c r="H448">
        <v>705</v>
      </c>
      <c r="I448">
        <v>0</v>
      </c>
      <c r="K448">
        <v>0</v>
      </c>
      <c r="L448">
        <v>18</v>
      </c>
      <c r="M448" t="s">
        <v>15</v>
      </c>
      <c r="N448">
        <v>0.15</v>
      </c>
      <c r="O448">
        <f t="shared" si="12"/>
        <v>0</v>
      </c>
      <c r="P448">
        <f t="shared" si="13"/>
        <v>0</v>
      </c>
    </row>
    <row r="449" spans="1:16">
      <c r="A449">
        <v>448</v>
      </c>
      <c r="B449" s="2">
        <v>44927</v>
      </c>
      <c r="C449">
        <v>10634</v>
      </c>
      <c r="D449">
        <v>10179</v>
      </c>
      <c r="E449">
        <v>1.61</v>
      </c>
      <c r="F449">
        <v>1.03</v>
      </c>
      <c r="G449">
        <v>0.59</v>
      </c>
      <c r="H449">
        <v>645</v>
      </c>
      <c r="I449">
        <v>1</v>
      </c>
      <c r="J449">
        <v>40060</v>
      </c>
      <c r="K449">
        <v>1</v>
      </c>
      <c r="L449">
        <v>12</v>
      </c>
      <c r="M449" t="s">
        <v>14</v>
      </c>
      <c r="N449">
        <v>0.15</v>
      </c>
      <c r="O449">
        <f t="shared" si="12"/>
        <v>1</v>
      </c>
      <c r="P449">
        <f t="shared" si="13"/>
        <v>0</v>
      </c>
    </row>
    <row r="450" spans="1:16">
      <c r="A450">
        <v>449</v>
      </c>
      <c r="B450" s="2">
        <v>44927</v>
      </c>
      <c r="C450">
        <v>27065</v>
      </c>
      <c r="D450">
        <v>29345</v>
      </c>
      <c r="E450">
        <v>2.25</v>
      </c>
      <c r="F450">
        <v>1.29</v>
      </c>
      <c r="G450">
        <v>2.11</v>
      </c>
      <c r="H450">
        <v>771</v>
      </c>
      <c r="I450">
        <v>0</v>
      </c>
      <c r="K450">
        <v>0</v>
      </c>
      <c r="L450">
        <v>6</v>
      </c>
      <c r="M450" t="s">
        <v>14</v>
      </c>
      <c r="N450">
        <v>0</v>
      </c>
      <c r="O450">
        <f t="shared" si="12"/>
        <v>0</v>
      </c>
      <c r="P450">
        <f t="shared" si="13"/>
        <v>0</v>
      </c>
    </row>
    <row r="451" spans="1:16">
      <c r="A451">
        <v>450</v>
      </c>
      <c r="B451" s="2">
        <v>45352</v>
      </c>
      <c r="C451">
        <v>7514</v>
      </c>
      <c r="D451">
        <v>25933</v>
      </c>
      <c r="E451">
        <v>1.08</v>
      </c>
      <c r="F451">
        <v>2.4900000000000002</v>
      </c>
      <c r="G451">
        <v>1.41</v>
      </c>
      <c r="H451">
        <v>714</v>
      </c>
      <c r="I451">
        <v>0</v>
      </c>
      <c r="K451">
        <v>0</v>
      </c>
      <c r="L451">
        <v>18</v>
      </c>
      <c r="M451" t="s">
        <v>15</v>
      </c>
      <c r="N451">
        <v>0.35</v>
      </c>
      <c r="O451">
        <f t="shared" ref="O451:O514" si="14">IF(J451="",0,1)</f>
        <v>0</v>
      </c>
      <c r="P451">
        <f t="shared" ref="P451:P514" si="15">IF(I451=K451,0,1)</f>
        <v>0</v>
      </c>
    </row>
    <row r="452" spans="1:16">
      <c r="A452">
        <v>451</v>
      </c>
      <c r="B452" s="2">
        <v>44958</v>
      </c>
      <c r="C452">
        <v>12971</v>
      </c>
      <c r="D452">
        <v>7777</v>
      </c>
      <c r="E452">
        <v>1.85</v>
      </c>
      <c r="F452">
        <v>1.35</v>
      </c>
      <c r="G452">
        <v>1.56</v>
      </c>
      <c r="H452">
        <v>693</v>
      </c>
      <c r="I452">
        <v>0</v>
      </c>
      <c r="K452">
        <v>0</v>
      </c>
      <c r="L452">
        <v>12</v>
      </c>
      <c r="M452" t="s">
        <v>14</v>
      </c>
      <c r="N452">
        <v>0</v>
      </c>
      <c r="O452">
        <f t="shared" si="14"/>
        <v>0</v>
      </c>
      <c r="P452">
        <f t="shared" si="15"/>
        <v>0</v>
      </c>
    </row>
    <row r="453" spans="1:16">
      <c r="A453">
        <v>452</v>
      </c>
      <c r="B453" s="2">
        <v>45566</v>
      </c>
      <c r="C453">
        <v>59532</v>
      </c>
      <c r="D453">
        <v>17764</v>
      </c>
      <c r="E453">
        <v>1.66</v>
      </c>
      <c r="F453">
        <v>0.43</v>
      </c>
      <c r="G453">
        <v>0.13</v>
      </c>
      <c r="H453">
        <v>707</v>
      </c>
      <c r="I453">
        <v>0</v>
      </c>
      <c r="K453">
        <v>0</v>
      </c>
      <c r="L453">
        <v>12</v>
      </c>
      <c r="M453" t="s">
        <v>15</v>
      </c>
      <c r="N453">
        <v>0.15</v>
      </c>
      <c r="O453">
        <f t="shared" si="14"/>
        <v>0</v>
      </c>
      <c r="P453">
        <f t="shared" si="15"/>
        <v>0</v>
      </c>
    </row>
    <row r="454" spans="1:16">
      <c r="A454">
        <v>453</v>
      </c>
      <c r="B454" s="2">
        <v>45383</v>
      </c>
      <c r="C454">
        <v>60522</v>
      </c>
      <c r="D454">
        <v>6767</v>
      </c>
      <c r="E454">
        <v>1.7</v>
      </c>
      <c r="F454">
        <v>2.35</v>
      </c>
      <c r="G454">
        <v>0.69</v>
      </c>
      <c r="I454">
        <v>0</v>
      </c>
      <c r="K454">
        <v>0</v>
      </c>
      <c r="L454">
        <v>12</v>
      </c>
      <c r="M454" t="s">
        <v>15</v>
      </c>
      <c r="N454">
        <v>0.5</v>
      </c>
      <c r="O454">
        <f t="shared" si="14"/>
        <v>0</v>
      </c>
      <c r="P454">
        <f t="shared" si="15"/>
        <v>0</v>
      </c>
    </row>
    <row r="455" spans="1:16">
      <c r="A455">
        <v>454</v>
      </c>
      <c r="B455" s="2">
        <v>45139</v>
      </c>
      <c r="C455">
        <v>47885</v>
      </c>
      <c r="D455">
        <v>5086</v>
      </c>
      <c r="E455">
        <v>2.25</v>
      </c>
      <c r="F455">
        <v>2.85</v>
      </c>
      <c r="G455">
        <v>1.84</v>
      </c>
      <c r="H455">
        <v>769</v>
      </c>
      <c r="I455">
        <v>0</v>
      </c>
      <c r="K455">
        <v>0</v>
      </c>
      <c r="L455">
        <v>18</v>
      </c>
      <c r="M455" t="s">
        <v>14</v>
      </c>
      <c r="N455">
        <v>0.35</v>
      </c>
      <c r="O455">
        <f t="shared" si="14"/>
        <v>0</v>
      </c>
      <c r="P455">
        <f t="shared" si="15"/>
        <v>0</v>
      </c>
    </row>
    <row r="456" spans="1:16">
      <c r="A456">
        <v>455</v>
      </c>
      <c r="B456" s="2">
        <v>45292</v>
      </c>
      <c r="C456">
        <v>19370</v>
      </c>
      <c r="D456">
        <v>8615</v>
      </c>
      <c r="E456">
        <v>1.95</v>
      </c>
      <c r="F456">
        <v>8</v>
      </c>
      <c r="G456">
        <v>1.51</v>
      </c>
      <c r="H456">
        <v>790</v>
      </c>
      <c r="I456">
        <v>0</v>
      </c>
      <c r="K456">
        <v>0</v>
      </c>
      <c r="L456">
        <v>12</v>
      </c>
      <c r="M456" t="s">
        <v>15</v>
      </c>
      <c r="N456">
        <v>0.35</v>
      </c>
      <c r="O456">
        <f t="shared" si="14"/>
        <v>0</v>
      </c>
      <c r="P456">
        <f t="shared" si="15"/>
        <v>0</v>
      </c>
    </row>
    <row r="457" spans="1:16">
      <c r="A457">
        <v>456</v>
      </c>
      <c r="B457" s="2">
        <v>45536</v>
      </c>
      <c r="C457">
        <v>35207</v>
      </c>
      <c r="D457">
        <v>24433</v>
      </c>
      <c r="E457">
        <v>1.71</v>
      </c>
      <c r="F457">
        <v>0.41</v>
      </c>
      <c r="G457">
        <v>1.27</v>
      </c>
      <c r="H457">
        <v>702</v>
      </c>
      <c r="I457">
        <v>0</v>
      </c>
      <c r="K457">
        <v>0</v>
      </c>
      <c r="L457">
        <v>12</v>
      </c>
      <c r="M457" t="s">
        <v>15</v>
      </c>
      <c r="N457">
        <v>0</v>
      </c>
      <c r="O457">
        <f t="shared" si="14"/>
        <v>0</v>
      </c>
      <c r="P457">
        <f t="shared" si="15"/>
        <v>0</v>
      </c>
    </row>
    <row r="458" spans="1:16">
      <c r="A458">
        <v>457</v>
      </c>
      <c r="B458" s="2">
        <v>44927</v>
      </c>
      <c r="D458">
        <v>26035</v>
      </c>
      <c r="E458">
        <v>0.64</v>
      </c>
      <c r="F458">
        <v>1.07</v>
      </c>
      <c r="G458">
        <v>1.66</v>
      </c>
      <c r="H458">
        <v>767</v>
      </c>
      <c r="I458">
        <v>0</v>
      </c>
      <c r="K458">
        <v>0</v>
      </c>
      <c r="L458">
        <v>12</v>
      </c>
      <c r="M458" t="s">
        <v>14</v>
      </c>
      <c r="N458">
        <v>0.3</v>
      </c>
      <c r="O458">
        <f t="shared" si="14"/>
        <v>0</v>
      </c>
      <c r="P458">
        <f t="shared" si="15"/>
        <v>0</v>
      </c>
    </row>
    <row r="459" spans="1:16">
      <c r="A459">
        <v>458</v>
      </c>
      <c r="B459" s="2">
        <v>45383</v>
      </c>
      <c r="C459">
        <v>17104</v>
      </c>
      <c r="D459">
        <v>19133</v>
      </c>
      <c r="E459">
        <v>1.02</v>
      </c>
      <c r="F459">
        <v>0.21</v>
      </c>
      <c r="G459">
        <v>2.25</v>
      </c>
      <c r="H459">
        <v>649</v>
      </c>
      <c r="I459">
        <v>0</v>
      </c>
      <c r="K459">
        <v>0</v>
      </c>
      <c r="L459">
        <v>12</v>
      </c>
      <c r="M459" t="s">
        <v>15</v>
      </c>
      <c r="N459">
        <v>0</v>
      </c>
      <c r="O459">
        <f t="shared" si="14"/>
        <v>0</v>
      </c>
      <c r="P459">
        <f t="shared" si="15"/>
        <v>0</v>
      </c>
    </row>
    <row r="460" spans="1:16">
      <c r="A460">
        <v>459</v>
      </c>
      <c r="B460" s="2">
        <v>45108</v>
      </c>
      <c r="C460">
        <v>96491</v>
      </c>
      <c r="D460">
        <v>22194</v>
      </c>
      <c r="E460">
        <v>1.48</v>
      </c>
      <c r="F460">
        <v>1.33</v>
      </c>
      <c r="G460">
        <v>1.23</v>
      </c>
      <c r="H460">
        <v>636</v>
      </c>
      <c r="I460">
        <v>0</v>
      </c>
      <c r="K460">
        <v>0</v>
      </c>
      <c r="L460">
        <v>18</v>
      </c>
      <c r="M460" t="s">
        <v>14</v>
      </c>
      <c r="N460">
        <v>0</v>
      </c>
      <c r="O460">
        <f t="shared" si="14"/>
        <v>0</v>
      </c>
      <c r="P460">
        <f t="shared" si="15"/>
        <v>0</v>
      </c>
    </row>
    <row r="461" spans="1:16">
      <c r="A461">
        <v>460</v>
      </c>
      <c r="B461" s="2">
        <v>45047</v>
      </c>
      <c r="C461">
        <v>64234</v>
      </c>
      <c r="D461">
        <v>19174</v>
      </c>
      <c r="E461">
        <v>1.6</v>
      </c>
      <c r="F461">
        <v>0.62</v>
      </c>
      <c r="G461">
        <v>1.39</v>
      </c>
      <c r="H461">
        <v>682</v>
      </c>
      <c r="I461">
        <v>0</v>
      </c>
      <c r="K461">
        <v>0</v>
      </c>
      <c r="L461">
        <v>12</v>
      </c>
      <c r="M461" t="s">
        <v>14</v>
      </c>
      <c r="N461">
        <v>0</v>
      </c>
      <c r="O461">
        <f t="shared" si="14"/>
        <v>0</v>
      </c>
      <c r="P461">
        <f t="shared" si="15"/>
        <v>0</v>
      </c>
    </row>
    <row r="462" spans="1:16">
      <c r="A462">
        <v>461</v>
      </c>
      <c r="B462" s="2">
        <v>45566</v>
      </c>
      <c r="C462">
        <v>31457</v>
      </c>
      <c r="D462">
        <v>8527</v>
      </c>
      <c r="E462">
        <v>0.93</v>
      </c>
      <c r="F462">
        <v>3.48</v>
      </c>
      <c r="G462">
        <v>1.46</v>
      </c>
      <c r="H462">
        <v>704</v>
      </c>
      <c r="I462">
        <v>0</v>
      </c>
      <c r="K462">
        <v>0</v>
      </c>
      <c r="L462">
        <v>12</v>
      </c>
      <c r="M462" t="s">
        <v>15</v>
      </c>
      <c r="N462">
        <v>0.64999999999999991</v>
      </c>
      <c r="O462">
        <f t="shared" si="14"/>
        <v>0</v>
      </c>
      <c r="P462">
        <f t="shared" si="15"/>
        <v>0</v>
      </c>
    </row>
    <row r="463" spans="1:16">
      <c r="A463">
        <v>462</v>
      </c>
      <c r="B463" s="2">
        <v>45597</v>
      </c>
      <c r="C463">
        <v>36956</v>
      </c>
      <c r="D463">
        <v>18076</v>
      </c>
      <c r="E463">
        <v>2.88</v>
      </c>
      <c r="F463">
        <v>0.53</v>
      </c>
      <c r="G463">
        <v>2.67</v>
      </c>
      <c r="H463">
        <v>658</v>
      </c>
      <c r="I463">
        <v>0</v>
      </c>
      <c r="K463">
        <v>0</v>
      </c>
      <c r="L463">
        <v>12</v>
      </c>
      <c r="M463" t="s">
        <v>15</v>
      </c>
      <c r="N463">
        <v>0</v>
      </c>
      <c r="O463">
        <f t="shared" si="14"/>
        <v>0</v>
      </c>
      <c r="P463">
        <f t="shared" si="15"/>
        <v>0</v>
      </c>
    </row>
    <row r="464" spans="1:16">
      <c r="A464">
        <v>463</v>
      </c>
      <c r="B464" s="2">
        <v>44986</v>
      </c>
      <c r="C464">
        <v>41583</v>
      </c>
      <c r="D464">
        <v>23395</v>
      </c>
      <c r="E464">
        <v>2.38</v>
      </c>
      <c r="F464">
        <v>0.28000000000000003</v>
      </c>
      <c r="G464">
        <v>0.2</v>
      </c>
      <c r="H464">
        <v>710</v>
      </c>
      <c r="I464">
        <v>0</v>
      </c>
      <c r="K464">
        <v>0</v>
      </c>
      <c r="L464">
        <v>6</v>
      </c>
      <c r="M464" t="s">
        <v>14</v>
      </c>
      <c r="N464">
        <v>0.15</v>
      </c>
      <c r="O464">
        <f t="shared" si="14"/>
        <v>0</v>
      </c>
      <c r="P464">
        <f t="shared" si="15"/>
        <v>0</v>
      </c>
    </row>
    <row r="465" spans="1:16">
      <c r="A465">
        <v>464</v>
      </c>
      <c r="B465" s="2">
        <v>45261</v>
      </c>
      <c r="C465">
        <v>9632</v>
      </c>
      <c r="D465">
        <v>22652</v>
      </c>
      <c r="E465">
        <v>1.88</v>
      </c>
      <c r="F465">
        <v>0.65</v>
      </c>
      <c r="G465">
        <v>1.73</v>
      </c>
      <c r="H465">
        <v>697</v>
      </c>
      <c r="I465">
        <v>0</v>
      </c>
      <c r="K465">
        <v>0</v>
      </c>
      <c r="L465">
        <v>12</v>
      </c>
      <c r="M465" t="s">
        <v>14</v>
      </c>
      <c r="N465">
        <v>0</v>
      </c>
      <c r="O465">
        <f t="shared" si="14"/>
        <v>0</v>
      </c>
      <c r="P465">
        <f t="shared" si="15"/>
        <v>0</v>
      </c>
    </row>
    <row r="466" spans="1:16">
      <c r="A466">
        <v>465</v>
      </c>
      <c r="B466" s="2">
        <v>45383</v>
      </c>
      <c r="C466">
        <v>30925</v>
      </c>
      <c r="D466">
        <v>30707</v>
      </c>
      <c r="E466">
        <v>1.59</v>
      </c>
      <c r="F466">
        <v>0.23</v>
      </c>
      <c r="G466">
        <v>1.29</v>
      </c>
      <c r="H466">
        <v>625</v>
      </c>
      <c r="I466">
        <v>0</v>
      </c>
      <c r="K466">
        <v>0</v>
      </c>
      <c r="L466">
        <v>12</v>
      </c>
      <c r="M466" t="s">
        <v>15</v>
      </c>
      <c r="N466">
        <v>0</v>
      </c>
      <c r="O466">
        <f t="shared" si="14"/>
        <v>0</v>
      </c>
      <c r="P466">
        <f t="shared" si="15"/>
        <v>0</v>
      </c>
    </row>
    <row r="467" spans="1:16">
      <c r="A467">
        <v>466</v>
      </c>
      <c r="B467" s="2">
        <v>45474</v>
      </c>
      <c r="C467">
        <v>23312</v>
      </c>
      <c r="D467">
        <v>21934</v>
      </c>
      <c r="E467">
        <v>1.43</v>
      </c>
      <c r="F467">
        <v>1.53</v>
      </c>
      <c r="G467">
        <v>1.66</v>
      </c>
      <c r="H467">
        <v>709</v>
      </c>
      <c r="I467">
        <v>0</v>
      </c>
      <c r="K467">
        <v>0</v>
      </c>
      <c r="L467">
        <v>18</v>
      </c>
      <c r="M467" t="s">
        <v>15</v>
      </c>
      <c r="N467">
        <v>0</v>
      </c>
      <c r="O467">
        <f t="shared" si="14"/>
        <v>0</v>
      </c>
      <c r="P467">
        <f t="shared" si="15"/>
        <v>0</v>
      </c>
    </row>
    <row r="468" spans="1:16">
      <c r="A468">
        <v>467</v>
      </c>
      <c r="B468" s="2">
        <v>45047</v>
      </c>
      <c r="C468">
        <v>18938</v>
      </c>
      <c r="D468">
        <v>17086</v>
      </c>
      <c r="E468">
        <v>1.03</v>
      </c>
      <c r="F468">
        <v>0.21</v>
      </c>
      <c r="G468">
        <v>0.99</v>
      </c>
      <c r="H468">
        <v>727</v>
      </c>
      <c r="I468">
        <v>0</v>
      </c>
      <c r="J468">
        <v>14397</v>
      </c>
      <c r="K468">
        <v>1</v>
      </c>
      <c r="L468">
        <v>12</v>
      </c>
      <c r="M468" t="s">
        <v>14</v>
      </c>
      <c r="N468">
        <v>0</v>
      </c>
      <c r="O468">
        <f t="shared" si="14"/>
        <v>1</v>
      </c>
      <c r="P468">
        <f t="shared" si="15"/>
        <v>1</v>
      </c>
    </row>
    <row r="469" spans="1:16">
      <c r="A469">
        <v>468</v>
      </c>
      <c r="B469" s="2">
        <v>45566</v>
      </c>
      <c r="C469">
        <v>30251</v>
      </c>
      <c r="D469">
        <v>28257</v>
      </c>
      <c r="E469">
        <v>1.59</v>
      </c>
      <c r="F469">
        <v>0.92</v>
      </c>
      <c r="G469">
        <v>1.32</v>
      </c>
      <c r="H469">
        <v>689</v>
      </c>
      <c r="I469">
        <v>0</v>
      </c>
      <c r="K469">
        <v>0</v>
      </c>
      <c r="L469">
        <v>18</v>
      </c>
      <c r="M469" t="s">
        <v>15</v>
      </c>
      <c r="N469">
        <v>0</v>
      </c>
      <c r="O469">
        <f t="shared" si="14"/>
        <v>0</v>
      </c>
      <c r="P469">
        <f t="shared" si="15"/>
        <v>0</v>
      </c>
    </row>
    <row r="470" spans="1:16">
      <c r="A470">
        <v>469</v>
      </c>
      <c r="B470" s="2">
        <v>45323</v>
      </c>
      <c r="C470">
        <v>116832</v>
      </c>
      <c r="D470">
        <v>13114</v>
      </c>
      <c r="E470">
        <v>1.69</v>
      </c>
      <c r="F470">
        <v>0.21</v>
      </c>
      <c r="G470">
        <v>1.74</v>
      </c>
      <c r="H470">
        <v>743</v>
      </c>
      <c r="I470">
        <v>0</v>
      </c>
      <c r="K470">
        <v>0</v>
      </c>
      <c r="L470">
        <v>6</v>
      </c>
      <c r="M470" t="s">
        <v>15</v>
      </c>
      <c r="N470">
        <v>0</v>
      </c>
      <c r="O470">
        <f t="shared" si="14"/>
        <v>0</v>
      </c>
      <c r="P470">
        <f t="shared" si="15"/>
        <v>0</v>
      </c>
    </row>
    <row r="471" spans="1:16">
      <c r="A471">
        <v>470</v>
      </c>
      <c r="B471" s="2">
        <v>45047</v>
      </c>
      <c r="C471">
        <v>55080</v>
      </c>
      <c r="D471">
        <v>7206</v>
      </c>
      <c r="E471">
        <v>0.87</v>
      </c>
      <c r="F471">
        <v>0.72</v>
      </c>
      <c r="G471">
        <v>3.06</v>
      </c>
      <c r="H471">
        <v>613</v>
      </c>
      <c r="I471">
        <v>0</v>
      </c>
      <c r="K471">
        <v>0</v>
      </c>
      <c r="L471">
        <v>12</v>
      </c>
      <c r="M471" t="s">
        <v>14</v>
      </c>
      <c r="N471">
        <v>0.3</v>
      </c>
      <c r="O471">
        <f t="shared" si="14"/>
        <v>0</v>
      </c>
      <c r="P471">
        <f t="shared" si="15"/>
        <v>0</v>
      </c>
    </row>
    <row r="472" spans="1:16">
      <c r="A472">
        <v>471</v>
      </c>
      <c r="B472" s="2">
        <v>45352</v>
      </c>
      <c r="C472">
        <v>25053</v>
      </c>
      <c r="D472">
        <v>11919</v>
      </c>
      <c r="E472">
        <v>1.73</v>
      </c>
      <c r="F472">
        <v>2.86</v>
      </c>
      <c r="G472">
        <v>1.79</v>
      </c>
      <c r="H472">
        <v>706</v>
      </c>
      <c r="I472">
        <v>0</v>
      </c>
      <c r="K472">
        <v>0</v>
      </c>
      <c r="L472">
        <v>12</v>
      </c>
      <c r="M472" t="s">
        <v>15</v>
      </c>
      <c r="N472">
        <v>0.35</v>
      </c>
      <c r="O472">
        <f t="shared" si="14"/>
        <v>0</v>
      </c>
      <c r="P472">
        <f t="shared" si="15"/>
        <v>0</v>
      </c>
    </row>
    <row r="473" spans="1:16">
      <c r="A473">
        <v>472</v>
      </c>
      <c r="B473" s="2">
        <v>45413</v>
      </c>
      <c r="C473">
        <v>52690</v>
      </c>
      <c r="D473">
        <v>7931</v>
      </c>
      <c r="E473">
        <v>1.46</v>
      </c>
      <c r="F473">
        <v>1.1599999999999999</v>
      </c>
      <c r="G473">
        <v>0.88</v>
      </c>
      <c r="H473">
        <v>616</v>
      </c>
      <c r="I473">
        <v>0</v>
      </c>
      <c r="K473">
        <v>0</v>
      </c>
      <c r="L473">
        <v>12</v>
      </c>
      <c r="M473" t="s">
        <v>15</v>
      </c>
      <c r="N473">
        <v>0</v>
      </c>
      <c r="O473">
        <f t="shared" si="14"/>
        <v>0</v>
      </c>
      <c r="P473">
        <f t="shared" si="15"/>
        <v>0</v>
      </c>
    </row>
    <row r="474" spans="1:16">
      <c r="A474">
        <v>473</v>
      </c>
      <c r="B474" s="2">
        <v>45323</v>
      </c>
      <c r="C474">
        <v>90182</v>
      </c>
      <c r="D474">
        <v>8328</v>
      </c>
      <c r="E474">
        <v>0.5</v>
      </c>
      <c r="F474">
        <v>0.49</v>
      </c>
      <c r="G474">
        <v>1.1200000000000001</v>
      </c>
      <c r="H474">
        <v>619</v>
      </c>
      <c r="I474">
        <v>0</v>
      </c>
      <c r="K474">
        <v>0</v>
      </c>
      <c r="L474">
        <v>12</v>
      </c>
      <c r="M474" t="s">
        <v>15</v>
      </c>
      <c r="N474">
        <v>0.3</v>
      </c>
      <c r="O474">
        <f t="shared" si="14"/>
        <v>0</v>
      </c>
      <c r="P474">
        <f t="shared" si="15"/>
        <v>0</v>
      </c>
    </row>
    <row r="475" spans="1:16">
      <c r="A475">
        <v>474</v>
      </c>
      <c r="B475" s="2">
        <v>45505</v>
      </c>
      <c r="C475">
        <v>66238</v>
      </c>
      <c r="D475">
        <v>12074</v>
      </c>
      <c r="E475">
        <v>1.08</v>
      </c>
      <c r="F475">
        <v>0.89</v>
      </c>
      <c r="G475">
        <v>1.1000000000000001</v>
      </c>
      <c r="H475">
        <v>645</v>
      </c>
      <c r="I475">
        <v>0</v>
      </c>
      <c r="K475">
        <v>0</v>
      </c>
      <c r="L475">
        <v>6</v>
      </c>
      <c r="M475" t="s">
        <v>15</v>
      </c>
      <c r="N475">
        <v>0</v>
      </c>
      <c r="O475">
        <f t="shared" si="14"/>
        <v>0</v>
      </c>
      <c r="P475">
        <f t="shared" si="15"/>
        <v>0</v>
      </c>
    </row>
    <row r="476" spans="1:16">
      <c r="A476">
        <v>475</v>
      </c>
      <c r="B476" s="2">
        <v>45047</v>
      </c>
      <c r="C476">
        <v>37751</v>
      </c>
      <c r="D476">
        <v>7672</v>
      </c>
      <c r="E476">
        <v>1.32</v>
      </c>
      <c r="F476">
        <v>0.92</v>
      </c>
      <c r="G476">
        <v>0.36</v>
      </c>
      <c r="H476">
        <v>628</v>
      </c>
      <c r="I476">
        <v>0</v>
      </c>
      <c r="K476">
        <v>0</v>
      </c>
      <c r="L476">
        <v>12</v>
      </c>
      <c r="M476" t="s">
        <v>14</v>
      </c>
      <c r="N476">
        <v>0.15</v>
      </c>
      <c r="O476">
        <f t="shared" si="14"/>
        <v>0</v>
      </c>
      <c r="P476">
        <f t="shared" si="15"/>
        <v>0</v>
      </c>
    </row>
    <row r="477" spans="1:16">
      <c r="A477">
        <v>476</v>
      </c>
      <c r="B477" s="2">
        <v>45261</v>
      </c>
      <c r="C477">
        <v>23849</v>
      </c>
      <c r="D477">
        <v>10769</v>
      </c>
      <c r="E477">
        <v>2.59</v>
      </c>
      <c r="F477">
        <v>1.26</v>
      </c>
      <c r="G477">
        <v>1.17</v>
      </c>
      <c r="H477">
        <v>650</v>
      </c>
      <c r="I477">
        <v>1</v>
      </c>
      <c r="J477">
        <v>37906</v>
      </c>
      <c r="K477">
        <v>1</v>
      </c>
      <c r="L477">
        <v>12</v>
      </c>
      <c r="M477" t="s">
        <v>14</v>
      </c>
      <c r="N477">
        <v>0</v>
      </c>
      <c r="O477">
        <f t="shared" si="14"/>
        <v>1</v>
      </c>
      <c r="P477">
        <f t="shared" si="15"/>
        <v>0</v>
      </c>
    </row>
    <row r="478" spans="1:16">
      <c r="A478">
        <v>477</v>
      </c>
      <c r="B478" s="2">
        <v>45383</v>
      </c>
      <c r="C478">
        <v>57173</v>
      </c>
      <c r="D478">
        <v>3549</v>
      </c>
      <c r="E478">
        <v>1.86</v>
      </c>
      <c r="F478">
        <v>0.35</v>
      </c>
      <c r="G478">
        <v>1.75</v>
      </c>
      <c r="H478">
        <v>668</v>
      </c>
      <c r="I478">
        <v>0</v>
      </c>
      <c r="K478">
        <v>0</v>
      </c>
      <c r="L478">
        <v>12</v>
      </c>
      <c r="M478" t="s">
        <v>15</v>
      </c>
      <c r="N478">
        <v>0</v>
      </c>
      <c r="O478">
        <f t="shared" si="14"/>
        <v>0</v>
      </c>
      <c r="P478">
        <f t="shared" si="15"/>
        <v>0</v>
      </c>
    </row>
    <row r="479" spans="1:16">
      <c r="A479">
        <v>478</v>
      </c>
      <c r="B479" s="2">
        <v>45383</v>
      </c>
      <c r="C479">
        <v>46900</v>
      </c>
      <c r="D479">
        <v>15511</v>
      </c>
      <c r="E479">
        <v>0.82</v>
      </c>
      <c r="F479">
        <v>1.37</v>
      </c>
      <c r="G479">
        <v>0.65</v>
      </c>
      <c r="H479">
        <v>726</v>
      </c>
      <c r="I479">
        <v>0</v>
      </c>
      <c r="K479">
        <v>0</v>
      </c>
      <c r="L479">
        <v>18</v>
      </c>
      <c r="M479" t="s">
        <v>15</v>
      </c>
      <c r="N479">
        <v>0.45</v>
      </c>
      <c r="O479">
        <f t="shared" si="14"/>
        <v>0</v>
      </c>
      <c r="P479">
        <f t="shared" si="15"/>
        <v>0</v>
      </c>
    </row>
    <row r="480" spans="1:16">
      <c r="A480">
        <v>479</v>
      </c>
      <c r="B480" s="2">
        <v>45536</v>
      </c>
      <c r="C480">
        <v>64983</v>
      </c>
      <c r="D480">
        <v>13371</v>
      </c>
      <c r="E480">
        <v>1.82</v>
      </c>
      <c r="F480">
        <v>0.14000000000000001</v>
      </c>
      <c r="G480">
        <v>1.93</v>
      </c>
      <c r="H480">
        <v>662</v>
      </c>
      <c r="I480">
        <v>0</v>
      </c>
      <c r="K480">
        <v>0</v>
      </c>
      <c r="L480">
        <v>12</v>
      </c>
      <c r="M480" t="s">
        <v>15</v>
      </c>
      <c r="N480">
        <v>0</v>
      </c>
      <c r="O480">
        <f t="shared" si="14"/>
        <v>0</v>
      </c>
      <c r="P480">
        <f t="shared" si="15"/>
        <v>0</v>
      </c>
    </row>
    <row r="481" spans="1:16">
      <c r="A481">
        <v>480</v>
      </c>
      <c r="B481" s="2">
        <v>45108</v>
      </c>
      <c r="C481">
        <v>54878</v>
      </c>
      <c r="D481">
        <v>7540</v>
      </c>
      <c r="E481">
        <v>0.7</v>
      </c>
      <c r="F481">
        <v>0.57999999999999996</v>
      </c>
      <c r="G481">
        <v>1.62</v>
      </c>
      <c r="H481">
        <v>593</v>
      </c>
      <c r="I481">
        <v>0</v>
      </c>
      <c r="K481">
        <v>0</v>
      </c>
      <c r="L481">
        <v>6</v>
      </c>
      <c r="M481" t="s">
        <v>14</v>
      </c>
      <c r="N481">
        <v>0.5</v>
      </c>
      <c r="O481">
        <f t="shared" si="14"/>
        <v>0</v>
      </c>
      <c r="P481">
        <f t="shared" si="15"/>
        <v>0</v>
      </c>
    </row>
    <row r="482" spans="1:16">
      <c r="A482">
        <v>481</v>
      </c>
      <c r="B482" s="2">
        <v>45017</v>
      </c>
      <c r="D482">
        <v>21194</v>
      </c>
      <c r="E482">
        <v>2.15</v>
      </c>
      <c r="F482">
        <v>0.64</v>
      </c>
      <c r="G482">
        <v>0.95</v>
      </c>
      <c r="H482">
        <v>743</v>
      </c>
      <c r="I482">
        <v>0</v>
      </c>
      <c r="K482">
        <v>0</v>
      </c>
      <c r="L482">
        <v>12</v>
      </c>
      <c r="M482" t="s">
        <v>14</v>
      </c>
      <c r="N482">
        <v>0</v>
      </c>
      <c r="O482">
        <f t="shared" si="14"/>
        <v>0</v>
      </c>
      <c r="P482">
        <f t="shared" si="15"/>
        <v>0</v>
      </c>
    </row>
    <row r="483" spans="1:16">
      <c r="A483">
        <v>482</v>
      </c>
      <c r="B483" s="2">
        <v>44927</v>
      </c>
      <c r="C483">
        <v>25645</v>
      </c>
      <c r="D483">
        <v>25753</v>
      </c>
      <c r="E483">
        <v>1.29</v>
      </c>
      <c r="F483">
        <v>1.41</v>
      </c>
      <c r="G483">
        <v>1.27</v>
      </c>
      <c r="H483">
        <v>634</v>
      </c>
      <c r="I483">
        <v>0</v>
      </c>
      <c r="K483">
        <v>0</v>
      </c>
      <c r="L483">
        <v>6</v>
      </c>
      <c r="M483" t="s">
        <v>14</v>
      </c>
      <c r="N483">
        <v>0</v>
      </c>
      <c r="O483">
        <f t="shared" si="14"/>
        <v>0</v>
      </c>
      <c r="P483">
        <f t="shared" si="15"/>
        <v>0</v>
      </c>
    </row>
    <row r="484" spans="1:16">
      <c r="A484">
        <v>483</v>
      </c>
      <c r="B484" s="2">
        <v>45047</v>
      </c>
      <c r="C484">
        <v>85503</v>
      </c>
      <c r="D484">
        <v>4336</v>
      </c>
      <c r="E484">
        <v>1.5</v>
      </c>
      <c r="F484">
        <v>0.92</v>
      </c>
      <c r="G484">
        <v>2.23</v>
      </c>
      <c r="H484">
        <v>677</v>
      </c>
      <c r="I484">
        <v>0</v>
      </c>
      <c r="K484">
        <v>0</v>
      </c>
      <c r="L484">
        <v>18</v>
      </c>
      <c r="M484" t="s">
        <v>14</v>
      </c>
      <c r="N484">
        <v>0</v>
      </c>
      <c r="O484">
        <f t="shared" si="14"/>
        <v>0</v>
      </c>
      <c r="P484">
        <f t="shared" si="15"/>
        <v>0</v>
      </c>
    </row>
    <row r="485" spans="1:16">
      <c r="A485">
        <v>484</v>
      </c>
      <c r="B485" s="2">
        <v>45597</v>
      </c>
      <c r="C485">
        <v>41293</v>
      </c>
      <c r="D485">
        <v>7833</v>
      </c>
      <c r="E485">
        <v>2.2799999999999998</v>
      </c>
      <c r="F485">
        <v>0.34</v>
      </c>
      <c r="G485">
        <v>1.75</v>
      </c>
      <c r="H485">
        <v>705</v>
      </c>
      <c r="I485">
        <v>0</v>
      </c>
      <c r="K485">
        <v>0</v>
      </c>
      <c r="L485">
        <v>18</v>
      </c>
      <c r="M485" t="s">
        <v>15</v>
      </c>
      <c r="N485">
        <v>0</v>
      </c>
      <c r="O485">
        <f t="shared" si="14"/>
        <v>0</v>
      </c>
      <c r="P485">
        <f t="shared" si="15"/>
        <v>0</v>
      </c>
    </row>
    <row r="486" spans="1:16">
      <c r="A486">
        <v>485</v>
      </c>
      <c r="B486" s="2">
        <v>45200</v>
      </c>
      <c r="C486">
        <v>139933</v>
      </c>
      <c r="D486">
        <v>7798</v>
      </c>
      <c r="E486">
        <v>0.84</v>
      </c>
      <c r="F486">
        <v>0.45</v>
      </c>
      <c r="G486">
        <v>1.35</v>
      </c>
      <c r="H486">
        <v>691</v>
      </c>
      <c r="I486">
        <v>0</v>
      </c>
      <c r="K486">
        <v>0</v>
      </c>
      <c r="L486">
        <v>6</v>
      </c>
      <c r="M486" t="s">
        <v>14</v>
      </c>
      <c r="N486">
        <v>0.3</v>
      </c>
      <c r="O486">
        <f t="shared" si="14"/>
        <v>0</v>
      </c>
      <c r="P486">
        <f t="shared" si="15"/>
        <v>0</v>
      </c>
    </row>
    <row r="487" spans="1:16">
      <c r="A487">
        <v>486</v>
      </c>
      <c r="B487" s="2">
        <v>45566</v>
      </c>
      <c r="C487">
        <v>23203</v>
      </c>
      <c r="D487">
        <v>6919</v>
      </c>
      <c r="F487">
        <v>1.04</v>
      </c>
      <c r="G487">
        <v>1.22</v>
      </c>
      <c r="H487">
        <v>740</v>
      </c>
      <c r="I487">
        <v>0</v>
      </c>
      <c r="K487">
        <v>0</v>
      </c>
      <c r="L487">
        <v>12</v>
      </c>
      <c r="M487" t="s">
        <v>15</v>
      </c>
      <c r="N487">
        <v>0</v>
      </c>
      <c r="O487">
        <f t="shared" si="14"/>
        <v>0</v>
      </c>
      <c r="P487">
        <f t="shared" si="15"/>
        <v>0</v>
      </c>
    </row>
    <row r="488" spans="1:16">
      <c r="A488">
        <v>487</v>
      </c>
      <c r="B488" s="2">
        <v>45047</v>
      </c>
      <c r="C488">
        <v>112238</v>
      </c>
      <c r="D488">
        <v>23876</v>
      </c>
      <c r="E488">
        <v>1.23</v>
      </c>
      <c r="F488">
        <v>0.86</v>
      </c>
      <c r="G488">
        <v>1.39</v>
      </c>
      <c r="H488">
        <v>706</v>
      </c>
      <c r="I488">
        <v>1</v>
      </c>
      <c r="J488">
        <v>49346</v>
      </c>
      <c r="K488">
        <v>1</v>
      </c>
      <c r="L488">
        <v>12</v>
      </c>
      <c r="M488" t="s">
        <v>14</v>
      </c>
      <c r="N488">
        <v>0</v>
      </c>
      <c r="O488">
        <f t="shared" si="14"/>
        <v>1</v>
      </c>
      <c r="P488">
        <f t="shared" si="15"/>
        <v>0</v>
      </c>
    </row>
    <row r="489" spans="1:16">
      <c r="A489">
        <v>488</v>
      </c>
      <c r="B489" s="2">
        <v>45017</v>
      </c>
      <c r="C489">
        <v>41301</v>
      </c>
      <c r="D489">
        <v>11665</v>
      </c>
      <c r="E489">
        <v>2.12</v>
      </c>
      <c r="F489">
        <v>0.6</v>
      </c>
      <c r="G489">
        <v>1.07</v>
      </c>
      <c r="H489">
        <v>633</v>
      </c>
      <c r="I489">
        <v>0</v>
      </c>
      <c r="K489">
        <v>0</v>
      </c>
      <c r="L489">
        <v>12</v>
      </c>
      <c r="M489" t="s">
        <v>14</v>
      </c>
      <c r="N489">
        <v>0</v>
      </c>
      <c r="O489">
        <f t="shared" si="14"/>
        <v>0</v>
      </c>
      <c r="P489">
        <f t="shared" si="15"/>
        <v>0</v>
      </c>
    </row>
    <row r="490" spans="1:16">
      <c r="A490">
        <v>489</v>
      </c>
      <c r="B490" s="2">
        <v>44958</v>
      </c>
      <c r="C490">
        <v>23779</v>
      </c>
      <c r="D490">
        <v>11102</v>
      </c>
      <c r="E490">
        <v>0.71</v>
      </c>
      <c r="F490">
        <v>0.65</v>
      </c>
      <c r="G490">
        <v>0.19</v>
      </c>
      <c r="H490">
        <v>800</v>
      </c>
      <c r="I490">
        <v>1</v>
      </c>
      <c r="J490">
        <v>16595</v>
      </c>
      <c r="K490">
        <v>1</v>
      </c>
      <c r="L490">
        <v>12</v>
      </c>
      <c r="M490" t="s">
        <v>14</v>
      </c>
      <c r="N490">
        <v>0.45</v>
      </c>
      <c r="O490">
        <f t="shared" si="14"/>
        <v>1</v>
      </c>
      <c r="P490">
        <f t="shared" si="15"/>
        <v>0</v>
      </c>
    </row>
    <row r="491" spans="1:16">
      <c r="A491">
        <v>490</v>
      </c>
      <c r="B491" s="2">
        <v>45505</v>
      </c>
      <c r="C491">
        <v>26515</v>
      </c>
      <c r="D491">
        <v>3286</v>
      </c>
      <c r="E491">
        <v>0.2</v>
      </c>
      <c r="F491">
        <v>1.47</v>
      </c>
      <c r="G491">
        <v>2.4700000000000002</v>
      </c>
      <c r="H491">
        <v>691</v>
      </c>
      <c r="I491">
        <v>0</v>
      </c>
      <c r="K491">
        <v>0</v>
      </c>
      <c r="L491">
        <v>12</v>
      </c>
      <c r="M491" t="s">
        <v>15</v>
      </c>
      <c r="N491">
        <v>0.3</v>
      </c>
      <c r="O491">
        <f t="shared" si="14"/>
        <v>0</v>
      </c>
      <c r="P491">
        <f t="shared" si="15"/>
        <v>0</v>
      </c>
    </row>
    <row r="492" spans="1:16">
      <c r="A492">
        <v>491</v>
      </c>
      <c r="B492" s="2">
        <v>45200</v>
      </c>
      <c r="C492">
        <v>29489</v>
      </c>
      <c r="D492">
        <v>20843</v>
      </c>
      <c r="E492">
        <v>1.3</v>
      </c>
      <c r="F492">
        <v>0.63</v>
      </c>
      <c r="G492">
        <v>1.44</v>
      </c>
      <c r="H492">
        <v>672</v>
      </c>
      <c r="I492">
        <v>0</v>
      </c>
      <c r="K492">
        <v>0</v>
      </c>
      <c r="L492">
        <v>12</v>
      </c>
      <c r="M492" t="s">
        <v>14</v>
      </c>
      <c r="N492">
        <v>0</v>
      </c>
      <c r="O492">
        <f t="shared" si="14"/>
        <v>0</v>
      </c>
      <c r="P492">
        <f t="shared" si="15"/>
        <v>0</v>
      </c>
    </row>
    <row r="493" spans="1:16">
      <c r="A493">
        <v>492</v>
      </c>
      <c r="B493" s="2">
        <v>45474</v>
      </c>
      <c r="C493">
        <v>47844</v>
      </c>
      <c r="D493">
        <v>5611</v>
      </c>
      <c r="E493">
        <v>1.85</v>
      </c>
      <c r="F493">
        <v>0.85</v>
      </c>
      <c r="G493">
        <v>1.57</v>
      </c>
      <c r="H493">
        <v>733</v>
      </c>
      <c r="I493">
        <v>0</v>
      </c>
      <c r="K493">
        <v>0</v>
      </c>
      <c r="L493">
        <v>12</v>
      </c>
      <c r="M493" t="s">
        <v>15</v>
      </c>
      <c r="N493">
        <v>0</v>
      </c>
      <c r="O493">
        <f t="shared" si="14"/>
        <v>0</v>
      </c>
      <c r="P493">
        <f t="shared" si="15"/>
        <v>0</v>
      </c>
    </row>
    <row r="494" spans="1:16">
      <c r="A494">
        <v>493</v>
      </c>
      <c r="B494" s="2">
        <v>44927</v>
      </c>
      <c r="C494">
        <v>51013</v>
      </c>
      <c r="D494">
        <v>13932</v>
      </c>
      <c r="E494">
        <v>2.21</v>
      </c>
      <c r="F494">
        <v>4.13</v>
      </c>
      <c r="G494">
        <v>1.32</v>
      </c>
      <c r="H494">
        <v>694</v>
      </c>
      <c r="I494">
        <v>0</v>
      </c>
      <c r="K494">
        <v>0</v>
      </c>
      <c r="L494">
        <v>12</v>
      </c>
      <c r="M494" t="s">
        <v>14</v>
      </c>
      <c r="N494">
        <v>0.35</v>
      </c>
      <c r="O494">
        <f t="shared" si="14"/>
        <v>0</v>
      </c>
      <c r="P494">
        <f t="shared" si="15"/>
        <v>0</v>
      </c>
    </row>
    <row r="495" spans="1:16">
      <c r="A495">
        <v>494</v>
      </c>
      <c r="B495" s="2">
        <v>45627</v>
      </c>
      <c r="C495">
        <v>25012</v>
      </c>
      <c r="D495">
        <v>16223</v>
      </c>
      <c r="E495">
        <v>1.3</v>
      </c>
      <c r="F495">
        <v>0.33</v>
      </c>
      <c r="G495">
        <v>0.95</v>
      </c>
      <c r="H495">
        <v>702</v>
      </c>
      <c r="I495">
        <v>0</v>
      </c>
      <c r="K495">
        <v>0</v>
      </c>
      <c r="L495">
        <v>6</v>
      </c>
      <c r="M495" t="s">
        <v>15</v>
      </c>
      <c r="N495">
        <v>0</v>
      </c>
      <c r="O495">
        <f t="shared" si="14"/>
        <v>0</v>
      </c>
      <c r="P495">
        <f t="shared" si="15"/>
        <v>0</v>
      </c>
    </row>
    <row r="496" spans="1:16">
      <c r="A496">
        <v>495</v>
      </c>
      <c r="B496" s="2">
        <v>45047</v>
      </c>
      <c r="C496">
        <v>35745</v>
      </c>
      <c r="D496">
        <v>34629</v>
      </c>
      <c r="E496">
        <v>1.32</v>
      </c>
      <c r="F496">
        <v>0.25</v>
      </c>
      <c r="G496">
        <v>1.25</v>
      </c>
      <c r="H496">
        <v>817</v>
      </c>
      <c r="I496">
        <v>0</v>
      </c>
      <c r="K496">
        <v>0</v>
      </c>
      <c r="L496">
        <v>12</v>
      </c>
      <c r="M496" t="s">
        <v>14</v>
      </c>
      <c r="N496">
        <v>0</v>
      </c>
      <c r="O496">
        <f t="shared" si="14"/>
        <v>0</v>
      </c>
      <c r="P496">
        <f t="shared" si="15"/>
        <v>0</v>
      </c>
    </row>
    <row r="497" spans="1:16">
      <c r="A497">
        <v>496</v>
      </c>
      <c r="B497" s="2">
        <v>45292</v>
      </c>
      <c r="C497">
        <v>146163</v>
      </c>
      <c r="D497">
        <v>5345</v>
      </c>
      <c r="E497">
        <v>2.1800000000000002</v>
      </c>
      <c r="F497">
        <v>1.57</v>
      </c>
      <c r="G497">
        <v>0.47</v>
      </c>
      <c r="H497">
        <v>665</v>
      </c>
      <c r="I497">
        <v>0</v>
      </c>
      <c r="K497">
        <v>0</v>
      </c>
      <c r="L497">
        <v>12</v>
      </c>
      <c r="M497" t="s">
        <v>15</v>
      </c>
      <c r="N497">
        <v>0.15</v>
      </c>
      <c r="O497">
        <f t="shared" si="14"/>
        <v>0</v>
      </c>
      <c r="P497">
        <f t="shared" si="15"/>
        <v>0</v>
      </c>
    </row>
    <row r="498" spans="1:16">
      <c r="A498">
        <v>497</v>
      </c>
      <c r="B498" s="2">
        <v>45017</v>
      </c>
      <c r="C498">
        <v>111625</v>
      </c>
      <c r="D498">
        <v>1614</v>
      </c>
      <c r="E498">
        <v>0.52</v>
      </c>
      <c r="F498">
        <v>0.56000000000000005</v>
      </c>
      <c r="G498">
        <v>2.6</v>
      </c>
      <c r="H498">
        <v>663</v>
      </c>
      <c r="I498">
        <v>0</v>
      </c>
      <c r="K498">
        <v>0</v>
      </c>
      <c r="L498">
        <v>12</v>
      </c>
      <c r="M498" t="s">
        <v>14</v>
      </c>
      <c r="N498">
        <v>0.3</v>
      </c>
      <c r="O498">
        <f t="shared" si="14"/>
        <v>0</v>
      </c>
      <c r="P498">
        <f t="shared" si="15"/>
        <v>0</v>
      </c>
    </row>
    <row r="499" spans="1:16">
      <c r="A499">
        <v>498</v>
      </c>
      <c r="B499" s="2">
        <v>45383</v>
      </c>
      <c r="C499">
        <v>48224</v>
      </c>
      <c r="D499">
        <v>15195</v>
      </c>
      <c r="E499">
        <v>1.34</v>
      </c>
      <c r="F499">
        <v>0.72</v>
      </c>
      <c r="G499">
        <v>0.67</v>
      </c>
      <c r="H499">
        <v>686</v>
      </c>
      <c r="I499">
        <v>0</v>
      </c>
      <c r="K499">
        <v>0</v>
      </c>
      <c r="L499">
        <v>6</v>
      </c>
      <c r="M499" t="s">
        <v>15</v>
      </c>
      <c r="N499">
        <v>0.15</v>
      </c>
      <c r="O499">
        <f t="shared" si="14"/>
        <v>0</v>
      </c>
      <c r="P499">
        <f t="shared" si="15"/>
        <v>0</v>
      </c>
    </row>
    <row r="500" spans="1:16">
      <c r="A500">
        <v>499</v>
      </c>
      <c r="B500" s="2">
        <v>45627</v>
      </c>
      <c r="C500">
        <v>37224</v>
      </c>
      <c r="D500">
        <v>47116</v>
      </c>
      <c r="E500">
        <v>1.65</v>
      </c>
      <c r="F500">
        <v>0.52</v>
      </c>
      <c r="G500">
        <v>0.78</v>
      </c>
      <c r="H500">
        <v>739</v>
      </c>
      <c r="I500">
        <v>0</v>
      </c>
      <c r="K500">
        <v>0</v>
      </c>
      <c r="L500">
        <v>18</v>
      </c>
      <c r="M500" t="s">
        <v>15</v>
      </c>
      <c r="N500">
        <v>0.15</v>
      </c>
      <c r="O500">
        <f t="shared" si="14"/>
        <v>0</v>
      </c>
      <c r="P500">
        <f t="shared" si="15"/>
        <v>0</v>
      </c>
    </row>
    <row r="501" spans="1:16">
      <c r="A501">
        <v>500</v>
      </c>
      <c r="B501" s="2">
        <v>45383</v>
      </c>
      <c r="C501">
        <v>39262</v>
      </c>
      <c r="D501">
        <v>31801</v>
      </c>
      <c r="E501">
        <v>1.8</v>
      </c>
      <c r="F501">
        <v>0.75</v>
      </c>
      <c r="G501">
        <v>1.1100000000000001</v>
      </c>
      <c r="H501">
        <v>597</v>
      </c>
      <c r="I501">
        <v>0</v>
      </c>
      <c r="K501">
        <v>0</v>
      </c>
      <c r="L501">
        <v>12</v>
      </c>
      <c r="M501" t="s">
        <v>15</v>
      </c>
      <c r="N501">
        <v>0.2</v>
      </c>
      <c r="O501">
        <f t="shared" si="14"/>
        <v>0</v>
      </c>
      <c r="P501">
        <f t="shared" si="15"/>
        <v>0</v>
      </c>
    </row>
    <row r="502" spans="1:16">
      <c r="A502">
        <v>501</v>
      </c>
      <c r="B502" s="2">
        <v>45597</v>
      </c>
      <c r="C502">
        <v>54111</v>
      </c>
      <c r="D502">
        <v>15472</v>
      </c>
      <c r="E502">
        <v>1.27</v>
      </c>
      <c r="F502">
        <v>2.77</v>
      </c>
      <c r="G502">
        <v>2.06</v>
      </c>
      <c r="H502">
        <v>572</v>
      </c>
      <c r="I502">
        <v>0</v>
      </c>
      <c r="K502">
        <v>0</v>
      </c>
      <c r="L502">
        <v>6</v>
      </c>
      <c r="M502" t="s">
        <v>15</v>
      </c>
      <c r="N502">
        <v>0.55000000000000004</v>
      </c>
      <c r="O502">
        <f t="shared" si="14"/>
        <v>0</v>
      </c>
      <c r="P502">
        <f t="shared" si="15"/>
        <v>0</v>
      </c>
    </row>
    <row r="503" spans="1:16">
      <c r="A503">
        <v>502</v>
      </c>
      <c r="B503" s="2">
        <v>44958</v>
      </c>
      <c r="C503">
        <v>18680</v>
      </c>
      <c r="D503">
        <v>9470</v>
      </c>
      <c r="E503">
        <v>1.57</v>
      </c>
      <c r="F503">
        <v>1.59</v>
      </c>
      <c r="G503">
        <v>1.36</v>
      </c>
      <c r="H503">
        <v>648</v>
      </c>
      <c r="I503">
        <v>0</v>
      </c>
      <c r="K503">
        <v>0</v>
      </c>
      <c r="L503">
        <v>18</v>
      </c>
      <c r="M503" t="s">
        <v>14</v>
      </c>
      <c r="N503">
        <v>0</v>
      </c>
      <c r="O503">
        <f t="shared" si="14"/>
        <v>0</v>
      </c>
      <c r="P503">
        <f t="shared" si="15"/>
        <v>0</v>
      </c>
    </row>
    <row r="504" spans="1:16">
      <c r="A504">
        <v>503</v>
      </c>
      <c r="B504" s="2">
        <v>45413</v>
      </c>
      <c r="C504">
        <v>30721</v>
      </c>
      <c r="D504">
        <v>23505</v>
      </c>
      <c r="E504">
        <v>0.2</v>
      </c>
      <c r="F504">
        <v>1.65</v>
      </c>
      <c r="G504">
        <v>0.67</v>
      </c>
      <c r="H504">
        <v>590</v>
      </c>
      <c r="I504">
        <v>1</v>
      </c>
      <c r="J504">
        <v>12192</v>
      </c>
      <c r="K504">
        <v>1</v>
      </c>
      <c r="L504">
        <v>6</v>
      </c>
      <c r="M504" t="s">
        <v>15</v>
      </c>
      <c r="N504">
        <v>0.65</v>
      </c>
      <c r="O504">
        <f t="shared" si="14"/>
        <v>1</v>
      </c>
      <c r="P504">
        <f t="shared" si="15"/>
        <v>0</v>
      </c>
    </row>
    <row r="505" spans="1:16">
      <c r="A505">
        <v>504</v>
      </c>
      <c r="B505" s="2">
        <v>45505</v>
      </c>
      <c r="C505">
        <v>12276</v>
      </c>
      <c r="D505">
        <v>6758</v>
      </c>
      <c r="E505">
        <v>1.19</v>
      </c>
      <c r="F505">
        <v>0.34</v>
      </c>
      <c r="G505">
        <v>2.04</v>
      </c>
      <c r="H505">
        <v>657</v>
      </c>
      <c r="I505">
        <v>0</v>
      </c>
      <c r="K505">
        <v>0</v>
      </c>
      <c r="L505">
        <v>12</v>
      </c>
      <c r="M505" t="s">
        <v>15</v>
      </c>
      <c r="N505">
        <v>0</v>
      </c>
      <c r="O505">
        <f t="shared" si="14"/>
        <v>0</v>
      </c>
      <c r="P505">
        <f t="shared" si="15"/>
        <v>0</v>
      </c>
    </row>
    <row r="506" spans="1:16">
      <c r="A506">
        <v>505</v>
      </c>
      <c r="B506" s="2">
        <v>45627</v>
      </c>
      <c r="C506">
        <v>47075</v>
      </c>
      <c r="D506">
        <v>18647</v>
      </c>
      <c r="E506">
        <v>1.8</v>
      </c>
      <c r="F506">
        <v>0.4</v>
      </c>
      <c r="G506">
        <v>1.75</v>
      </c>
      <c r="H506">
        <v>708</v>
      </c>
      <c r="I506">
        <v>0</v>
      </c>
      <c r="K506">
        <v>0</v>
      </c>
      <c r="L506">
        <v>6</v>
      </c>
      <c r="M506" t="s">
        <v>15</v>
      </c>
      <c r="N506">
        <v>0</v>
      </c>
      <c r="O506">
        <f t="shared" si="14"/>
        <v>0</v>
      </c>
      <c r="P506">
        <f t="shared" si="15"/>
        <v>0</v>
      </c>
    </row>
    <row r="507" spans="1:16">
      <c r="A507">
        <v>506</v>
      </c>
      <c r="B507" s="2">
        <v>45261</v>
      </c>
      <c r="C507">
        <v>55308</v>
      </c>
      <c r="D507">
        <v>19031</v>
      </c>
      <c r="F507">
        <v>0.12</v>
      </c>
      <c r="G507">
        <v>1.65</v>
      </c>
      <c r="H507">
        <v>631</v>
      </c>
      <c r="I507">
        <v>0</v>
      </c>
      <c r="K507">
        <v>0</v>
      </c>
      <c r="L507">
        <v>6</v>
      </c>
      <c r="M507" t="s">
        <v>14</v>
      </c>
      <c r="N507">
        <v>0</v>
      </c>
      <c r="O507">
        <f t="shared" si="14"/>
        <v>0</v>
      </c>
      <c r="P507">
        <f t="shared" si="15"/>
        <v>0</v>
      </c>
    </row>
    <row r="508" spans="1:16">
      <c r="A508">
        <v>507</v>
      </c>
      <c r="B508" s="2">
        <v>45444</v>
      </c>
      <c r="C508">
        <v>26527</v>
      </c>
      <c r="D508">
        <v>28061</v>
      </c>
      <c r="E508">
        <v>1.58</v>
      </c>
      <c r="F508">
        <v>0.51</v>
      </c>
      <c r="G508">
        <v>1.74</v>
      </c>
      <c r="H508">
        <v>602</v>
      </c>
      <c r="I508">
        <v>1</v>
      </c>
      <c r="K508">
        <v>0</v>
      </c>
      <c r="L508">
        <v>12</v>
      </c>
      <c r="M508" t="s">
        <v>15</v>
      </c>
      <c r="N508">
        <v>0</v>
      </c>
      <c r="O508">
        <f t="shared" si="14"/>
        <v>0</v>
      </c>
      <c r="P508">
        <f t="shared" si="15"/>
        <v>1</v>
      </c>
    </row>
    <row r="509" spans="1:16">
      <c r="A509">
        <v>508</v>
      </c>
      <c r="B509" s="2">
        <v>44986</v>
      </c>
      <c r="C509">
        <v>101022</v>
      </c>
      <c r="D509">
        <v>92204</v>
      </c>
      <c r="E509">
        <v>1.8</v>
      </c>
      <c r="F509">
        <v>1.77</v>
      </c>
      <c r="G509">
        <v>2.67</v>
      </c>
      <c r="H509">
        <v>684</v>
      </c>
      <c r="I509">
        <v>0</v>
      </c>
      <c r="K509">
        <v>0</v>
      </c>
      <c r="L509">
        <v>12</v>
      </c>
      <c r="M509" t="s">
        <v>14</v>
      </c>
      <c r="N509">
        <v>0</v>
      </c>
      <c r="O509">
        <f t="shared" si="14"/>
        <v>0</v>
      </c>
      <c r="P509">
        <f t="shared" si="15"/>
        <v>0</v>
      </c>
    </row>
    <row r="510" spans="1:16">
      <c r="A510">
        <v>509</v>
      </c>
      <c r="B510" s="2">
        <v>44927</v>
      </c>
      <c r="C510">
        <v>16371</v>
      </c>
      <c r="D510">
        <v>17583</v>
      </c>
      <c r="E510">
        <v>1.36</v>
      </c>
      <c r="F510">
        <v>1.3</v>
      </c>
      <c r="G510">
        <v>2.5499999999999998</v>
      </c>
      <c r="I510">
        <v>0</v>
      </c>
      <c r="K510">
        <v>0</v>
      </c>
      <c r="L510">
        <v>18</v>
      </c>
      <c r="M510" t="s">
        <v>14</v>
      </c>
      <c r="N510">
        <v>0</v>
      </c>
      <c r="O510">
        <f t="shared" si="14"/>
        <v>0</v>
      </c>
      <c r="P510">
        <f t="shared" si="15"/>
        <v>0</v>
      </c>
    </row>
    <row r="511" spans="1:16">
      <c r="A511">
        <v>510</v>
      </c>
      <c r="B511" s="2">
        <v>44927</v>
      </c>
      <c r="C511">
        <v>14019</v>
      </c>
      <c r="D511">
        <v>9356</v>
      </c>
      <c r="E511">
        <v>1.64</v>
      </c>
      <c r="F511">
        <v>0.77</v>
      </c>
      <c r="G511">
        <v>0.97</v>
      </c>
      <c r="H511">
        <v>587</v>
      </c>
      <c r="I511">
        <v>0</v>
      </c>
      <c r="K511">
        <v>0</v>
      </c>
      <c r="L511">
        <v>12</v>
      </c>
      <c r="M511" t="s">
        <v>14</v>
      </c>
      <c r="N511">
        <v>0.2</v>
      </c>
      <c r="O511">
        <f t="shared" si="14"/>
        <v>0</v>
      </c>
      <c r="P511">
        <f t="shared" si="15"/>
        <v>0</v>
      </c>
    </row>
    <row r="512" spans="1:16">
      <c r="A512">
        <v>511</v>
      </c>
      <c r="B512" s="2">
        <v>45474</v>
      </c>
      <c r="C512">
        <v>42020</v>
      </c>
      <c r="D512">
        <v>13123</v>
      </c>
      <c r="E512">
        <v>1.02</v>
      </c>
      <c r="F512">
        <v>0.89</v>
      </c>
      <c r="G512">
        <v>2.2400000000000002</v>
      </c>
      <c r="H512">
        <v>725</v>
      </c>
      <c r="I512">
        <v>0</v>
      </c>
      <c r="K512">
        <v>0</v>
      </c>
      <c r="L512">
        <v>12</v>
      </c>
      <c r="M512" t="s">
        <v>15</v>
      </c>
      <c r="N512">
        <v>0</v>
      </c>
      <c r="O512">
        <f t="shared" si="14"/>
        <v>0</v>
      </c>
      <c r="P512">
        <f t="shared" si="15"/>
        <v>0</v>
      </c>
    </row>
    <row r="513" spans="1:16">
      <c r="A513">
        <v>512</v>
      </c>
      <c r="B513" s="2">
        <v>45231</v>
      </c>
      <c r="C513">
        <v>71726</v>
      </c>
      <c r="D513">
        <v>3872</v>
      </c>
      <c r="E513">
        <v>1.44</v>
      </c>
      <c r="F513">
        <v>0.56000000000000005</v>
      </c>
      <c r="G513">
        <v>1.56</v>
      </c>
      <c r="H513">
        <v>725</v>
      </c>
      <c r="I513">
        <v>0</v>
      </c>
      <c r="K513">
        <v>0</v>
      </c>
      <c r="L513">
        <v>6</v>
      </c>
      <c r="M513" t="s">
        <v>14</v>
      </c>
      <c r="N513">
        <v>0</v>
      </c>
      <c r="O513">
        <f t="shared" si="14"/>
        <v>0</v>
      </c>
      <c r="P513">
        <f t="shared" si="15"/>
        <v>0</v>
      </c>
    </row>
    <row r="514" spans="1:16">
      <c r="A514">
        <v>513</v>
      </c>
      <c r="B514" s="2">
        <v>45047</v>
      </c>
      <c r="C514">
        <v>108505</v>
      </c>
      <c r="D514">
        <v>8215</v>
      </c>
      <c r="E514">
        <v>1.89</v>
      </c>
      <c r="F514">
        <v>1.04</v>
      </c>
      <c r="G514">
        <v>1.62</v>
      </c>
      <c r="H514">
        <v>732</v>
      </c>
      <c r="I514">
        <v>0</v>
      </c>
      <c r="K514">
        <v>0</v>
      </c>
      <c r="L514">
        <v>12</v>
      </c>
      <c r="M514" t="s">
        <v>14</v>
      </c>
      <c r="N514">
        <v>0</v>
      </c>
      <c r="O514">
        <f t="shared" si="14"/>
        <v>0</v>
      </c>
      <c r="P514">
        <f t="shared" si="15"/>
        <v>0</v>
      </c>
    </row>
    <row r="515" spans="1:16">
      <c r="A515">
        <v>514</v>
      </c>
      <c r="B515" s="2">
        <v>45261</v>
      </c>
      <c r="C515">
        <v>26950</v>
      </c>
      <c r="D515">
        <v>10032</v>
      </c>
      <c r="E515">
        <v>1.64</v>
      </c>
      <c r="F515">
        <v>1.55</v>
      </c>
      <c r="G515">
        <v>0.42</v>
      </c>
      <c r="H515">
        <v>747</v>
      </c>
      <c r="I515">
        <v>0</v>
      </c>
      <c r="K515">
        <v>0</v>
      </c>
      <c r="L515">
        <v>12</v>
      </c>
      <c r="M515" t="s">
        <v>14</v>
      </c>
      <c r="N515">
        <v>0.15</v>
      </c>
      <c r="O515">
        <f t="shared" ref="O515:O578" si="16">IF(J515="",0,1)</f>
        <v>0</v>
      </c>
      <c r="P515">
        <f t="shared" ref="P515:P578" si="17">IF(I515=K515,0,1)</f>
        <v>0</v>
      </c>
    </row>
    <row r="516" spans="1:16">
      <c r="A516">
        <v>515</v>
      </c>
      <c r="B516" s="2">
        <v>44986</v>
      </c>
      <c r="C516">
        <v>73214</v>
      </c>
      <c r="D516">
        <v>9257</v>
      </c>
      <c r="E516">
        <v>1.23</v>
      </c>
      <c r="F516">
        <v>0.28999999999999998</v>
      </c>
      <c r="G516">
        <v>1.26</v>
      </c>
      <c r="H516">
        <v>801</v>
      </c>
      <c r="I516">
        <v>0</v>
      </c>
      <c r="K516">
        <v>0</v>
      </c>
      <c r="L516">
        <v>12</v>
      </c>
      <c r="M516" t="s">
        <v>14</v>
      </c>
      <c r="N516">
        <v>0</v>
      </c>
      <c r="O516">
        <f t="shared" si="16"/>
        <v>0</v>
      </c>
      <c r="P516">
        <f t="shared" si="17"/>
        <v>0</v>
      </c>
    </row>
    <row r="517" spans="1:16">
      <c r="A517">
        <v>516</v>
      </c>
      <c r="B517" s="2">
        <v>44927</v>
      </c>
      <c r="C517">
        <v>35418</v>
      </c>
      <c r="D517">
        <v>14863</v>
      </c>
      <c r="E517">
        <v>1.67</v>
      </c>
      <c r="F517">
        <v>1.1200000000000001</v>
      </c>
      <c r="G517">
        <v>0.9</v>
      </c>
      <c r="H517">
        <v>660</v>
      </c>
      <c r="I517">
        <v>1</v>
      </c>
      <c r="J517">
        <v>6081</v>
      </c>
      <c r="K517">
        <v>1</v>
      </c>
      <c r="L517">
        <v>18</v>
      </c>
      <c r="M517" t="s">
        <v>14</v>
      </c>
      <c r="N517">
        <v>0</v>
      </c>
      <c r="O517">
        <f t="shared" si="16"/>
        <v>1</v>
      </c>
      <c r="P517">
        <f t="shared" si="17"/>
        <v>0</v>
      </c>
    </row>
    <row r="518" spans="1:16">
      <c r="A518">
        <v>517</v>
      </c>
      <c r="B518" s="2">
        <v>44927</v>
      </c>
      <c r="C518">
        <v>32461</v>
      </c>
      <c r="D518">
        <v>7512</v>
      </c>
      <c r="E518">
        <v>1.94</v>
      </c>
      <c r="F518">
        <v>1.74</v>
      </c>
      <c r="G518">
        <v>1.81</v>
      </c>
      <c r="H518">
        <v>686</v>
      </c>
      <c r="I518">
        <v>0</v>
      </c>
      <c r="K518">
        <v>0</v>
      </c>
      <c r="L518">
        <v>12</v>
      </c>
      <c r="M518" t="s">
        <v>14</v>
      </c>
      <c r="N518">
        <v>0</v>
      </c>
      <c r="O518">
        <f t="shared" si="16"/>
        <v>0</v>
      </c>
      <c r="P518">
        <f t="shared" si="17"/>
        <v>0</v>
      </c>
    </row>
    <row r="519" spans="1:16">
      <c r="A519">
        <v>518</v>
      </c>
      <c r="B519" s="2">
        <v>45139</v>
      </c>
      <c r="C519">
        <v>64497</v>
      </c>
      <c r="D519">
        <v>29282</v>
      </c>
      <c r="E519">
        <v>0.42</v>
      </c>
      <c r="F519">
        <v>0.68</v>
      </c>
      <c r="G519">
        <v>1.94</v>
      </c>
      <c r="H519">
        <v>657</v>
      </c>
      <c r="I519">
        <v>0</v>
      </c>
      <c r="K519">
        <v>0</v>
      </c>
      <c r="L519">
        <v>12</v>
      </c>
      <c r="M519" t="s">
        <v>14</v>
      </c>
      <c r="N519">
        <v>0.3</v>
      </c>
      <c r="O519">
        <f t="shared" si="16"/>
        <v>0</v>
      </c>
      <c r="P519">
        <f t="shared" si="17"/>
        <v>0</v>
      </c>
    </row>
    <row r="520" spans="1:16">
      <c r="A520">
        <v>519</v>
      </c>
      <c r="B520" s="2">
        <v>45200</v>
      </c>
      <c r="C520">
        <v>55493</v>
      </c>
      <c r="D520">
        <v>13362</v>
      </c>
      <c r="E520">
        <v>2.19</v>
      </c>
      <c r="F520">
        <v>1.48</v>
      </c>
      <c r="G520">
        <v>0.21</v>
      </c>
      <c r="H520">
        <v>680</v>
      </c>
      <c r="I520">
        <v>0</v>
      </c>
      <c r="K520">
        <v>0</v>
      </c>
      <c r="L520">
        <v>12</v>
      </c>
      <c r="M520" t="s">
        <v>14</v>
      </c>
      <c r="N520">
        <v>0.15</v>
      </c>
      <c r="O520">
        <f t="shared" si="16"/>
        <v>0</v>
      </c>
      <c r="P520">
        <f t="shared" si="17"/>
        <v>0</v>
      </c>
    </row>
    <row r="521" spans="1:16">
      <c r="A521">
        <v>520</v>
      </c>
      <c r="B521" s="2">
        <v>45231</v>
      </c>
      <c r="C521">
        <v>13034</v>
      </c>
      <c r="D521">
        <v>13273</v>
      </c>
      <c r="E521">
        <v>1.37</v>
      </c>
      <c r="F521">
        <v>6.49</v>
      </c>
      <c r="G521">
        <v>1.34</v>
      </c>
      <c r="H521">
        <v>764</v>
      </c>
      <c r="I521">
        <v>0</v>
      </c>
      <c r="K521">
        <v>0</v>
      </c>
      <c r="L521">
        <v>12</v>
      </c>
      <c r="M521" t="s">
        <v>14</v>
      </c>
      <c r="N521">
        <v>0.35</v>
      </c>
      <c r="O521">
        <f t="shared" si="16"/>
        <v>0</v>
      </c>
      <c r="P521">
        <f t="shared" si="17"/>
        <v>0</v>
      </c>
    </row>
    <row r="522" spans="1:16">
      <c r="A522">
        <v>521</v>
      </c>
      <c r="B522" s="2">
        <v>45261</v>
      </c>
      <c r="C522">
        <v>94821</v>
      </c>
      <c r="D522">
        <v>10620</v>
      </c>
      <c r="E522">
        <v>1.78</v>
      </c>
      <c r="F522">
        <v>0.84</v>
      </c>
      <c r="G522">
        <v>1.97</v>
      </c>
      <c r="H522">
        <v>606</v>
      </c>
      <c r="I522">
        <v>0</v>
      </c>
      <c r="K522">
        <v>0</v>
      </c>
      <c r="L522">
        <v>12</v>
      </c>
      <c r="M522" t="s">
        <v>14</v>
      </c>
      <c r="N522">
        <v>0</v>
      </c>
      <c r="O522">
        <f t="shared" si="16"/>
        <v>0</v>
      </c>
      <c r="P522">
        <f t="shared" si="17"/>
        <v>0</v>
      </c>
    </row>
    <row r="523" spans="1:16">
      <c r="A523">
        <v>522</v>
      </c>
      <c r="B523" s="2">
        <v>45292</v>
      </c>
      <c r="C523">
        <v>89059</v>
      </c>
      <c r="D523">
        <v>14893</v>
      </c>
      <c r="E523">
        <v>2.21</v>
      </c>
      <c r="F523">
        <v>1.19</v>
      </c>
      <c r="G523">
        <v>1.25</v>
      </c>
      <c r="H523">
        <v>633</v>
      </c>
      <c r="I523">
        <v>0</v>
      </c>
      <c r="K523">
        <v>0</v>
      </c>
      <c r="L523">
        <v>12</v>
      </c>
      <c r="M523" t="s">
        <v>15</v>
      </c>
      <c r="N523">
        <v>0</v>
      </c>
      <c r="O523">
        <f t="shared" si="16"/>
        <v>0</v>
      </c>
      <c r="P523">
        <f t="shared" si="17"/>
        <v>0</v>
      </c>
    </row>
    <row r="524" spans="1:16">
      <c r="A524">
        <v>523</v>
      </c>
      <c r="B524" s="2">
        <v>45261</v>
      </c>
      <c r="C524">
        <v>24182</v>
      </c>
      <c r="D524">
        <v>23803</v>
      </c>
      <c r="E524">
        <v>0.8</v>
      </c>
      <c r="F524">
        <v>0.54</v>
      </c>
      <c r="G524">
        <v>1.75</v>
      </c>
      <c r="H524">
        <v>756</v>
      </c>
      <c r="I524">
        <v>0</v>
      </c>
      <c r="K524">
        <v>0</v>
      </c>
      <c r="L524">
        <v>12</v>
      </c>
      <c r="M524" t="s">
        <v>14</v>
      </c>
      <c r="N524">
        <v>0.3</v>
      </c>
      <c r="O524">
        <f t="shared" si="16"/>
        <v>0</v>
      </c>
      <c r="P524">
        <f t="shared" si="17"/>
        <v>0</v>
      </c>
    </row>
    <row r="525" spans="1:16">
      <c r="A525">
        <v>524</v>
      </c>
      <c r="B525" s="2">
        <v>45323</v>
      </c>
      <c r="C525">
        <v>46970</v>
      </c>
      <c r="D525">
        <v>7281</v>
      </c>
      <c r="F525">
        <v>1.03</v>
      </c>
      <c r="G525">
        <v>1.54</v>
      </c>
      <c r="H525">
        <v>736</v>
      </c>
      <c r="I525">
        <v>0</v>
      </c>
      <c r="K525">
        <v>0</v>
      </c>
      <c r="L525">
        <v>12</v>
      </c>
      <c r="M525" t="s">
        <v>15</v>
      </c>
      <c r="N525">
        <v>0</v>
      </c>
      <c r="O525">
        <f t="shared" si="16"/>
        <v>0</v>
      </c>
      <c r="P525">
        <f t="shared" si="17"/>
        <v>0</v>
      </c>
    </row>
    <row r="526" spans="1:16">
      <c r="A526">
        <v>525</v>
      </c>
      <c r="B526" s="2">
        <v>44958</v>
      </c>
      <c r="C526">
        <v>50067</v>
      </c>
      <c r="D526">
        <v>8428</v>
      </c>
      <c r="E526">
        <v>1.39</v>
      </c>
      <c r="F526">
        <v>1.25</v>
      </c>
      <c r="G526">
        <v>1.54</v>
      </c>
      <c r="H526">
        <v>660</v>
      </c>
      <c r="I526">
        <v>0</v>
      </c>
      <c r="K526">
        <v>0</v>
      </c>
      <c r="L526">
        <v>12</v>
      </c>
      <c r="M526" t="s">
        <v>14</v>
      </c>
      <c r="N526">
        <v>0</v>
      </c>
      <c r="O526">
        <f t="shared" si="16"/>
        <v>0</v>
      </c>
      <c r="P526">
        <f t="shared" si="17"/>
        <v>0</v>
      </c>
    </row>
    <row r="527" spans="1:16">
      <c r="A527">
        <v>526</v>
      </c>
      <c r="B527" s="2">
        <v>45474</v>
      </c>
      <c r="C527">
        <v>43021</v>
      </c>
      <c r="D527">
        <v>10801</v>
      </c>
      <c r="E527">
        <v>1.1200000000000001</v>
      </c>
      <c r="F527">
        <v>1.04</v>
      </c>
      <c r="G527">
        <v>1.2</v>
      </c>
      <c r="H527">
        <v>727</v>
      </c>
      <c r="I527">
        <v>0</v>
      </c>
      <c r="K527">
        <v>0</v>
      </c>
      <c r="L527">
        <v>18</v>
      </c>
      <c r="M527" t="s">
        <v>15</v>
      </c>
      <c r="N527">
        <v>0</v>
      </c>
      <c r="O527">
        <f t="shared" si="16"/>
        <v>0</v>
      </c>
      <c r="P527">
        <f t="shared" si="17"/>
        <v>0</v>
      </c>
    </row>
    <row r="528" spans="1:16">
      <c r="A528">
        <v>527</v>
      </c>
      <c r="B528" s="2">
        <v>45444</v>
      </c>
      <c r="C528">
        <v>25395</v>
      </c>
      <c r="D528">
        <v>5208</v>
      </c>
      <c r="E528">
        <v>2.5</v>
      </c>
      <c r="F528">
        <v>0.44</v>
      </c>
      <c r="G528">
        <v>0.68</v>
      </c>
      <c r="H528">
        <v>699</v>
      </c>
      <c r="I528">
        <v>0</v>
      </c>
      <c r="K528">
        <v>0</v>
      </c>
      <c r="L528">
        <v>12</v>
      </c>
      <c r="M528" t="s">
        <v>15</v>
      </c>
      <c r="N528">
        <v>0.15</v>
      </c>
      <c r="O528">
        <f t="shared" si="16"/>
        <v>0</v>
      </c>
      <c r="P528">
        <f t="shared" si="17"/>
        <v>0</v>
      </c>
    </row>
    <row r="529" spans="1:16">
      <c r="A529">
        <v>528</v>
      </c>
      <c r="B529" s="2">
        <v>44986</v>
      </c>
      <c r="C529">
        <v>23469</v>
      </c>
      <c r="D529">
        <v>7529</v>
      </c>
      <c r="E529">
        <v>1.08</v>
      </c>
      <c r="F529">
        <v>1.05</v>
      </c>
      <c r="G529">
        <v>0.73</v>
      </c>
      <c r="H529">
        <v>763</v>
      </c>
      <c r="I529">
        <v>0</v>
      </c>
      <c r="K529">
        <v>0</v>
      </c>
      <c r="L529">
        <v>18</v>
      </c>
      <c r="M529" t="s">
        <v>14</v>
      </c>
      <c r="N529">
        <v>0.15</v>
      </c>
      <c r="O529">
        <f t="shared" si="16"/>
        <v>0</v>
      </c>
      <c r="P529">
        <f t="shared" si="17"/>
        <v>0</v>
      </c>
    </row>
    <row r="530" spans="1:16">
      <c r="A530">
        <v>529</v>
      </c>
      <c r="B530" s="2">
        <v>45597</v>
      </c>
      <c r="C530">
        <v>35717</v>
      </c>
      <c r="D530">
        <v>9572</v>
      </c>
      <c r="E530">
        <v>1.24</v>
      </c>
      <c r="F530">
        <v>2.52</v>
      </c>
      <c r="G530">
        <v>1.74</v>
      </c>
      <c r="H530">
        <v>684</v>
      </c>
      <c r="I530">
        <v>0</v>
      </c>
      <c r="K530">
        <v>0</v>
      </c>
      <c r="L530">
        <v>6</v>
      </c>
      <c r="M530" t="s">
        <v>15</v>
      </c>
      <c r="N530">
        <v>0.35</v>
      </c>
      <c r="O530">
        <f t="shared" si="16"/>
        <v>0</v>
      </c>
      <c r="P530">
        <f t="shared" si="17"/>
        <v>0</v>
      </c>
    </row>
    <row r="531" spans="1:16">
      <c r="A531">
        <v>530</v>
      </c>
      <c r="B531" s="2">
        <v>45413</v>
      </c>
      <c r="C531">
        <v>77829</v>
      </c>
      <c r="D531">
        <v>24639</v>
      </c>
      <c r="E531">
        <v>1.66</v>
      </c>
      <c r="F531">
        <v>1.24</v>
      </c>
      <c r="G531">
        <v>1.36</v>
      </c>
      <c r="H531">
        <v>736</v>
      </c>
      <c r="I531">
        <v>0</v>
      </c>
      <c r="K531">
        <v>0</v>
      </c>
      <c r="L531">
        <v>12</v>
      </c>
      <c r="M531" t="s">
        <v>15</v>
      </c>
      <c r="N531">
        <v>0</v>
      </c>
      <c r="O531">
        <f t="shared" si="16"/>
        <v>0</v>
      </c>
      <c r="P531">
        <f t="shared" si="17"/>
        <v>0</v>
      </c>
    </row>
    <row r="532" spans="1:16">
      <c r="A532">
        <v>531</v>
      </c>
      <c r="B532" s="2">
        <v>45139</v>
      </c>
      <c r="C532">
        <v>51707</v>
      </c>
      <c r="D532">
        <v>16055</v>
      </c>
      <c r="E532">
        <v>0.89</v>
      </c>
      <c r="F532">
        <v>1.77</v>
      </c>
      <c r="G532">
        <v>1.27</v>
      </c>
      <c r="H532">
        <v>825</v>
      </c>
      <c r="I532">
        <v>0</v>
      </c>
      <c r="K532">
        <v>0</v>
      </c>
      <c r="L532">
        <v>12</v>
      </c>
      <c r="M532" t="s">
        <v>14</v>
      </c>
      <c r="N532">
        <v>0.3</v>
      </c>
      <c r="O532">
        <f t="shared" si="16"/>
        <v>0</v>
      </c>
      <c r="P532">
        <f t="shared" si="17"/>
        <v>0</v>
      </c>
    </row>
    <row r="533" spans="1:16">
      <c r="A533">
        <v>532</v>
      </c>
      <c r="B533" s="2">
        <v>45200</v>
      </c>
      <c r="C533">
        <v>28541</v>
      </c>
      <c r="D533">
        <v>15299</v>
      </c>
      <c r="E533">
        <v>1.33</v>
      </c>
      <c r="F533">
        <v>0.77</v>
      </c>
      <c r="G533">
        <v>1.1200000000000001</v>
      </c>
      <c r="H533">
        <v>713</v>
      </c>
      <c r="I533">
        <v>0</v>
      </c>
      <c r="K533">
        <v>0</v>
      </c>
      <c r="L533">
        <v>12</v>
      </c>
      <c r="M533" t="s">
        <v>14</v>
      </c>
      <c r="N533">
        <v>0</v>
      </c>
      <c r="O533">
        <f t="shared" si="16"/>
        <v>0</v>
      </c>
      <c r="P533">
        <f t="shared" si="17"/>
        <v>0</v>
      </c>
    </row>
    <row r="534" spans="1:16">
      <c r="A534">
        <v>533</v>
      </c>
      <c r="B534" s="2">
        <v>44958</v>
      </c>
      <c r="C534">
        <v>59970</v>
      </c>
      <c r="D534">
        <v>24237</v>
      </c>
      <c r="E534">
        <v>1.72</v>
      </c>
      <c r="F534">
        <v>1.53</v>
      </c>
      <c r="G534">
        <v>1.18</v>
      </c>
      <c r="H534">
        <v>683</v>
      </c>
      <c r="I534">
        <v>0</v>
      </c>
      <c r="K534">
        <v>0</v>
      </c>
      <c r="L534">
        <v>6</v>
      </c>
      <c r="M534" t="s">
        <v>14</v>
      </c>
      <c r="N534">
        <v>0</v>
      </c>
      <c r="O534">
        <f t="shared" si="16"/>
        <v>0</v>
      </c>
      <c r="P534">
        <f t="shared" si="17"/>
        <v>0</v>
      </c>
    </row>
    <row r="535" spans="1:16">
      <c r="A535">
        <v>534</v>
      </c>
      <c r="B535" s="2">
        <v>45474</v>
      </c>
      <c r="C535">
        <v>5701</v>
      </c>
      <c r="D535">
        <v>12135</v>
      </c>
      <c r="E535">
        <v>1.37</v>
      </c>
      <c r="F535">
        <v>1.1000000000000001</v>
      </c>
      <c r="G535">
        <v>1.93</v>
      </c>
      <c r="H535">
        <v>720</v>
      </c>
      <c r="I535">
        <v>1</v>
      </c>
      <c r="J535">
        <v>49889</v>
      </c>
      <c r="K535">
        <v>1</v>
      </c>
      <c r="L535">
        <v>12</v>
      </c>
      <c r="M535" t="s">
        <v>15</v>
      </c>
      <c r="N535">
        <v>0</v>
      </c>
      <c r="O535">
        <f t="shared" si="16"/>
        <v>1</v>
      </c>
      <c r="P535">
        <f t="shared" si="17"/>
        <v>0</v>
      </c>
    </row>
    <row r="536" spans="1:16">
      <c r="A536">
        <v>535</v>
      </c>
      <c r="B536" s="2">
        <v>45170</v>
      </c>
      <c r="C536">
        <v>76626</v>
      </c>
      <c r="D536">
        <v>17559</v>
      </c>
      <c r="E536">
        <v>1.5</v>
      </c>
      <c r="F536">
        <v>0.47</v>
      </c>
      <c r="G536">
        <v>1.17</v>
      </c>
      <c r="H536">
        <v>660</v>
      </c>
      <c r="I536">
        <v>0</v>
      </c>
      <c r="K536">
        <v>0</v>
      </c>
      <c r="L536">
        <v>12</v>
      </c>
      <c r="M536" t="s">
        <v>14</v>
      </c>
      <c r="N536">
        <v>0</v>
      </c>
      <c r="O536">
        <f t="shared" si="16"/>
        <v>0</v>
      </c>
      <c r="P536">
        <f t="shared" si="17"/>
        <v>0</v>
      </c>
    </row>
    <row r="537" spans="1:16">
      <c r="A537">
        <v>536</v>
      </c>
      <c r="B537" s="2">
        <v>45108</v>
      </c>
      <c r="C537">
        <v>11722</v>
      </c>
      <c r="D537">
        <v>12428</v>
      </c>
      <c r="E537">
        <v>1.26</v>
      </c>
      <c r="F537">
        <v>1.1299999999999999</v>
      </c>
      <c r="G537">
        <v>0.61</v>
      </c>
      <c r="H537">
        <v>811</v>
      </c>
      <c r="I537">
        <v>0</v>
      </c>
      <c r="K537">
        <v>0</v>
      </c>
      <c r="L537">
        <v>12</v>
      </c>
      <c r="M537" t="s">
        <v>14</v>
      </c>
      <c r="N537">
        <v>0.15</v>
      </c>
      <c r="O537">
        <f t="shared" si="16"/>
        <v>0</v>
      </c>
      <c r="P537">
        <f t="shared" si="17"/>
        <v>0</v>
      </c>
    </row>
    <row r="538" spans="1:16">
      <c r="A538">
        <v>537</v>
      </c>
      <c r="B538" s="2">
        <v>45017</v>
      </c>
      <c r="C538">
        <v>28693</v>
      </c>
      <c r="D538">
        <v>16087</v>
      </c>
      <c r="E538">
        <v>0.72</v>
      </c>
      <c r="F538">
        <v>0.45</v>
      </c>
      <c r="G538">
        <v>1.76</v>
      </c>
      <c r="H538">
        <v>690</v>
      </c>
      <c r="I538">
        <v>0</v>
      </c>
      <c r="K538">
        <v>0</v>
      </c>
      <c r="L538">
        <v>12</v>
      </c>
      <c r="M538" t="s">
        <v>14</v>
      </c>
      <c r="N538">
        <v>0.3</v>
      </c>
      <c r="O538">
        <f t="shared" si="16"/>
        <v>0</v>
      </c>
      <c r="P538">
        <f t="shared" si="17"/>
        <v>0</v>
      </c>
    </row>
    <row r="539" spans="1:16">
      <c r="A539">
        <v>538</v>
      </c>
      <c r="B539" s="2">
        <v>45536</v>
      </c>
      <c r="C539">
        <v>17540</v>
      </c>
      <c r="D539">
        <v>8885</v>
      </c>
      <c r="E539">
        <v>1.73</v>
      </c>
      <c r="F539">
        <v>0.57999999999999996</v>
      </c>
      <c r="G539">
        <v>1.24</v>
      </c>
      <c r="H539">
        <v>665</v>
      </c>
      <c r="I539">
        <v>0</v>
      </c>
      <c r="K539">
        <v>0</v>
      </c>
      <c r="L539">
        <v>12</v>
      </c>
      <c r="M539" t="s">
        <v>15</v>
      </c>
      <c r="N539">
        <v>0</v>
      </c>
      <c r="O539">
        <f t="shared" si="16"/>
        <v>0</v>
      </c>
      <c r="P539">
        <f t="shared" si="17"/>
        <v>0</v>
      </c>
    </row>
    <row r="540" spans="1:16">
      <c r="A540">
        <v>539</v>
      </c>
      <c r="B540" s="2">
        <v>45444</v>
      </c>
      <c r="C540">
        <v>15654</v>
      </c>
      <c r="D540">
        <v>2423</v>
      </c>
      <c r="E540">
        <v>2.52</v>
      </c>
      <c r="F540">
        <v>1.03</v>
      </c>
      <c r="G540">
        <v>1.37</v>
      </c>
      <c r="H540">
        <v>634</v>
      </c>
      <c r="I540">
        <v>0</v>
      </c>
      <c r="K540">
        <v>0</v>
      </c>
      <c r="L540">
        <v>12</v>
      </c>
      <c r="M540" t="s">
        <v>15</v>
      </c>
      <c r="N540">
        <v>0</v>
      </c>
      <c r="O540">
        <f t="shared" si="16"/>
        <v>0</v>
      </c>
      <c r="P540">
        <f t="shared" si="17"/>
        <v>0</v>
      </c>
    </row>
    <row r="541" spans="1:16">
      <c r="A541">
        <v>540</v>
      </c>
      <c r="B541" s="2">
        <v>45292</v>
      </c>
      <c r="C541">
        <v>77230</v>
      </c>
      <c r="D541">
        <v>12161</v>
      </c>
      <c r="E541">
        <v>1.56</v>
      </c>
      <c r="F541">
        <v>1.1100000000000001</v>
      </c>
      <c r="G541">
        <v>2.23</v>
      </c>
      <c r="H541">
        <v>740</v>
      </c>
      <c r="I541">
        <v>0</v>
      </c>
      <c r="K541">
        <v>0</v>
      </c>
      <c r="L541">
        <v>18</v>
      </c>
      <c r="M541" t="s">
        <v>15</v>
      </c>
      <c r="N541">
        <v>0</v>
      </c>
      <c r="O541">
        <f t="shared" si="16"/>
        <v>0</v>
      </c>
      <c r="P541">
        <f t="shared" si="17"/>
        <v>0</v>
      </c>
    </row>
    <row r="542" spans="1:16">
      <c r="A542">
        <v>541</v>
      </c>
      <c r="B542" s="2">
        <v>45231</v>
      </c>
      <c r="C542">
        <v>26796</v>
      </c>
      <c r="D542">
        <v>36168</v>
      </c>
      <c r="E542">
        <v>1.67</v>
      </c>
      <c r="F542">
        <v>0.39</v>
      </c>
      <c r="G542">
        <v>1.34</v>
      </c>
      <c r="H542">
        <v>728</v>
      </c>
      <c r="I542">
        <v>0</v>
      </c>
      <c r="K542">
        <v>0</v>
      </c>
      <c r="L542">
        <v>6</v>
      </c>
      <c r="M542" t="s">
        <v>14</v>
      </c>
      <c r="N542">
        <v>0</v>
      </c>
      <c r="O542">
        <f t="shared" si="16"/>
        <v>0</v>
      </c>
      <c r="P542">
        <f t="shared" si="17"/>
        <v>0</v>
      </c>
    </row>
    <row r="543" spans="1:16">
      <c r="A543">
        <v>542</v>
      </c>
      <c r="B543" s="2">
        <v>45627</v>
      </c>
      <c r="C543">
        <v>45489</v>
      </c>
      <c r="D543">
        <v>25549</v>
      </c>
      <c r="E543">
        <v>1.93</v>
      </c>
      <c r="F543">
        <v>1.89</v>
      </c>
      <c r="G543">
        <v>1.51</v>
      </c>
      <c r="H543">
        <v>653</v>
      </c>
      <c r="I543">
        <v>0</v>
      </c>
      <c r="K543">
        <v>0</v>
      </c>
      <c r="L543">
        <v>12</v>
      </c>
      <c r="M543" t="s">
        <v>15</v>
      </c>
      <c r="N543">
        <v>0</v>
      </c>
      <c r="O543">
        <f t="shared" si="16"/>
        <v>0</v>
      </c>
      <c r="P543">
        <f t="shared" si="17"/>
        <v>0</v>
      </c>
    </row>
    <row r="544" spans="1:16">
      <c r="A544">
        <v>543</v>
      </c>
      <c r="B544" s="2">
        <v>45017</v>
      </c>
      <c r="C544">
        <v>35225</v>
      </c>
      <c r="D544">
        <v>26259</v>
      </c>
      <c r="E544">
        <v>0.85</v>
      </c>
      <c r="F544">
        <v>1.35</v>
      </c>
      <c r="G544">
        <v>0.7</v>
      </c>
      <c r="H544">
        <v>712</v>
      </c>
      <c r="I544">
        <v>0</v>
      </c>
      <c r="K544">
        <v>0</v>
      </c>
      <c r="L544">
        <v>12</v>
      </c>
      <c r="M544" t="s">
        <v>14</v>
      </c>
      <c r="N544">
        <v>0.45</v>
      </c>
      <c r="O544">
        <f t="shared" si="16"/>
        <v>0</v>
      </c>
      <c r="P544">
        <f t="shared" si="17"/>
        <v>0</v>
      </c>
    </row>
    <row r="545" spans="1:16">
      <c r="A545">
        <v>544</v>
      </c>
      <c r="B545" s="2">
        <v>45536</v>
      </c>
      <c r="C545">
        <v>49517</v>
      </c>
      <c r="D545">
        <v>31739</v>
      </c>
      <c r="E545">
        <v>2.4900000000000002</v>
      </c>
      <c r="F545">
        <v>0.55000000000000004</v>
      </c>
      <c r="G545">
        <v>1.23</v>
      </c>
      <c r="H545">
        <v>597</v>
      </c>
      <c r="I545">
        <v>0</v>
      </c>
      <c r="K545">
        <v>0</v>
      </c>
      <c r="L545">
        <v>12</v>
      </c>
      <c r="M545" t="s">
        <v>15</v>
      </c>
      <c r="N545">
        <v>0.2</v>
      </c>
      <c r="O545">
        <f t="shared" si="16"/>
        <v>0</v>
      </c>
      <c r="P545">
        <f t="shared" si="17"/>
        <v>0</v>
      </c>
    </row>
    <row r="546" spans="1:16">
      <c r="A546">
        <v>545</v>
      </c>
      <c r="B546" s="2">
        <v>45017</v>
      </c>
      <c r="C546">
        <v>38175</v>
      </c>
      <c r="D546">
        <v>14215</v>
      </c>
      <c r="E546">
        <v>1.66</v>
      </c>
      <c r="F546">
        <v>0.31</v>
      </c>
      <c r="G546">
        <v>1.69</v>
      </c>
      <c r="H546">
        <v>690</v>
      </c>
      <c r="I546">
        <v>0</v>
      </c>
      <c r="K546">
        <v>0</v>
      </c>
      <c r="L546">
        <v>12</v>
      </c>
      <c r="M546" t="s">
        <v>14</v>
      </c>
      <c r="N546">
        <v>0</v>
      </c>
      <c r="O546">
        <f t="shared" si="16"/>
        <v>0</v>
      </c>
      <c r="P546">
        <f t="shared" si="17"/>
        <v>0</v>
      </c>
    </row>
    <row r="547" spans="1:16">
      <c r="A547">
        <v>546</v>
      </c>
      <c r="B547" s="2">
        <v>45200</v>
      </c>
      <c r="C547">
        <v>15773</v>
      </c>
      <c r="D547">
        <v>15338</v>
      </c>
      <c r="F547">
        <v>0.82</v>
      </c>
      <c r="G547">
        <v>0.49</v>
      </c>
      <c r="H547">
        <v>705</v>
      </c>
      <c r="I547">
        <v>0</v>
      </c>
      <c r="K547">
        <v>0</v>
      </c>
      <c r="L547">
        <v>12</v>
      </c>
      <c r="M547" t="s">
        <v>14</v>
      </c>
      <c r="N547">
        <v>0.15</v>
      </c>
      <c r="O547">
        <f t="shared" si="16"/>
        <v>0</v>
      </c>
      <c r="P547">
        <f t="shared" si="17"/>
        <v>0</v>
      </c>
    </row>
    <row r="548" spans="1:16">
      <c r="A548">
        <v>547</v>
      </c>
      <c r="B548" s="2">
        <v>45047</v>
      </c>
      <c r="C548">
        <v>69395</v>
      </c>
      <c r="D548">
        <v>8670</v>
      </c>
      <c r="E548">
        <v>1.1499999999999999</v>
      </c>
      <c r="F548">
        <v>0.66</v>
      </c>
      <c r="G548">
        <v>1.46</v>
      </c>
      <c r="H548">
        <v>774</v>
      </c>
      <c r="I548">
        <v>1</v>
      </c>
      <c r="J548">
        <v>34492</v>
      </c>
      <c r="K548">
        <v>1</v>
      </c>
      <c r="L548">
        <v>12</v>
      </c>
      <c r="M548" t="s">
        <v>14</v>
      </c>
      <c r="N548">
        <v>0</v>
      </c>
      <c r="O548">
        <f t="shared" si="16"/>
        <v>1</v>
      </c>
      <c r="P548">
        <f t="shared" si="17"/>
        <v>0</v>
      </c>
    </row>
    <row r="549" spans="1:16">
      <c r="A549">
        <v>548</v>
      </c>
      <c r="B549" s="2">
        <v>45170</v>
      </c>
      <c r="C549">
        <v>26346</v>
      </c>
      <c r="D549">
        <v>10708</v>
      </c>
      <c r="E549">
        <v>2.5499999999999998</v>
      </c>
      <c r="F549">
        <v>0.98</v>
      </c>
      <c r="G549">
        <v>1.41</v>
      </c>
      <c r="H549">
        <v>638</v>
      </c>
      <c r="I549">
        <v>0</v>
      </c>
      <c r="K549">
        <v>0</v>
      </c>
      <c r="L549">
        <v>12</v>
      </c>
      <c r="M549" t="s">
        <v>14</v>
      </c>
      <c r="N549">
        <v>0</v>
      </c>
      <c r="O549">
        <f t="shared" si="16"/>
        <v>0</v>
      </c>
      <c r="P549">
        <f t="shared" si="17"/>
        <v>0</v>
      </c>
    </row>
    <row r="550" spans="1:16">
      <c r="A550">
        <v>549</v>
      </c>
      <c r="B550" s="2">
        <v>45627</v>
      </c>
      <c r="C550">
        <v>13203</v>
      </c>
      <c r="D550">
        <v>20559</v>
      </c>
      <c r="E550">
        <v>1.98</v>
      </c>
      <c r="F550">
        <v>0.7</v>
      </c>
      <c r="G550">
        <v>1.37</v>
      </c>
      <c r="H550">
        <v>610</v>
      </c>
      <c r="I550">
        <v>1</v>
      </c>
      <c r="K550">
        <v>0</v>
      </c>
      <c r="L550">
        <v>12</v>
      </c>
      <c r="M550" t="s">
        <v>15</v>
      </c>
      <c r="N550">
        <v>0</v>
      </c>
      <c r="O550">
        <f t="shared" si="16"/>
        <v>0</v>
      </c>
      <c r="P550">
        <f t="shared" si="17"/>
        <v>1</v>
      </c>
    </row>
    <row r="551" spans="1:16">
      <c r="A551">
        <v>550</v>
      </c>
      <c r="B551" s="2">
        <v>44986</v>
      </c>
      <c r="C551">
        <v>27494</v>
      </c>
      <c r="D551">
        <v>31030</v>
      </c>
      <c r="E551">
        <v>1.85</v>
      </c>
      <c r="F551">
        <v>0.22</v>
      </c>
      <c r="G551">
        <v>1.92</v>
      </c>
      <c r="H551">
        <v>631</v>
      </c>
      <c r="I551">
        <v>0</v>
      </c>
      <c r="K551">
        <v>0</v>
      </c>
      <c r="L551">
        <v>18</v>
      </c>
      <c r="M551" t="s">
        <v>14</v>
      </c>
      <c r="N551">
        <v>0</v>
      </c>
      <c r="O551">
        <f t="shared" si="16"/>
        <v>0</v>
      </c>
      <c r="P551">
        <f t="shared" si="17"/>
        <v>0</v>
      </c>
    </row>
    <row r="552" spans="1:16">
      <c r="A552">
        <v>551</v>
      </c>
      <c r="B552" s="2">
        <v>45413</v>
      </c>
      <c r="C552">
        <v>96326</v>
      </c>
      <c r="D552">
        <v>12117</v>
      </c>
      <c r="E552">
        <v>1.68</v>
      </c>
      <c r="F552">
        <v>0.69</v>
      </c>
      <c r="G552">
        <v>1.53</v>
      </c>
      <c r="H552">
        <v>606</v>
      </c>
      <c r="I552">
        <v>1</v>
      </c>
      <c r="J552">
        <v>19402</v>
      </c>
      <c r="K552">
        <v>1</v>
      </c>
      <c r="L552">
        <v>6</v>
      </c>
      <c r="M552" t="s">
        <v>15</v>
      </c>
      <c r="N552">
        <v>0</v>
      </c>
      <c r="O552">
        <f t="shared" si="16"/>
        <v>1</v>
      </c>
      <c r="P552">
        <f t="shared" si="17"/>
        <v>0</v>
      </c>
    </row>
    <row r="553" spans="1:16">
      <c r="A553">
        <v>552</v>
      </c>
      <c r="B553" s="2">
        <v>44986</v>
      </c>
      <c r="C553">
        <v>63111</v>
      </c>
      <c r="D553">
        <v>9748</v>
      </c>
      <c r="E553">
        <v>1.41</v>
      </c>
      <c r="F553">
        <v>0.73</v>
      </c>
      <c r="G553">
        <v>2.16</v>
      </c>
      <c r="H553">
        <v>754</v>
      </c>
      <c r="I553">
        <v>0</v>
      </c>
      <c r="K553">
        <v>0</v>
      </c>
      <c r="L553">
        <v>12</v>
      </c>
      <c r="M553" t="s">
        <v>14</v>
      </c>
      <c r="N553">
        <v>0</v>
      </c>
      <c r="O553">
        <f t="shared" si="16"/>
        <v>0</v>
      </c>
      <c r="P553">
        <f t="shared" si="17"/>
        <v>0</v>
      </c>
    </row>
    <row r="554" spans="1:16">
      <c r="A554">
        <v>553</v>
      </c>
      <c r="B554" s="2">
        <v>45383</v>
      </c>
      <c r="C554">
        <v>28951</v>
      </c>
      <c r="D554">
        <v>13365</v>
      </c>
      <c r="E554">
        <v>2.21</v>
      </c>
      <c r="F554">
        <v>1.41</v>
      </c>
      <c r="G554">
        <v>0.8</v>
      </c>
      <c r="H554">
        <v>765</v>
      </c>
      <c r="I554">
        <v>0</v>
      </c>
      <c r="K554">
        <v>0</v>
      </c>
      <c r="L554">
        <v>6</v>
      </c>
      <c r="M554" t="s">
        <v>15</v>
      </c>
      <c r="N554">
        <v>0</v>
      </c>
      <c r="O554">
        <f t="shared" si="16"/>
        <v>0</v>
      </c>
      <c r="P554">
        <f t="shared" si="17"/>
        <v>0</v>
      </c>
    </row>
    <row r="555" spans="1:16">
      <c r="A555">
        <v>554</v>
      </c>
      <c r="B555" s="2">
        <v>45017</v>
      </c>
      <c r="C555">
        <v>28940</v>
      </c>
      <c r="D555">
        <v>20350</v>
      </c>
      <c r="E555">
        <v>1.63</v>
      </c>
      <c r="F555">
        <v>0.56000000000000005</v>
      </c>
      <c r="G555">
        <v>1.42</v>
      </c>
      <c r="H555">
        <v>698</v>
      </c>
      <c r="I555">
        <v>0</v>
      </c>
      <c r="K555">
        <v>0</v>
      </c>
      <c r="L555">
        <v>12</v>
      </c>
      <c r="M555" t="s">
        <v>14</v>
      </c>
      <c r="N555">
        <v>0</v>
      </c>
      <c r="O555">
        <f t="shared" si="16"/>
        <v>0</v>
      </c>
      <c r="P555">
        <f t="shared" si="17"/>
        <v>0</v>
      </c>
    </row>
    <row r="556" spans="1:16">
      <c r="A556">
        <v>555</v>
      </c>
      <c r="B556" s="2">
        <v>45444</v>
      </c>
      <c r="C556">
        <v>29464</v>
      </c>
      <c r="D556">
        <v>4862</v>
      </c>
      <c r="E556">
        <v>0.47</v>
      </c>
      <c r="F556">
        <v>2.93</v>
      </c>
      <c r="G556">
        <v>1.4</v>
      </c>
      <c r="H556">
        <v>747</v>
      </c>
      <c r="I556">
        <v>0</v>
      </c>
      <c r="K556">
        <v>0</v>
      </c>
      <c r="L556">
        <v>12</v>
      </c>
      <c r="M556" t="s">
        <v>15</v>
      </c>
      <c r="N556">
        <v>0.64999999999999991</v>
      </c>
      <c r="O556">
        <f t="shared" si="16"/>
        <v>0</v>
      </c>
      <c r="P556">
        <f t="shared" si="17"/>
        <v>0</v>
      </c>
    </row>
    <row r="557" spans="1:16">
      <c r="A557">
        <v>556</v>
      </c>
      <c r="B557" s="2">
        <v>45413</v>
      </c>
      <c r="C557">
        <v>140068</v>
      </c>
      <c r="D557">
        <v>2678</v>
      </c>
      <c r="E557">
        <v>0.94</v>
      </c>
      <c r="F557">
        <v>0.24</v>
      </c>
      <c r="G557">
        <v>0.76</v>
      </c>
      <c r="H557">
        <v>687</v>
      </c>
      <c r="I557">
        <v>0</v>
      </c>
      <c r="K557">
        <v>0</v>
      </c>
      <c r="L557">
        <v>18</v>
      </c>
      <c r="M557" t="s">
        <v>15</v>
      </c>
      <c r="N557">
        <v>0.45</v>
      </c>
      <c r="O557">
        <f t="shared" si="16"/>
        <v>0</v>
      </c>
      <c r="P557">
        <f t="shared" si="17"/>
        <v>0</v>
      </c>
    </row>
    <row r="558" spans="1:16">
      <c r="A558">
        <v>557</v>
      </c>
      <c r="B558" s="2">
        <v>45108</v>
      </c>
      <c r="C558">
        <v>46549</v>
      </c>
      <c r="D558">
        <v>9087</v>
      </c>
      <c r="E558">
        <v>1.45</v>
      </c>
      <c r="F558">
        <v>2.27</v>
      </c>
      <c r="G558">
        <v>1.88</v>
      </c>
      <c r="H558">
        <v>675</v>
      </c>
      <c r="I558">
        <v>0</v>
      </c>
      <c r="K558">
        <v>0</v>
      </c>
      <c r="L558">
        <v>18</v>
      </c>
      <c r="M558" t="s">
        <v>14</v>
      </c>
      <c r="N558">
        <v>0.35</v>
      </c>
      <c r="O558">
        <f t="shared" si="16"/>
        <v>0</v>
      </c>
      <c r="P558">
        <f t="shared" si="17"/>
        <v>0</v>
      </c>
    </row>
    <row r="559" spans="1:16">
      <c r="A559">
        <v>558</v>
      </c>
      <c r="B559" s="2">
        <v>45627</v>
      </c>
      <c r="C559">
        <v>48027</v>
      </c>
      <c r="D559">
        <v>5685</v>
      </c>
      <c r="E559">
        <v>1.72</v>
      </c>
      <c r="F559">
        <v>0.77</v>
      </c>
      <c r="G559">
        <v>2.63</v>
      </c>
      <c r="H559">
        <v>662</v>
      </c>
      <c r="I559">
        <v>0</v>
      </c>
      <c r="K559">
        <v>0</v>
      </c>
      <c r="L559">
        <v>6</v>
      </c>
      <c r="M559" t="s">
        <v>15</v>
      </c>
      <c r="N559">
        <v>0</v>
      </c>
      <c r="O559">
        <f t="shared" si="16"/>
        <v>0</v>
      </c>
      <c r="P559">
        <f t="shared" si="17"/>
        <v>0</v>
      </c>
    </row>
    <row r="560" spans="1:16">
      <c r="A560">
        <v>559</v>
      </c>
      <c r="B560" s="2">
        <v>45597</v>
      </c>
      <c r="C560">
        <v>70947</v>
      </c>
      <c r="D560">
        <v>9361</v>
      </c>
      <c r="E560">
        <v>1.52</v>
      </c>
      <c r="F560">
        <v>1.65</v>
      </c>
      <c r="G560">
        <v>1.34</v>
      </c>
      <c r="H560">
        <v>663</v>
      </c>
      <c r="I560">
        <v>1</v>
      </c>
      <c r="J560">
        <v>11980</v>
      </c>
      <c r="K560">
        <v>1</v>
      </c>
      <c r="L560">
        <v>12</v>
      </c>
      <c r="M560" t="s">
        <v>15</v>
      </c>
      <c r="N560">
        <v>0</v>
      </c>
      <c r="O560">
        <f t="shared" si="16"/>
        <v>1</v>
      </c>
      <c r="P560">
        <f t="shared" si="17"/>
        <v>0</v>
      </c>
    </row>
    <row r="561" spans="1:16">
      <c r="A561">
        <v>560</v>
      </c>
      <c r="B561" s="2">
        <v>45047</v>
      </c>
      <c r="C561">
        <v>42413</v>
      </c>
      <c r="D561">
        <v>12047</v>
      </c>
      <c r="E561">
        <v>2.2200000000000002</v>
      </c>
      <c r="F561">
        <v>0.96</v>
      </c>
      <c r="G561">
        <v>1.63</v>
      </c>
      <c r="H561">
        <v>595</v>
      </c>
      <c r="I561">
        <v>0</v>
      </c>
      <c r="K561">
        <v>0</v>
      </c>
      <c r="L561">
        <v>12</v>
      </c>
      <c r="M561" t="s">
        <v>14</v>
      </c>
      <c r="N561">
        <v>0.2</v>
      </c>
      <c r="O561">
        <f t="shared" si="16"/>
        <v>0</v>
      </c>
      <c r="P561">
        <f t="shared" si="17"/>
        <v>0</v>
      </c>
    </row>
    <row r="562" spans="1:16">
      <c r="A562">
        <v>561</v>
      </c>
      <c r="B562" s="2">
        <v>45261</v>
      </c>
      <c r="C562">
        <v>30688</v>
      </c>
      <c r="D562">
        <v>9728</v>
      </c>
      <c r="E562">
        <v>0.48</v>
      </c>
      <c r="F562">
        <v>2.0099999999999998</v>
      </c>
      <c r="G562">
        <v>1.4</v>
      </c>
      <c r="H562">
        <v>695</v>
      </c>
      <c r="I562">
        <v>0</v>
      </c>
      <c r="K562">
        <v>0</v>
      </c>
      <c r="L562">
        <v>18</v>
      </c>
      <c r="M562" t="s">
        <v>14</v>
      </c>
      <c r="N562">
        <v>0.64999999999999991</v>
      </c>
      <c r="O562">
        <f t="shared" si="16"/>
        <v>0</v>
      </c>
      <c r="P562">
        <f t="shared" si="17"/>
        <v>0</v>
      </c>
    </row>
    <row r="563" spans="1:16">
      <c r="A563">
        <v>562</v>
      </c>
      <c r="B563" s="2">
        <v>45413</v>
      </c>
      <c r="C563">
        <v>31964</v>
      </c>
      <c r="D563">
        <v>36928</v>
      </c>
      <c r="E563">
        <v>1.63</v>
      </c>
      <c r="F563">
        <v>0.69</v>
      </c>
      <c r="G563">
        <v>0.96</v>
      </c>
      <c r="H563">
        <v>678</v>
      </c>
      <c r="I563">
        <v>1</v>
      </c>
      <c r="K563">
        <v>0</v>
      </c>
      <c r="L563">
        <v>12</v>
      </c>
      <c r="M563" t="s">
        <v>15</v>
      </c>
      <c r="N563">
        <v>0</v>
      </c>
      <c r="O563">
        <f t="shared" si="16"/>
        <v>0</v>
      </c>
      <c r="P563">
        <f t="shared" si="17"/>
        <v>1</v>
      </c>
    </row>
    <row r="564" spans="1:16">
      <c r="A564">
        <v>563</v>
      </c>
      <c r="B564" s="2">
        <v>45597</v>
      </c>
      <c r="C564">
        <v>34664</v>
      </c>
      <c r="D564">
        <v>16793</v>
      </c>
      <c r="E564">
        <v>0.55000000000000004</v>
      </c>
      <c r="F564">
        <v>0.42</v>
      </c>
      <c r="G564">
        <v>0.35</v>
      </c>
      <c r="H564">
        <v>721</v>
      </c>
      <c r="I564">
        <v>1</v>
      </c>
      <c r="J564">
        <v>16704</v>
      </c>
      <c r="K564">
        <v>1</v>
      </c>
      <c r="L564">
        <v>12</v>
      </c>
      <c r="M564" t="s">
        <v>15</v>
      </c>
      <c r="N564">
        <v>0.45</v>
      </c>
      <c r="O564">
        <f t="shared" si="16"/>
        <v>1</v>
      </c>
      <c r="P564">
        <f t="shared" si="17"/>
        <v>0</v>
      </c>
    </row>
    <row r="565" spans="1:16">
      <c r="A565">
        <v>564</v>
      </c>
      <c r="B565" s="2">
        <v>45292</v>
      </c>
      <c r="C565">
        <v>35447</v>
      </c>
      <c r="D565">
        <v>16487</v>
      </c>
      <c r="E565">
        <v>1.97</v>
      </c>
      <c r="F565">
        <v>2.4500000000000002</v>
      </c>
      <c r="G565">
        <v>0.96</v>
      </c>
      <c r="H565">
        <v>685</v>
      </c>
      <c r="I565">
        <v>0</v>
      </c>
      <c r="K565">
        <v>0</v>
      </c>
      <c r="L565">
        <v>6</v>
      </c>
      <c r="M565" t="s">
        <v>15</v>
      </c>
      <c r="N565">
        <v>0.35</v>
      </c>
      <c r="O565">
        <f t="shared" si="16"/>
        <v>0</v>
      </c>
      <c r="P565">
        <f t="shared" si="17"/>
        <v>0</v>
      </c>
    </row>
    <row r="566" spans="1:16">
      <c r="A566">
        <v>565</v>
      </c>
      <c r="B566" s="2">
        <v>45597</v>
      </c>
      <c r="C566">
        <v>58277</v>
      </c>
      <c r="D566">
        <v>20652</v>
      </c>
      <c r="E566">
        <v>1.5</v>
      </c>
      <c r="F566">
        <v>0.84</v>
      </c>
      <c r="G566">
        <v>0.57999999999999996</v>
      </c>
      <c r="H566">
        <v>671</v>
      </c>
      <c r="I566">
        <v>0</v>
      </c>
      <c r="K566">
        <v>0</v>
      </c>
      <c r="L566">
        <v>12</v>
      </c>
      <c r="M566" t="s">
        <v>15</v>
      </c>
      <c r="N566">
        <v>0.15</v>
      </c>
      <c r="O566">
        <f t="shared" si="16"/>
        <v>0</v>
      </c>
      <c r="P566">
        <f t="shared" si="17"/>
        <v>0</v>
      </c>
    </row>
    <row r="567" spans="1:16">
      <c r="A567">
        <v>566</v>
      </c>
      <c r="B567" s="2">
        <v>44986</v>
      </c>
      <c r="C567">
        <v>37563</v>
      </c>
      <c r="D567">
        <v>6020</v>
      </c>
      <c r="E567">
        <v>1.78</v>
      </c>
      <c r="F567">
        <v>1.06</v>
      </c>
      <c r="G567">
        <v>2.29</v>
      </c>
      <c r="H567">
        <v>632</v>
      </c>
      <c r="I567">
        <v>0</v>
      </c>
      <c r="K567">
        <v>0</v>
      </c>
      <c r="L567">
        <v>12</v>
      </c>
      <c r="M567" t="s">
        <v>14</v>
      </c>
      <c r="N567">
        <v>0</v>
      </c>
      <c r="O567">
        <f t="shared" si="16"/>
        <v>0</v>
      </c>
      <c r="P567">
        <f t="shared" si="17"/>
        <v>0</v>
      </c>
    </row>
    <row r="568" spans="1:16">
      <c r="A568">
        <v>567</v>
      </c>
      <c r="B568" s="2">
        <v>45170</v>
      </c>
      <c r="C568">
        <v>58467</v>
      </c>
      <c r="D568">
        <v>27650</v>
      </c>
      <c r="E568">
        <v>1.07</v>
      </c>
      <c r="F568">
        <v>2.15</v>
      </c>
      <c r="G568">
        <v>1.29</v>
      </c>
      <c r="H568">
        <v>684</v>
      </c>
      <c r="I568">
        <v>0</v>
      </c>
      <c r="K568">
        <v>0</v>
      </c>
      <c r="L568">
        <v>12</v>
      </c>
      <c r="M568" t="s">
        <v>14</v>
      </c>
      <c r="N568">
        <v>0.35</v>
      </c>
      <c r="O568">
        <f t="shared" si="16"/>
        <v>0</v>
      </c>
      <c r="P568">
        <f t="shared" si="17"/>
        <v>0</v>
      </c>
    </row>
    <row r="569" spans="1:16">
      <c r="A569">
        <v>568</v>
      </c>
      <c r="B569" s="2">
        <v>45413</v>
      </c>
      <c r="C569">
        <v>34459</v>
      </c>
      <c r="D569">
        <v>12670</v>
      </c>
      <c r="E569">
        <v>2.25</v>
      </c>
      <c r="F569">
        <v>0.44</v>
      </c>
      <c r="G569">
        <v>1.1599999999999999</v>
      </c>
      <c r="H569">
        <v>721</v>
      </c>
      <c r="I569">
        <v>0</v>
      </c>
      <c r="K569">
        <v>0</v>
      </c>
      <c r="L569">
        <v>6</v>
      </c>
      <c r="M569" t="s">
        <v>15</v>
      </c>
      <c r="N569">
        <v>0</v>
      </c>
      <c r="O569">
        <f t="shared" si="16"/>
        <v>0</v>
      </c>
      <c r="P569">
        <f t="shared" si="17"/>
        <v>0</v>
      </c>
    </row>
    <row r="570" spans="1:16">
      <c r="A570">
        <v>569</v>
      </c>
      <c r="B570" s="2">
        <v>45413</v>
      </c>
      <c r="C570">
        <v>38220</v>
      </c>
      <c r="D570">
        <v>21361</v>
      </c>
      <c r="E570">
        <v>2.12</v>
      </c>
      <c r="F570">
        <v>1.37</v>
      </c>
      <c r="G570">
        <v>1.84</v>
      </c>
      <c r="H570">
        <v>617</v>
      </c>
      <c r="I570">
        <v>0</v>
      </c>
      <c r="K570">
        <v>0</v>
      </c>
      <c r="L570">
        <v>6</v>
      </c>
      <c r="M570" t="s">
        <v>15</v>
      </c>
      <c r="N570">
        <v>0</v>
      </c>
      <c r="O570">
        <f t="shared" si="16"/>
        <v>0</v>
      </c>
      <c r="P570">
        <f t="shared" si="17"/>
        <v>0</v>
      </c>
    </row>
    <row r="571" spans="1:16">
      <c r="A571">
        <v>570</v>
      </c>
      <c r="B571" s="2">
        <v>45505</v>
      </c>
      <c r="C571">
        <v>9909</v>
      </c>
      <c r="D571">
        <v>6309</v>
      </c>
      <c r="E571">
        <v>1.87</v>
      </c>
      <c r="F571">
        <v>0.6</v>
      </c>
      <c r="G571">
        <v>0.73</v>
      </c>
      <c r="H571">
        <v>685</v>
      </c>
      <c r="I571">
        <v>0</v>
      </c>
      <c r="K571">
        <v>0</v>
      </c>
      <c r="L571">
        <v>12</v>
      </c>
      <c r="M571" t="s">
        <v>15</v>
      </c>
      <c r="N571">
        <v>0.15</v>
      </c>
      <c r="O571">
        <f t="shared" si="16"/>
        <v>0</v>
      </c>
      <c r="P571">
        <f t="shared" si="17"/>
        <v>0</v>
      </c>
    </row>
    <row r="572" spans="1:16">
      <c r="A572">
        <v>571</v>
      </c>
      <c r="B572" s="2">
        <v>45383</v>
      </c>
      <c r="C572">
        <v>65882</v>
      </c>
      <c r="D572">
        <v>4502</v>
      </c>
      <c r="E572">
        <v>1.48</v>
      </c>
      <c r="F572">
        <v>0.82</v>
      </c>
      <c r="G572">
        <v>0.93</v>
      </c>
      <c r="H572">
        <v>693</v>
      </c>
      <c r="I572">
        <v>0</v>
      </c>
      <c r="K572">
        <v>0</v>
      </c>
      <c r="L572">
        <v>12</v>
      </c>
      <c r="M572" t="s">
        <v>15</v>
      </c>
      <c r="N572">
        <v>0</v>
      </c>
      <c r="O572">
        <f t="shared" si="16"/>
        <v>0</v>
      </c>
      <c r="P572">
        <f t="shared" si="17"/>
        <v>0</v>
      </c>
    </row>
    <row r="573" spans="1:16">
      <c r="A573">
        <v>572</v>
      </c>
      <c r="B573" s="2">
        <v>45566</v>
      </c>
      <c r="D573">
        <v>23683</v>
      </c>
      <c r="E573">
        <v>1.87</v>
      </c>
      <c r="F573">
        <v>0.95</v>
      </c>
      <c r="G573">
        <v>1.39</v>
      </c>
      <c r="H573">
        <v>641</v>
      </c>
      <c r="I573">
        <v>0</v>
      </c>
      <c r="K573">
        <v>0</v>
      </c>
      <c r="L573">
        <v>12</v>
      </c>
      <c r="M573" t="s">
        <v>15</v>
      </c>
      <c r="N573">
        <v>0</v>
      </c>
      <c r="O573">
        <f t="shared" si="16"/>
        <v>0</v>
      </c>
      <c r="P573">
        <f t="shared" si="17"/>
        <v>0</v>
      </c>
    </row>
    <row r="574" spans="1:16">
      <c r="A574">
        <v>573</v>
      </c>
      <c r="B574" s="2">
        <v>45292</v>
      </c>
      <c r="C574">
        <v>69474</v>
      </c>
      <c r="D574">
        <v>17387</v>
      </c>
      <c r="E574">
        <v>1.1599999999999999</v>
      </c>
      <c r="F574">
        <v>0.32</v>
      </c>
      <c r="G574">
        <v>1.92</v>
      </c>
      <c r="H574">
        <v>648</v>
      </c>
      <c r="I574">
        <v>0</v>
      </c>
      <c r="K574">
        <v>0</v>
      </c>
      <c r="L574">
        <v>18</v>
      </c>
      <c r="M574" t="s">
        <v>15</v>
      </c>
      <c r="N574">
        <v>0</v>
      </c>
      <c r="O574">
        <f t="shared" si="16"/>
        <v>0</v>
      </c>
      <c r="P574">
        <f t="shared" si="17"/>
        <v>0</v>
      </c>
    </row>
    <row r="575" spans="1:16">
      <c r="A575">
        <v>574</v>
      </c>
      <c r="B575" s="2">
        <v>45474</v>
      </c>
      <c r="C575">
        <v>5527</v>
      </c>
      <c r="D575">
        <v>7105</v>
      </c>
      <c r="E575">
        <v>2.02</v>
      </c>
      <c r="F575">
        <v>0.52</v>
      </c>
      <c r="G575">
        <v>1.63</v>
      </c>
      <c r="H575">
        <v>693</v>
      </c>
      <c r="I575">
        <v>0</v>
      </c>
      <c r="K575">
        <v>0</v>
      </c>
      <c r="L575">
        <v>6</v>
      </c>
      <c r="M575" t="s">
        <v>15</v>
      </c>
      <c r="N575">
        <v>0</v>
      </c>
      <c r="O575">
        <f t="shared" si="16"/>
        <v>0</v>
      </c>
      <c r="P575">
        <f t="shared" si="17"/>
        <v>0</v>
      </c>
    </row>
    <row r="576" spans="1:16">
      <c r="A576">
        <v>575</v>
      </c>
      <c r="B576" s="2">
        <v>45413</v>
      </c>
      <c r="C576">
        <v>141131</v>
      </c>
      <c r="D576">
        <v>7268</v>
      </c>
      <c r="E576">
        <v>2.46</v>
      </c>
      <c r="F576">
        <v>2.33</v>
      </c>
      <c r="G576">
        <v>1.49</v>
      </c>
      <c r="H576">
        <v>618</v>
      </c>
      <c r="I576">
        <v>0</v>
      </c>
      <c r="K576">
        <v>0</v>
      </c>
      <c r="L576">
        <v>12</v>
      </c>
      <c r="M576" t="s">
        <v>15</v>
      </c>
      <c r="N576">
        <v>0.35</v>
      </c>
      <c r="O576">
        <f t="shared" si="16"/>
        <v>0</v>
      </c>
      <c r="P576">
        <f t="shared" si="17"/>
        <v>0</v>
      </c>
    </row>
    <row r="577" spans="1:16">
      <c r="A577">
        <v>576</v>
      </c>
      <c r="B577" s="2">
        <v>45017</v>
      </c>
      <c r="C577">
        <v>33166</v>
      </c>
      <c r="D577">
        <v>29372</v>
      </c>
      <c r="E577">
        <v>2.14</v>
      </c>
      <c r="F577">
        <v>1.68</v>
      </c>
      <c r="G577">
        <v>1.39</v>
      </c>
      <c r="H577">
        <v>699</v>
      </c>
      <c r="I577">
        <v>0</v>
      </c>
      <c r="K577">
        <v>0</v>
      </c>
      <c r="L577">
        <v>12</v>
      </c>
      <c r="M577" t="s">
        <v>14</v>
      </c>
      <c r="N577">
        <v>0</v>
      </c>
      <c r="O577">
        <f t="shared" si="16"/>
        <v>0</v>
      </c>
      <c r="P577">
        <f t="shared" si="17"/>
        <v>0</v>
      </c>
    </row>
    <row r="578" spans="1:16">
      <c r="A578">
        <v>577</v>
      </c>
      <c r="B578" s="2">
        <v>45261</v>
      </c>
      <c r="C578">
        <v>74632</v>
      </c>
      <c r="D578">
        <v>5810</v>
      </c>
      <c r="E578">
        <v>1.1499999999999999</v>
      </c>
      <c r="F578">
        <v>0.87</v>
      </c>
      <c r="G578">
        <v>1.57</v>
      </c>
      <c r="H578">
        <v>631</v>
      </c>
      <c r="I578">
        <v>0</v>
      </c>
      <c r="K578">
        <v>0</v>
      </c>
      <c r="L578">
        <v>12</v>
      </c>
      <c r="M578" t="s">
        <v>14</v>
      </c>
      <c r="N578">
        <v>0</v>
      </c>
      <c r="O578">
        <f t="shared" si="16"/>
        <v>0</v>
      </c>
      <c r="P578">
        <f t="shared" si="17"/>
        <v>0</v>
      </c>
    </row>
    <row r="579" spans="1:16">
      <c r="A579">
        <v>578</v>
      </c>
      <c r="B579" s="2">
        <v>45170</v>
      </c>
      <c r="C579">
        <v>18473</v>
      </c>
      <c r="D579">
        <v>42187</v>
      </c>
      <c r="E579">
        <v>1.75</v>
      </c>
      <c r="F579">
        <v>1.07</v>
      </c>
      <c r="G579">
        <v>1.46</v>
      </c>
      <c r="H579">
        <v>738</v>
      </c>
      <c r="I579">
        <v>0</v>
      </c>
      <c r="K579">
        <v>0</v>
      </c>
      <c r="L579">
        <v>18</v>
      </c>
      <c r="M579" t="s">
        <v>14</v>
      </c>
      <c r="N579">
        <v>0</v>
      </c>
      <c r="O579">
        <f t="shared" ref="O579:O642" si="18">IF(J579="",0,1)</f>
        <v>0</v>
      </c>
      <c r="P579">
        <f t="shared" ref="P579:P642" si="19">IF(I579=K579,0,1)</f>
        <v>0</v>
      </c>
    </row>
    <row r="580" spans="1:16">
      <c r="A580">
        <v>579</v>
      </c>
      <c r="B580" s="2">
        <v>45474</v>
      </c>
      <c r="C580">
        <v>54085</v>
      </c>
      <c r="D580">
        <v>7112</v>
      </c>
      <c r="E580">
        <v>0.84</v>
      </c>
      <c r="F580">
        <v>0.74</v>
      </c>
      <c r="G580">
        <v>0.78</v>
      </c>
      <c r="H580">
        <v>809</v>
      </c>
      <c r="I580">
        <v>0</v>
      </c>
      <c r="K580">
        <v>0</v>
      </c>
      <c r="L580">
        <v>6</v>
      </c>
      <c r="M580" t="s">
        <v>15</v>
      </c>
      <c r="N580">
        <v>0.45</v>
      </c>
      <c r="O580">
        <f t="shared" si="18"/>
        <v>0</v>
      </c>
      <c r="P580">
        <f t="shared" si="19"/>
        <v>0</v>
      </c>
    </row>
    <row r="581" spans="1:16">
      <c r="A581">
        <v>580</v>
      </c>
      <c r="B581" s="2">
        <v>45261</v>
      </c>
      <c r="C581">
        <v>18311</v>
      </c>
      <c r="D581">
        <v>20887</v>
      </c>
      <c r="E581">
        <v>1.86</v>
      </c>
      <c r="F581">
        <v>2.34</v>
      </c>
      <c r="G581">
        <v>1.38</v>
      </c>
      <c r="H581">
        <v>633</v>
      </c>
      <c r="I581">
        <v>0</v>
      </c>
      <c r="K581">
        <v>0</v>
      </c>
      <c r="L581">
        <v>12</v>
      </c>
      <c r="M581" t="s">
        <v>14</v>
      </c>
      <c r="N581">
        <v>0.35</v>
      </c>
      <c r="O581">
        <f t="shared" si="18"/>
        <v>0</v>
      </c>
      <c r="P581">
        <f t="shared" si="19"/>
        <v>0</v>
      </c>
    </row>
    <row r="582" spans="1:16">
      <c r="A582">
        <v>581</v>
      </c>
      <c r="B582" s="2">
        <v>45170</v>
      </c>
      <c r="C582">
        <v>24211</v>
      </c>
      <c r="D582">
        <v>10614</v>
      </c>
      <c r="E582">
        <v>1.8</v>
      </c>
      <c r="F582">
        <v>0.79</v>
      </c>
      <c r="G582">
        <v>0.76</v>
      </c>
      <c r="H582">
        <v>709</v>
      </c>
      <c r="I582">
        <v>0</v>
      </c>
      <c r="K582">
        <v>0</v>
      </c>
      <c r="L582">
        <v>12</v>
      </c>
      <c r="M582" t="s">
        <v>14</v>
      </c>
      <c r="N582">
        <v>0.15</v>
      </c>
      <c r="O582">
        <f t="shared" si="18"/>
        <v>0</v>
      </c>
      <c r="P582">
        <f t="shared" si="19"/>
        <v>0</v>
      </c>
    </row>
    <row r="583" spans="1:16">
      <c r="A583">
        <v>582</v>
      </c>
      <c r="B583" s="2">
        <v>45108</v>
      </c>
      <c r="C583">
        <v>126010</v>
      </c>
      <c r="D583">
        <v>20378</v>
      </c>
      <c r="E583">
        <v>0.52</v>
      </c>
      <c r="F583">
        <v>1.06</v>
      </c>
      <c r="G583">
        <v>1.39</v>
      </c>
      <c r="H583">
        <v>640</v>
      </c>
      <c r="I583">
        <v>0</v>
      </c>
      <c r="K583">
        <v>0</v>
      </c>
      <c r="L583">
        <v>6</v>
      </c>
      <c r="M583" t="s">
        <v>14</v>
      </c>
      <c r="N583">
        <v>0.3</v>
      </c>
      <c r="O583">
        <f t="shared" si="18"/>
        <v>0</v>
      </c>
      <c r="P583">
        <f t="shared" si="19"/>
        <v>0</v>
      </c>
    </row>
    <row r="584" spans="1:16">
      <c r="A584">
        <v>583</v>
      </c>
      <c r="B584" s="2">
        <v>45323</v>
      </c>
      <c r="D584">
        <v>9128</v>
      </c>
      <c r="E584">
        <v>0.91</v>
      </c>
      <c r="F584">
        <v>2.02</v>
      </c>
      <c r="G584">
        <v>1.0900000000000001</v>
      </c>
      <c r="H584">
        <v>737</v>
      </c>
      <c r="I584">
        <v>1</v>
      </c>
      <c r="J584">
        <v>43888</v>
      </c>
      <c r="K584">
        <v>1</v>
      </c>
      <c r="L584">
        <v>6</v>
      </c>
      <c r="M584" t="s">
        <v>15</v>
      </c>
      <c r="N584">
        <v>0.64999999999999991</v>
      </c>
      <c r="O584">
        <f t="shared" si="18"/>
        <v>1</v>
      </c>
      <c r="P584">
        <f t="shared" si="19"/>
        <v>0</v>
      </c>
    </row>
    <row r="585" spans="1:16">
      <c r="A585">
        <v>584</v>
      </c>
      <c r="B585" s="2">
        <v>45505</v>
      </c>
      <c r="C585">
        <v>41828</v>
      </c>
      <c r="D585">
        <v>11921</v>
      </c>
      <c r="E585">
        <v>1.39</v>
      </c>
      <c r="F585">
        <v>0.53</v>
      </c>
      <c r="G585">
        <v>2.75</v>
      </c>
      <c r="H585">
        <v>610</v>
      </c>
      <c r="I585">
        <v>0</v>
      </c>
      <c r="K585">
        <v>0</v>
      </c>
      <c r="L585">
        <v>12</v>
      </c>
      <c r="M585" t="s">
        <v>15</v>
      </c>
      <c r="N585">
        <v>0</v>
      </c>
      <c r="O585">
        <f t="shared" si="18"/>
        <v>0</v>
      </c>
      <c r="P585">
        <f t="shared" si="19"/>
        <v>0</v>
      </c>
    </row>
    <row r="586" spans="1:16">
      <c r="A586">
        <v>585</v>
      </c>
      <c r="B586" s="2">
        <v>45474</v>
      </c>
      <c r="C586">
        <v>63930</v>
      </c>
      <c r="D586">
        <v>13748</v>
      </c>
      <c r="E586">
        <v>1.38</v>
      </c>
      <c r="F586">
        <v>2.69</v>
      </c>
      <c r="G586">
        <v>1.33</v>
      </c>
      <c r="H586">
        <v>706</v>
      </c>
      <c r="I586">
        <v>0</v>
      </c>
      <c r="K586">
        <v>0</v>
      </c>
      <c r="L586">
        <v>18</v>
      </c>
      <c r="M586" t="s">
        <v>15</v>
      </c>
      <c r="N586">
        <v>0.35</v>
      </c>
      <c r="O586">
        <f t="shared" si="18"/>
        <v>0</v>
      </c>
      <c r="P586">
        <f t="shared" si="19"/>
        <v>0</v>
      </c>
    </row>
    <row r="587" spans="1:16">
      <c r="A587">
        <v>586</v>
      </c>
      <c r="B587" s="2">
        <v>45352</v>
      </c>
      <c r="C587">
        <v>50121</v>
      </c>
      <c r="D587">
        <v>6624</v>
      </c>
      <c r="E587">
        <v>0.88</v>
      </c>
      <c r="F587">
        <v>0.31</v>
      </c>
      <c r="G587">
        <v>0.57999999999999996</v>
      </c>
      <c r="H587">
        <v>632</v>
      </c>
      <c r="I587">
        <v>0</v>
      </c>
      <c r="K587">
        <v>0</v>
      </c>
      <c r="L587">
        <v>12</v>
      </c>
      <c r="M587" t="s">
        <v>15</v>
      </c>
      <c r="N587">
        <v>0.45</v>
      </c>
      <c r="O587">
        <f t="shared" si="18"/>
        <v>0</v>
      </c>
      <c r="P587">
        <f t="shared" si="19"/>
        <v>0</v>
      </c>
    </row>
    <row r="588" spans="1:16">
      <c r="A588">
        <v>587</v>
      </c>
      <c r="B588" s="2">
        <v>45383</v>
      </c>
      <c r="C588">
        <v>40046</v>
      </c>
      <c r="D588">
        <v>22439</v>
      </c>
      <c r="E588">
        <v>1.76</v>
      </c>
      <c r="F588">
        <v>2.83</v>
      </c>
      <c r="G588">
        <v>1.28</v>
      </c>
      <c r="H588">
        <v>669</v>
      </c>
      <c r="I588">
        <v>1</v>
      </c>
      <c r="J588">
        <v>4749</v>
      </c>
      <c r="K588">
        <v>1</v>
      </c>
      <c r="L588">
        <v>18</v>
      </c>
      <c r="M588" t="s">
        <v>15</v>
      </c>
      <c r="N588">
        <v>0.35</v>
      </c>
      <c r="O588">
        <f t="shared" si="18"/>
        <v>1</v>
      </c>
      <c r="P588">
        <f t="shared" si="19"/>
        <v>0</v>
      </c>
    </row>
    <row r="589" spans="1:16">
      <c r="A589">
        <v>588</v>
      </c>
      <c r="B589" s="2">
        <v>45536</v>
      </c>
      <c r="C589">
        <v>46038</v>
      </c>
      <c r="D589">
        <v>9328</v>
      </c>
      <c r="E589">
        <v>1.69</v>
      </c>
      <c r="F589">
        <v>0.7</v>
      </c>
      <c r="G589">
        <v>1.64</v>
      </c>
      <c r="H589">
        <v>623</v>
      </c>
      <c r="I589">
        <v>0</v>
      </c>
      <c r="K589">
        <v>0</v>
      </c>
      <c r="L589">
        <v>12</v>
      </c>
      <c r="M589" t="s">
        <v>15</v>
      </c>
      <c r="N589">
        <v>0</v>
      </c>
      <c r="O589">
        <f t="shared" si="18"/>
        <v>0</v>
      </c>
      <c r="P589">
        <f t="shared" si="19"/>
        <v>0</v>
      </c>
    </row>
    <row r="590" spans="1:16">
      <c r="A590">
        <v>589</v>
      </c>
      <c r="B590" s="2">
        <v>45047</v>
      </c>
      <c r="C590">
        <v>173203</v>
      </c>
      <c r="D590">
        <v>11384</v>
      </c>
      <c r="E590">
        <v>1.44</v>
      </c>
      <c r="F590">
        <v>0.76</v>
      </c>
      <c r="G590">
        <v>2.27</v>
      </c>
      <c r="H590">
        <v>725</v>
      </c>
      <c r="I590">
        <v>0</v>
      </c>
      <c r="K590">
        <v>0</v>
      </c>
      <c r="L590">
        <v>12</v>
      </c>
      <c r="M590" t="s">
        <v>14</v>
      </c>
      <c r="N590">
        <v>0</v>
      </c>
      <c r="O590">
        <f t="shared" si="18"/>
        <v>0</v>
      </c>
      <c r="P590">
        <f t="shared" si="19"/>
        <v>0</v>
      </c>
    </row>
    <row r="591" spans="1:16">
      <c r="A591">
        <v>590</v>
      </c>
      <c r="B591" s="2">
        <v>44986</v>
      </c>
      <c r="C591">
        <v>34981</v>
      </c>
      <c r="D591">
        <v>6661</v>
      </c>
      <c r="E591">
        <v>1.1299999999999999</v>
      </c>
      <c r="F591">
        <v>0.24</v>
      </c>
      <c r="G591">
        <v>1.03</v>
      </c>
      <c r="H591">
        <v>634</v>
      </c>
      <c r="I591">
        <v>0</v>
      </c>
      <c r="K591">
        <v>0</v>
      </c>
      <c r="L591">
        <v>12</v>
      </c>
      <c r="M591" t="s">
        <v>14</v>
      </c>
      <c r="N591">
        <v>0</v>
      </c>
      <c r="O591">
        <f t="shared" si="18"/>
        <v>0</v>
      </c>
      <c r="P591">
        <f t="shared" si="19"/>
        <v>0</v>
      </c>
    </row>
    <row r="592" spans="1:16">
      <c r="A592">
        <v>591</v>
      </c>
      <c r="B592" s="2">
        <v>45261</v>
      </c>
      <c r="C592">
        <v>41387</v>
      </c>
      <c r="D592">
        <v>2222</v>
      </c>
      <c r="E592">
        <v>2.13</v>
      </c>
      <c r="F592">
        <v>0.66</v>
      </c>
      <c r="G592">
        <v>0.48</v>
      </c>
      <c r="H592">
        <v>710</v>
      </c>
      <c r="I592">
        <v>0</v>
      </c>
      <c r="K592">
        <v>0</v>
      </c>
      <c r="L592">
        <v>12</v>
      </c>
      <c r="M592" t="s">
        <v>14</v>
      </c>
      <c r="N592">
        <v>0.15</v>
      </c>
      <c r="O592">
        <f t="shared" si="18"/>
        <v>0</v>
      </c>
      <c r="P592">
        <f t="shared" si="19"/>
        <v>0</v>
      </c>
    </row>
    <row r="593" spans="1:16">
      <c r="A593">
        <v>592</v>
      </c>
      <c r="B593" s="2">
        <v>45505</v>
      </c>
      <c r="C593">
        <v>71892</v>
      </c>
      <c r="D593">
        <v>11688</v>
      </c>
      <c r="E593">
        <v>2.46</v>
      </c>
      <c r="F593">
        <v>0.44</v>
      </c>
      <c r="G593">
        <v>1.8</v>
      </c>
      <c r="H593">
        <v>661</v>
      </c>
      <c r="I593">
        <v>0</v>
      </c>
      <c r="K593">
        <v>0</v>
      </c>
      <c r="L593">
        <v>12</v>
      </c>
      <c r="M593" t="s">
        <v>15</v>
      </c>
      <c r="N593">
        <v>0</v>
      </c>
      <c r="O593">
        <f t="shared" si="18"/>
        <v>0</v>
      </c>
      <c r="P593">
        <f t="shared" si="19"/>
        <v>0</v>
      </c>
    </row>
    <row r="594" spans="1:16">
      <c r="A594">
        <v>593</v>
      </c>
      <c r="B594" s="2">
        <v>45536</v>
      </c>
      <c r="C594">
        <v>74503</v>
      </c>
      <c r="D594">
        <v>72318</v>
      </c>
      <c r="E594">
        <v>1.28</v>
      </c>
      <c r="F594">
        <v>0.59</v>
      </c>
      <c r="G594">
        <v>0.59</v>
      </c>
      <c r="H594">
        <v>674</v>
      </c>
      <c r="I594">
        <v>0</v>
      </c>
      <c r="K594">
        <v>0</v>
      </c>
      <c r="L594">
        <v>6</v>
      </c>
      <c r="M594" t="s">
        <v>15</v>
      </c>
      <c r="N594">
        <v>0.15</v>
      </c>
      <c r="O594">
        <f t="shared" si="18"/>
        <v>0</v>
      </c>
      <c r="P594">
        <f t="shared" si="19"/>
        <v>0</v>
      </c>
    </row>
    <row r="595" spans="1:16">
      <c r="A595">
        <v>594</v>
      </c>
      <c r="B595" s="2">
        <v>45017</v>
      </c>
      <c r="C595">
        <v>78556</v>
      </c>
      <c r="D595">
        <v>23138</v>
      </c>
      <c r="E595">
        <v>1.21</v>
      </c>
      <c r="F595">
        <v>0.82</v>
      </c>
      <c r="G595">
        <v>1.1100000000000001</v>
      </c>
      <c r="H595">
        <v>688</v>
      </c>
      <c r="I595">
        <v>1</v>
      </c>
      <c r="K595">
        <v>0</v>
      </c>
      <c r="L595">
        <v>18</v>
      </c>
      <c r="M595" t="s">
        <v>14</v>
      </c>
      <c r="N595">
        <v>0</v>
      </c>
      <c r="O595">
        <f t="shared" si="18"/>
        <v>0</v>
      </c>
      <c r="P595">
        <f t="shared" si="19"/>
        <v>1</v>
      </c>
    </row>
    <row r="596" spans="1:16">
      <c r="A596">
        <v>595</v>
      </c>
      <c r="B596" s="2">
        <v>45536</v>
      </c>
      <c r="C596">
        <v>55005</v>
      </c>
      <c r="D596">
        <v>13181</v>
      </c>
      <c r="E596">
        <v>1.82</v>
      </c>
      <c r="F596">
        <v>1.77</v>
      </c>
      <c r="G596">
        <v>1.21</v>
      </c>
      <c r="H596">
        <v>638</v>
      </c>
      <c r="I596">
        <v>0</v>
      </c>
      <c r="K596">
        <v>0</v>
      </c>
      <c r="L596">
        <v>18</v>
      </c>
      <c r="M596" t="s">
        <v>15</v>
      </c>
      <c r="N596">
        <v>0</v>
      </c>
      <c r="O596">
        <f t="shared" si="18"/>
        <v>0</v>
      </c>
      <c r="P596">
        <f t="shared" si="19"/>
        <v>0</v>
      </c>
    </row>
    <row r="597" spans="1:16">
      <c r="A597">
        <v>596</v>
      </c>
      <c r="B597" s="2">
        <v>45597</v>
      </c>
      <c r="C597">
        <v>17276</v>
      </c>
      <c r="D597">
        <v>11114</v>
      </c>
      <c r="E597">
        <v>1.35</v>
      </c>
      <c r="F597">
        <v>1.05</v>
      </c>
      <c r="G597">
        <v>1.31</v>
      </c>
      <c r="H597">
        <v>692</v>
      </c>
      <c r="I597">
        <v>0</v>
      </c>
      <c r="K597">
        <v>0</v>
      </c>
      <c r="L597">
        <v>12</v>
      </c>
      <c r="M597" t="s">
        <v>15</v>
      </c>
      <c r="N597">
        <v>0</v>
      </c>
      <c r="O597">
        <f t="shared" si="18"/>
        <v>0</v>
      </c>
      <c r="P597">
        <f t="shared" si="19"/>
        <v>0</v>
      </c>
    </row>
    <row r="598" spans="1:16">
      <c r="A598">
        <v>597</v>
      </c>
      <c r="B598" s="2">
        <v>45383</v>
      </c>
      <c r="C598">
        <v>105002</v>
      </c>
      <c r="D598">
        <v>13571</v>
      </c>
      <c r="E598">
        <v>1.47</v>
      </c>
      <c r="F598">
        <v>1.1200000000000001</v>
      </c>
      <c r="G598">
        <v>1.73</v>
      </c>
      <c r="H598">
        <v>764</v>
      </c>
      <c r="I598">
        <v>0</v>
      </c>
      <c r="K598">
        <v>0</v>
      </c>
      <c r="L598">
        <v>12</v>
      </c>
      <c r="M598" t="s">
        <v>15</v>
      </c>
      <c r="N598">
        <v>0</v>
      </c>
      <c r="O598">
        <f t="shared" si="18"/>
        <v>0</v>
      </c>
      <c r="P598">
        <f t="shared" si="19"/>
        <v>0</v>
      </c>
    </row>
    <row r="599" spans="1:16">
      <c r="A599">
        <v>598</v>
      </c>
      <c r="B599" s="2">
        <v>45108</v>
      </c>
      <c r="C599">
        <v>17238</v>
      </c>
      <c r="D599">
        <v>19594</v>
      </c>
      <c r="F599">
        <v>0.42</v>
      </c>
      <c r="G599">
        <v>0.97</v>
      </c>
      <c r="H599">
        <v>637</v>
      </c>
      <c r="I599">
        <v>0</v>
      </c>
      <c r="K599">
        <v>0</v>
      </c>
      <c r="L599">
        <v>12</v>
      </c>
      <c r="M599" t="s">
        <v>14</v>
      </c>
      <c r="N599">
        <v>0</v>
      </c>
      <c r="O599">
        <f t="shared" si="18"/>
        <v>0</v>
      </c>
      <c r="P599">
        <f t="shared" si="19"/>
        <v>0</v>
      </c>
    </row>
    <row r="600" spans="1:16">
      <c r="A600">
        <v>599</v>
      </c>
      <c r="B600" s="2">
        <v>45292</v>
      </c>
      <c r="C600">
        <v>44210</v>
      </c>
      <c r="D600">
        <v>5846</v>
      </c>
      <c r="E600">
        <v>0.5</v>
      </c>
      <c r="F600">
        <v>0.49</v>
      </c>
      <c r="G600">
        <v>1.2</v>
      </c>
      <c r="H600">
        <v>744</v>
      </c>
      <c r="I600">
        <v>0</v>
      </c>
      <c r="K600">
        <v>0</v>
      </c>
      <c r="L600">
        <v>6</v>
      </c>
      <c r="M600" t="s">
        <v>15</v>
      </c>
      <c r="N600">
        <v>0.3</v>
      </c>
      <c r="O600">
        <f t="shared" si="18"/>
        <v>0</v>
      </c>
      <c r="P600">
        <f t="shared" si="19"/>
        <v>0</v>
      </c>
    </row>
    <row r="601" spans="1:16">
      <c r="A601">
        <v>600</v>
      </c>
      <c r="B601" s="2">
        <v>45536</v>
      </c>
      <c r="C601">
        <v>22242</v>
      </c>
      <c r="D601">
        <v>29145</v>
      </c>
      <c r="E601">
        <v>2.2799999999999998</v>
      </c>
      <c r="F601">
        <v>3.19</v>
      </c>
      <c r="G601">
        <v>1.34</v>
      </c>
      <c r="H601">
        <v>762</v>
      </c>
      <c r="I601">
        <v>0</v>
      </c>
      <c r="K601">
        <v>0</v>
      </c>
      <c r="L601">
        <v>12</v>
      </c>
      <c r="M601" t="s">
        <v>15</v>
      </c>
      <c r="N601">
        <v>0.35</v>
      </c>
      <c r="O601">
        <f t="shared" si="18"/>
        <v>0</v>
      </c>
      <c r="P601">
        <f t="shared" si="19"/>
        <v>0</v>
      </c>
    </row>
    <row r="602" spans="1:16">
      <c r="A602">
        <v>601</v>
      </c>
      <c r="B602" s="2">
        <v>45200</v>
      </c>
      <c r="C602">
        <v>34833</v>
      </c>
      <c r="D602">
        <v>22043</v>
      </c>
      <c r="E602">
        <v>1.59</v>
      </c>
      <c r="F602">
        <v>0.54</v>
      </c>
      <c r="G602">
        <v>1.43</v>
      </c>
      <c r="H602">
        <v>635</v>
      </c>
      <c r="I602">
        <v>0</v>
      </c>
      <c r="K602">
        <v>0</v>
      </c>
      <c r="L602">
        <v>12</v>
      </c>
      <c r="M602" t="s">
        <v>14</v>
      </c>
      <c r="N602">
        <v>0</v>
      </c>
      <c r="O602">
        <f t="shared" si="18"/>
        <v>0</v>
      </c>
      <c r="P602">
        <f t="shared" si="19"/>
        <v>0</v>
      </c>
    </row>
    <row r="603" spans="1:16">
      <c r="A603">
        <v>602</v>
      </c>
      <c r="B603" s="2">
        <v>45108</v>
      </c>
      <c r="C603">
        <v>44968</v>
      </c>
      <c r="D603">
        <v>22087</v>
      </c>
      <c r="E603">
        <v>1.32</v>
      </c>
      <c r="F603">
        <v>2.88</v>
      </c>
      <c r="G603">
        <v>1.4</v>
      </c>
      <c r="H603">
        <v>600</v>
      </c>
      <c r="I603">
        <v>0</v>
      </c>
      <c r="K603">
        <v>0</v>
      </c>
      <c r="L603">
        <v>12</v>
      </c>
      <c r="M603" t="s">
        <v>14</v>
      </c>
      <c r="N603">
        <v>0.35</v>
      </c>
      <c r="O603">
        <f t="shared" si="18"/>
        <v>0</v>
      </c>
      <c r="P603">
        <f t="shared" si="19"/>
        <v>0</v>
      </c>
    </row>
    <row r="604" spans="1:16">
      <c r="A604">
        <v>603</v>
      </c>
      <c r="B604" s="2">
        <v>45323</v>
      </c>
      <c r="C604">
        <v>44752</v>
      </c>
      <c r="D604">
        <v>18159</v>
      </c>
      <c r="E604">
        <v>1.5</v>
      </c>
      <c r="F604">
        <v>0.76</v>
      </c>
      <c r="G604">
        <v>1.59</v>
      </c>
      <c r="H604">
        <v>697</v>
      </c>
      <c r="I604">
        <v>0</v>
      </c>
      <c r="K604">
        <v>0</v>
      </c>
      <c r="L604">
        <v>12</v>
      </c>
      <c r="M604" t="s">
        <v>15</v>
      </c>
      <c r="N604">
        <v>0</v>
      </c>
      <c r="O604">
        <f t="shared" si="18"/>
        <v>0</v>
      </c>
      <c r="P604">
        <f t="shared" si="19"/>
        <v>0</v>
      </c>
    </row>
    <row r="605" spans="1:16">
      <c r="A605">
        <v>604</v>
      </c>
      <c r="B605" s="2">
        <v>45047</v>
      </c>
      <c r="C605">
        <v>47775</v>
      </c>
      <c r="D605">
        <v>13544</v>
      </c>
      <c r="F605">
        <v>0.91</v>
      </c>
      <c r="G605">
        <v>1.81</v>
      </c>
      <c r="H605">
        <v>650</v>
      </c>
      <c r="I605">
        <v>0</v>
      </c>
      <c r="K605">
        <v>0</v>
      </c>
      <c r="L605">
        <v>12</v>
      </c>
      <c r="M605" t="s">
        <v>14</v>
      </c>
      <c r="N605">
        <v>0</v>
      </c>
      <c r="O605">
        <f t="shared" si="18"/>
        <v>0</v>
      </c>
      <c r="P605">
        <f t="shared" si="19"/>
        <v>0</v>
      </c>
    </row>
    <row r="606" spans="1:16">
      <c r="A606">
        <v>605</v>
      </c>
      <c r="B606" s="2">
        <v>44986</v>
      </c>
      <c r="C606">
        <v>103664</v>
      </c>
      <c r="D606">
        <v>21397</v>
      </c>
      <c r="E606">
        <v>0.6</v>
      </c>
      <c r="F606">
        <v>1.91</v>
      </c>
      <c r="G606">
        <v>1.57</v>
      </c>
      <c r="H606">
        <v>783</v>
      </c>
      <c r="I606">
        <v>1</v>
      </c>
      <c r="J606">
        <v>38736</v>
      </c>
      <c r="K606">
        <v>1</v>
      </c>
      <c r="L606">
        <v>12</v>
      </c>
      <c r="M606" t="s">
        <v>14</v>
      </c>
      <c r="N606">
        <v>0.3</v>
      </c>
      <c r="O606">
        <f t="shared" si="18"/>
        <v>1</v>
      </c>
      <c r="P606">
        <f t="shared" si="19"/>
        <v>0</v>
      </c>
    </row>
    <row r="607" spans="1:16">
      <c r="A607">
        <v>606</v>
      </c>
      <c r="B607" s="2">
        <v>45597</v>
      </c>
      <c r="C607">
        <v>48766</v>
      </c>
      <c r="D607">
        <v>20217</v>
      </c>
      <c r="E607">
        <v>2.37</v>
      </c>
      <c r="F607">
        <v>2.2000000000000002</v>
      </c>
      <c r="G607">
        <v>1.6</v>
      </c>
      <c r="H607">
        <v>682</v>
      </c>
      <c r="I607">
        <v>0</v>
      </c>
      <c r="K607">
        <v>0</v>
      </c>
      <c r="L607">
        <v>12</v>
      </c>
      <c r="M607" t="s">
        <v>15</v>
      </c>
      <c r="N607">
        <v>0.35</v>
      </c>
      <c r="O607">
        <f t="shared" si="18"/>
        <v>0</v>
      </c>
      <c r="P607">
        <f t="shared" si="19"/>
        <v>0</v>
      </c>
    </row>
    <row r="608" spans="1:16">
      <c r="A608">
        <v>607</v>
      </c>
      <c r="B608" s="2">
        <v>45231</v>
      </c>
      <c r="D608">
        <v>10427</v>
      </c>
      <c r="E608">
        <v>1.57</v>
      </c>
      <c r="F608">
        <v>0.84</v>
      </c>
      <c r="G608">
        <v>0.48</v>
      </c>
      <c r="H608">
        <v>636</v>
      </c>
      <c r="I608">
        <v>0</v>
      </c>
      <c r="K608">
        <v>0</v>
      </c>
      <c r="L608">
        <v>12</v>
      </c>
      <c r="M608" t="s">
        <v>14</v>
      </c>
      <c r="N608">
        <v>0.15</v>
      </c>
      <c r="O608">
        <f t="shared" si="18"/>
        <v>0</v>
      </c>
      <c r="P608">
        <f t="shared" si="19"/>
        <v>0</v>
      </c>
    </row>
    <row r="609" spans="1:16">
      <c r="A609">
        <v>608</v>
      </c>
      <c r="B609" s="2">
        <v>45231</v>
      </c>
      <c r="C609">
        <v>67959</v>
      </c>
      <c r="D609">
        <v>8942</v>
      </c>
      <c r="E609">
        <v>1.79</v>
      </c>
      <c r="F609">
        <v>0.69</v>
      </c>
      <c r="G609">
        <v>1.38</v>
      </c>
      <c r="H609">
        <v>617</v>
      </c>
      <c r="I609">
        <v>0</v>
      </c>
      <c r="K609">
        <v>0</v>
      </c>
      <c r="L609">
        <v>12</v>
      </c>
      <c r="M609" t="s">
        <v>14</v>
      </c>
      <c r="N609">
        <v>0</v>
      </c>
      <c r="O609">
        <f t="shared" si="18"/>
        <v>0</v>
      </c>
      <c r="P609">
        <f t="shared" si="19"/>
        <v>0</v>
      </c>
    </row>
    <row r="610" spans="1:16">
      <c r="A610">
        <v>609</v>
      </c>
      <c r="B610" s="2">
        <v>45444</v>
      </c>
      <c r="C610">
        <v>78681</v>
      </c>
      <c r="D610">
        <v>14347</v>
      </c>
      <c r="E610">
        <v>2.0699999999999998</v>
      </c>
      <c r="F610">
        <v>0.87</v>
      </c>
      <c r="G610">
        <v>1.61</v>
      </c>
      <c r="H610">
        <v>740</v>
      </c>
      <c r="I610">
        <v>0</v>
      </c>
      <c r="K610">
        <v>0</v>
      </c>
      <c r="L610">
        <v>12</v>
      </c>
      <c r="M610" t="s">
        <v>15</v>
      </c>
      <c r="N610">
        <v>0</v>
      </c>
      <c r="O610">
        <f t="shared" si="18"/>
        <v>0</v>
      </c>
      <c r="P610">
        <f t="shared" si="19"/>
        <v>0</v>
      </c>
    </row>
    <row r="611" spans="1:16">
      <c r="A611">
        <v>610</v>
      </c>
      <c r="B611" s="2">
        <v>45352</v>
      </c>
      <c r="C611">
        <v>16351</v>
      </c>
      <c r="D611">
        <v>39510</v>
      </c>
      <c r="E611">
        <v>0.99</v>
      </c>
      <c r="F611">
        <v>1.1499999999999999</v>
      </c>
      <c r="G611">
        <v>1.75</v>
      </c>
      <c r="H611">
        <v>649</v>
      </c>
      <c r="I611">
        <v>0</v>
      </c>
      <c r="K611">
        <v>0</v>
      </c>
      <c r="L611">
        <v>12</v>
      </c>
      <c r="M611" t="s">
        <v>15</v>
      </c>
      <c r="N611">
        <v>0.3</v>
      </c>
      <c r="O611">
        <f t="shared" si="18"/>
        <v>0</v>
      </c>
      <c r="P611">
        <f t="shared" si="19"/>
        <v>0</v>
      </c>
    </row>
    <row r="612" spans="1:16">
      <c r="A612">
        <v>611</v>
      </c>
      <c r="B612" s="2">
        <v>45261</v>
      </c>
      <c r="C612">
        <v>53547</v>
      </c>
      <c r="D612">
        <v>5612</v>
      </c>
      <c r="E612">
        <v>1.81</v>
      </c>
      <c r="F612">
        <v>1.69</v>
      </c>
      <c r="G612">
        <v>0.97</v>
      </c>
      <c r="H612">
        <v>682</v>
      </c>
      <c r="I612">
        <v>0</v>
      </c>
      <c r="K612">
        <v>0</v>
      </c>
      <c r="L612">
        <v>12</v>
      </c>
      <c r="M612" t="s">
        <v>14</v>
      </c>
      <c r="N612">
        <v>0</v>
      </c>
      <c r="O612">
        <f t="shared" si="18"/>
        <v>0</v>
      </c>
      <c r="P612">
        <f t="shared" si="19"/>
        <v>0</v>
      </c>
    </row>
    <row r="613" spans="1:16">
      <c r="A613">
        <v>612</v>
      </c>
      <c r="B613" s="2">
        <v>45170</v>
      </c>
      <c r="C613">
        <v>57283</v>
      </c>
      <c r="D613">
        <v>4783</v>
      </c>
      <c r="E613">
        <v>1.4</v>
      </c>
      <c r="F613">
        <v>0.91</v>
      </c>
      <c r="G613">
        <v>0.99</v>
      </c>
      <c r="H613">
        <v>733</v>
      </c>
      <c r="I613">
        <v>1</v>
      </c>
      <c r="J613">
        <v>232</v>
      </c>
      <c r="K613">
        <v>1</v>
      </c>
      <c r="L613">
        <v>12</v>
      </c>
      <c r="M613" t="s">
        <v>14</v>
      </c>
      <c r="N613">
        <v>0</v>
      </c>
      <c r="O613">
        <f t="shared" si="18"/>
        <v>1</v>
      </c>
      <c r="P613">
        <f t="shared" si="19"/>
        <v>0</v>
      </c>
    </row>
    <row r="614" spans="1:16">
      <c r="A614">
        <v>613</v>
      </c>
      <c r="B614" s="2">
        <v>45200</v>
      </c>
      <c r="C614">
        <v>29929</v>
      </c>
      <c r="D614">
        <v>14993</v>
      </c>
      <c r="E614">
        <v>2.02</v>
      </c>
      <c r="F614">
        <v>1.4</v>
      </c>
      <c r="G614">
        <v>1.03</v>
      </c>
      <c r="H614">
        <v>653</v>
      </c>
      <c r="I614">
        <v>0</v>
      </c>
      <c r="K614">
        <v>0</v>
      </c>
      <c r="L614">
        <v>12</v>
      </c>
      <c r="M614" t="s">
        <v>14</v>
      </c>
      <c r="N614">
        <v>0</v>
      </c>
      <c r="O614">
        <f t="shared" si="18"/>
        <v>0</v>
      </c>
      <c r="P614">
        <f t="shared" si="19"/>
        <v>0</v>
      </c>
    </row>
    <row r="615" spans="1:16">
      <c r="A615">
        <v>614</v>
      </c>
      <c r="B615" s="2">
        <v>45261</v>
      </c>
      <c r="C615">
        <v>88806</v>
      </c>
      <c r="D615">
        <v>13844</v>
      </c>
      <c r="E615">
        <v>0.38</v>
      </c>
      <c r="F615">
        <v>2.85</v>
      </c>
      <c r="G615">
        <v>1.65</v>
      </c>
      <c r="H615">
        <v>677</v>
      </c>
      <c r="I615">
        <v>1</v>
      </c>
      <c r="J615">
        <v>15366</v>
      </c>
      <c r="K615">
        <v>1</v>
      </c>
      <c r="L615">
        <v>12</v>
      </c>
      <c r="M615" t="s">
        <v>14</v>
      </c>
      <c r="N615">
        <v>0.64999999999999991</v>
      </c>
      <c r="O615">
        <f t="shared" si="18"/>
        <v>1</v>
      </c>
      <c r="P615">
        <f t="shared" si="19"/>
        <v>0</v>
      </c>
    </row>
    <row r="616" spans="1:16">
      <c r="A616">
        <v>615</v>
      </c>
      <c r="B616" s="2">
        <v>45413</v>
      </c>
      <c r="C616">
        <v>32941</v>
      </c>
      <c r="D616">
        <v>15083</v>
      </c>
      <c r="E616">
        <v>1.5</v>
      </c>
      <c r="F616">
        <v>1.18</v>
      </c>
      <c r="G616">
        <v>1.92</v>
      </c>
      <c r="H616">
        <v>679</v>
      </c>
      <c r="I616">
        <v>0</v>
      </c>
      <c r="K616">
        <v>0</v>
      </c>
      <c r="L616">
        <v>12</v>
      </c>
      <c r="M616" t="s">
        <v>15</v>
      </c>
      <c r="N616">
        <v>0</v>
      </c>
      <c r="O616">
        <f t="shared" si="18"/>
        <v>0</v>
      </c>
      <c r="P616">
        <f t="shared" si="19"/>
        <v>0</v>
      </c>
    </row>
    <row r="617" spans="1:16">
      <c r="A617">
        <v>616</v>
      </c>
      <c r="B617" s="2">
        <v>45078</v>
      </c>
      <c r="C617">
        <v>39404</v>
      </c>
      <c r="D617">
        <v>15848</v>
      </c>
      <c r="E617">
        <v>1.22</v>
      </c>
      <c r="F617">
        <v>1.1299999999999999</v>
      </c>
      <c r="G617">
        <v>1.1299999999999999</v>
      </c>
      <c r="H617">
        <v>718</v>
      </c>
      <c r="I617">
        <v>1</v>
      </c>
      <c r="K617">
        <v>0</v>
      </c>
      <c r="L617">
        <v>12</v>
      </c>
      <c r="M617" t="s">
        <v>14</v>
      </c>
      <c r="N617">
        <v>0</v>
      </c>
      <c r="O617">
        <f t="shared" si="18"/>
        <v>0</v>
      </c>
      <c r="P617">
        <f t="shared" si="19"/>
        <v>1</v>
      </c>
    </row>
    <row r="618" spans="1:16">
      <c r="A618">
        <v>617</v>
      </c>
      <c r="B618" s="2">
        <v>45108</v>
      </c>
      <c r="C618">
        <v>32452</v>
      </c>
      <c r="D618">
        <v>11427</v>
      </c>
      <c r="E618">
        <v>1.79</v>
      </c>
      <c r="F618">
        <v>0.31</v>
      </c>
      <c r="G618">
        <v>1.85</v>
      </c>
      <c r="H618">
        <v>712</v>
      </c>
      <c r="I618">
        <v>0</v>
      </c>
      <c r="K618">
        <v>0</v>
      </c>
      <c r="L618">
        <v>18</v>
      </c>
      <c r="M618" t="s">
        <v>14</v>
      </c>
      <c r="N618">
        <v>0</v>
      </c>
      <c r="O618">
        <f t="shared" si="18"/>
        <v>0</v>
      </c>
      <c r="P618">
        <f t="shared" si="19"/>
        <v>0</v>
      </c>
    </row>
    <row r="619" spans="1:16">
      <c r="A619">
        <v>618</v>
      </c>
      <c r="B619" s="2">
        <v>45323</v>
      </c>
      <c r="C619">
        <v>36685</v>
      </c>
      <c r="D619">
        <v>37908</v>
      </c>
      <c r="E619">
        <v>1.81</v>
      </c>
      <c r="F619">
        <v>0.14000000000000001</v>
      </c>
      <c r="G619">
        <v>1.42</v>
      </c>
      <c r="H619">
        <v>668</v>
      </c>
      <c r="I619">
        <v>0</v>
      </c>
      <c r="K619">
        <v>0</v>
      </c>
      <c r="L619">
        <v>12</v>
      </c>
      <c r="M619" t="s">
        <v>15</v>
      </c>
      <c r="N619">
        <v>0</v>
      </c>
      <c r="O619">
        <f t="shared" si="18"/>
        <v>0</v>
      </c>
      <c r="P619">
        <f t="shared" si="19"/>
        <v>0</v>
      </c>
    </row>
    <row r="620" spans="1:16">
      <c r="A620">
        <v>619</v>
      </c>
      <c r="B620" s="2">
        <v>45292</v>
      </c>
      <c r="C620">
        <v>17808</v>
      </c>
      <c r="D620">
        <v>4356</v>
      </c>
      <c r="E620">
        <v>1.1599999999999999</v>
      </c>
      <c r="F620">
        <v>1.19</v>
      </c>
      <c r="G620">
        <v>1.28</v>
      </c>
      <c r="H620">
        <v>684</v>
      </c>
      <c r="I620">
        <v>0</v>
      </c>
      <c r="K620">
        <v>0</v>
      </c>
      <c r="L620">
        <v>12</v>
      </c>
      <c r="M620" t="s">
        <v>15</v>
      </c>
      <c r="N620">
        <v>0</v>
      </c>
      <c r="O620">
        <f t="shared" si="18"/>
        <v>0</v>
      </c>
      <c r="P620">
        <f t="shared" si="19"/>
        <v>0</v>
      </c>
    </row>
    <row r="621" spans="1:16">
      <c r="A621">
        <v>620</v>
      </c>
      <c r="B621" s="2">
        <v>45139</v>
      </c>
      <c r="C621">
        <v>14242</v>
      </c>
      <c r="D621">
        <v>7480</v>
      </c>
      <c r="E621">
        <v>1.1599999999999999</v>
      </c>
      <c r="F621">
        <v>0.85</v>
      </c>
      <c r="G621">
        <v>1.23</v>
      </c>
      <c r="H621">
        <v>660</v>
      </c>
      <c r="I621">
        <v>0</v>
      </c>
      <c r="K621">
        <v>0</v>
      </c>
      <c r="L621">
        <v>12</v>
      </c>
      <c r="M621" t="s">
        <v>14</v>
      </c>
      <c r="N621">
        <v>0</v>
      </c>
      <c r="O621">
        <f t="shared" si="18"/>
        <v>0</v>
      </c>
      <c r="P621">
        <f t="shared" si="19"/>
        <v>0</v>
      </c>
    </row>
    <row r="622" spans="1:16">
      <c r="A622">
        <v>621</v>
      </c>
      <c r="B622" s="2">
        <v>45200</v>
      </c>
      <c r="C622">
        <v>102378</v>
      </c>
      <c r="D622">
        <v>12428</v>
      </c>
      <c r="E622">
        <v>1.49</v>
      </c>
      <c r="F622">
        <v>0.63</v>
      </c>
      <c r="G622">
        <v>1.76</v>
      </c>
      <c r="H622">
        <v>599</v>
      </c>
      <c r="I622">
        <v>0</v>
      </c>
      <c r="K622">
        <v>0</v>
      </c>
      <c r="L622">
        <v>12</v>
      </c>
      <c r="M622" t="s">
        <v>14</v>
      </c>
      <c r="N622">
        <v>0.2</v>
      </c>
      <c r="O622">
        <f t="shared" si="18"/>
        <v>0</v>
      </c>
      <c r="P622">
        <f t="shared" si="19"/>
        <v>0</v>
      </c>
    </row>
    <row r="623" spans="1:16">
      <c r="A623">
        <v>622</v>
      </c>
      <c r="B623" s="2">
        <v>45170</v>
      </c>
      <c r="C623">
        <v>20941</v>
      </c>
      <c r="D623">
        <v>4229</v>
      </c>
      <c r="E623">
        <v>1.06</v>
      </c>
      <c r="F623">
        <v>1.07</v>
      </c>
      <c r="G623">
        <v>1.53</v>
      </c>
      <c r="H623">
        <v>694</v>
      </c>
      <c r="I623">
        <v>1</v>
      </c>
      <c r="J623">
        <v>46398</v>
      </c>
      <c r="K623">
        <v>1</v>
      </c>
      <c r="L623">
        <v>12</v>
      </c>
      <c r="M623" t="s">
        <v>14</v>
      </c>
      <c r="N623">
        <v>0</v>
      </c>
      <c r="O623">
        <f t="shared" si="18"/>
        <v>1</v>
      </c>
      <c r="P623">
        <f t="shared" si="19"/>
        <v>0</v>
      </c>
    </row>
    <row r="624" spans="1:16">
      <c r="A624">
        <v>623</v>
      </c>
      <c r="B624" s="2">
        <v>45444</v>
      </c>
      <c r="C624">
        <v>19065</v>
      </c>
      <c r="D624">
        <v>11812</v>
      </c>
      <c r="E624">
        <v>2.0099999999999998</v>
      </c>
      <c r="F624">
        <v>0.87</v>
      </c>
      <c r="G624">
        <v>2.6</v>
      </c>
      <c r="H624">
        <v>784</v>
      </c>
      <c r="I624">
        <v>0</v>
      </c>
      <c r="K624">
        <v>0</v>
      </c>
      <c r="L624">
        <v>6</v>
      </c>
      <c r="M624" t="s">
        <v>15</v>
      </c>
      <c r="N624">
        <v>0</v>
      </c>
      <c r="O624">
        <f t="shared" si="18"/>
        <v>0</v>
      </c>
      <c r="P624">
        <f t="shared" si="19"/>
        <v>0</v>
      </c>
    </row>
    <row r="625" spans="1:16">
      <c r="A625">
        <v>624</v>
      </c>
      <c r="B625" s="2">
        <v>44958</v>
      </c>
      <c r="C625">
        <v>8958</v>
      </c>
      <c r="D625">
        <v>42746</v>
      </c>
      <c r="E625">
        <v>1.35</v>
      </c>
      <c r="F625">
        <v>1.99</v>
      </c>
      <c r="G625">
        <v>0.88</v>
      </c>
      <c r="H625">
        <v>631</v>
      </c>
      <c r="I625">
        <v>0</v>
      </c>
      <c r="K625">
        <v>0</v>
      </c>
      <c r="L625">
        <v>12</v>
      </c>
      <c r="M625" t="s">
        <v>14</v>
      </c>
      <c r="N625">
        <v>0</v>
      </c>
      <c r="O625">
        <f t="shared" si="18"/>
        <v>0</v>
      </c>
      <c r="P625">
        <f t="shared" si="19"/>
        <v>0</v>
      </c>
    </row>
    <row r="626" spans="1:16">
      <c r="A626">
        <v>625</v>
      </c>
      <c r="B626" s="2">
        <v>45047</v>
      </c>
      <c r="C626">
        <v>23973</v>
      </c>
      <c r="D626">
        <v>13556</v>
      </c>
      <c r="E626">
        <v>0.2</v>
      </c>
      <c r="F626">
        <v>0.96</v>
      </c>
      <c r="G626">
        <v>1.63</v>
      </c>
      <c r="H626">
        <v>637</v>
      </c>
      <c r="I626">
        <v>0</v>
      </c>
      <c r="K626">
        <v>0</v>
      </c>
      <c r="L626">
        <v>12</v>
      </c>
      <c r="M626" t="s">
        <v>14</v>
      </c>
      <c r="N626">
        <v>0.3</v>
      </c>
      <c r="O626">
        <f t="shared" si="18"/>
        <v>0</v>
      </c>
      <c r="P626">
        <f t="shared" si="19"/>
        <v>0</v>
      </c>
    </row>
    <row r="627" spans="1:16">
      <c r="A627">
        <v>626</v>
      </c>
      <c r="B627" s="2">
        <v>45047</v>
      </c>
      <c r="C627">
        <v>15367</v>
      </c>
      <c r="D627">
        <v>15701</v>
      </c>
      <c r="E627">
        <v>1.34</v>
      </c>
      <c r="F627">
        <v>0.54</v>
      </c>
      <c r="G627">
        <v>1.06</v>
      </c>
      <c r="H627">
        <v>632</v>
      </c>
      <c r="I627">
        <v>0</v>
      </c>
      <c r="K627">
        <v>0</v>
      </c>
      <c r="L627">
        <v>6</v>
      </c>
      <c r="M627" t="s">
        <v>14</v>
      </c>
      <c r="N627">
        <v>0</v>
      </c>
      <c r="O627">
        <f t="shared" si="18"/>
        <v>0</v>
      </c>
      <c r="P627">
        <f t="shared" si="19"/>
        <v>0</v>
      </c>
    </row>
    <row r="628" spans="1:16">
      <c r="A628">
        <v>627</v>
      </c>
      <c r="B628" s="2">
        <v>45078</v>
      </c>
      <c r="C628">
        <v>105589</v>
      </c>
      <c r="D628">
        <v>5530</v>
      </c>
      <c r="E628">
        <v>0.98</v>
      </c>
      <c r="F628">
        <v>1.81</v>
      </c>
      <c r="G628">
        <v>0.87</v>
      </c>
      <c r="H628">
        <v>720</v>
      </c>
      <c r="I628">
        <v>0</v>
      </c>
      <c r="K628">
        <v>0</v>
      </c>
      <c r="L628">
        <v>6</v>
      </c>
      <c r="M628" t="s">
        <v>14</v>
      </c>
      <c r="N628">
        <v>0.3</v>
      </c>
      <c r="O628">
        <f t="shared" si="18"/>
        <v>0</v>
      </c>
      <c r="P628">
        <f t="shared" si="19"/>
        <v>0</v>
      </c>
    </row>
    <row r="629" spans="1:16">
      <c r="A629">
        <v>628</v>
      </c>
      <c r="B629" s="2">
        <v>45474</v>
      </c>
      <c r="C629">
        <v>70009</v>
      </c>
      <c r="D629">
        <v>8678</v>
      </c>
      <c r="E629">
        <v>0.65</v>
      </c>
      <c r="F629">
        <v>0.78</v>
      </c>
      <c r="G629">
        <v>1.34</v>
      </c>
      <c r="H629">
        <v>705</v>
      </c>
      <c r="I629">
        <v>0</v>
      </c>
      <c r="K629">
        <v>0</v>
      </c>
      <c r="L629">
        <v>12</v>
      </c>
      <c r="M629" t="s">
        <v>15</v>
      </c>
      <c r="N629">
        <v>0.3</v>
      </c>
      <c r="O629">
        <f t="shared" si="18"/>
        <v>0</v>
      </c>
      <c r="P629">
        <f t="shared" si="19"/>
        <v>0</v>
      </c>
    </row>
    <row r="630" spans="1:16">
      <c r="A630">
        <v>629</v>
      </c>
      <c r="B630" s="2">
        <v>45139</v>
      </c>
      <c r="C630">
        <v>23218</v>
      </c>
      <c r="D630">
        <v>10274</v>
      </c>
      <c r="E630">
        <v>0.87</v>
      </c>
      <c r="F630">
        <v>1.31</v>
      </c>
      <c r="G630">
        <v>1.43</v>
      </c>
      <c r="H630">
        <v>671</v>
      </c>
      <c r="I630">
        <v>0</v>
      </c>
      <c r="K630">
        <v>0</v>
      </c>
      <c r="L630">
        <v>12</v>
      </c>
      <c r="M630" t="s">
        <v>14</v>
      </c>
      <c r="N630">
        <v>0.3</v>
      </c>
      <c r="O630">
        <f t="shared" si="18"/>
        <v>0</v>
      </c>
      <c r="P630">
        <f t="shared" si="19"/>
        <v>0</v>
      </c>
    </row>
    <row r="631" spans="1:16">
      <c r="A631">
        <v>630</v>
      </c>
      <c r="B631" s="2">
        <v>45383</v>
      </c>
      <c r="C631">
        <v>157013</v>
      </c>
      <c r="D631">
        <v>10696</v>
      </c>
      <c r="E631">
        <v>1.61</v>
      </c>
      <c r="F631">
        <v>0.65</v>
      </c>
      <c r="G631">
        <v>2.95</v>
      </c>
      <c r="H631">
        <v>630</v>
      </c>
      <c r="I631">
        <v>0</v>
      </c>
      <c r="K631">
        <v>0</v>
      </c>
      <c r="L631">
        <v>12</v>
      </c>
      <c r="M631" t="s">
        <v>15</v>
      </c>
      <c r="N631">
        <v>0</v>
      </c>
      <c r="O631">
        <f t="shared" si="18"/>
        <v>0</v>
      </c>
      <c r="P631">
        <f t="shared" si="19"/>
        <v>0</v>
      </c>
    </row>
    <row r="632" spans="1:16">
      <c r="A632">
        <v>631</v>
      </c>
      <c r="B632" s="2">
        <v>45292</v>
      </c>
      <c r="C632">
        <v>68744</v>
      </c>
      <c r="D632">
        <v>32766</v>
      </c>
      <c r="E632">
        <v>2.2799999999999998</v>
      </c>
      <c r="F632">
        <v>0.56999999999999995</v>
      </c>
      <c r="G632">
        <v>1.25</v>
      </c>
      <c r="H632">
        <v>685</v>
      </c>
      <c r="I632">
        <v>0</v>
      </c>
      <c r="K632">
        <v>0</v>
      </c>
      <c r="L632">
        <v>12</v>
      </c>
      <c r="M632" t="s">
        <v>15</v>
      </c>
      <c r="N632">
        <v>0</v>
      </c>
      <c r="O632">
        <f t="shared" si="18"/>
        <v>0</v>
      </c>
      <c r="P632">
        <f t="shared" si="19"/>
        <v>0</v>
      </c>
    </row>
    <row r="633" spans="1:16">
      <c r="A633">
        <v>632</v>
      </c>
      <c r="B633" s="2">
        <v>44927</v>
      </c>
      <c r="C633">
        <v>29403</v>
      </c>
      <c r="D633">
        <v>19740</v>
      </c>
      <c r="E633">
        <v>1.72</v>
      </c>
      <c r="F633">
        <v>0.96</v>
      </c>
      <c r="G633">
        <v>0.73</v>
      </c>
      <c r="H633">
        <v>594</v>
      </c>
      <c r="I633">
        <v>0</v>
      </c>
      <c r="K633">
        <v>0</v>
      </c>
      <c r="L633">
        <v>12</v>
      </c>
      <c r="M633" t="s">
        <v>14</v>
      </c>
      <c r="N633">
        <v>0.35</v>
      </c>
      <c r="O633">
        <f t="shared" si="18"/>
        <v>0</v>
      </c>
      <c r="P633">
        <f t="shared" si="19"/>
        <v>0</v>
      </c>
    </row>
    <row r="634" spans="1:16">
      <c r="A634">
        <v>633</v>
      </c>
      <c r="B634" s="2">
        <v>45566</v>
      </c>
      <c r="C634">
        <v>7154</v>
      </c>
      <c r="D634">
        <v>6136</v>
      </c>
      <c r="E634">
        <v>1.22</v>
      </c>
      <c r="F634">
        <v>0.91</v>
      </c>
      <c r="G634">
        <v>1.5</v>
      </c>
      <c r="H634">
        <v>688</v>
      </c>
      <c r="I634">
        <v>0</v>
      </c>
      <c r="K634">
        <v>0</v>
      </c>
      <c r="L634">
        <v>6</v>
      </c>
      <c r="M634" t="s">
        <v>15</v>
      </c>
      <c r="N634">
        <v>0</v>
      </c>
      <c r="O634">
        <f t="shared" si="18"/>
        <v>0</v>
      </c>
      <c r="P634">
        <f t="shared" si="19"/>
        <v>0</v>
      </c>
    </row>
    <row r="635" spans="1:16">
      <c r="A635">
        <v>634</v>
      </c>
      <c r="B635" s="2">
        <v>45505</v>
      </c>
      <c r="D635">
        <v>15876</v>
      </c>
      <c r="E635">
        <v>1.8</v>
      </c>
      <c r="F635">
        <v>1.27</v>
      </c>
      <c r="G635">
        <v>0.21</v>
      </c>
      <c r="H635">
        <v>728</v>
      </c>
      <c r="I635">
        <v>0</v>
      </c>
      <c r="K635">
        <v>0</v>
      </c>
      <c r="L635">
        <v>6</v>
      </c>
      <c r="M635" t="s">
        <v>15</v>
      </c>
      <c r="N635">
        <v>0.15</v>
      </c>
      <c r="O635">
        <f t="shared" si="18"/>
        <v>0</v>
      </c>
      <c r="P635">
        <f t="shared" si="19"/>
        <v>0</v>
      </c>
    </row>
    <row r="636" spans="1:16">
      <c r="A636">
        <v>635</v>
      </c>
      <c r="B636" s="2">
        <v>45413</v>
      </c>
      <c r="C636">
        <v>14717</v>
      </c>
      <c r="D636">
        <v>18935</v>
      </c>
      <c r="E636">
        <v>1.3</v>
      </c>
      <c r="F636">
        <v>0.75</v>
      </c>
      <c r="G636">
        <v>1.3</v>
      </c>
      <c r="H636">
        <v>611</v>
      </c>
      <c r="I636">
        <v>1</v>
      </c>
      <c r="K636">
        <v>0</v>
      </c>
      <c r="L636">
        <v>12</v>
      </c>
      <c r="M636" t="s">
        <v>15</v>
      </c>
      <c r="N636">
        <v>0</v>
      </c>
      <c r="O636">
        <f t="shared" si="18"/>
        <v>0</v>
      </c>
      <c r="P636">
        <f t="shared" si="19"/>
        <v>1</v>
      </c>
    </row>
    <row r="637" spans="1:16">
      <c r="A637">
        <v>636</v>
      </c>
      <c r="B637" s="2">
        <v>45108</v>
      </c>
      <c r="C637">
        <v>12463</v>
      </c>
      <c r="D637">
        <v>29676</v>
      </c>
      <c r="F637">
        <v>0.25</v>
      </c>
      <c r="G637">
        <v>1.36</v>
      </c>
      <c r="H637">
        <v>596</v>
      </c>
      <c r="I637">
        <v>0</v>
      </c>
      <c r="K637">
        <v>0</v>
      </c>
      <c r="L637">
        <v>12</v>
      </c>
      <c r="M637" t="s">
        <v>14</v>
      </c>
      <c r="N637">
        <v>0.2</v>
      </c>
      <c r="O637">
        <f t="shared" si="18"/>
        <v>0</v>
      </c>
      <c r="P637">
        <f t="shared" si="19"/>
        <v>0</v>
      </c>
    </row>
    <row r="638" spans="1:16">
      <c r="A638">
        <v>637</v>
      </c>
      <c r="B638" s="2">
        <v>45292</v>
      </c>
      <c r="C638">
        <v>70592</v>
      </c>
      <c r="D638">
        <v>40392</v>
      </c>
      <c r="E638">
        <v>0.92</v>
      </c>
      <c r="F638">
        <v>0.67</v>
      </c>
      <c r="G638">
        <v>1.79</v>
      </c>
      <c r="H638">
        <v>767</v>
      </c>
      <c r="I638">
        <v>0</v>
      </c>
      <c r="K638">
        <v>0</v>
      </c>
      <c r="L638">
        <v>12</v>
      </c>
      <c r="M638" t="s">
        <v>15</v>
      </c>
      <c r="N638">
        <v>0.3</v>
      </c>
      <c r="O638">
        <f t="shared" si="18"/>
        <v>0</v>
      </c>
      <c r="P638">
        <f t="shared" si="19"/>
        <v>0</v>
      </c>
    </row>
    <row r="639" spans="1:16">
      <c r="A639">
        <v>638</v>
      </c>
      <c r="B639" s="2">
        <v>45017</v>
      </c>
      <c r="C639">
        <v>177343</v>
      </c>
      <c r="D639">
        <v>6565</v>
      </c>
      <c r="E639">
        <v>0.59</v>
      </c>
      <c r="F639">
        <v>1.58</v>
      </c>
      <c r="G639">
        <v>1.89</v>
      </c>
      <c r="H639">
        <v>646</v>
      </c>
      <c r="I639">
        <v>0</v>
      </c>
      <c r="K639">
        <v>0</v>
      </c>
      <c r="L639">
        <v>12</v>
      </c>
      <c r="M639" t="s">
        <v>14</v>
      </c>
      <c r="N639">
        <v>0.3</v>
      </c>
      <c r="O639">
        <f t="shared" si="18"/>
        <v>0</v>
      </c>
      <c r="P639">
        <f t="shared" si="19"/>
        <v>0</v>
      </c>
    </row>
    <row r="640" spans="1:16">
      <c r="A640">
        <v>639</v>
      </c>
      <c r="B640" s="2">
        <v>45017</v>
      </c>
      <c r="D640">
        <v>7573</v>
      </c>
      <c r="E640">
        <v>1.34</v>
      </c>
      <c r="F640">
        <v>0.73</v>
      </c>
      <c r="G640">
        <v>1.07</v>
      </c>
      <c r="H640">
        <v>742</v>
      </c>
      <c r="I640">
        <v>0</v>
      </c>
      <c r="K640">
        <v>0</v>
      </c>
      <c r="L640">
        <v>18</v>
      </c>
      <c r="M640" t="s">
        <v>14</v>
      </c>
      <c r="N640">
        <v>0</v>
      </c>
      <c r="O640">
        <f t="shared" si="18"/>
        <v>0</v>
      </c>
      <c r="P640">
        <f t="shared" si="19"/>
        <v>0</v>
      </c>
    </row>
    <row r="641" spans="1:16">
      <c r="A641">
        <v>640</v>
      </c>
      <c r="B641" s="2">
        <v>45078</v>
      </c>
      <c r="C641">
        <v>52394</v>
      </c>
      <c r="D641">
        <v>5540</v>
      </c>
      <c r="E641">
        <v>1.64</v>
      </c>
      <c r="F641">
        <v>0.76</v>
      </c>
      <c r="G641">
        <v>1.27</v>
      </c>
      <c r="H641">
        <v>672</v>
      </c>
      <c r="I641">
        <v>0</v>
      </c>
      <c r="K641">
        <v>0</v>
      </c>
      <c r="L641">
        <v>12</v>
      </c>
      <c r="M641" t="s">
        <v>14</v>
      </c>
      <c r="N641">
        <v>0</v>
      </c>
      <c r="O641">
        <f t="shared" si="18"/>
        <v>0</v>
      </c>
      <c r="P641">
        <f t="shared" si="19"/>
        <v>0</v>
      </c>
    </row>
    <row r="642" spans="1:16">
      <c r="A642">
        <v>641</v>
      </c>
      <c r="B642" s="2">
        <v>45474</v>
      </c>
      <c r="C642">
        <v>53455</v>
      </c>
      <c r="D642">
        <v>11341</v>
      </c>
      <c r="E642">
        <v>1.5</v>
      </c>
      <c r="F642">
        <v>1.8</v>
      </c>
      <c r="G642">
        <v>0.93</v>
      </c>
      <c r="H642">
        <v>671</v>
      </c>
      <c r="I642">
        <v>0</v>
      </c>
      <c r="K642">
        <v>0</v>
      </c>
      <c r="L642">
        <v>12</v>
      </c>
      <c r="M642" t="s">
        <v>15</v>
      </c>
      <c r="N642">
        <v>0</v>
      </c>
      <c r="O642">
        <f t="shared" si="18"/>
        <v>0</v>
      </c>
      <c r="P642">
        <f t="shared" si="19"/>
        <v>0</v>
      </c>
    </row>
    <row r="643" spans="1:16">
      <c r="A643">
        <v>642</v>
      </c>
      <c r="B643" s="2">
        <v>45261</v>
      </c>
      <c r="C643">
        <v>63242</v>
      </c>
      <c r="D643">
        <v>18517</v>
      </c>
      <c r="E643">
        <v>1.32</v>
      </c>
      <c r="F643">
        <v>0.55000000000000004</v>
      </c>
      <c r="G643">
        <v>0.73</v>
      </c>
      <c r="H643">
        <v>704</v>
      </c>
      <c r="I643">
        <v>1</v>
      </c>
      <c r="J643">
        <v>3022</v>
      </c>
      <c r="K643">
        <v>1</v>
      </c>
      <c r="L643">
        <v>12</v>
      </c>
      <c r="M643" t="s">
        <v>14</v>
      </c>
      <c r="N643">
        <v>0.15</v>
      </c>
      <c r="O643">
        <f t="shared" ref="O643:O706" si="20">IF(J643="",0,1)</f>
        <v>1</v>
      </c>
      <c r="P643">
        <f t="shared" ref="P643:P706" si="21">IF(I643=K643,0,1)</f>
        <v>0</v>
      </c>
    </row>
    <row r="644" spans="1:16">
      <c r="A644">
        <v>643</v>
      </c>
      <c r="B644" s="2">
        <v>45566</v>
      </c>
      <c r="C644">
        <v>59475</v>
      </c>
      <c r="D644">
        <v>26666</v>
      </c>
      <c r="E644">
        <v>1.03</v>
      </c>
      <c r="F644">
        <v>0.31</v>
      </c>
      <c r="G644">
        <v>1.52</v>
      </c>
      <c r="H644">
        <v>631</v>
      </c>
      <c r="I644">
        <v>0</v>
      </c>
      <c r="K644">
        <v>0</v>
      </c>
      <c r="L644">
        <v>18</v>
      </c>
      <c r="M644" t="s">
        <v>15</v>
      </c>
      <c r="N644">
        <v>0</v>
      </c>
      <c r="O644">
        <f t="shared" si="20"/>
        <v>0</v>
      </c>
      <c r="P644">
        <f t="shared" si="21"/>
        <v>0</v>
      </c>
    </row>
    <row r="645" spans="1:16">
      <c r="A645">
        <v>644</v>
      </c>
      <c r="B645" s="2">
        <v>45108</v>
      </c>
      <c r="C645">
        <v>43598</v>
      </c>
      <c r="D645">
        <v>12668</v>
      </c>
      <c r="E645">
        <v>1.88</v>
      </c>
      <c r="F645">
        <v>0.81</v>
      </c>
      <c r="G645">
        <v>0.65</v>
      </c>
      <c r="H645">
        <v>687</v>
      </c>
      <c r="I645">
        <v>0</v>
      </c>
      <c r="K645">
        <v>0</v>
      </c>
      <c r="L645">
        <v>6</v>
      </c>
      <c r="M645" t="s">
        <v>14</v>
      </c>
      <c r="N645">
        <v>0.15</v>
      </c>
      <c r="O645">
        <f t="shared" si="20"/>
        <v>0</v>
      </c>
      <c r="P645">
        <f t="shared" si="21"/>
        <v>0</v>
      </c>
    </row>
    <row r="646" spans="1:16">
      <c r="A646">
        <v>645</v>
      </c>
      <c r="B646" s="2">
        <v>45200</v>
      </c>
      <c r="C646">
        <v>38860</v>
      </c>
      <c r="D646">
        <v>10680</v>
      </c>
      <c r="E646">
        <v>0.83</v>
      </c>
      <c r="F646">
        <v>0.64</v>
      </c>
      <c r="G646">
        <v>1.1200000000000001</v>
      </c>
      <c r="H646">
        <v>659</v>
      </c>
      <c r="I646">
        <v>0</v>
      </c>
      <c r="K646">
        <v>0</v>
      </c>
      <c r="L646">
        <v>6</v>
      </c>
      <c r="M646" t="s">
        <v>14</v>
      </c>
      <c r="N646">
        <v>0.3</v>
      </c>
      <c r="O646">
        <f t="shared" si="20"/>
        <v>0</v>
      </c>
      <c r="P646">
        <f t="shared" si="21"/>
        <v>0</v>
      </c>
    </row>
    <row r="647" spans="1:16">
      <c r="A647">
        <v>646</v>
      </c>
      <c r="B647" s="2">
        <v>45474</v>
      </c>
      <c r="C647">
        <v>34868</v>
      </c>
      <c r="D647">
        <v>14857</v>
      </c>
      <c r="E647">
        <v>1.98</v>
      </c>
      <c r="F647">
        <v>0.46</v>
      </c>
      <c r="G647">
        <v>0.8</v>
      </c>
      <c r="H647">
        <v>607</v>
      </c>
      <c r="I647">
        <v>0</v>
      </c>
      <c r="K647">
        <v>0</v>
      </c>
      <c r="L647">
        <v>6</v>
      </c>
      <c r="M647" t="s">
        <v>15</v>
      </c>
      <c r="N647">
        <v>0</v>
      </c>
      <c r="O647">
        <f t="shared" si="20"/>
        <v>0</v>
      </c>
      <c r="P647">
        <f t="shared" si="21"/>
        <v>0</v>
      </c>
    </row>
    <row r="648" spans="1:16">
      <c r="A648">
        <v>647</v>
      </c>
      <c r="B648" s="2">
        <v>45108</v>
      </c>
      <c r="C648">
        <v>22246</v>
      </c>
      <c r="D648">
        <v>7446</v>
      </c>
      <c r="F648">
        <v>0.8</v>
      </c>
      <c r="G648">
        <v>1.65</v>
      </c>
      <c r="H648">
        <v>699</v>
      </c>
      <c r="I648">
        <v>0</v>
      </c>
      <c r="K648">
        <v>0</v>
      </c>
      <c r="L648">
        <v>12</v>
      </c>
      <c r="M648" t="s">
        <v>14</v>
      </c>
      <c r="N648">
        <v>0</v>
      </c>
      <c r="O648">
        <f t="shared" si="20"/>
        <v>0</v>
      </c>
      <c r="P648">
        <f t="shared" si="21"/>
        <v>0</v>
      </c>
    </row>
    <row r="649" spans="1:16">
      <c r="A649">
        <v>648</v>
      </c>
      <c r="B649" s="2">
        <v>44986</v>
      </c>
      <c r="C649">
        <v>30259</v>
      </c>
      <c r="D649">
        <v>57681</v>
      </c>
      <c r="E649">
        <v>1.1399999999999999</v>
      </c>
      <c r="F649">
        <v>1.28</v>
      </c>
      <c r="G649">
        <v>2.34</v>
      </c>
      <c r="H649">
        <v>666</v>
      </c>
      <c r="I649">
        <v>0</v>
      </c>
      <c r="K649">
        <v>0</v>
      </c>
      <c r="L649">
        <v>6</v>
      </c>
      <c r="M649" t="s">
        <v>14</v>
      </c>
      <c r="N649">
        <v>0</v>
      </c>
      <c r="O649">
        <f t="shared" si="20"/>
        <v>0</v>
      </c>
      <c r="P649">
        <f t="shared" si="21"/>
        <v>0</v>
      </c>
    </row>
    <row r="650" spans="1:16">
      <c r="A650">
        <v>649</v>
      </c>
      <c r="B650" s="2">
        <v>45292</v>
      </c>
      <c r="C650">
        <v>12083</v>
      </c>
      <c r="D650">
        <v>4336</v>
      </c>
      <c r="E650">
        <v>0.74</v>
      </c>
      <c r="F650">
        <v>0.9</v>
      </c>
      <c r="G650">
        <v>0.63</v>
      </c>
      <c r="H650">
        <v>671</v>
      </c>
      <c r="I650">
        <v>0</v>
      </c>
      <c r="K650">
        <v>0</v>
      </c>
      <c r="L650">
        <v>18</v>
      </c>
      <c r="M650" t="s">
        <v>15</v>
      </c>
      <c r="N650">
        <v>0.45</v>
      </c>
      <c r="O650">
        <f t="shared" si="20"/>
        <v>0</v>
      </c>
      <c r="P650">
        <f t="shared" si="21"/>
        <v>0</v>
      </c>
    </row>
    <row r="651" spans="1:16">
      <c r="A651">
        <v>650</v>
      </c>
      <c r="B651" s="2">
        <v>45292</v>
      </c>
      <c r="C651">
        <v>34067</v>
      </c>
      <c r="D651">
        <v>15204</v>
      </c>
      <c r="E651">
        <v>1.27</v>
      </c>
      <c r="F651">
        <v>1.1200000000000001</v>
      </c>
      <c r="G651">
        <v>0.33</v>
      </c>
      <c r="H651">
        <v>613</v>
      </c>
      <c r="I651">
        <v>1</v>
      </c>
      <c r="J651">
        <v>27195</v>
      </c>
      <c r="K651">
        <v>1</v>
      </c>
      <c r="L651">
        <v>18</v>
      </c>
      <c r="M651" t="s">
        <v>15</v>
      </c>
      <c r="N651">
        <v>0.15</v>
      </c>
      <c r="O651">
        <f t="shared" si="20"/>
        <v>1</v>
      </c>
      <c r="P651">
        <f t="shared" si="21"/>
        <v>0</v>
      </c>
    </row>
    <row r="652" spans="1:16">
      <c r="A652">
        <v>651</v>
      </c>
      <c r="B652" s="2">
        <v>45444</v>
      </c>
      <c r="C652">
        <v>19099</v>
      </c>
      <c r="D652">
        <v>55079</v>
      </c>
      <c r="F652">
        <v>3.22</v>
      </c>
      <c r="G652">
        <v>1.28</v>
      </c>
      <c r="H652">
        <v>768</v>
      </c>
      <c r="I652">
        <v>0</v>
      </c>
      <c r="K652">
        <v>0</v>
      </c>
      <c r="L652">
        <v>12</v>
      </c>
      <c r="M652" t="s">
        <v>15</v>
      </c>
      <c r="N652">
        <v>0.35</v>
      </c>
      <c r="O652">
        <f t="shared" si="20"/>
        <v>0</v>
      </c>
      <c r="P652">
        <f t="shared" si="21"/>
        <v>0</v>
      </c>
    </row>
    <row r="653" spans="1:16">
      <c r="A653">
        <v>652</v>
      </c>
      <c r="B653" s="2">
        <v>45505</v>
      </c>
      <c r="C653">
        <v>17724</v>
      </c>
      <c r="D653">
        <v>13423</v>
      </c>
      <c r="E653">
        <v>1.83</v>
      </c>
      <c r="F653">
        <v>0.71</v>
      </c>
      <c r="G653">
        <v>1.36</v>
      </c>
      <c r="H653">
        <v>728</v>
      </c>
      <c r="I653">
        <v>0</v>
      </c>
      <c r="K653">
        <v>0</v>
      </c>
      <c r="L653">
        <v>12</v>
      </c>
      <c r="M653" t="s">
        <v>15</v>
      </c>
      <c r="N653">
        <v>0</v>
      </c>
      <c r="O653">
        <f t="shared" si="20"/>
        <v>0</v>
      </c>
      <c r="P653">
        <f t="shared" si="21"/>
        <v>0</v>
      </c>
    </row>
    <row r="654" spans="1:16">
      <c r="A654">
        <v>653</v>
      </c>
      <c r="B654" s="2">
        <v>45139</v>
      </c>
      <c r="C654">
        <v>40820</v>
      </c>
      <c r="D654">
        <v>11696</v>
      </c>
      <c r="E654">
        <v>2.09</v>
      </c>
      <c r="F654">
        <v>1.1000000000000001</v>
      </c>
      <c r="G654">
        <v>1.47</v>
      </c>
      <c r="I654">
        <v>0</v>
      </c>
      <c r="K654">
        <v>0</v>
      </c>
      <c r="L654">
        <v>12</v>
      </c>
      <c r="M654" t="s">
        <v>14</v>
      </c>
      <c r="N654">
        <v>0</v>
      </c>
      <c r="O654">
        <f t="shared" si="20"/>
        <v>0</v>
      </c>
      <c r="P654">
        <f t="shared" si="21"/>
        <v>0</v>
      </c>
    </row>
    <row r="655" spans="1:16">
      <c r="A655">
        <v>654</v>
      </c>
      <c r="B655" s="2">
        <v>45170</v>
      </c>
      <c r="C655">
        <v>89752</v>
      </c>
      <c r="D655">
        <v>10402</v>
      </c>
      <c r="E655">
        <v>1.84</v>
      </c>
      <c r="F655">
        <v>0.63</v>
      </c>
      <c r="G655">
        <v>1.1000000000000001</v>
      </c>
      <c r="H655">
        <v>663</v>
      </c>
      <c r="I655">
        <v>0</v>
      </c>
      <c r="K655">
        <v>0</v>
      </c>
      <c r="L655">
        <v>6</v>
      </c>
      <c r="M655" t="s">
        <v>14</v>
      </c>
      <c r="N655">
        <v>0</v>
      </c>
      <c r="O655">
        <f t="shared" si="20"/>
        <v>0</v>
      </c>
      <c r="P655">
        <f t="shared" si="21"/>
        <v>0</v>
      </c>
    </row>
    <row r="656" spans="1:16">
      <c r="A656">
        <v>655</v>
      </c>
      <c r="B656" s="2">
        <v>45108</v>
      </c>
      <c r="C656">
        <v>65967</v>
      </c>
      <c r="D656">
        <v>11775</v>
      </c>
      <c r="E656">
        <v>0.94</v>
      </c>
      <c r="F656">
        <v>0.5</v>
      </c>
      <c r="G656">
        <v>1.24</v>
      </c>
      <c r="H656">
        <v>585</v>
      </c>
      <c r="I656">
        <v>0</v>
      </c>
      <c r="K656">
        <v>0</v>
      </c>
      <c r="L656">
        <v>12</v>
      </c>
      <c r="M656" t="s">
        <v>14</v>
      </c>
      <c r="N656">
        <v>0.5</v>
      </c>
      <c r="O656">
        <f t="shared" si="20"/>
        <v>0</v>
      </c>
      <c r="P656">
        <f t="shared" si="21"/>
        <v>0</v>
      </c>
    </row>
    <row r="657" spans="1:16">
      <c r="A657">
        <v>656</v>
      </c>
      <c r="B657" s="2">
        <v>44927</v>
      </c>
      <c r="C657">
        <v>13084</v>
      </c>
      <c r="D657">
        <v>34926</v>
      </c>
      <c r="E657">
        <v>1.37</v>
      </c>
      <c r="F657">
        <v>0.6</v>
      </c>
      <c r="G657">
        <v>1.55</v>
      </c>
      <c r="H657">
        <v>787</v>
      </c>
      <c r="I657">
        <v>1</v>
      </c>
      <c r="J657">
        <v>10342</v>
      </c>
      <c r="K657">
        <v>1</v>
      </c>
      <c r="L657">
        <v>18</v>
      </c>
      <c r="M657" t="s">
        <v>14</v>
      </c>
      <c r="N657">
        <v>0</v>
      </c>
      <c r="O657">
        <f t="shared" si="20"/>
        <v>1</v>
      </c>
      <c r="P657">
        <f t="shared" si="21"/>
        <v>0</v>
      </c>
    </row>
    <row r="658" spans="1:16">
      <c r="A658">
        <v>657</v>
      </c>
      <c r="B658" s="2">
        <v>44986</v>
      </c>
      <c r="C658">
        <v>19087</v>
      </c>
      <c r="D658">
        <v>2840</v>
      </c>
      <c r="E658">
        <v>1.1200000000000001</v>
      </c>
      <c r="F658">
        <v>0.65</v>
      </c>
      <c r="G658">
        <v>1.92</v>
      </c>
      <c r="H658">
        <v>677</v>
      </c>
      <c r="I658">
        <v>0</v>
      </c>
      <c r="K658">
        <v>0</v>
      </c>
      <c r="L658">
        <v>12</v>
      </c>
      <c r="M658" t="s">
        <v>14</v>
      </c>
      <c r="N658">
        <v>0</v>
      </c>
      <c r="O658">
        <f t="shared" si="20"/>
        <v>0</v>
      </c>
      <c r="P658">
        <f t="shared" si="21"/>
        <v>0</v>
      </c>
    </row>
    <row r="659" spans="1:16">
      <c r="A659">
        <v>658</v>
      </c>
      <c r="B659" s="2">
        <v>45292</v>
      </c>
      <c r="C659">
        <v>66937</v>
      </c>
      <c r="D659">
        <v>39081</v>
      </c>
      <c r="E659">
        <v>2.2799999999999998</v>
      </c>
      <c r="F659">
        <v>1.1599999999999999</v>
      </c>
      <c r="G659">
        <v>0.27</v>
      </c>
      <c r="H659">
        <v>639</v>
      </c>
      <c r="I659">
        <v>0</v>
      </c>
      <c r="K659">
        <v>0</v>
      </c>
      <c r="L659">
        <v>12</v>
      </c>
      <c r="M659" t="s">
        <v>15</v>
      </c>
      <c r="N659">
        <v>0.15</v>
      </c>
      <c r="O659">
        <f t="shared" si="20"/>
        <v>0</v>
      </c>
      <c r="P659">
        <f t="shared" si="21"/>
        <v>0</v>
      </c>
    </row>
    <row r="660" spans="1:16">
      <c r="A660">
        <v>659</v>
      </c>
      <c r="B660" s="2">
        <v>45413</v>
      </c>
      <c r="C660">
        <v>19175</v>
      </c>
      <c r="D660">
        <v>4931</v>
      </c>
      <c r="E660">
        <v>0.89</v>
      </c>
      <c r="F660">
        <v>4.68</v>
      </c>
      <c r="G660">
        <v>1.1499999999999999</v>
      </c>
      <c r="H660">
        <v>703</v>
      </c>
      <c r="I660">
        <v>0</v>
      </c>
      <c r="K660">
        <v>0</v>
      </c>
      <c r="L660">
        <v>12</v>
      </c>
      <c r="M660" t="s">
        <v>15</v>
      </c>
      <c r="N660">
        <v>0.64999999999999991</v>
      </c>
      <c r="O660">
        <f t="shared" si="20"/>
        <v>0</v>
      </c>
      <c r="P660">
        <f t="shared" si="21"/>
        <v>0</v>
      </c>
    </row>
    <row r="661" spans="1:16">
      <c r="A661">
        <v>660</v>
      </c>
      <c r="B661" s="2">
        <v>45627</v>
      </c>
      <c r="C661">
        <v>31382</v>
      </c>
      <c r="D661">
        <v>11085</v>
      </c>
      <c r="E661">
        <v>2.04</v>
      </c>
      <c r="F661">
        <v>0.55000000000000004</v>
      </c>
      <c r="G661">
        <v>1.47</v>
      </c>
      <c r="H661">
        <v>744</v>
      </c>
      <c r="I661">
        <v>1</v>
      </c>
      <c r="J661">
        <v>22665</v>
      </c>
      <c r="K661">
        <v>1</v>
      </c>
      <c r="L661">
        <v>18</v>
      </c>
      <c r="M661" t="s">
        <v>15</v>
      </c>
      <c r="N661">
        <v>0</v>
      </c>
      <c r="O661">
        <f t="shared" si="20"/>
        <v>1</v>
      </c>
      <c r="P661">
        <f t="shared" si="21"/>
        <v>0</v>
      </c>
    </row>
    <row r="662" spans="1:16">
      <c r="A662">
        <v>661</v>
      </c>
      <c r="B662" s="2">
        <v>44927</v>
      </c>
      <c r="C662">
        <v>51924</v>
      </c>
      <c r="D662">
        <v>9892</v>
      </c>
      <c r="E662">
        <v>2.04</v>
      </c>
      <c r="F662">
        <v>0.68</v>
      </c>
      <c r="G662">
        <v>0.85</v>
      </c>
      <c r="H662">
        <v>679</v>
      </c>
      <c r="I662">
        <v>0</v>
      </c>
      <c r="K662">
        <v>0</v>
      </c>
      <c r="L662">
        <v>12</v>
      </c>
      <c r="M662" t="s">
        <v>14</v>
      </c>
      <c r="N662">
        <v>0</v>
      </c>
      <c r="O662">
        <f t="shared" si="20"/>
        <v>0</v>
      </c>
      <c r="P662">
        <f t="shared" si="21"/>
        <v>0</v>
      </c>
    </row>
    <row r="663" spans="1:16">
      <c r="A663">
        <v>662</v>
      </c>
      <c r="B663" s="2">
        <v>45078</v>
      </c>
      <c r="C663">
        <v>19352</v>
      </c>
      <c r="D663">
        <v>20171</v>
      </c>
      <c r="E663">
        <v>2.56</v>
      </c>
      <c r="F663">
        <v>0.87</v>
      </c>
      <c r="G663">
        <v>2.2999999999999998</v>
      </c>
      <c r="H663">
        <v>750</v>
      </c>
      <c r="I663">
        <v>0</v>
      </c>
      <c r="K663">
        <v>0</v>
      </c>
      <c r="L663">
        <v>12</v>
      </c>
      <c r="M663" t="s">
        <v>14</v>
      </c>
      <c r="N663">
        <v>0</v>
      </c>
      <c r="O663">
        <f t="shared" si="20"/>
        <v>0</v>
      </c>
      <c r="P663">
        <f t="shared" si="21"/>
        <v>0</v>
      </c>
    </row>
    <row r="664" spans="1:16">
      <c r="A664">
        <v>663</v>
      </c>
      <c r="B664" s="2">
        <v>45536</v>
      </c>
      <c r="C664">
        <v>38890</v>
      </c>
      <c r="D664">
        <v>4365</v>
      </c>
      <c r="E664">
        <v>1.32</v>
      </c>
      <c r="F664">
        <v>1.19</v>
      </c>
      <c r="G664">
        <v>1</v>
      </c>
      <c r="H664">
        <v>740</v>
      </c>
      <c r="I664">
        <v>0</v>
      </c>
      <c r="K664">
        <v>0</v>
      </c>
      <c r="L664">
        <v>18</v>
      </c>
      <c r="M664" t="s">
        <v>15</v>
      </c>
      <c r="N664">
        <v>0</v>
      </c>
      <c r="O664">
        <f t="shared" si="20"/>
        <v>0</v>
      </c>
      <c r="P664">
        <f t="shared" si="21"/>
        <v>0</v>
      </c>
    </row>
    <row r="665" spans="1:16">
      <c r="A665">
        <v>664</v>
      </c>
      <c r="B665" s="2">
        <v>45078</v>
      </c>
      <c r="C665">
        <v>15258</v>
      </c>
      <c r="D665">
        <v>18463</v>
      </c>
      <c r="E665">
        <v>1.94</v>
      </c>
      <c r="F665">
        <v>1.0900000000000001</v>
      </c>
      <c r="G665">
        <v>1.33</v>
      </c>
      <c r="H665">
        <v>621</v>
      </c>
      <c r="I665">
        <v>0</v>
      </c>
      <c r="K665">
        <v>0</v>
      </c>
      <c r="L665">
        <v>12</v>
      </c>
      <c r="M665" t="s">
        <v>14</v>
      </c>
      <c r="N665">
        <v>0</v>
      </c>
      <c r="O665">
        <f t="shared" si="20"/>
        <v>0</v>
      </c>
      <c r="P665">
        <f t="shared" si="21"/>
        <v>0</v>
      </c>
    </row>
    <row r="666" spans="1:16">
      <c r="A666">
        <v>665</v>
      </c>
      <c r="B666" s="2">
        <v>45261</v>
      </c>
      <c r="C666">
        <v>24566</v>
      </c>
      <c r="D666">
        <v>55106</v>
      </c>
      <c r="E666">
        <v>2.8</v>
      </c>
      <c r="F666">
        <v>2.2200000000000002</v>
      </c>
      <c r="G666">
        <v>1.66</v>
      </c>
      <c r="H666">
        <v>643</v>
      </c>
      <c r="I666">
        <v>0</v>
      </c>
      <c r="K666">
        <v>0</v>
      </c>
      <c r="L666">
        <v>6</v>
      </c>
      <c r="M666" t="s">
        <v>14</v>
      </c>
      <c r="N666">
        <v>0.35</v>
      </c>
      <c r="O666">
        <f t="shared" si="20"/>
        <v>0</v>
      </c>
      <c r="P666">
        <f t="shared" si="21"/>
        <v>0</v>
      </c>
    </row>
    <row r="667" spans="1:16">
      <c r="A667">
        <v>666</v>
      </c>
      <c r="B667" s="2">
        <v>45292</v>
      </c>
      <c r="C667">
        <v>44706</v>
      </c>
      <c r="D667">
        <v>5145</v>
      </c>
      <c r="E667">
        <v>1.21</v>
      </c>
      <c r="F667">
        <v>0.17</v>
      </c>
      <c r="G667">
        <v>1.02</v>
      </c>
      <c r="H667">
        <v>733</v>
      </c>
      <c r="I667">
        <v>0</v>
      </c>
      <c r="K667">
        <v>0</v>
      </c>
      <c r="L667">
        <v>12</v>
      </c>
      <c r="M667" t="s">
        <v>15</v>
      </c>
      <c r="N667">
        <v>0</v>
      </c>
      <c r="O667">
        <f t="shared" si="20"/>
        <v>0</v>
      </c>
      <c r="P667">
        <f t="shared" si="21"/>
        <v>0</v>
      </c>
    </row>
    <row r="668" spans="1:16">
      <c r="A668">
        <v>667</v>
      </c>
      <c r="B668" s="2">
        <v>45292</v>
      </c>
      <c r="C668">
        <v>12894</v>
      </c>
      <c r="D668">
        <v>15257</v>
      </c>
      <c r="E668">
        <v>0.71</v>
      </c>
      <c r="F668">
        <v>0.17</v>
      </c>
      <c r="G668">
        <v>0.33</v>
      </c>
      <c r="H668">
        <v>531</v>
      </c>
      <c r="I668">
        <v>0</v>
      </c>
      <c r="K668">
        <v>0</v>
      </c>
      <c r="L668">
        <v>6</v>
      </c>
      <c r="M668" t="s">
        <v>15</v>
      </c>
      <c r="N668">
        <v>0.65</v>
      </c>
      <c r="O668">
        <f t="shared" si="20"/>
        <v>0</v>
      </c>
      <c r="P668">
        <f t="shared" si="21"/>
        <v>0</v>
      </c>
    </row>
    <row r="669" spans="1:16">
      <c r="A669">
        <v>668</v>
      </c>
      <c r="B669" s="2">
        <v>45352</v>
      </c>
      <c r="C669">
        <v>48354</v>
      </c>
      <c r="D669">
        <v>8405</v>
      </c>
      <c r="E669">
        <v>0.52</v>
      </c>
      <c r="F669">
        <v>0.64</v>
      </c>
      <c r="G669">
        <v>1.1100000000000001</v>
      </c>
      <c r="H669">
        <v>672</v>
      </c>
      <c r="I669">
        <v>0</v>
      </c>
      <c r="K669">
        <v>0</v>
      </c>
      <c r="L669">
        <v>18</v>
      </c>
      <c r="M669" t="s">
        <v>15</v>
      </c>
      <c r="N669">
        <v>0.3</v>
      </c>
      <c r="O669">
        <f t="shared" si="20"/>
        <v>0</v>
      </c>
      <c r="P669">
        <f t="shared" si="21"/>
        <v>0</v>
      </c>
    </row>
    <row r="670" spans="1:16">
      <c r="A670">
        <v>669</v>
      </c>
      <c r="B670" s="2">
        <v>45536</v>
      </c>
      <c r="C670">
        <v>35855</v>
      </c>
      <c r="D670">
        <v>18000</v>
      </c>
      <c r="E670">
        <v>1.94</v>
      </c>
      <c r="F670">
        <v>1.95</v>
      </c>
      <c r="G670">
        <v>1.92</v>
      </c>
      <c r="H670">
        <v>601</v>
      </c>
      <c r="I670">
        <v>0</v>
      </c>
      <c r="K670">
        <v>0</v>
      </c>
      <c r="L670">
        <v>12</v>
      </c>
      <c r="M670" t="s">
        <v>15</v>
      </c>
      <c r="N670">
        <v>0</v>
      </c>
      <c r="O670">
        <f t="shared" si="20"/>
        <v>0</v>
      </c>
      <c r="P670">
        <f t="shared" si="21"/>
        <v>0</v>
      </c>
    </row>
    <row r="671" spans="1:16">
      <c r="A671">
        <v>670</v>
      </c>
      <c r="B671" s="2">
        <v>45383</v>
      </c>
      <c r="C671">
        <v>52006</v>
      </c>
      <c r="D671">
        <v>13540</v>
      </c>
      <c r="E671">
        <v>0.51</v>
      </c>
      <c r="F671">
        <v>0.3</v>
      </c>
      <c r="G671">
        <v>1.1599999999999999</v>
      </c>
      <c r="H671">
        <v>654</v>
      </c>
      <c r="I671">
        <v>0</v>
      </c>
      <c r="K671">
        <v>0</v>
      </c>
      <c r="L671">
        <v>12</v>
      </c>
      <c r="M671" t="s">
        <v>15</v>
      </c>
      <c r="N671">
        <v>0.3</v>
      </c>
      <c r="O671">
        <f t="shared" si="20"/>
        <v>0</v>
      </c>
      <c r="P671">
        <f t="shared" si="21"/>
        <v>0</v>
      </c>
    </row>
    <row r="672" spans="1:16">
      <c r="A672">
        <v>671</v>
      </c>
      <c r="B672" s="2">
        <v>45566</v>
      </c>
      <c r="C672">
        <v>42005</v>
      </c>
      <c r="D672">
        <v>8527</v>
      </c>
      <c r="E672">
        <v>1.35</v>
      </c>
      <c r="F672">
        <v>0.11</v>
      </c>
      <c r="G672">
        <v>0.88</v>
      </c>
      <c r="H672">
        <v>664</v>
      </c>
      <c r="I672">
        <v>0</v>
      </c>
      <c r="K672">
        <v>0</v>
      </c>
      <c r="L672">
        <v>6</v>
      </c>
      <c r="M672" t="s">
        <v>15</v>
      </c>
      <c r="N672">
        <v>0</v>
      </c>
      <c r="O672">
        <f t="shared" si="20"/>
        <v>0</v>
      </c>
      <c r="P672">
        <f t="shared" si="21"/>
        <v>0</v>
      </c>
    </row>
    <row r="673" spans="1:16">
      <c r="A673">
        <v>672</v>
      </c>
      <c r="B673" s="2">
        <v>45536</v>
      </c>
      <c r="C673">
        <v>88141</v>
      </c>
      <c r="D673">
        <v>18798</v>
      </c>
      <c r="E673">
        <v>1.79</v>
      </c>
      <c r="F673">
        <v>1.35</v>
      </c>
      <c r="G673">
        <v>1.86</v>
      </c>
      <c r="H673">
        <v>660</v>
      </c>
      <c r="I673">
        <v>0</v>
      </c>
      <c r="K673">
        <v>0</v>
      </c>
      <c r="L673">
        <v>6</v>
      </c>
      <c r="M673" t="s">
        <v>15</v>
      </c>
      <c r="N673">
        <v>0</v>
      </c>
      <c r="O673">
        <f t="shared" si="20"/>
        <v>0</v>
      </c>
      <c r="P673">
        <f t="shared" si="21"/>
        <v>0</v>
      </c>
    </row>
    <row r="674" spans="1:16">
      <c r="A674">
        <v>673</v>
      </c>
      <c r="B674" s="2">
        <v>45231</v>
      </c>
      <c r="C674">
        <v>39395</v>
      </c>
      <c r="D674">
        <v>47242</v>
      </c>
      <c r="E674">
        <v>1.65</v>
      </c>
      <c r="F674">
        <v>1.07</v>
      </c>
      <c r="G674">
        <v>1.17</v>
      </c>
      <c r="H674">
        <v>650</v>
      </c>
      <c r="I674">
        <v>0</v>
      </c>
      <c r="K674">
        <v>0</v>
      </c>
      <c r="L674">
        <v>12</v>
      </c>
      <c r="M674" t="s">
        <v>14</v>
      </c>
      <c r="N674">
        <v>0</v>
      </c>
      <c r="O674">
        <f t="shared" si="20"/>
        <v>0</v>
      </c>
      <c r="P674">
        <f t="shared" si="21"/>
        <v>0</v>
      </c>
    </row>
    <row r="675" spans="1:16">
      <c r="A675">
        <v>674</v>
      </c>
      <c r="B675" s="2">
        <v>45047</v>
      </c>
      <c r="C675">
        <v>27471</v>
      </c>
      <c r="D675">
        <v>11689</v>
      </c>
      <c r="E675">
        <v>1.78</v>
      </c>
      <c r="F675">
        <v>0.42</v>
      </c>
      <c r="G675">
        <v>1.07</v>
      </c>
      <c r="H675">
        <v>620</v>
      </c>
      <c r="I675">
        <v>0</v>
      </c>
      <c r="K675">
        <v>0</v>
      </c>
      <c r="L675">
        <v>12</v>
      </c>
      <c r="M675" t="s">
        <v>14</v>
      </c>
      <c r="N675">
        <v>0</v>
      </c>
      <c r="O675">
        <f t="shared" si="20"/>
        <v>0</v>
      </c>
      <c r="P675">
        <f t="shared" si="21"/>
        <v>0</v>
      </c>
    </row>
    <row r="676" spans="1:16">
      <c r="A676">
        <v>675</v>
      </c>
      <c r="B676" s="2">
        <v>45017</v>
      </c>
      <c r="C676">
        <v>39320</v>
      </c>
      <c r="D676">
        <v>22111</v>
      </c>
      <c r="E676">
        <v>1.67</v>
      </c>
      <c r="F676">
        <v>0.45</v>
      </c>
      <c r="G676">
        <v>1.43</v>
      </c>
      <c r="H676">
        <v>806</v>
      </c>
      <c r="I676">
        <v>0</v>
      </c>
      <c r="K676">
        <v>0</v>
      </c>
      <c r="L676">
        <v>12</v>
      </c>
      <c r="M676" t="s">
        <v>14</v>
      </c>
      <c r="N676">
        <v>0</v>
      </c>
      <c r="O676">
        <f t="shared" si="20"/>
        <v>0</v>
      </c>
      <c r="P676">
        <f t="shared" si="21"/>
        <v>0</v>
      </c>
    </row>
    <row r="677" spans="1:16">
      <c r="A677">
        <v>676</v>
      </c>
      <c r="B677" s="2">
        <v>44986</v>
      </c>
      <c r="C677">
        <v>51696</v>
      </c>
      <c r="D677">
        <v>5403</v>
      </c>
      <c r="E677">
        <v>2.25</v>
      </c>
      <c r="F677">
        <v>0.46</v>
      </c>
      <c r="G677">
        <v>1.77</v>
      </c>
      <c r="H677">
        <v>783</v>
      </c>
      <c r="I677">
        <v>0</v>
      </c>
      <c r="K677">
        <v>0</v>
      </c>
      <c r="L677">
        <v>12</v>
      </c>
      <c r="M677" t="s">
        <v>14</v>
      </c>
      <c r="N677">
        <v>0</v>
      </c>
      <c r="O677">
        <f t="shared" si="20"/>
        <v>0</v>
      </c>
      <c r="P677">
        <f t="shared" si="21"/>
        <v>0</v>
      </c>
    </row>
    <row r="678" spans="1:16">
      <c r="A678">
        <v>677</v>
      </c>
      <c r="B678" s="2">
        <v>45474</v>
      </c>
      <c r="C678">
        <v>37487</v>
      </c>
      <c r="D678">
        <v>6840</v>
      </c>
      <c r="E678">
        <v>1.03</v>
      </c>
      <c r="F678">
        <v>0.98</v>
      </c>
      <c r="G678">
        <v>2.66</v>
      </c>
      <c r="H678">
        <v>616</v>
      </c>
      <c r="I678">
        <v>0</v>
      </c>
      <c r="K678">
        <v>0</v>
      </c>
      <c r="L678">
        <v>12</v>
      </c>
      <c r="M678" t="s">
        <v>15</v>
      </c>
      <c r="N678">
        <v>0</v>
      </c>
      <c r="O678">
        <f t="shared" si="20"/>
        <v>0</v>
      </c>
      <c r="P678">
        <f t="shared" si="21"/>
        <v>0</v>
      </c>
    </row>
    <row r="679" spans="1:16">
      <c r="A679">
        <v>678</v>
      </c>
      <c r="B679" s="2">
        <v>45505</v>
      </c>
      <c r="C679">
        <v>37286</v>
      </c>
      <c r="D679">
        <v>18596</v>
      </c>
      <c r="E679">
        <v>1.18</v>
      </c>
      <c r="F679">
        <v>0.57999999999999996</v>
      </c>
      <c r="G679">
        <v>1.8</v>
      </c>
      <c r="H679">
        <v>767</v>
      </c>
      <c r="I679">
        <v>0</v>
      </c>
      <c r="K679">
        <v>0</v>
      </c>
      <c r="L679">
        <v>12</v>
      </c>
      <c r="M679" t="s">
        <v>15</v>
      </c>
      <c r="N679">
        <v>0</v>
      </c>
      <c r="O679">
        <f t="shared" si="20"/>
        <v>0</v>
      </c>
      <c r="P679">
        <f t="shared" si="21"/>
        <v>0</v>
      </c>
    </row>
    <row r="680" spans="1:16">
      <c r="A680">
        <v>679</v>
      </c>
      <c r="B680" s="2">
        <v>45444</v>
      </c>
      <c r="C680">
        <v>23010</v>
      </c>
      <c r="D680">
        <v>37755</v>
      </c>
      <c r="E680">
        <v>1.1299999999999999</v>
      </c>
      <c r="F680">
        <v>1.28</v>
      </c>
      <c r="G680">
        <v>1.99</v>
      </c>
      <c r="H680">
        <v>658</v>
      </c>
      <c r="I680">
        <v>0</v>
      </c>
      <c r="K680">
        <v>0</v>
      </c>
      <c r="L680">
        <v>6</v>
      </c>
      <c r="M680" t="s">
        <v>15</v>
      </c>
      <c r="N680">
        <v>0</v>
      </c>
      <c r="O680">
        <f t="shared" si="20"/>
        <v>0</v>
      </c>
      <c r="P680">
        <f t="shared" si="21"/>
        <v>0</v>
      </c>
    </row>
    <row r="681" spans="1:16">
      <c r="A681">
        <v>680</v>
      </c>
      <c r="B681" s="2">
        <v>45352</v>
      </c>
      <c r="C681">
        <v>23603</v>
      </c>
      <c r="D681">
        <v>17136</v>
      </c>
      <c r="E681">
        <v>2.0099999999999998</v>
      </c>
      <c r="F681">
        <v>0.12</v>
      </c>
      <c r="G681">
        <v>1.07</v>
      </c>
      <c r="H681">
        <v>687</v>
      </c>
      <c r="I681">
        <v>0</v>
      </c>
      <c r="K681">
        <v>0</v>
      </c>
      <c r="L681">
        <v>12</v>
      </c>
      <c r="M681" t="s">
        <v>15</v>
      </c>
      <c r="N681">
        <v>0</v>
      </c>
      <c r="O681">
        <f t="shared" si="20"/>
        <v>0</v>
      </c>
      <c r="P681">
        <f t="shared" si="21"/>
        <v>0</v>
      </c>
    </row>
    <row r="682" spans="1:16">
      <c r="A682">
        <v>681</v>
      </c>
      <c r="B682" s="2">
        <v>45170</v>
      </c>
      <c r="C682">
        <v>14593</v>
      </c>
      <c r="D682">
        <v>10731</v>
      </c>
      <c r="E682">
        <v>2.0499999999999998</v>
      </c>
      <c r="F682">
        <v>0.5</v>
      </c>
      <c r="G682">
        <v>0.79</v>
      </c>
      <c r="H682">
        <v>677</v>
      </c>
      <c r="I682">
        <v>1</v>
      </c>
      <c r="K682">
        <v>0</v>
      </c>
      <c r="L682">
        <v>18</v>
      </c>
      <c r="M682" t="s">
        <v>14</v>
      </c>
      <c r="N682">
        <v>0.15</v>
      </c>
      <c r="O682">
        <f t="shared" si="20"/>
        <v>0</v>
      </c>
      <c r="P682">
        <f t="shared" si="21"/>
        <v>1</v>
      </c>
    </row>
    <row r="683" spans="1:16">
      <c r="A683">
        <v>682</v>
      </c>
      <c r="B683" s="2">
        <v>45413</v>
      </c>
      <c r="C683">
        <v>113235</v>
      </c>
      <c r="D683">
        <v>13353</v>
      </c>
      <c r="E683">
        <v>1.8</v>
      </c>
      <c r="F683">
        <v>0.41</v>
      </c>
      <c r="G683">
        <v>1.38</v>
      </c>
      <c r="H683">
        <v>644</v>
      </c>
      <c r="I683">
        <v>0</v>
      </c>
      <c r="K683">
        <v>0</v>
      </c>
      <c r="L683">
        <v>12</v>
      </c>
      <c r="M683" t="s">
        <v>15</v>
      </c>
      <c r="N683">
        <v>0</v>
      </c>
      <c r="O683">
        <f t="shared" si="20"/>
        <v>0</v>
      </c>
      <c r="P683">
        <f t="shared" si="21"/>
        <v>0</v>
      </c>
    </row>
    <row r="684" spans="1:16">
      <c r="A684">
        <v>683</v>
      </c>
      <c r="B684" s="2">
        <v>45323</v>
      </c>
      <c r="D684">
        <v>5568</v>
      </c>
      <c r="E684">
        <v>2.2000000000000002</v>
      </c>
      <c r="F684">
        <v>0.76</v>
      </c>
      <c r="G684">
        <v>1.41</v>
      </c>
      <c r="H684">
        <v>734</v>
      </c>
      <c r="I684">
        <v>0</v>
      </c>
      <c r="K684">
        <v>0</v>
      </c>
      <c r="L684">
        <v>12</v>
      </c>
      <c r="M684" t="s">
        <v>15</v>
      </c>
      <c r="N684">
        <v>0</v>
      </c>
      <c r="O684">
        <f t="shared" si="20"/>
        <v>0</v>
      </c>
      <c r="P684">
        <f t="shared" si="21"/>
        <v>0</v>
      </c>
    </row>
    <row r="685" spans="1:16">
      <c r="A685">
        <v>684</v>
      </c>
      <c r="B685" s="2">
        <v>45352</v>
      </c>
      <c r="C685">
        <v>23147</v>
      </c>
      <c r="D685">
        <v>20397</v>
      </c>
      <c r="E685">
        <v>0.9</v>
      </c>
      <c r="F685">
        <v>0.62</v>
      </c>
      <c r="G685">
        <v>0.76</v>
      </c>
      <c r="H685">
        <v>687</v>
      </c>
      <c r="I685">
        <v>0</v>
      </c>
      <c r="K685">
        <v>0</v>
      </c>
      <c r="L685">
        <v>18</v>
      </c>
      <c r="M685" t="s">
        <v>15</v>
      </c>
      <c r="N685">
        <v>0.45</v>
      </c>
      <c r="O685">
        <f t="shared" si="20"/>
        <v>0</v>
      </c>
      <c r="P685">
        <f t="shared" si="21"/>
        <v>0</v>
      </c>
    </row>
    <row r="686" spans="1:16">
      <c r="A686">
        <v>685</v>
      </c>
      <c r="B686" s="2">
        <v>44927</v>
      </c>
      <c r="C686">
        <v>22766</v>
      </c>
      <c r="D686">
        <v>24776</v>
      </c>
      <c r="E686">
        <v>2.4700000000000002</v>
      </c>
      <c r="F686">
        <v>1.58</v>
      </c>
      <c r="G686">
        <v>1.25</v>
      </c>
      <c r="H686">
        <v>654</v>
      </c>
      <c r="I686">
        <v>0</v>
      </c>
      <c r="K686">
        <v>0</v>
      </c>
      <c r="L686">
        <v>12</v>
      </c>
      <c r="M686" t="s">
        <v>14</v>
      </c>
      <c r="N686">
        <v>0</v>
      </c>
      <c r="O686">
        <f t="shared" si="20"/>
        <v>0</v>
      </c>
      <c r="P686">
        <f t="shared" si="21"/>
        <v>0</v>
      </c>
    </row>
    <row r="687" spans="1:16">
      <c r="A687">
        <v>686</v>
      </c>
      <c r="B687" s="2">
        <v>45536</v>
      </c>
      <c r="C687">
        <v>64971</v>
      </c>
      <c r="D687">
        <v>9736</v>
      </c>
      <c r="E687">
        <v>2.39</v>
      </c>
      <c r="F687">
        <v>0.25</v>
      </c>
      <c r="G687">
        <v>1.57</v>
      </c>
      <c r="H687">
        <v>608</v>
      </c>
      <c r="I687">
        <v>0</v>
      </c>
      <c r="K687">
        <v>0</v>
      </c>
      <c r="L687">
        <v>12</v>
      </c>
      <c r="M687" t="s">
        <v>15</v>
      </c>
      <c r="N687">
        <v>0</v>
      </c>
      <c r="O687">
        <f t="shared" si="20"/>
        <v>0</v>
      </c>
      <c r="P687">
        <f t="shared" si="21"/>
        <v>0</v>
      </c>
    </row>
    <row r="688" spans="1:16">
      <c r="A688">
        <v>687</v>
      </c>
      <c r="B688" s="2">
        <v>45566</v>
      </c>
      <c r="C688">
        <v>29980</v>
      </c>
      <c r="D688">
        <v>9614</v>
      </c>
      <c r="E688">
        <v>1.95</v>
      </c>
      <c r="F688">
        <v>0.93</v>
      </c>
      <c r="G688">
        <v>1.55</v>
      </c>
      <c r="H688">
        <v>631</v>
      </c>
      <c r="I688">
        <v>0</v>
      </c>
      <c r="K688">
        <v>0</v>
      </c>
      <c r="L688">
        <v>12</v>
      </c>
      <c r="M688" t="s">
        <v>15</v>
      </c>
      <c r="N688">
        <v>0</v>
      </c>
      <c r="O688">
        <f t="shared" si="20"/>
        <v>0</v>
      </c>
      <c r="P688">
        <f t="shared" si="21"/>
        <v>0</v>
      </c>
    </row>
    <row r="689" spans="1:16">
      <c r="A689">
        <v>688</v>
      </c>
      <c r="B689" s="2">
        <v>45566</v>
      </c>
      <c r="C689">
        <v>81718</v>
      </c>
      <c r="D689">
        <v>16093</v>
      </c>
      <c r="E689">
        <v>2.5299999999999998</v>
      </c>
      <c r="F689">
        <v>1.34</v>
      </c>
      <c r="G689">
        <v>1.63</v>
      </c>
      <c r="H689">
        <v>590</v>
      </c>
      <c r="I689">
        <v>1</v>
      </c>
      <c r="K689">
        <v>0</v>
      </c>
      <c r="L689">
        <v>18</v>
      </c>
      <c r="M689" t="s">
        <v>15</v>
      </c>
      <c r="N689">
        <v>0.2</v>
      </c>
      <c r="O689">
        <f t="shared" si="20"/>
        <v>0</v>
      </c>
      <c r="P689">
        <f t="shared" si="21"/>
        <v>1</v>
      </c>
    </row>
    <row r="690" spans="1:16">
      <c r="A690">
        <v>689</v>
      </c>
      <c r="B690" s="2">
        <v>44986</v>
      </c>
      <c r="C690">
        <v>23441</v>
      </c>
      <c r="D690">
        <v>9841</v>
      </c>
      <c r="E690">
        <v>0.64</v>
      </c>
      <c r="F690">
        <v>3.32</v>
      </c>
      <c r="G690">
        <v>1.51</v>
      </c>
      <c r="H690">
        <v>681</v>
      </c>
      <c r="I690">
        <v>0</v>
      </c>
      <c r="K690">
        <v>0</v>
      </c>
      <c r="L690">
        <v>18</v>
      </c>
      <c r="M690" t="s">
        <v>14</v>
      </c>
      <c r="N690">
        <v>0.64999999999999991</v>
      </c>
      <c r="O690">
        <f t="shared" si="20"/>
        <v>0</v>
      </c>
      <c r="P690">
        <f t="shared" si="21"/>
        <v>0</v>
      </c>
    </row>
    <row r="691" spans="1:16">
      <c r="A691">
        <v>690</v>
      </c>
      <c r="B691" s="2">
        <v>45383</v>
      </c>
      <c r="C691">
        <v>43536</v>
      </c>
      <c r="D691">
        <v>12755</v>
      </c>
      <c r="E691">
        <v>1.26</v>
      </c>
      <c r="F691">
        <v>0.65</v>
      </c>
      <c r="G691">
        <v>1.07</v>
      </c>
      <c r="H691">
        <v>614</v>
      </c>
      <c r="I691">
        <v>0</v>
      </c>
      <c r="K691">
        <v>0</v>
      </c>
      <c r="L691">
        <v>12</v>
      </c>
      <c r="M691" t="s">
        <v>15</v>
      </c>
      <c r="N691">
        <v>0</v>
      </c>
      <c r="O691">
        <f t="shared" si="20"/>
        <v>0</v>
      </c>
      <c r="P691">
        <f t="shared" si="21"/>
        <v>0</v>
      </c>
    </row>
    <row r="692" spans="1:16">
      <c r="A692">
        <v>691</v>
      </c>
      <c r="B692" s="2">
        <v>45597</v>
      </c>
      <c r="C692">
        <v>21100</v>
      </c>
      <c r="D692">
        <v>58093</v>
      </c>
      <c r="E692">
        <v>1.1499999999999999</v>
      </c>
      <c r="F692">
        <v>1.1399999999999999</v>
      </c>
      <c r="G692">
        <v>1.07</v>
      </c>
      <c r="H692">
        <v>665</v>
      </c>
      <c r="I692">
        <v>0</v>
      </c>
      <c r="K692">
        <v>0</v>
      </c>
      <c r="L692">
        <v>18</v>
      </c>
      <c r="M692" t="s">
        <v>15</v>
      </c>
      <c r="N692">
        <v>0</v>
      </c>
      <c r="O692">
        <f t="shared" si="20"/>
        <v>0</v>
      </c>
      <c r="P692">
        <f t="shared" si="21"/>
        <v>0</v>
      </c>
    </row>
    <row r="693" spans="1:16">
      <c r="A693">
        <v>692</v>
      </c>
      <c r="B693" s="2">
        <v>45231</v>
      </c>
      <c r="C693">
        <v>146436</v>
      </c>
      <c r="D693">
        <v>11238</v>
      </c>
      <c r="E693">
        <v>1.95</v>
      </c>
      <c r="F693">
        <v>0.26</v>
      </c>
      <c r="G693">
        <v>0.69</v>
      </c>
      <c r="H693">
        <v>755</v>
      </c>
      <c r="I693">
        <v>0</v>
      </c>
      <c r="K693">
        <v>0</v>
      </c>
      <c r="L693">
        <v>18</v>
      </c>
      <c r="M693" t="s">
        <v>14</v>
      </c>
      <c r="N693">
        <v>0.15</v>
      </c>
      <c r="O693">
        <f t="shared" si="20"/>
        <v>0</v>
      </c>
      <c r="P693">
        <f t="shared" si="21"/>
        <v>0</v>
      </c>
    </row>
    <row r="694" spans="1:16">
      <c r="A694">
        <v>693</v>
      </c>
      <c r="B694" s="2">
        <v>45261</v>
      </c>
      <c r="C694">
        <v>16782</v>
      </c>
      <c r="D694">
        <v>10396</v>
      </c>
      <c r="E694">
        <v>0.97</v>
      </c>
      <c r="F694">
        <v>0.17</v>
      </c>
      <c r="G694">
        <v>2.33</v>
      </c>
      <c r="H694">
        <v>746</v>
      </c>
      <c r="I694">
        <v>0</v>
      </c>
      <c r="K694">
        <v>0</v>
      </c>
      <c r="L694">
        <v>12</v>
      </c>
      <c r="M694" t="s">
        <v>14</v>
      </c>
      <c r="N694">
        <v>0.3</v>
      </c>
      <c r="O694">
        <f t="shared" si="20"/>
        <v>0</v>
      </c>
      <c r="P694">
        <f t="shared" si="21"/>
        <v>0</v>
      </c>
    </row>
    <row r="695" spans="1:16">
      <c r="A695">
        <v>694</v>
      </c>
      <c r="B695" s="2">
        <v>45200</v>
      </c>
      <c r="C695">
        <v>44417</v>
      </c>
      <c r="D695">
        <v>8491</v>
      </c>
      <c r="E695">
        <v>1.97</v>
      </c>
      <c r="F695">
        <v>1.63</v>
      </c>
      <c r="G695">
        <v>1.36</v>
      </c>
      <c r="H695">
        <v>678</v>
      </c>
      <c r="I695">
        <v>0</v>
      </c>
      <c r="K695">
        <v>0</v>
      </c>
      <c r="L695">
        <v>12</v>
      </c>
      <c r="M695" t="s">
        <v>14</v>
      </c>
      <c r="N695">
        <v>0</v>
      </c>
      <c r="O695">
        <f t="shared" si="20"/>
        <v>0</v>
      </c>
      <c r="P695">
        <f t="shared" si="21"/>
        <v>0</v>
      </c>
    </row>
    <row r="696" spans="1:16">
      <c r="A696">
        <v>695</v>
      </c>
      <c r="B696" s="2">
        <v>45383</v>
      </c>
      <c r="C696">
        <v>54828</v>
      </c>
      <c r="D696">
        <v>22492</v>
      </c>
      <c r="E696">
        <v>2.2999999999999998</v>
      </c>
      <c r="F696">
        <v>0.9</v>
      </c>
      <c r="G696">
        <v>1.23</v>
      </c>
      <c r="H696">
        <v>675</v>
      </c>
      <c r="I696">
        <v>0</v>
      </c>
      <c r="K696">
        <v>0</v>
      </c>
      <c r="L696">
        <v>12</v>
      </c>
      <c r="M696" t="s">
        <v>15</v>
      </c>
      <c r="N696">
        <v>0</v>
      </c>
      <c r="O696">
        <f t="shared" si="20"/>
        <v>0</v>
      </c>
      <c r="P696">
        <f t="shared" si="21"/>
        <v>0</v>
      </c>
    </row>
    <row r="697" spans="1:16">
      <c r="A697">
        <v>696</v>
      </c>
      <c r="B697" s="2">
        <v>45139</v>
      </c>
      <c r="C697">
        <v>47523</v>
      </c>
      <c r="D697">
        <v>11768</v>
      </c>
      <c r="E697">
        <v>1.93</v>
      </c>
      <c r="F697">
        <v>2.06</v>
      </c>
      <c r="G697">
        <v>0.84</v>
      </c>
      <c r="H697">
        <v>783</v>
      </c>
      <c r="I697">
        <v>0</v>
      </c>
      <c r="K697">
        <v>0</v>
      </c>
      <c r="L697">
        <v>12</v>
      </c>
      <c r="M697" t="s">
        <v>14</v>
      </c>
      <c r="N697">
        <v>0.35</v>
      </c>
      <c r="O697">
        <f t="shared" si="20"/>
        <v>0</v>
      </c>
      <c r="P697">
        <f t="shared" si="21"/>
        <v>0</v>
      </c>
    </row>
    <row r="698" spans="1:16">
      <c r="A698">
        <v>697</v>
      </c>
      <c r="B698" s="2">
        <v>45078</v>
      </c>
      <c r="C698">
        <v>32195</v>
      </c>
      <c r="D698">
        <v>8480</v>
      </c>
      <c r="E698">
        <v>1.71</v>
      </c>
      <c r="F698">
        <v>0.35</v>
      </c>
      <c r="G698">
        <v>2.96</v>
      </c>
      <c r="I698">
        <v>0</v>
      </c>
      <c r="K698">
        <v>0</v>
      </c>
      <c r="L698">
        <v>12</v>
      </c>
      <c r="M698" t="s">
        <v>14</v>
      </c>
      <c r="N698">
        <v>0</v>
      </c>
      <c r="O698">
        <f t="shared" si="20"/>
        <v>0</v>
      </c>
      <c r="P698">
        <f t="shared" si="21"/>
        <v>0</v>
      </c>
    </row>
    <row r="699" spans="1:16">
      <c r="A699">
        <v>698</v>
      </c>
      <c r="B699" s="2">
        <v>45261</v>
      </c>
      <c r="C699">
        <v>33377</v>
      </c>
      <c r="D699">
        <v>33689</v>
      </c>
      <c r="E699">
        <v>1.01</v>
      </c>
      <c r="F699">
        <v>1.3</v>
      </c>
      <c r="G699">
        <v>0.76</v>
      </c>
      <c r="H699">
        <v>662</v>
      </c>
      <c r="I699">
        <v>0</v>
      </c>
      <c r="K699">
        <v>0</v>
      </c>
      <c r="L699">
        <v>12</v>
      </c>
      <c r="M699" t="s">
        <v>14</v>
      </c>
      <c r="N699">
        <v>0.15</v>
      </c>
      <c r="O699">
        <f t="shared" si="20"/>
        <v>0</v>
      </c>
      <c r="P699">
        <f t="shared" si="21"/>
        <v>0</v>
      </c>
    </row>
    <row r="700" spans="1:16">
      <c r="A700">
        <v>699</v>
      </c>
      <c r="B700" s="2">
        <v>45627</v>
      </c>
      <c r="C700">
        <v>37365</v>
      </c>
      <c r="D700">
        <v>36088</v>
      </c>
      <c r="E700">
        <v>1.08</v>
      </c>
      <c r="F700">
        <v>3.35</v>
      </c>
      <c r="G700">
        <v>1.1100000000000001</v>
      </c>
      <c r="H700">
        <v>602</v>
      </c>
      <c r="I700">
        <v>0</v>
      </c>
      <c r="K700">
        <v>0</v>
      </c>
      <c r="L700">
        <v>12</v>
      </c>
      <c r="M700" t="s">
        <v>15</v>
      </c>
      <c r="N700">
        <v>0.35</v>
      </c>
      <c r="O700">
        <f t="shared" si="20"/>
        <v>0</v>
      </c>
      <c r="P700">
        <f t="shared" si="21"/>
        <v>0</v>
      </c>
    </row>
    <row r="701" spans="1:16">
      <c r="A701">
        <v>700</v>
      </c>
      <c r="B701" s="2">
        <v>45536</v>
      </c>
      <c r="C701">
        <v>33006</v>
      </c>
      <c r="D701">
        <v>8775</v>
      </c>
      <c r="E701">
        <v>2.2400000000000002</v>
      </c>
      <c r="F701">
        <v>1.21</v>
      </c>
      <c r="G701">
        <v>1.58</v>
      </c>
      <c r="H701">
        <v>702</v>
      </c>
      <c r="I701">
        <v>1</v>
      </c>
      <c r="J701">
        <v>10552</v>
      </c>
      <c r="K701">
        <v>1</v>
      </c>
      <c r="L701">
        <v>12</v>
      </c>
      <c r="M701" t="s">
        <v>15</v>
      </c>
      <c r="N701">
        <v>0</v>
      </c>
      <c r="O701">
        <f t="shared" si="20"/>
        <v>1</v>
      </c>
      <c r="P701">
        <f t="shared" si="21"/>
        <v>0</v>
      </c>
    </row>
    <row r="702" spans="1:16">
      <c r="A702">
        <v>701</v>
      </c>
      <c r="B702" s="2">
        <v>45139</v>
      </c>
      <c r="C702">
        <v>67950</v>
      </c>
      <c r="D702">
        <v>3617</v>
      </c>
      <c r="E702">
        <v>1.98</v>
      </c>
      <c r="F702">
        <v>1.1000000000000001</v>
      </c>
      <c r="G702">
        <v>1.68</v>
      </c>
      <c r="H702">
        <v>726</v>
      </c>
      <c r="I702">
        <v>0</v>
      </c>
      <c r="K702">
        <v>0</v>
      </c>
      <c r="L702">
        <v>12</v>
      </c>
      <c r="M702" t="s">
        <v>14</v>
      </c>
      <c r="N702">
        <v>0</v>
      </c>
      <c r="O702">
        <f t="shared" si="20"/>
        <v>0</v>
      </c>
      <c r="P702">
        <f t="shared" si="21"/>
        <v>0</v>
      </c>
    </row>
    <row r="703" spans="1:16">
      <c r="A703">
        <v>702</v>
      </c>
      <c r="B703" s="2">
        <v>45017</v>
      </c>
      <c r="C703">
        <v>152793</v>
      </c>
      <c r="D703">
        <v>27045</v>
      </c>
      <c r="E703">
        <v>1.53</v>
      </c>
      <c r="F703">
        <v>0.91</v>
      </c>
      <c r="G703">
        <v>1.88</v>
      </c>
      <c r="H703">
        <v>645</v>
      </c>
      <c r="I703">
        <v>0</v>
      </c>
      <c r="K703">
        <v>0</v>
      </c>
      <c r="L703">
        <v>6</v>
      </c>
      <c r="M703" t="s">
        <v>14</v>
      </c>
      <c r="N703">
        <v>0</v>
      </c>
      <c r="O703">
        <f t="shared" si="20"/>
        <v>0</v>
      </c>
      <c r="P703">
        <f t="shared" si="21"/>
        <v>0</v>
      </c>
    </row>
    <row r="704" spans="1:16">
      <c r="A704">
        <v>703</v>
      </c>
      <c r="B704" s="2">
        <v>45139</v>
      </c>
      <c r="C704">
        <v>25276</v>
      </c>
      <c r="D704">
        <v>8273</v>
      </c>
      <c r="E704">
        <v>1.32</v>
      </c>
      <c r="F704">
        <v>0.3</v>
      </c>
      <c r="G704">
        <v>2.34</v>
      </c>
      <c r="H704">
        <v>696</v>
      </c>
      <c r="I704">
        <v>0</v>
      </c>
      <c r="K704">
        <v>0</v>
      </c>
      <c r="L704">
        <v>12</v>
      </c>
      <c r="M704" t="s">
        <v>14</v>
      </c>
      <c r="N704">
        <v>0</v>
      </c>
      <c r="O704">
        <f t="shared" si="20"/>
        <v>0</v>
      </c>
      <c r="P704">
        <f t="shared" si="21"/>
        <v>0</v>
      </c>
    </row>
    <row r="705" spans="1:16">
      <c r="A705">
        <v>704</v>
      </c>
      <c r="B705" s="2">
        <v>45444</v>
      </c>
      <c r="C705">
        <v>14908</v>
      </c>
      <c r="D705">
        <v>23236</v>
      </c>
      <c r="E705">
        <v>0.44</v>
      </c>
      <c r="F705">
        <v>2.34</v>
      </c>
      <c r="G705">
        <v>1.63</v>
      </c>
      <c r="H705">
        <v>660</v>
      </c>
      <c r="I705">
        <v>0</v>
      </c>
      <c r="K705">
        <v>0</v>
      </c>
      <c r="L705">
        <v>18</v>
      </c>
      <c r="M705" t="s">
        <v>15</v>
      </c>
      <c r="N705">
        <v>0.64999999999999991</v>
      </c>
      <c r="O705">
        <f t="shared" si="20"/>
        <v>0</v>
      </c>
      <c r="P705">
        <f t="shared" si="21"/>
        <v>0</v>
      </c>
    </row>
    <row r="706" spans="1:16">
      <c r="A706">
        <v>705</v>
      </c>
      <c r="B706" s="2">
        <v>45047</v>
      </c>
      <c r="C706">
        <v>34290</v>
      </c>
      <c r="D706">
        <v>3364</v>
      </c>
      <c r="E706">
        <v>0.96</v>
      </c>
      <c r="F706">
        <v>0.59</v>
      </c>
      <c r="G706">
        <v>0.77</v>
      </c>
      <c r="H706">
        <v>670</v>
      </c>
      <c r="I706">
        <v>0</v>
      </c>
      <c r="K706">
        <v>0</v>
      </c>
      <c r="L706">
        <v>12</v>
      </c>
      <c r="M706" t="s">
        <v>14</v>
      </c>
      <c r="N706">
        <v>0.45</v>
      </c>
      <c r="O706">
        <f t="shared" si="20"/>
        <v>0</v>
      </c>
      <c r="P706">
        <f t="shared" si="21"/>
        <v>0</v>
      </c>
    </row>
    <row r="707" spans="1:16">
      <c r="A707">
        <v>706</v>
      </c>
      <c r="B707" s="2">
        <v>45170</v>
      </c>
      <c r="C707">
        <v>194232</v>
      </c>
      <c r="D707">
        <v>24955</v>
      </c>
      <c r="E707">
        <v>2.6</v>
      </c>
      <c r="F707">
        <v>1.29</v>
      </c>
      <c r="G707">
        <v>1.21</v>
      </c>
      <c r="H707">
        <v>543</v>
      </c>
      <c r="I707">
        <v>1</v>
      </c>
      <c r="K707">
        <v>0</v>
      </c>
      <c r="L707">
        <v>6</v>
      </c>
      <c r="M707" t="s">
        <v>14</v>
      </c>
      <c r="N707">
        <v>0.2</v>
      </c>
      <c r="O707">
        <f t="shared" ref="O707:O770" si="22">IF(J707="",0,1)</f>
        <v>0</v>
      </c>
      <c r="P707">
        <f t="shared" ref="P707:P770" si="23">IF(I707=K707,0,1)</f>
        <v>1</v>
      </c>
    </row>
    <row r="708" spans="1:16">
      <c r="A708">
        <v>707</v>
      </c>
      <c r="B708" s="2">
        <v>45017</v>
      </c>
      <c r="C708">
        <v>21539</v>
      </c>
      <c r="D708">
        <v>5723</v>
      </c>
      <c r="E708">
        <v>0.85</v>
      </c>
      <c r="F708">
        <v>0.3</v>
      </c>
      <c r="G708">
        <v>1.52</v>
      </c>
      <c r="H708">
        <v>668</v>
      </c>
      <c r="I708">
        <v>0</v>
      </c>
      <c r="K708">
        <v>0</v>
      </c>
      <c r="L708">
        <v>18</v>
      </c>
      <c r="M708" t="s">
        <v>14</v>
      </c>
      <c r="N708">
        <v>0.3</v>
      </c>
      <c r="O708">
        <f t="shared" si="22"/>
        <v>0</v>
      </c>
      <c r="P708">
        <f t="shared" si="23"/>
        <v>0</v>
      </c>
    </row>
    <row r="709" spans="1:16">
      <c r="A709">
        <v>708</v>
      </c>
      <c r="B709" s="2">
        <v>45566</v>
      </c>
      <c r="C709">
        <v>105390</v>
      </c>
      <c r="D709">
        <v>22282</v>
      </c>
      <c r="E709">
        <v>1.65</v>
      </c>
      <c r="F709">
        <v>0.4</v>
      </c>
      <c r="G709">
        <v>2.4900000000000002</v>
      </c>
      <c r="H709">
        <v>733</v>
      </c>
      <c r="I709">
        <v>0</v>
      </c>
      <c r="K709">
        <v>0</v>
      </c>
      <c r="L709">
        <v>6</v>
      </c>
      <c r="M709" t="s">
        <v>15</v>
      </c>
      <c r="N709">
        <v>0</v>
      </c>
      <c r="O709">
        <f t="shared" si="22"/>
        <v>0</v>
      </c>
      <c r="P709">
        <f t="shared" si="23"/>
        <v>0</v>
      </c>
    </row>
    <row r="710" spans="1:16">
      <c r="A710">
        <v>709</v>
      </c>
      <c r="B710" s="2">
        <v>45413</v>
      </c>
      <c r="C710">
        <v>108067</v>
      </c>
      <c r="D710">
        <v>13494</v>
      </c>
      <c r="E710">
        <v>2.1</v>
      </c>
      <c r="F710">
        <v>2.4700000000000002</v>
      </c>
      <c r="G710">
        <v>0.57999999999999996</v>
      </c>
      <c r="H710">
        <v>645</v>
      </c>
      <c r="I710">
        <v>0</v>
      </c>
      <c r="K710">
        <v>0</v>
      </c>
      <c r="L710">
        <v>12</v>
      </c>
      <c r="M710" t="s">
        <v>15</v>
      </c>
      <c r="N710">
        <v>0.5</v>
      </c>
      <c r="O710">
        <f t="shared" si="22"/>
        <v>0</v>
      </c>
      <c r="P710">
        <f t="shared" si="23"/>
        <v>0</v>
      </c>
    </row>
    <row r="711" spans="1:16">
      <c r="A711">
        <v>710</v>
      </c>
      <c r="B711" s="2">
        <v>45170</v>
      </c>
      <c r="D711">
        <v>6852</v>
      </c>
      <c r="E711">
        <v>0.86</v>
      </c>
      <c r="F711">
        <v>0.71</v>
      </c>
      <c r="G711">
        <v>2.0099999999999998</v>
      </c>
      <c r="H711">
        <v>683</v>
      </c>
      <c r="I711">
        <v>1</v>
      </c>
      <c r="J711">
        <v>42454</v>
      </c>
      <c r="K711">
        <v>1</v>
      </c>
      <c r="L711">
        <v>18</v>
      </c>
      <c r="M711" t="s">
        <v>14</v>
      </c>
      <c r="N711">
        <v>0.3</v>
      </c>
      <c r="O711">
        <f t="shared" si="22"/>
        <v>1</v>
      </c>
      <c r="P711">
        <f t="shared" si="23"/>
        <v>0</v>
      </c>
    </row>
    <row r="712" spans="1:16">
      <c r="A712">
        <v>711</v>
      </c>
      <c r="B712" s="2">
        <v>44927</v>
      </c>
      <c r="C712">
        <v>52567</v>
      </c>
      <c r="D712">
        <v>10047</v>
      </c>
      <c r="E712">
        <v>1.65</v>
      </c>
      <c r="F712">
        <v>2.5</v>
      </c>
      <c r="G712">
        <v>1.45</v>
      </c>
      <c r="H712">
        <v>638</v>
      </c>
      <c r="I712">
        <v>0</v>
      </c>
      <c r="K712">
        <v>0</v>
      </c>
      <c r="L712">
        <v>12</v>
      </c>
      <c r="M712" t="s">
        <v>14</v>
      </c>
      <c r="N712">
        <v>0.35</v>
      </c>
      <c r="O712">
        <f t="shared" si="22"/>
        <v>0</v>
      </c>
      <c r="P712">
        <f t="shared" si="23"/>
        <v>0</v>
      </c>
    </row>
    <row r="713" spans="1:16">
      <c r="A713">
        <v>712</v>
      </c>
      <c r="B713" s="2">
        <v>45536</v>
      </c>
      <c r="C713">
        <v>104658</v>
      </c>
      <c r="D713">
        <v>21599</v>
      </c>
      <c r="E713">
        <v>2.0699999999999998</v>
      </c>
      <c r="F713">
        <v>0.86</v>
      </c>
      <c r="G713">
        <v>1.81</v>
      </c>
      <c r="H713">
        <v>700</v>
      </c>
      <c r="I713">
        <v>1</v>
      </c>
      <c r="J713">
        <v>9326</v>
      </c>
      <c r="K713">
        <v>1</v>
      </c>
      <c r="L713">
        <v>18</v>
      </c>
      <c r="M713" t="s">
        <v>15</v>
      </c>
      <c r="N713">
        <v>0</v>
      </c>
      <c r="O713">
        <f t="shared" si="22"/>
        <v>1</v>
      </c>
      <c r="P713">
        <f t="shared" si="23"/>
        <v>0</v>
      </c>
    </row>
    <row r="714" spans="1:16">
      <c r="A714">
        <v>713</v>
      </c>
      <c r="B714" s="2">
        <v>45505</v>
      </c>
      <c r="C714">
        <v>28384</v>
      </c>
      <c r="D714">
        <v>14388</v>
      </c>
      <c r="E714">
        <v>1.56</v>
      </c>
      <c r="F714">
        <v>0.25</v>
      </c>
      <c r="G714">
        <v>1.29</v>
      </c>
      <c r="H714">
        <v>668</v>
      </c>
      <c r="I714">
        <v>1</v>
      </c>
      <c r="J714">
        <v>8860</v>
      </c>
      <c r="K714">
        <v>1</v>
      </c>
      <c r="L714">
        <v>12</v>
      </c>
      <c r="M714" t="s">
        <v>15</v>
      </c>
      <c r="N714">
        <v>0</v>
      </c>
      <c r="O714">
        <f t="shared" si="22"/>
        <v>1</v>
      </c>
      <c r="P714">
        <f t="shared" si="23"/>
        <v>0</v>
      </c>
    </row>
    <row r="715" spans="1:16">
      <c r="A715">
        <v>714</v>
      </c>
      <c r="B715" s="2">
        <v>45292</v>
      </c>
      <c r="C715">
        <v>31814</v>
      </c>
      <c r="D715">
        <v>20112</v>
      </c>
      <c r="E715">
        <v>3.13</v>
      </c>
      <c r="F715">
        <v>1.69</v>
      </c>
      <c r="G715">
        <v>0.89</v>
      </c>
      <c r="H715">
        <v>628</v>
      </c>
      <c r="I715">
        <v>0</v>
      </c>
      <c r="K715">
        <v>0</v>
      </c>
      <c r="L715">
        <v>12</v>
      </c>
      <c r="M715" t="s">
        <v>15</v>
      </c>
      <c r="N715">
        <v>0</v>
      </c>
      <c r="O715">
        <f t="shared" si="22"/>
        <v>0</v>
      </c>
      <c r="P715">
        <f t="shared" si="23"/>
        <v>0</v>
      </c>
    </row>
    <row r="716" spans="1:16">
      <c r="A716">
        <v>715</v>
      </c>
      <c r="B716" s="2">
        <v>45383</v>
      </c>
      <c r="C716">
        <v>24882</v>
      </c>
      <c r="D716">
        <v>53290</v>
      </c>
      <c r="E716">
        <v>0.63</v>
      </c>
      <c r="F716">
        <v>0.6</v>
      </c>
      <c r="G716">
        <v>1.76</v>
      </c>
      <c r="H716">
        <v>753</v>
      </c>
      <c r="I716">
        <v>0</v>
      </c>
      <c r="K716">
        <v>0</v>
      </c>
      <c r="L716">
        <v>12</v>
      </c>
      <c r="M716" t="s">
        <v>15</v>
      </c>
      <c r="N716">
        <v>0.3</v>
      </c>
      <c r="O716">
        <f t="shared" si="22"/>
        <v>0</v>
      </c>
      <c r="P716">
        <f t="shared" si="23"/>
        <v>0</v>
      </c>
    </row>
    <row r="717" spans="1:16">
      <c r="A717">
        <v>716</v>
      </c>
      <c r="B717" s="2">
        <v>45292</v>
      </c>
      <c r="C717">
        <v>18777</v>
      </c>
      <c r="D717">
        <v>4469</v>
      </c>
      <c r="E717">
        <v>2.13</v>
      </c>
      <c r="F717">
        <v>1.48</v>
      </c>
      <c r="G717">
        <v>1.71</v>
      </c>
      <c r="H717">
        <v>731</v>
      </c>
      <c r="I717">
        <v>0</v>
      </c>
      <c r="K717">
        <v>0</v>
      </c>
      <c r="L717">
        <v>6</v>
      </c>
      <c r="M717" t="s">
        <v>15</v>
      </c>
      <c r="N717">
        <v>0</v>
      </c>
      <c r="O717">
        <f t="shared" si="22"/>
        <v>0</v>
      </c>
      <c r="P717">
        <f t="shared" si="23"/>
        <v>0</v>
      </c>
    </row>
    <row r="718" spans="1:16">
      <c r="A718">
        <v>717</v>
      </c>
      <c r="B718" s="2">
        <v>45323</v>
      </c>
      <c r="C718">
        <v>23813</v>
      </c>
      <c r="D718">
        <v>41442</v>
      </c>
      <c r="E718">
        <v>1.45</v>
      </c>
      <c r="F718">
        <v>0.92</v>
      </c>
      <c r="G718">
        <v>1.88</v>
      </c>
      <c r="H718">
        <v>647</v>
      </c>
      <c r="I718">
        <v>0</v>
      </c>
      <c r="K718">
        <v>0</v>
      </c>
      <c r="L718">
        <v>18</v>
      </c>
      <c r="M718" t="s">
        <v>15</v>
      </c>
      <c r="N718">
        <v>0</v>
      </c>
      <c r="O718">
        <f t="shared" si="22"/>
        <v>0</v>
      </c>
      <c r="P718">
        <f t="shared" si="23"/>
        <v>0</v>
      </c>
    </row>
    <row r="719" spans="1:16">
      <c r="A719">
        <v>718</v>
      </c>
      <c r="B719" s="2">
        <v>44986</v>
      </c>
      <c r="C719">
        <v>16390</v>
      </c>
      <c r="D719">
        <v>14372</v>
      </c>
      <c r="E719">
        <v>1.97</v>
      </c>
      <c r="F719">
        <v>0.31</v>
      </c>
      <c r="G719">
        <v>1.34</v>
      </c>
      <c r="H719">
        <v>707</v>
      </c>
      <c r="I719">
        <v>0</v>
      </c>
      <c r="K719">
        <v>0</v>
      </c>
      <c r="L719">
        <v>12</v>
      </c>
      <c r="M719" t="s">
        <v>14</v>
      </c>
      <c r="N719">
        <v>0</v>
      </c>
      <c r="O719">
        <f t="shared" si="22"/>
        <v>0</v>
      </c>
      <c r="P719">
        <f t="shared" si="23"/>
        <v>0</v>
      </c>
    </row>
    <row r="720" spans="1:16">
      <c r="A720">
        <v>719</v>
      </c>
      <c r="B720" s="2">
        <v>45078</v>
      </c>
      <c r="C720">
        <v>37129</v>
      </c>
      <c r="D720">
        <v>7121</v>
      </c>
      <c r="E720">
        <v>1.79</v>
      </c>
      <c r="F720">
        <v>1.02</v>
      </c>
      <c r="G720">
        <v>1.02</v>
      </c>
      <c r="H720">
        <v>710</v>
      </c>
      <c r="I720">
        <v>0</v>
      </c>
      <c r="K720">
        <v>0</v>
      </c>
      <c r="L720">
        <v>12</v>
      </c>
      <c r="M720" t="s">
        <v>14</v>
      </c>
      <c r="N720">
        <v>0</v>
      </c>
      <c r="O720">
        <f t="shared" si="22"/>
        <v>0</v>
      </c>
      <c r="P720">
        <f t="shared" si="23"/>
        <v>0</v>
      </c>
    </row>
    <row r="721" spans="1:16">
      <c r="A721">
        <v>720</v>
      </c>
      <c r="B721" s="2">
        <v>45444</v>
      </c>
      <c r="C721">
        <v>22016</v>
      </c>
      <c r="D721">
        <v>5265</v>
      </c>
      <c r="E721">
        <v>1.1499999999999999</v>
      </c>
      <c r="F721">
        <v>4.21</v>
      </c>
      <c r="G721">
        <v>0.49</v>
      </c>
      <c r="H721">
        <v>715</v>
      </c>
      <c r="I721">
        <v>0</v>
      </c>
      <c r="K721">
        <v>0</v>
      </c>
      <c r="L721">
        <v>12</v>
      </c>
      <c r="M721" t="s">
        <v>15</v>
      </c>
      <c r="N721">
        <v>0.5</v>
      </c>
      <c r="O721">
        <f t="shared" si="22"/>
        <v>0</v>
      </c>
      <c r="P721">
        <f t="shared" si="23"/>
        <v>0</v>
      </c>
    </row>
    <row r="722" spans="1:16">
      <c r="A722">
        <v>721</v>
      </c>
      <c r="B722" s="2">
        <v>45474</v>
      </c>
      <c r="C722">
        <v>42275</v>
      </c>
      <c r="D722">
        <v>11703</v>
      </c>
      <c r="F722">
        <v>1.28</v>
      </c>
      <c r="G722">
        <v>1.8</v>
      </c>
      <c r="H722">
        <v>587</v>
      </c>
      <c r="I722">
        <v>0</v>
      </c>
      <c r="K722">
        <v>0</v>
      </c>
      <c r="L722">
        <v>12</v>
      </c>
      <c r="M722" t="s">
        <v>15</v>
      </c>
      <c r="N722">
        <v>0.2</v>
      </c>
      <c r="O722">
        <f t="shared" si="22"/>
        <v>0</v>
      </c>
      <c r="P722">
        <f t="shared" si="23"/>
        <v>0</v>
      </c>
    </row>
    <row r="723" spans="1:16">
      <c r="A723">
        <v>722</v>
      </c>
      <c r="B723" s="2">
        <v>45047</v>
      </c>
      <c r="C723">
        <v>13209</v>
      </c>
      <c r="D723">
        <v>25467</v>
      </c>
      <c r="E723">
        <v>0.53</v>
      </c>
      <c r="F723">
        <v>0.87</v>
      </c>
      <c r="G723">
        <v>1.58</v>
      </c>
      <c r="H723">
        <v>735</v>
      </c>
      <c r="I723">
        <v>0</v>
      </c>
      <c r="K723">
        <v>0</v>
      </c>
      <c r="L723">
        <v>12</v>
      </c>
      <c r="M723" t="s">
        <v>14</v>
      </c>
      <c r="N723">
        <v>0.3</v>
      </c>
      <c r="O723">
        <f t="shared" si="22"/>
        <v>0</v>
      </c>
      <c r="P723">
        <f t="shared" si="23"/>
        <v>0</v>
      </c>
    </row>
    <row r="724" spans="1:16">
      <c r="A724">
        <v>723</v>
      </c>
      <c r="B724" s="2">
        <v>45352</v>
      </c>
      <c r="C724">
        <v>45029</v>
      </c>
      <c r="D724">
        <v>12219</v>
      </c>
      <c r="E724">
        <v>1.88</v>
      </c>
      <c r="F724">
        <v>1.92</v>
      </c>
      <c r="G724">
        <v>0.82</v>
      </c>
      <c r="H724">
        <v>649</v>
      </c>
      <c r="I724">
        <v>0</v>
      </c>
      <c r="K724">
        <v>0</v>
      </c>
      <c r="L724">
        <v>12</v>
      </c>
      <c r="M724" t="s">
        <v>15</v>
      </c>
      <c r="N724">
        <v>0</v>
      </c>
      <c r="O724">
        <f t="shared" si="22"/>
        <v>0</v>
      </c>
      <c r="P724">
        <f t="shared" si="23"/>
        <v>0</v>
      </c>
    </row>
    <row r="725" spans="1:16">
      <c r="A725">
        <v>724</v>
      </c>
      <c r="B725" s="2">
        <v>44958</v>
      </c>
      <c r="C725">
        <v>62430</v>
      </c>
      <c r="D725">
        <v>38477</v>
      </c>
      <c r="E725">
        <v>1.71</v>
      </c>
      <c r="F725">
        <v>1.05</v>
      </c>
      <c r="G725">
        <v>1.05</v>
      </c>
      <c r="H725">
        <v>660</v>
      </c>
      <c r="I725">
        <v>0</v>
      </c>
      <c r="K725">
        <v>0</v>
      </c>
      <c r="L725">
        <v>12</v>
      </c>
      <c r="M725" t="s">
        <v>14</v>
      </c>
      <c r="N725">
        <v>0</v>
      </c>
      <c r="O725">
        <f t="shared" si="22"/>
        <v>0</v>
      </c>
      <c r="P725">
        <f t="shared" si="23"/>
        <v>0</v>
      </c>
    </row>
    <row r="726" spans="1:16">
      <c r="A726">
        <v>725</v>
      </c>
      <c r="B726" s="2">
        <v>45200</v>
      </c>
      <c r="C726">
        <v>9938</v>
      </c>
      <c r="D726">
        <v>4838</v>
      </c>
      <c r="E726">
        <v>1.9</v>
      </c>
      <c r="F726">
        <v>1.05</v>
      </c>
      <c r="G726">
        <v>1.0900000000000001</v>
      </c>
      <c r="H726">
        <v>825</v>
      </c>
      <c r="I726">
        <v>1</v>
      </c>
      <c r="K726">
        <v>0</v>
      </c>
      <c r="L726">
        <v>12</v>
      </c>
      <c r="M726" t="s">
        <v>14</v>
      </c>
      <c r="N726">
        <v>0</v>
      </c>
      <c r="O726">
        <f t="shared" si="22"/>
        <v>0</v>
      </c>
      <c r="P726">
        <f t="shared" si="23"/>
        <v>1</v>
      </c>
    </row>
    <row r="727" spans="1:16">
      <c r="A727">
        <v>726</v>
      </c>
      <c r="B727" s="2">
        <v>45627</v>
      </c>
      <c r="C727">
        <v>46311</v>
      </c>
      <c r="D727">
        <v>13247</v>
      </c>
      <c r="E727">
        <v>2.13</v>
      </c>
      <c r="F727">
        <v>0.42</v>
      </c>
      <c r="G727">
        <v>0.53</v>
      </c>
      <c r="H727">
        <v>697</v>
      </c>
      <c r="I727">
        <v>0</v>
      </c>
      <c r="K727">
        <v>0</v>
      </c>
      <c r="L727">
        <v>6</v>
      </c>
      <c r="M727" t="s">
        <v>15</v>
      </c>
      <c r="N727">
        <v>0.15</v>
      </c>
      <c r="O727">
        <f t="shared" si="22"/>
        <v>0</v>
      </c>
      <c r="P727">
        <f t="shared" si="23"/>
        <v>0</v>
      </c>
    </row>
    <row r="728" spans="1:16">
      <c r="A728">
        <v>727</v>
      </c>
      <c r="B728" s="2">
        <v>45444</v>
      </c>
      <c r="C728">
        <v>80659</v>
      </c>
      <c r="D728">
        <v>5560</v>
      </c>
      <c r="E728">
        <v>1.75</v>
      </c>
      <c r="F728">
        <v>1.07</v>
      </c>
      <c r="G728">
        <v>0.9</v>
      </c>
      <c r="H728">
        <v>659</v>
      </c>
      <c r="I728">
        <v>0</v>
      </c>
      <c r="K728">
        <v>0</v>
      </c>
      <c r="L728">
        <v>18</v>
      </c>
      <c r="M728" t="s">
        <v>15</v>
      </c>
      <c r="N728">
        <v>0</v>
      </c>
      <c r="O728">
        <f t="shared" si="22"/>
        <v>0</v>
      </c>
      <c r="P728">
        <f t="shared" si="23"/>
        <v>0</v>
      </c>
    </row>
    <row r="729" spans="1:16">
      <c r="A729">
        <v>728</v>
      </c>
      <c r="B729" s="2">
        <v>45292</v>
      </c>
      <c r="C729">
        <v>16543</v>
      </c>
      <c r="D729">
        <v>17232</v>
      </c>
      <c r="E729">
        <v>1.63</v>
      </c>
      <c r="F729">
        <v>1.87</v>
      </c>
      <c r="G729">
        <v>0.73</v>
      </c>
      <c r="H729">
        <v>559</v>
      </c>
      <c r="I729">
        <v>0</v>
      </c>
      <c r="K729">
        <v>0</v>
      </c>
      <c r="L729">
        <v>18</v>
      </c>
      <c r="M729" t="s">
        <v>15</v>
      </c>
      <c r="N729">
        <v>0.35</v>
      </c>
      <c r="O729">
        <f t="shared" si="22"/>
        <v>0</v>
      </c>
      <c r="P729">
        <f t="shared" si="23"/>
        <v>0</v>
      </c>
    </row>
    <row r="730" spans="1:16">
      <c r="A730">
        <v>729</v>
      </c>
      <c r="B730" s="2">
        <v>45047</v>
      </c>
      <c r="C730">
        <v>107707</v>
      </c>
      <c r="D730">
        <v>24855</v>
      </c>
      <c r="E730">
        <v>1.07</v>
      </c>
      <c r="F730">
        <v>0.5</v>
      </c>
      <c r="G730">
        <v>1.1200000000000001</v>
      </c>
      <c r="H730">
        <v>756</v>
      </c>
      <c r="I730">
        <v>0</v>
      </c>
      <c r="K730">
        <v>0</v>
      </c>
      <c r="L730">
        <v>18</v>
      </c>
      <c r="M730" t="s">
        <v>14</v>
      </c>
      <c r="N730">
        <v>0</v>
      </c>
      <c r="O730">
        <f t="shared" si="22"/>
        <v>0</v>
      </c>
      <c r="P730">
        <f t="shared" si="23"/>
        <v>0</v>
      </c>
    </row>
    <row r="731" spans="1:16">
      <c r="A731">
        <v>730</v>
      </c>
      <c r="B731" s="2">
        <v>45597</v>
      </c>
      <c r="C731">
        <v>47685</v>
      </c>
      <c r="D731">
        <v>9951</v>
      </c>
      <c r="E731">
        <v>1.1599999999999999</v>
      </c>
      <c r="F731">
        <v>2.4500000000000002</v>
      </c>
      <c r="G731">
        <v>0.94</v>
      </c>
      <c r="H731">
        <v>606</v>
      </c>
      <c r="I731">
        <v>0</v>
      </c>
      <c r="K731">
        <v>0</v>
      </c>
      <c r="L731">
        <v>6</v>
      </c>
      <c r="M731" t="s">
        <v>15</v>
      </c>
      <c r="N731">
        <v>0.35</v>
      </c>
      <c r="O731">
        <f t="shared" si="22"/>
        <v>0</v>
      </c>
      <c r="P731">
        <f t="shared" si="23"/>
        <v>0</v>
      </c>
    </row>
    <row r="732" spans="1:16">
      <c r="A732">
        <v>731</v>
      </c>
      <c r="B732" s="2">
        <v>45627</v>
      </c>
      <c r="C732">
        <v>22965</v>
      </c>
      <c r="D732">
        <v>2158</v>
      </c>
      <c r="E732">
        <v>2.2000000000000002</v>
      </c>
      <c r="F732">
        <v>0.85</v>
      </c>
      <c r="G732">
        <v>0.46</v>
      </c>
      <c r="H732">
        <v>625</v>
      </c>
      <c r="I732">
        <v>0</v>
      </c>
      <c r="K732">
        <v>0</v>
      </c>
      <c r="L732">
        <v>12</v>
      </c>
      <c r="M732" t="s">
        <v>15</v>
      </c>
      <c r="N732">
        <v>0.15</v>
      </c>
      <c r="O732">
        <f t="shared" si="22"/>
        <v>0</v>
      </c>
      <c r="P732">
        <f t="shared" si="23"/>
        <v>0</v>
      </c>
    </row>
    <row r="733" spans="1:16">
      <c r="A733">
        <v>732</v>
      </c>
      <c r="B733" s="2">
        <v>44927</v>
      </c>
      <c r="C733">
        <v>35023</v>
      </c>
      <c r="D733">
        <v>15356</v>
      </c>
      <c r="E733">
        <v>2.34</v>
      </c>
      <c r="F733">
        <v>0.49</v>
      </c>
      <c r="G733">
        <v>2.46</v>
      </c>
      <c r="H733">
        <v>662</v>
      </c>
      <c r="I733">
        <v>0</v>
      </c>
      <c r="K733">
        <v>0</v>
      </c>
      <c r="L733">
        <v>6</v>
      </c>
      <c r="M733" t="s">
        <v>14</v>
      </c>
      <c r="N733">
        <v>0</v>
      </c>
      <c r="O733">
        <f t="shared" si="22"/>
        <v>0</v>
      </c>
      <c r="P733">
        <f t="shared" si="23"/>
        <v>0</v>
      </c>
    </row>
    <row r="734" spans="1:16">
      <c r="A734">
        <v>733</v>
      </c>
      <c r="B734" s="2">
        <v>45566</v>
      </c>
      <c r="C734">
        <v>52204</v>
      </c>
      <c r="D734">
        <v>18137</v>
      </c>
      <c r="E734">
        <v>1.42</v>
      </c>
      <c r="F734">
        <v>1.82</v>
      </c>
      <c r="G734">
        <v>2.04</v>
      </c>
      <c r="H734">
        <v>758</v>
      </c>
      <c r="I734">
        <v>0</v>
      </c>
      <c r="K734">
        <v>0</v>
      </c>
      <c r="L734">
        <v>12</v>
      </c>
      <c r="M734" t="s">
        <v>15</v>
      </c>
      <c r="N734">
        <v>0</v>
      </c>
      <c r="O734">
        <f t="shared" si="22"/>
        <v>0</v>
      </c>
      <c r="P734">
        <f t="shared" si="23"/>
        <v>0</v>
      </c>
    </row>
    <row r="735" spans="1:16">
      <c r="A735">
        <v>734</v>
      </c>
      <c r="B735" s="2">
        <v>44927</v>
      </c>
      <c r="C735">
        <v>38155</v>
      </c>
      <c r="D735">
        <v>17730</v>
      </c>
      <c r="F735">
        <v>0.74</v>
      </c>
      <c r="G735">
        <v>0.92</v>
      </c>
      <c r="H735">
        <v>723</v>
      </c>
      <c r="I735">
        <v>0</v>
      </c>
      <c r="K735">
        <v>0</v>
      </c>
      <c r="L735">
        <v>12</v>
      </c>
      <c r="M735" t="s">
        <v>14</v>
      </c>
      <c r="N735">
        <v>0</v>
      </c>
      <c r="O735">
        <f t="shared" si="22"/>
        <v>0</v>
      </c>
      <c r="P735">
        <f t="shared" si="23"/>
        <v>0</v>
      </c>
    </row>
    <row r="736" spans="1:16">
      <c r="A736">
        <v>735</v>
      </c>
      <c r="B736" s="2">
        <v>45444</v>
      </c>
      <c r="C736">
        <v>51544</v>
      </c>
      <c r="D736">
        <v>31731</v>
      </c>
      <c r="E736">
        <v>1.05</v>
      </c>
      <c r="F736">
        <v>1.54</v>
      </c>
      <c r="G736">
        <v>1.5</v>
      </c>
      <c r="H736">
        <v>671</v>
      </c>
      <c r="I736">
        <v>0</v>
      </c>
      <c r="K736">
        <v>0</v>
      </c>
      <c r="L736">
        <v>12</v>
      </c>
      <c r="M736" t="s">
        <v>15</v>
      </c>
      <c r="N736">
        <v>0</v>
      </c>
      <c r="O736">
        <f t="shared" si="22"/>
        <v>0</v>
      </c>
      <c r="P736">
        <f t="shared" si="23"/>
        <v>0</v>
      </c>
    </row>
    <row r="737" spans="1:16">
      <c r="A737">
        <v>736</v>
      </c>
      <c r="B737" s="2">
        <v>45352</v>
      </c>
      <c r="C737">
        <v>19962</v>
      </c>
      <c r="D737">
        <v>6312</v>
      </c>
      <c r="E737">
        <v>2.2000000000000002</v>
      </c>
      <c r="F737">
        <v>0.74</v>
      </c>
      <c r="G737">
        <v>1.58</v>
      </c>
      <c r="H737">
        <v>697</v>
      </c>
      <c r="I737">
        <v>0</v>
      </c>
      <c r="K737">
        <v>0</v>
      </c>
      <c r="L737">
        <v>12</v>
      </c>
      <c r="M737" t="s">
        <v>15</v>
      </c>
      <c r="N737">
        <v>0</v>
      </c>
      <c r="O737">
        <f t="shared" si="22"/>
        <v>0</v>
      </c>
      <c r="P737">
        <f t="shared" si="23"/>
        <v>0</v>
      </c>
    </row>
    <row r="738" spans="1:16">
      <c r="A738">
        <v>737</v>
      </c>
      <c r="B738" s="2">
        <v>45413</v>
      </c>
      <c r="C738">
        <v>40542</v>
      </c>
      <c r="D738">
        <v>21507</v>
      </c>
      <c r="E738">
        <v>1.92</v>
      </c>
      <c r="F738">
        <v>0.87</v>
      </c>
      <c r="G738">
        <v>2.0099999999999998</v>
      </c>
      <c r="H738">
        <v>647</v>
      </c>
      <c r="I738">
        <v>0</v>
      </c>
      <c r="K738">
        <v>0</v>
      </c>
      <c r="L738">
        <v>12</v>
      </c>
      <c r="M738" t="s">
        <v>15</v>
      </c>
      <c r="N738">
        <v>0</v>
      </c>
      <c r="O738">
        <f t="shared" si="22"/>
        <v>0</v>
      </c>
      <c r="P738">
        <f t="shared" si="23"/>
        <v>0</v>
      </c>
    </row>
    <row r="739" spans="1:16">
      <c r="A739">
        <v>738</v>
      </c>
      <c r="B739" s="2">
        <v>45231</v>
      </c>
      <c r="C739">
        <v>14488</v>
      </c>
      <c r="D739">
        <v>30784</v>
      </c>
      <c r="E739">
        <v>2.62</v>
      </c>
      <c r="F739">
        <v>1.28</v>
      </c>
      <c r="G739">
        <v>0.9</v>
      </c>
      <c r="I739">
        <v>0</v>
      </c>
      <c r="K739">
        <v>0</v>
      </c>
      <c r="L739">
        <v>18</v>
      </c>
      <c r="M739" t="s">
        <v>14</v>
      </c>
      <c r="N739">
        <v>0</v>
      </c>
      <c r="O739">
        <f t="shared" si="22"/>
        <v>0</v>
      </c>
      <c r="P739">
        <f t="shared" si="23"/>
        <v>0</v>
      </c>
    </row>
    <row r="740" spans="1:16">
      <c r="A740">
        <v>739</v>
      </c>
      <c r="B740" s="2">
        <v>45536</v>
      </c>
      <c r="C740">
        <v>33783</v>
      </c>
      <c r="D740">
        <v>3847</v>
      </c>
      <c r="E740">
        <v>1.07</v>
      </c>
      <c r="F740">
        <v>1.1100000000000001</v>
      </c>
      <c r="G740">
        <v>1.95</v>
      </c>
      <c r="H740">
        <v>684</v>
      </c>
      <c r="I740">
        <v>0</v>
      </c>
      <c r="K740">
        <v>0</v>
      </c>
      <c r="L740">
        <v>6</v>
      </c>
      <c r="M740" t="s">
        <v>15</v>
      </c>
      <c r="N740">
        <v>0</v>
      </c>
      <c r="O740">
        <f t="shared" si="22"/>
        <v>0</v>
      </c>
      <c r="P740">
        <f t="shared" si="23"/>
        <v>0</v>
      </c>
    </row>
    <row r="741" spans="1:16">
      <c r="A741">
        <v>740</v>
      </c>
      <c r="B741" s="2">
        <v>45566</v>
      </c>
      <c r="C741">
        <v>20180</v>
      </c>
      <c r="D741">
        <v>16710</v>
      </c>
      <c r="E741">
        <v>1.34</v>
      </c>
      <c r="F741">
        <v>0.22</v>
      </c>
      <c r="G741">
        <v>1.05</v>
      </c>
      <c r="H741">
        <v>733</v>
      </c>
      <c r="I741">
        <v>0</v>
      </c>
      <c r="K741">
        <v>0</v>
      </c>
      <c r="L741">
        <v>12</v>
      </c>
      <c r="M741" t="s">
        <v>15</v>
      </c>
      <c r="N741">
        <v>0</v>
      </c>
      <c r="O741">
        <f t="shared" si="22"/>
        <v>0</v>
      </c>
      <c r="P741">
        <f t="shared" si="23"/>
        <v>0</v>
      </c>
    </row>
    <row r="742" spans="1:16">
      <c r="A742">
        <v>741</v>
      </c>
      <c r="B742" s="2">
        <v>45413</v>
      </c>
      <c r="C742">
        <v>22514</v>
      </c>
      <c r="D742">
        <v>9387</v>
      </c>
      <c r="E742">
        <v>1.68</v>
      </c>
      <c r="F742">
        <v>0.41</v>
      </c>
      <c r="G742">
        <v>0.62</v>
      </c>
      <c r="H742">
        <v>733</v>
      </c>
      <c r="I742">
        <v>1</v>
      </c>
      <c r="J742">
        <v>16377</v>
      </c>
      <c r="K742">
        <v>1</v>
      </c>
      <c r="L742">
        <v>12</v>
      </c>
      <c r="M742" t="s">
        <v>15</v>
      </c>
      <c r="N742">
        <v>0.15</v>
      </c>
      <c r="O742">
        <f t="shared" si="22"/>
        <v>1</v>
      </c>
      <c r="P742">
        <f t="shared" si="23"/>
        <v>0</v>
      </c>
    </row>
    <row r="743" spans="1:16">
      <c r="A743">
        <v>742</v>
      </c>
      <c r="B743" s="2">
        <v>45292</v>
      </c>
      <c r="C743">
        <v>81102</v>
      </c>
      <c r="D743">
        <v>12619</v>
      </c>
      <c r="E743">
        <v>1.91</v>
      </c>
      <c r="F743">
        <v>1.73</v>
      </c>
      <c r="G743">
        <v>1.75</v>
      </c>
      <c r="H743">
        <v>707</v>
      </c>
      <c r="I743">
        <v>0</v>
      </c>
      <c r="K743">
        <v>0</v>
      </c>
      <c r="L743">
        <v>12</v>
      </c>
      <c r="M743" t="s">
        <v>15</v>
      </c>
      <c r="N743">
        <v>0</v>
      </c>
      <c r="O743">
        <f t="shared" si="22"/>
        <v>0</v>
      </c>
      <c r="P743">
        <f t="shared" si="23"/>
        <v>0</v>
      </c>
    </row>
    <row r="744" spans="1:16">
      <c r="A744">
        <v>743</v>
      </c>
      <c r="B744" s="2">
        <v>44927</v>
      </c>
      <c r="C744">
        <v>73818</v>
      </c>
      <c r="D744">
        <v>17041</v>
      </c>
      <c r="E744">
        <v>1.43</v>
      </c>
      <c r="F744">
        <v>0.82</v>
      </c>
      <c r="G744">
        <v>2.06</v>
      </c>
      <c r="H744">
        <v>660</v>
      </c>
      <c r="I744">
        <v>0</v>
      </c>
      <c r="K744">
        <v>0</v>
      </c>
      <c r="L744">
        <v>12</v>
      </c>
      <c r="M744" t="s">
        <v>14</v>
      </c>
      <c r="N744">
        <v>0</v>
      </c>
      <c r="O744">
        <f t="shared" si="22"/>
        <v>0</v>
      </c>
      <c r="P744">
        <f t="shared" si="23"/>
        <v>0</v>
      </c>
    </row>
    <row r="745" spans="1:16">
      <c r="A745">
        <v>744</v>
      </c>
      <c r="B745" s="2">
        <v>44958</v>
      </c>
      <c r="C745">
        <v>53957</v>
      </c>
      <c r="D745">
        <v>9499</v>
      </c>
      <c r="E745">
        <v>1.07</v>
      </c>
      <c r="F745">
        <v>0.63</v>
      </c>
      <c r="G745">
        <v>2.77</v>
      </c>
      <c r="H745">
        <v>721</v>
      </c>
      <c r="I745">
        <v>0</v>
      </c>
      <c r="K745">
        <v>0</v>
      </c>
      <c r="L745">
        <v>6</v>
      </c>
      <c r="M745" t="s">
        <v>14</v>
      </c>
      <c r="N745">
        <v>0</v>
      </c>
      <c r="O745">
        <f t="shared" si="22"/>
        <v>0</v>
      </c>
      <c r="P745">
        <f t="shared" si="23"/>
        <v>0</v>
      </c>
    </row>
    <row r="746" spans="1:16">
      <c r="A746">
        <v>745</v>
      </c>
      <c r="B746" s="2">
        <v>45170</v>
      </c>
      <c r="C746">
        <v>17854</v>
      </c>
      <c r="D746">
        <v>8325</v>
      </c>
      <c r="E746">
        <v>2.0299999999999998</v>
      </c>
      <c r="F746">
        <v>0.35</v>
      </c>
      <c r="G746">
        <v>0.69</v>
      </c>
      <c r="H746">
        <v>675</v>
      </c>
      <c r="I746">
        <v>0</v>
      </c>
      <c r="K746">
        <v>0</v>
      </c>
      <c r="L746">
        <v>12</v>
      </c>
      <c r="M746" t="s">
        <v>14</v>
      </c>
      <c r="N746">
        <v>0.15</v>
      </c>
      <c r="O746">
        <f t="shared" si="22"/>
        <v>0</v>
      </c>
      <c r="P746">
        <f t="shared" si="23"/>
        <v>0</v>
      </c>
    </row>
    <row r="747" spans="1:16">
      <c r="A747">
        <v>746</v>
      </c>
      <c r="B747" s="2">
        <v>44986</v>
      </c>
      <c r="C747">
        <v>29565</v>
      </c>
      <c r="D747">
        <v>13683</v>
      </c>
      <c r="E747">
        <v>1.95</v>
      </c>
      <c r="F747">
        <v>0.42</v>
      </c>
      <c r="G747">
        <v>1.73</v>
      </c>
      <c r="H747">
        <v>620</v>
      </c>
      <c r="I747">
        <v>0</v>
      </c>
      <c r="K747">
        <v>0</v>
      </c>
      <c r="L747">
        <v>12</v>
      </c>
      <c r="M747" t="s">
        <v>14</v>
      </c>
      <c r="N747">
        <v>0</v>
      </c>
      <c r="O747">
        <f t="shared" si="22"/>
        <v>0</v>
      </c>
      <c r="P747">
        <f t="shared" si="23"/>
        <v>0</v>
      </c>
    </row>
    <row r="748" spans="1:16">
      <c r="A748">
        <v>747</v>
      </c>
      <c r="B748" s="2">
        <v>44927</v>
      </c>
      <c r="C748">
        <v>79899</v>
      </c>
      <c r="D748">
        <v>6241</v>
      </c>
      <c r="E748">
        <v>1.05</v>
      </c>
      <c r="F748">
        <v>0.22</v>
      </c>
      <c r="G748">
        <v>1.1200000000000001</v>
      </c>
      <c r="H748">
        <v>658</v>
      </c>
      <c r="I748">
        <v>0</v>
      </c>
      <c r="K748">
        <v>0</v>
      </c>
      <c r="L748">
        <v>12</v>
      </c>
      <c r="M748" t="s">
        <v>14</v>
      </c>
      <c r="N748">
        <v>0</v>
      </c>
      <c r="O748">
        <f t="shared" si="22"/>
        <v>0</v>
      </c>
      <c r="P748">
        <f t="shared" si="23"/>
        <v>0</v>
      </c>
    </row>
    <row r="749" spans="1:16">
      <c r="A749">
        <v>748</v>
      </c>
      <c r="B749" s="2">
        <v>45536</v>
      </c>
      <c r="C749">
        <v>39820</v>
      </c>
      <c r="D749">
        <v>6247</v>
      </c>
      <c r="E749">
        <v>2.2999999999999998</v>
      </c>
      <c r="F749">
        <v>0.84</v>
      </c>
      <c r="G749">
        <v>1.78</v>
      </c>
      <c r="H749">
        <v>685</v>
      </c>
      <c r="I749">
        <v>0</v>
      </c>
      <c r="K749">
        <v>0</v>
      </c>
      <c r="L749">
        <v>18</v>
      </c>
      <c r="M749" t="s">
        <v>15</v>
      </c>
      <c r="N749">
        <v>0</v>
      </c>
      <c r="O749">
        <f t="shared" si="22"/>
        <v>0</v>
      </c>
      <c r="P749">
        <f t="shared" si="23"/>
        <v>0</v>
      </c>
    </row>
    <row r="750" spans="1:16">
      <c r="A750">
        <v>749</v>
      </c>
      <c r="B750" s="2">
        <v>45383</v>
      </c>
      <c r="C750">
        <v>163991</v>
      </c>
      <c r="D750">
        <v>21495</v>
      </c>
      <c r="E750">
        <v>2.19</v>
      </c>
      <c r="F750">
        <v>0.6</v>
      </c>
      <c r="G750">
        <v>0.54</v>
      </c>
      <c r="H750">
        <v>730</v>
      </c>
      <c r="I750">
        <v>0</v>
      </c>
      <c r="K750">
        <v>0</v>
      </c>
      <c r="L750">
        <v>18</v>
      </c>
      <c r="M750" t="s">
        <v>15</v>
      </c>
      <c r="N750">
        <v>0.15</v>
      </c>
      <c r="O750">
        <f t="shared" si="22"/>
        <v>0</v>
      </c>
      <c r="P750">
        <f t="shared" si="23"/>
        <v>0</v>
      </c>
    </row>
    <row r="751" spans="1:16">
      <c r="A751">
        <v>750</v>
      </c>
      <c r="B751" s="2">
        <v>45597</v>
      </c>
      <c r="C751">
        <v>46895</v>
      </c>
      <c r="D751">
        <v>5978</v>
      </c>
      <c r="E751">
        <v>1.62</v>
      </c>
      <c r="F751">
        <v>0.46</v>
      </c>
      <c r="G751">
        <v>0.66</v>
      </c>
      <c r="H751">
        <v>670</v>
      </c>
      <c r="I751">
        <v>0</v>
      </c>
      <c r="K751">
        <v>0</v>
      </c>
      <c r="L751">
        <v>12</v>
      </c>
      <c r="M751" t="s">
        <v>15</v>
      </c>
      <c r="N751">
        <v>0.15</v>
      </c>
      <c r="O751">
        <f t="shared" si="22"/>
        <v>0</v>
      </c>
      <c r="P751">
        <f t="shared" si="23"/>
        <v>0</v>
      </c>
    </row>
    <row r="752" spans="1:16">
      <c r="A752">
        <v>751</v>
      </c>
      <c r="B752" s="2">
        <v>45078</v>
      </c>
      <c r="C752">
        <v>41144</v>
      </c>
      <c r="D752">
        <v>21299</v>
      </c>
      <c r="E752">
        <v>1.59</v>
      </c>
      <c r="F752">
        <v>0.86</v>
      </c>
      <c r="G752">
        <v>0.92</v>
      </c>
      <c r="H752">
        <v>613</v>
      </c>
      <c r="I752">
        <v>0</v>
      </c>
      <c r="K752">
        <v>0</v>
      </c>
      <c r="L752">
        <v>12</v>
      </c>
      <c r="M752" t="s">
        <v>14</v>
      </c>
      <c r="N752">
        <v>0</v>
      </c>
      <c r="O752">
        <f t="shared" si="22"/>
        <v>0</v>
      </c>
      <c r="P752">
        <f t="shared" si="23"/>
        <v>0</v>
      </c>
    </row>
    <row r="753" spans="1:16">
      <c r="A753">
        <v>752</v>
      </c>
      <c r="B753" s="2">
        <v>45413</v>
      </c>
      <c r="C753">
        <v>29705</v>
      </c>
      <c r="D753">
        <v>18468</v>
      </c>
      <c r="E753">
        <v>1.85</v>
      </c>
      <c r="F753">
        <v>1.17</v>
      </c>
      <c r="G753">
        <v>1.39</v>
      </c>
      <c r="H753">
        <v>683</v>
      </c>
      <c r="I753">
        <v>0</v>
      </c>
      <c r="K753">
        <v>0</v>
      </c>
      <c r="L753">
        <v>18</v>
      </c>
      <c r="M753" t="s">
        <v>15</v>
      </c>
      <c r="N753">
        <v>0</v>
      </c>
      <c r="O753">
        <f t="shared" si="22"/>
        <v>0</v>
      </c>
      <c r="P753">
        <f t="shared" si="23"/>
        <v>0</v>
      </c>
    </row>
    <row r="754" spans="1:16">
      <c r="A754">
        <v>753</v>
      </c>
      <c r="B754" s="2">
        <v>45047</v>
      </c>
      <c r="C754">
        <v>39609</v>
      </c>
      <c r="D754">
        <v>3992</v>
      </c>
      <c r="E754">
        <v>1.08</v>
      </c>
      <c r="F754">
        <v>3.92</v>
      </c>
      <c r="G754">
        <v>1</v>
      </c>
      <c r="H754">
        <v>686</v>
      </c>
      <c r="I754">
        <v>0</v>
      </c>
      <c r="K754">
        <v>0</v>
      </c>
      <c r="L754">
        <v>12</v>
      </c>
      <c r="M754" t="s">
        <v>14</v>
      </c>
      <c r="N754">
        <v>0.35</v>
      </c>
      <c r="O754">
        <f t="shared" si="22"/>
        <v>0</v>
      </c>
      <c r="P754">
        <f t="shared" si="23"/>
        <v>0</v>
      </c>
    </row>
    <row r="755" spans="1:16">
      <c r="A755">
        <v>754</v>
      </c>
      <c r="B755" s="2">
        <v>45047</v>
      </c>
      <c r="C755">
        <v>32889</v>
      </c>
      <c r="D755">
        <v>8314</v>
      </c>
      <c r="E755">
        <v>1.57</v>
      </c>
      <c r="F755">
        <v>0.31</v>
      </c>
      <c r="G755">
        <v>1.71</v>
      </c>
      <c r="H755">
        <v>690</v>
      </c>
      <c r="I755">
        <v>0</v>
      </c>
      <c r="K755">
        <v>0</v>
      </c>
      <c r="L755">
        <v>6</v>
      </c>
      <c r="M755" t="s">
        <v>14</v>
      </c>
      <c r="N755">
        <v>0</v>
      </c>
      <c r="O755">
        <f t="shared" si="22"/>
        <v>0</v>
      </c>
      <c r="P755">
        <f t="shared" si="23"/>
        <v>0</v>
      </c>
    </row>
    <row r="756" spans="1:16">
      <c r="A756">
        <v>755</v>
      </c>
      <c r="B756" s="2">
        <v>45078</v>
      </c>
      <c r="C756">
        <v>57542</v>
      </c>
      <c r="D756">
        <v>30819</v>
      </c>
      <c r="E756">
        <v>0.37</v>
      </c>
      <c r="F756">
        <v>2.04</v>
      </c>
      <c r="G756">
        <v>1.91</v>
      </c>
      <c r="H756">
        <v>731</v>
      </c>
      <c r="I756">
        <v>1</v>
      </c>
      <c r="J756">
        <v>5129</v>
      </c>
      <c r="K756">
        <v>1</v>
      </c>
      <c r="L756">
        <v>6</v>
      </c>
      <c r="M756" t="s">
        <v>14</v>
      </c>
      <c r="N756">
        <v>0.64999999999999991</v>
      </c>
      <c r="O756">
        <f t="shared" si="22"/>
        <v>1</v>
      </c>
      <c r="P756">
        <f t="shared" si="23"/>
        <v>0</v>
      </c>
    </row>
    <row r="757" spans="1:16">
      <c r="A757">
        <v>756</v>
      </c>
      <c r="B757" s="2">
        <v>44986</v>
      </c>
      <c r="C757">
        <v>67633</v>
      </c>
      <c r="D757">
        <v>6722</v>
      </c>
      <c r="E757">
        <v>2.0299999999999998</v>
      </c>
      <c r="F757">
        <v>1.79</v>
      </c>
      <c r="G757">
        <v>1.68</v>
      </c>
      <c r="H757">
        <v>736</v>
      </c>
      <c r="I757">
        <v>0</v>
      </c>
      <c r="K757">
        <v>0</v>
      </c>
      <c r="L757">
        <v>12</v>
      </c>
      <c r="M757" t="s">
        <v>14</v>
      </c>
      <c r="N757">
        <v>0</v>
      </c>
      <c r="O757">
        <f t="shared" si="22"/>
        <v>0</v>
      </c>
      <c r="P757">
        <f t="shared" si="23"/>
        <v>0</v>
      </c>
    </row>
    <row r="758" spans="1:16">
      <c r="A758">
        <v>757</v>
      </c>
      <c r="B758" s="2">
        <v>45536</v>
      </c>
      <c r="C758">
        <v>21788</v>
      </c>
      <c r="D758">
        <v>9652</v>
      </c>
      <c r="E758">
        <v>0.69</v>
      </c>
      <c r="F758">
        <v>0.52</v>
      </c>
      <c r="G758">
        <v>2.2400000000000002</v>
      </c>
      <c r="H758">
        <v>647</v>
      </c>
      <c r="I758">
        <v>0</v>
      </c>
      <c r="K758">
        <v>0</v>
      </c>
      <c r="L758">
        <v>6</v>
      </c>
      <c r="M758" t="s">
        <v>15</v>
      </c>
      <c r="N758">
        <v>0.3</v>
      </c>
      <c r="O758">
        <f t="shared" si="22"/>
        <v>0</v>
      </c>
      <c r="P758">
        <f t="shared" si="23"/>
        <v>0</v>
      </c>
    </row>
    <row r="759" spans="1:16">
      <c r="A759">
        <v>758</v>
      </c>
      <c r="B759" s="2">
        <v>45597</v>
      </c>
      <c r="C759">
        <v>15286</v>
      </c>
      <c r="D759">
        <v>18461</v>
      </c>
      <c r="E759">
        <v>2.38</v>
      </c>
      <c r="F759">
        <v>1.04</v>
      </c>
      <c r="G759">
        <v>1.58</v>
      </c>
      <c r="H759">
        <v>646</v>
      </c>
      <c r="I759">
        <v>0</v>
      </c>
      <c r="K759">
        <v>0</v>
      </c>
      <c r="L759">
        <v>12</v>
      </c>
      <c r="M759" t="s">
        <v>15</v>
      </c>
      <c r="N759">
        <v>0</v>
      </c>
      <c r="O759">
        <f t="shared" si="22"/>
        <v>0</v>
      </c>
      <c r="P759">
        <f t="shared" si="23"/>
        <v>0</v>
      </c>
    </row>
    <row r="760" spans="1:16">
      <c r="A760">
        <v>759</v>
      </c>
      <c r="B760" s="2">
        <v>45047</v>
      </c>
      <c r="C760">
        <v>11009</v>
      </c>
      <c r="D760">
        <v>23118</v>
      </c>
      <c r="E760">
        <v>1.37</v>
      </c>
      <c r="F760">
        <v>0.66</v>
      </c>
      <c r="G760">
        <v>0.68</v>
      </c>
      <c r="H760">
        <v>623</v>
      </c>
      <c r="I760">
        <v>0</v>
      </c>
      <c r="K760">
        <v>0</v>
      </c>
      <c r="L760">
        <v>12</v>
      </c>
      <c r="M760" t="s">
        <v>14</v>
      </c>
      <c r="N760">
        <v>0.15</v>
      </c>
      <c r="O760">
        <f t="shared" si="22"/>
        <v>0</v>
      </c>
      <c r="P760">
        <f t="shared" si="23"/>
        <v>0</v>
      </c>
    </row>
    <row r="761" spans="1:16">
      <c r="A761">
        <v>760</v>
      </c>
      <c r="B761" s="2">
        <v>45536</v>
      </c>
      <c r="C761">
        <v>50524</v>
      </c>
      <c r="D761">
        <v>11203</v>
      </c>
      <c r="E761">
        <v>1.43</v>
      </c>
      <c r="F761">
        <v>1.03</v>
      </c>
      <c r="G761">
        <v>2.1</v>
      </c>
      <c r="H761">
        <v>718</v>
      </c>
      <c r="I761">
        <v>0</v>
      </c>
      <c r="K761">
        <v>0</v>
      </c>
      <c r="L761">
        <v>12</v>
      </c>
      <c r="M761" t="s">
        <v>15</v>
      </c>
      <c r="N761">
        <v>0</v>
      </c>
      <c r="O761">
        <f t="shared" si="22"/>
        <v>0</v>
      </c>
      <c r="P761">
        <f t="shared" si="23"/>
        <v>0</v>
      </c>
    </row>
    <row r="762" spans="1:16">
      <c r="A762">
        <v>761</v>
      </c>
      <c r="B762" s="2">
        <v>45047</v>
      </c>
      <c r="C762">
        <v>17726</v>
      </c>
      <c r="D762">
        <v>8793</v>
      </c>
      <c r="E762">
        <v>1.2</v>
      </c>
      <c r="F762">
        <v>2.6</v>
      </c>
      <c r="G762">
        <v>1.02</v>
      </c>
      <c r="H762">
        <v>760</v>
      </c>
      <c r="I762">
        <v>1</v>
      </c>
      <c r="J762">
        <v>23689</v>
      </c>
      <c r="K762">
        <v>1</v>
      </c>
      <c r="L762">
        <v>6</v>
      </c>
      <c r="M762" t="s">
        <v>14</v>
      </c>
      <c r="N762">
        <v>0.35</v>
      </c>
      <c r="O762">
        <f t="shared" si="22"/>
        <v>1</v>
      </c>
      <c r="P762">
        <f t="shared" si="23"/>
        <v>0</v>
      </c>
    </row>
    <row r="763" spans="1:16">
      <c r="A763">
        <v>762</v>
      </c>
      <c r="B763" s="2">
        <v>45200</v>
      </c>
      <c r="C763">
        <v>8961</v>
      </c>
      <c r="D763">
        <v>36158</v>
      </c>
      <c r="E763">
        <v>1.39</v>
      </c>
      <c r="F763">
        <v>1.38</v>
      </c>
      <c r="G763">
        <v>1.85</v>
      </c>
      <c r="H763">
        <v>663</v>
      </c>
      <c r="I763">
        <v>0</v>
      </c>
      <c r="K763">
        <v>0</v>
      </c>
      <c r="L763">
        <v>18</v>
      </c>
      <c r="M763" t="s">
        <v>14</v>
      </c>
      <c r="N763">
        <v>0</v>
      </c>
      <c r="O763">
        <f t="shared" si="22"/>
        <v>0</v>
      </c>
      <c r="P763">
        <f t="shared" si="23"/>
        <v>0</v>
      </c>
    </row>
    <row r="764" spans="1:16">
      <c r="A764">
        <v>763</v>
      </c>
      <c r="B764" s="2">
        <v>45200</v>
      </c>
      <c r="C764">
        <v>46750</v>
      </c>
      <c r="D764">
        <v>45127</v>
      </c>
      <c r="E764">
        <v>2.33</v>
      </c>
      <c r="F764">
        <v>1.29</v>
      </c>
      <c r="G764">
        <v>2.2200000000000002</v>
      </c>
      <c r="H764">
        <v>667</v>
      </c>
      <c r="I764">
        <v>0</v>
      </c>
      <c r="K764">
        <v>0</v>
      </c>
      <c r="L764">
        <v>18</v>
      </c>
      <c r="M764" t="s">
        <v>14</v>
      </c>
      <c r="N764">
        <v>0</v>
      </c>
      <c r="O764">
        <f t="shared" si="22"/>
        <v>0</v>
      </c>
      <c r="P764">
        <f t="shared" si="23"/>
        <v>0</v>
      </c>
    </row>
    <row r="765" spans="1:16">
      <c r="A765">
        <v>764</v>
      </c>
      <c r="B765" s="2">
        <v>45474</v>
      </c>
      <c r="C765">
        <v>183588</v>
      </c>
      <c r="D765">
        <v>26508</v>
      </c>
      <c r="E765">
        <v>0.2</v>
      </c>
      <c r="F765">
        <v>0.67</v>
      </c>
      <c r="G765">
        <v>1.6</v>
      </c>
      <c r="H765">
        <v>761</v>
      </c>
      <c r="I765">
        <v>0</v>
      </c>
      <c r="K765">
        <v>0</v>
      </c>
      <c r="L765">
        <v>12</v>
      </c>
      <c r="M765" t="s">
        <v>15</v>
      </c>
      <c r="N765">
        <v>0.3</v>
      </c>
      <c r="O765">
        <f t="shared" si="22"/>
        <v>0</v>
      </c>
      <c r="P765">
        <f t="shared" si="23"/>
        <v>0</v>
      </c>
    </row>
    <row r="766" spans="1:16">
      <c r="A766">
        <v>765</v>
      </c>
      <c r="B766" s="2">
        <v>45413</v>
      </c>
      <c r="C766">
        <v>36172</v>
      </c>
      <c r="D766">
        <v>14182</v>
      </c>
      <c r="E766">
        <v>2.25</v>
      </c>
      <c r="F766">
        <v>0.32</v>
      </c>
      <c r="G766">
        <v>0.53</v>
      </c>
      <c r="H766">
        <v>708</v>
      </c>
      <c r="I766">
        <v>0</v>
      </c>
      <c r="K766">
        <v>0</v>
      </c>
      <c r="L766">
        <v>12</v>
      </c>
      <c r="M766" t="s">
        <v>15</v>
      </c>
      <c r="N766">
        <v>0.15</v>
      </c>
      <c r="O766">
        <f t="shared" si="22"/>
        <v>0</v>
      </c>
      <c r="P766">
        <f t="shared" si="23"/>
        <v>0</v>
      </c>
    </row>
    <row r="767" spans="1:16">
      <c r="A767">
        <v>766</v>
      </c>
      <c r="B767" s="2">
        <v>45536</v>
      </c>
      <c r="C767">
        <v>62631</v>
      </c>
      <c r="D767">
        <v>7587</v>
      </c>
      <c r="E767">
        <v>1.74</v>
      </c>
      <c r="F767">
        <v>0.78</v>
      </c>
      <c r="G767">
        <v>0.84</v>
      </c>
      <c r="H767">
        <v>704</v>
      </c>
      <c r="I767">
        <v>0</v>
      </c>
      <c r="K767">
        <v>0</v>
      </c>
      <c r="L767">
        <v>18</v>
      </c>
      <c r="M767" t="s">
        <v>15</v>
      </c>
      <c r="N767">
        <v>0</v>
      </c>
      <c r="O767">
        <f t="shared" si="22"/>
        <v>0</v>
      </c>
      <c r="P767">
        <f t="shared" si="23"/>
        <v>0</v>
      </c>
    </row>
    <row r="768" spans="1:16">
      <c r="A768">
        <v>767</v>
      </c>
      <c r="B768" s="2">
        <v>45323</v>
      </c>
      <c r="C768">
        <v>38299</v>
      </c>
      <c r="D768">
        <v>7470</v>
      </c>
      <c r="E768">
        <v>0.89</v>
      </c>
      <c r="F768">
        <v>2.11</v>
      </c>
      <c r="G768">
        <v>2.08</v>
      </c>
      <c r="H768">
        <v>614</v>
      </c>
      <c r="I768">
        <v>0</v>
      </c>
      <c r="K768">
        <v>0</v>
      </c>
      <c r="L768">
        <v>12</v>
      </c>
      <c r="M768" t="s">
        <v>15</v>
      </c>
      <c r="N768">
        <v>0.64999999999999991</v>
      </c>
      <c r="O768">
        <f t="shared" si="22"/>
        <v>0</v>
      </c>
      <c r="P768">
        <f t="shared" si="23"/>
        <v>0</v>
      </c>
    </row>
    <row r="769" spans="1:16">
      <c r="A769">
        <v>768</v>
      </c>
      <c r="B769" s="2">
        <v>45170</v>
      </c>
      <c r="C769">
        <v>34055</v>
      </c>
      <c r="D769">
        <v>19260</v>
      </c>
      <c r="E769">
        <v>0.96</v>
      </c>
      <c r="F769">
        <v>0.31</v>
      </c>
      <c r="G769">
        <v>1.26</v>
      </c>
      <c r="H769">
        <v>717</v>
      </c>
      <c r="I769">
        <v>1</v>
      </c>
      <c r="J769">
        <v>24372</v>
      </c>
      <c r="K769">
        <v>1</v>
      </c>
      <c r="L769">
        <v>6</v>
      </c>
      <c r="M769" t="s">
        <v>14</v>
      </c>
      <c r="N769">
        <v>0.3</v>
      </c>
      <c r="O769">
        <f t="shared" si="22"/>
        <v>1</v>
      </c>
      <c r="P769">
        <f t="shared" si="23"/>
        <v>0</v>
      </c>
    </row>
    <row r="770" spans="1:16">
      <c r="A770">
        <v>769</v>
      </c>
      <c r="B770" s="2">
        <v>45323</v>
      </c>
      <c r="C770">
        <v>65999</v>
      </c>
      <c r="D770">
        <v>17906</v>
      </c>
      <c r="E770">
        <v>2.4700000000000002</v>
      </c>
      <c r="F770">
        <v>0.43</v>
      </c>
      <c r="G770">
        <v>1.39</v>
      </c>
      <c r="H770">
        <v>629</v>
      </c>
      <c r="I770">
        <v>0</v>
      </c>
      <c r="K770">
        <v>0</v>
      </c>
      <c r="L770">
        <v>12</v>
      </c>
      <c r="M770" t="s">
        <v>15</v>
      </c>
      <c r="N770">
        <v>0</v>
      </c>
      <c r="O770">
        <f t="shared" si="22"/>
        <v>0</v>
      </c>
      <c r="P770">
        <f t="shared" si="23"/>
        <v>0</v>
      </c>
    </row>
    <row r="771" spans="1:16">
      <c r="A771">
        <v>770</v>
      </c>
      <c r="B771" s="2">
        <v>44927</v>
      </c>
      <c r="C771">
        <v>30071</v>
      </c>
      <c r="D771">
        <v>35636</v>
      </c>
      <c r="E771">
        <v>1.03</v>
      </c>
      <c r="F771">
        <v>0.99</v>
      </c>
      <c r="G771">
        <v>1.77</v>
      </c>
      <c r="H771">
        <v>618</v>
      </c>
      <c r="I771">
        <v>0</v>
      </c>
      <c r="K771">
        <v>0</v>
      </c>
      <c r="L771">
        <v>12</v>
      </c>
      <c r="M771" t="s">
        <v>14</v>
      </c>
      <c r="N771">
        <v>0</v>
      </c>
      <c r="O771">
        <f t="shared" ref="O771:O834" si="24">IF(J771="",0,1)</f>
        <v>0</v>
      </c>
      <c r="P771">
        <f t="shared" ref="P771:P834" si="25">IF(I771=K771,0,1)</f>
        <v>0</v>
      </c>
    </row>
    <row r="772" spans="1:16">
      <c r="A772">
        <v>771</v>
      </c>
      <c r="B772" s="2">
        <v>45474</v>
      </c>
      <c r="C772">
        <v>43209</v>
      </c>
      <c r="D772">
        <v>21064</v>
      </c>
      <c r="E772">
        <v>0.92</v>
      </c>
      <c r="F772">
        <v>0.45</v>
      </c>
      <c r="G772">
        <v>1.73</v>
      </c>
      <c r="H772">
        <v>661</v>
      </c>
      <c r="I772">
        <v>0</v>
      </c>
      <c r="K772">
        <v>0</v>
      </c>
      <c r="L772">
        <v>12</v>
      </c>
      <c r="M772" t="s">
        <v>15</v>
      </c>
      <c r="N772">
        <v>0.3</v>
      </c>
      <c r="O772">
        <f t="shared" si="24"/>
        <v>0</v>
      </c>
      <c r="P772">
        <f t="shared" si="25"/>
        <v>0</v>
      </c>
    </row>
    <row r="773" spans="1:16">
      <c r="A773">
        <v>772</v>
      </c>
      <c r="B773" s="2">
        <v>45292</v>
      </c>
      <c r="C773">
        <v>44761</v>
      </c>
      <c r="D773">
        <v>4665</v>
      </c>
      <c r="E773">
        <v>2.1800000000000002</v>
      </c>
      <c r="F773">
        <v>0.52</v>
      </c>
      <c r="G773">
        <v>1.5</v>
      </c>
      <c r="H773">
        <v>648</v>
      </c>
      <c r="I773">
        <v>0</v>
      </c>
      <c r="K773">
        <v>0</v>
      </c>
      <c r="L773">
        <v>6</v>
      </c>
      <c r="M773" t="s">
        <v>15</v>
      </c>
      <c r="N773">
        <v>0</v>
      </c>
      <c r="O773">
        <f t="shared" si="24"/>
        <v>0</v>
      </c>
      <c r="P773">
        <f t="shared" si="25"/>
        <v>0</v>
      </c>
    </row>
    <row r="774" spans="1:16">
      <c r="A774">
        <v>773</v>
      </c>
      <c r="B774" s="2">
        <v>45292</v>
      </c>
      <c r="C774">
        <v>23523</v>
      </c>
      <c r="D774">
        <v>27899</v>
      </c>
      <c r="E774">
        <v>1.74</v>
      </c>
      <c r="F774">
        <v>0.67</v>
      </c>
      <c r="G774">
        <v>1.24</v>
      </c>
      <c r="H774">
        <v>668</v>
      </c>
      <c r="I774">
        <v>1</v>
      </c>
      <c r="J774">
        <v>683</v>
      </c>
      <c r="K774">
        <v>1</v>
      </c>
      <c r="L774">
        <v>12</v>
      </c>
      <c r="M774" t="s">
        <v>15</v>
      </c>
      <c r="N774">
        <v>0</v>
      </c>
      <c r="O774">
        <f t="shared" si="24"/>
        <v>1</v>
      </c>
      <c r="P774">
        <f t="shared" si="25"/>
        <v>0</v>
      </c>
    </row>
    <row r="775" spans="1:16">
      <c r="A775">
        <v>774</v>
      </c>
      <c r="B775" s="2">
        <v>45017</v>
      </c>
      <c r="C775">
        <v>69205</v>
      </c>
      <c r="D775">
        <v>6643</v>
      </c>
      <c r="E775">
        <v>1.03</v>
      </c>
      <c r="F775">
        <v>0.35</v>
      </c>
      <c r="G775">
        <v>1.18</v>
      </c>
      <c r="H775">
        <v>601</v>
      </c>
      <c r="I775">
        <v>0</v>
      </c>
      <c r="K775">
        <v>0</v>
      </c>
      <c r="L775">
        <v>12</v>
      </c>
      <c r="M775" t="s">
        <v>14</v>
      </c>
      <c r="N775">
        <v>0</v>
      </c>
      <c r="O775">
        <f t="shared" si="24"/>
        <v>0</v>
      </c>
      <c r="P775">
        <f t="shared" si="25"/>
        <v>0</v>
      </c>
    </row>
    <row r="776" spans="1:16">
      <c r="A776">
        <v>775</v>
      </c>
      <c r="B776" s="2">
        <v>44927</v>
      </c>
      <c r="C776">
        <v>32412</v>
      </c>
      <c r="D776">
        <v>10211</v>
      </c>
      <c r="E776">
        <v>1.67</v>
      </c>
      <c r="F776">
        <v>0.46</v>
      </c>
      <c r="G776">
        <v>1.82</v>
      </c>
      <c r="H776">
        <v>733</v>
      </c>
      <c r="I776">
        <v>0</v>
      </c>
      <c r="K776">
        <v>0</v>
      </c>
      <c r="L776">
        <v>18</v>
      </c>
      <c r="M776" t="s">
        <v>14</v>
      </c>
      <c r="N776">
        <v>0</v>
      </c>
      <c r="O776">
        <f t="shared" si="24"/>
        <v>0</v>
      </c>
      <c r="P776">
        <f t="shared" si="25"/>
        <v>0</v>
      </c>
    </row>
    <row r="777" spans="1:16">
      <c r="A777">
        <v>776</v>
      </c>
      <c r="B777" s="2">
        <v>45413</v>
      </c>
      <c r="C777">
        <v>22220</v>
      </c>
      <c r="D777">
        <v>15917</v>
      </c>
      <c r="E777">
        <v>0.99</v>
      </c>
      <c r="F777">
        <v>1.48</v>
      </c>
      <c r="G777">
        <v>1.65</v>
      </c>
      <c r="H777">
        <v>742</v>
      </c>
      <c r="I777">
        <v>0</v>
      </c>
      <c r="K777">
        <v>0</v>
      </c>
      <c r="L777">
        <v>6</v>
      </c>
      <c r="M777" t="s">
        <v>15</v>
      </c>
      <c r="N777">
        <v>0.3</v>
      </c>
      <c r="O777">
        <f t="shared" si="24"/>
        <v>0</v>
      </c>
      <c r="P777">
        <f t="shared" si="25"/>
        <v>0</v>
      </c>
    </row>
    <row r="778" spans="1:16">
      <c r="A778">
        <v>777</v>
      </c>
      <c r="B778" s="2">
        <v>45139</v>
      </c>
      <c r="C778">
        <v>51469</v>
      </c>
      <c r="D778">
        <v>54012</v>
      </c>
      <c r="E778">
        <v>2.16</v>
      </c>
      <c r="F778">
        <v>0.36</v>
      </c>
      <c r="G778">
        <v>1.21</v>
      </c>
      <c r="H778">
        <v>573</v>
      </c>
      <c r="I778">
        <v>0</v>
      </c>
      <c r="K778">
        <v>0</v>
      </c>
      <c r="L778">
        <v>6</v>
      </c>
      <c r="M778" t="s">
        <v>14</v>
      </c>
      <c r="N778">
        <v>0.2</v>
      </c>
      <c r="O778">
        <f t="shared" si="24"/>
        <v>0</v>
      </c>
      <c r="P778">
        <f t="shared" si="25"/>
        <v>0</v>
      </c>
    </row>
    <row r="779" spans="1:16">
      <c r="A779">
        <v>778</v>
      </c>
      <c r="B779" s="2">
        <v>44958</v>
      </c>
      <c r="C779">
        <v>20252</v>
      </c>
      <c r="D779">
        <v>117823</v>
      </c>
      <c r="E779">
        <v>2.13</v>
      </c>
      <c r="F779">
        <v>0.3</v>
      </c>
      <c r="G779">
        <v>1.95</v>
      </c>
      <c r="H779">
        <v>734</v>
      </c>
      <c r="I779">
        <v>0</v>
      </c>
      <c r="K779">
        <v>0</v>
      </c>
      <c r="L779">
        <v>12</v>
      </c>
      <c r="M779" t="s">
        <v>14</v>
      </c>
      <c r="N779">
        <v>0</v>
      </c>
      <c r="O779">
        <f t="shared" si="24"/>
        <v>0</v>
      </c>
      <c r="P779">
        <f t="shared" si="25"/>
        <v>0</v>
      </c>
    </row>
    <row r="780" spans="1:16">
      <c r="A780">
        <v>779</v>
      </c>
      <c r="B780" s="2">
        <v>45139</v>
      </c>
      <c r="C780">
        <v>36987</v>
      </c>
      <c r="D780">
        <v>20429</v>
      </c>
      <c r="E780">
        <v>1.84</v>
      </c>
      <c r="F780">
        <v>0.57999999999999996</v>
      </c>
      <c r="G780">
        <v>1.28</v>
      </c>
      <c r="H780">
        <v>635</v>
      </c>
      <c r="I780">
        <v>0</v>
      </c>
      <c r="K780">
        <v>0</v>
      </c>
      <c r="L780">
        <v>12</v>
      </c>
      <c r="M780" t="s">
        <v>14</v>
      </c>
      <c r="N780">
        <v>0</v>
      </c>
      <c r="O780">
        <f t="shared" si="24"/>
        <v>0</v>
      </c>
      <c r="P780">
        <f t="shared" si="25"/>
        <v>0</v>
      </c>
    </row>
    <row r="781" spans="1:16">
      <c r="A781">
        <v>780</v>
      </c>
      <c r="B781" s="2">
        <v>45108</v>
      </c>
      <c r="C781">
        <v>36101</v>
      </c>
      <c r="D781">
        <v>11752</v>
      </c>
      <c r="E781">
        <v>1.75</v>
      </c>
      <c r="F781">
        <v>1.51</v>
      </c>
      <c r="G781">
        <v>0.88</v>
      </c>
      <c r="H781">
        <v>727</v>
      </c>
      <c r="I781">
        <v>0</v>
      </c>
      <c r="K781">
        <v>0</v>
      </c>
      <c r="L781">
        <v>12</v>
      </c>
      <c r="M781" t="s">
        <v>14</v>
      </c>
      <c r="N781">
        <v>0</v>
      </c>
      <c r="O781">
        <f t="shared" si="24"/>
        <v>0</v>
      </c>
      <c r="P781">
        <f t="shared" si="25"/>
        <v>0</v>
      </c>
    </row>
    <row r="782" spans="1:16">
      <c r="A782">
        <v>781</v>
      </c>
      <c r="B782" s="2">
        <v>44958</v>
      </c>
      <c r="C782">
        <v>73558</v>
      </c>
      <c r="D782">
        <v>19422</v>
      </c>
      <c r="E782">
        <v>2.52</v>
      </c>
      <c r="F782">
        <v>0.79</v>
      </c>
      <c r="G782">
        <v>0.93</v>
      </c>
      <c r="H782">
        <v>676</v>
      </c>
      <c r="I782">
        <v>0</v>
      </c>
      <c r="K782">
        <v>0</v>
      </c>
      <c r="L782">
        <v>12</v>
      </c>
      <c r="M782" t="s">
        <v>14</v>
      </c>
      <c r="N782">
        <v>0</v>
      </c>
      <c r="O782">
        <f t="shared" si="24"/>
        <v>0</v>
      </c>
      <c r="P782">
        <f t="shared" si="25"/>
        <v>0</v>
      </c>
    </row>
    <row r="783" spans="1:16">
      <c r="A783">
        <v>782</v>
      </c>
      <c r="B783" s="2">
        <v>45566</v>
      </c>
      <c r="C783">
        <v>49442</v>
      </c>
      <c r="D783">
        <v>24869</v>
      </c>
      <c r="E783">
        <v>1.55</v>
      </c>
      <c r="F783">
        <v>0.65</v>
      </c>
      <c r="G783">
        <v>0.81</v>
      </c>
      <c r="H783">
        <v>682</v>
      </c>
      <c r="I783">
        <v>0</v>
      </c>
      <c r="K783">
        <v>0</v>
      </c>
      <c r="L783">
        <v>12</v>
      </c>
      <c r="M783" t="s">
        <v>15</v>
      </c>
      <c r="N783">
        <v>0</v>
      </c>
      <c r="O783">
        <f t="shared" si="24"/>
        <v>0</v>
      </c>
      <c r="P783">
        <f t="shared" si="25"/>
        <v>0</v>
      </c>
    </row>
    <row r="784" spans="1:16">
      <c r="A784">
        <v>783</v>
      </c>
      <c r="B784" s="2">
        <v>45566</v>
      </c>
      <c r="C784">
        <v>35730</v>
      </c>
      <c r="D784">
        <v>10674</v>
      </c>
      <c r="E784">
        <v>0.9</v>
      </c>
      <c r="F784">
        <v>0.93</v>
      </c>
      <c r="G784">
        <v>1.2</v>
      </c>
      <c r="H784">
        <v>670</v>
      </c>
      <c r="I784">
        <v>1</v>
      </c>
      <c r="J784">
        <v>43043</v>
      </c>
      <c r="K784">
        <v>1</v>
      </c>
      <c r="L784">
        <v>12</v>
      </c>
      <c r="M784" t="s">
        <v>15</v>
      </c>
      <c r="N784">
        <v>0.3</v>
      </c>
      <c r="O784">
        <f t="shared" si="24"/>
        <v>1</v>
      </c>
      <c r="P784">
        <f t="shared" si="25"/>
        <v>0</v>
      </c>
    </row>
    <row r="785" spans="1:16">
      <c r="A785">
        <v>784</v>
      </c>
      <c r="B785" s="2">
        <v>44986</v>
      </c>
      <c r="C785">
        <v>61793</v>
      </c>
      <c r="D785">
        <v>46941</v>
      </c>
      <c r="E785">
        <v>1.8</v>
      </c>
      <c r="F785">
        <v>0.27</v>
      </c>
      <c r="G785">
        <v>2.0299999999999998</v>
      </c>
      <c r="H785">
        <v>747</v>
      </c>
      <c r="I785">
        <v>0</v>
      </c>
      <c r="K785">
        <v>0</v>
      </c>
      <c r="L785">
        <v>12</v>
      </c>
      <c r="M785" t="s">
        <v>14</v>
      </c>
      <c r="N785">
        <v>0</v>
      </c>
      <c r="O785">
        <f t="shared" si="24"/>
        <v>0</v>
      </c>
      <c r="P785">
        <f t="shared" si="25"/>
        <v>0</v>
      </c>
    </row>
    <row r="786" spans="1:16">
      <c r="A786">
        <v>785</v>
      </c>
      <c r="B786" s="2">
        <v>45444</v>
      </c>
      <c r="C786">
        <v>89647</v>
      </c>
      <c r="D786">
        <v>15694</v>
      </c>
      <c r="E786">
        <v>2.7</v>
      </c>
      <c r="F786">
        <v>1.28</v>
      </c>
      <c r="G786">
        <v>0.91</v>
      </c>
      <c r="H786">
        <v>612</v>
      </c>
      <c r="I786">
        <v>0</v>
      </c>
      <c r="K786">
        <v>0</v>
      </c>
      <c r="L786">
        <v>12</v>
      </c>
      <c r="M786" t="s">
        <v>15</v>
      </c>
      <c r="N786">
        <v>0</v>
      </c>
      <c r="O786">
        <f t="shared" si="24"/>
        <v>0</v>
      </c>
      <c r="P786">
        <f t="shared" si="25"/>
        <v>0</v>
      </c>
    </row>
    <row r="787" spans="1:16">
      <c r="A787">
        <v>786</v>
      </c>
      <c r="B787" s="2">
        <v>45261</v>
      </c>
      <c r="C787">
        <v>52186</v>
      </c>
      <c r="D787">
        <v>18928</v>
      </c>
      <c r="E787">
        <v>0.99</v>
      </c>
      <c r="F787">
        <v>1.18</v>
      </c>
      <c r="G787">
        <v>1.45</v>
      </c>
      <c r="H787">
        <v>713</v>
      </c>
      <c r="I787">
        <v>0</v>
      </c>
      <c r="K787">
        <v>0</v>
      </c>
      <c r="L787">
        <v>6</v>
      </c>
      <c r="M787" t="s">
        <v>14</v>
      </c>
      <c r="N787">
        <v>0.3</v>
      </c>
      <c r="O787">
        <f t="shared" si="24"/>
        <v>0</v>
      </c>
      <c r="P787">
        <f t="shared" si="25"/>
        <v>0</v>
      </c>
    </row>
    <row r="788" spans="1:16">
      <c r="A788">
        <v>787</v>
      </c>
      <c r="B788" s="2">
        <v>44927</v>
      </c>
      <c r="C788">
        <v>36561</v>
      </c>
      <c r="D788">
        <v>21293</v>
      </c>
      <c r="E788">
        <v>1.35</v>
      </c>
      <c r="F788">
        <v>0.68</v>
      </c>
      <c r="G788">
        <v>0.99</v>
      </c>
      <c r="H788">
        <v>741</v>
      </c>
      <c r="I788">
        <v>0</v>
      </c>
      <c r="K788">
        <v>0</v>
      </c>
      <c r="L788">
        <v>18</v>
      </c>
      <c r="M788" t="s">
        <v>14</v>
      </c>
      <c r="N788">
        <v>0</v>
      </c>
      <c r="O788">
        <f t="shared" si="24"/>
        <v>0</v>
      </c>
      <c r="P788">
        <f t="shared" si="25"/>
        <v>0</v>
      </c>
    </row>
    <row r="789" spans="1:16">
      <c r="A789">
        <v>788</v>
      </c>
      <c r="B789" s="2">
        <v>45566</v>
      </c>
      <c r="C789">
        <v>15480</v>
      </c>
      <c r="D789">
        <v>17946</v>
      </c>
      <c r="E789">
        <v>1.78</v>
      </c>
      <c r="F789">
        <v>1.83</v>
      </c>
      <c r="G789">
        <v>1.21</v>
      </c>
      <c r="H789">
        <v>719</v>
      </c>
      <c r="I789">
        <v>0</v>
      </c>
      <c r="K789">
        <v>0</v>
      </c>
      <c r="L789">
        <v>18</v>
      </c>
      <c r="M789" t="s">
        <v>15</v>
      </c>
      <c r="N789">
        <v>0</v>
      </c>
      <c r="O789">
        <f t="shared" si="24"/>
        <v>0</v>
      </c>
      <c r="P789">
        <f t="shared" si="25"/>
        <v>0</v>
      </c>
    </row>
    <row r="790" spans="1:16">
      <c r="A790">
        <v>789</v>
      </c>
      <c r="B790" s="2">
        <v>45261</v>
      </c>
      <c r="C790">
        <v>18173</v>
      </c>
      <c r="D790">
        <v>24035</v>
      </c>
      <c r="E790">
        <v>1.52</v>
      </c>
      <c r="F790">
        <v>0.41</v>
      </c>
      <c r="G790">
        <v>0.52</v>
      </c>
      <c r="H790">
        <v>808</v>
      </c>
      <c r="I790">
        <v>0</v>
      </c>
      <c r="K790">
        <v>0</v>
      </c>
      <c r="L790">
        <v>12</v>
      </c>
      <c r="M790" t="s">
        <v>14</v>
      </c>
      <c r="N790">
        <v>0.15</v>
      </c>
      <c r="O790">
        <f t="shared" si="24"/>
        <v>0</v>
      </c>
      <c r="P790">
        <f t="shared" si="25"/>
        <v>0</v>
      </c>
    </row>
    <row r="791" spans="1:16">
      <c r="A791">
        <v>790</v>
      </c>
      <c r="B791" s="2">
        <v>45047</v>
      </c>
      <c r="C791">
        <v>29780</v>
      </c>
      <c r="D791">
        <v>8673</v>
      </c>
      <c r="E791">
        <v>1.01</v>
      </c>
      <c r="F791">
        <v>1.99</v>
      </c>
      <c r="G791">
        <v>1.23</v>
      </c>
      <c r="H791">
        <v>651</v>
      </c>
      <c r="I791">
        <v>0</v>
      </c>
      <c r="K791">
        <v>0</v>
      </c>
      <c r="L791">
        <v>12</v>
      </c>
      <c r="M791" t="s">
        <v>14</v>
      </c>
      <c r="N791">
        <v>0</v>
      </c>
      <c r="O791">
        <f t="shared" si="24"/>
        <v>0</v>
      </c>
      <c r="P791">
        <f t="shared" si="25"/>
        <v>0</v>
      </c>
    </row>
    <row r="792" spans="1:16">
      <c r="A792">
        <v>791</v>
      </c>
      <c r="B792" s="2">
        <v>45413</v>
      </c>
      <c r="C792">
        <v>24436</v>
      </c>
      <c r="D792">
        <v>9038</v>
      </c>
      <c r="E792">
        <v>2.17</v>
      </c>
      <c r="F792">
        <v>1.01</v>
      </c>
      <c r="G792">
        <v>1.24</v>
      </c>
      <c r="H792">
        <v>733</v>
      </c>
      <c r="I792">
        <v>0</v>
      </c>
      <c r="K792">
        <v>0</v>
      </c>
      <c r="L792">
        <v>18</v>
      </c>
      <c r="M792" t="s">
        <v>15</v>
      </c>
      <c r="N792">
        <v>0</v>
      </c>
      <c r="O792">
        <f t="shared" si="24"/>
        <v>0</v>
      </c>
      <c r="P792">
        <f t="shared" si="25"/>
        <v>0</v>
      </c>
    </row>
    <row r="793" spans="1:16">
      <c r="A793">
        <v>792</v>
      </c>
      <c r="B793" s="2">
        <v>45383</v>
      </c>
      <c r="C793">
        <v>32160</v>
      </c>
      <c r="D793">
        <v>6185</v>
      </c>
      <c r="E793">
        <v>2.83</v>
      </c>
      <c r="F793">
        <v>0.71</v>
      </c>
      <c r="G793">
        <v>1.65</v>
      </c>
      <c r="I793">
        <v>0</v>
      </c>
      <c r="K793">
        <v>0</v>
      </c>
      <c r="L793">
        <v>18</v>
      </c>
      <c r="M793" t="s">
        <v>15</v>
      </c>
      <c r="N793">
        <v>0</v>
      </c>
      <c r="O793">
        <f t="shared" si="24"/>
        <v>0</v>
      </c>
      <c r="P793">
        <f t="shared" si="25"/>
        <v>0</v>
      </c>
    </row>
    <row r="794" spans="1:16">
      <c r="A794">
        <v>793</v>
      </c>
      <c r="B794" s="2">
        <v>45352</v>
      </c>
      <c r="C794">
        <v>37678</v>
      </c>
      <c r="D794">
        <v>18172</v>
      </c>
      <c r="E794">
        <v>1.66</v>
      </c>
      <c r="F794">
        <v>0.89</v>
      </c>
      <c r="G794">
        <v>1.47</v>
      </c>
      <c r="H794">
        <v>748</v>
      </c>
      <c r="I794">
        <v>0</v>
      </c>
      <c r="K794">
        <v>0</v>
      </c>
      <c r="L794">
        <v>6</v>
      </c>
      <c r="M794" t="s">
        <v>15</v>
      </c>
      <c r="N794">
        <v>0</v>
      </c>
      <c r="O794">
        <f t="shared" si="24"/>
        <v>0</v>
      </c>
      <c r="P794">
        <f t="shared" si="25"/>
        <v>0</v>
      </c>
    </row>
    <row r="795" spans="1:16">
      <c r="A795">
        <v>794</v>
      </c>
      <c r="B795" s="2">
        <v>45597</v>
      </c>
      <c r="C795">
        <v>51241</v>
      </c>
      <c r="D795">
        <v>23046</v>
      </c>
      <c r="E795">
        <v>1.05</v>
      </c>
      <c r="F795">
        <v>0.84</v>
      </c>
      <c r="G795">
        <v>0.69</v>
      </c>
      <c r="H795">
        <v>680</v>
      </c>
      <c r="I795">
        <v>0</v>
      </c>
      <c r="K795">
        <v>0</v>
      </c>
      <c r="L795">
        <v>6</v>
      </c>
      <c r="M795" t="s">
        <v>15</v>
      </c>
      <c r="N795">
        <v>0.15</v>
      </c>
      <c r="O795">
        <f t="shared" si="24"/>
        <v>0</v>
      </c>
      <c r="P795">
        <f t="shared" si="25"/>
        <v>0</v>
      </c>
    </row>
    <row r="796" spans="1:16">
      <c r="A796">
        <v>795</v>
      </c>
      <c r="B796" s="2">
        <v>45352</v>
      </c>
      <c r="C796">
        <v>34689</v>
      </c>
      <c r="D796">
        <v>18406</v>
      </c>
      <c r="E796">
        <v>0.7</v>
      </c>
      <c r="F796">
        <v>2.13</v>
      </c>
      <c r="G796">
        <v>1.95</v>
      </c>
      <c r="H796">
        <v>659</v>
      </c>
      <c r="I796">
        <v>0</v>
      </c>
      <c r="K796">
        <v>0</v>
      </c>
      <c r="L796">
        <v>18</v>
      </c>
      <c r="M796" t="s">
        <v>15</v>
      </c>
      <c r="N796">
        <v>0.64999999999999991</v>
      </c>
      <c r="O796">
        <f t="shared" si="24"/>
        <v>0</v>
      </c>
      <c r="P796">
        <f t="shared" si="25"/>
        <v>0</v>
      </c>
    </row>
    <row r="797" spans="1:16">
      <c r="A797">
        <v>796</v>
      </c>
      <c r="B797" s="2">
        <v>45047</v>
      </c>
      <c r="C797">
        <v>49823</v>
      </c>
      <c r="D797">
        <v>43137</v>
      </c>
      <c r="E797">
        <v>1.69</v>
      </c>
      <c r="F797">
        <v>0.43</v>
      </c>
      <c r="G797">
        <v>1.47</v>
      </c>
      <c r="H797">
        <v>752</v>
      </c>
      <c r="I797">
        <v>0</v>
      </c>
      <c r="K797">
        <v>0</v>
      </c>
      <c r="L797">
        <v>12</v>
      </c>
      <c r="M797" t="s">
        <v>14</v>
      </c>
      <c r="N797">
        <v>0</v>
      </c>
      <c r="O797">
        <f t="shared" si="24"/>
        <v>0</v>
      </c>
      <c r="P797">
        <f t="shared" si="25"/>
        <v>0</v>
      </c>
    </row>
    <row r="798" spans="1:16">
      <c r="A798">
        <v>797</v>
      </c>
      <c r="B798" s="2">
        <v>45536</v>
      </c>
      <c r="C798">
        <v>37870</v>
      </c>
      <c r="D798">
        <v>13307</v>
      </c>
      <c r="E798">
        <v>2.16</v>
      </c>
      <c r="F798">
        <v>0.53</v>
      </c>
      <c r="G798">
        <v>1.46</v>
      </c>
      <c r="H798">
        <v>653</v>
      </c>
      <c r="I798">
        <v>0</v>
      </c>
      <c r="K798">
        <v>0</v>
      </c>
      <c r="L798">
        <v>12</v>
      </c>
      <c r="M798" t="s">
        <v>15</v>
      </c>
      <c r="N798">
        <v>0</v>
      </c>
      <c r="O798">
        <f t="shared" si="24"/>
        <v>0</v>
      </c>
      <c r="P798">
        <f t="shared" si="25"/>
        <v>0</v>
      </c>
    </row>
    <row r="799" spans="1:16">
      <c r="A799">
        <v>798</v>
      </c>
      <c r="B799" s="2">
        <v>45323</v>
      </c>
      <c r="C799">
        <v>10056</v>
      </c>
      <c r="D799">
        <v>21335</v>
      </c>
      <c r="E799">
        <v>1.81</v>
      </c>
      <c r="F799">
        <v>1.87</v>
      </c>
      <c r="G799">
        <v>1.34</v>
      </c>
      <c r="H799">
        <v>602</v>
      </c>
      <c r="I799">
        <v>0</v>
      </c>
      <c r="K799">
        <v>0</v>
      </c>
      <c r="L799">
        <v>6</v>
      </c>
      <c r="M799" t="s">
        <v>15</v>
      </c>
      <c r="N799">
        <v>0</v>
      </c>
      <c r="O799">
        <f t="shared" si="24"/>
        <v>0</v>
      </c>
      <c r="P799">
        <f t="shared" si="25"/>
        <v>0</v>
      </c>
    </row>
    <row r="800" spans="1:16">
      <c r="A800">
        <v>799</v>
      </c>
      <c r="B800" s="2">
        <v>44958</v>
      </c>
      <c r="C800">
        <v>19721</v>
      </c>
      <c r="D800">
        <v>6222</v>
      </c>
      <c r="E800">
        <v>1.55</v>
      </c>
      <c r="F800">
        <v>0.6</v>
      </c>
      <c r="G800">
        <v>1.07</v>
      </c>
      <c r="H800">
        <v>652</v>
      </c>
      <c r="I800">
        <v>0</v>
      </c>
      <c r="K800">
        <v>0</v>
      </c>
      <c r="L800">
        <v>12</v>
      </c>
      <c r="M800" t="s">
        <v>14</v>
      </c>
      <c r="N800">
        <v>0</v>
      </c>
      <c r="O800">
        <f t="shared" si="24"/>
        <v>0</v>
      </c>
      <c r="P800">
        <f t="shared" si="25"/>
        <v>0</v>
      </c>
    </row>
    <row r="801" spans="1:16">
      <c r="A801">
        <v>800</v>
      </c>
      <c r="B801" s="2">
        <v>45231</v>
      </c>
      <c r="C801">
        <v>33069</v>
      </c>
      <c r="D801">
        <v>10189</v>
      </c>
      <c r="E801">
        <v>1.23</v>
      </c>
      <c r="F801">
        <v>1.7</v>
      </c>
      <c r="G801">
        <v>1.47</v>
      </c>
      <c r="H801">
        <v>714</v>
      </c>
      <c r="I801">
        <v>1</v>
      </c>
      <c r="J801">
        <v>20671</v>
      </c>
      <c r="K801">
        <v>1</v>
      </c>
      <c r="L801">
        <v>18</v>
      </c>
      <c r="M801" t="s">
        <v>14</v>
      </c>
      <c r="N801">
        <v>0</v>
      </c>
      <c r="O801">
        <f t="shared" si="24"/>
        <v>1</v>
      </c>
      <c r="P801">
        <f t="shared" si="25"/>
        <v>0</v>
      </c>
    </row>
    <row r="802" spans="1:16">
      <c r="A802">
        <v>801</v>
      </c>
      <c r="B802" s="2">
        <v>45474</v>
      </c>
      <c r="C802">
        <v>16543</v>
      </c>
      <c r="D802">
        <v>21739</v>
      </c>
      <c r="E802">
        <v>0.95</v>
      </c>
      <c r="F802">
        <v>2.97</v>
      </c>
      <c r="G802">
        <v>1.61</v>
      </c>
      <c r="H802">
        <v>757</v>
      </c>
      <c r="I802">
        <v>0</v>
      </c>
      <c r="K802">
        <v>0</v>
      </c>
      <c r="L802">
        <v>12</v>
      </c>
      <c r="M802" t="s">
        <v>15</v>
      </c>
      <c r="N802">
        <v>0.64999999999999991</v>
      </c>
      <c r="O802">
        <f t="shared" si="24"/>
        <v>0</v>
      </c>
      <c r="P802">
        <f t="shared" si="25"/>
        <v>0</v>
      </c>
    </row>
    <row r="803" spans="1:16">
      <c r="A803">
        <v>802</v>
      </c>
      <c r="B803" s="2">
        <v>45108</v>
      </c>
      <c r="C803">
        <v>53635</v>
      </c>
      <c r="D803">
        <v>24206</v>
      </c>
      <c r="E803">
        <v>2.0099999999999998</v>
      </c>
      <c r="F803">
        <v>0.68</v>
      </c>
      <c r="G803">
        <v>0.39</v>
      </c>
      <c r="H803">
        <v>686</v>
      </c>
      <c r="I803">
        <v>0</v>
      </c>
      <c r="K803">
        <v>0</v>
      </c>
      <c r="L803">
        <v>12</v>
      </c>
      <c r="M803" t="s">
        <v>14</v>
      </c>
      <c r="N803">
        <v>0.15</v>
      </c>
      <c r="O803">
        <f t="shared" si="24"/>
        <v>0</v>
      </c>
      <c r="P803">
        <f t="shared" si="25"/>
        <v>0</v>
      </c>
    </row>
    <row r="804" spans="1:16">
      <c r="A804">
        <v>803</v>
      </c>
      <c r="B804" s="2">
        <v>45078</v>
      </c>
      <c r="C804">
        <v>98222</v>
      </c>
      <c r="D804">
        <v>10875</v>
      </c>
      <c r="E804">
        <v>2.0499999999999998</v>
      </c>
      <c r="F804">
        <v>1.46</v>
      </c>
      <c r="G804">
        <v>1.05</v>
      </c>
      <c r="H804">
        <v>753</v>
      </c>
      <c r="I804">
        <v>0</v>
      </c>
      <c r="K804">
        <v>0</v>
      </c>
      <c r="L804">
        <v>12</v>
      </c>
      <c r="M804" t="s">
        <v>14</v>
      </c>
      <c r="N804">
        <v>0</v>
      </c>
      <c r="O804">
        <f t="shared" si="24"/>
        <v>0</v>
      </c>
      <c r="P804">
        <f t="shared" si="25"/>
        <v>0</v>
      </c>
    </row>
    <row r="805" spans="1:16">
      <c r="A805">
        <v>804</v>
      </c>
      <c r="B805" s="2">
        <v>44958</v>
      </c>
      <c r="C805">
        <v>80193</v>
      </c>
      <c r="D805">
        <v>12707</v>
      </c>
      <c r="E805">
        <v>0.7</v>
      </c>
      <c r="F805">
        <v>0.4</v>
      </c>
      <c r="G805">
        <v>1.21</v>
      </c>
      <c r="H805">
        <v>605</v>
      </c>
      <c r="I805">
        <v>0</v>
      </c>
      <c r="K805">
        <v>0</v>
      </c>
      <c r="L805">
        <v>12</v>
      </c>
      <c r="M805" t="s">
        <v>14</v>
      </c>
      <c r="N805">
        <v>0.3</v>
      </c>
      <c r="O805">
        <f t="shared" si="24"/>
        <v>0</v>
      </c>
      <c r="P805">
        <f t="shared" si="25"/>
        <v>0</v>
      </c>
    </row>
    <row r="806" spans="1:16">
      <c r="A806">
        <v>805</v>
      </c>
      <c r="B806" s="2">
        <v>45078</v>
      </c>
      <c r="C806">
        <v>31611</v>
      </c>
      <c r="D806">
        <v>4617</v>
      </c>
      <c r="E806">
        <v>2.42</v>
      </c>
      <c r="F806">
        <v>1.53</v>
      </c>
      <c r="G806">
        <v>1.49</v>
      </c>
      <c r="H806">
        <v>656</v>
      </c>
      <c r="I806">
        <v>0</v>
      </c>
      <c r="K806">
        <v>0</v>
      </c>
      <c r="L806">
        <v>12</v>
      </c>
      <c r="M806" t="s">
        <v>14</v>
      </c>
      <c r="N806">
        <v>0</v>
      </c>
      <c r="O806">
        <f t="shared" si="24"/>
        <v>0</v>
      </c>
      <c r="P806">
        <f t="shared" si="25"/>
        <v>0</v>
      </c>
    </row>
    <row r="807" spans="1:16">
      <c r="A807">
        <v>806</v>
      </c>
      <c r="B807" s="2">
        <v>45444</v>
      </c>
      <c r="C807">
        <v>95700</v>
      </c>
      <c r="D807">
        <v>10405</v>
      </c>
      <c r="E807">
        <v>1.87</v>
      </c>
      <c r="F807">
        <v>1.04</v>
      </c>
      <c r="G807">
        <v>2.0099999999999998</v>
      </c>
      <c r="H807">
        <v>664</v>
      </c>
      <c r="I807">
        <v>0</v>
      </c>
      <c r="K807">
        <v>0</v>
      </c>
      <c r="L807">
        <v>18</v>
      </c>
      <c r="M807" t="s">
        <v>15</v>
      </c>
      <c r="N807">
        <v>0</v>
      </c>
      <c r="O807">
        <f t="shared" si="24"/>
        <v>0</v>
      </c>
      <c r="P807">
        <f t="shared" si="25"/>
        <v>0</v>
      </c>
    </row>
    <row r="808" spans="1:16">
      <c r="A808">
        <v>807</v>
      </c>
      <c r="B808" s="2">
        <v>44958</v>
      </c>
      <c r="C808">
        <v>40000</v>
      </c>
      <c r="D808">
        <v>24916</v>
      </c>
      <c r="E808">
        <v>2.3199999999999998</v>
      </c>
      <c r="F808">
        <v>1.26</v>
      </c>
      <c r="G808">
        <v>0.93</v>
      </c>
      <c r="H808">
        <v>674</v>
      </c>
      <c r="I808">
        <v>0</v>
      </c>
      <c r="K808">
        <v>0</v>
      </c>
      <c r="L808">
        <v>18</v>
      </c>
      <c r="M808" t="s">
        <v>14</v>
      </c>
      <c r="N808">
        <v>0</v>
      </c>
      <c r="O808">
        <f t="shared" si="24"/>
        <v>0</v>
      </c>
      <c r="P808">
        <f t="shared" si="25"/>
        <v>0</v>
      </c>
    </row>
    <row r="809" spans="1:16">
      <c r="A809">
        <v>808</v>
      </c>
      <c r="B809" s="2">
        <v>45444</v>
      </c>
      <c r="C809">
        <v>29170</v>
      </c>
      <c r="D809">
        <v>19983</v>
      </c>
      <c r="E809">
        <v>0.81</v>
      </c>
      <c r="F809">
        <v>0.57999999999999996</v>
      </c>
      <c r="G809">
        <v>1.08</v>
      </c>
      <c r="H809">
        <v>685</v>
      </c>
      <c r="I809">
        <v>0</v>
      </c>
      <c r="K809">
        <v>0</v>
      </c>
      <c r="L809">
        <v>18</v>
      </c>
      <c r="M809" t="s">
        <v>15</v>
      </c>
      <c r="N809">
        <v>0.3</v>
      </c>
      <c r="O809">
        <f t="shared" si="24"/>
        <v>0</v>
      </c>
      <c r="P809">
        <f t="shared" si="25"/>
        <v>0</v>
      </c>
    </row>
    <row r="810" spans="1:16">
      <c r="A810">
        <v>809</v>
      </c>
      <c r="B810" s="2">
        <v>45352</v>
      </c>
      <c r="C810">
        <v>24374</v>
      </c>
      <c r="D810">
        <v>18967</v>
      </c>
      <c r="E810">
        <v>0.8</v>
      </c>
      <c r="F810">
        <v>0.28000000000000003</v>
      </c>
      <c r="G810">
        <v>1.07</v>
      </c>
      <c r="H810">
        <v>718</v>
      </c>
      <c r="I810">
        <v>0</v>
      </c>
      <c r="K810">
        <v>0</v>
      </c>
      <c r="L810">
        <v>6</v>
      </c>
      <c r="M810" t="s">
        <v>15</v>
      </c>
      <c r="N810">
        <v>0.3</v>
      </c>
      <c r="O810">
        <f t="shared" si="24"/>
        <v>0</v>
      </c>
      <c r="P810">
        <f t="shared" si="25"/>
        <v>0</v>
      </c>
    </row>
    <row r="811" spans="1:16">
      <c r="A811">
        <v>810</v>
      </c>
      <c r="B811" s="2">
        <v>45474</v>
      </c>
      <c r="C811">
        <v>29834</v>
      </c>
      <c r="D811">
        <v>13833</v>
      </c>
      <c r="E811">
        <v>1.47</v>
      </c>
      <c r="F811">
        <v>1.29</v>
      </c>
      <c r="G811">
        <v>0.91</v>
      </c>
      <c r="H811">
        <v>656</v>
      </c>
      <c r="I811">
        <v>0</v>
      </c>
      <c r="K811">
        <v>0</v>
      </c>
      <c r="L811">
        <v>12</v>
      </c>
      <c r="M811" t="s">
        <v>15</v>
      </c>
      <c r="N811">
        <v>0</v>
      </c>
      <c r="O811">
        <f t="shared" si="24"/>
        <v>0</v>
      </c>
      <c r="P811">
        <f t="shared" si="25"/>
        <v>0</v>
      </c>
    </row>
    <row r="812" spans="1:16">
      <c r="A812">
        <v>811</v>
      </c>
      <c r="B812" s="2">
        <v>44958</v>
      </c>
      <c r="D812">
        <v>13426</v>
      </c>
      <c r="E812">
        <v>1.83</v>
      </c>
      <c r="F812">
        <v>0.21</v>
      </c>
      <c r="G812">
        <v>1.1599999999999999</v>
      </c>
      <c r="H812">
        <v>688</v>
      </c>
      <c r="I812">
        <v>0</v>
      </c>
      <c r="J812">
        <v>15560</v>
      </c>
      <c r="K812">
        <v>1</v>
      </c>
      <c r="L812">
        <v>12</v>
      </c>
      <c r="M812" t="s">
        <v>14</v>
      </c>
      <c r="N812">
        <v>0</v>
      </c>
      <c r="O812">
        <f t="shared" si="24"/>
        <v>1</v>
      </c>
      <c r="P812">
        <f t="shared" si="25"/>
        <v>1</v>
      </c>
    </row>
    <row r="813" spans="1:16">
      <c r="A813">
        <v>812</v>
      </c>
      <c r="B813" s="2">
        <v>45505</v>
      </c>
      <c r="C813">
        <v>40569</v>
      </c>
      <c r="D813">
        <v>8415</v>
      </c>
      <c r="E813">
        <v>2.54</v>
      </c>
      <c r="F813">
        <v>0.72</v>
      </c>
      <c r="G813">
        <v>1.77</v>
      </c>
      <c r="H813">
        <v>678</v>
      </c>
      <c r="I813">
        <v>0</v>
      </c>
      <c r="K813">
        <v>0</v>
      </c>
      <c r="L813">
        <v>12</v>
      </c>
      <c r="M813" t="s">
        <v>15</v>
      </c>
      <c r="N813">
        <v>0</v>
      </c>
      <c r="O813">
        <f t="shared" si="24"/>
        <v>0</v>
      </c>
      <c r="P813">
        <f t="shared" si="25"/>
        <v>0</v>
      </c>
    </row>
    <row r="814" spans="1:16">
      <c r="A814">
        <v>813</v>
      </c>
      <c r="B814" s="2">
        <v>45078</v>
      </c>
      <c r="C814">
        <v>40311</v>
      </c>
      <c r="D814">
        <v>21789</v>
      </c>
      <c r="E814">
        <v>1.94</v>
      </c>
      <c r="F814">
        <v>1.75</v>
      </c>
      <c r="G814">
        <v>0.77</v>
      </c>
      <c r="H814">
        <v>629</v>
      </c>
      <c r="I814">
        <v>0</v>
      </c>
      <c r="K814">
        <v>0</v>
      </c>
      <c r="L814">
        <v>18</v>
      </c>
      <c r="M814" t="s">
        <v>14</v>
      </c>
      <c r="N814">
        <v>0.15</v>
      </c>
      <c r="O814">
        <f t="shared" si="24"/>
        <v>0</v>
      </c>
      <c r="P814">
        <f t="shared" si="25"/>
        <v>0</v>
      </c>
    </row>
    <row r="815" spans="1:16">
      <c r="A815">
        <v>814</v>
      </c>
      <c r="B815" s="2">
        <v>44927</v>
      </c>
      <c r="C815">
        <v>36387</v>
      </c>
      <c r="D815">
        <v>17938</v>
      </c>
      <c r="E815">
        <v>1.42</v>
      </c>
      <c r="F815">
        <v>1.03</v>
      </c>
      <c r="G815">
        <v>1.59</v>
      </c>
      <c r="H815">
        <v>674</v>
      </c>
      <c r="I815">
        <v>0</v>
      </c>
      <c r="K815">
        <v>0</v>
      </c>
      <c r="L815">
        <v>12</v>
      </c>
      <c r="M815" t="s">
        <v>14</v>
      </c>
      <c r="N815">
        <v>0</v>
      </c>
      <c r="O815">
        <f t="shared" si="24"/>
        <v>0</v>
      </c>
      <c r="P815">
        <f t="shared" si="25"/>
        <v>0</v>
      </c>
    </row>
    <row r="816" spans="1:16">
      <c r="A816">
        <v>815</v>
      </c>
      <c r="B816" s="2">
        <v>45627</v>
      </c>
      <c r="C816">
        <v>48243</v>
      </c>
      <c r="D816">
        <v>18853</v>
      </c>
      <c r="E816">
        <v>0.99</v>
      </c>
      <c r="F816">
        <v>3.54</v>
      </c>
      <c r="G816">
        <v>0.41</v>
      </c>
      <c r="H816">
        <v>672</v>
      </c>
      <c r="I816">
        <v>0</v>
      </c>
      <c r="K816">
        <v>0</v>
      </c>
      <c r="L816">
        <v>12</v>
      </c>
      <c r="M816" t="s">
        <v>15</v>
      </c>
      <c r="N816">
        <v>0.79999999999999993</v>
      </c>
      <c r="O816">
        <f t="shared" si="24"/>
        <v>0</v>
      </c>
      <c r="P816">
        <f t="shared" si="25"/>
        <v>0</v>
      </c>
    </row>
    <row r="817" spans="1:16">
      <c r="A817">
        <v>816</v>
      </c>
      <c r="B817" s="2">
        <v>45352</v>
      </c>
      <c r="C817">
        <v>78741</v>
      </c>
      <c r="D817">
        <v>9244</v>
      </c>
      <c r="E817">
        <v>2.23</v>
      </c>
      <c r="F817">
        <v>1.85</v>
      </c>
      <c r="G817">
        <v>1.04</v>
      </c>
      <c r="H817">
        <v>671</v>
      </c>
      <c r="I817">
        <v>0</v>
      </c>
      <c r="K817">
        <v>0</v>
      </c>
      <c r="L817">
        <v>12</v>
      </c>
      <c r="M817" t="s">
        <v>15</v>
      </c>
      <c r="N817">
        <v>0</v>
      </c>
      <c r="O817">
        <f t="shared" si="24"/>
        <v>0</v>
      </c>
      <c r="P817">
        <f t="shared" si="25"/>
        <v>0</v>
      </c>
    </row>
    <row r="818" spans="1:16">
      <c r="A818">
        <v>817</v>
      </c>
      <c r="B818" s="2">
        <v>45597</v>
      </c>
      <c r="C818">
        <v>67320</v>
      </c>
      <c r="D818">
        <v>2959</v>
      </c>
      <c r="E818">
        <v>1.02</v>
      </c>
      <c r="F818">
        <v>0.56999999999999995</v>
      </c>
      <c r="G818">
        <v>1.17</v>
      </c>
      <c r="H818">
        <v>682</v>
      </c>
      <c r="I818">
        <v>0</v>
      </c>
      <c r="K818">
        <v>0</v>
      </c>
      <c r="L818">
        <v>12</v>
      </c>
      <c r="M818" t="s">
        <v>15</v>
      </c>
      <c r="N818">
        <v>0</v>
      </c>
      <c r="O818">
        <f t="shared" si="24"/>
        <v>0</v>
      </c>
      <c r="P818">
        <f t="shared" si="25"/>
        <v>0</v>
      </c>
    </row>
    <row r="819" spans="1:16">
      <c r="A819">
        <v>818</v>
      </c>
      <c r="B819" s="2">
        <v>45200</v>
      </c>
      <c r="C819">
        <v>13833</v>
      </c>
      <c r="D819">
        <v>28796</v>
      </c>
      <c r="E819">
        <v>2.4500000000000002</v>
      </c>
      <c r="F819">
        <v>0.92</v>
      </c>
      <c r="G819">
        <v>2.27</v>
      </c>
      <c r="H819">
        <v>684</v>
      </c>
      <c r="I819">
        <v>0</v>
      </c>
      <c r="K819">
        <v>0</v>
      </c>
      <c r="L819">
        <v>12</v>
      </c>
      <c r="M819" t="s">
        <v>14</v>
      </c>
      <c r="N819">
        <v>0</v>
      </c>
      <c r="O819">
        <f t="shared" si="24"/>
        <v>0</v>
      </c>
      <c r="P819">
        <f t="shared" si="25"/>
        <v>0</v>
      </c>
    </row>
    <row r="820" spans="1:16">
      <c r="A820">
        <v>819</v>
      </c>
      <c r="B820" s="2">
        <v>45474</v>
      </c>
      <c r="C820">
        <v>6905</v>
      </c>
      <c r="D820">
        <v>9555</v>
      </c>
      <c r="E820">
        <v>1.39</v>
      </c>
      <c r="F820">
        <v>0.88</v>
      </c>
      <c r="G820">
        <v>1.2</v>
      </c>
      <c r="H820">
        <v>656</v>
      </c>
      <c r="I820">
        <v>0</v>
      </c>
      <c r="K820">
        <v>0</v>
      </c>
      <c r="L820">
        <v>12</v>
      </c>
      <c r="M820" t="s">
        <v>15</v>
      </c>
      <c r="N820">
        <v>0</v>
      </c>
      <c r="O820">
        <f t="shared" si="24"/>
        <v>0</v>
      </c>
      <c r="P820">
        <f t="shared" si="25"/>
        <v>0</v>
      </c>
    </row>
    <row r="821" spans="1:16">
      <c r="A821">
        <v>820</v>
      </c>
      <c r="B821" s="2">
        <v>45413</v>
      </c>
      <c r="C821">
        <v>66657</v>
      </c>
      <c r="D821">
        <v>7303</v>
      </c>
      <c r="E821">
        <v>2.42</v>
      </c>
      <c r="F821">
        <v>0.3</v>
      </c>
      <c r="G821">
        <v>0.14000000000000001</v>
      </c>
      <c r="H821">
        <v>750</v>
      </c>
      <c r="I821">
        <v>0</v>
      </c>
      <c r="K821">
        <v>0</v>
      </c>
      <c r="L821">
        <v>6</v>
      </c>
      <c r="M821" t="s">
        <v>15</v>
      </c>
      <c r="N821">
        <v>0.15</v>
      </c>
      <c r="O821">
        <f t="shared" si="24"/>
        <v>0</v>
      </c>
      <c r="P821">
        <f t="shared" si="25"/>
        <v>0</v>
      </c>
    </row>
    <row r="822" spans="1:16">
      <c r="A822">
        <v>821</v>
      </c>
      <c r="B822" s="2">
        <v>45047</v>
      </c>
      <c r="D822">
        <v>21708</v>
      </c>
      <c r="E822">
        <v>1.92</v>
      </c>
      <c r="F822">
        <v>0.47</v>
      </c>
      <c r="G822">
        <v>0.25</v>
      </c>
      <c r="H822">
        <v>616</v>
      </c>
      <c r="I822">
        <v>0</v>
      </c>
      <c r="K822">
        <v>0</v>
      </c>
      <c r="L822">
        <v>12</v>
      </c>
      <c r="M822" t="s">
        <v>14</v>
      </c>
      <c r="N822">
        <v>0.15</v>
      </c>
      <c r="O822">
        <f t="shared" si="24"/>
        <v>0</v>
      </c>
      <c r="P822">
        <f t="shared" si="25"/>
        <v>0</v>
      </c>
    </row>
    <row r="823" spans="1:16">
      <c r="A823">
        <v>822</v>
      </c>
      <c r="B823" s="2">
        <v>45017</v>
      </c>
      <c r="C823">
        <v>31379</v>
      </c>
      <c r="D823">
        <v>10154</v>
      </c>
      <c r="E823">
        <v>1.47</v>
      </c>
      <c r="F823">
        <v>0.61</v>
      </c>
      <c r="G823">
        <v>1.37</v>
      </c>
      <c r="H823">
        <v>640</v>
      </c>
      <c r="I823">
        <v>0</v>
      </c>
      <c r="K823">
        <v>0</v>
      </c>
      <c r="L823">
        <v>12</v>
      </c>
      <c r="M823" t="s">
        <v>14</v>
      </c>
      <c r="N823">
        <v>0</v>
      </c>
      <c r="O823">
        <f t="shared" si="24"/>
        <v>0</v>
      </c>
      <c r="P823">
        <f t="shared" si="25"/>
        <v>0</v>
      </c>
    </row>
    <row r="824" spans="1:16">
      <c r="A824">
        <v>823</v>
      </c>
      <c r="B824" s="2">
        <v>45200</v>
      </c>
      <c r="C824">
        <v>16974</v>
      </c>
      <c r="D824">
        <v>28056</v>
      </c>
      <c r="E824">
        <v>1.26</v>
      </c>
      <c r="F824">
        <v>0.22</v>
      </c>
      <c r="G824">
        <v>1.69</v>
      </c>
      <c r="H824">
        <v>833</v>
      </c>
      <c r="I824">
        <v>1</v>
      </c>
      <c r="J824">
        <v>44911</v>
      </c>
      <c r="K824">
        <v>1</v>
      </c>
      <c r="L824">
        <v>12</v>
      </c>
      <c r="M824" t="s">
        <v>14</v>
      </c>
      <c r="N824">
        <v>0</v>
      </c>
      <c r="O824">
        <f t="shared" si="24"/>
        <v>1</v>
      </c>
      <c r="P824">
        <f t="shared" si="25"/>
        <v>0</v>
      </c>
    </row>
    <row r="825" spans="1:16">
      <c r="A825">
        <v>824</v>
      </c>
      <c r="B825" s="2">
        <v>45627</v>
      </c>
      <c r="C825">
        <v>11257</v>
      </c>
      <c r="D825">
        <v>20576</v>
      </c>
      <c r="E825">
        <v>1.36</v>
      </c>
      <c r="F825">
        <v>0.94</v>
      </c>
      <c r="G825">
        <v>1.56</v>
      </c>
      <c r="H825">
        <v>623</v>
      </c>
      <c r="I825">
        <v>0</v>
      </c>
      <c r="K825">
        <v>0</v>
      </c>
      <c r="L825">
        <v>12</v>
      </c>
      <c r="M825" t="s">
        <v>15</v>
      </c>
      <c r="N825">
        <v>0</v>
      </c>
      <c r="O825">
        <f t="shared" si="24"/>
        <v>0</v>
      </c>
      <c r="P825">
        <f t="shared" si="25"/>
        <v>0</v>
      </c>
    </row>
    <row r="826" spans="1:16">
      <c r="A826">
        <v>825</v>
      </c>
      <c r="B826" s="2">
        <v>45413</v>
      </c>
      <c r="C826">
        <v>51635</v>
      </c>
      <c r="D826">
        <v>21558</v>
      </c>
      <c r="E826">
        <v>1.79</v>
      </c>
      <c r="F826">
        <v>0.76</v>
      </c>
      <c r="G826">
        <v>1.44</v>
      </c>
      <c r="H826">
        <v>606</v>
      </c>
      <c r="I826">
        <v>0</v>
      </c>
      <c r="K826">
        <v>0</v>
      </c>
      <c r="L826">
        <v>12</v>
      </c>
      <c r="M826" t="s">
        <v>15</v>
      </c>
      <c r="N826">
        <v>0</v>
      </c>
      <c r="O826">
        <f t="shared" si="24"/>
        <v>0</v>
      </c>
      <c r="P826">
        <f t="shared" si="25"/>
        <v>0</v>
      </c>
    </row>
    <row r="827" spans="1:16">
      <c r="A827">
        <v>826</v>
      </c>
      <c r="B827" s="2">
        <v>45200</v>
      </c>
      <c r="C827">
        <v>59483</v>
      </c>
      <c r="D827">
        <v>5135</v>
      </c>
      <c r="E827">
        <v>1.59</v>
      </c>
      <c r="F827">
        <v>0.28000000000000003</v>
      </c>
      <c r="G827">
        <v>1.99</v>
      </c>
      <c r="H827">
        <v>720</v>
      </c>
      <c r="I827">
        <v>0</v>
      </c>
      <c r="K827">
        <v>0</v>
      </c>
      <c r="L827">
        <v>6</v>
      </c>
      <c r="M827" t="s">
        <v>14</v>
      </c>
      <c r="N827">
        <v>0</v>
      </c>
      <c r="O827">
        <f t="shared" si="24"/>
        <v>0</v>
      </c>
      <c r="P827">
        <f t="shared" si="25"/>
        <v>0</v>
      </c>
    </row>
    <row r="828" spans="1:16">
      <c r="A828">
        <v>827</v>
      </c>
      <c r="B828" s="2">
        <v>45413</v>
      </c>
      <c r="C828">
        <v>24966</v>
      </c>
      <c r="D828">
        <v>31206</v>
      </c>
      <c r="E828">
        <v>1.22</v>
      </c>
      <c r="F828">
        <v>1.2</v>
      </c>
      <c r="G828">
        <v>1.05</v>
      </c>
      <c r="H828">
        <v>566</v>
      </c>
      <c r="I828">
        <v>0</v>
      </c>
      <c r="K828">
        <v>0</v>
      </c>
      <c r="L828">
        <v>12</v>
      </c>
      <c r="M828" t="s">
        <v>15</v>
      </c>
      <c r="N828">
        <v>0.2</v>
      </c>
      <c r="O828">
        <f t="shared" si="24"/>
        <v>0</v>
      </c>
      <c r="P828">
        <f t="shared" si="25"/>
        <v>0</v>
      </c>
    </row>
    <row r="829" spans="1:16">
      <c r="A829">
        <v>828</v>
      </c>
      <c r="B829" s="2">
        <v>45505</v>
      </c>
      <c r="C829">
        <v>6740</v>
      </c>
      <c r="D829">
        <v>16041</v>
      </c>
      <c r="E829">
        <v>1.46</v>
      </c>
      <c r="F829">
        <v>1.49</v>
      </c>
      <c r="G829">
        <v>1.84</v>
      </c>
      <c r="H829">
        <v>667</v>
      </c>
      <c r="I829">
        <v>0</v>
      </c>
      <c r="K829">
        <v>0</v>
      </c>
      <c r="L829">
        <v>12</v>
      </c>
      <c r="M829" t="s">
        <v>15</v>
      </c>
      <c r="N829">
        <v>0</v>
      </c>
      <c r="O829">
        <f t="shared" si="24"/>
        <v>0</v>
      </c>
      <c r="P829">
        <f t="shared" si="25"/>
        <v>0</v>
      </c>
    </row>
    <row r="830" spans="1:16">
      <c r="A830">
        <v>829</v>
      </c>
      <c r="B830" s="2">
        <v>45627</v>
      </c>
      <c r="C830">
        <v>25462</v>
      </c>
      <c r="D830">
        <v>10317</v>
      </c>
      <c r="E830">
        <v>1.59</v>
      </c>
      <c r="F830">
        <v>1.06</v>
      </c>
      <c r="G830">
        <v>0.45</v>
      </c>
      <c r="H830">
        <v>798</v>
      </c>
      <c r="I830">
        <v>0</v>
      </c>
      <c r="K830">
        <v>0</v>
      </c>
      <c r="L830">
        <v>18</v>
      </c>
      <c r="M830" t="s">
        <v>15</v>
      </c>
      <c r="N830">
        <v>0.15</v>
      </c>
      <c r="O830">
        <f t="shared" si="24"/>
        <v>0</v>
      </c>
      <c r="P830">
        <f t="shared" si="25"/>
        <v>0</v>
      </c>
    </row>
    <row r="831" spans="1:16">
      <c r="A831">
        <v>830</v>
      </c>
      <c r="B831" s="2">
        <v>45047</v>
      </c>
      <c r="C831">
        <v>46848</v>
      </c>
      <c r="D831">
        <v>14770</v>
      </c>
      <c r="E831">
        <v>0.38</v>
      </c>
      <c r="F831">
        <v>0.72</v>
      </c>
      <c r="G831">
        <v>0.85</v>
      </c>
      <c r="H831">
        <v>595</v>
      </c>
      <c r="I831">
        <v>0</v>
      </c>
      <c r="J831">
        <v>49161</v>
      </c>
      <c r="K831">
        <v>1</v>
      </c>
      <c r="L831">
        <v>6</v>
      </c>
      <c r="M831" t="s">
        <v>14</v>
      </c>
      <c r="N831">
        <v>0.5</v>
      </c>
      <c r="O831">
        <f t="shared" si="24"/>
        <v>1</v>
      </c>
      <c r="P831">
        <f t="shared" si="25"/>
        <v>1</v>
      </c>
    </row>
    <row r="832" spans="1:16">
      <c r="A832">
        <v>831</v>
      </c>
      <c r="B832" s="2">
        <v>44958</v>
      </c>
      <c r="C832">
        <v>13887</v>
      </c>
      <c r="D832">
        <v>3853</v>
      </c>
      <c r="E832">
        <v>1.8</v>
      </c>
      <c r="F832">
        <v>1.37</v>
      </c>
      <c r="G832">
        <v>0.36</v>
      </c>
      <c r="H832">
        <v>571</v>
      </c>
      <c r="I832">
        <v>1</v>
      </c>
      <c r="J832">
        <v>31751</v>
      </c>
      <c r="K832">
        <v>1</v>
      </c>
      <c r="L832">
        <v>18</v>
      </c>
      <c r="M832" t="s">
        <v>14</v>
      </c>
      <c r="N832">
        <v>0.35</v>
      </c>
      <c r="O832">
        <f t="shared" si="24"/>
        <v>1</v>
      </c>
      <c r="P832">
        <f t="shared" si="25"/>
        <v>0</v>
      </c>
    </row>
    <row r="833" spans="1:16">
      <c r="A833">
        <v>832</v>
      </c>
      <c r="B833" s="2">
        <v>45078</v>
      </c>
      <c r="C833">
        <v>40912</v>
      </c>
      <c r="D833">
        <v>17784</v>
      </c>
      <c r="E833">
        <v>1.01</v>
      </c>
      <c r="F833">
        <v>1.46</v>
      </c>
      <c r="G833">
        <v>1.2</v>
      </c>
      <c r="H833">
        <v>598</v>
      </c>
      <c r="I833">
        <v>0</v>
      </c>
      <c r="K833">
        <v>0</v>
      </c>
      <c r="L833">
        <v>6</v>
      </c>
      <c r="M833" t="s">
        <v>14</v>
      </c>
      <c r="N833">
        <v>0.2</v>
      </c>
      <c r="O833">
        <f t="shared" si="24"/>
        <v>0</v>
      </c>
      <c r="P833">
        <f t="shared" si="25"/>
        <v>0</v>
      </c>
    </row>
    <row r="834" spans="1:16">
      <c r="A834">
        <v>833</v>
      </c>
      <c r="B834" s="2">
        <v>45536</v>
      </c>
      <c r="C834">
        <v>35956</v>
      </c>
      <c r="D834">
        <v>6499</v>
      </c>
      <c r="E834">
        <v>0.92</v>
      </c>
      <c r="F834">
        <v>1.1200000000000001</v>
      </c>
      <c r="G834">
        <v>1.32</v>
      </c>
      <c r="H834">
        <v>729</v>
      </c>
      <c r="I834">
        <v>1</v>
      </c>
      <c r="J834">
        <v>24557</v>
      </c>
      <c r="K834">
        <v>1</v>
      </c>
      <c r="L834">
        <v>12</v>
      </c>
      <c r="M834" t="s">
        <v>15</v>
      </c>
      <c r="N834">
        <v>0.3</v>
      </c>
      <c r="O834">
        <f t="shared" si="24"/>
        <v>1</v>
      </c>
      <c r="P834">
        <f t="shared" si="25"/>
        <v>0</v>
      </c>
    </row>
    <row r="835" spans="1:16">
      <c r="A835">
        <v>834</v>
      </c>
      <c r="B835" s="2">
        <v>44958</v>
      </c>
      <c r="C835">
        <v>52920</v>
      </c>
      <c r="D835">
        <v>5183</v>
      </c>
      <c r="E835">
        <v>0.62</v>
      </c>
      <c r="F835">
        <v>0.51</v>
      </c>
      <c r="G835">
        <v>1.41</v>
      </c>
      <c r="H835">
        <v>742</v>
      </c>
      <c r="I835">
        <v>0</v>
      </c>
      <c r="K835">
        <v>0</v>
      </c>
      <c r="L835">
        <v>6</v>
      </c>
      <c r="M835" t="s">
        <v>14</v>
      </c>
      <c r="N835">
        <v>0.3</v>
      </c>
      <c r="O835">
        <f t="shared" ref="O835:O898" si="26">IF(J835="",0,1)</f>
        <v>0</v>
      </c>
      <c r="P835">
        <f t="shared" ref="P835:P898" si="27">IF(I835=K835,0,1)</f>
        <v>0</v>
      </c>
    </row>
    <row r="836" spans="1:16">
      <c r="A836">
        <v>835</v>
      </c>
      <c r="B836" s="2">
        <v>45292</v>
      </c>
      <c r="C836">
        <v>39251</v>
      </c>
      <c r="D836">
        <v>4602</v>
      </c>
      <c r="E836">
        <v>0.56000000000000005</v>
      </c>
      <c r="F836">
        <v>1.1000000000000001</v>
      </c>
      <c r="G836">
        <v>1.38</v>
      </c>
      <c r="H836">
        <v>652</v>
      </c>
      <c r="I836">
        <v>0</v>
      </c>
      <c r="K836">
        <v>0</v>
      </c>
      <c r="L836">
        <v>6</v>
      </c>
      <c r="M836" t="s">
        <v>15</v>
      </c>
      <c r="N836">
        <v>0.3</v>
      </c>
      <c r="O836">
        <f t="shared" si="26"/>
        <v>0</v>
      </c>
      <c r="P836">
        <f t="shared" si="27"/>
        <v>0</v>
      </c>
    </row>
    <row r="837" spans="1:16">
      <c r="A837">
        <v>836</v>
      </c>
      <c r="B837" s="2">
        <v>45231</v>
      </c>
      <c r="C837">
        <v>19293</v>
      </c>
      <c r="D837">
        <v>29111</v>
      </c>
      <c r="F837">
        <v>2.09</v>
      </c>
      <c r="G837">
        <v>0.84</v>
      </c>
      <c r="H837">
        <v>718</v>
      </c>
      <c r="I837">
        <v>1</v>
      </c>
      <c r="J837">
        <v>16418</v>
      </c>
      <c r="K837">
        <v>1</v>
      </c>
      <c r="L837">
        <v>12</v>
      </c>
      <c r="M837" t="s">
        <v>14</v>
      </c>
      <c r="N837">
        <v>0.35</v>
      </c>
      <c r="O837">
        <f t="shared" si="26"/>
        <v>1</v>
      </c>
      <c r="P837">
        <f t="shared" si="27"/>
        <v>0</v>
      </c>
    </row>
    <row r="838" spans="1:16">
      <c r="A838">
        <v>837</v>
      </c>
      <c r="B838" s="2">
        <v>45231</v>
      </c>
      <c r="C838">
        <v>79045</v>
      </c>
      <c r="D838">
        <v>8600</v>
      </c>
      <c r="E838">
        <v>1.1599999999999999</v>
      </c>
      <c r="F838">
        <v>0.6</v>
      </c>
      <c r="G838">
        <v>1.25</v>
      </c>
      <c r="H838">
        <v>756</v>
      </c>
      <c r="I838">
        <v>0</v>
      </c>
      <c r="K838">
        <v>0</v>
      </c>
      <c r="L838">
        <v>18</v>
      </c>
      <c r="M838" t="s">
        <v>14</v>
      </c>
      <c r="N838">
        <v>0</v>
      </c>
      <c r="O838">
        <f t="shared" si="26"/>
        <v>0</v>
      </c>
      <c r="P838">
        <f t="shared" si="27"/>
        <v>0</v>
      </c>
    </row>
    <row r="839" spans="1:16">
      <c r="A839">
        <v>838</v>
      </c>
      <c r="B839" s="2">
        <v>45383</v>
      </c>
      <c r="D839">
        <v>39090</v>
      </c>
      <c r="E839">
        <v>2.62</v>
      </c>
      <c r="F839">
        <v>3.93</v>
      </c>
      <c r="G839">
        <v>0.53</v>
      </c>
      <c r="H839">
        <v>778</v>
      </c>
      <c r="I839">
        <v>1</v>
      </c>
      <c r="J839">
        <v>3668</v>
      </c>
      <c r="K839">
        <v>1</v>
      </c>
      <c r="L839">
        <v>18</v>
      </c>
      <c r="M839" t="s">
        <v>15</v>
      </c>
      <c r="N839">
        <v>0.5</v>
      </c>
      <c r="O839">
        <f t="shared" si="26"/>
        <v>1</v>
      </c>
      <c r="P839">
        <f t="shared" si="27"/>
        <v>0</v>
      </c>
    </row>
    <row r="840" spans="1:16">
      <c r="A840">
        <v>839</v>
      </c>
      <c r="B840" s="2">
        <v>45231</v>
      </c>
      <c r="C840">
        <v>35677</v>
      </c>
      <c r="D840">
        <v>9181</v>
      </c>
      <c r="E840">
        <v>1.26</v>
      </c>
      <c r="F840">
        <v>0.63</v>
      </c>
      <c r="G840">
        <v>2.1</v>
      </c>
      <c r="H840">
        <v>666</v>
      </c>
      <c r="I840">
        <v>0</v>
      </c>
      <c r="K840">
        <v>0</v>
      </c>
      <c r="L840">
        <v>12</v>
      </c>
      <c r="M840" t="s">
        <v>14</v>
      </c>
      <c r="N840">
        <v>0</v>
      </c>
      <c r="O840">
        <f t="shared" si="26"/>
        <v>0</v>
      </c>
      <c r="P840">
        <f t="shared" si="27"/>
        <v>0</v>
      </c>
    </row>
    <row r="841" spans="1:16">
      <c r="A841">
        <v>840</v>
      </c>
      <c r="B841" s="2">
        <v>45474</v>
      </c>
      <c r="C841">
        <v>19799</v>
      </c>
      <c r="D841">
        <v>4043</v>
      </c>
      <c r="E841">
        <v>1.65</v>
      </c>
      <c r="F841">
        <v>0.93</v>
      </c>
      <c r="G841">
        <v>1.18</v>
      </c>
      <c r="H841">
        <v>553</v>
      </c>
      <c r="I841">
        <v>0</v>
      </c>
      <c r="K841">
        <v>0</v>
      </c>
      <c r="L841">
        <v>18</v>
      </c>
      <c r="M841" t="s">
        <v>15</v>
      </c>
      <c r="N841">
        <v>0.2</v>
      </c>
      <c r="O841">
        <f t="shared" si="26"/>
        <v>0</v>
      </c>
      <c r="P841">
        <f t="shared" si="27"/>
        <v>0</v>
      </c>
    </row>
    <row r="842" spans="1:16">
      <c r="A842">
        <v>841</v>
      </c>
      <c r="B842" s="2">
        <v>45352</v>
      </c>
      <c r="C842">
        <v>27224</v>
      </c>
      <c r="D842">
        <v>6115</v>
      </c>
      <c r="E842">
        <v>1.77</v>
      </c>
      <c r="F842">
        <v>0.56999999999999995</v>
      </c>
      <c r="G842">
        <v>1.08</v>
      </c>
      <c r="H842">
        <v>635</v>
      </c>
      <c r="I842">
        <v>0</v>
      </c>
      <c r="K842">
        <v>0</v>
      </c>
      <c r="L842">
        <v>18</v>
      </c>
      <c r="M842" t="s">
        <v>15</v>
      </c>
      <c r="N842">
        <v>0</v>
      </c>
      <c r="O842">
        <f t="shared" si="26"/>
        <v>0</v>
      </c>
      <c r="P842">
        <f t="shared" si="27"/>
        <v>0</v>
      </c>
    </row>
    <row r="843" spans="1:16">
      <c r="A843">
        <v>842</v>
      </c>
      <c r="B843" s="2">
        <v>45597</v>
      </c>
      <c r="C843">
        <v>20432</v>
      </c>
      <c r="D843">
        <v>31732</v>
      </c>
      <c r="E843">
        <v>1.62</v>
      </c>
      <c r="F843">
        <v>1.06</v>
      </c>
      <c r="G843">
        <v>2.2200000000000002</v>
      </c>
      <c r="H843">
        <v>657</v>
      </c>
      <c r="I843">
        <v>1</v>
      </c>
      <c r="J843">
        <v>24275</v>
      </c>
      <c r="K843">
        <v>1</v>
      </c>
      <c r="L843">
        <v>6</v>
      </c>
      <c r="M843" t="s">
        <v>15</v>
      </c>
      <c r="N843">
        <v>0</v>
      </c>
      <c r="O843">
        <f t="shared" si="26"/>
        <v>1</v>
      </c>
      <c r="P843">
        <f t="shared" si="27"/>
        <v>0</v>
      </c>
    </row>
    <row r="844" spans="1:16">
      <c r="A844">
        <v>843</v>
      </c>
      <c r="B844" s="2">
        <v>45597</v>
      </c>
      <c r="C844">
        <v>32454</v>
      </c>
      <c r="D844">
        <v>11979</v>
      </c>
      <c r="E844">
        <v>1.51</v>
      </c>
      <c r="F844">
        <v>0.27</v>
      </c>
      <c r="G844">
        <v>0.67</v>
      </c>
      <c r="H844">
        <v>666</v>
      </c>
      <c r="I844">
        <v>0</v>
      </c>
      <c r="K844">
        <v>0</v>
      </c>
      <c r="L844">
        <v>12</v>
      </c>
      <c r="M844" t="s">
        <v>15</v>
      </c>
      <c r="N844">
        <v>0.15</v>
      </c>
      <c r="O844">
        <f t="shared" si="26"/>
        <v>0</v>
      </c>
      <c r="P844">
        <f t="shared" si="27"/>
        <v>0</v>
      </c>
    </row>
    <row r="845" spans="1:16">
      <c r="A845">
        <v>844</v>
      </c>
      <c r="B845" s="2">
        <v>45383</v>
      </c>
      <c r="C845">
        <v>110482</v>
      </c>
      <c r="D845">
        <v>9102</v>
      </c>
      <c r="E845">
        <v>0.89</v>
      </c>
      <c r="F845">
        <v>0.62</v>
      </c>
      <c r="G845">
        <v>0.73</v>
      </c>
      <c r="H845">
        <v>670</v>
      </c>
      <c r="I845">
        <v>0</v>
      </c>
      <c r="K845">
        <v>0</v>
      </c>
      <c r="L845">
        <v>12</v>
      </c>
      <c r="M845" t="s">
        <v>15</v>
      </c>
      <c r="N845">
        <v>0.45</v>
      </c>
      <c r="O845">
        <f t="shared" si="26"/>
        <v>0</v>
      </c>
      <c r="P845">
        <f t="shared" si="27"/>
        <v>0</v>
      </c>
    </row>
    <row r="846" spans="1:16">
      <c r="A846">
        <v>845</v>
      </c>
      <c r="B846" s="2">
        <v>45231</v>
      </c>
      <c r="C846">
        <v>14887</v>
      </c>
      <c r="D846">
        <v>14943</v>
      </c>
      <c r="E846">
        <v>2.35</v>
      </c>
      <c r="F846">
        <v>0.42</v>
      </c>
      <c r="G846">
        <v>0.75</v>
      </c>
      <c r="H846">
        <v>742</v>
      </c>
      <c r="I846">
        <v>0</v>
      </c>
      <c r="K846">
        <v>0</v>
      </c>
      <c r="L846">
        <v>12</v>
      </c>
      <c r="M846" t="s">
        <v>14</v>
      </c>
      <c r="N846">
        <v>0.15</v>
      </c>
      <c r="O846">
        <f t="shared" si="26"/>
        <v>0</v>
      </c>
      <c r="P846">
        <f t="shared" si="27"/>
        <v>0</v>
      </c>
    </row>
    <row r="847" spans="1:16">
      <c r="A847">
        <v>846</v>
      </c>
      <c r="B847" s="2">
        <v>45566</v>
      </c>
      <c r="C847">
        <v>12723</v>
      </c>
      <c r="D847">
        <v>18982</v>
      </c>
      <c r="E847">
        <v>2.54</v>
      </c>
      <c r="F847">
        <v>0.99</v>
      </c>
      <c r="G847">
        <v>1.31</v>
      </c>
      <c r="H847">
        <v>750</v>
      </c>
      <c r="I847">
        <v>0</v>
      </c>
      <c r="K847">
        <v>0</v>
      </c>
      <c r="L847">
        <v>12</v>
      </c>
      <c r="M847" t="s">
        <v>15</v>
      </c>
      <c r="N847">
        <v>0</v>
      </c>
      <c r="O847">
        <f t="shared" si="26"/>
        <v>0</v>
      </c>
      <c r="P847">
        <f t="shared" si="27"/>
        <v>0</v>
      </c>
    </row>
    <row r="848" spans="1:16">
      <c r="A848">
        <v>847</v>
      </c>
      <c r="B848" s="2">
        <v>45383</v>
      </c>
      <c r="C848">
        <v>94491</v>
      </c>
      <c r="D848">
        <v>29207</v>
      </c>
      <c r="E848">
        <v>0.62</v>
      </c>
      <c r="F848">
        <v>1.82</v>
      </c>
      <c r="G848">
        <v>1.59</v>
      </c>
      <c r="H848">
        <v>671</v>
      </c>
      <c r="I848">
        <v>0</v>
      </c>
      <c r="K848">
        <v>0</v>
      </c>
      <c r="L848">
        <v>12</v>
      </c>
      <c r="M848" t="s">
        <v>15</v>
      </c>
      <c r="N848">
        <v>0.3</v>
      </c>
      <c r="O848">
        <f t="shared" si="26"/>
        <v>0</v>
      </c>
      <c r="P848">
        <f t="shared" si="27"/>
        <v>0</v>
      </c>
    </row>
    <row r="849" spans="1:16">
      <c r="A849">
        <v>848</v>
      </c>
      <c r="B849" s="2">
        <v>45139</v>
      </c>
      <c r="C849">
        <v>31696</v>
      </c>
      <c r="D849">
        <v>36826</v>
      </c>
      <c r="E849">
        <v>0.99</v>
      </c>
      <c r="F849">
        <v>1.42</v>
      </c>
      <c r="G849">
        <v>1.76</v>
      </c>
      <c r="H849">
        <v>740</v>
      </c>
      <c r="I849">
        <v>0</v>
      </c>
      <c r="K849">
        <v>0</v>
      </c>
      <c r="L849">
        <v>6</v>
      </c>
      <c r="M849" t="s">
        <v>14</v>
      </c>
      <c r="N849">
        <v>0.3</v>
      </c>
      <c r="O849">
        <f t="shared" si="26"/>
        <v>0</v>
      </c>
      <c r="P849">
        <f t="shared" si="27"/>
        <v>0</v>
      </c>
    </row>
    <row r="850" spans="1:16">
      <c r="A850">
        <v>849</v>
      </c>
      <c r="B850" s="2">
        <v>45017</v>
      </c>
      <c r="C850">
        <v>23508</v>
      </c>
      <c r="D850">
        <v>10385</v>
      </c>
      <c r="E850">
        <v>1.4</v>
      </c>
      <c r="F850">
        <v>0.17</v>
      </c>
      <c r="G850">
        <v>2.76</v>
      </c>
      <c r="H850">
        <v>700</v>
      </c>
      <c r="I850">
        <v>0</v>
      </c>
      <c r="K850">
        <v>0</v>
      </c>
      <c r="L850">
        <v>12</v>
      </c>
      <c r="M850" t="s">
        <v>14</v>
      </c>
      <c r="N850">
        <v>0</v>
      </c>
      <c r="O850">
        <f t="shared" si="26"/>
        <v>0</v>
      </c>
      <c r="P850">
        <f t="shared" si="27"/>
        <v>0</v>
      </c>
    </row>
    <row r="851" spans="1:16">
      <c r="A851">
        <v>850</v>
      </c>
      <c r="B851" s="2">
        <v>45139</v>
      </c>
      <c r="C851">
        <v>71392</v>
      </c>
      <c r="D851">
        <v>5280</v>
      </c>
      <c r="E851">
        <v>1.02</v>
      </c>
      <c r="F851">
        <v>3.78</v>
      </c>
      <c r="G851">
        <v>0.11</v>
      </c>
      <c r="H851">
        <v>684</v>
      </c>
      <c r="I851">
        <v>0</v>
      </c>
      <c r="K851">
        <v>0</v>
      </c>
      <c r="L851">
        <v>12</v>
      </c>
      <c r="M851" t="s">
        <v>14</v>
      </c>
      <c r="N851">
        <v>0.5</v>
      </c>
      <c r="O851">
        <f t="shared" si="26"/>
        <v>0</v>
      </c>
      <c r="P851">
        <f t="shared" si="27"/>
        <v>0</v>
      </c>
    </row>
    <row r="852" spans="1:16">
      <c r="A852">
        <v>851</v>
      </c>
      <c r="B852" s="2">
        <v>45017</v>
      </c>
      <c r="C852">
        <v>24498</v>
      </c>
      <c r="D852">
        <v>10002</v>
      </c>
      <c r="E852">
        <v>1.83</v>
      </c>
      <c r="F852">
        <v>1.1100000000000001</v>
      </c>
      <c r="G852">
        <v>1.68</v>
      </c>
      <c r="H852">
        <v>730</v>
      </c>
      <c r="I852">
        <v>0</v>
      </c>
      <c r="K852">
        <v>0</v>
      </c>
      <c r="L852">
        <v>12</v>
      </c>
      <c r="M852" t="s">
        <v>14</v>
      </c>
      <c r="N852">
        <v>0</v>
      </c>
      <c r="O852">
        <f t="shared" si="26"/>
        <v>0</v>
      </c>
      <c r="P852">
        <f t="shared" si="27"/>
        <v>0</v>
      </c>
    </row>
    <row r="853" spans="1:16">
      <c r="A853">
        <v>852</v>
      </c>
      <c r="B853" s="2">
        <v>45627</v>
      </c>
      <c r="C853">
        <v>119003</v>
      </c>
      <c r="D853">
        <v>16030</v>
      </c>
      <c r="E853">
        <v>1.1499999999999999</v>
      </c>
      <c r="F853">
        <v>0.53</v>
      </c>
      <c r="G853">
        <v>1.04</v>
      </c>
      <c r="H853">
        <v>684</v>
      </c>
      <c r="I853">
        <v>0</v>
      </c>
      <c r="K853">
        <v>0</v>
      </c>
      <c r="L853">
        <v>18</v>
      </c>
      <c r="M853" t="s">
        <v>15</v>
      </c>
      <c r="N853">
        <v>0</v>
      </c>
      <c r="O853">
        <f t="shared" si="26"/>
        <v>0</v>
      </c>
      <c r="P853">
        <f t="shared" si="27"/>
        <v>0</v>
      </c>
    </row>
    <row r="854" spans="1:16">
      <c r="A854">
        <v>853</v>
      </c>
      <c r="B854" s="2">
        <v>44986</v>
      </c>
      <c r="C854">
        <v>56424</v>
      </c>
      <c r="D854">
        <v>6805</v>
      </c>
      <c r="E854">
        <v>2.74</v>
      </c>
      <c r="F854">
        <v>1.01</v>
      </c>
      <c r="G854">
        <v>1.03</v>
      </c>
      <c r="H854">
        <v>793</v>
      </c>
      <c r="I854">
        <v>0</v>
      </c>
      <c r="K854">
        <v>0</v>
      </c>
      <c r="L854">
        <v>6</v>
      </c>
      <c r="M854" t="s">
        <v>14</v>
      </c>
      <c r="N854">
        <v>0</v>
      </c>
      <c r="O854">
        <f t="shared" si="26"/>
        <v>0</v>
      </c>
      <c r="P854">
        <f t="shared" si="27"/>
        <v>0</v>
      </c>
    </row>
    <row r="855" spans="1:16">
      <c r="A855">
        <v>854</v>
      </c>
      <c r="B855" s="2">
        <v>44986</v>
      </c>
      <c r="C855">
        <v>26446</v>
      </c>
      <c r="D855">
        <v>6836</v>
      </c>
      <c r="E855">
        <v>2.2000000000000002</v>
      </c>
      <c r="F855">
        <v>1.02</v>
      </c>
      <c r="G855">
        <v>1.01</v>
      </c>
      <c r="H855">
        <v>601</v>
      </c>
      <c r="I855">
        <v>0</v>
      </c>
      <c r="K855">
        <v>0</v>
      </c>
      <c r="L855">
        <v>12</v>
      </c>
      <c r="M855" t="s">
        <v>14</v>
      </c>
      <c r="N855">
        <v>0</v>
      </c>
      <c r="O855">
        <f t="shared" si="26"/>
        <v>0</v>
      </c>
      <c r="P855">
        <f t="shared" si="27"/>
        <v>0</v>
      </c>
    </row>
    <row r="856" spans="1:16">
      <c r="A856">
        <v>855</v>
      </c>
      <c r="B856" s="2">
        <v>45444</v>
      </c>
      <c r="C856">
        <v>147598</v>
      </c>
      <c r="D856">
        <v>16995</v>
      </c>
      <c r="E856">
        <v>1.67</v>
      </c>
      <c r="F856">
        <v>0.56999999999999995</v>
      </c>
      <c r="G856">
        <v>0.85</v>
      </c>
      <c r="H856">
        <v>652</v>
      </c>
      <c r="I856">
        <v>1</v>
      </c>
      <c r="J856">
        <v>16686</v>
      </c>
      <c r="K856">
        <v>1</v>
      </c>
      <c r="L856">
        <v>12</v>
      </c>
      <c r="M856" t="s">
        <v>15</v>
      </c>
      <c r="N856">
        <v>0</v>
      </c>
      <c r="O856">
        <f t="shared" si="26"/>
        <v>1</v>
      </c>
      <c r="P856">
        <f t="shared" si="27"/>
        <v>0</v>
      </c>
    </row>
    <row r="857" spans="1:16">
      <c r="A857">
        <v>856</v>
      </c>
      <c r="B857" s="2">
        <v>45474</v>
      </c>
      <c r="C857">
        <v>24496</v>
      </c>
      <c r="D857">
        <v>12912</v>
      </c>
      <c r="E857">
        <v>2.11</v>
      </c>
      <c r="F857">
        <v>1.04</v>
      </c>
      <c r="G857">
        <v>2.2799999999999998</v>
      </c>
      <c r="H857">
        <v>673</v>
      </c>
      <c r="I857">
        <v>0</v>
      </c>
      <c r="K857">
        <v>0</v>
      </c>
      <c r="L857">
        <v>6</v>
      </c>
      <c r="M857" t="s">
        <v>15</v>
      </c>
      <c r="N857">
        <v>0</v>
      </c>
      <c r="O857">
        <f t="shared" si="26"/>
        <v>0</v>
      </c>
      <c r="P857">
        <f t="shared" si="27"/>
        <v>0</v>
      </c>
    </row>
    <row r="858" spans="1:16">
      <c r="A858">
        <v>857</v>
      </c>
      <c r="B858" s="2">
        <v>45474</v>
      </c>
      <c r="C858">
        <v>58827</v>
      </c>
      <c r="D858">
        <v>13670</v>
      </c>
      <c r="E858">
        <v>2.16</v>
      </c>
      <c r="F858">
        <v>0.59</v>
      </c>
      <c r="G858">
        <v>1.81</v>
      </c>
      <c r="H858">
        <v>704</v>
      </c>
      <c r="I858">
        <v>0</v>
      </c>
      <c r="K858">
        <v>0</v>
      </c>
      <c r="L858">
        <v>12</v>
      </c>
      <c r="M858" t="s">
        <v>15</v>
      </c>
      <c r="N858">
        <v>0</v>
      </c>
      <c r="O858">
        <f t="shared" si="26"/>
        <v>0</v>
      </c>
      <c r="P858">
        <f t="shared" si="27"/>
        <v>0</v>
      </c>
    </row>
    <row r="859" spans="1:16">
      <c r="A859">
        <v>858</v>
      </c>
      <c r="B859" s="2">
        <v>45536</v>
      </c>
      <c r="C859">
        <v>44114</v>
      </c>
      <c r="D859">
        <v>7856</v>
      </c>
      <c r="E859">
        <v>1.24</v>
      </c>
      <c r="F859">
        <v>0.68</v>
      </c>
      <c r="G859">
        <v>1.36</v>
      </c>
      <c r="H859">
        <v>750</v>
      </c>
      <c r="I859">
        <v>0</v>
      </c>
      <c r="K859">
        <v>0</v>
      </c>
      <c r="L859">
        <v>12</v>
      </c>
      <c r="M859" t="s">
        <v>15</v>
      </c>
      <c r="N859">
        <v>0</v>
      </c>
      <c r="O859">
        <f t="shared" si="26"/>
        <v>0</v>
      </c>
      <c r="P859">
        <f t="shared" si="27"/>
        <v>0</v>
      </c>
    </row>
    <row r="860" spans="1:16">
      <c r="A860">
        <v>859</v>
      </c>
      <c r="B860" s="2">
        <v>45047</v>
      </c>
      <c r="C860">
        <v>84637</v>
      </c>
      <c r="D860">
        <v>11370</v>
      </c>
      <c r="E860">
        <v>1.1000000000000001</v>
      </c>
      <c r="F860">
        <v>0.56000000000000005</v>
      </c>
      <c r="G860">
        <v>2.09</v>
      </c>
      <c r="H860">
        <v>679</v>
      </c>
      <c r="I860">
        <v>0</v>
      </c>
      <c r="K860">
        <v>0</v>
      </c>
      <c r="L860">
        <v>12</v>
      </c>
      <c r="M860" t="s">
        <v>14</v>
      </c>
      <c r="N860">
        <v>0</v>
      </c>
      <c r="O860">
        <f t="shared" si="26"/>
        <v>0</v>
      </c>
      <c r="P860">
        <f t="shared" si="27"/>
        <v>0</v>
      </c>
    </row>
    <row r="861" spans="1:16">
      <c r="A861">
        <v>860</v>
      </c>
      <c r="B861" s="2">
        <v>45444</v>
      </c>
      <c r="C861">
        <v>100206</v>
      </c>
      <c r="D861">
        <v>6996</v>
      </c>
      <c r="E861">
        <v>1.59</v>
      </c>
      <c r="F861">
        <v>0.33</v>
      </c>
      <c r="G861">
        <v>0.52</v>
      </c>
      <c r="H861">
        <v>602</v>
      </c>
      <c r="I861">
        <v>0</v>
      </c>
      <c r="K861">
        <v>0</v>
      </c>
      <c r="L861">
        <v>12</v>
      </c>
      <c r="M861" t="s">
        <v>15</v>
      </c>
      <c r="N861">
        <v>0.15</v>
      </c>
      <c r="O861">
        <f t="shared" si="26"/>
        <v>0</v>
      </c>
      <c r="P861">
        <f t="shared" si="27"/>
        <v>0</v>
      </c>
    </row>
    <row r="862" spans="1:16">
      <c r="A862">
        <v>861</v>
      </c>
      <c r="B862" s="2">
        <v>45200</v>
      </c>
      <c r="C862">
        <v>37079</v>
      </c>
      <c r="D862">
        <v>24913</v>
      </c>
      <c r="E862">
        <v>2.02</v>
      </c>
      <c r="F862">
        <v>1</v>
      </c>
      <c r="G862">
        <v>0.62</v>
      </c>
      <c r="H862">
        <v>726</v>
      </c>
      <c r="I862">
        <v>0</v>
      </c>
      <c r="K862">
        <v>0</v>
      </c>
      <c r="L862">
        <v>12</v>
      </c>
      <c r="M862" t="s">
        <v>14</v>
      </c>
      <c r="N862">
        <v>0.15</v>
      </c>
      <c r="O862">
        <f t="shared" si="26"/>
        <v>0</v>
      </c>
      <c r="P862">
        <f t="shared" si="27"/>
        <v>0</v>
      </c>
    </row>
    <row r="863" spans="1:16">
      <c r="A863">
        <v>862</v>
      </c>
      <c r="B863" s="2">
        <v>45566</v>
      </c>
      <c r="C863">
        <v>22254</v>
      </c>
      <c r="D863">
        <v>27575</v>
      </c>
      <c r="E863">
        <v>1.63</v>
      </c>
      <c r="F863">
        <v>1.36</v>
      </c>
      <c r="G863">
        <v>0.15</v>
      </c>
      <c r="H863">
        <v>722</v>
      </c>
      <c r="I863">
        <v>0</v>
      </c>
      <c r="K863">
        <v>0</v>
      </c>
      <c r="L863">
        <v>12</v>
      </c>
      <c r="M863" t="s">
        <v>15</v>
      </c>
      <c r="N863">
        <v>0.15</v>
      </c>
      <c r="O863">
        <f t="shared" si="26"/>
        <v>0</v>
      </c>
      <c r="P863">
        <f t="shared" si="27"/>
        <v>0</v>
      </c>
    </row>
    <row r="864" spans="1:16">
      <c r="A864">
        <v>863</v>
      </c>
      <c r="B864" s="2">
        <v>45536</v>
      </c>
      <c r="C864">
        <v>48971</v>
      </c>
      <c r="D864">
        <v>3669</v>
      </c>
      <c r="E864">
        <v>0.68</v>
      </c>
      <c r="F864">
        <v>1.3</v>
      </c>
      <c r="G864">
        <v>0.97</v>
      </c>
      <c r="H864">
        <v>573</v>
      </c>
      <c r="I864">
        <v>0</v>
      </c>
      <c r="K864">
        <v>0</v>
      </c>
      <c r="L864">
        <v>6</v>
      </c>
      <c r="M864" t="s">
        <v>15</v>
      </c>
      <c r="N864">
        <v>0.5</v>
      </c>
      <c r="O864">
        <f t="shared" si="26"/>
        <v>0</v>
      </c>
      <c r="P864">
        <f t="shared" si="27"/>
        <v>0</v>
      </c>
    </row>
    <row r="865" spans="1:16">
      <c r="A865">
        <v>864</v>
      </c>
      <c r="B865" s="2">
        <v>45078</v>
      </c>
      <c r="C865">
        <v>23376</v>
      </c>
      <c r="D865">
        <v>6970</v>
      </c>
      <c r="E865">
        <v>1.1100000000000001</v>
      </c>
      <c r="F865">
        <v>1.61</v>
      </c>
      <c r="G865">
        <v>1.44</v>
      </c>
      <c r="H865">
        <v>680</v>
      </c>
      <c r="I865">
        <v>0</v>
      </c>
      <c r="K865">
        <v>0</v>
      </c>
      <c r="L865">
        <v>6</v>
      </c>
      <c r="M865" t="s">
        <v>14</v>
      </c>
      <c r="N865">
        <v>0</v>
      </c>
      <c r="O865">
        <f t="shared" si="26"/>
        <v>0</v>
      </c>
      <c r="P865">
        <f t="shared" si="27"/>
        <v>0</v>
      </c>
    </row>
    <row r="866" spans="1:16">
      <c r="A866">
        <v>865</v>
      </c>
      <c r="B866" s="2">
        <v>44927</v>
      </c>
      <c r="C866">
        <v>134417</v>
      </c>
      <c r="D866">
        <v>4686</v>
      </c>
      <c r="E866">
        <v>1.51</v>
      </c>
      <c r="F866">
        <v>1.1399999999999999</v>
      </c>
      <c r="G866">
        <v>1.41</v>
      </c>
      <c r="H866">
        <v>593</v>
      </c>
      <c r="I866">
        <v>0</v>
      </c>
      <c r="K866">
        <v>0</v>
      </c>
      <c r="L866">
        <v>6</v>
      </c>
      <c r="M866" t="s">
        <v>14</v>
      </c>
      <c r="N866">
        <v>0.2</v>
      </c>
      <c r="O866">
        <f t="shared" si="26"/>
        <v>0</v>
      </c>
      <c r="P866">
        <f t="shared" si="27"/>
        <v>0</v>
      </c>
    </row>
    <row r="867" spans="1:16">
      <c r="A867">
        <v>866</v>
      </c>
      <c r="B867" s="2">
        <v>45047</v>
      </c>
      <c r="C867">
        <v>39686</v>
      </c>
      <c r="D867">
        <v>8476</v>
      </c>
      <c r="E867">
        <v>1.51</v>
      </c>
      <c r="F867">
        <v>0.62</v>
      </c>
      <c r="G867">
        <v>1.43</v>
      </c>
      <c r="H867">
        <v>643</v>
      </c>
      <c r="I867">
        <v>1</v>
      </c>
      <c r="K867">
        <v>0</v>
      </c>
      <c r="L867">
        <v>18</v>
      </c>
      <c r="M867" t="s">
        <v>14</v>
      </c>
      <c r="N867">
        <v>0</v>
      </c>
      <c r="O867">
        <f t="shared" si="26"/>
        <v>0</v>
      </c>
      <c r="P867">
        <f t="shared" si="27"/>
        <v>1</v>
      </c>
    </row>
    <row r="868" spans="1:16">
      <c r="A868">
        <v>867</v>
      </c>
      <c r="B868" s="2">
        <v>45170</v>
      </c>
      <c r="C868">
        <v>28639</v>
      </c>
      <c r="D868">
        <v>12602</v>
      </c>
      <c r="E868">
        <v>2.63</v>
      </c>
      <c r="F868">
        <v>1.63</v>
      </c>
      <c r="G868">
        <v>0.56999999999999995</v>
      </c>
      <c r="H868">
        <v>630</v>
      </c>
      <c r="I868">
        <v>1</v>
      </c>
      <c r="K868">
        <v>0</v>
      </c>
      <c r="L868">
        <v>12</v>
      </c>
      <c r="M868" t="s">
        <v>14</v>
      </c>
      <c r="N868">
        <v>0.15</v>
      </c>
      <c r="O868">
        <f t="shared" si="26"/>
        <v>0</v>
      </c>
      <c r="P868">
        <f t="shared" si="27"/>
        <v>1</v>
      </c>
    </row>
    <row r="869" spans="1:16">
      <c r="A869">
        <v>868</v>
      </c>
      <c r="B869" s="2">
        <v>45261</v>
      </c>
      <c r="C869">
        <v>40947</v>
      </c>
      <c r="D869">
        <v>4843</v>
      </c>
      <c r="E869">
        <v>0.79</v>
      </c>
      <c r="F869">
        <v>0.35</v>
      </c>
      <c r="G869">
        <v>1.79</v>
      </c>
      <c r="H869">
        <v>725</v>
      </c>
      <c r="I869">
        <v>0</v>
      </c>
      <c r="K869">
        <v>0</v>
      </c>
      <c r="L869">
        <v>6</v>
      </c>
      <c r="M869" t="s">
        <v>14</v>
      </c>
      <c r="N869">
        <v>0.3</v>
      </c>
      <c r="O869">
        <f t="shared" si="26"/>
        <v>0</v>
      </c>
      <c r="P869">
        <f t="shared" si="27"/>
        <v>0</v>
      </c>
    </row>
    <row r="870" spans="1:16">
      <c r="A870">
        <v>869</v>
      </c>
      <c r="B870" s="2">
        <v>45323</v>
      </c>
      <c r="C870">
        <v>15129</v>
      </c>
      <c r="D870">
        <v>7007</v>
      </c>
      <c r="E870">
        <v>1.83</v>
      </c>
      <c r="F870">
        <v>0.48</v>
      </c>
      <c r="G870">
        <v>1.48</v>
      </c>
      <c r="H870">
        <v>686</v>
      </c>
      <c r="I870">
        <v>1</v>
      </c>
      <c r="J870">
        <v>38807</v>
      </c>
      <c r="K870">
        <v>1</v>
      </c>
      <c r="L870">
        <v>18</v>
      </c>
      <c r="M870" t="s">
        <v>15</v>
      </c>
      <c r="N870">
        <v>0</v>
      </c>
      <c r="O870">
        <f t="shared" si="26"/>
        <v>1</v>
      </c>
      <c r="P870">
        <f t="shared" si="27"/>
        <v>0</v>
      </c>
    </row>
    <row r="871" spans="1:16">
      <c r="A871">
        <v>870</v>
      </c>
      <c r="B871" s="2">
        <v>44958</v>
      </c>
      <c r="C871">
        <v>19311</v>
      </c>
      <c r="D871">
        <v>6616</v>
      </c>
      <c r="E871">
        <v>2.37</v>
      </c>
      <c r="F871">
        <v>0.46</v>
      </c>
      <c r="G871">
        <v>1.75</v>
      </c>
      <c r="H871">
        <v>609</v>
      </c>
      <c r="I871">
        <v>0</v>
      </c>
      <c r="K871">
        <v>0</v>
      </c>
      <c r="L871">
        <v>12</v>
      </c>
      <c r="M871" t="s">
        <v>14</v>
      </c>
      <c r="N871">
        <v>0</v>
      </c>
      <c r="O871">
        <f t="shared" si="26"/>
        <v>0</v>
      </c>
      <c r="P871">
        <f t="shared" si="27"/>
        <v>0</v>
      </c>
    </row>
    <row r="872" spans="1:16">
      <c r="A872">
        <v>871</v>
      </c>
      <c r="B872" s="2">
        <v>45413</v>
      </c>
      <c r="C872">
        <v>79243</v>
      </c>
      <c r="D872">
        <v>15446</v>
      </c>
      <c r="E872">
        <v>2.8</v>
      </c>
      <c r="F872">
        <v>1.93</v>
      </c>
      <c r="G872">
        <v>0.31</v>
      </c>
      <c r="H872">
        <v>728</v>
      </c>
      <c r="I872">
        <v>0</v>
      </c>
      <c r="K872">
        <v>0</v>
      </c>
      <c r="L872">
        <v>6</v>
      </c>
      <c r="M872" t="s">
        <v>15</v>
      </c>
      <c r="N872">
        <v>0.15</v>
      </c>
      <c r="O872">
        <f t="shared" si="26"/>
        <v>0</v>
      </c>
      <c r="P872">
        <f t="shared" si="27"/>
        <v>0</v>
      </c>
    </row>
    <row r="873" spans="1:16">
      <c r="A873">
        <v>872</v>
      </c>
      <c r="B873" s="2">
        <v>45323</v>
      </c>
      <c r="C873">
        <v>23695</v>
      </c>
      <c r="D873">
        <v>14024</v>
      </c>
      <c r="E873">
        <v>1.33</v>
      </c>
      <c r="F873">
        <v>1.75</v>
      </c>
      <c r="G873">
        <v>1.52</v>
      </c>
      <c r="H873">
        <v>601</v>
      </c>
      <c r="I873">
        <v>0</v>
      </c>
      <c r="K873">
        <v>0</v>
      </c>
      <c r="L873">
        <v>12</v>
      </c>
      <c r="M873" t="s">
        <v>15</v>
      </c>
      <c r="N873">
        <v>0</v>
      </c>
      <c r="O873">
        <f t="shared" si="26"/>
        <v>0</v>
      </c>
      <c r="P873">
        <f t="shared" si="27"/>
        <v>0</v>
      </c>
    </row>
    <row r="874" spans="1:16">
      <c r="A874">
        <v>873</v>
      </c>
      <c r="B874" s="2">
        <v>45292</v>
      </c>
      <c r="C874">
        <v>18389</v>
      </c>
      <c r="D874">
        <v>8061</v>
      </c>
      <c r="E874">
        <v>1.82</v>
      </c>
      <c r="F874">
        <v>1.27</v>
      </c>
      <c r="G874">
        <v>0.7</v>
      </c>
      <c r="H874">
        <v>698</v>
      </c>
      <c r="I874">
        <v>1</v>
      </c>
      <c r="J874">
        <v>15727</v>
      </c>
      <c r="K874">
        <v>1</v>
      </c>
      <c r="L874">
        <v>12</v>
      </c>
      <c r="M874" t="s">
        <v>15</v>
      </c>
      <c r="N874">
        <v>0.15</v>
      </c>
      <c r="O874">
        <f t="shared" si="26"/>
        <v>1</v>
      </c>
      <c r="P874">
        <f t="shared" si="27"/>
        <v>0</v>
      </c>
    </row>
    <row r="875" spans="1:16">
      <c r="A875">
        <v>874</v>
      </c>
      <c r="B875" s="2">
        <v>45170</v>
      </c>
      <c r="C875">
        <v>51474</v>
      </c>
      <c r="D875">
        <v>15120</v>
      </c>
      <c r="E875">
        <v>1.86</v>
      </c>
      <c r="F875">
        <v>1.92</v>
      </c>
      <c r="G875">
        <v>1.1299999999999999</v>
      </c>
      <c r="H875">
        <v>635</v>
      </c>
      <c r="I875">
        <v>0</v>
      </c>
      <c r="K875">
        <v>0</v>
      </c>
      <c r="L875">
        <v>6</v>
      </c>
      <c r="M875" t="s">
        <v>14</v>
      </c>
      <c r="N875">
        <v>0</v>
      </c>
      <c r="O875">
        <f t="shared" si="26"/>
        <v>0</v>
      </c>
      <c r="P875">
        <f t="shared" si="27"/>
        <v>0</v>
      </c>
    </row>
    <row r="876" spans="1:16">
      <c r="A876">
        <v>875</v>
      </c>
      <c r="B876" s="2">
        <v>45352</v>
      </c>
      <c r="C876">
        <v>78489</v>
      </c>
      <c r="D876">
        <v>9112</v>
      </c>
      <c r="E876">
        <v>1.66</v>
      </c>
      <c r="F876">
        <v>0.49</v>
      </c>
      <c r="G876">
        <v>1.64</v>
      </c>
      <c r="H876">
        <v>660</v>
      </c>
      <c r="I876">
        <v>0</v>
      </c>
      <c r="K876">
        <v>0</v>
      </c>
      <c r="L876">
        <v>12</v>
      </c>
      <c r="M876" t="s">
        <v>15</v>
      </c>
      <c r="N876">
        <v>0</v>
      </c>
      <c r="O876">
        <f t="shared" si="26"/>
        <v>0</v>
      </c>
      <c r="P876">
        <f t="shared" si="27"/>
        <v>0</v>
      </c>
    </row>
    <row r="877" spans="1:16">
      <c r="A877">
        <v>876</v>
      </c>
      <c r="B877" s="2">
        <v>45566</v>
      </c>
      <c r="C877">
        <v>57949</v>
      </c>
      <c r="D877">
        <v>11046</v>
      </c>
      <c r="E877">
        <v>1.5</v>
      </c>
      <c r="F877">
        <v>1.1499999999999999</v>
      </c>
      <c r="G877">
        <v>1.4</v>
      </c>
      <c r="H877">
        <v>708</v>
      </c>
      <c r="I877">
        <v>0</v>
      </c>
      <c r="K877">
        <v>0</v>
      </c>
      <c r="L877">
        <v>6</v>
      </c>
      <c r="M877" t="s">
        <v>15</v>
      </c>
      <c r="N877">
        <v>0</v>
      </c>
      <c r="O877">
        <f t="shared" si="26"/>
        <v>0</v>
      </c>
      <c r="P877">
        <f t="shared" si="27"/>
        <v>0</v>
      </c>
    </row>
    <row r="878" spans="1:16">
      <c r="A878">
        <v>877</v>
      </c>
      <c r="B878" s="2">
        <v>45352</v>
      </c>
      <c r="C878">
        <v>69385</v>
      </c>
      <c r="D878">
        <v>43106</v>
      </c>
      <c r="E878">
        <v>1.79</v>
      </c>
      <c r="F878">
        <v>0.83</v>
      </c>
      <c r="G878">
        <v>0.88</v>
      </c>
      <c r="H878">
        <v>709</v>
      </c>
      <c r="I878">
        <v>1</v>
      </c>
      <c r="J878">
        <v>49086</v>
      </c>
      <c r="K878">
        <v>1</v>
      </c>
      <c r="L878">
        <v>12</v>
      </c>
      <c r="M878" t="s">
        <v>15</v>
      </c>
      <c r="N878">
        <v>0</v>
      </c>
      <c r="O878">
        <f t="shared" si="26"/>
        <v>1</v>
      </c>
      <c r="P878">
        <f t="shared" si="27"/>
        <v>0</v>
      </c>
    </row>
    <row r="879" spans="1:16">
      <c r="A879">
        <v>878</v>
      </c>
      <c r="B879" s="2">
        <v>45627</v>
      </c>
      <c r="C879">
        <v>22205</v>
      </c>
      <c r="D879">
        <v>34143</v>
      </c>
      <c r="E879">
        <v>0.2</v>
      </c>
      <c r="F879">
        <v>1.64</v>
      </c>
      <c r="G879">
        <v>1.35</v>
      </c>
      <c r="H879">
        <v>754</v>
      </c>
      <c r="I879">
        <v>0</v>
      </c>
      <c r="K879">
        <v>0</v>
      </c>
      <c r="L879">
        <v>12</v>
      </c>
      <c r="M879" t="s">
        <v>15</v>
      </c>
      <c r="N879">
        <v>0.3</v>
      </c>
      <c r="O879">
        <f t="shared" si="26"/>
        <v>0</v>
      </c>
      <c r="P879">
        <f t="shared" si="27"/>
        <v>0</v>
      </c>
    </row>
    <row r="880" spans="1:16">
      <c r="A880">
        <v>879</v>
      </c>
      <c r="B880" s="2">
        <v>45231</v>
      </c>
      <c r="C880">
        <v>14412</v>
      </c>
      <c r="D880">
        <v>5379</v>
      </c>
      <c r="E880">
        <v>1.93</v>
      </c>
      <c r="F880">
        <v>0.83</v>
      </c>
      <c r="G880">
        <v>0.51</v>
      </c>
      <c r="H880">
        <v>675</v>
      </c>
      <c r="I880">
        <v>0</v>
      </c>
      <c r="K880">
        <v>0</v>
      </c>
      <c r="L880">
        <v>18</v>
      </c>
      <c r="M880" t="s">
        <v>14</v>
      </c>
      <c r="N880">
        <v>0.15</v>
      </c>
      <c r="O880">
        <f t="shared" si="26"/>
        <v>0</v>
      </c>
      <c r="P880">
        <f t="shared" si="27"/>
        <v>0</v>
      </c>
    </row>
    <row r="881" spans="1:16">
      <c r="A881">
        <v>880</v>
      </c>
      <c r="B881" s="2">
        <v>45383</v>
      </c>
      <c r="C881">
        <v>96362</v>
      </c>
      <c r="D881">
        <v>23880</v>
      </c>
      <c r="F881">
        <v>0.69</v>
      </c>
      <c r="G881">
        <v>1.98</v>
      </c>
      <c r="H881">
        <v>697</v>
      </c>
      <c r="I881">
        <v>0</v>
      </c>
      <c r="K881">
        <v>0</v>
      </c>
      <c r="L881">
        <v>12</v>
      </c>
      <c r="M881" t="s">
        <v>15</v>
      </c>
      <c r="N881">
        <v>0</v>
      </c>
      <c r="O881">
        <f t="shared" si="26"/>
        <v>0</v>
      </c>
      <c r="P881">
        <f t="shared" si="27"/>
        <v>0</v>
      </c>
    </row>
    <row r="882" spans="1:16">
      <c r="A882">
        <v>881</v>
      </c>
      <c r="B882" s="2">
        <v>45413</v>
      </c>
      <c r="C882">
        <v>29444</v>
      </c>
      <c r="D882">
        <v>23576</v>
      </c>
      <c r="E882">
        <v>1.43</v>
      </c>
      <c r="F882">
        <v>1.32</v>
      </c>
      <c r="G882">
        <v>1.24</v>
      </c>
      <c r="H882">
        <v>656</v>
      </c>
      <c r="I882">
        <v>0</v>
      </c>
      <c r="K882">
        <v>0</v>
      </c>
      <c r="L882">
        <v>12</v>
      </c>
      <c r="M882" t="s">
        <v>15</v>
      </c>
      <c r="N882">
        <v>0</v>
      </c>
      <c r="O882">
        <f t="shared" si="26"/>
        <v>0</v>
      </c>
      <c r="P882">
        <f t="shared" si="27"/>
        <v>0</v>
      </c>
    </row>
    <row r="883" spans="1:16">
      <c r="A883">
        <v>882</v>
      </c>
      <c r="B883" s="2">
        <v>45017</v>
      </c>
      <c r="C883">
        <v>30852</v>
      </c>
      <c r="D883">
        <v>5980</v>
      </c>
      <c r="E883">
        <v>2.68</v>
      </c>
      <c r="F883">
        <v>1.67</v>
      </c>
      <c r="G883">
        <v>1.97</v>
      </c>
      <c r="H883">
        <v>690</v>
      </c>
      <c r="I883">
        <v>0</v>
      </c>
      <c r="K883">
        <v>0</v>
      </c>
      <c r="L883">
        <v>12</v>
      </c>
      <c r="M883" t="s">
        <v>14</v>
      </c>
      <c r="N883">
        <v>0</v>
      </c>
      <c r="O883">
        <f t="shared" si="26"/>
        <v>0</v>
      </c>
      <c r="P883">
        <f t="shared" si="27"/>
        <v>0</v>
      </c>
    </row>
    <row r="884" spans="1:16">
      <c r="A884">
        <v>883</v>
      </c>
      <c r="B884" s="2">
        <v>44927</v>
      </c>
      <c r="C884">
        <v>86105</v>
      </c>
      <c r="D884">
        <v>23698</v>
      </c>
      <c r="E884">
        <v>1.18</v>
      </c>
      <c r="F884">
        <v>0.56999999999999995</v>
      </c>
      <c r="G884">
        <v>1.06</v>
      </c>
      <c r="H884">
        <v>704</v>
      </c>
      <c r="I884">
        <v>0</v>
      </c>
      <c r="K884">
        <v>0</v>
      </c>
      <c r="L884">
        <v>12</v>
      </c>
      <c r="M884" t="s">
        <v>14</v>
      </c>
      <c r="N884">
        <v>0</v>
      </c>
      <c r="O884">
        <f t="shared" si="26"/>
        <v>0</v>
      </c>
      <c r="P884">
        <f t="shared" si="27"/>
        <v>0</v>
      </c>
    </row>
    <row r="885" spans="1:16">
      <c r="A885">
        <v>884</v>
      </c>
      <c r="B885" s="2">
        <v>45139</v>
      </c>
      <c r="C885">
        <v>52133</v>
      </c>
      <c r="D885">
        <v>39205</v>
      </c>
      <c r="E885">
        <v>1.33</v>
      </c>
      <c r="F885">
        <v>0.87</v>
      </c>
      <c r="G885">
        <v>1.06</v>
      </c>
      <c r="I885">
        <v>0</v>
      </c>
      <c r="K885">
        <v>0</v>
      </c>
      <c r="L885">
        <v>12</v>
      </c>
      <c r="M885" t="s">
        <v>14</v>
      </c>
      <c r="N885">
        <v>0</v>
      </c>
      <c r="O885">
        <f t="shared" si="26"/>
        <v>0</v>
      </c>
      <c r="P885">
        <f t="shared" si="27"/>
        <v>0</v>
      </c>
    </row>
    <row r="886" spans="1:16">
      <c r="A886">
        <v>885</v>
      </c>
      <c r="B886" s="2">
        <v>45413</v>
      </c>
      <c r="C886">
        <v>48841</v>
      </c>
      <c r="D886">
        <v>6089</v>
      </c>
      <c r="E886">
        <v>2.65</v>
      </c>
      <c r="F886">
        <v>0.43</v>
      </c>
      <c r="G886">
        <v>0.93</v>
      </c>
      <c r="H886">
        <v>581</v>
      </c>
      <c r="I886">
        <v>0</v>
      </c>
      <c r="K886">
        <v>0</v>
      </c>
      <c r="L886">
        <v>12</v>
      </c>
      <c r="M886" t="s">
        <v>15</v>
      </c>
      <c r="N886">
        <v>0.2</v>
      </c>
      <c r="O886">
        <f t="shared" si="26"/>
        <v>0</v>
      </c>
      <c r="P886">
        <f t="shared" si="27"/>
        <v>0</v>
      </c>
    </row>
    <row r="887" spans="1:16">
      <c r="A887">
        <v>886</v>
      </c>
      <c r="B887" s="2">
        <v>44986</v>
      </c>
      <c r="C887">
        <v>148338</v>
      </c>
      <c r="D887">
        <v>7029</v>
      </c>
      <c r="E887">
        <v>1.0900000000000001</v>
      </c>
      <c r="F887">
        <v>0.16</v>
      </c>
      <c r="G887">
        <v>1.83</v>
      </c>
      <c r="H887">
        <v>698</v>
      </c>
      <c r="I887">
        <v>0</v>
      </c>
      <c r="K887">
        <v>0</v>
      </c>
      <c r="L887">
        <v>12</v>
      </c>
      <c r="M887" t="s">
        <v>14</v>
      </c>
      <c r="N887">
        <v>0</v>
      </c>
      <c r="O887">
        <f t="shared" si="26"/>
        <v>0</v>
      </c>
      <c r="P887">
        <f t="shared" si="27"/>
        <v>0</v>
      </c>
    </row>
    <row r="888" spans="1:16">
      <c r="A888">
        <v>887</v>
      </c>
      <c r="B888" s="2">
        <v>45505</v>
      </c>
      <c r="C888">
        <v>23902</v>
      </c>
      <c r="D888">
        <v>27238</v>
      </c>
      <c r="E888">
        <v>1.25</v>
      </c>
      <c r="F888">
        <v>1.04</v>
      </c>
      <c r="G888">
        <v>0.96</v>
      </c>
      <c r="H888">
        <v>700</v>
      </c>
      <c r="I888">
        <v>0</v>
      </c>
      <c r="K888">
        <v>0</v>
      </c>
      <c r="L888">
        <v>18</v>
      </c>
      <c r="M888" t="s">
        <v>15</v>
      </c>
      <c r="N888">
        <v>0</v>
      </c>
      <c r="O888">
        <f t="shared" si="26"/>
        <v>0</v>
      </c>
      <c r="P888">
        <f t="shared" si="27"/>
        <v>0</v>
      </c>
    </row>
    <row r="889" spans="1:16">
      <c r="A889">
        <v>888</v>
      </c>
      <c r="B889" s="2">
        <v>45352</v>
      </c>
      <c r="C889">
        <v>66376</v>
      </c>
      <c r="D889">
        <v>16156</v>
      </c>
      <c r="E889">
        <v>1.47</v>
      </c>
      <c r="F889">
        <v>1.39</v>
      </c>
      <c r="G889">
        <v>1.7</v>
      </c>
      <c r="H889">
        <v>643</v>
      </c>
      <c r="I889">
        <v>0</v>
      </c>
      <c r="K889">
        <v>0</v>
      </c>
      <c r="L889">
        <v>6</v>
      </c>
      <c r="M889" t="s">
        <v>15</v>
      </c>
      <c r="N889">
        <v>0</v>
      </c>
      <c r="O889">
        <f t="shared" si="26"/>
        <v>0</v>
      </c>
      <c r="P889">
        <f t="shared" si="27"/>
        <v>0</v>
      </c>
    </row>
    <row r="890" spans="1:16">
      <c r="A890">
        <v>889</v>
      </c>
      <c r="B890" s="2">
        <v>45352</v>
      </c>
      <c r="C890">
        <v>37687</v>
      </c>
      <c r="D890">
        <v>19654</v>
      </c>
      <c r="E890">
        <v>2.0099999999999998</v>
      </c>
      <c r="F890">
        <v>1.0900000000000001</v>
      </c>
      <c r="G890">
        <v>1.1399999999999999</v>
      </c>
      <c r="H890">
        <v>609</v>
      </c>
      <c r="I890">
        <v>0</v>
      </c>
      <c r="K890">
        <v>0</v>
      </c>
      <c r="L890">
        <v>12</v>
      </c>
      <c r="M890" t="s">
        <v>15</v>
      </c>
      <c r="N890">
        <v>0</v>
      </c>
      <c r="O890">
        <f t="shared" si="26"/>
        <v>0</v>
      </c>
      <c r="P890">
        <f t="shared" si="27"/>
        <v>0</v>
      </c>
    </row>
    <row r="891" spans="1:16">
      <c r="A891">
        <v>890</v>
      </c>
      <c r="B891" s="2">
        <v>45627</v>
      </c>
      <c r="C891">
        <v>43243</v>
      </c>
      <c r="D891">
        <v>16957</v>
      </c>
      <c r="E891">
        <v>1.66</v>
      </c>
      <c r="F891">
        <v>0.23</v>
      </c>
      <c r="G891">
        <v>0.26</v>
      </c>
      <c r="H891">
        <v>761</v>
      </c>
      <c r="I891">
        <v>0</v>
      </c>
      <c r="K891">
        <v>0</v>
      </c>
      <c r="L891">
        <v>6</v>
      </c>
      <c r="M891" t="s">
        <v>15</v>
      </c>
      <c r="N891">
        <v>0.15</v>
      </c>
      <c r="O891">
        <f t="shared" si="26"/>
        <v>0</v>
      </c>
      <c r="P891">
        <f t="shared" si="27"/>
        <v>0</v>
      </c>
    </row>
    <row r="892" spans="1:16">
      <c r="A892">
        <v>891</v>
      </c>
      <c r="B892" s="2">
        <v>45566</v>
      </c>
      <c r="C892">
        <v>98077</v>
      </c>
      <c r="D892">
        <v>17562</v>
      </c>
      <c r="E892">
        <v>0.84</v>
      </c>
      <c r="F892">
        <v>0.71</v>
      </c>
      <c r="G892">
        <v>1.04</v>
      </c>
      <c r="H892">
        <v>707</v>
      </c>
      <c r="I892">
        <v>0</v>
      </c>
      <c r="K892">
        <v>0</v>
      </c>
      <c r="L892">
        <v>12</v>
      </c>
      <c r="M892" t="s">
        <v>15</v>
      </c>
      <c r="N892">
        <v>0.3</v>
      </c>
      <c r="O892">
        <f t="shared" si="26"/>
        <v>0</v>
      </c>
      <c r="P892">
        <f t="shared" si="27"/>
        <v>0</v>
      </c>
    </row>
    <row r="893" spans="1:16">
      <c r="A893">
        <v>892</v>
      </c>
      <c r="B893" s="2">
        <v>45323</v>
      </c>
      <c r="C893">
        <v>50518</v>
      </c>
      <c r="D893">
        <v>5279</v>
      </c>
      <c r="E893">
        <v>1.26</v>
      </c>
      <c r="F893">
        <v>0.19</v>
      </c>
      <c r="G893">
        <v>0.7</v>
      </c>
      <c r="H893">
        <v>667</v>
      </c>
      <c r="I893">
        <v>0</v>
      </c>
      <c r="K893">
        <v>0</v>
      </c>
      <c r="L893">
        <v>18</v>
      </c>
      <c r="M893" t="s">
        <v>15</v>
      </c>
      <c r="N893">
        <v>0.15</v>
      </c>
      <c r="O893">
        <f t="shared" si="26"/>
        <v>0</v>
      </c>
      <c r="P893">
        <f t="shared" si="27"/>
        <v>0</v>
      </c>
    </row>
    <row r="894" spans="1:16">
      <c r="A894">
        <v>893</v>
      </c>
      <c r="B894" s="2">
        <v>45597</v>
      </c>
      <c r="C894">
        <v>51529</v>
      </c>
      <c r="D894">
        <v>27809</v>
      </c>
      <c r="E894">
        <v>1.22</v>
      </c>
      <c r="F894">
        <v>2.36</v>
      </c>
      <c r="G894">
        <v>1.37</v>
      </c>
      <c r="H894">
        <v>617</v>
      </c>
      <c r="I894">
        <v>0</v>
      </c>
      <c r="K894">
        <v>0</v>
      </c>
      <c r="L894">
        <v>18</v>
      </c>
      <c r="M894" t="s">
        <v>15</v>
      </c>
      <c r="N894">
        <v>0.35</v>
      </c>
      <c r="O894">
        <f t="shared" si="26"/>
        <v>0</v>
      </c>
      <c r="P894">
        <f t="shared" si="27"/>
        <v>0</v>
      </c>
    </row>
    <row r="895" spans="1:16">
      <c r="A895">
        <v>894</v>
      </c>
      <c r="B895" s="2">
        <v>45323</v>
      </c>
      <c r="C895">
        <v>72921</v>
      </c>
      <c r="D895">
        <v>30294</v>
      </c>
      <c r="E895">
        <v>1.51</v>
      </c>
      <c r="F895">
        <v>0.42</v>
      </c>
      <c r="G895">
        <v>0.7</v>
      </c>
      <c r="H895">
        <v>635</v>
      </c>
      <c r="I895">
        <v>0</v>
      </c>
      <c r="K895">
        <v>0</v>
      </c>
      <c r="L895">
        <v>12</v>
      </c>
      <c r="M895" t="s">
        <v>15</v>
      </c>
      <c r="N895">
        <v>0.15</v>
      </c>
      <c r="O895">
        <f t="shared" si="26"/>
        <v>0</v>
      </c>
      <c r="P895">
        <f t="shared" si="27"/>
        <v>0</v>
      </c>
    </row>
    <row r="896" spans="1:16">
      <c r="A896">
        <v>895</v>
      </c>
      <c r="B896" s="2">
        <v>45627</v>
      </c>
      <c r="C896">
        <v>28646</v>
      </c>
      <c r="D896">
        <v>11378</v>
      </c>
      <c r="E896">
        <v>1.78</v>
      </c>
      <c r="F896">
        <v>2.1800000000000002</v>
      </c>
      <c r="G896">
        <v>1.86</v>
      </c>
      <c r="H896">
        <v>752</v>
      </c>
      <c r="I896">
        <v>0</v>
      </c>
      <c r="K896">
        <v>0</v>
      </c>
      <c r="L896">
        <v>12</v>
      </c>
      <c r="M896" t="s">
        <v>15</v>
      </c>
      <c r="N896">
        <v>0.35</v>
      </c>
      <c r="O896">
        <f t="shared" si="26"/>
        <v>0</v>
      </c>
      <c r="P896">
        <f t="shared" si="27"/>
        <v>0</v>
      </c>
    </row>
    <row r="897" spans="1:16">
      <c r="A897">
        <v>896</v>
      </c>
      <c r="B897" s="2">
        <v>44958</v>
      </c>
      <c r="C897">
        <v>21047</v>
      </c>
      <c r="D897">
        <v>12959</v>
      </c>
      <c r="E897">
        <v>1.78</v>
      </c>
      <c r="F897">
        <v>1.75</v>
      </c>
      <c r="G897">
        <v>1.3</v>
      </c>
      <c r="H897">
        <v>688</v>
      </c>
      <c r="I897">
        <v>0</v>
      </c>
      <c r="K897">
        <v>0</v>
      </c>
      <c r="L897">
        <v>12</v>
      </c>
      <c r="M897" t="s">
        <v>14</v>
      </c>
      <c r="N897">
        <v>0</v>
      </c>
      <c r="O897">
        <f t="shared" si="26"/>
        <v>0</v>
      </c>
      <c r="P897">
        <f t="shared" si="27"/>
        <v>0</v>
      </c>
    </row>
    <row r="898" spans="1:16">
      <c r="A898">
        <v>897</v>
      </c>
      <c r="B898" s="2">
        <v>45292</v>
      </c>
      <c r="C898">
        <v>18414</v>
      </c>
      <c r="D898">
        <v>4574</v>
      </c>
      <c r="E898">
        <v>0.56999999999999995</v>
      </c>
      <c r="F898">
        <v>0.48</v>
      </c>
      <c r="G898">
        <v>1.25</v>
      </c>
      <c r="H898">
        <v>650</v>
      </c>
      <c r="I898">
        <v>0</v>
      </c>
      <c r="K898">
        <v>0</v>
      </c>
      <c r="L898">
        <v>12</v>
      </c>
      <c r="M898" t="s">
        <v>15</v>
      </c>
      <c r="N898">
        <v>0.3</v>
      </c>
      <c r="O898">
        <f t="shared" si="26"/>
        <v>0</v>
      </c>
      <c r="P898">
        <f t="shared" si="27"/>
        <v>0</v>
      </c>
    </row>
    <row r="899" spans="1:16">
      <c r="A899">
        <v>898</v>
      </c>
      <c r="B899" s="2">
        <v>45323</v>
      </c>
      <c r="C899">
        <v>10116</v>
      </c>
      <c r="D899">
        <v>19148</v>
      </c>
      <c r="E899">
        <v>2.14</v>
      </c>
      <c r="F899">
        <v>0.41</v>
      </c>
      <c r="G899">
        <v>1.71</v>
      </c>
      <c r="H899">
        <v>708</v>
      </c>
      <c r="I899">
        <v>0</v>
      </c>
      <c r="K899">
        <v>0</v>
      </c>
      <c r="L899">
        <v>12</v>
      </c>
      <c r="M899" t="s">
        <v>15</v>
      </c>
      <c r="N899">
        <v>0</v>
      </c>
      <c r="O899">
        <f t="shared" ref="O899:O962" si="28">IF(J899="",0,1)</f>
        <v>0</v>
      </c>
      <c r="P899">
        <f t="shared" ref="P899:P962" si="29">IF(I899=K899,0,1)</f>
        <v>0</v>
      </c>
    </row>
    <row r="900" spans="1:16">
      <c r="A900">
        <v>899</v>
      </c>
      <c r="B900" s="2">
        <v>45627</v>
      </c>
      <c r="C900">
        <v>138211</v>
      </c>
      <c r="D900">
        <v>19939</v>
      </c>
      <c r="E900">
        <v>1.69</v>
      </c>
      <c r="F900">
        <v>1.1599999999999999</v>
      </c>
      <c r="G900">
        <v>1.88</v>
      </c>
      <c r="I900">
        <v>0</v>
      </c>
      <c r="K900">
        <v>0</v>
      </c>
      <c r="L900">
        <v>12</v>
      </c>
      <c r="M900" t="s">
        <v>15</v>
      </c>
      <c r="N900">
        <v>0</v>
      </c>
      <c r="O900">
        <f t="shared" si="28"/>
        <v>0</v>
      </c>
      <c r="P900">
        <f t="shared" si="29"/>
        <v>0</v>
      </c>
    </row>
    <row r="901" spans="1:16">
      <c r="A901">
        <v>900</v>
      </c>
      <c r="B901" s="2">
        <v>45474</v>
      </c>
      <c r="C901">
        <v>17728</v>
      </c>
      <c r="D901">
        <v>12791</v>
      </c>
      <c r="E901">
        <v>2.31</v>
      </c>
      <c r="F901">
        <v>0.5</v>
      </c>
      <c r="G901">
        <v>1.34</v>
      </c>
      <c r="H901">
        <v>763</v>
      </c>
      <c r="I901">
        <v>0</v>
      </c>
      <c r="K901">
        <v>0</v>
      </c>
      <c r="L901">
        <v>6</v>
      </c>
      <c r="M901" t="s">
        <v>15</v>
      </c>
      <c r="N901">
        <v>0</v>
      </c>
      <c r="O901">
        <f t="shared" si="28"/>
        <v>0</v>
      </c>
      <c r="P901">
        <f t="shared" si="29"/>
        <v>0</v>
      </c>
    </row>
    <row r="902" spans="1:16">
      <c r="A902">
        <v>901</v>
      </c>
      <c r="B902" s="2">
        <v>45108</v>
      </c>
      <c r="C902">
        <v>31451</v>
      </c>
      <c r="D902">
        <v>29350</v>
      </c>
      <c r="E902">
        <v>1.79</v>
      </c>
      <c r="F902">
        <v>0.97</v>
      </c>
      <c r="G902">
        <v>0.93</v>
      </c>
      <c r="H902">
        <v>754</v>
      </c>
      <c r="I902">
        <v>1</v>
      </c>
      <c r="J902">
        <v>14591</v>
      </c>
      <c r="K902">
        <v>1</v>
      </c>
      <c r="L902">
        <v>12</v>
      </c>
      <c r="M902" t="s">
        <v>14</v>
      </c>
      <c r="N902">
        <v>0</v>
      </c>
      <c r="O902">
        <f t="shared" si="28"/>
        <v>1</v>
      </c>
      <c r="P902">
        <f t="shared" si="29"/>
        <v>0</v>
      </c>
    </row>
    <row r="903" spans="1:16">
      <c r="A903">
        <v>902</v>
      </c>
      <c r="B903" s="2">
        <v>44986</v>
      </c>
      <c r="C903">
        <v>30335</v>
      </c>
      <c r="D903">
        <v>10574</v>
      </c>
      <c r="E903">
        <v>2.16</v>
      </c>
      <c r="F903">
        <v>0.65</v>
      </c>
      <c r="G903">
        <v>0.37</v>
      </c>
      <c r="I903">
        <v>0</v>
      </c>
      <c r="K903">
        <v>0</v>
      </c>
      <c r="L903">
        <v>12</v>
      </c>
      <c r="M903" t="s">
        <v>14</v>
      </c>
      <c r="N903">
        <v>0.15</v>
      </c>
      <c r="O903">
        <f t="shared" si="28"/>
        <v>0</v>
      </c>
      <c r="P903">
        <f t="shared" si="29"/>
        <v>0</v>
      </c>
    </row>
    <row r="904" spans="1:16">
      <c r="A904">
        <v>903</v>
      </c>
      <c r="B904" s="2">
        <v>45352</v>
      </c>
      <c r="D904">
        <v>19835</v>
      </c>
      <c r="E904">
        <v>1.81</v>
      </c>
      <c r="F904">
        <v>0.26</v>
      </c>
      <c r="G904">
        <v>0.97</v>
      </c>
      <c r="H904">
        <v>645</v>
      </c>
      <c r="I904">
        <v>1</v>
      </c>
      <c r="J904">
        <v>38201</v>
      </c>
      <c r="K904">
        <v>1</v>
      </c>
      <c r="L904">
        <v>12</v>
      </c>
      <c r="M904" t="s">
        <v>15</v>
      </c>
      <c r="N904">
        <v>0</v>
      </c>
      <c r="O904">
        <f t="shared" si="28"/>
        <v>1</v>
      </c>
      <c r="P904">
        <f t="shared" si="29"/>
        <v>0</v>
      </c>
    </row>
    <row r="905" spans="1:16">
      <c r="A905">
        <v>904</v>
      </c>
      <c r="B905" s="2">
        <v>45597</v>
      </c>
      <c r="C905">
        <v>61712</v>
      </c>
      <c r="D905">
        <v>6544</v>
      </c>
      <c r="E905">
        <v>2.29</v>
      </c>
      <c r="F905">
        <v>0.19</v>
      </c>
      <c r="G905">
        <v>1.01</v>
      </c>
      <c r="H905">
        <v>536</v>
      </c>
      <c r="I905">
        <v>0</v>
      </c>
      <c r="K905">
        <v>0</v>
      </c>
      <c r="L905">
        <v>12</v>
      </c>
      <c r="M905" t="s">
        <v>15</v>
      </c>
      <c r="N905">
        <v>0.2</v>
      </c>
      <c r="O905">
        <f t="shared" si="28"/>
        <v>0</v>
      </c>
      <c r="P905">
        <f t="shared" si="29"/>
        <v>0</v>
      </c>
    </row>
    <row r="906" spans="1:16">
      <c r="A906">
        <v>905</v>
      </c>
      <c r="B906" s="2">
        <v>45323</v>
      </c>
      <c r="C906">
        <v>63533</v>
      </c>
      <c r="D906">
        <v>13141</v>
      </c>
      <c r="E906">
        <v>1.84</v>
      </c>
      <c r="F906">
        <v>1.06</v>
      </c>
      <c r="G906">
        <v>1.41</v>
      </c>
      <c r="H906">
        <v>599</v>
      </c>
      <c r="I906">
        <v>1</v>
      </c>
      <c r="J906">
        <v>4070</v>
      </c>
      <c r="K906">
        <v>1</v>
      </c>
      <c r="L906">
        <v>12</v>
      </c>
      <c r="M906" t="s">
        <v>15</v>
      </c>
      <c r="N906">
        <v>0.2</v>
      </c>
      <c r="O906">
        <f t="shared" si="28"/>
        <v>1</v>
      </c>
      <c r="P906">
        <f t="shared" si="29"/>
        <v>0</v>
      </c>
    </row>
    <row r="907" spans="1:16">
      <c r="A907">
        <v>906</v>
      </c>
      <c r="B907" s="2">
        <v>45231</v>
      </c>
      <c r="C907">
        <v>24860</v>
      </c>
      <c r="D907">
        <v>11825</v>
      </c>
      <c r="E907">
        <v>1.5</v>
      </c>
      <c r="F907">
        <v>0.61</v>
      </c>
      <c r="G907">
        <v>1.1599999999999999</v>
      </c>
      <c r="H907">
        <v>606</v>
      </c>
      <c r="I907">
        <v>0</v>
      </c>
      <c r="K907">
        <v>0</v>
      </c>
      <c r="L907">
        <v>18</v>
      </c>
      <c r="M907" t="s">
        <v>14</v>
      </c>
      <c r="N907">
        <v>0</v>
      </c>
      <c r="O907">
        <f t="shared" si="28"/>
        <v>0</v>
      </c>
      <c r="P907">
        <f t="shared" si="29"/>
        <v>0</v>
      </c>
    </row>
    <row r="908" spans="1:16">
      <c r="A908">
        <v>907</v>
      </c>
      <c r="B908" s="2">
        <v>45352</v>
      </c>
      <c r="C908">
        <v>32577</v>
      </c>
      <c r="D908">
        <v>15642</v>
      </c>
      <c r="E908">
        <v>2.8</v>
      </c>
      <c r="F908">
        <v>0.61</v>
      </c>
      <c r="G908">
        <v>1.73</v>
      </c>
      <c r="H908">
        <v>687</v>
      </c>
      <c r="I908">
        <v>0</v>
      </c>
      <c r="K908">
        <v>0</v>
      </c>
      <c r="L908">
        <v>12</v>
      </c>
      <c r="M908" t="s">
        <v>15</v>
      </c>
      <c r="N908">
        <v>0</v>
      </c>
      <c r="O908">
        <f t="shared" si="28"/>
        <v>0</v>
      </c>
      <c r="P908">
        <f t="shared" si="29"/>
        <v>0</v>
      </c>
    </row>
    <row r="909" spans="1:16">
      <c r="A909">
        <v>908</v>
      </c>
      <c r="B909" s="2">
        <v>45292</v>
      </c>
      <c r="C909">
        <v>43638</v>
      </c>
      <c r="D909">
        <v>10315</v>
      </c>
      <c r="E909">
        <v>2.04</v>
      </c>
      <c r="F909">
        <v>1.47</v>
      </c>
      <c r="G909">
        <v>1.01</v>
      </c>
      <c r="H909">
        <v>662</v>
      </c>
      <c r="I909">
        <v>0</v>
      </c>
      <c r="K909">
        <v>0</v>
      </c>
      <c r="L909">
        <v>12</v>
      </c>
      <c r="M909" t="s">
        <v>15</v>
      </c>
      <c r="N909">
        <v>0</v>
      </c>
      <c r="O909">
        <f t="shared" si="28"/>
        <v>0</v>
      </c>
      <c r="P909">
        <f t="shared" si="29"/>
        <v>0</v>
      </c>
    </row>
    <row r="910" spans="1:16">
      <c r="A910">
        <v>909</v>
      </c>
      <c r="B910" s="2">
        <v>45444</v>
      </c>
      <c r="C910">
        <v>30895</v>
      </c>
      <c r="D910">
        <v>12185</v>
      </c>
      <c r="E910">
        <v>1.87</v>
      </c>
      <c r="F910">
        <v>2.06</v>
      </c>
      <c r="G910">
        <v>1.32</v>
      </c>
      <c r="H910">
        <v>606</v>
      </c>
      <c r="I910">
        <v>0</v>
      </c>
      <c r="K910">
        <v>0</v>
      </c>
      <c r="L910">
        <v>6</v>
      </c>
      <c r="M910" t="s">
        <v>15</v>
      </c>
      <c r="N910">
        <v>0.35</v>
      </c>
      <c r="O910">
        <f t="shared" si="28"/>
        <v>0</v>
      </c>
      <c r="P910">
        <f t="shared" si="29"/>
        <v>0</v>
      </c>
    </row>
    <row r="911" spans="1:16">
      <c r="A911">
        <v>910</v>
      </c>
      <c r="B911" s="2">
        <v>45078</v>
      </c>
      <c r="C911">
        <v>103236</v>
      </c>
      <c r="D911">
        <v>23819</v>
      </c>
      <c r="E911">
        <v>0.85</v>
      </c>
      <c r="F911">
        <v>0.75</v>
      </c>
      <c r="G911">
        <v>2</v>
      </c>
      <c r="H911">
        <v>665</v>
      </c>
      <c r="I911">
        <v>1</v>
      </c>
      <c r="J911">
        <v>23490</v>
      </c>
      <c r="K911">
        <v>1</v>
      </c>
      <c r="L911">
        <v>12</v>
      </c>
      <c r="M911" t="s">
        <v>14</v>
      </c>
      <c r="N911">
        <v>0.3</v>
      </c>
      <c r="O911">
        <f t="shared" si="28"/>
        <v>1</v>
      </c>
      <c r="P911">
        <f t="shared" si="29"/>
        <v>0</v>
      </c>
    </row>
    <row r="912" spans="1:16">
      <c r="A912">
        <v>911</v>
      </c>
      <c r="B912" s="2">
        <v>44986</v>
      </c>
      <c r="C912">
        <v>49968</v>
      </c>
      <c r="D912">
        <v>9841</v>
      </c>
      <c r="E912">
        <v>0.84</v>
      </c>
      <c r="F912">
        <v>0.71</v>
      </c>
      <c r="G912">
        <v>1.54</v>
      </c>
      <c r="H912">
        <v>708</v>
      </c>
      <c r="I912">
        <v>0</v>
      </c>
      <c r="K912">
        <v>0</v>
      </c>
      <c r="L912">
        <v>18</v>
      </c>
      <c r="M912" t="s">
        <v>14</v>
      </c>
      <c r="N912">
        <v>0.3</v>
      </c>
      <c r="O912">
        <f t="shared" si="28"/>
        <v>0</v>
      </c>
      <c r="P912">
        <f t="shared" si="29"/>
        <v>0</v>
      </c>
    </row>
    <row r="913" spans="1:16">
      <c r="A913">
        <v>912</v>
      </c>
      <c r="B913" s="2">
        <v>45474</v>
      </c>
      <c r="C913">
        <v>58552</v>
      </c>
      <c r="D913">
        <v>4339</v>
      </c>
      <c r="E913">
        <v>1.71</v>
      </c>
      <c r="F913">
        <v>1.28</v>
      </c>
      <c r="G913">
        <v>1.32</v>
      </c>
      <c r="H913">
        <v>709</v>
      </c>
      <c r="I913">
        <v>0</v>
      </c>
      <c r="K913">
        <v>0</v>
      </c>
      <c r="L913">
        <v>12</v>
      </c>
      <c r="M913" t="s">
        <v>15</v>
      </c>
      <c r="N913">
        <v>0</v>
      </c>
      <c r="O913">
        <f t="shared" si="28"/>
        <v>0</v>
      </c>
      <c r="P913">
        <f t="shared" si="29"/>
        <v>0</v>
      </c>
    </row>
    <row r="914" spans="1:16">
      <c r="A914">
        <v>913</v>
      </c>
      <c r="B914" s="2">
        <v>45352</v>
      </c>
      <c r="C914">
        <v>55875</v>
      </c>
      <c r="D914">
        <v>45465</v>
      </c>
      <c r="E914">
        <v>1.63</v>
      </c>
      <c r="F914">
        <v>0.35</v>
      </c>
      <c r="G914">
        <v>1.02</v>
      </c>
      <c r="H914">
        <v>576</v>
      </c>
      <c r="I914">
        <v>1</v>
      </c>
      <c r="J914">
        <v>24553</v>
      </c>
      <c r="K914">
        <v>1</v>
      </c>
      <c r="L914">
        <v>18</v>
      </c>
      <c r="M914" t="s">
        <v>15</v>
      </c>
      <c r="N914">
        <v>0.2</v>
      </c>
      <c r="O914">
        <f t="shared" si="28"/>
        <v>1</v>
      </c>
      <c r="P914">
        <f t="shared" si="29"/>
        <v>0</v>
      </c>
    </row>
    <row r="915" spans="1:16">
      <c r="A915">
        <v>914</v>
      </c>
      <c r="B915" s="2">
        <v>45597</v>
      </c>
      <c r="C915">
        <v>77867</v>
      </c>
      <c r="D915">
        <v>35137</v>
      </c>
      <c r="E915">
        <v>1.21</v>
      </c>
      <c r="F915">
        <v>1.06</v>
      </c>
      <c r="G915">
        <v>1</v>
      </c>
      <c r="H915">
        <v>673</v>
      </c>
      <c r="I915">
        <v>0</v>
      </c>
      <c r="K915">
        <v>0</v>
      </c>
      <c r="L915">
        <v>12</v>
      </c>
      <c r="M915" t="s">
        <v>15</v>
      </c>
      <c r="N915">
        <v>0</v>
      </c>
      <c r="O915">
        <f t="shared" si="28"/>
        <v>0</v>
      </c>
      <c r="P915">
        <f t="shared" si="29"/>
        <v>0</v>
      </c>
    </row>
    <row r="916" spans="1:16">
      <c r="A916">
        <v>915</v>
      </c>
      <c r="B916" s="2">
        <v>45047</v>
      </c>
      <c r="C916">
        <v>40850</v>
      </c>
      <c r="D916">
        <v>5407</v>
      </c>
      <c r="E916">
        <v>1.63</v>
      </c>
      <c r="F916">
        <v>1.33</v>
      </c>
      <c r="G916">
        <v>0.88</v>
      </c>
      <c r="H916">
        <v>604</v>
      </c>
      <c r="I916">
        <v>0</v>
      </c>
      <c r="K916">
        <v>0</v>
      </c>
      <c r="L916">
        <v>12</v>
      </c>
      <c r="M916" t="s">
        <v>14</v>
      </c>
      <c r="N916">
        <v>0</v>
      </c>
      <c r="O916">
        <f t="shared" si="28"/>
        <v>0</v>
      </c>
      <c r="P916">
        <f t="shared" si="29"/>
        <v>0</v>
      </c>
    </row>
    <row r="917" spans="1:16">
      <c r="A917">
        <v>916</v>
      </c>
      <c r="B917" s="2">
        <v>45200</v>
      </c>
      <c r="C917">
        <v>15632</v>
      </c>
      <c r="D917">
        <v>21651</v>
      </c>
      <c r="E917">
        <v>2.42</v>
      </c>
      <c r="F917">
        <v>1.46</v>
      </c>
      <c r="G917">
        <v>1.05</v>
      </c>
      <c r="H917">
        <v>730</v>
      </c>
      <c r="I917">
        <v>0</v>
      </c>
      <c r="K917">
        <v>0</v>
      </c>
      <c r="L917">
        <v>12</v>
      </c>
      <c r="M917" t="s">
        <v>14</v>
      </c>
      <c r="N917">
        <v>0</v>
      </c>
      <c r="O917">
        <f t="shared" si="28"/>
        <v>0</v>
      </c>
      <c r="P917">
        <f t="shared" si="29"/>
        <v>0</v>
      </c>
    </row>
    <row r="918" spans="1:16">
      <c r="A918">
        <v>917</v>
      </c>
      <c r="B918" s="2">
        <v>45108</v>
      </c>
      <c r="C918">
        <v>47089</v>
      </c>
      <c r="D918">
        <v>9395</v>
      </c>
      <c r="E918">
        <v>1.93</v>
      </c>
      <c r="F918">
        <v>0.23</v>
      </c>
      <c r="G918">
        <v>1.77</v>
      </c>
      <c r="H918">
        <v>723</v>
      </c>
      <c r="I918">
        <v>1</v>
      </c>
      <c r="J918">
        <v>47211</v>
      </c>
      <c r="K918">
        <v>1</v>
      </c>
      <c r="L918">
        <v>12</v>
      </c>
      <c r="M918" t="s">
        <v>14</v>
      </c>
      <c r="N918">
        <v>0</v>
      </c>
      <c r="O918">
        <f t="shared" si="28"/>
        <v>1</v>
      </c>
      <c r="P918">
        <f t="shared" si="29"/>
        <v>0</v>
      </c>
    </row>
    <row r="919" spans="1:16">
      <c r="A919">
        <v>918</v>
      </c>
      <c r="B919" s="2">
        <v>45413</v>
      </c>
      <c r="C919">
        <v>23780</v>
      </c>
      <c r="D919">
        <v>16066</v>
      </c>
      <c r="E919">
        <v>0.92</v>
      </c>
      <c r="F919">
        <v>0.53</v>
      </c>
      <c r="G919">
        <v>1.23</v>
      </c>
      <c r="H919">
        <v>631</v>
      </c>
      <c r="I919">
        <v>0</v>
      </c>
      <c r="K919">
        <v>0</v>
      </c>
      <c r="L919">
        <v>12</v>
      </c>
      <c r="M919" t="s">
        <v>15</v>
      </c>
      <c r="N919">
        <v>0.3</v>
      </c>
      <c r="O919">
        <f t="shared" si="28"/>
        <v>0</v>
      </c>
      <c r="P919">
        <f t="shared" si="29"/>
        <v>0</v>
      </c>
    </row>
    <row r="920" spans="1:16">
      <c r="A920">
        <v>919</v>
      </c>
      <c r="B920" s="2">
        <v>45108</v>
      </c>
      <c r="C920">
        <v>25755</v>
      </c>
      <c r="D920">
        <v>16415</v>
      </c>
      <c r="E920">
        <v>1.49</v>
      </c>
      <c r="F920">
        <v>0.49</v>
      </c>
      <c r="G920">
        <v>0.61</v>
      </c>
      <c r="H920">
        <v>638</v>
      </c>
      <c r="I920">
        <v>1</v>
      </c>
      <c r="K920">
        <v>0</v>
      </c>
      <c r="L920">
        <v>12</v>
      </c>
      <c r="M920" t="s">
        <v>14</v>
      </c>
      <c r="N920">
        <v>0.15</v>
      </c>
      <c r="O920">
        <f t="shared" si="28"/>
        <v>0</v>
      </c>
      <c r="P920">
        <f t="shared" si="29"/>
        <v>1</v>
      </c>
    </row>
    <row r="921" spans="1:16">
      <c r="A921">
        <v>920</v>
      </c>
      <c r="B921" s="2">
        <v>45566</v>
      </c>
      <c r="C921">
        <v>53164</v>
      </c>
      <c r="D921">
        <v>11338</v>
      </c>
      <c r="E921">
        <v>1.1100000000000001</v>
      </c>
      <c r="F921">
        <v>0.97</v>
      </c>
      <c r="G921">
        <v>2.3199999999999998</v>
      </c>
      <c r="H921">
        <v>655</v>
      </c>
      <c r="I921">
        <v>0</v>
      </c>
      <c r="K921">
        <v>0</v>
      </c>
      <c r="L921">
        <v>6</v>
      </c>
      <c r="M921" t="s">
        <v>15</v>
      </c>
      <c r="N921">
        <v>0</v>
      </c>
      <c r="O921">
        <f t="shared" si="28"/>
        <v>0</v>
      </c>
      <c r="P921">
        <f t="shared" si="29"/>
        <v>0</v>
      </c>
    </row>
    <row r="922" spans="1:16">
      <c r="A922">
        <v>921</v>
      </c>
      <c r="B922" s="2">
        <v>45261</v>
      </c>
      <c r="C922">
        <v>81217</v>
      </c>
      <c r="D922">
        <v>7718</v>
      </c>
      <c r="E922">
        <v>1.34</v>
      </c>
      <c r="F922">
        <v>1.27</v>
      </c>
      <c r="G922">
        <v>1.53</v>
      </c>
      <c r="H922">
        <v>556</v>
      </c>
      <c r="I922">
        <v>0</v>
      </c>
      <c r="K922">
        <v>0</v>
      </c>
      <c r="L922">
        <v>12</v>
      </c>
      <c r="M922" t="s">
        <v>14</v>
      </c>
      <c r="N922">
        <v>0.2</v>
      </c>
      <c r="O922">
        <f t="shared" si="28"/>
        <v>0</v>
      </c>
      <c r="P922">
        <f t="shared" si="29"/>
        <v>0</v>
      </c>
    </row>
    <row r="923" spans="1:16">
      <c r="A923">
        <v>922</v>
      </c>
      <c r="B923" s="2">
        <v>45413</v>
      </c>
      <c r="C923">
        <v>36821</v>
      </c>
      <c r="D923">
        <v>8239</v>
      </c>
      <c r="E923">
        <v>1.32</v>
      </c>
      <c r="F923">
        <v>2.58</v>
      </c>
      <c r="G923">
        <v>0.57999999999999996</v>
      </c>
      <c r="H923">
        <v>698</v>
      </c>
      <c r="I923">
        <v>0</v>
      </c>
      <c r="K923">
        <v>0</v>
      </c>
      <c r="L923">
        <v>6</v>
      </c>
      <c r="M923" t="s">
        <v>15</v>
      </c>
      <c r="N923">
        <v>0.5</v>
      </c>
      <c r="O923">
        <f t="shared" si="28"/>
        <v>0</v>
      </c>
      <c r="P923">
        <f t="shared" si="29"/>
        <v>0</v>
      </c>
    </row>
    <row r="924" spans="1:16">
      <c r="A924">
        <v>923</v>
      </c>
      <c r="B924" s="2">
        <v>45292</v>
      </c>
      <c r="C924">
        <v>44389</v>
      </c>
      <c r="D924">
        <v>7035</v>
      </c>
      <c r="E924">
        <v>1.29</v>
      </c>
      <c r="F924">
        <v>0.64</v>
      </c>
      <c r="G924">
        <v>1.1100000000000001</v>
      </c>
      <c r="H924">
        <v>665</v>
      </c>
      <c r="I924">
        <v>1</v>
      </c>
      <c r="J924">
        <v>25256</v>
      </c>
      <c r="K924">
        <v>1</v>
      </c>
      <c r="L924">
        <v>6</v>
      </c>
      <c r="M924" t="s">
        <v>15</v>
      </c>
      <c r="N924">
        <v>0</v>
      </c>
      <c r="O924">
        <f t="shared" si="28"/>
        <v>1</v>
      </c>
      <c r="P924">
        <f t="shared" si="29"/>
        <v>0</v>
      </c>
    </row>
    <row r="925" spans="1:16">
      <c r="A925">
        <v>924</v>
      </c>
      <c r="B925" s="2">
        <v>45505</v>
      </c>
      <c r="C925">
        <v>109803</v>
      </c>
      <c r="D925">
        <v>7463</v>
      </c>
      <c r="E925">
        <v>0.86</v>
      </c>
      <c r="F925">
        <v>0.64</v>
      </c>
      <c r="G925">
        <v>1.41</v>
      </c>
      <c r="H925">
        <v>733</v>
      </c>
      <c r="I925">
        <v>1</v>
      </c>
      <c r="J925">
        <v>47935</v>
      </c>
      <c r="K925">
        <v>1</v>
      </c>
      <c r="L925">
        <v>6</v>
      </c>
      <c r="M925" t="s">
        <v>15</v>
      </c>
      <c r="N925">
        <v>0.3</v>
      </c>
      <c r="O925">
        <f t="shared" si="28"/>
        <v>1</v>
      </c>
      <c r="P925">
        <f t="shared" si="29"/>
        <v>0</v>
      </c>
    </row>
    <row r="926" spans="1:16">
      <c r="A926">
        <v>925</v>
      </c>
      <c r="B926" s="2">
        <v>45017</v>
      </c>
      <c r="C926">
        <v>42467</v>
      </c>
      <c r="D926">
        <v>12746</v>
      </c>
      <c r="E926">
        <v>1.48</v>
      </c>
      <c r="F926">
        <v>2.02</v>
      </c>
      <c r="G926">
        <v>2.29</v>
      </c>
      <c r="H926">
        <v>620</v>
      </c>
      <c r="I926">
        <v>0</v>
      </c>
      <c r="K926">
        <v>0</v>
      </c>
      <c r="L926">
        <v>6</v>
      </c>
      <c r="M926" t="s">
        <v>14</v>
      </c>
      <c r="N926">
        <v>0.35</v>
      </c>
      <c r="O926">
        <f t="shared" si="28"/>
        <v>0</v>
      </c>
      <c r="P926">
        <f t="shared" si="29"/>
        <v>0</v>
      </c>
    </row>
    <row r="927" spans="1:16">
      <c r="A927">
        <v>926</v>
      </c>
      <c r="B927" s="2">
        <v>45200</v>
      </c>
      <c r="C927">
        <v>197027</v>
      </c>
      <c r="D927">
        <v>8095</v>
      </c>
      <c r="E927">
        <v>1.24</v>
      </c>
      <c r="F927">
        <v>1.1100000000000001</v>
      </c>
      <c r="G927">
        <v>0.74</v>
      </c>
      <c r="H927">
        <v>646</v>
      </c>
      <c r="I927">
        <v>0</v>
      </c>
      <c r="K927">
        <v>0</v>
      </c>
      <c r="L927">
        <v>12</v>
      </c>
      <c r="M927" t="s">
        <v>14</v>
      </c>
      <c r="N927">
        <v>0.15</v>
      </c>
      <c r="O927">
        <f t="shared" si="28"/>
        <v>0</v>
      </c>
      <c r="P927">
        <f t="shared" si="29"/>
        <v>0</v>
      </c>
    </row>
    <row r="928" spans="1:16">
      <c r="A928">
        <v>927</v>
      </c>
      <c r="B928" s="2">
        <v>44986</v>
      </c>
      <c r="C928">
        <v>52448</v>
      </c>
      <c r="D928">
        <v>21535</v>
      </c>
      <c r="E928">
        <v>0.2</v>
      </c>
      <c r="F928">
        <v>2.2000000000000002</v>
      </c>
      <c r="G928">
        <v>1.89</v>
      </c>
      <c r="H928">
        <v>597</v>
      </c>
      <c r="I928">
        <v>0</v>
      </c>
      <c r="K928">
        <v>0</v>
      </c>
      <c r="L928">
        <v>12</v>
      </c>
      <c r="M928" t="s">
        <v>14</v>
      </c>
      <c r="N928">
        <v>0.84999999999999987</v>
      </c>
      <c r="O928">
        <f t="shared" si="28"/>
        <v>0</v>
      </c>
      <c r="P928">
        <f t="shared" si="29"/>
        <v>0</v>
      </c>
    </row>
    <row r="929" spans="1:16">
      <c r="A929">
        <v>928</v>
      </c>
      <c r="B929" s="2">
        <v>45170</v>
      </c>
      <c r="C929">
        <v>11562</v>
      </c>
      <c r="D929">
        <v>37838</v>
      </c>
      <c r="E929">
        <v>2.68</v>
      </c>
      <c r="F929">
        <v>1.1100000000000001</v>
      </c>
      <c r="G929">
        <v>2.12</v>
      </c>
      <c r="H929">
        <v>625</v>
      </c>
      <c r="I929">
        <v>0</v>
      </c>
      <c r="K929">
        <v>0</v>
      </c>
      <c r="L929">
        <v>6</v>
      </c>
      <c r="M929" t="s">
        <v>14</v>
      </c>
      <c r="N929">
        <v>0</v>
      </c>
      <c r="O929">
        <f t="shared" si="28"/>
        <v>0</v>
      </c>
      <c r="P929">
        <f t="shared" si="29"/>
        <v>0</v>
      </c>
    </row>
    <row r="930" spans="1:16">
      <c r="A930">
        <v>929</v>
      </c>
      <c r="B930" s="2">
        <v>45292</v>
      </c>
      <c r="C930">
        <v>59259</v>
      </c>
      <c r="D930">
        <v>8901</v>
      </c>
      <c r="E930">
        <v>2.15</v>
      </c>
      <c r="F930">
        <v>0.4</v>
      </c>
      <c r="G930">
        <v>1</v>
      </c>
      <c r="H930">
        <v>615</v>
      </c>
      <c r="I930">
        <v>0</v>
      </c>
      <c r="K930">
        <v>0</v>
      </c>
      <c r="L930">
        <v>12</v>
      </c>
      <c r="M930" t="s">
        <v>15</v>
      </c>
      <c r="N930">
        <v>0</v>
      </c>
      <c r="O930">
        <f t="shared" si="28"/>
        <v>0</v>
      </c>
      <c r="P930">
        <f t="shared" si="29"/>
        <v>0</v>
      </c>
    </row>
    <row r="931" spans="1:16">
      <c r="A931">
        <v>930</v>
      </c>
      <c r="B931" s="2">
        <v>45444</v>
      </c>
      <c r="C931">
        <v>46525</v>
      </c>
      <c r="D931">
        <v>15797</v>
      </c>
      <c r="E931">
        <v>1.34</v>
      </c>
      <c r="F931">
        <v>0.36</v>
      </c>
      <c r="G931">
        <v>1.2</v>
      </c>
      <c r="H931">
        <v>735</v>
      </c>
      <c r="I931">
        <v>1</v>
      </c>
      <c r="J931">
        <v>15694</v>
      </c>
      <c r="K931">
        <v>1</v>
      </c>
      <c r="L931">
        <v>6</v>
      </c>
      <c r="M931" t="s">
        <v>15</v>
      </c>
      <c r="N931">
        <v>0</v>
      </c>
      <c r="O931">
        <f t="shared" si="28"/>
        <v>1</v>
      </c>
      <c r="P931">
        <f t="shared" si="29"/>
        <v>0</v>
      </c>
    </row>
    <row r="932" spans="1:16">
      <c r="A932">
        <v>931</v>
      </c>
      <c r="B932" s="2">
        <v>45352</v>
      </c>
      <c r="C932">
        <v>83980</v>
      </c>
      <c r="D932">
        <v>18954</v>
      </c>
      <c r="E932">
        <v>1.56</v>
      </c>
      <c r="F932">
        <v>0.31</v>
      </c>
      <c r="G932">
        <v>0.78</v>
      </c>
      <c r="H932">
        <v>642</v>
      </c>
      <c r="I932">
        <v>0</v>
      </c>
      <c r="K932">
        <v>0</v>
      </c>
      <c r="L932">
        <v>12</v>
      </c>
      <c r="M932" t="s">
        <v>15</v>
      </c>
      <c r="N932">
        <v>0.15</v>
      </c>
      <c r="O932">
        <f t="shared" si="28"/>
        <v>0</v>
      </c>
      <c r="P932">
        <f t="shared" si="29"/>
        <v>0</v>
      </c>
    </row>
    <row r="933" spans="1:16">
      <c r="A933">
        <v>932</v>
      </c>
      <c r="B933" s="2">
        <v>45017</v>
      </c>
      <c r="C933">
        <v>56250</v>
      </c>
      <c r="D933">
        <v>18590</v>
      </c>
      <c r="E933">
        <v>0.91</v>
      </c>
      <c r="F933">
        <v>1.44</v>
      </c>
      <c r="G933">
        <v>1.24</v>
      </c>
      <c r="H933">
        <v>687</v>
      </c>
      <c r="I933">
        <v>0</v>
      </c>
      <c r="K933">
        <v>0</v>
      </c>
      <c r="L933">
        <v>12</v>
      </c>
      <c r="M933" t="s">
        <v>14</v>
      </c>
      <c r="N933">
        <v>0.3</v>
      </c>
      <c r="O933">
        <f t="shared" si="28"/>
        <v>0</v>
      </c>
      <c r="P933">
        <f t="shared" si="29"/>
        <v>0</v>
      </c>
    </row>
    <row r="934" spans="1:16">
      <c r="A934">
        <v>933</v>
      </c>
      <c r="B934" s="2">
        <v>45352</v>
      </c>
      <c r="C934">
        <v>33190</v>
      </c>
      <c r="D934">
        <v>14089</v>
      </c>
      <c r="E934">
        <v>2.48</v>
      </c>
      <c r="F934">
        <v>2.08</v>
      </c>
      <c r="G934">
        <v>1.33</v>
      </c>
      <c r="H934">
        <v>659</v>
      </c>
      <c r="I934">
        <v>0</v>
      </c>
      <c r="K934">
        <v>0</v>
      </c>
      <c r="L934">
        <v>12</v>
      </c>
      <c r="M934" t="s">
        <v>15</v>
      </c>
      <c r="N934">
        <v>0.35</v>
      </c>
      <c r="O934">
        <f t="shared" si="28"/>
        <v>0</v>
      </c>
      <c r="P934">
        <f t="shared" si="29"/>
        <v>0</v>
      </c>
    </row>
    <row r="935" spans="1:16">
      <c r="A935">
        <v>934</v>
      </c>
      <c r="B935" s="2">
        <v>45566</v>
      </c>
      <c r="C935">
        <v>16386</v>
      </c>
      <c r="D935">
        <v>22469</v>
      </c>
      <c r="E935">
        <v>2.59</v>
      </c>
      <c r="F935">
        <v>3.3</v>
      </c>
      <c r="G935">
        <v>1.71</v>
      </c>
      <c r="H935">
        <v>610</v>
      </c>
      <c r="I935">
        <v>1</v>
      </c>
      <c r="K935">
        <v>0</v>
      </c>
      <c r="L935">
        <v>12</v>
      </c>
      <c r="M935" t="s">
        <v>15</v>
      </c>
      <c r="N935">
        <v>0.35</v>
      </c>
      <c r="O935">
        <f t="shared" si="28"/>
        <v>0</v>
      </c>
      <c r="P935">
        <f t="shared" si="29"/>
        <v>1</v>
      </c>
    </row>
    <row r="936" spans="1:16">
      <c r="A936">
        <v>935</v>
      </c>
      <c r="B936" s="2">
        <v>44958</v>
      </c>
      <c r="C936">
        <v>31702</v>
      </c>
      <c r="D936">
        <v>18724</v>
      </c>
      <c r="E936">
        <v>1.64</v>
      </c>
      <c r="F936">
        <v>1.63</v>
      </c>
      <c r="G936">
        <v>1.95</v>
      </c>
      <c r="H936">
        <v>671</v>
      </c>
      <c r="I936">
        <v>0</v>
      </c>
      <c r="K936">
        <v>0</v>
      </c>
      <c r="L936">
        <v>6</v>
      </c>
      <c r="M936" t="s">
        <v>14</v>
      </c>
      <c r="N936">
        <v>0</v>
      </c>
      <c r="O936">
        <f t="shared" si="28"/>
        <v>0</v>
      </c>
      <c r="P936">
        <f t="shared" si="29"/>
        <v>0</v>
      </c>
    </row>
    <row r="937" spans="1:16">
      <c r="A937">
        <v>936</v>
      </c>
      <c r="B937" s="2">
        <v>45352</v>
      </c>
      <c r="C937">
        <v>20893</v>
      </c>
      <c r="D937">
        <v>5617</v>
      </c>
      <c r="E937">
        <v>2.11</v>
      </c>
      <c r="F937">
        <v>2.04</v>
      </c>
      <c r="G937">
        <v>0.94</v>
      </c>
      <c r="H937">
        <v>713</v>
      </c>
      <c r="I937">
        <v>0</v>
      </c>
      <c r="K937">
        <v>0</v>
      </c>
      <c r="L937">
        <v>12</v>
      </c>
      <c r="M937" t="s">
        <v>15</v>
      </c>
      <c r="N937">
        <v>0.35</v>
      </c>
      <c r="O937">
        <f t="shared" si="28"/>
        <v>0</v>
      </c>
      <c r="P937">
        <f t="shared" si="29"/>
        <v>0</v>
      </c>
    </row>
    <row r="938" spans="1:16">
      <c r="A938">
        <v>937</v>
      </c>
      <c r="B938" s="2">
        <v>45139</v>
      </c>
      <c r="C938">
        <v>24901</v>
      </c>
      <c r="D938">
        <v>24549</v>
      </c>
      <c r="E938">
        <v>1.65</v>
      </c>
      <c r="F938">
        <v>0.6</v>
      </c>
      <c r="G938">
        <v>0.27</v>
      </c>
      <c r="H938">
        <v>614</v>
      </c>
      <c r="I938">
        <v>1</v>
      </c>
      <c r="J938">
        <v>21585</v>
      </c>
      <c r="K938">
        <v>1</v>
      </c>
      <c r="L938">
        <v>12</v>
      </c>
      <c r="M938" t="s">
        <v>14</v>
      </c>
      <c r="N938">
        <v>0.15</v>
      </c>
      <c r="O938">
        <f t="shared" si="28"/>
        <v>1</v>
      </c>
      <c r="P938">
        <f t="shared" si="29"/>
        <v>0</v>
      </c>
    </row>
    <row r="939" spans="1:16">
      <c r="A939">
        <v>938</v>
      </c>
      <c r="B939" s="2">
        <v>45139</v>
      </c>
      <c r="C939">
        <v>53241</v>
      </c>
      <c r="D939">
        <v>24862</v>
      </c>
      <c r="E939">
        <v>0.81</v>
      </c>
      <c r="F939">
        <v>0.4</v>
      </c>
      <c r="G939">
        <v>1.34</v>
      </c>
      <c r="H939">
        <v>725</v>
      </c>
      <c r="I939">
        <v>1</v>
      </c>
      <c r="J939">
        <v>48467</v>
      </c>
      <c r="K939">
        <v>1</v>
      </c>
      <c r="L939">
        <v>18</v>
      </c>
      <c r="M939" t="s">
        <v>14</v>
      </c>
      <c r="N939">
        <v>0.3</v>
      </c>
      <c r="O939">
        <f t="shared" si="28"/>
        <v>1</v>
      </c>
      <c r="P939">
        <f t="shared" si="29"/>
        <v>0</v>
      </c>
    </row>
    <row r="940" spans="1:16">
      <c r="A940">
        <v>939</v>
      </c>
      <c r="B940" s="2">
        <v>45413</v>
      </c>
      <c r="C940">
        <v>107521</v>
      </c>
      <c r="D940">
        <v>7830</v>
      </c>
      <c r="E940">
        <v>1.32</v>
      </c>
      <c r="F940">
        <v>1.64</v>
      </c>
      <c r="G940">
        <v>1.51</v>
      </c>
      <c r="H940">
        <v>633</v>
      </c>
      <c r="I940">
        <v>0</v>
      </c>
      <c r="K940">
        <v>0</v>
      </c>
      <c r="L940">
        <v>12</v>
      </c>
      <c r="M940" t="s">
        <v>15</v>
      </c>
      <c r="N940">
        <v>0</v>
      </c>
      <c r="O940">
        <f t="shared" si="28"/>
        <v>0</v>
      </c>
      <c r="P940">
        <f t="shared" si="29"/>
        <v>0</v>
      </c>
    </row>
    <row r="941" spans="1:16">
      <c r="A941">
        <v>940</v>
      </c>
      <c r="B941" s="2">
        <v>45261</v>
      </c>
      <c r="C941">
        <v>46936</v>
      </c>
      <c r="D941">
        <v>13719</v>
      </c>
      <c r="E941">
        <v>1.62</v>
      </c>
      <c r="F941">
        <v>1.21</v>
      </c>
      <c r="G941">
        <v>1.49</v>
      </c>
      <c r="H941">
        <v>653</v>
      </c>
      <c r="I941">
        <v>1</v>
      </c>
      <c r="J941">
        <v>29368</v>
      </c>
      <c r="K941">
        <v>1</v>
      </c>
      <c r="L941">
        <v>18</v>
      </c>
      <c r="M941" t="s">
        <v>14</v>
      </c>
      <c r="N941">
        <v>0</v>
      </c>
      <c r="O941">
        <f t="shared" si="28"/>
        <v>1</v>
      </c>
      <c r="P941">
        <f t="shared" si="29"/>
        <v>0</v>
      </c>
    </row>
    <row r="942" spans="1:16">
      <c r="A942">
        <v>941</v>
      </c>
      <c r="B942" s="2">
        <v>45474</v>
      </c>
      <c r="C942">
        <v>16692</v>
      </c>
      <c r="D942">
        <v>21554</v>
      </c>
      <c r="E942">
        <v>1.3</v>
      </c>
      <c r="F942">
        <v>0.98</v>
      </c>
      <c r="G942">
        <v>1.17</v>
      </c>
      <c r="H942">
        <v>709</v>
      </c>
      <c r="I942">
        <v>0</v>
      </c>
      <c r="K942">
        <v>0</v>
      </c>
      <c r="L942">
        <v>12</v>
      </c>
      <c r="M942" t="s">
        <v>15</v>
      </c>
      <c r="N942">
        <v>0</v>
      </c>
      <c r="O942">
        <f t="shared" si="28"/>
        <v>0</v>
      </c>
      <c r="P942">
        <f t="shared" si="29"/>
        <v>0</v>
      </c>
    </row>
    <row r="943" spans="1:16">
      <c r="A943">
        <v>942</v>
      </c>
      <c r="B943" s="2">
        <v>45200</v>
      </c>
      <c r="C943">
        <v>48484</v>
      </c>
      <c r="D943">
        <v>11539</v>
      </c>
      <c r="E943">
        <v>1.43</v>
      </c>
      <c r="F943">
        <v>1.19</v>
      </c>
      <c r="G943">
        <v>1.42</v>
      </c>
      <c r="H943">
        <v>644</v>
      </c>
      <c r="I943">
        <v>0</v>
      </c>
      <c r="K943">
        <v>0</v>
      </c>
      <c r="L943">
        <v>6</v>
      </c>
      <c r="M943" t="s">
        <v>14</v>
      </c>
      <c r="N943">
        <v>0</v>
      </c>
      <c r="O943">
        <f t="shared" si="28"/>
        <v>0</v>
      </c>
      <c r="P943">
        <f t="shared" si="29"/>
        <v>0</v>
      </c>
    </row>
    <row r="944" spans="1:16">
      <c r="A944">
        <v>943</v>
      </c>
      <c r="B944" s="2">
        <v>45170</v>
      </c>
      <c r="C944">
        <v>79048</v>
      </c>
      <c r="D944">
        <v>28313</v>
      </c>
      <c r="E944">
        <v>1.5</v>
      </c>
      <c r="F944">
        <v>1.1299999999999999</v>
      </c>
      <c r="G944">
        <v>2.1800000000000002</v>
      </c>
      <c r="H944">
        <v>682</v>
      </c>
      <c r="I944">
        <v>0</v>
      </c>
      <c r="K944">
        <v>0</v>
      </c>
      <c r="L944">
        <v>18</v>
      </c>
      <c r="M944" t="s">
        <v>14</v>
      </c>
      <c r="N944">
        <v>0</v>
      </c>
      <c r="O944">
        <f t="shared" si="28"/>
        <v>0</v>
      </c>
      <c r="P944">
        <f t="shared" si="29"/>
        <v>0</v>
      </c>
    </row>
    <row r="945" spans="1:16">
      <c r="A945">
        <v>944</v>
      </c>
      <c r="B945" s="2">
        <v>45047</v>
      </c>
      <c r="C945">
        <v>24432</v>
      </c>
      <c r="D945">
        <v>69892</v>
      </c>
      <c r="E945">
        <v>1.51</v>
      </c>
      <c r="F945">
        <v>2.2200000000000002</v>
      </c>
      <c r="G945">
        <v>1.56</v>
      </c>
      <c r="H945">
        <v>663</v>
      </c>
      <c r="I945">
        <v>0</v>
      </c>
      <c r="K945">
        <v>0</v>
      </c>
      <c r="L945">
        <v>12</v>
      </c>
      <c r="M945" t="s">
        <v>14</v>
      </c>
      <c r="N945">
        <v>0.35</v>
      </c>
      <c r="O945">
        <f t="shared" si="28"/>
        <v>0</v>
      </c>
      <c r="P945">
        <f t="shared" si="29"/>
        <v>0</v>
      </c>
    </row>
    <row r="946" spans="1:16">
      <c r="A946">
        <v>945</v>
      </c>
      <c r="B946" s="2">
        <v>45078</v>
      </c>
      <c r="C946">
        <v>33286</v>
      </c>
      <c r="D946">
        <v>7706</v>
      </c>
      <c r="E946">
        <v>1.58</v>
      </c>
      <c r="F946">
        <v>2.2400000000000002</v>
      </c>
      <c r="G946">
        <v>1.1399999999999999</v>
      </c>
      <c r="H946">
        <v>687</v>
      </c>
      <c r="I946">
        <v>1</v>
      </c>
      <c r="J946">
        <v>45603</v>
      </c>
      <c r="K946">
        <v>1</v>
      </c>
      <c r="L946">
        <v>12</v>
      </c>
      <c r="M946" t="s">
        <v>14</v>
      </c>
      <c r="N946">
        <v>0.35</v>
      </c>
      <c r="O946">
        <f t="shared" si="28"/>
        <v>1</v>
      </c>
      <c r="P946">
        <f t="shared" si="29"/>
        <v>0</v>
      </c>
    </row>
    <row r="947" spans="1:16">
      <c r="A947">
        <v>946</v>
      </c>
      <c r="B947" s="2">
        <v>45505</v>
      </c>
      <c r="C947">
        <v>36664</v>
      </c>
      <c r="D947">
        <v>5081</v>
      </c>
      <c r="E947">
        <v>0.97</v>
      </c>
      <c r="F947">
        <v>1.32</v>
      </c>
      <c r="G947">
        <v>1.07</v>
      </c>
      <c r="H947">
        <v>549</v>
      </c>
      <c r="I947">
        <v>0</v>
      </c>
      <c r="K947">
        <v>0</v>
      </c>
      <c r="L947">
        <v>6</v>
      </c>
      <c r="M947" t="s">
        <v>15</v>
      </c>
      <c r="N947">
        <v>0.5</v>
      </c>
      <c r="O947">
        <f t="shared" si="28"/>
        <v>0</v>
      </c>
      <c r="P947">
        <f t="shared" si="29"/>
        <v>0</v>
      </c>
    </row>
    <row r="948" spans="1:16">
      <c r="A948">
        <v>947</v>
      </c>
      <c r="B948" s="2">
        <v>44958</v>
      </c>
      <c r="C948">
        <v>21803</v>
      </c>
      <c r="D948">
        <v>16526</v>
      </c>
      <c r="E948">
        <v>1.1599999999999999</v>
      </c>
      <c r="F948">
        <v>1.64</v>
      </c>
      <c r="G948">
        <v>1.26</v>
      </c>
      <c r="H948">
        <v>579</v>
      </c>
      <c r="I948">
        <v>0</v>
      </c>
      <c r="K948">
        <v>0</v>
      </c>
      <c r="L948">
        <v>18</v>
      </c>
      <c r="M948" t="s">
        <v>14</v>
      </c>
      <c r="N948">
        <v>0.2</v>
      </c>
      <c r="O948">
        <f t="shared" si="28"/>
        <v>0</v>
      </c>
      <c r="P948">
        <f t="shared" si="29"/>
        <v>0</v>
      </c>
    </row>
    <row r="949" spans="1:16">
      <c r="A949">
        <v>948</v>
      </c>
      <c r="B949" s="2">
        <v>45627</v>
      </c>
      <c r="C949">
        <v>55347</v>
      </c>
      <c r="D949">
        <v>22139</v>
      </c>
      <c r="E949">
        <v>0.84</v>
      </c>
      <c r="F949">
        <v>1.3</v>
      </c>
      <c r="G949">
        <v>2.25</v>
      </c>
      <c r="H949">
        <v>714</v>
      </c>
      <c r="I949">
        <v>0</v>
      </c>
      <c r="K949">
        <v>0</v>
      </c>
      <c r="L949">
        <v>12</v>
      </c>
      <c r="M949" t="s">
        <v>15</v>
      </c>
      <c r="N949">
        <v>0.3</v>
      </c>
      <c r="O949">
        <f t="shared" si="28"/>
        <v>0</v>
      </c>
      <c r="P949">
        <f t="shared" si="29"/>
        <v>0</v>
      </c>
    </row>
    <row r="950" spans="1:16">
      <c r="A950">
        <v>949</v>
      </c>
      <c r="B950" s="2">
        <v>45292</v>
      </c>
      <c r="C950">
        <v>33570</v>
      </c>
      <c r="D950">
        <v>11366</v>
      </c>
      <c r="E950">
        <v>2.09</v>
      </c>
      <c r="F950">
        <v>0.66</v>
      </c>
      <c r="G950">
        <v>1.25</v>
      </c>
      <c r="H950">
        <v>737</v>
      </c>
      <c r="I950">
        <v>0</v>
      </c>
      <c r="K950">
        <v>0</v>
      </c>
      <c r="L950">
        <v>6</v>
      </c>
      <c r="M950" t="s">
        <v>15</v>
      </c>
      <c r="N950">
        <v>0</v>
      </c>
      <c r="O950">
        <f t="shared" si="28"/>
        <v>0</v>
      </c>
      <c r="P950">
        <f t="shared" si="29"/>
        <v>0</v>
      </c>
    </row>
    <row r="951" spans="1:16">
      <c r="A951">
        <v>950</v>
      </c>
      <c r="B951" s="2">
        <v>45078</v>
      </c>
      <c r="C951">
        <v>47700</v>
      </c>
      <c r="D951">
        <v>36949</v>
      </c>
      <c r="E951">
        <v>0.39</v>
      </c>
      <c r="F951">
        <v>1.54</v>
      </c>
      <c r="G951">
        <v>1.34</v>
      </c>
      <c r="H951">
        <v>630</v>
      </c>
      <c r="I951">
        <v>0</v>
      </c>
      <c r="K951">
        <v>0</v>
      </c>
      <c r="L951">
        <v>6</v>
      </c>
      <c r="M951" t="s">
        <v>14</v>
      </c>
      <c r="N951">
        <v>0.3</v>
      </c>
      <c r="O951">
        <f t="shared" si="28"/>
        <v>0</v>
      </c>
      <c r="P951">
        <f t="shared" si="29"/>
        <v>0</v>
      </c>
    </row>
    <row r="952" spans="1:16">
      <c r="A952">
        <v>951</v>
      </c>
      <c r="B952" s="2">
        <v>45047</v>
      </c>
      <c r="C952">
        <v>20397</v>
      </c>
      <c r="D952">
        <v>5234</v>
      </c>
      <c r="E952">
        <v>2.1800000000000002</v>
      </c>
      <c r="F952">
        <v>0.34</v>
      </c>
      <c r="G952">
        <v>1.08</v>
      </c>
      <c r="H952">
        <v>667</v>
      </c>
      <c r="I952">
        <v>0</v>
      </c>
      <c r="K952">
        <v>0</v>
      </c>
      <c r="L952">
        <v>12</v>
      </c>
      <c r="M952" t="s">
        <v>14</v>
      </c>
      <c r="N952">
        <v>0</v>
      </c>
      <c r="O952">
        <f t="shared" si="28"/>
        <v>0</v>
      </c>
      <c r="P952">
        <f t="shared" si="29"/>
        <v>0</v>
      </c>
    </row>
    <row r="953" spans="1:16">
      <c r="A953">
        <v>952</v>
      </c>
      <c r="B953" s="2">
        <v>44927</v>
      </c>
      <c r="C953">
        <v>27328</v>
      </c>
      <c r="D953">
        <v>21699</v>
      </c>
      <c r="E953">
        <v>2.31</v>
      </c>
      <c r="F953">
        <v>1.89</v>
      </c>
      <c r="G953">
        <v>1.95</v>
      </c>
      <c r="H953">
        <v>696</v>
      </c>
      <c r="I953">
        <v>0</v>
      </c>
      <c r="K953">
        <v>0</v>
      </c>
      <c r="L953">
        <v>6</v>
      </c>
      <c r="M953" t="s">
        <v>14</v>
      </c>
      <c r="N953">
        <v>0</v>
      </c>
      <c r="O953">
        <f t="shared" si="28"/>
        <v>0</v>
      </c>
      <c r="P953">
        <f t="shared" si="29"/>
        <v>0</v>
      </c>
    </row>
    <row r="954" spans="1:16">
      <c r="A954">
        <v>953</v>
      </c>
      <c r="B954" s="2">
        <v>45536</v>
      </c>
      <c r="C954">
        <v>58078</v>
      </c>
      <c r="D954">
        <v>8742</v>
      </c>
      <c r="E954">
        <v>1.38</v>
      </c>
      <c r="F954">
        <v>0.39</v>
      </c>
      <c r="G954">
        <v>2.4300000000000002</v>
      </c>
      <c r="H954">
        <v>718</v>
      </c>
      <c r="I954">
        <v>0</v>
      </c>
      <c r="K954">
        <v>0</v>
      </c>
      <c r="L954">
        <v>12</v>
      </c>
      <c r="M954" t="s">
        <v>15</v>
      </c>
      <c r="N954">
        <v>0</v>
      </c>
      <c r="O954">
        <f t="shared" si="28"/>
        <v>0</v>
      </c>
      <c r="P954">
        <f t="shared" si="29"/>
        <v>0</v>
      </c>
    </row>
    <row r="955" spans="1:16">
      <c r="A955">
        <v>954</v>
      </c>
      <c r="B955" s="2">
        <v>45566</v>
      </c>
      <c r="C955">
        <v>28500</v>
      </c>
      <c r="D955">
        <v>44514</v>
      </c>
      <c r="E955">
        <v>0.2</v>
      </c>
      <c r="F955">
        <v>1.1100000000000001</v>
      </c>
      <c r="G955">
        <v>1.6</v>
      </c>
      <c r="H955">
        <v>568</v>
      </c>
      <c r="I955">
        <v>0</v>
      </c>
      <c r="K955">
        <v>0</v>
      </c>
      <c r="L955">
        <v>12</v>
      </c>
      <c r="M955" t="s">
        <v>15</v>
      </c>
      <c r="N955">
        <v>0.5</v>
      </c>
      <c r="O955">
        <f t="shared" si="28"/>
        <v>0</v>
      </c>
      <c r="P955">
        <f t="shared" si="29"/>
        <v>0</v>
      </c>
    </row>
    <row r="956" spans="1:16">
      <c r="A956">
        <v>955</v>
      </c>
      <c r="B956" s="2">
        <v>45536</v>
      </c>
      <c r="C956">
        <v>111583</v>
      </c>
      <c r="D956">
        <v>53893</v>
      </c>
      <c r="E956">
        <v>1.35</v>
      </c>
      <c r="F956">
        <v>0.5</v>
      </c>
      <c r="G956">
        <v>1.4</v>
      </c>
      <c r="H956">
        <v>631</v>
      </c>
      <c r="I956">
        <v>0</v>
      </c>
      <c r="K956">
        <v>0</v>
      </c>
      <c r="L956">
        <v>12</v>
      </c>
      <c r="M956" t="s">
        <v>15</v>
      </c>
      <c r="N956">
        <v>0</v>
      </c>
      <c r="O956">
        <f t="shared" si="28"/>
        <v>0</v>
      </c>
      <c r="P956">
        <f t="shared" si="29"/>
        <v>0</v>
      </c>
    </row>
    <row r="957" spans="1:16">
      <c r="A957">
        <v>956</v>
      </c>
      <c r="B957" s="2">
        <v>45078</v>
      </c>
      <c r="C957">
        <v>28008</v>
      </c>
      <c r="D957">
        <v>7811</v>
      </c>
      <c r="E957">
        <v>1.51</v>
      </c>
      <c r="F957">
        <v>1.33</v>
      </c>
      <c r="G957">
        <v>1.37</v>
      </c>
      <c r="H957">
        <v>662</v>
      </c>
      <c r="I957">
        <v>0</v>
      </c>
      <c r="K957">
        <v>0</v>
      </c>
      <c r="L957">
        <v>12</v>
      </c>
      <c r="M957" t="s">
        <v>14</v>
      </c>
      <c r="N957">
        <v>0</v>
      </c>
      <c r="O957">
        <f t="shared" si="28"/>
        <v>0</v>
      </c>
      <c r="P957">
        <f t="shared" si="29"/>
        <v>0</v>
      </c>
    </row>
    <row r="958" spans="1:16">
      <c r="A958">
        <v>957</v>
      </c>
      <c r="B958" s="2">
        <v>45078</v>
      </c>
      <c r="C958">
        <v>42026</v>
      </c>
      <c r="D958">
        <v>9093</v>
      </c>
      <c r="E958">
        <v>0.99</v>
      </c>
      <c r="F958">
        <v>0.88</v>
      </c>
      <c r="G958">
        <v>0.1</v>
      </c>
      <c r="H958">
        <v>719</v>
      </c>
      <c r="I958">
        <v>0</v>
      </c>
      <c r="K958">
        <v>0</v>
      </c>
      <c r="L958">
        <v>12</v>
      </c>
      <c r="M958" t="s">
        <v>14</v>
      </c>
      <c r="N958">
        <v>0.45</v>
      </c>
      <c r="O958">
        <f t="shared" si="28"/>
        <v>0</v>
      </c>
      <c r="P958">
        <f t="shared" si="29"/>
        <v>0</v>
      </c>
    </row>
    <row r="959" spans="1:16">
      <c r="A959">
        <v>958</v>
      </c>
      <c r="B959" s="2">
        <v>45597</v>
      </c>
      <c r="C959">
        <v>66582</v>
      </c>
      <c r="D959">
        <v>24385</v>
      </c>
      <c r="E959">
        <v>1.27</v>
      </c>
      <c r="F959">
        <v>0.3</v>
      </c>
      <c r="G959">
        <v>1.76</v>
      </c>
      <c r="H959">
        <v>817</v>
      </c>
      <c r="I959">
        <v>1</v>
      </c>
      <c r="J959">
        <v>16179</v>
      </c>
      <c r="K959">
        <v>1</v>
      </c>
      <c r="L959">
        <v>12</v>
      </c>
      <c r="M959" t="s">
        <v>15</v>
      </c>
      <c r="N959">
        <v>0</v>
      </c>
      <c r="O959">
        <f t="shared" si="28"/>
        <v>1</v>
      </c>
      <c r="P959">
        <f t="shared" si="29"/>
        <v>0</v>
      </c>
    </row>
    <row r="960" spans="1:16">
      <c r="A960">
        <v>959</v>
      </c>
      <c r="B960" s="2">
        <v>45383</v>
      </c>
      <c r="C960">
        <v>14444</v>
      </c>
      <c r="D960">
        <v>10188</v>
      </c>
      <c r="E960">
        <v>2.39</v>
      </c>
      <c r="F960">
        <v>1.21</v>
      </c>
      <c r="G960">
        <v>1.42</v>
      </c>
      <c r="H960">
        <v>667</v>
      </c>
      <c r="I960">
        <v>0</v>
      </c>
      <c r="K960">
        <v>0</v>
      </c>
      <c r="L960">
        <v>18</v>
      </c>
      <c r="M960" t="s">
        <v>15</v>
      </c>
      <c r="N960">
        <v>0</v>
      </c>
      <c r="O960">
        <f t="shared" si="28"/>
        <v>0</v>
      </c>
      <c r="P960">
        <f t="shared" si="29"/>
        <v>0</v>
      </c>
    </row>
    <row r="961" spans="1:16">
      <c r="A961">
        <v>960</v>
      </c>
      <c r="B961" s="2">
        <v>45017</v>
      </c>
      <c r="C961">
        <v>11562</v>
      </c>
      <c r="D961">
        <v>12942</v>
      </c>
      <c r="E961">
        <v>1.92</v>
      </c>
      <c r="F961">
        <v>0.6</v>
      </c>
      <c r="G961">
        <v>1.59</v>
      </c>
      <c r="H961">
        <v>603</v>
      </c>
      <c r="I961">
        <v>0</v>
      </c>
      <c r="K961">
        <v>0</v>
      </c>
      <c r="L961">
        <v>18</v>
      </c>
      <c r="M961" t="s">
        <v>14</v>
      </c>
      <c r="N961">
        <v>0</v>
      </c>
      <c r="O961">
        <f t="shared" si="28"/>
        <v>0</v>
      </c>
      <c r="P961">
        <f t="shared" si="29"/>
        <v>0</v>
      </c>
    </row>
    <row r="962" spans="1:16">
      <c r="A962">
        <v>961</v>
      </c>
      <c r="B962" s="2">
        <v>45231</v>
      </c>
      <c r="C962">
        <v>13471</v>
      </c>
      <c r="D962">
        <v>13599</v>
      </c>
      <c r="E962">
        <v>1.04</v>
      </c>
      <c r="F962">
        <v>1.68</v>
      </c>
      <c r="G962">
        <v>0.96</v>
      </c>
      <c r="H962">
        <v>702</v>
      </c>
      <c r="I962">
        <v>0</v>
      </c>
      <c r="K962">
        <v>0</v>
      </c>
      <c r="L962">
        <v>12</v>
      </c>
      <c r="M962" t="s">
        <v>14</v>
      </c>
      <c r="N962">
        <v>0</v>
      </c>
      <c r="O962">
        <f t="shared" si="28"/>
        <v>0</v>
      </c>
      <c r="P962">
        <f t="shared" si="29"/>
        <v>0</v>
      </c>
    </row>
    <row r="963" spans="1:16">
      <c r="A963">
        <v>962</v>
      </c>
      <c r="B963" s="2">
        <v>45627</v>
      </c>
      <c r="C963">
        <v>82510</v>
      </c>
      <c r="D963">
        <v>3485</v>
      </c>
      <c r="E963">
        <v>0.67</v>
      </c>
      <c r="F963">
        <v>0.91</v>
      </c>
      <c r="G963">
        <v>1.1399999999999999</v>
      </c>
      <c r="H963">
        <v>753</v>
      </c>
      <c r="I963">
        <v>0</v>
      </c>
      <c r="K963">
        <v>0</v>
      </c>
      <c r="L963">
        <v>12</v>
      </c>
      <c r="M963" t="s">
        <v>15</v>
      </c>
      <c r="N963">
        <v>0.3</v>
      </c>
      <c r="O963">
        <f t="shared" ref="O963:O1003" si="30">IF(J963="",0,1)</f>
        <v>0</v>
      </c>
      <c r="P963">
        <f t="shared" ref="P963:P1005" si="31">IF(I963=K963,0,1)</f>
        <v>0</v>
      </c>
    </row>
    <row r="964" spans="1:16">
      <c r="A964">
        <v>963</v>
      </c>
      <c r="B964" s="2">
        <v>45597</v>
      </c>
      <c r="C964">
        <v>25369</v>
      </c>
      <c r="D964">
        <v>13231</v>
      </c>
      <c r="E964">
        <v>1.37</v>
      </c>
      <c r="F964">
        <v>1.19</v>
      </c>
      <c r="G964">
        <v>1.1200000000000001</v>
      </c>
      <c r="H964">
        <v>686</v>
      </c>
      <c r="I964">
        <v>0</v>
      </c>
      <c r="K964">
        <v>0</v>
      </c>
      <c r="L964">
        <v>18</v>
      </c>
      <c r="M964" t="s">
        <v>15</v>
      </c>
      <c r="N964">
        <v>0</v>
      </c>
      <c r="O964">
        <f t="shared" si="30"/>
        <v>0</v>
      </c>
      <c r="P964">
        <f t="shared" si="31"/>
        <v>0</v>
      </c>
    </row>
    <row r="965" spans="1:16">
      <c r="A965">
        <v>964</v>
      </c>
      <c r="B965" s="2">
        <v>45170</v>
      </c>
      <c r="C965">
        <v>191536</v>
      </c>
      <c r="D965">
        <v>8244</v>
      </c>
      <c r="E965">
        <v>1.43</v>
      </c>
      <c r="F965">
        <v>0.46</v>
      </c>
      <c r="G965">
        <v>1.91</v>
      </c>
      <c r="H965">
        <v>630</v>
      </c>
      <c r="I965">
        <v>0</v>
      </c>
      <c r="K965">
        <v>0</v>
      </c>
      <c r="L965">
        <v>18</v>
      </c>
      <c r="M965" t="s">
        <v>14</v>
      </c>
      <c r="N965">
        <v>0</v>
      </c>
      <c r="O965">
        <f t="shared" si="30"/>
        <v>0</v>
      </c>
      <c r="P965">
        <f t="shared" si="31"/>
        <v>0</v>
      </c>
    </row>
    <row r="966" spans="1:16">
      <c r="A966">
        <v>965</v>
      </c>
      <c r="B966" s="2">
        <v>45597</v>
      </c>
      <c r="C966">
        <v>25166</v>
      </c>
      <c r="D966">
        <v>9460</v>
      </c>
      <c r="E966">
        <v>1.82</v>
      </c>
      <c r="F966">
        <v>0.6</v>
      </c>
      <c r="G966">
        <v>1.1399999999999999</v>
      </c>
      <c r="H966">
        <v>733</v>
      </c>
      <c r="I966">
        <v>0</v>
      </c>
      <c r="K966">
        <v>0</v>
      </c>
      <c r="L966">
        <v>18</v>
      </c>
      <c r="M966" t="s">
        <v>15</v>
      </c>
      <c r="N966">
        <v>0</v>
      </c>
      <c r="O966">
        <f t="shared" si="30"/>
        <v>0</v>
      </c>
      <c r="P966">
        <f t="shared" si="31"/>
        <v>0</v>
      </c>
    </row>
    <row r="967" spans="1:16">
      <c r="A967">
        <v>966</v>
      </c>
      <c r="B967" s="2">
        <v>44986</v>
      </c>
      <c r="C967">
        <v>40944</v>
      </c>
      <c r="D967">
        <v>36700</v>
      </c>
      <c r="E967">
        <v>1.26</v>
      </c>
      <c r="F967">
        <v>0.66</v>
      </c>
      <c r="G967">
        <v>2.5</v>
      </c>
      <c r="H967">
        <v>716</v>
      </c>
      <c r="I967">
        <v>0</v>
      </c>
      <c r="K967">
        <v>0</v>
      </c>
      <c r="L967">
        <v>12</v>
      </c>
      <c r="M967" t="s">
        <v>14</v>
      </c>
      <c r="N967">
        <v>0</v>
      </c>
      <c r="O967">
        <f t="shared" si="30"/>
        <v>0</v>
      </c>
      <c r="P967">
        <f t="shared" si="31"/>
        <v>0</v>
      </c>
    </row>
    <row r="968" spans="1:16">
      <c r="A968">
        <v>967</v>
      </c>
      <c r="B968" s="2">
        <v>45474</v>
      </c>
      <c r="C968">
        <v>98950</v>
      </c>
      <c r="D968">
        <v>5544</v>
      </c>
      <c r="E968">
        <v>1.83</v>
      </c>
      <c r="F968">
        <v>1.65</v>
      </c>
      <c r="G968">
        <v>1.59</v>
      </c>
      <c r="H968">
        <v>624</v>
      </c>
      <c r="I968">
        <v>0</v>
      </c>
      <c r="K968">
        <v>0</v>
      </c>
      <c r="L968">
        <v>12</v>
      </c>
      <c r="M968" t="s">
        <v>15</v>
      </c>
      <c r="N968">
        <v>0</v>
      </c>
      <c r="O968">
        <f t="shared" si="30"/>
        <v>0</v>
      </c>
      <c r="P968">
        <f t="shared" si="31"/>
        <v>0</v>
      </c>
    </row>
    <row r="969" spans="1:16">
      <c r="A969">
        <v>968</v>
      </c>
      <c r="B969" s="2">
        <v>45139</v>
      </c>
      <c r="C969">
        <v>133781</v>
      </c>
      <c r="D969">
        <v>23606</v>
      </c>
      <c r="E969">
        <v>2.61</v>
      </c>
      <c r="F969">
        <v>2.93</v>
      </c>
      <c r="G969">
        <v>0.65</v>
      </c>
      <c r="H969">
        <v>701</v>
      </c>
      <c r="I969">
        <v>0</v>
      </c>
      <c r="K969">
        <v>0</v>
      </c>
      <c r="L969">
        <v>12</v>
      </c>
      <c r="M969" t="s">
        <v>14</v>
      </c>
      <c r="N969">
        <v>0.5</v>
      </c>
      <c r="O969">
        <f t="shared" si="30"/>
        <v>0</v>
      </c>
      <c r="P969">
        <f t="shared" si="31"/>
        <v>0</v>
      </c>
    </row>
    <row r="970" spans="1:16">
      <c r="A970">
        <v>969</v>
      </c>
      <c r="B970" s="2">
        <v>45047</v>
      </c>
      <c r="C970">
        <v>138687</v>
      </c>
      <c r="D970">
        <v>10990</v>
      </c>
      <c r="E970">
        <v>2</v>
      </c>
      <c r="F970">
        <v>0.51</v>
      </c>
      <c r="G970">
        <v>1.28</v>
      </c>
      <c r="H970">
        <v>735</v>
      </c>
      <c r="I970">
        <v>0</v>
      </c>
      <c r="K970">
        <v>0</v>
      </c>
      <c r="L970">
        <v>12</v>
      </c>
      <c r="M970" t="s">
        <v>14</v>
      </c>
      <c r="N970">
        <v>0</v>
      </c>
      <c r="O970">
        <f t="shared" si="30"/>
        <v>0</v>
      </c>
      <c r="P970">
        <f t="shared" si="31"/>
        <v>0</v>
      </c>
    </row>
    <row r="971" spans="1:16">
      <c r="A971">
        <v>970</v>
      </c>
      <c r="B971" s="2">
        <v>45017</v>
      </c>
      <c r="C971">
        <v>79653</v>
      </c>
      <c r="D971">
        <v>10984</v>
      </c>
      <c r="E971">
        <v>1.52</v>
      </c>
      <c r="F971">
        <v>1.92</v>
      </c>
      <c r="G971">
        <v>0.99</v>
      </c>
      <c r="H971">
        <v>745</v>
      </c>
      <c r="I971">
        <v>0</v>
      </c>
      <c r="K971">
        <v>0</v>
      </c>
      <c r="L971">
        <v>12</v>
      </c>
      <c r="M971" t="s">
        <v>14</v>
      </c>
      <c r="N971">
        <v>0</v>
      </c>
      <c r="O971">
        <f t="shared" si="30"/>
        <v>0</v>
      </c>
      <c r="P971">
        <f t="shared" si="31"/>
        <v>0</v>
      </c>
    </row>
    <row r="972" spans="1:16">
      <c r="A972">
        <v>971</v>
      </c>
      <c r="B972" s="2">
        <v>45627</v>
      </c>
      <c r="C972">
        <v>70660</v>
      </c>
      <c r="D972">
        <v>23231</v>
      </c>
      <c r="E972">
        <v>1.45</v>
      </c>
      <c r="F972">
        <v>0.2</v>
      </c>
      <c r="G972">
        <v>0.14000000000000001</v>
      </c>
      <c r="H972">
        <v>676</v>
      </c>
      <c r="I972">
        <v>0</v>
      </c>
      <c r="K972">
        <v>0</v>
      </c>
      <c r="L972">
        <v>18</v>
      </c>
      <c r="M972" t="s">
        <v>15</v>
      </c>
      <c r="N972">
        <v>0.15</v>
      </c>
      <c r="O972">
        <f t="shared" si="30"/>
        <v>0</v>
      </c>
      <c r="P972">
        <f t="shared" si="31"/>
        <v>0</v>
      </c>
    </row>
    <row r="973" spans="1:16">
      <c r="A973">
        <v>972</v>
      </c>
      <c r="B973" s="2">
        <v>45078</v>
      </c>
      <c r="C973">
        <v>53377</v>
      </c>
      <c r="D973">
        <v>16950</v>
      </c>
      <c r="E973">
        <v>1.35</v>
      </c>
      <c r="F973">
        <v>0.39</v>
      </c>
      <c r="G973">
        <v>2.23</v>
      </c>
      <c r="H973">
        <v>660</v>
      </c>
      <c r="I973">
        <v>0</v>
      </c>
      <c r="K973">
        <v>0</v>
      </c>
      <c r="L973">
        <v>18</v>
      </c>
      <c r="M973" t="s">
        <v>14</v>
      </c>
      <c r="N973">
        <v>0</v>
      </c>
      <c r="O973">
        <f t="shared" si="30"/>
        <v>0</v>
      </c>
      <c r="P973">
        <f t="shared" si="31"/>
        <v>0</v>
      </c>
    </row>
    <row r="974" spans="1:16">
      <c r="A974">
        <v>973</v>
      </c>
      <c r="B974" s="2">
        <v>44958</v>
      </c>
      <c r="C974">
        <v>60231</v>
      </c>
      <c r="D974">
        <v>19919</v>
      </c>
      <c r="E974">
        <v>2.2000000000000002</v>
      </c>
      <c r="F974">
        <v>0.46</v>
      </c>
      <c r="G974">
        <v>1.74</v>
      </c>
      <c r="H974">
        <v>748</v>
      </c>
      <c r="I974">
        <v>0</v>
      </c>
      <c r="K974">
        <v>0</v>
      </c>
      <c r="L974">
        <v>6</v>
      </c>
      <c r="M974" t="s">
        <v>14</v>
      </c>
      <c r="N974">
        <v>0</v>
      </c>
      <c r="O974">
        <f t="shared" si="30"/>
        <v>0</v>
      </c>
      <c r="P974">
        <f t="shared" si="31"/>
        <v>0</v>
      </c>
    </row>
    <row r="975" spans="1:16">
      <c r="A975">
        <v>974</v>
      </c>
      <c r="B975" s="2">
        <v>45505</v>
      </c>
      <c r="C975">
        <v>25380</v>
      </c>
      <c r="D975">
        <v>26311</v>
      </c>
      <c r="E975">
        <v>1.2</v>
      </c>
      <c r="F975">
        <v>0.35</v>
      </c>
      <c r="G975">
        <v>1.64</v>
      </c>
      <c r="H975">
        <v>613</v>
      </c>
      <c r="I975">
        <v>0</v>
      </c>
      <c r="K975">
        <v>0</v>
      </c>
      <c r="L975">
        <v>12</v>
      </c>
      <c r="M975" t="s">
        <v>15</v>
      </c>
      <c r="N975">
        <v>0</v>
      </c>
      <c r="O975">
        <f t="shared" si="30"/>
        <v>0</v>
      </c>
      <c r="P975">
        <f t="shared" si="31"/>
        <v>0</v>
      </c>
    </row>
    <row r="976" spans="1:16">
      <c r="A976">
        <v>975</v>
      </c>
      <c r="B976" s="2">
        <v>45231</v>
      </c>
      <c r="C976">
        <v>21336</v>
      </c>
      <c r="D976">
        <v>10594</v>
      </c>
      <c r="E976">
        <v>1.57</v>
      </c>
      <c r="F976">
        <v>0.3</v>
      </c>
      <c r="G976">
        <v>1.44</v>
      </c>
      <c r="H976">
        <v>704</v>
      </c>
      <c r="I976">
        <v>0</v>
      </c>
      <c r="K976">
        <v>0</v>
      </c>
      <c r="L976">
        <v>18</v>
      </c>
      <c r="M976" t="s">
        <v>14</v>
      </c>
      <c r="N976">
        <v>0</v>
      </c>
      <c r="O976">
        <f t="shared" si="30"/>
        <v>0</v>
      </c>
      <c r="P976">
        <f t="shared" si="31"/>
        <v>0</v>
      </c>
    </row>
    <row r="977" spans="1:16">
      <c r="A977">
        <v>976</v>
      </c>
      <c r="B977" s="2">
        <v>45017</v>
      </c>
      <c r="C977">
        <v>36236</v>
      </c>
      <c r="D977">
        <v>8703</v>
      </c>
      <c r="E977">
        <v>1.58</v>
      </c>
      <c r="F977">
        <v>1.21</v>
      </c>
      <c r="G977">
        <v>0.59</v>
      </c>
      <c r="H977">
        <v>605</v>
      </c>
      <c r="I977">
        <v>0</v>
      </c>
      <c r="K977">
        <v>0</v>
      </c>
      <c r="L977">
        <v>18</v>
      </c>
      <c r="M977" t="s">
        <v>14</v>
      </c>
      <c r="N977">
        <v>0.15</v>
      </c>
      <c r="O977">
        <f t="shared" si="30"/>
        <v>0</v>
      </c>
      <c r="P977">
        <f t="shared" si="31"/>
        <v>0</v>
      </c>
    </row>
    <row r="978" spans="1:16">
      <c r="A978">
        <v>977</v>
      </c>
      <c r="B978" s="2">
        <v>45352</v>
      </c>
      <c r="C978">
        <v>32513</v>
      </c>
      <c r="D978">
        <v>6250</v>
      </c>
      <c r="E978">
        <v>1.27</v>
      </c>
      <c r="F978">
        <v>0.78</v>
      </c>
      <c r="G978">
        <v>1.08</v>
      </c>
      <c r="H978">
        <v>739</v>
      </c>
      <c r="I978">
        <v>0</v>
      </c>
      <c r="K978">
        <v>0</v>
      </c>
      <c r="L978">
        <v>12</v>
      </c>
      <c r="M978" t="s">
        <v>15</v>
      </c>
      <c r="N978">
        <v>0</v>
      </c>
      <c r="O978">
        <f t="shared" si="30"/>
        <v>0</v>
      </c>
      <c r="P978">
        <f t="shared" si="31"/>
        <v>0</v>
      </c>
    </row>
    <row r="979" spans="1:16">
      <c r="A979">
        <v>978</v>
      </c>
      <c r="B979" s="2">
        <v>45078</v>
      </c>
      <c r="C979">
        <v>27049</v>
      </c>
      <c r="D979">
        <v>7497</v>
      </c>
      <c r="E979">
        <v>0.8</v>
      </c>
      <c r="F979">
        <v>1.18</v>
      </c>
      <c r="G979">
        <v>1.81</v>
      </c>
      <c r="H979">
        <v>666</v>
      </c>
      <c r="I979">
        <v>0</v>
      </c>
      <c r="K979">
        <v>0</v>
      </c>
      <c r="L979">
        <v>6</v>
      </c>
      <c r="M979" t="s">
        <v>14</v>
      </c>
      <c r="N979">
        <v>0.3</v>
      </c>
      <c r="O979">
        <f t="shared" si="30"/>
        <v>0</v>
      </c>
      <c r="P979">
        <f t="shared" si="31"/>
        <v>0</v>
      </c>
    </row>
    <row r="980" spans="1:16">
      <c r="A980">
        <v>979</v>
      </c>
      <c r="B980" s="2">
        <v>45566</v>
      </c>
      <c r="C980">
        <v>57105</v>
      </c>
      <c r="D980">
        <v>105279</v>
      </c>
      <c r="E980">
        <v>1.73</v>
      </c>
      <c r="F980">
        <v>1.47</v>
      </c>
      <c r="G980">
        <v>0.77</v>
      </c>
      <c r="H980">
        <v>750</v>
      </c>
      <c r="I980">
        <v>0</v>
      </c>
      <c r="K980">
        <v>0</v>
      </c>
      <c r="L980">
        <v>12</v>
      </c>
      <c r="M980" t="s">
        <v>15</v>
      </c>
      <c r="N980">
        <v>0.15</v>
      </c>
      <c r="O980">
        <f t="shared" si="30"/>
        <v>0</v>
      </c>
      <c r="P980">
        <f t="shared" si="31"/>
        <v>0</v>
      </c>
    </row>
    <row r="981" spans="1:16">
      <c r="A981">
        <v>980</v>
      </c>
      <c r="B981" s="2">
        <v>45413</v>
      </c>
      <c r="C981">
        <v>67572</v>
      </c>
      <c r="D981">
        <v>31929</v>
      </c>
      <c r="E981">
        <v>1.52</v>
      </c>
      <c r="F981">
        <v>1.0900000000000001</v>
      </c>
      <c r="G981">
        <v>0.1</v>
      </c>
      <c r="H981">
        <v>707</v>
      </c>
      <c r="I981">
        <v>0</v>
      </c>
      <c r="K981">
        <v>0</v>
      </c>
      <c r="L981">
        <v>12</v>
      </c>
      <c r="M981" t="s">
        <v>15</v>
      </c>
      <c r="N981">
        <v>0.15</v>
      </c>
      <c r="O981">
        <f t="shared" si="30"/>
        <v>0</v>
      </c>
      <c r="P981">
        <f t="shared" si="31"/>
        <v>0</v>
      </c>
    </row>
    <row r="982" spans="1:16">
      <c r="A982">
        <v>981</v>
      </c>
      <c r="B982" s="2">
        <v>45627</v>
      </c>
      <c r="C982">
        <v>38463</v>
      </c>
      <c r="D982">
        <v>5189</v>
      </c>
      <c r="E982">
        <v>1.83</v>
      </c>
      <c r="F982">
        <v>1.43</v>
      </c>
      <c r="G982">
        <v>1.23</v>
      </c>
      <c r="H982">
        <v>613</v>
      </c>
      <c r="I982">
        <v>0</v>
      </c>
      <c r="K982">
        <v>0</v>
      </c>
      <c r="L982">
        <v>12</v>
      </c>
      <c r="M982" t="s">
        <v>15</v>
      </c>
      <c r="N982">
        <v>0</v>
      </c>
      <c r="O982">
        <f t="shared" si="30"/>
        <v>0</v>
      </c>
      <c r="P982">
        <f t="shared" si="31"/>
        <v>0</v>
      </c>
    </row>
    <row r="983" spans="1:16">
      <c r="A983">
        <v>982</v>
      </c>
      <c r="B983" s="2">
        <v>45078</v>
      </c>
      <c r="C983">
        <v>94882</v>
      </c>
      <c r="D983">
        <v>5294</v>
      </c>
      <c r="E983">
        <v>1.26</v>
      </c>
      <c r="F983">
        <v>0.86</v>
      </c>
      <c r="G983">
        <v>1.27</v>
      </c>
      <c r="H983">
        <v>758</v>
      </c>
      <c r="I983">
        <v>0</v>
      </c>
      <c r="K983">
        <v>0</v>
      </c>
      <c r="L983">
        <v>12</v>
      </c>
      <c r="M983" t="s">
        <v>14</v>
      </c>
      <c r="N983">
        <v>0</v>
      </c>
      <c r="O983">
        <f t="shared" si="30"/>
        <v>0</v>
      </c>
      <c r="P983">
        <f t="shared" si="31"/>
        <v>0</v>
      </c>
    </row>
    <row r="984" spans="1:16">
      <c r="A984">
        <v>983</v>
      </c>
      <c r="B984" s="2">
        <v>45474</v>
      </c>
      <c r="C984">
        <v>17290</v>
      </c>
      <c r="D984">
        <v>18719</v>
      </c>
      <c r="E984">
        <v>2.2200000000000002</v>
      </c>
      <c r="F984">
        <v>0.39</v>
      </c>
      <c r="G984">
        <v>1.42</v>
      </c>
      <c r="H984">
        <v>765</v>
      </c>
      <c r="I984">
        <v>0</v>
      </c>
      <c r="K984">
        <v>0</v>
      </c>
      <c r="L984">
        <v>12</v>
      </c>
      <c r="M984" t="s">
        <v>15</v>
      </c>
      <c r="N984">
        <v>0</v>
      </c>
      <c r="O984">
        <f t="shared" si="30"/>
        <v>0</v>
      </c>
      <c r="P984">
        <f t="shared" si="31"/>
        <v>0</v>
      </c>
    </row>
    <row r="985" spans="1:16">
      <c r="A985">
        <v>984</v>
      </c>
      <c r="B985" s="2">
        <v>44958</v>
      </c>
      <c r="C985">
        <v>32020</v>
      </c>
      <c r="D985">
        <v>19596</v>
      </c>
      <c r="E985">
        <v>1.07</v>
      </c>
      <c r="F985">
        <v>1.9</v>
      </c>
      <c r="G985">
        <v>1.75</v>
      </c>
      <c r="H985">
        <v>729</v>
      </c>
      <c r="I985">
        <v>0</v>
      </c>
      <c r="K985">
        <v>0</v>
      </c>
      <c r="L985">
        <v>12</v>
      </c>
      <c r="M985" t="s">
        <v>14</v>
      </c>
      <c r="N985">
        <v>0</v>
      </c>
      <c r="O985">
        <f t="shared" si="30"/>
        <v>0</v>
      </c>
      <c r="P985">
        <f t="shared" si="31"/>
        <v>0</v>
      </c>
    </row>
    <row r="986" spans="1:16">
      <c r="A986">
        <v>985</v>
      </c>
      <c r="B986" s="2">
        <v>45352</v>
      </c>
      <c r="C986">
        <v>22790</v>
      </c>
      <c r="D986">
        <v>19618</v>
      </c>
      <c r="E986">
        <v>2.4900000000000002</v>
      </c>
      <c r="F986">
        <v>0.6</v>
      </c>
      <c r="G986">
        <v>1.7</v>
      </c>
      <c r="H986">
        <v>638</v>
      </c>
      <c r="I986">
        <v>0</v>
      </c>
      <c r="K986">
        <v>0</v>
      </c>
      <c r="L986">
        <v>12</v>
      </c>
      <c r="M986" t="s">
        <v>15</v>
      </c>
      <c r="N986">
        <v>0</v>
      </c>
      <c r="O986">
        <f t="shared" si="30"/>
        <v>0</v>
      </c>
      <c r="P986">
        <f t="shared" si="31"/>
        <v>0</v>
      </c>
    </row>
    <row r="987" spans="1:16">
      <c r="A987">
        <v>986</v>
      </c>
      <c r="B987" s="2">
        <v>45231</v>
      </c>
      <c r="C987">
        <v>10794</v>
      </c>
      <c r="D987">
        <v>11176</v>
      </c>
      <c r="E987">
        <v>0.59</v>
      </c>
      <c r="F987">
        <v>0.47</v>
      </c>
      <c r="G987">
        <v>1.49</v>
      </c>
      <c r="H987">
        <v>663</v>
      </c>
      <c r="I987">
        <v>0</v>
      </c>
      <c r="K987">
        <v>0</v>
      </c>
      <c r="L987">
        <v>12</v>
      </c>
      <c r="M987" t="s">
        <v>14</v>
      </c>
      <c r="N987">
        <v>0.3</v>
      </c>
      <c r="O987">
        <f t="shared" si="30"/>
        <v>0</v>
      </c>
      <c r="P987">
        <f t="shared" si="31"/>
        <v>0</v>
      </c>
    </row>
    <row r="988" spans="1:16">
      <c r="A988">
        <v>987</v>
      </c>
      <c r="B988" s="2">
        <v>45139</v>
      </c>
      <c r="C988">
        <v>34415</v>
      </c>
      <c r="D988">
        <v>12237</v>
      </c>
      <c r="E988">
        <v>1.79</v>
      </c>
      <c r="F988">
        <v>0.8</v>
      </c>
      <c r="G988">
        <v>2.0099999999999998</v>
      </c>
      <c r="H988">
        <v>688</v>
      </c>
      <c r="I988">
        <v>0</v>
      </c>
      <c r="K988">
        <v>0</v>
      </c>
      <c r="L988">
        <v>18</v>
      </c>
      <c r="M988" t="s">
        <v>14</v>
      </c>
      <c r="N988">
        <v>0</v>
      </c>
      <c r="O988">
        <f t="shared" si="30"/>
        <v>0</v>
      </c>
      <c r="P988">
        <f t="shared" si="31"/>
        <v>0</v>
      </c>
    </row>
    <row r="989" spans="1:16">
      <c r="A989">
        <v>988</v>
      </c>
      <c r="B989" s="2">
        <v>45474</v>
      </c>
      <c r="C989">
        <v>33552</v>
      </c>
      <c r="D989">
        <v>16806</v>
      </c>
      <c r="E989">
        <v>1.81</v>
      </c>
      <c r="F989">
        <v>0.48</v>
      </c>
      <c r="G989">
        <v>0.51</v>
      </c>
      <c r="H989">
        <v>641</v>
      </c>
      <c r="I989">
        <v>0</v>
      </c>
      <c r="K989">
        <v>0</v>
      </c>
      <c r="L989">
        <v>12</v>
      </c>
      <c r="M989" t="s">
        <v>15</v>
      </c>
      <c r="N989">
        <v>0.15</v>
      </c>
      <c r="O989">
        <f t="shared" si="30"/>
        <v>0</v>
      </c>
      <c r="P989">
        <f t="shared" si="31"/>
        <v>0</v>
      </c>
    </row>
    <row r="990" spans="1:16">
      <c r="A990">
        <v>989</v>
      </c>
      <c r="B990" s="2">
        <v>45292</v>
      </c>
      <c r="C990">
        <v>97124</v>
      </c>
      <c r="D990">
        <v>14188</v>
      </c>
      <c r="E990">
        <v>1.1100000000000001</v>
      </c>
      <c r="F990">
        <v>0.68</v>
      </c>
      <c r="G990">
        <v>1.63</v>
      </c>
      <c r="H990">
        <v>773</v>
      </c>
      <c r="I990">
        <v>0</v>
      </c>
      <c r="K990">
        <v>0</v>
      </c>
      <c r="L990">
        <v>12</v>
      </c>
      <c r="M990" t="s">
        <v>15</v>
      </c>
      <c r="N990">
        <v>0</v>
      </c>
      <c r="O990">
        <f t="shared" si="30"/>
        <v>0</v>
      </c>
      <c r="P990">
        <f t="shared" si="31"/>
        <v>0</v>
      </c>
    </row>
    <row r="991" spans="1:16">
      <c r="A991">
        <v>990</v>
      </c>
      <c r="B991" s="2">
        <v>45261</v>
      </c>
      <c r="C991">
        <v>54722</v>
      </c>
      <c r="D991">
        <v>2826</v>
      </c>
      <c r="E991">
        <v>1.78</v>
      </c>
      <c r="F991">
        <v>1.1499999999999999</v>
      </c>
      <c r="G991">
        <v>1.69</v>
      </c>
      <c r="H991">
        <v>688</v>
      </c>
      <c r="I991">
        <v>0</v>
      </c>
      <c r="K991">
        <v>0</v>
      </c>
      <c r="L991">
        <v>6</v>
      </c>
      <c r="M991" t="s">
        <v>14</v>
      </c>
      <c r="N991">
        <v>0</v>
      </c>
      <c r="O991">
        <f t="shared" si="30"/>
        <v>0</v>
      </c>
      <c r="P991">
        <f t="shared" si="31"/>
        <v>0</v>
      </c>
    </row>
    <row r="992" spans="1:16">
      <c r="A992">
        <v>991</v>
      </c>
      <c r="B992" s="2">
        <v>45047</v>
      </c>
      <c r="C992">
        <v>18663</v>
      </c>
      <c r="D992">
        <v>11375</v>
      </c>
      <c r="E992">
        <v>2.25</v>
      </c>
      <c r="F992">
        <v>1.1499999999999999</v>
      </c>
      <c r="G992">
        <v>0.67</v>
      </c>
      <c r="H992">
        <v>531</v>
      </c>
      <c r="I992">
        <v>0</v>
      </c>
      <c r="K992">
        <v>0</v>
      </c>
      <c r="L992">
        <v>6</v>
      </c>
      <c r="M992" t="s">
        <v>14</v>
      </c>
      <c r="N992">
        <v>0.35</v>
      </c>
      <c r="O992">
        <f t="shared" si="30"/>
        <v>0</v>
      </c>
      <c r="P992">
        <f t="shared" si="31"/>
        <v>0</v>
      </c>
    </row>
    <row r="993" spans="1:17">
      <c r="A993">
        <v>992</v>
      </c>
      <c r="B993" s="2">
        <v>45078</v>
      </c>
      <c r="C993">
        <v>121195</v>
      </c>
      <c r="D993">
        <v>7361</v>
      </c>
      <c r="E993">
        <v>0.33</v>
      </c>
      <c r="F993">
        <v>0.48</v>
      </c>
      <c r="G993">
        <v>0.52</v>
      </c>
      <c r="H993">
        <v>699</v>
      </c>
      <c r="I993">
        <v>0</v>
      </c>
      <c r="K993">
        <v>0</v>
      </c>
      <c r="L993">
        <v>12</v>
      </c>
      <c r="M993" t="s">
        <v>14</v>
      </c>
      <c r="N993">
        <v>0.45</v>
      </c>
      <c r="O993">
        <f t="shared" si="30"/>
        <v>0</v>
      </c>
      <c r="P993">
        <f t="shared" si="31"/>
        <v>0</v>
      </c>
    </row>
    <row r="994" spans="1:17">
      <c r="A994">
        <v>993</v>
      </c>
      <c r="B994" s="2">
        <v>45566</v>
      </c>
      <c r="C994">
        <v>80312</v>
      </c>
      <c r="D994">
        <v>15103</v>
      </c>
      <c r="E994">
        <v>1.83</v>
      </c>
      <c r="F994">
        <v>0.64</v>
      </c>
      <c r="G994">
        <v>0.94</v>
      </c>
      <c r="H994">
        <v>661</v>
      </c>
      <c r="I994">
        <v>0</v>
      </c>
      <c r="K994">
        <v>0</v>
      </c>
      <c r="L994">
        <v>12</v>
      </c>
      <c r="M994" t="s">
        <v>15</v>
      </c>
      <c r="N994">
        <v>0</v>
      </c>
      <c r="O994">
        <f t="shared" si="30"/>
        <v>0</v>
      </c>
      <c r="P994">
        <f t="shared" si="31"/>
        <v>0</v>
      </c>
    </row>
    <row r="995" spans="1:17">
      <c r="A995">
        <v>994</v>
      </c>
      <c r="B995" s="2">
        <v>45017</v>
      </c>
      <c r="C995">
        <v>53017</v>
      </c>
      <c r="D995">
        <v>107978</v>
      </c>
      <c r="E995">
        <v>0.2</v>
      </c>
      <c r="F995">
        <v>1.92</v>
      </c>
      <c r="G995">
        <v>0.99</v>
      </c>
      <c r="H995">
        <v>676</v>
      </c>
      <c r="I995">
        <v>1</v>
      </c>
      <c r="J995">
        <v>35734</v>
      </c>
      <c r="K995">
        <v>1</v>
      </c>
      <c r="L995">
        <v>12</v>
      </c>
      <c r="M995" t="s">
        <v>14</v>
      </c>
      <c r="N995">
        <v>0.3</v>
      </c>
      <c r="O995">
        <f t="shared" si="30"/>
        <v>1</v>
      </c>
      <c r="P995">
        <f t="shared" si="31"/>
        <v>0</v>
      </c>
    </row>
    <row r="996" spans="1:17">
      <c r="A996">
        <v>995</v>
      </c>
      <c r="B996" s="2">
        <v>45474</v>
      </c>
      <c r="C996">
        <v>31344</v>
      </c>
      <c r="D996">
        <v>17279</v>
      </c>
      <c r="E996">
        <v>1.02</v>
      </c>
      <c r="F996">
        <v>1.28</v>
      </c>
      <c r="G996">
        <v>1.76</v>
      </c>
      <c r="H996">
        <v>660</v>
      </c>
      <c r="I996">
        <v>0</v>
      </c>
      <c r="K996">
        <v>0</v>
      </c>
      <c r="L996">
        <v>18</v>
      </c>
      <c r="M996" t="s">
        <v>15</v>
      </c>
      <c r="N996">
        <v>0</v>
      </c>
      <c r="O996">
        <f t="shared" si="30"/>
        <v>0</v>
      </c>
      <c r="P996">
        <f t="shared" si="31"/>
        <v>0</v>
      </c>
    </row>
    <row r="997" spans="1:17">
      <c r="A997">
        <v>996</v>
      </c>
      <c r="B997" s="2">
        <v>45505</v>
      </c>
      <c r="C997">
        <v>19465</v>
      </c>
      <c r="D997">
        <v>10727</v>
      </c>
      <c r="E997">
        <v>2.4500000000000002</v>
      </c>
      <c r="F997">
        <v>3.87</v>
      </c>
      <c r="G997">
        <v>1.01</v>
      </c>
      <c r="H997">
        <v>724</v>
      </c>
      <c r="I997">
        <v>0</v>
      </c>
      <c r="K997">
        <v>0</v>
      </c>
      <c r="L997">
        <v>6</v>
      </c>
      <c r="M997" t="s">
        <v>15</v>
      </c>
      <c r="N997">
        <v>0.35</v>
      </c>
      <c r="O997">
        <f t="shared" si="30"/>
        <v>0</v>
      </c>
      <c r="P997">
        <f t="shared" si="31"/>
        <v>0</v>
      </c>
    </row>
    <row r="998" spans="1:17">
      <c r="A998">
        <v>997</v>
      </c>
      <c r="B998" s="2">
        <v>44927</v>
      </c>
      <c r="C998">
        <v>28512</v>
      </c>
      <c r="D998">
        <v>25470</v>
      </c>
      <c r="E998">
        <v>1.23</v>
      </c>
      <c r="F998">
        <v>2.0699999999999998</v>
      </c>
      <c r="G998">
        <v>0.88</v>
      </c>
      <c r="H998">
        <v>742</v>
      </c>
      <c r="I998">
        <v>0</v>
      </c>
      <c r="K998">
        <v>0</v>
      </c>
      <c r="L998">
        <v>12</v>
      </c>
      <c r="M998" t="s">
        <v>14</v>
      </c>
      <c r="N998">
        <v>0.35</v>
      </c>
      <c r="O998">
        <f t="shared" si="30"/>
        <v>0</v>
      </c>
      <c r="P998">
        <f t="shared" si="31"/>
        <v>0</v>
      </c>
    </row>
    <row r="999" spans="1:17">
      <c r="A999">
        <v>998</v>
      </c>
      <c r="B999" s="2">
        <v>45505</v>
      </c>
      <c r="C999">
        <v>73695</v>
      </c>
      <c r="D999">
        <v>18730</v>
      </c>
      <c r="E999">
        <v>0.9</v>
      </c>
      <c r="F999">
        <v>2.02</v>
      </c>
      <c r="G999">
        <v>1.01</v>
      </c>
      <c r="H999">
        <v>696</v>
      </c>
      <c r="I999">
        <v>0</v>
      </c>
      <c r="K999">
        <v>0</v>
      </c>
      <c r="L999">
        <v>6</v>
      </c>
      <c r="M999" t="s">
        <v>15</v>
      </c>
      <c r="N999">
        <v>0.64999999999999991</v>
      </c>
      <c r="O999">
        <f t="shared" si="30"/>
        <v>0</v>
      </c>
      <c r="P999">
        <f t="shared" si="31"/>
        <v>0</v>
      </c>
    </row>
    <row r="1000" spans="1:17">
      <c r="A1000">
        <v>999</v>
      </c>
      <c r="B1000" s="2">
        <v>45413</v>
      </c>
      <c r="C1000">
        <v>123622</v>
      </c>
      <c r="D1000">
        <v>17927</v>
      </c>
      <c r="E1000">
        <v>1.44</v>
      </c>
      <c r="F1000">
        <v>0.34</v>
      </c>
      <c r="G1000">
        <v>1.97</v>
      </c>
      <c r="H1000">
        <v>661</v>
      </c>
      <c r="I1000">
        <v>0</v>
      </c>
      <c r="K1000">
        <v>0</v>
      </c>
      <c r="L1000">
        <v>12</v>
      </c>
      <c r="M1000" t="s">
        <v>15</v>
      </c>
      <c r="N1000">
        <v>0</v>
      </c>
      <c r="O1000">
        <f t="shared" si="30"/>
        <v>0</v>
      </c>
      <c r="P1000">
        <f t="shared" si="31"/>
        <v>0</v>
      </c>
    </row>
    <row r="1001" spans="1:17">
      <c r="A1001">
        <v>1000</v>
      </c>
      <c r="B1001" s="2">
        <v>45261</v>
      </c>
      <c r="C1001">
        <v>99023</v>
      </c>
      <c r="D1001">
        <v>20431</v>
      </c>
      <c r="E1001">
        <v>2.69</v>
      </c>
      <c r="F1001">
        <v>1.54</v>
      </c>
      <c r="G1001">
        <v>1.36</v>
      </c>
      <c r="H1001">
        <v>678</v>
      </c>
      <c r="I1001">
        <v>0</v>
      </c>
      <c r="K1001">
        <v>0</v>
      </c>
      <c r="L1001">
        <v>12</v>
      </c>
      <c r="M1001" t="s">
        <v>14</v>
      </c>
      <c r="N1001">
        <v>0</v>
      </c>
      <c r="O1001">
        <f t="shared" si="30"/>
        <v>0</v>
      </c>
      <c r="P1001">
        <f t="shared" si="31"/>
        <v>0</v>
      </c>
    </row>
    <row r="1002" spans="1:17">
      <c r="O1002" s="7">
        <f>SUM(O2:O1001)</f>
        <v>106</v>
      </c>
      <c r="P1002" s="7">
        <f>SUM(P2:P1001)</f>
        <v>35</v>
      </c>
      <c r="Q1002" t="s">
        <v>34</v>
      </c>
    </row>
    <row r="1003" spans="1:17">
      <c r="O1003" s="17">
        <f>O1002/1000</f>
        <v>0.106</v>
      </c>
      <c r="P1003">
        <f>P1002/1000</f>
        <v>3.5000000000000003E-2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tabSelected="1" workbookViewId="0">
      <selection activeCell="K13" sqref="K13"/>
    </sheetView>
  </sheetViews>
  <sheetFormatPr defaultRowHeight="14.4"/>
  <cols>
    <col min="1" max="1" width="27" bestFit="1" customWidth="1"/>
    <col min="2" max="2" width="13.33203125" customWidth="1"/>
    <col min="3" max="3" width="17.21875" customWidth="1"/>
  </cols>
  <sheetData>
    <row r="1" spans="1:10">
      <c r="A1" s="1" t="s">
        <v>16</v>
      </c>
      <c r="B1" s="1" t="s">
        <v>17</v>
      </c>
      <c r="C1" s="1" t="s">
        <v>18</v>
      </c>
      <c r="E1" s="3" t="s">
        <v>30</v>
      </c>
      <c r="F1" s="3" t="s">
        <v>31</v>
      </c>
      <c r="H1" s="8" t="s">
        <v>16</v>
      </c>
      <c r="I1" s="8" t="s">
        <v>36</v>
      </c>
      <c r="J1" s="8" t="s">
        <v>31</v>
      </c>
    </row>
    <row r="2" spans="1:10">
      <c r="A2" t="s">
        <v>0</v>
      </c>
      <c r="B2">
        <v>0</v>
      </c>
      <c r="C2">
        <v>0</v>
      </c>
      <c r="E2">
        <f>COUNTBLANK(Corporate_Data!C2:C97)</f>
        <v>0</v>
      </c>
      <c r="H2" s="9" t="s">
        <v>2</v>
      </c>
      <c r="I2" s="9">
        <f>COUNTBLANK(Corporate_Data!C2:C1001)</f>
        <v>25</v>
      </c>
      <c r="J2" s="9">
        <f>I2/COUNT(Corporate_Data!A2:A1001)</f>
        <v>2.5000000000000001E-2</v>
      </c>
    </row>
    <row r="3" spans="1:10">
      <c r="A3" t="s">
        <v>1</v>
      </c>
      <c r="B3">
        <v>0</v>
      </c>
      <c r="C3">
        <v>0</v>
      </c>
      <c r="H3" s="9" t="s">
        <v>4</v>
      </c>
      <c r="I3" s="9">
        <f>COUNTBLANK(Corporate_Data!E2:E1001)</f>
        <v>30</v>
      </c>
      <c r="J3" s="9">
        <f>I3/COUNT(Corporate_Data!A2:A1001)</f>
        <v>0.03</v>
      </c>
    </row>
    <row r="4" spans="1:10">
      <c r="A4" t="s">
        <v>2</v>
      </c>
      <c r="B4">
        <v>25</v>
      </c>
      <c r="C4">
        <v>2.5000000000000001E-2</v>
      </c>
      <c r="H4" s="9" t="s">
        <v>35</v>
      </c>
      <c r="I4" s="9">
        <f>COUNTBLANK(Corporate_Data!H2:H1001)</f>
        <v>20</v>
      </c>
      <c r="J4" s="9">
        <f>I4/COUNT(Corporate_Data!A2:A1001)</f>
        <v>0.02</v>
      </c>
    </row>
    <row r="5" spans="1:10">
      <c r="A5" t="s">
        <v>3</v>
      </c>
      <c r="B5">
        <v>0</v>
      </c>
      <c r="C5">
        <v>0</v>
      </c>
    </row>
    <row r="6" spans="1:10">
      <c r="A6" t="s">
        <v>4</v>
      </c>
      <c r="B6">
        <v>30</v>
      </c>
      <c r="C6">
        <v>0.03</v>
      </c>
    </row>
    <row r="7" spans="1:10">
      <c r="A7" t="s">
        <v>5</v>
      </c>
      <c r="B7">
        <v>0</v>
      </c>
      <c r="C7">
        <v>0</v>
      </c>
    </row>
    <row r="8" spans="1:10">
      <c r="A8" t="s">
        <v>6</v>
      </c>
      <c r="B8">
        <v>0</v>
      </c>
      <c r="C8">
        <v>0</v>
      </c>
    </row>
    <row r="9" spans="1:10">
      <c r="A9" t="s">
        <v>7</v>
      </c>
      <c r="B9">
        <v>20</v>
      </c>
      <c r="C9">
        <v>0.02</v>
      </c>
    </row>
    <row r="10" spans="1:10">
      <c r="A10" t="s">
        <v>8</v>
      </c>
      <c r="B10">
        <v>0</v>
      </c>
      <c r="C10">
        <v>0</v>
      </c>
    </row>
    <row r="11" spans="1:10">
      <c r="A11" t="s">
        <v>9</v>
      </c>
      <c r="B11">
        <v>894</v>
      </c>
      <c r="C11">
        <v>0.89400000000000002</v>
      </c>
    </row>
    <row r="12" spans="1:10">
      <c r="A12" t="s">
        <v>10</v>
      </c>
      <c r="B12">
        <v>0</v>
      </c>
      <c r="C12">
        <v>0</v>
      </c>
    </row>
    <row r="13" spans="1:10">
      <c r="A13" t="s">
        <v>11</v>
      </c>
      <c r="B13">
        <v>0</v>
      </c>
      <c r="C13">
        <v>0</v>
      </c>
    </row>
    <row r="14" spans="1:10">
      <c r="A14" t="s">
        <v>12</v>
      </c>
      <c r="B14">
        <v>0</v>
      </c>
      <c r="C14">
        <v>0</v>
      </c>
    </row>
    <row r="15" spans="1:10">
      <c r="A15" t="s">
        <v>13</v>
      </c>
      <c r="B15">
        <v>0</v>
      </c>
      <c r="C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D1" sqref="D1"/>
    </sheetView>
  </sheetViews>
  <sheetFormatPr defaultRowHeight="14.4"/>
  <sheetData>
    <row r="1" spans="1:4">
      <c r="A1" s="1" t="s">
        <v>0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2</v>
      </c>
      <c r="B3">
        <v>0</v>
      </c>
      <c r="C3">
        <v>0</v>
      </c>
      <c r="D3">
        <v>0</v>
      </c>
    </row>
    <row r="4" spans="1:4">
      <c r="A4">
        <v>3</v>
      </c>
      <c r="B4">
        <v>1</v>
      </c>
      <c r="C4">
        <v>1</v>
      </c>
      <c r="D4">
        <v>0</v>
      </c>
    </row>
    <row r="5" spans="1:4">
      <c r="A5">
        <v>4</v>
      </c>
      <c r="B5">
        <v>0</v>
      </c>
      <c r="C5">
        <v>0</v>
      </c>
      <c r="D5">
        <v>0</v>
      </c>
    </row>
    <row r="6" spans="1:4">
      <c r="A6">
        <v>5</v>
      </c>
      <c r="B6">
        <v>0</v>
      </c>
      <c r="C6">
        <v>0</v>
      </c>
      <c r="D6">
        <v>0</v>
      </c>
    </row>
    <row r="7" spans="1:4">
      <c r="A7">
        <v>6</v>
      </c>
      <c r="B7">
        <v>0</v>
      </c>
      <c r="C7">
        <v>0</v>
      </c>
      <c r="D7">
        <v>0</v>
      </c>
    </row>
    <row r="8" spans="1:4">
      <c r="A8">
        <v>7</v>
      </c>
      <c r="B8">
        <v>0</v>
      </c>
      <c r="C8">
        <v>0</v>
      </c>
      <c r="D8">
        <v>0</v>
      </c>
    </row>
    <row r="9" spans="1:4">
      <c r="A9">
        <v>8</v>
      </c>
      <c r="B9">
        <v>0</v>
      </c>
      <c r="C9">
        <v>0</v>
      </c>
      <c r="D9">
        <v>0</v>
      </c>
    </row>
    <row r="10" spans="1:4">
      <c r="A10">
        <v>9</v>
      </c>
      <c r="B10">
        <v>0</v>
      </c>
      <c r="C10">
        <v>0</v>
      </c>
      <c r="D10">
        <v>0</v>
      </c>
    </row>
    <row r="11" spans="1:4">
      <c r="A11">
        <v>10</v>
      </c>
      <c r="B11">
        <v>0</v>
      </c>
      <c r="C11">
        <v>0</v>
      </c>
      <c r="D11">
        <v>0</v>
      </c>
    </row>
    <row r="12" spans="1:4">
      <c r="A12">
        <v>11</v>
      </c>
      <c r="B12">
        <v>0</v>
      </c>
      <c r="C12">
        <v>0</v>
      </c>
      <c r="D12">
        <v>0</v>
      </c>
    </row>
    <row r="13" spans="1:4">
      <c r="A13">
        <v>12</v>
      </c>
      <c r="B13">
        <v>0</v>
      </c>
      <c r="C13">
        <v>0</v>
      </c>
      <c r="D13">
        <v>0</v>
      </c>
    </row>
    <row r="14" spans="1:4">
      <c r="A14">
        <v>13</v>
      </c>
      <c r="B14">
        <v>0</v>
      </c>
      <c r="C14">
        <v>0</v>
      </c>
      <c r="D14">
        <v>0</v>
      </c>
    </row>
    <row r="15" spans="1:4">
      <c r="A15">
        <v>14</v>
      </c>
      <c r="B15">
        <v>0</v>
      </c>
      <c r="C15">
        <v>0</v>
      </c>
      <c r="D15">
        <v>0</v>
      </c>
    </row>
    <row r="16" spans="1:4">
      <c r="A16">
        <v>15</v>
      </c>
      <c r="B16">
        <v>0</v>
      </c>
      <c r="C16">
        <v>0</v>
      </c>
      <c r="D16">
        <v>0</v>
      </c>
    </row>
    <row r="17" spans="1:4">
      <c r="A17">
        <v>16</v>
      </c>
      <c r="B17">
        <v>0</v>
      </c>
      <c r="C17">
        <v>0</v>
      </c>
      <c r="D17">
        <v>0</v>
      </c>
    </row>
    <row r="18" spans="1:4">
      <c r="A18">
        <v>17</v>
      </c>
      <c r="B18">
        <v>0</v>
      </c>
      <c r="C18">
        <v>0</v>
      </c>
      <c r="D18">
        <v>0</v>
      </c>
    </row>
    <row r="19" spans="1:4">
      <c r="A19">
        <v>18</v>
      </c>
      <c r="B19">
        <v>0</v>
      </c>
      <c r="C19">
        <v>0</v>
      </c>
      <c r="D19">
        <v>0</v>
      </c>
    </row>
    <row r="20" spans="1:4">
      <c r="A20">
        <v>19</v>
      </c>
      <c r="B20">
        <v>0</v>
      </c>
      <c r="C20">
        <v>0</v>
      </c>
      <c r="D20">
        <v>0</v>
      </c>
    </row>
    <row r="21" spans="1:4">
      <c r="A21">
        <v>20</v>
      </c>
      <c r="B21">
        <v>0</v>
      </c>
      <c r="C21">
        <v>0</v>
      </c>
      <c r="D21">
        <v>0</v>
      </c>
    </row>
    <row r="22" spans="1:4">
      <c r="A22">
        <v>21</v>
      </c>
      <c r="B22">
        <v>0</v>
      </c>
      <c r="C22">
        <v>0</v>
      </c>
      <c r="D22">
        <v>0</v>
      </c>
    </row>
    <row r="23" spans="1:4">
      <c r="A23">
        <v>22</v>
      </c>
      <c r="B23">
        <v>0</v>
      </c>
      <c r="C23">
        <v>0</v>
      </c>
      <c r="D23">
        <v>0</v>
      </c>
    </row>
    <row r="24" spans="1:4">
      <c r="A24">
        <v>23</v>
      </c>
      <c r="B24">
        <v>0</v>
      </c>
      <c r="C24">
        <v>0</v>
      </c>
      <c r="D24">
        <v>0</v>
      </c>
    </row>
    <row r="25" spans="1:4">
      <c r="A25">
        <v>24</v>
      </c>
      <c r="B25">
        <v>0</v>
      </c>
      <c r="C25">
        <v>0</v>
      </c>
      <c r="D25">
        <v>0</v>
      </c>
    </row>
    <row r="26" spans="1:4">
      <c r="A26">
        <v>25</v>
      </c>
      <c r="B26">
        <v>0</v>
      </c>
      <c r="C26">
        <v>0</v>
      </c>
      <c r="D26">
        <v>0</v>
      </c>
    </row>
    <row r="27" spans="1:4">
      <c r="A27">
        <v>26</v>
      </c>
      <c r="B27">
        <v>0</v>
      </c>
      <c r="C27">
        <v>0</v>
      </c>
      <c r="D27">
        <v>0</v>
      </c>
    </row>
    <row r="28" spans="1:4">
      <c r="A28">
        <v>27</v>
      </c>
      <c r="B28">
        <v>0</v>
      </c>
      <c r="C28">
        <v>0</v>
      </c>
      <c r="D28">
        <v>0</v>
      </c>
    </row>
    <row r="29" spans="1:4">
      <c r="A29">
        <v>28</v>
      </c>
      <c r="B29">
        <v>0</v>
      </c>
      <c r="C29">
        <v>0</v>
      </c>
      <c r="D29">
        <v>0</v>
      </c>
    </row>
    <row r="30" spans="1:4">
      <c r="A30">
        <v>29</v>
      </c>
      <c r="B30">
        <v>0</v>
      </c>
      <c r="C30">
        <v>0</v>
      </c>
      <c r="D30">
        <v>0</v>
      </c>
    </row>
    <row r="31" spans="1:4">
      <c r="A31">
        <v>30</v>
      </c>
      <c r="B31">
        <v>0</v>
      </c>
      <c r="C31">
        <v>0</v>
      </c>
      <c r="D31">
        <v>0</v>
      </c>
    </row>
    <row r="32" spans="1:4">
      <c r="A32">
        <v>31</v>
      </c>
      <c r="B32">
        <v>0</v>
      </c>
      <c r="C32">
        <v>0</v>
      </c>
      <c r="D32">
        <v>0</v>
      </c>
    </row>
    <row r="33" spans="1:4">
      <c r="A33">
        <v>32</v>
      </c>
      <c r="B33">
        <v>0</v>
      </c>
      <c r="C33">
        <v>0</v>
      </c>
      <c r="D33">
        <v>0</v>
      </c>
    </row>
    <row r="34" spans="1:4">
      <c r="A34">
        <v>33</v>
      </c>
      <c r="B34">
        <v>0</v>
      </c>
      <c r="C34">
        <v>0</v>
      </c>
      <c r="D34">
        <v>0</v>
      </c>
    </row>
    <row r="35" spans="1:4">
      <c r="A35">
        <v>34</v>
      </c>
      <c r="B35">
        <v>0</v>
      </c>
      <c r="C35">
        <v>0</v>
      </c>
      <c r="D35">
        <v>0</v>
      </c>
    </row>
    <row r="36" spans="1:4">
      <c r="A36">
        <v>35</v>
      </c>
      <c r="B36">
        <v>0</v>
      </c>
      <c r="C36">
        <v>1</v>
      </c>
      <c r="D36">
        <v>1</v>
      </c>
    </row>
    <row r="37" spans="1:4">
      <c r="A37">
        <v>36</v>
      </c>
      <c r="B37">
        <v>0</v>
      </c>
      <c r="C37">
        <v>0</v>
      </c>
      <c r="D37">
        <v>0</v>
      </c>
    </row>
    <row r="38" spans="1:4">
      <c r="A38">
        <v>37</v>
      </c>
      <c r="B38">
        <v>0</v>
      </c>
      <c r="C38">
        <v>0</v>
      </c>
      <c r="D38">
        <v>0</v>
      </c>
    </row>
    <row r="39" spans="1:4">
      <c r="A39">
        <v>38</v>
      </c>
      <c r="B39">
        <v>0</v>
      </c>
      <c r="C39">
        <v>0</v>
      </c>
      <c r="D39">
        <v>0</v>
      </c>
    </row>
    <row r="40" spans="1:4">
      <c r="A40">
        <v>39</v>
      </c>
      <c r="B40">
        <v>0</v>
      </c>
      <c r="C40">
        <v>0</v>
      </c>
      <c r="D40">
        <v>0</v>
      </c>
    </row>
    <row r="41" spans="1:4">
      <c r="A41">
        <v>40</v>
      </c>
      <c r="B41">
        <v>1</v>
      </c>
      <c r="C41">
        <v>1</v>
      </c>
      <c r="D41">
        <v>0</v>
      </c>
    </row>
    <row r="42" spans="1:4">
      <c r="A42">
        <v>41</v>
      </c>
      <c r="B42">
        <v>0</v>
      </c>
      <c r="C42">
        <v>0</v>
      </c>
      <c r="D42">
        <v>0</v>
      </c>
    </row>
    <row r="43" spans="1:4">
      <c r="A43">
        <v>42</v>
      </c>
      <c r="B43">
        <v>0</v>
      </c>
      <c r="C43">
        <v>0</v>
      </c>
      <c r="D43">
        <v>0</v>
      </c>
    </row>
    <row r="44" spans="1:4">
      <c r="A44">
        <v>43</v>
      </c>
      <c r="B44">
        <v>0</v>
      </c>
      <c r="C44">
        <v>0</v>
      </c>
      <c r="D44">
        <v>0</v>
      </c>
    </row>
    <row r="45" spans="1:4">
      <c r="A45">
        <v>44</v>
      </c>
      <c r="B45">
        <v>0</v>
      </c>
      <c r="C45">
        <v>0</v>
      </c>
      <c r="D45">
        <v>0</v>
      </c>
    </row>
    <row r="46" spans="1:4">
      <c r="A46">
        <v>45</v>
      </c>
      <c r="B46">
        <v>0</v>
      </c>
      <c r="C46">
        <v>0</v>
      </c>
      <c r="D46">
        <v>0</v>
      </c>
    </row>
    <row r="47" spans="1:4">
      <c r="A47">
        <v>46</v>
      </c>
      <c r="B47">
        <v>0</v>
      </c>
      <c r="C47">
        <v>0</v>
      </c>
      <c r="D47">
        <v>0</v>
      </c>
    </row>
    <row r="48" spans="1:4">
      <c r="A48">
        <v>47</v>
      </c>
      <c r="B48">
        <v>0</v>
      </c>
      <c r="C48">
        <v>0</v>
      </c>
      <c r="D48">
        <v>0</v>
      </c>
    </row>
    <row r="49" spans="1:4">
      <c r="A49">
        <v>48</v>
      </c>
      <c r="B49">
        <v>0</v>
      </c>
      <c r="C49">
        <v>0</v>
      </c>
      <c r="D49">
        <v>0</v>
      </c>
    </row>
    <row r="50" spans="1:4">
      <c r="A50">
        <v>49</v>
      </c>
      <c r="B50">
        <v>1</v>
      </c>
      <c r="C50">
        <v>1</v>
      </c>
      <c r="D50">
        <v>0</v>
      </c>
    </row>
    <row r="51" spans="1:4">
      <c r="A51">
        <v>50</v>
      </c>
      <c r="B51">
        <v>0</v>
      </c>
      <c r="C51">
        <v>0</v>
      </c>
      <c r="D51">
        <v>0</v>
      </c>
    </row>
    <row r="52" spans="1:4">
      <c r="A52">
        <v>51</v>
      </c>
      <c r="B52">
        <v>0</v>
      </c>
      <c r="C52">
        <v>0</v>
      </c>
      <c r="D52">
        <v>0</v>
      </c>
    </row>
    <row r="53" spans="1:4">
      <c r="A53">
        <v>52</v>
      </c>
      <c r="B53">
        <v>0</v>
      </c>
      <c r="C53">
        <v>0</v>
      </c>
      <c r="D53">
        <v>0</v>
      </c>
    </row>
    <row r="54" spans="1:4">
      <c r="A54">
        <v>53</v>
      </c>
      <c r="B54">
        <v>0</v>
      </c>
      <c r="C54">
        <v>0</v>
      </c>
      <c r="D54">
        <v>0</v>
      </c>
    </row>
    <row r="55" spans="1:4">
      <c r="A55">
        <v>54</v>
      </c>
      <c r="B55">
        <v>0</v>
      </c>
      <c r="C55">
        <v>0</v>
      </c>
      <c r="D55">
        <v>0</v>
      </c>
    </row>
    <row r="56" spans="1:4">
      <c r="A56">
        <v>55</v>
      </c>
      <c r="B56">
        <v>0</v>
      </c>
      <c r="C56">
        <v>0</v>
      </c>
      <c r="D56">
        <v>0</v>
      </c>
    </row>
    <row r="57" spans="1:4">
      <c r="A57">
        <v>56</v>
      </c>
      <c r="B57">
        <v>0</v>
      </c>
      <c r="C57">
        <v>0</v>
      </c>
      <c r="D57">
        <v>0</v>
      </c>
    </row>
    <row r="58" spans="1:4">
      <c r="A58">
        <v>57</v>
      </c>
      <c r="B58">
        <v>1</v>
      </c>
      <c r="C58">
        <v>1</v>
      </c>
      <c r="D58">
        <v>0</v>
      </c>
    </row>
    <row r="59" spans="1:4">
      <c r="A59">
        <v>58</v>
      </c>
      <c r="B59">
        <v>0</v>
      </c>
      <c r="C59">
        <v>0</v>
      </c>
      <c r="D59">
        <v>0</v>
      </c>
    </row>
    <row r="60" spans="1:4">
      <c r="A60">
        <v>59</v>
      </c>
      <c r="B60">
        <v>0</v>
      </c>
      <c r="C60">
        <v>0</v>
      </c>
      <c r="D60">
        <v>0</v>
      </c>
    </row>
    <row r="61" spans="1:4">
      <c r="A61">
        <v>60</v>
      </c>
      <c r="B61">
        <v>0</v>
      </c>
      <c r="C61">
        <v>0</v>
      </c>
      <c r="D61">
        <v>0</v>
      </c>
    </row>
    <row r="62" spans="1:4">
      <c r="A62">
        <v>61</v>
      </c>
      <c r="B62">
        <v>0</v>
      </c>
      <c r="C62">
        <v>0</v>
      </c>
      <c r="D62">
        <v>0</v>
      </c>
    </row>
    <row r="63" spans="1:4">
      <c r="A63">
        <v>62</v>
      </c>
      <c r="B63">
        <v>0</v>
      </c>
      <c r="C63">
        <v>0</v>
      </c>
      <c r="D63">
        <v>0</v>
      </c>
    </row>
    <row r="64" spans="1:4">
      <c r="A64">
        <v>63</v>
      </c>
      <c r="B64">
        <v>0</v>
      </c>
      <c r="C64">
        <v>0</v>
      </c>
      <c r="D64">
        <v>0</v>
      </c>
    </row>
    <row r="65" spans="1:4">
      <c r="A65">
        <v>64</v>
      </c>
      <c r="B65">
        <v>0</v>
      </c>
      <c r="C65">
        <v>0</v>
      </c>
      <c r="D65">
        <v>0</v>
      </c>
    </row>
    <row r="66" spans="1:4">
      <c r="A66">
        <v>65</v>
      </c>
      <c r="B66">
        <v>0</v>
      </c>
      <c r="C66">
        <v>0</v>
      </c>
      <c r="D66">
        <v>0</v>
      </c>
    </row>
    <row r="67" spans="1:4">
      <c r="A67">
        <v>66</v>
      </c>
      <c r="B67">
        <v>0</v>
      </c>
      <c r="C67">
        <v>0</v>
      </c>
      <c r="D67">
        <v>0</v>
      </c>
    </row>
    <row r="68" spans="1:4">
      <c r="A68">
        <v>67</v>
      </c>
      <c r="B68">
        <v>0</v>
      </c>
      <c r="C68">
        <v>0</v>
      </c>
      <c r="D68">
        <v>0</v>
      </c>
    </row>
    <row r="69" spans="1:4">
      <c r="A69">
        <v>68</v>
      </c>
      <c r="B69">
        <v>0</v>
      </c>
      <c r="C69">
        <v>1</v>
      </c>
      <c r="D69">
        <v>1</v>
      </c>
    </row>
    <row r="70" spans="1:4">
      <c r="A70">
        <v>69</v>
      </c>
      <c r="B70">
        <v>0</v>
      </c>
      <c r="C70">
        <v>0</v>
      </c>
      <c r="D70">
        <v>0</v>
      </c>
    </row>
    <row r="71" spans="1:4">
      <c r="A71">
        <v>70</v>
      </c>
      <c r="B71">
        <v>0</v>
      </c>
      <c r="C71">
        <v>0</v>
      </c>
      <c r="D71">
        <v>0</v>
      </c>
    </row>
    <row r="72" spans="1:4">
      <c r="A72">
        <v>71</v>
      </c>
      <c r="B72">
        <v>0</v>
      </c>
      <c r="C72">
        <v>0</v>
      </c>
      <c r="D72">
        <v>0</v>
      </c>
    </row>
    <row r="73" spans="1:4">
      <c r="A73">
        <v>72</v>
      </c>
      <c r="B73">
        <v>0</v>
      </c>
      <c r="C73">
        <v>0</v>
      </c>
      <c r="D73">
        <v>0</v>
      </c>
    </row>
    <row r="74" spans="1:4">
      <c r="A74">
        <v>73</v>
      </c>
      <c r="B74">
        <v>0</v>
      </c>
      <c r="C74">
        <v>0</v>
      </c>
      <c r="D74">
        <v>0</v>
      </c>
    </row>
    <row r="75" spans="1:4">
      <c r="A75">
        <v>74</v>
      </c>
      <c r="B75">
        <v>0</v>
      </c>
      <c r="C75">
        <v>0</v>
      </c>
      <c r="D75">
        <v>0</v>
      </c>
    </row>
    <row r="76" spans="1:4">
      <c r="A76">
        <v>75</v>
      </c>
      <c r="B76">
        <v>0</v>
      </c>
      <c r="C76">
        <v>0</v>
      </c>
      <c r="D76">
        <v>0</v>
      </c>
    </row>
    <row r="77" spans="1:4">
      <c r="A77">
        <v>76</v>
      </c>
      <c r="B77">
        <v>0</v>
      </c>
      <c r="C77">
        <v>0</v>
      </c>
      <c r="D77">
        <v>0</v>
      </c>
    </row>
    <row r="78" spans="1:4">
      <c r="A78">
        <v>77</v>
      </c>
      <c r="B78">
        <v>0</v>
      </c>
      <c r="C78">
        <v>0</v>
      </c>
      <c r="D78">
        <v>0</v>
      </c>
    </row>
    <row r="79" spans="1:4">
      <c r="A79">
        <v>78</v>
      </c>
      <c r="B79">
        <v>0</v>
      </c>
      <c r="C79">
        <v>0</v>
      </c>
      <c r="D79">
        <v>0</v>
      </c>
    </row>
    <row r="80" spans="1:4">
      <c r="A80">
        <v>79</v>
      </c>
      <c r="B80">
        <v>0</v>
      </c>
      <c r="C80">
        <v>0</v>
      </c>
      <c r="D80">
        <v>0</v>
      </c>
    </row>
    <row r="81" spans="1:4">
      <c r="A81">
        <v>80</v>
      </c>
      <c r="B81">
        <v>0</v>
      </c>
      <c r="C81">
        <v>0</v>
      </c>
      <c r="D81">
        <v>0</v>
      </c>
    </row>
    <row r="82" spans="1:4">
      <c r="A82">
        <v>81</v>
      </c>
      <c r="B82">
        <v>0</v>
      </c>
      <c r="C82">
        <v>0</v>
      </c>
      <c r="D82">
        <v>0</v>
      </c>
    </row>
    <row r="83" spans="1:4">
      <c r="A83">
        <v>82</v>
      </c>
      <c r="B83">
        <v>0</v>
      </c>
      <c r="C83">
        <v>0</v>
      </c>
      <c r="D83">
        <v>0</v>
      </c>
    </row>
    <row r="84" spans="1:4">
      <c r="A84">
        <v>83</v>
      </c>
      <c r="B84">
        <v>0</v>
      </c>
      <c r="C84">
        <v>0</v>
      </c>
      <c r="D84">
        <v>0</v>
      </c>
    </row>
    <row r="85" spans="1:4">
      <c r="A85">
        <v>84</v>
      </c>
      <c r="B85">
        <v>0</v>
      </c>
      <c r="C85">
        <v>0</v>
      </c>
      <c r="D85">
        <v>0</v>
      </c>
    </row>
    <row r="86" spans="1:4">
      <c r="A86">
        <v>85</v>
      </c>
      <c r="B86">
        <v>0</v>
      </c>
      <c r="C86">
        <v>0</v>
      </c>
      <c r="D86">
        <v>0</v>
      </c>
    </row>
    <row r="87" spans="1:4">
      <c r="A87">
        <v>86</v>
      </c>
      <c r="B87">
        <v>0</v>
      </c>
      <c r="C87">
        <v>0</v>
      </c>
      <c r="D87">
        <v>0</v>
      </c>
    </row>
    <row r="88" spans="1:4">
      <c r="A88">
        <v>87</v>
      </c>
      <c r="B88">
        <v>0</v>
      </c>
      <c r="C88">
        <v>0</v>
      </c>
      <c r="D88">
        <v>0</v>
      </c>
    </row>
    <row r="89" spans="1:4">
      <c r="A89">
        <v>88</v>
      </c>
      <c r="B89">
        <v>0</v>
      </c>
      <c r="C89">
        <v>0</v>
      </c>
      <c r="D89">
        <v>0</v>
      </c>
    </row>
    <row r="90" spans="1:4">
      <c r="A90">
        <v>89</v>
      </c>
      <c r="B90">
        <v>0</v>
      </c>
      <c r="C90">
        <v>0</v>
      </c>
      <c r="D90">
        <v>0</v>
      </c>
    </row>
    <row r="91" spans="1:4">
      <c r="A91">
        <v>90</v>
      </c>
      <c r="B91">
        <v>0</v>
      </c>
      <c r="C91">
        <v>0</v>
      </c>
      <c r="D91">
        <v>0</v>
      </c>
    </row>
    <row r="92" spans="1:4">
      <c r="A92">
        <v>91</v>
      </c>
      <c r="B92">
        <v>0</v>
      </c>
      <c r="C92">
        <v>0</v>
      </c>
      <c r="D92">
        <v>0</v>
      </c>
    </row>
    <row r="93" spans="1:4">
      <c r="A93">
        <v>92</v>
      </c>
      <c r="B93">
        <v>0</v>
      </c>
      <c r="C93">
        <v>0</v>
      </c>
      <c r="D93">
        <v>0</v>
      </c>
    </row>
    <row r="94" spans="1:4">
      <c r="A94">
        <v>93</v>
      </c>
      <c r="B94">
        <v>0</v>
      </c>
      <c r="C94">
        <v>1</v>
      </c>
      <c r="D94">
        <v>1</v>
      </c>
    </row>
    <row r="95" spans="1:4">
      <c r="A95">
        <v>94</v>
      </c>
      <c r="B95">
        <v>0</v>
      </c>
      <c r="C95">
        <v>0</v>
      </c>
      <c r="D95">
        <v>0</v>
      </c>
    </row>
    <row r="96" spans="1:4">
      <c r="A96">
        <v>95</v>
      </c>
      <c r="B96">
        <v>0</v>
      </c>
      <c r="C96">
        <v>0</v>
      </c>
      <c r="D96">
        <v>0</v>
      </c>
    </row>
    <row r="97" spans="1:4">
      <c r="A97">
        <v>96</v>
      </c>
      <c r="B97">
        <v>0</v>
      </c>
      <c r="C97">
        <v>0</v>
      </c>
      <c r="D97">
        <v>0</v>
      </c>
    </row>
    <row r="98" spans="1:4">
      <c r="A98">
        <v>97</v>
      </c>
      <c r="B98">
        <v>0</v>
      </c>
      <c r="C98">
        <v>0</v>
      </c>
      <c r="D98">
        <v>0</v>
      </c>
    </row>
    <row r="99" spans="1:4">
      <c r="A99">
        <v>98</v>
      </c>
      <c r="B99">
        <v>0</v>
      </c>
      <c r="C99">
        <v>0</v>
      </c>
      <c r="D99">
        <v>0</v>
      </c>
    </row>
    <row r="100" spans="1:4">
      <c r="A100">
        <v>99</v>
      </c>
      <c r="B100">
        <v>1</v>
      </c>
      <c r="C100">
        <v>1</v>
      </c>
      <c r="D100">
        <v>0</v>
      </c>
    </row>
    <row r="101" spans="1:4">
      <c r="A101">
        <v>100</v>
      </c>
      <c r="B101">
        <v>0</v>
      </c>
      <c r="C101">
        <v>0</v>
      </c>
      <c r="D101">
        <v>0</v>
      </c>
    </row>
    <row r="102" spans="1:4">
      <c r="A102">
        <v>101</v>
      </c>
      <c r="B102">
        <v>0</v>
      </c>
      <c r="C102">
        <v>0</v>
      </c>
      <c r="D102">
        <v>0</v>
      </c>
    </row>
    <row r="103" spans="1:4">
      <c r="A103">
        <v>102</v>
      </c>
      <c r="B103">
        <v>0</v>
      </c>
      <c r="C103">
        <v>0</v>
      </c>
      <c r="D103">
        <v>0</v>
      </c>
    </row>
    <row r="104" spans="1:4">
      <c r="A104">
        <v>103</v>
      </c>
      <c r="B104">
        <v>0</v>
      </c>
      <c r="C104">
        <v>0</v>
      </c>
      <c r="D104">
        <v>0</v>
      </c>
    </row>
    <row r="105" spans="1:4">
      <c r="A105">
        <v>104</v>
      </c>
      <c r="B105">
        <v>0</v>
      </c>
      <c r="C105">
        <v>0</v>
      </c>
      <c r="D105">
        <v>0</v>
      </c>
    </row>
    <row r="106" spans="1:4">
      <c r="A106">
        <v>105</v>
      </c>
      <c r="B106">
        <v>1</v>
      </c>
      <c r="C106">
        <v>1</v>
      </c>
      <c r="D106">
        <v>0</v>
      </c>
    </row>
    <row r="107" spans="1:4">
      <c r="A107">
        <v>106</v>
      </c>
      <c r="B107">
        <v>0</v>
      </c>
      <c r="C107">
        <v>0</v>
      </c>
      <c r="D107">
        <v>0</v>
      </c>
    </row>
    <row r="108" spans="1:4">
      <c r="A108">
        <v>107</v>
      </c>
      <c r="B108">
        <v>0</v>
      </c>
      <c r="C108">
        <v>0</v>
      </c>
      <c r="D108">
        <v>0</v>
      </c>
    </row>
    <row r="109" spans="1:4">
      <c r="A109">
        <v>108</v>
      </c>
      <c r="B109">
        <v>0</v>
      </c>
      <c r="C109">
        <v>0</v>
      </c>
      <c r="D109">
        <v>0</v>
      </c>
    </row>
    <row r="110" spans="1:4">
      <c r="A110">
        <v>109</v>
      </c>
      <c r="B110">
        <v>0</v>
      </c>
      <c r="C110">
        <v>0</v>
      </c>
      <c r="D110">
        <v>0</v>
      </c>
    </row>
    <row r="111" spans="1:4">
      <c r="A111">
        <v>110</v>
      </c>
      <c r="B111">
        <v>0</v>
      </c>
      <c r="C111">
        <v>0</v>
      </c>
      <c r="D111">
        <v>0</v>
      </c>
    </row>
    <row r="112" spans="1:4">
      <c r="A112">
        <v>111</v>
      </c>
      <c r="B112">
        <v>0</v>
      </c>
      <c r="C112">
        <v>0</v>
      </c>
      <c r="D112">
        <v>0</v>
      </c>
    </row>
    <row r="113" spans="1:4">
      <c r="A113">
        <v>112</v>
      </c>
      <c r="B113">
        <v>1</v>
      </c>
      <c r="C113">
        <v>1</v>
      </c>
      <c r="D113">
        <v>0</v>
      </c>
    </row>
    <row r="114" spans="1:4">
      <c r="A114">
        <v>113</v>
      </c>
      <c r="B114">
        <v>0</v>
      </c>
      <c r="C114">
        <v>0</v>
      </c>
      <c r="D114">
        <v>0</v>
      </c>
    </row>
    <row r="115" spans="1:4">
      <c r="A115">
        <v>114</v>
      </c>
      <c r="B115">
        <v>1</v>
      </c>
      <c r="C115">
        <v>1</v>
      </c>
      <c r="D115">
        <v>0</v>
      </c>
    </row>
    <row r="116" spans="1:4">
      <c r="A116">
        <v>115</v>
      </c>
      <c r="B116">
        <v>0</v>
      </c>
      <c r="C116">
        <v>0</v>
      </c>
      <c r="D116">
        <v>0</v>
      </c>
    </row>
    <row r="117" spans="1:4">
      <c r="A117">
        <v>116</v>
      </c>
      <c r="B117">
        <v>0</v>
      </c>
      <c r="C117">
        <v>0</v>
      </c>
      <c r="D117">
        <v>0</v>
      </c>
    </row>
    <row r="118" spans="1:4">
      <c r="A118">
        <v>117</v>
      </c>
      <c r="B118">
        <v>0</v>
      </c>
      <c r="C118">
        <v>0</v>
      </c>
      <c r="D118">
        <v>0</v>
      </c>
    </row>
    <row r="119" spans="1:4">
      <c r="A119">
        <v>118</v>
      </c>
      <c r="B119">
        <v>0</v>
      </c>
      <c r="C119">
        <v>0</v>
      </c>
      <c r="D119">
        <v>0</v>
      </c>
    </row>
    <row r="120" spans="1:4">
      <c r="A120">
        <v>119</v>
      </c>
      <c r="B120">
        <v>0</v>
      </c>
      <c r="C120">
        <v>0</v>
      </c>
      <c r="D120">
        <v>0</v>
      </c>
    </row>
    <row r="121" spans="1:4">
      <c r="A121">
        <v>120</v>
      </c>
      <c r="B121">
        <v>0</v>
      </c>
      <c r="C121">
        <v>0</v>
      </c>
      <c r="D121">
        <v>0</v>
      </c>
    </row>
    <row r="122" spans="1:4">
      <c r="A122">
        <v>121</v>
      </c>
      <c r="B122">
        <v>0</v>
      </c>
      <c r="C122">
        <v>0</v>
      </c>
      <c r="D122">
        <v>0</v>
      </c>
    </row>
    <row r="123" spans="1:4">
      <c r="A123">
        <v>122</v>
      </c>
      <c r="B123">
        <v>0</v>
      </c>
      <c r="C123">
        <v>0</v>
      </c>
      <c r="D123">
        <v>0</v>
      </c>
    </row>
    <row r="124" spans="1:4">
      <c r="A124">
        <v>123</v>
      </c>
      <c r="B124">
        <v>0</v>
      </c>
      <c r="C124">
        <v>0</v>
      </c>
      <c r="D124">
        <v>0</v>
      </c>
    </row>
    <row r="125" spans="1:4">
      <c r="A125">
        <v>124</v>
      </c>
      <c r="B125">
        <v>1</v>
      </c>
      <c r="C125">
        <v>1</v>
      </c>
      <c r="D125">
        <v>0</v>
      </c>
    </row>
    <row r="126" spans="1:4">
      <c r="A126">
        <v>125</v>
      </c>
      <c r="B126">
        <v>0</v>
      </c>
      <c r="C126">
        <v>0</v>
      </c>
      <c r="D126">
        <v>0</v>
      </c>
    </row>
    <row r="127" spans="1:4">
      <c r="A127">
        <v>126</v>
      </c>
      <c r="B127">
        <v>0</v>
      </c>
      <c r="C127">
        <v>0</v>
      </c>
      <c r="D127">
        <v>0</v>
      </c>
    </row>
    <row r="128" spans="1:4">
      <c r="A128">
        <v>127</v>
      </c>
      <c r="B128">
        <v>0</v>
      </c>
      <c r="C128">
        <v>0</v>
      </c>
      <c r="D128">
        <v>0</v>
      </c>
    </row>
    <row r="129" spans="1:4">
      <c r="A129">
        <v>128</v>
      </c>
      <c r="B129">
        <v>0</v>
      </c>
      <c r="C129">
        <v>0</v>
      </c>
      <c r="D129">
        <v>0</v>
      </c>
    </row>
    <row r="130" spans="1:4">
      <c r="A130">
        <v>129</v>
      </c>
      <c r="B130">
        <v>0</v>
      </c>
      <c r="C130">
        <v>0</v>
      </c>
      <c r="D130">
        <v>0</v>
      </c>
    </row>
    <row r="131" spans="1:4">
      <c r="A131">
        <v>130</v>
      </c>
      <c r="B131">
        <v>0</v>
      </c>
      <c r="C131">
        <v>0</v>
      </c>
      <c r="D131">
        <v>0</v>
      </c>
    </row>
    <row r="132" spans="1:4">
      <c r="A132">
        <v>131</v>
      </c>
      <c r="B132">
        <v>0</v>
      </c>
      <c r="C132">
        <v>0</v>
      </c>
      <c r="D132">
        <v>0</v>
      </c>
    </row>
    <row r="133" spans="1:4">
      <c r="A133">
        <v>132</v>
      </c>
      <c r="B133">
        <v>0</v>
      </c>
      <c r="C133">
        <v>0</v>
      </c>
      <c r="D133">
        <v>0</v>
      </c>
    </row>
    <row r="134" spans="1:4">
      <c r="A134">
        <v>133</v>
      </c>
      <c r="B134">
        <v>0</v>
      </c>
      <c r="C134">
        <v>0</v>
      </c>
      <c r="D134">
        <v>0</v>
      </c>
    </row>
    <row r="135" spans="1:4">
      <c r="A135">
        <v>134</v>
      </c>
      <c r="B135">
        <v>0</v>
      </c>
      <c r="C135">
        <v>0</v>
      </c>
      <c r="D135">
        <v>0</v>
      </c>
    </row>
    <row r="136" spans="1:4">
      <c r="A136">
        <v>135</v>
      </c>
      <c r="B136">
        <v>0</v>
      </c>
      <c r="C136">
        <v>0</v>
      </c>
      <c r="D136">
        <v>0</v>
      </c>
    </row>
    <row r="137" spans="1:4">
      <c r="A137">
        <v>136</v>
      </c>
      <c r="B137">
        <v>0</v>
      </c>
      <c r="C137">
        <v>0</v>
      </c>
      <c r="D137">
        <v>0</v>
      </c>
    </row>
    <row r="138" spans="1:4">
      <c r="A138">
        <v>137</v>
      </c>
      <c r="B138">
        <v>0</v>
      </c>
      <c r="C138">
        <v>0</v>
      </c>
      <c r="D138">
        <v>0</v>
      </c>
    </row>
    <row r="139" spans="1:4">
      <c r="A139">
        <v>138</v>
      </c>
      <c r="B139">
        <v>0</v>
      </c>
      <c r="C139">
        <v>0</v>
      </c>
      <c r="D139">
        <v>0</v>
      </c>
    </row>
    <row r="140" spans="1:4">
      <c r="A140">
        <v>139</v>
      </c>
      <c r="B140">
        <v>0</v>
      </c>
      <c r="C140">
        <v>0</v>
      </c>
      <c r="D140">
        <v>0</v>
      </c>
    </row>
    <row r="141" spans="1:4">
      <c r="A141">
        <v>140</v>
      </c>
      <c r="B141">
        <v>1</v>
      </c>
      <c r="C141">
        <v>1</v>
      </c>
      <c r="D141">
        <v>0</v>
      </c>
    </row>
    <row r="142" spans="1:4">
      <c r="A142">
        <v>141</v>
      </c>
      <c r="B142">
        <v>0</v>
      </c>
      <c r="C142">
        <v>0</v>
      </c>
      <c r="D142">
        <v>0</v>
      </c>
    </row>
    <row r="143" spans="1:4">
      <c r="A143">
        <v>142</v>
      </c>
      <c r="B143">
        <v>0</v>
      </c>
      <c r="C143">
        <v>0</v>
      </c>
      <c r="D143">
        <v>0</v>
      </c>
    </row>
    <row r="144" spans="1:4">
      <c r="A144">
        <v>143</v>
      </c>
      <c r="B144">
        <v>0</v>
      </c>
      <c r="C144">
        <v>0</v>
      </c>
      <c r="D144">
        <v>0</v>
      </c>
    </row>
    <row r="145" spans="1:4">
      <c r="A145">
        <v>144</v>
      </c>
      <c r="B145">
        <v>0</v>
      </c>
      <c r="C145">
        <v>0</v>
      </c>
      <c r="D145">
        <v>0</v>
      </c>
    </row>
    <row r="146" spans="1:4">
      <c r="A146">
        <v>145</v>
      </c>
      <c r="B146">
        <v>0</v>
      </c>
      <c r="C146">
        <v>0</v>
      </c>
      <c r="D146">
        <v>0</v>
      </c>
    </row>
    <row r="147" spans="1:4">
      <c r="A147">
        <v>146</v>
      </c>
      <c r="B147">
        <v>0</v>
      </c>
      <c r="C147">
        <v>0</v>
      </c>
      <c r="D147">
        <v>0</v>
      </c>
    </row>
    <row r="148" spans="1:4">
      <c r="A148">
        <v>147</v>
      </c>
      <c r="B148">
        <v>1</v>
      </c>
      <c r="C148">
        <v>1</v>
      </c>
      <c r="D148">
        <v>0</v>
      </c>
    </row>
    <row r="149" spans="1:4">
      <c r="A149">
        <v>148</v>
      </c>
      <c r="B149">
        <v>0</v>
      </c>
      <c r="C149">
        <v>0</v>
      </c>
      <c r="D149">
        <v>0</v>
      </c>
    </row>
    <row r="150" spans="1:4">
      <c r="A150">
        <v>149</v>
      </c>
      <c r="B150">
        <v>0</v>
      </c>
      <c r="C150">
        <v>0</v>
      </c>
      <c r="D150">
        <v>0</v>
      </c>
    </row>
    <row r="151" spans="1:4">
      <c r="A151">
        <v>150</v>
      </c>
      <c r="B151">
        <v>0</v>
      </c>
      <c r="C151">
        <v>0</v>
      </c>
      <c r="D151">
        <v>0</v>
      </c>
    </row>
    <row r="152" spans="1:4">
      <c r="A152">
        <v>151</v>
      </c>
      <c r="B152">
        <v>0</v>
      </c>
      <c r="C152">
        <v>0</v>
      </c>
      <c r="D152">
        <v>0</v>
      </c>
    </row>
    <row r="153" spans="1:4">
      <c r="A153">
        <v>152</v>
      </c>
      <c r="B153">
        <v>0</v>
      </c>
      <c r="C153">
        <v>0</v>
      </c>
      <c r="D153">
        <v>0</v>
      </c>
    </row>
    <row r="154" spans="1:4">
      <c r="A154">
        <v>153</v>
      </c>
      <c r="B154">
        <v>0</v>
      </c>
      <c r="C154">
        <v>0</v>
      </c>
      <c r="D154">
        <v>0</v>
      </c>
    </row>
    <row r="155" spans="1:4">
      <c r="A155">
        <v>154</v>
      </c>
      <c r="B155">
        <v>0</v>
      </c>
      <c r="C155">
        <v>0</v>
      </c>
      <c r="D155">
        <v>0</v>
      </c>
    </row>
    <row r="156" spans="1:4">
      <c r="A156">
        <v>155</v>
      </c>
      <c r="B156">
        <v>0</v>
      </c>
      <c r="C156">
        <v>0</v>
      </c>
      <c r="D156">
        <v>0</v>
      </c>
    </row>
    <row r="157" spans="1:4">
      <c r="A157">
        <v>156</v>
      </c>
      <c r="B157">
        <v>0</v>
      </c>
      <c r="C157">
        <v>0</v>
      </c>
      <c r="D157">
        <v>0</v>
      </c>
    </row>
    <row r="158" spans="1:4">
      <c r="A158">
        <v>157</v>
      </c>
      <c r="B158">
        <v>0</v>
      </c>
      <c r="C158">
        <v>0</v>
      </c>
      <c r="D158">
        <v>0</v>
      </c>
    </row>
    <row r="159" spans="1:4">
      <c r="A159">
        <v>158</v>
      </c>
      <c r="B159">
        <v>0</v>
      </c>
      <c r="C159">
        <v>0</v>
      </c>
      <c r="D159">
        <v>0</v>
      </c>
    </row>
    <row r="160" spans="1:4">
      <c r="A160">
        <v>159</v>
      </c>
      <c r="B160">
        <v>0</v>
      </c>
      <c r="C160">
        <v>0</v>
      </c>
      <c r="D160">
        <v>0</v>
      </c>
    </row>
    <row r="161" spans="1:4">
      <c r="A161">
        <v>160</v>
      </c>
      <c r="B161">
        <v>0</v>
      </c>
      <c r="C161">
        <v>0</v>
      </c>
      <c r="D161">
        <v>0</v>
      </c>
    </row>
    <row r="162" spans="1:4">
      <c r="A162">
        <v>161</v>
      </c>
      <c r="B162">
        <v>0</v>
      </c>
      <c r="C162">
        <v>0</v>
      </c>
      <c r="D162">
        <v>0</v>
      </c>
    </row>
    <row r="163" spans="1:4">
      <c r="A163">
        <v>162</v>
      </c>
      <c r="B163">
        <v>0</v>
      </c>
      <c r="C163">
        <v>0</v>
      </c>
      <c r="D163">
        <v>0</v>
      </c>
    </row>
    <row r="164" spans="1:4">
      <c r="A164">
        <v>163</v>
      </c>
      <c r="B164">
        <v>0</v>
      </c>
      <c r="C164">
        <v>0</v>
      </c>
      <c r="D164">
        <v>0</v>
      </c>
    </row>
    <row r="165" spans="1:4">
      <c r="A165">
        <v>164</v>
      </c>
      <c r="B165">
        <v>0</v>
      </c>
      <c r="C165">
        <v>0</v>
      </c>
      <c r="D165">
        <v>0</v>
      </c>
    </row>
    <row r="166" spans="1:4">
      <c r="A166">
        <v>165</v>
      </c>
      <c r="B166">
        <v>0</v>
      </c>
      <c r="C166">
        <v>0</v>
      </c>
      <c r="D166">
        <v>0</v>
      </c>
    </row>
    <row r="167" spans="1:4">
      <c r="A167">
        <v>166</v>
      </c>
      <c r="B167">
        <v>0</v>
      </c>
      <c r="C167">
        <v>0</v>
      </c>
      <c r="D167">
        <v>0</v>
      </c>
    </row>
    <row r="168" spans="1:4">
      <c r="A168">
        <v>167</v>
      </c>
      <c r="B168">
        <v>1</v>
      </c>
      <c r="C168">
        <v>1</v>
      </c>
      <c r="D168">
        <v>0</v>
      </c>
    </row>
    <row r="169" spans="1:4">
      <c r="A169">
        <v>168</v>
      </c>
      <c r="B169">
        <v>0</v>
      </c>
      <c r="C169">
        <v>1</v>
      </c>
      <c r="D169">
        <v>1</v>
      </c>
    </row>
    <row r="170" spans="1:4">
      <c r="A170">
        <v>169</v>
      </c>
      <c r="B170">
        <v>0</v>
      </c>
      <c r="C170">
        <v>0</v>
      </c>
      <c r="D170">
        <v>0</v>
      </c>
    </row>
    <row r="171" spans="1:4">
      <c r="A171">
        <v>170</v>
      </c>
      <c r="B171">
        <v>0</v>
      </c>
      <c r="C171">
        <v>0</v>
      </c>
      <c r="D171">
        <v>0</v>
      </c>
    </row>
    <row r="172" spans="1:4">
      <c r="A172">
        <v>171</v>
      </c>
      <c r="B172">
        <v>1</v>
      </c>
      <c r="C172">
        <v>1</v>
      </c>
      <c r="D172">
        <v>0</v>
      </c>
    </row>
    <row r="173" spans="1:4">
      <c r="A173">
        <v>172</v>
      </c>
      <c r="B173">
        <v>0</v>
      </c>
      <c r="C173">
        <v>0</v>
      </c>
      <c r="D173">
        <v>0</v>
      </c>
    </row>
    <row r="174" spans="1:4">
      <c r="A174">
        <v>173</v>
      </c>
      <c r="B174">
        <v>1</v>
      </c>
      <c r="C174">
        <v>1</v>
      </c>
      <c r="D174">
        <v>0</v>
      </c>
    </row>
    <row r="175" spans="1:4">
      <c r="A175">
        <v>174</v>
      </c>
      <c r="B175">
        <v>1</v>
      </c>
      <c r="C175">
        <v>1</v>
      </c>
      <c r="D175">
        <v>0</v>
      </c>
    </row>
    <row r="176" spans="1:4">
      <c r="A176">
        <v>175</v>
      </c>
      <c r="B176">
        <v>0</v>
      </c>
      <c r="C176">
        <v>0</v>
      </c>
      <c r="D176">
        <v>0</v>
      </c>
    </row>
    <row r="177" spans="1:4">
      <c r="A177">
        <v>176</v>
      </c>
      <c r="B177">
        <v>0</v>
      </c>
      <c r="C177">
        <v>0</v>
      </c>
      <c r="D177">
        <v>0</v>
      </c>
    </row>
    <row r="178" spans="1:4">
      <c r="A178">
        <v>177</v>
      </c>
      <c r="B178">
        <v>1</v>
      </c>
      <c r="C178">
        <v>1</v>
      </c>
      <c r="D178">
        <v>0</v>
      </c>
    </row>
    <row r="179" spans="1:4">
      <c r="A179">
        <v>178</v>
      </c>
      <c r="B179">
        <v>0</v>
      </c>
      <c r="C179">
        <v>0</v>
      </c>
      <c r="D179">
        <v>0</v>
      </c>
    </row>
    <row r="180" spans="1:4">
      <c r="A180">
        <v>179</v>
      </c>
      <c r="B180">
        <v>0</v>
      </c>
      <c r="C180">
        <v>0</v>
      </c>
      <c r="D180">
        <v>0</v>
      </c>
    </row>
    <row r="181" spans="1:4">
      <c r="A181">
        <v>180</v>
      </c>
      <c r="B181">
        <v>0</v>
      </c>
      <c r="C181">
        <v>0</v>
      </c>
      <c r="D181">
        <v>0</v>
      </c>
    </row>
    <row r="182" spans="1:4">
      <c r="A182">
        <v>181</v>
      </c>
      <c r="B182">
        <v>0</v>
      </c>
      <c r="C182">
        <v>0</v>
      </c>
      <c r="D182">
        <v>0</v>
      </c>
    </row>
    <row r="183" spans="1:4">
      <c r="A183">
        <v>182</v>
      </c>
      <c r="B183">
        <v>0</v>
      </c>
      <c r="C183">
        <v>0</v>
      </c>
      <c r="D183">
        <v>0</v>
      </c>
    </row>
    <row r="184" spans="1:4">
      <c r="A184">
        <v>183</v>
      </c>
      <c r="B184">
        <v>0</v>
      </c>
      <c r="C184">
        <v>0</v>
      </c>
      <c r="D184">
        <v>0</v>
      </c>
    </row>
    <row r="185" spans="1:4">
      <c r="A185">
        <v>184</v>
      </c>
      <c r="B185">
        <v>0</v>
      </c>
      <c r="C185">
        <v>0</v>
      </c>
      <c r="D185">
        <v>0</v>
      </c>
    </row>
    <row r="186" spans="1:4">
      <c r="A186">
        <v>185</v>
      </c>
      <c r="B186">
        <v>0</v>
      </c>
      <c r="C186">
        <v>0</v>
      </c>
      <c r="D186">
        <v>0</v>
      </c>
    </row>
    <row r="187" spans="1:4">
      <c r="A187">
        <v>186</v>
      </c>
      <c r="B187">
        <v>0</v>
      </c>
      <c r="C187">
        <v>0</v>
      </c>
      <c r="D187">
        <v>0</v>
      </c>
    </row>
    <row r="188" spans="1:4">
      <c r="A188">
        <v>187</v>
      </c>
      <c r="B188">
        <v>0</v>
      </c>
      <c r="C188">
        <v>0</v>
      </c>
      <c r="D188">
        <v>0</v>
      </c>
    </row>
    <row r="189" spans="1:4">
      <c r="A189">
        <v>188</v>
      </c>
      <c r="B189">
        <v>0</v>
      </c>
      <c r="C189">
        <v>0</v>
      </c>
      <c r="D189">
        <v>0</v>
      </c>
    </row>
    <row r="190" spans="1:4">
      <c r="A190">
        <v>189</v>
      </c>
      <c r="B190">
        <v>0</v>
      </c>
      <c r="C190">
        <v>0</v>
      </c>
      <c r="D190">
        <v>0</v>
      </c>
    </row>
    <row r="191" spans="1:4">
      <c r="A191">
        <v>190</v>
      </c>
      <c r="B191">
        <v>0</v>
      </c>
      <c r="C191">
        <v>0</v>
      </c>
      <c r="D191">
        <v>0</v>
      </c>
    </row>
    <row r="192" spans="1:4">
      <c r="A192">
        <v>191</v>
      </c>
      <c r="B192">
        <v>0</v>
      </c>
      <c r="C192">
        <v>0</v>
      </c>
      <c r="D192">
        <v>0</v>
      </c>
    </row>
    <row r="193" spans="1:4">
      <c r="A193">
        <v>192</v>
      </c>
      <c r="B193">
        <v>1</v>
      </c>
      <c r="C193">
        <v>1</v>
      </c>
      <c r="D193">
        <v>0</v>
      </c>
    </row>
    <row r="194" spans="1:4">
      <c r="A194">
        <v>193</v>
      </c>
      <c r="B194">
        <v>0</v>
      </c>
      <c r="C194">
        <v>0</v>
      </c>
      <c r="D194">
        <v>0</v>
      </c>
    </row>
    <row r="195" spans="1:4">
      <c r="A195">
        <v>194</v>
      </c>
      <c r="B195">
        <v>0</v>
      </c>
      <c r="C195">
        <v>0</v>
      </c>
      <c r="D195">
        <v>0</v>
      </c>
    </row>
    <row r="196" spans="1:4">
      <c r="A196">
        <v>195</v>
      </c>
      <c r="B196">
        <v>1</v>
      </c>
      <c r="C196">
        <v>1</v>
      </c>
      <c r="D196">
        <v>0</v>
      </c>
    </row>
    <row r="197" spans="1:4">
      <c r="A197">
        <v>196</v>
      </c>
      <c r="B197">
        <v>1</v>
      </c>
      <c r="C197">
        <v>1</v>
      </c>
      <c r="D197">
        <v>0</v>
      </c>
    </row>
    <row r="198" spans="1:4">
      <c r="A198">
        <v>197</v>
      </c>
      <c r="B198">
        <v>0</v>
      </c>
      <c r="C198">
        <v>0</v>
      </c>
      <c r="D198">
        <v>0</v>
      </c>
    </row>
    <row r="199" spans="1:4">
      <c r="A199">
        <v>198</v>
      </c>
      <c r="B199">
        <v>0</v>
      </c>
      <c r="C199">
        <v>0</v>
      </c>
      <c r="D199">
        <v>0</v>
      </c>
    </row>
    <row r="200" spans="1:4">
      <c r="A200">
        <v>199</v>
      </c>
      <c r="B200">
        <v>0</v>
      </c>
      <c r="C200">
        <v>0</v>
      </c>
      <c r="D200">
        <v>0</v>
      </c>
    </row>
    <row r="201" spans="1:4">
      <c r="A201">
        <v>200</v>
      </c>
      <c r="B201">
        <v>0</v>
      </c>
      <c r="C201">
        <v>0</v>
      </c>
      <c r="D201">
        <v>0</v>
      </c>
    </row>
    <row r="202" spans="1:4">
      <c r="A202">
        <v>201</v>
      </c>
      <c r="B202">
        <v>0</v>
      </c>
      <c r="C202">
        <v>0</v>
      </c>
      <c r="D202">
        <v>0</v>
      </c>
    </row>
    <row r="203" spans="1:4">
      <c r="A203">
        <v>202</v>
      </c>
      <c r="B203">
        <v>0</v>
      </c>
      <c r="C203">
        <v>0</v>
      </c>
      <c r="D203">
        <v>0</v>
      </c>
    </row>
    <row r="204" spans="1:4">
      <c r="A204">
        <v>203</v>
      </c>
      <c r="B204">
        <v>0</v>
      </c>
      <c r="C204">
        <v>0</v>
      </c>
      <c r="D204">
        <v>0</v>
      </c>
    </row>
    <row r="205" spans="1:4">
      <c r="A205">
        <v>204</v>
      </c>
      <c r="B205">
        <v>0</v>
      </c>
      <c r="C205">
        <v>0</v>
      </c>
      <c r="D205">
        <v>0</v>
      </c>
    </row>
    <row r="206" spans="1:4">
      <c r="A206">
        <v>205</v>
      </c>
      <c r="B206">
        <v>0</v>
      </c>
      <c r="C206">
        <v>1</v>
      </c>
      <c r="D206">
        <v>1</v>
      </c>
    </row>
    <row r="207" spans="1:4">
      <c r="A207">
        <v>206</v>
      </c>
      <c r="B207">
        <v>1</v>
      </c>
      <c r="C207">
        <v>1</v>
      </c>
      <c r="D207">
        <v>0</v>
      </c>
    </row>
    <row r="208" spans="1:4">
      <c r="A208">
        <v>207</v>
      </c>
      <c r="B208">
        <v>0</v>
      </c>
      <c r="C208">
        <v>0</v>
      </c>
      <c r="D208">
        <v>0</v>
      </c>
    </row>
    <row r="209" spans="1:4">
      <c r="A209">
        <v>208</v>
      </c>
      <c r="B209">
        <v>1</v>
      </c>
      <c r="C209">
        <v>1</v>
      </c>
      <c r="D209">
        <v>0</v>
      </c>
    </row>
    <row r="210" spans="1:4">
      <c r="A210">
        <v>209</v>
      </c>
      <c r="B210">
        <v>1</v>
      </c>
      <c r="C210">
        <v>1</v>
      </c>
      <c r="D210">
        <v>0</v>
      </c>
    </row>
    <row r="211" spans="1:4">
      <c r="A211">
        <v>210</v>
      </c>
      <c r="B211">
        <v>0</v>
      </c>
      <c r="C211">
        <v>0</v>
      </c>
      <c r="D211">
        <v>0</v>
      </c>
    </row>
    <row r="212" spans="1:4">
      <c r="A212">
        <v>211</v>
      </c>
      <c r="B212">
        <v>0</v>
      </c>
      <c r="C212">
        <v>0</v>
      </c>
      <c r="D212">
        <v>0</v>
      </c>
    </row>
    <row r="213" spans="1:4">
      <c r="A213">
        <v>212</v>
      </c>
      <c r="B213">
        <v>0</v>
      </c>
      <c r="C213">
        <v>0</v>
      </c>
      <c r="D213">
        <v>0</v>
      </c>
    </row>
    <row r="214" spans="1:4">
      <c r="A214">
        <v>213</v>
      </c>
      <c r="B214">
        <v>0</v>
      </c>
      <c r="C214">
        <v>0</v>
      </c>
      <c r="D214">
        <v>0</v>
      </c>
    </row>
    <row r="215" spans="1:4">
      <c r="A215">
        <v>214</v>
      </c>
      <c r="B215">
        <v>0</v>
      </c>
      <c r="C215">
        <v>0</v>
      </c>
      <c r="D215">
        <v>0</v>
      </c>
    </row>
    <row r="216" spans="1:4">
      <c r="A216">
        <v>215</v>
      </c>
      <c r="B216">
        <v>0</v>
      </c>
      <c r="C216">
        <v>0</v>
      </c>
      <c r="D216">
        <v>0</v>
      </c>
    </row>
    <row r="217" spans="1:4">
      <c r="A217">
        <v>216</v>
      </c>
      <c r="B217">
        <v>1</v>
      </c>
      <c r="C217">
        <v>1</v>
      </c>
      <c r="D217">
        <v>0</v>
      </c>
    </row>
    <row r="218" spans="1:4">
      <c r="A218">
        <v>217</v>
      </c>
      <c r="B218">
        <v>0</v>
      </c>
      <c r="C218">
        <v>0</v>
      </c>
      <c r="D218">
        <v>0</v>
      </c>
    </row>
    <row r="219" spans="1:4">
      <c r="A219">
        <v>218</v>
      </c>
      <c r="B219">
        <v>0</v>
      </c>
      <c r="C219">
        <v>0</v>
      </c>
      <c r="D219">
        <v>0</v>
      </c>
    </row>
    <row r="220" spans="1:4">
      <c r="A220">
        <v>219</v>
      </c>
      <c r="B220">
        <v>0</v>
      </c>
      <c r="C220">
        <v>0</v>
      </c>
      <c r="D220">
        <v>0</v>
      </c>
    </row>
    <row r="221" spans="1:4">
      <c r="A221">
        <v>220</v>
      </c>
      <c r="B221">
        <v>0</v>
      </c>
      <c r="C221">
        <v>0</v>
      </c>
      <c r="D221">
        <v>0</v>
      </c>
    </row>
    <row r="222" spans="1:4">
      <c r="A222">
        <v>221</v>
      </c>
      <c r="B222">
        <v>1</v>
      </c>
      <c r="C222">
        <v>1</v>
      </c>
      <c r="D222">
        <v>0</v>
      </c>
    </row>
    <row r="223" spans="1:4">
      <c r="A223">
        <v>222</v>
      </c>
      <c r="B223">
        <v>0</v>
      </c>
      <c r="C223">
        <v>0</v>
      </c>
      <c r="D223">
        <v>0</v>
      </c>
    </row>
    <row r="224" spans="1:4">
      <c r="A224">
        <v>223</v>
      </c>
      <c r="B224">
        <v>0</v>
      </c>
      <c r="C224">
        <v>0</v>
      </c>
      <c r="D224">
        <v>0</v>
      </c>
    </row>
    <row r="225" spans="1:4">
      <c r="A225">
        <v>224</v>
      </c>
      <c r="B225">
        <v>0</v>
      </c>
      <c r="C225">
        <v>0</v>
      </c>
      <c r="D225">
        <v>0</v>
      </c>
    </row>
    <row r="226" spans="1:4">
      <c r="A226">
        <v>225</v>
      </c>
      <c r="B226">
        <v>0</v>
      </c>
      <c r="C226">
        <v>0</v>
      </c>
      <c r="D226">
        <v>0</v>
      </c>
    </row>
    <row r="227" spans="1:4">
      <c r="A227">
        <v>226</v>
      </c>
      <c r="B227">
        <v>0</v>
      </c>
      <c r="C227">
        <v>0</v>
      </c>
      <c r="D227">
        <v>0</v>
      </c>
    </row>
    <row r="228" spans="1:4">
      <c r="A228">
        <v>227</v>
      </c>
      <c r="B228">
        <v>0</v>
      </c>
      <c r="C228">
        <v>0</v>
      </c>
      <c r="D228">
        <v>0</v>
      </c>
    </row>
    <row r="229" spans="1:4">
      <c r="A229">
        <v>228</v>
      </c>
      <c r="B229">
        <v>0</v>
      </c>
      <c r="C229">
        <v>0</v>
      </c>
      <c r="D229">
        <v>0</v>
      </c>
    </row>
    <row r="230" spans="1:4">
      <c r="A230">
        <v>229</v>
      </c>
      <c r="B230">
        <v>1</v>
      </c>
      <c r="C230">
        <v>1</v>
      </c>
      <c r="D230">
        <v>0</v>
      </c>
    </row>
    <row r="231" spans="1:4">
      <c r="A231">
        <v>230</v>
      </c>
      <c r="B231">
        <v>1</v>
      </c>
      <c r="C231">
        <v>1</v>
      </c>
      <c r="D231">
        <v>0</v>
      </c>
    </row>
    <row r="232" spans="1:4">
      <c r="A232">
        <v>231</v>
      </c>
      <c r="B232">
        <v>0</v>
      </c>
      <c r="C232">
        <v>0</v>
      </c>
      <c r="D232">
        <v>0</v>
      </c>
    </row>
    <row r="233" spans="1:4">
      <c r="A233">
        <v>232</v>
      </c>
      <c r="B233">
        <v>0</v>
      </c>
      <c r="C233">
        <v>0</v>
      </c>
      <c r="D233">
        <v>0</v>
      </c>
    </row>
    <row r="234" spans="1:4">
      <c r="A234">
        <v>233</v>
      </c>
      <c r="B234">
        <v>0</v>
      </c>
      <c r="C234">
        <v>0</v>
      </c>
      <c r="D234">
        <v>0</v>
      </c>
    </row>
    <row r="235" spans="1:4">
      <c r="A235">
        <v>234</v>
      </c>
      <c r="B235">
        <v>0</v>
      </c>
      <c r="C235">
        <v>0</v>
      </c>
      <c r="D235">
        <v>0</v>
      </c>
    </row>
    <row r="236" spans="1:4">
      <c r="A236">
        <v>235</v>
      </c>
      <c r="B236">
        <v>0</v>
      </c>
      <c r="C236">
        <v>0</v>
      </c>
      <c r="D236">
        <v>0</v>
      </c>
    </row>
    <row r="237" spans="1:4">
      <c r="A237">
        <v>236</v>
      </c>
      <c r="B237">
        <v>0</v>
      </c>
      <c r="C237">
        <v>0</v>
      </c>
      <c r="D237">
        <v>0</v>
      </c>
    </row>
    <row r="238" spans="1:4">
      <c r="A238">
        <v>237</v>
      </c>
      <c r="B238">
        <v>0</v>
      </c>
      <c r="C238">
        <v>0</v>
      </c>
      <c r="D238">
        <v>0</v>
      </c>
    </row>
    <row r="239" spans="1:4">
      <c r="A239">
        <v>238</v>
      </c>
      <c r="B239">
        <v>0</v>
      </c>
      <c r="C239">
        <v>0</v>
      </c>
      <c r="D239">
        <v>0</v>
      </c>
    </row>
    <row r="240" spans="1:4">
      <c r="A240">
        <v>239</v>
      </c>
      <c r="B240">
        <v>0</v>
      </c>
      <c r="C240">
        <v>0</v>
      </c>
      <c r="D240">
        <v>0</v>
      </c>
    </row>
    <row r="241" spans="1:4">
      <c r="A241">
        <v>240</v>
      </c>
      <c r="B241">
        <v>0</v>
      </c>
      <c r="C241">
        <v>0</v>
      </c>
      <c r="D241">
        <v>0</v>
      </c>
    </row>
    <row r="242" spans="1:4">
      <c r="A242">
        <v>241</v>
      </c>
      <c r="B242">
        <v>0</v>
      </c>
      <c r="C242">
        <v>0</v>
      </c>
      <c r="D242">
        <v>0</v>
      </c>
    </row>
    <row r="243" spans="1:4">
      <c r="A243">
        <v>242</v>
      </c>
      <c r="B243">
        <v>0</v>
      </c>
      <c r="C243">
        <v>0</v>
      </c>
      <c r="D243">
        <v>0</v>
      </c>
    </row>
    <row r="244" spans="1:4">
      <c r="A244">
        <v>243</v>
      </c>
      <c r="B244">
        <v>1</v>
      </c>
      <c r="C244">
        <v>1</v>
      </c>
      <c r="D244">
        <v>0</v>
      </c>
    </row>
    <row r="245" spans="1:4">
      <c r="A245">
        <v>244</v>
      </c>
      <c r="B245">
        <v>0</v>
      </c>
      <c r="C245">
        <v>0</v>
      </c>
      <c r="D245">
        <v>0</v>
      </c>
    </row>
    <row r="246" spans="1:4">
      <c r="A246">
        <v>245</v>
      </c>
      <c r="B246">
        <v>0</v>
      </c>
      <c r="C246">
        <v>0</v>
      </c>
      <c r="D246">
        <v>0</v>
      </c>
    </row>
    <row r="247" spans="1:4">
      <c r="A247">
        <v>246</v>
      </c>
      <c r="B247">
        <v>0</v>
      </c>
      <c r="C247">
        <v>0</v>
      </c>
      <c r="D247">
        <v>0</v>
      </c>
    </row>
    <row r="248" spans="1:4">
      <c r="A248">
        <v>247</v>
      </c>
      <c r="B248">
        <v>0</v>
      </c>
      <c r="C248">
        <v>0</v>
      </c>
      <c r="D248">
        <v>0</v>
      </c>
    </row>
    <row r="249" spans="1:4">
      <c r="A249">
        <v>248</v>
      </c>
      <c r="B249">
        <v>0</v>
      </c>
      <c r="C249">
        <v>0</v>
      </c>
      <c r="D249">
        <v>0</v>
      </c>
    </row>
    <row r="250" spans="1:4">
      <c r="A250">
        <v>249</v>
      </c>
      <c r="B250">
        <v>0</v>
      </c>
      <c r="C250">
        <v>0</v>
      </c>
      <c r="D250">
        <v>0</v>
      </c>
    </row>
    <row r="251" spans="1:4">
      <c r="A251">
        <v>250</v>
      </c>
      <c r="B251">
        <v>1</v>
      </c>
      <c r="C251">
        <v>1</v>
      </c>
      <c r="D251">
        <v>0</v>
      </c>
    </row>
    <row r="252" spans="1:4">
      <c r="A252">
        <v>251</v>
      </c>
      <c r="B252">
        <v>0</v>
      </c>
      <c r="C252">
        <v>0</v>
      </c>
      <c r="D252">
        <v>0</v>
      </c>
    </row>
    <row r="253" spans="1:4">
      <c r="A253">
        <v>252</v>
      </c>
      <c r="B253">
        <v>0</v>
      </c>
      <c r="C253">
        <v>0</v>
      </c>
      <c r="D253">
        <v>0</v>
      </c>
    </row>
    <row r="254" spans="1:4">
      <c r="A254">
        <v>253</v>
      </c>
      <c r="B254">
        <v>0</v>
      </c>
      <c r="C254">
        <v>0</v>
      </c>
      <c r="D254">
        <v>0</v>
      </c>
    </row>
    <row r="255" spans="1:4">
      <c r="A255">
        <v>254</v>
      </c>
      <c r="B255">
        <v>0</v>
      </c>
      <c r="C255">
        <v>0</v>
      </c>
      <c r="D255">
        <v>0</v>
      </c>
    </row>
    <row r="256" spans="1:4">
      <c r="A256">
        <v>255</v>
      </c>
      <c r="B256">
        <v>0</v>
      </c>
      <c r="C256">
        <v>1</v>
      </c>
      <c r="D256">
        <v>1</v>
      </c>
    </row>
    <row r="257" spans="1:4">
      <c r="A257">
        <v>256</v>
      </c>
      <c r="B257">
        <v>0</v>
      </c>
      <c r="C257">
        <v>0</v>
      </c>
      <c r="D257">
        <v>0</v>
      </c>
    </row>
    <row r="258" spans="1:4">
      <c r="A258">
        <v>257</v>
      </c>
      <c r="B258">
        <v>0</v>
      </c>
      <c r="C258">
        <v>0</v>
      </c>
      <c r="D258">
        <v>0</v>
      </c>
    </row>
    <row r="259" spans="1:4">
      <c r="A259">
        <v>258</v>
      </c>
      <c r="B259">
        <v>0</v>
      </c>
      <c r="C259">
        <v>0</v>
      </c>
      <c r="D259">
        <v>0</v>
      </c>
    </row>
    <row r="260" spans="1:4">
      <c r="A260">
        <v>259</v>
      </c>
      <c r="B260">
        <v>0</v>
      </c>
      <c r="C260">
        <v>0</v>
      </c>
      <c r="D260">
        <v>0</v>
      </c>
    </row>
    <row r="261" spans="1:4">
      <c r="A261">
        <v>260</v>
      </c>
      <c r="B261">
        <v>0</v>
      </c>
      <c r="C261">
        <v>0</v>
      </c>
      <c r="D261">
        <v>0</v>
      </c>
    </row>
    <row r="262" spans="1:4">
      <c r="A262">
        <v>261</v>
      </c>
      <c r="B262">
        <v>0</v>
      </c>
      <c r="C262">
        <v>0</v>
      </c>
      <c r="D262">
        <v>0</v>
      </c>
    </row>
    <row r="263" spans="1:4">
      <c r="A263">
        <v>262</v>
      </c>
      <c r="B263">
        <v>0</v>
      </c>
      <c r="C263">
        <v>0</v>
      </c>
      <c r="D263">
        <v>0</v>
      </c>
    </row>
    <row r="264" spans="1:4">
      <c r="A264">
        <v>263</v>
      </c>
      <c r="B264">
        <v>1</v>
      </c>
      <c r="C264">
        <v>1</v>
      </c>
      <c r="D264">
        <v>0</v>
      </c>
    </row>
    <row r="265" spans="1:4">
      <c r="A265">
        <v>264</v>
      </c>
      <c r="B265">
        <v>0</v>
      </c>
      <c r="C265">
        <v>1</v>
      </c>
      <c r="D265">
        <v>1</v>
      </c>
    </row>
    <row r="266" spans="1:4">
      <c r="A266">
        <v>265</v>
      </c>
      <c r="B266">
        <v>0</v>
      </c>
      <c r="C266">
        <v>0</v>
      </c>
      <c r="D266">
        <v>0</v>
      </c>
    </row>
    <row r="267" spans="1:4">
      <c r="A267">
        <v>266</v>
      </c>
      <c r="B267">
        <v>0</v>
      </c>
      <c r="C267">
        <v>0</v>
      </c>
      <c r="D267">
        <v>0</v>
      </c>
    </row>
    <row r="268" spans="1:4">
      <c r="A268">
        <v>267</v>
      </c>
      <c r="B268">
        <v>0</v>
      </c>
      <c r="C268">
        <v>0</v>
      </c>
      <c r="D268">
        <v>0</v>
      </c>
    </row>
    <row r="269" spans="1:4">
      <c r="A269">
        <v>268</v>
      </c>
      <c r="B269">
        <v>0</v>
      </c>
      <c r="C269">
        <v>0</v>
      </c>
      <c r="D269">
        <v>0</v>
      </c>
    </row>
    <row r="270" spans="1:4">
      <c r="A270">
        <v>269</v>
      </c>
      <c r="B270">
        <v>0</v>
      </c>
      <c r="C270">
        <v>0</v>
      </c>
      <c r="D270">
        <v>0</v>
      </c>
    </row>
    <row r="271" spans="1:4">
      <c r="A271">
        <v>270</v>
      </c>
      <c r="B271">
        <v>0</v>
      </c>
      <c r="C271">
        <v>0</v>
      </c>
      <c r="D271">
        <v>0</v>
      </c>
    </row>
    <row r="272" spans="1:4">
      <c r="A272">
        <v>271</v>
      </c>
      <c r="B272">
        <v>0</v>
      </c>
      <c r="C272">
        <v>0</v>
      </c>
      <c r="D272">
        <v>0</v>
      </c>
    </row>
    <row r="273" spans="1:4">
      <c r="A273">
        <v>272</v>
      </c>
      <c r="B273">
        <v>0</v>
      </c>
      <c r="C273">
        <v>0</v>
      </c>
      <c r="D273">
        <v>0</v>
      </c>
    </row>
    <row r="274" spans="1:4">
      <c r="A274">
        <v>273</v>
      </c>
      <c r="B274">
        <v>0</v>
      </c>
      <c r="C274">
        <v>0</v>
      </c>
      <c r="D274">
        <v>0</v>
      </c>
    </row>
    <row r="275" spans="1:4">
      <c r="A275">
        <v>274</v>
      </c>
      <c r="B275">
        <v>1</v>
      </c>
      <c r="C275">
        <v>1</v>
      </c>
      <c r="D275">
        <v>0</v>
      </c>
    </row>
    <row r="276" spans="1:4">
      <c r="A276">
        <v>275</v>
      </c>
      <c r="B276">
        <v>0</v>
      </c>
      <c r="C276">
        <v>0</v>
      </c>
      <c r="D276">
        <v>0</v>
      </c>
    </row>
    <row r="277" spans="1:4">
      <c r="A277">
        <v>276</v>
      </c>
      <c r="B277">
        <v>1</v>
      </c>
      <c r="C277">
        <v>1</v>
      </c>
      <c r="D277">
        <v>0</v>
      </c>
    </row>
    <row r="278" spans="1:4">
      <c r="A278">
        <v>277</v>
      </c>
      <c r="B278">
        <v>0</v>
      </c>
      <c r="C278">
        <v>0</v>
      </c>
      <c r="D278">
        <v>0</v>
      </c>
    </row>
    <row r="279" spans="1:4">
      <c r="A279">
        <v>278</v>
      </c>
      <c r="B279">
        <v>0</v>
      </c>
      <c r="C279">
        <v>0</v>
      </c>
      <c r="D279">
        <v>0</v>
      </c>
    </row>
    <row r="280" spans="1:4">
      <c r="A280">
        <v>279</v>
      </c>
      <c r="B280">
        <v>1</v>
      </c>
      <c r="C280">
        <v>1</v>
      </c>
      <c r="D280">
        <v>0</v>
      </c>
    </row>
    <row r="281" spans="1:4">
      <c r="A281">
        <v>280</v>
      </c>
      <c r="B281">
        <v>1</v>
      </c>
      <c r="C281">
        <v>1</v>
      </c>
      <c r="D281">
        <v>0</v>
      </c>
    </row>
    <row r="282" spans="1:4">
      <c r="A282">
        <v>281</v>
      </c>
      <c r="B282">
        <v>0</v>
      </c>
      <c r="C282">
        <v>0</v>
      </c>
      <c r="D282">
        <v>0</v>
      </c>
    </row>
    <row r="283" spans="1:4">
      <c r="A283">
        <v>282</v>
      </c>
      <c r="B283">
        <v>0</v>
      </c>
      <c r="C283">
        <v>0</v>
      </c>
      <c r="D283">
        <v>0</v>
      </c>
    </row>
    <row r="284" spans="1:4">
      <c r="A284">
        <v>283</v>
      </c>
      <c r="B284">
        <v>0</v>
      </c>
      <c r="C284">
        <v>0</v>
      </c>
      <c r="D284">
        <v>0</v>
      </c>
    </row>
    <row r="285" spans="1:4">
      <c r="A285">
        <v>284</v>
      </c>
      <c r="B285">
        <v>0</v>
      </c>
      <c r="C285">
        <v>0</v>
      </c>
      <c r="D285">
        <v>0</v>
      </c>
    </row>
    <row r="286" spans="1:4">
      <c r="A286">
        <v>285</v>
      </c>
      <c r="B286">
        <v>0</v>
      </c>
      <c r="C286">
        <v>0</v>
      </c>
      <c r="D286">
        <v>0</v>
      </c>
    </row>
    <row r="287" spans="1:4">
      <c r="A287">
        <v>286</v>
      </c>
      <c r="B287">
        <v>0</v>
      </c>
      <c r="C287">
        <v>0</v>
      </c>
      <c r="D287">
        <v>0</v>
      </c>
    </row>
    <row r="288" spans="1:4">
      <c r="A288">
        <v>287</v>
      </c>
      <c r="B288">
        <v>0</v>
      </c>
      <c r="C288">
        <v>0</v>
      </c>
      <c r="D288">
        <v>0</v>
      </c>
    </row>
    <row r="289" spans="1:4">
      <c r="A289">
        <v>288</v>
      </c>
      <c r="B289">
        <v>0</v>
      </c>
      <c r="C289">
        <v>0</v>
      </c>
      <c r="D289">
        <v>0</v>
      </c>
    </row>
    <row r="290" spans="1:4">
      <c r="A290">
        <v>289</v>
      </c>
      <c r="B290">
        <v>0</v>
      </c>
      <c r="C290">
        <v>0</v>
      </c>
      <c r="D290">
        <v>0</v>
      </c>
    </row>
    <row r="291" spans="1:4">
      <c r="A291">
        <v>290</v>
      </c>
      <c r="B291">
        <v>0</v>
      </c>
      <c r="C291">
        <v>0</v>
      </c>
      <c r="D291">
        <v>0</v>
      </c>
    </row>
    <row r="292" spans="1:4">
      <c r="A292">
        <v>291</v>
      </c>
      <c r="B292">
        <v>0</v>
      </c>
      <c r="C292">
        <v>0</v>
      </c>
      <c r="D292">
        <v>0</v>
      </c>
    </row>
    <row r="293" spans="1:4">
      <c r="A293">
        <v>292</v>
      </c>
      <c r="B293">
        <v>0</v>
      </c>
      <c r="C293">
        <v>0</v>
      </c>
      <c r="D293">
        <v>0</v>
      </c>
    </row>
    <row r="294" spans="1:4">
      <c r="A294">
        <v>293</v>
      </c>
      <c r="B294">
        <v>0</v>
      </c>
      <c r="C294">
        <v>0</v>
      </c>
      <c r="D294">
        <v>0</v>
      </c>
    </row>
    <row r="295" spans="1:4">
      <c r="A295">
        <v>294</v>
      </c>
      <c r="B295">
        <v>0</v>
      </c>
      <c r="C295">
        <v>0</v>
      </c>
      <c r="D295">
        <v>0</v>
      </c>
    </row>
    <row r="296" spans="1:4">
      <c r="A296">
        <v>295</v>
      </c>
      <c r="B296">
        <v>1</v>
      </c>
      <c r="C296">
        <v>1</v>
      </c>
      <c r="D296">
        <v>0</v>
      </c>
    </row>
    <row r="297" spans="1:4">
      <c r="A297">
        <v>296</v>
      </c>
      <c r="B297">
        <v>0</v>
      </c>
      <c r="C297">
        <v>0</v>
      </c>
      <c r="D297">
        <v>0</v>
      </c>
    </row>
    <row r="298" spans="1:4">
      <c r="A298">
        <v>297</v>
      </c>
      <c r="B298">
        <v>0</v>
      </c>
      <c r="C298">
        <v>0</v>
      </c>
      <c r="D298">
        <v>0</v>
      </c>
    </row>
    <row r="299" spans="1:4">
      <c r="A299">
        <v>298</v>
      </c>
      <c r="B299">
        <v>0</v>
      </c>
      <c r="C299">
        <v>0</v>
      </c>
      <c r="D299">
        <v>0</v>
      </c>
    </row>
    <row r="300" spans="1:4">
      <c r="A300">
        <v>299</v>
      </c>
      <c r="B300">
        <v>0</v>
      </c>
      <c r="C300">
        <v>0</v>
      </c>
      <c r="D300">
        <v>0</v>
      </c>
    </row>
    <row r="301" spans="1:4">
      <c r="A301">
        <v>300</v>
      </c>
      <c r="B301">
        <v>0</v>
      </c>
      <c r="C301">
        <v>0</v>
      </c>
      <c r="D301">
        <v>0</v>
      </c>
    </row>
    <row r="302" spans="1:4">
      <c r="A302">
        <v>301</v>
      </c>
      <c r="B302">
        <v>0</v>
      </c>
      <c r="C302">
        <v>0</v>
      </c>
      <c r="D302">
        <v>0</v>
      </c>
    </row>
    <row r="303" spans="1:4">
      <c r="A303">
        <v>302</v>
      </c>
      <c r="B303">
        <v>0</v>
      </c>
      <c r="C303">
        <v>0</v>
      </c>
      <c r="D303">
        <v>0</v>
      </c>
    </row>
    <row r="304" spans="1:4">
      <c r="A304">
        <v>303</v>
      </c>
      <c r="B304">
        <v>0</v>
      </c>
      <c r="C304">
        <v>0</v>
      </c>
      <c r="D304">
        <v>0</v>
      </c>
    </row>
    <row r="305" spans="1:4">
      <c r="A305">
        <v>304</v>
      </c>
      <c r="B305">
        <v>0</v>
      </c>
      <c r="C305">
        <v>0</v>
      </c>
      <c r="D305">
        <v>0</v>
      </c>
    </row>
    <row r="306" spans="1:4">
      <c r="A306">
        <v>305</v>
      </c>
      <c r="B306">
        <v>0</v>
      </c>
      <c r="C306">
        <v>0</v>
      </c>
      <c r="D306">
        <v>0</v>
      </c>
    </row>
    <row r="307" spans="1:4">
      <c r="A307">
        <v>306</v>
      </c>
      <c r="B307">
        <v>1</v>
      </c>
      <c r="C307">
        <v>1</v>
      </c>
      <c r="D307">
        <v>0</v>
      </c>
    </row>
    <row r="308" spans="1:4">
      <c r="A308">
        <v>307</v>
      </c>
      <c r="B308">
        <v>0</v>
      </c>
      <c r="C308">
        <v>0</v>
      </c>
      <c r="D308">
        <v>0</v>
      </c>
    </row>
    <row r="309" spans="1:4">
      <c r="A309">
        <v>308</v>
      </c>
      <c r="B309">
        <v>0</v>
      </c>
      <c r="C309">
        <v>0</v>
      </c>
      <c r="D309">
        <v>0</v>
      </c>
    </row>
    <row r="310" spans="1:4">
      <c r="A310">
        <v>309</v>
      </c>
      <c r="B310">
        <v>0</v>
      </c>
      <c r="C310">
        <v>0</v>
      </c>
      <c r="D310">
        <v>0</v>
      </c>
    </row>
    <row r="311" spans="1:4">
      <c r="A311">
        <v>310</v>
      </c>
      <c r="B311">
        <v>0</v>
      </c>
      <c r="C311">
        <v>0</v>
      </c>
      <c r="D311">
        <v>0</v>
      </c>
    </row>
    <row r="312" spans="1:4">
      <c r="A312">
        <v>311</v>
      </c>
      <c r="B312">
        <v>0</v>
      </c>
      <c r="C312">
        <v>0</v>
      </c>
      <c r="D312">
        <v>0</v>
      </c>
    </row>
    <row r="313" spans="1:4">
      <c r="A313">
        <v>312</v>
      </c>
      <c r="B313">
        <v>0</v>
      </c>
      <c r="C313">
        <v>0</v>
      </c>
      <c r="D313">
        <v>0</v>
      </c>
    </row>
    <row r="314" spans="1:4">
      <c r="A314">
        <v>313</v>
      </c>
      <c r="B314">
        <v>0</v>
      </c>
      <c r="C314">
        <v>0</v>
      </c>
      <c r="D314">
        <v>0</v>
      </c>
    </row>
    <row r="315" spans="1:4">
      <c r="A315">
        <v>314</v>
      </c>
      <c r="B315">
        <v>0</v>
      </c>
      <c r="C315">
        <v>0</v>
      </c>
      <c r="D315">
        <v>0</v>
      </c>
    </row>
    <row r="316" spans="1:4">
      <c r="A316">
        <v>315</v>
      </c>
      <c r="B316">
        <v>0</v>
      </c>
      <c r="C316">
        <v>0</v>
      </c>
      <c r="D316">
        <v>0</v>
      </c>
    </row>
    <row r="317" spans="1:4">
      <c r="A317">
        <v>316</v>
      </c>
      <c r="B317">
        <v>0</v>
      </c>
      <c r="C317">
        <v>0</v>
      </c>
      <c r="D317">
        <v>0</v>
      </c>
    </row>
    <row r="318" spans="1:4">
      <c r="A318">
        <v>317</v>
      </c>
      <c r="B318">
        <v>0</v>
      </c>
      <c r="C318">
        <v>0</v>
      </c>
      <c r="D318">
        <v>0</v>
      </c>
    </row>
    <row r="319" spans="1:4">
      <c r="A319">
        <v>318</v>
      </c>
      <c r="B319">
        <v>0</v>
      </c>
      <c r="C319">
        <v>0</v>
      </c>
      <c r="D319">
        <v>0</v>
      </c>
    </row>
    <row r="320" spans="1:4">
      <c r="A320">
        <v>319</v>
      </c>
      <c r="B320">
        <v>0</v>
      </c>
      <c r="C320">
        <v>0</v>
      </c>
      <c r="D320">
        <v>0</v>
      </c>
    </row>
    <row r="321" spans="1:4">
      <c r="A321">
        <v>320</v>
      </c>
      <c r="B321">
        <v>0</v>
      </c>
      <c r="C321">
        <v>0</v>
      </c>
      <c r="D321">
        <v>0</v>
      </c>
    </row>
    <row r="322" spans="1:4">
      <c r="A322">
        <v>321</v>
      </c>
      <c r="B322">
        <v>0</v>
      </c>
      <c r="C322">
        <v>0</v>
      </c>
      <c r="D322">
        <v>0</v>
      </c>
    </row>
    <row r="323" spans="1:4">
      <c r="A323">
        <v>322</v>
      </c>
      <c r="B323">
        <v>0</v>
      </c>
      <c r="C323">
        <v>0</v>
      </c>
      <c r="D323">
        <v>0</v>
      </c>
    </row>
    <row r="324" spans="1:4">
      <c r="A324">
        <v>323</v>
      </c>
      <c r="B324">
        <v>0</v>
      </c>
      <c r="C324">
        <v>0</v>
      </c>
      <c r="D324">
        <v>0</v>
      </c>
    </row>
    <row r="325" spans="1:4">
      <c r="A325">
        <v>324</v>
      </c>
      <c r="B325">
        <v>1</v>
      </c>
      <c r="C325">
        <v>1</v>
      </c>
      <c r="D325">
        <v>0</v>
      </c>
    </row>
    <row r="326" spans="1:4">
      <c r="A326">
        <v>325</v>
      </c>
      <c r="B326">
        <v>1</v>
      </c>
      <c r="C326">
        <v>1</v>
      </c>
      <c r="D326">
        <v>0</v>
      </c>
    </row>
    <row r="327" spans="1:4">
      <c r="A327">
        <v>326</v>
      </c>
      <c r="B327">
        <v>0</v>
      </c>
      <c r="C327">
        <v>1</v>
      </c>
      <c r="D327">
        <v>1</v>
      </c>
    </row>
    <row r="328" spans="1:4">
      <c r="A328">
        <v>327</v>
      </c>
      <c r="B328">
        <v>0</v>
      </c>
      <c r="C328">
        <v>0</v>
      </c>
      <c r="D328">
        <v>0</v>
      </c>
    </row>
    <row r="329" spans="1:4">
      <c r="A329">
        <v>328</v>
      </c>
      <c r="B329">
        <v>1</v>
      </c>
      <c r="C329">
        <v>1</v>
      </c>
      <c r="D329">
        <v>0</v>
      </c>
    </row>
    <row r="330" spans="1:4">
      <c r="A330">
        <v>329</v>
      </c>
      <c r="B330">
        <v>1</v>
      </c>
      <c r="C330">
        <v>1</v>
      </c>
      <c r="D330">
        <v>0</v>
      </c>
    </row>
    <row r="331" spans="1:4">
      <c r="A331">
        <v>330</v>
      </c>
      <c r="B331">
        <v>0</v>
      </c>
      <c r="C331">
        <v>0</v>
      </c>
      <c r="D331">
        <v>0</v>
      </c>
    </row>
    <row r="332" spans="1:4">
      <c r="A332">
        <v>331</v>
      </c>
      <c r="B332">
        <v>0</v>
      </c>
      <c r="C332">
        <v>0</v>
      </c>
      <c r="D332">
        <v>0</v>
      </c>
    </row>
    <row r="333" spans="1:4">
      <c r="A333">
        <v>332</v>
      </c>
      <c r="B333">
        <v>0</v>
      </c>
      <c r="C333">
        <v>0</v>
      </c>
      <c r="D333">
        <v>0</v>
      </c>
    </row>
    <row r="334" spans="1:4">
      <c r="A334">
        <v>333</v>
      </c>
      <c r="B334">
        <v>1</v>
      </c>
      <c r="C334">
        <v>0</v>
      </c>
      <c r="D334">
        <v>1</v>
      </c>
    </row>
    <row r="335" spans="1:4">
      <c r="A335">
        <v>334</v>
      </c>
      <c r="B335">
        <v>0</v>
      </c>
      <c r="C335">
        <v>0</v>
      </c>
      <c r="D335">
        <v>0</v>
      </c>
    </row>
    <row r="336" spans="1:4">
      <c r="A336">
        <v>335</v>
      </c>
      <c r="B336">
        <v>0</v>
      </c>
      <c r="C336">
        <v>0</v>
      </c>
      <c r="D336">
        <v>0</v>
      </c>
    </row>
    <row r="337" spans="1:4">
      <c r="A337">
        <v>336</v>
      </c>
      <c r="B337">
        <v>0</v>
      </c>
      <c r="C337">
        <v>0</v>
      </c>
      <c r="D337">
        <v>0</v>
      </c>
    </row>
    <row r="338" spans="1:4">
      <c r="A338">
        <v>337</v>
      </c>
      <c r="B338">
        <v>0</v>
      </c>
      <c r="C338">
        <v>1</v>
      </c>
      <c r="D338">
        <v>1</v>
      </c>
    </row>
    <row r="339" spans="1:4">
      <c r="A339">
        <v>338</v>
      </c>
      <c r="B339">
        <v>0</v>
      </c>
      <c r="C339">
        <v>0</v>
      </c>
      <c r="D339">
        <v>0</v>
      </c>
    </row>
    <row r="340" spans="1:4">
      <c r="A340">
        <v>339</v>
      </c>
      <c r="B340">
        <v>0</v>
      </c>
      <c r="C340">
        <v>0</v>
      </c>
      <c r="D340">
        <v>0</v>
      </c>
    </row>
    <row r="341" spans="1:4">
      <c r="A341">
        <v>340</v>
      </c>
      <c r="B341">
        <v>0</v>
      </c>
      <c r="C341">
        <v>0</v>
      </c>
      <c r="D341">
        <v>0</v>
      </c>
    </row>
    <row r="342" spans="1:4">
      <c r="A342">
        <v>341</v>
      </c>
      <c r="B342">
        <v>0</v>
      </c>
      <c r="C342">
        <v>0</v>
      </c>
      <c r="D342">
        <v>0</v>
      </c>
    </row>
    <row r="343" spans="1:4">
      <c r="A343">
        <v>342</v>
      </c>
      <c r="B343">
        <v>0</v>
      </c>
      <c r="C343">
        <v>0</v>
      </c>
      <c r="D343">
        <v>0</v>
      </c>
    </row>
    <row r="344" spans="1:4">
      <c r="A344">
        <v>343</v>
      </c>
      <c r="B344">
        <v>0</v>
      </c>
      <c r="C344">
        <v>0</v>
      </c>
      <c r="D344">
        <v>0</v>
      </c>
    </row>
    <row r="345" spans="1:4">
      <c r="A345">
        <v>344</v>
      </c>
      <c r="B345">
        <v>0</v>
      </c>
      <c r="C345">
        <v>0</v>
      </c>
      <c r="D345">
        <v>0</v>
      </c>
    </row>
    <row r="346" spans="1:4">
      <c r="A346">
        <v>345</v>
      </c>
      <c r="B346">
        <v>0</v>
      </c>
      <c r="C346">
        <v>0</v>
      </c>
      <c r="D346">
        <v>0</v>
      </c>
    </row>
    <row r="347" spans="1:4">
      <c r="A347">
        <v>346</v>
      </c>
      <c r="B347">
        <v>0</v>
      </c>
      <c r="C347">
        <v>0</v>
      </c>
      <c r="D347">
        <v>0</v>
      </c>
    </row>
    <row r="348" spans="1:4">
      <c r="A348">
        <v>347</v>
      </c>
      <c r="B348">
        <v>0</v>
      </c>
      <c r="C348">
        <v>0</v>
      </c>
      <c r="D348">
        <v>0</v>
      </c>
    </row>
    <row r="349" spans="1:4">
      <c r="A349">
        <v>348</v>
      </c>
      <c r="B349">
        <v>0</v>
      </c>
      <c r="C349">
        <v>0</v>
      </c>
      <c r="D349">
        <v>0</v>
      </c>
    </row>
    <row r="350" spans="1:4">
      <c r="A350">
        <v>349</v>
      </c>
      <c r="B350">
        <v>0</v>
      </c>
      <c r="C350">
        <v>0</v>
      </c>
      <c r="D350">
        <v>0</v>
      </c>
    </row>
    <row r="351" spans="1:4">
      <c r="A351">
        <v>350</v>
      </c>
      <c r="B351">
        <v>0</v>
      </c>
      <c r="C351">
        <v>0</v>
      </c>
      <c r="D351">
        <v>0</v>
      </c>
    </row>
    <row r="352" spans="1:4">
      <c r="A352">
        <v>351</v>
      </c>
      <c r="B352">
        <v>0</v>
      </c>
      <c r="C352">
        <v>0</v>
      </c>
      <c r="D352">
        <v>0</v>
      </c>
    </row>
    <row r="353" spans="1:4">
      <c r="A353">
        <v>352</v>
      </c>
      <c r="B353">
        <v>0</v>
      </c>
      <c r="C353">
        <v>0</v>
      </c>
      <c r="D353">
        <v>0</v>
      </c>
    </row>
    <row r="354" spans="1:4">
      <c r="A354">
        <v>353</v>
      </c>
      <c r="B354">
        <v>0</v>
      </c>
      <c r="C354">
        <v>0</v>
      </c>
      <c r="D354">
        <v>0</v>
      </c>
    </row>
    <row r="355" spans="1:4">
      <c r="A355">
        <v>354</v>
      </c>
      <c r="B355">
        <v>0</v>
      </c>
      <c r="C355">
        <v>1</v>
      </c>
      <c r="D355">
        <v>1</v>
      </c>
    </row>
    <row r="356" spans="1:4">
      <c r="A356">
        <v>355</v>
      </c>
      <c r="B356">
        <v>0</v>
      </c>
      <c r="C356">
        <v>0</v>
      </c>
      <c r="D356">
        <v>0</v>
      </c>
    </row>
    <row r="357" spans="1:4">
      <c r="A357">
        <v>356</v>
      </c>
      <c r="B357">
        <v>0</v>
      </c>
      <c r="C357">
        <v>0</v>
      </c>
      <c r="D357">
        <v>0</v>
      </c>
    </row>
    <row r="358" spans="1:4">
      <c r="A358">
        <v>357</v>
      </c>
      <c r="B358">
        <v>0</v>
      </c>
      <c r="C358">
        <v>0</v>
      </c>
      <c r="D358">
        <v>0</v>
      </c>
    </row>
    <row r="359" spans="1:4">
      <c r="A359">
        <v>358</v>
      </c>
      <c r="B359">
        <v>0</v>
      </c>
      <c r="C359">
        <v>0</v>
      </c>
      <c r="D359">
        <v>0</v>
      </c>
    </row>
    <row r="360" spans="1:4">
      <c r="A360">
        <v>359</v>
      </c>
      <c r="B360">
        <v>0</v>
      </c>
      <c r="C360">
        <v>0</v>
      </c>
      <c r="D360">
        <v>0</v>
      </c>
    </row>
    <row r="361" spans="1:4">
      <c r="A361">
        <v>360</v>
      </c>
      <c r="B361">
        <v>0</v>
      </c>
      <c r="C361">
        <v>0</v>
      </c>
      <c r="D361">
        <v>0</v>
      </c>
    </row>
    <row r="362" spans="1:4">
      <c r="A362">
        <v>361</v>
      </c>
      <c r="B362">
        <v>0</v>
      </c>
      <c r="C362">
        <v>0</v>
      </c>
      <c r="D362">
        <v>0</v>
      </c>
    </row>
    <row r="363" spans="1:4">
      <c r="A363">
        <v>362</v>
      </c>
      <c r="B363">
        <v>0</v>
      </c>
      <c r="C363">
        <v>0</v>
      </c>
      <c r="D363">
        <v>0</v>
      </c>
    </row>
    <row r="364" spans="1:4">
      <c r="A364">
        <v>363</v>
      </c>
      <c r="B364">
        <v>0</v>
      </c>
      <c r="C364">
        <v>0</v>
      </c>
      <c r="D364">
        <v>0</v>
      </c>
    </row>
    <row r="365" spans="1:4">
      <c r="A365">
        <v>364</v>
      </c>
      <c r="B365">
        <v>0</v>
      </c>
      <c r="C365">
        <v>1</v>
      </c>
      <c r="D365">
        <v>1</v>
      </c>
    </row>
    <row r="366" spans="1:4">
      <c r="A366">
        <v>365</v>
      </c>
      <c r="B366">
        <v>0</v>
      </c>
      <c r="C366">
        <v>0</v>
      </c>
      <c r="D366">
        <v>0</v>
      </c>
    </row>
    <row r="367" spans="1:4">
      <c r="A367">
        <v>366</v>
      </c>
      <c r="B367">
        <v>0</v>
      </c>
      <c r="C367">
        <v>0</v>
      </c>
      <c r="D367">
        <v>0</v>
      </c>
    </row>
    <row r="368" spans="1:4">
      <c r="A368">
        <v>367</v>
      </c>
      <c r="B368">
        <v>0</v>
      </c>
      <c r="C368">
        <v>0</v>
      </c>
      <c r="D368">
        <v>0</v>
      </c>
    </row>
    <row r="369" spans="1:4">
      <c r="A369">
        <v>368</v>
      </c>
      <c r="B369">
        <v>0</v>
      </c>
      <c r="C369">
        <v>0</v>
      </c>
      <c r="D369">
        <v>0</v>
      </c>
    </row>
    <row r="370" spans="1:4">
      <c r="A370">
        <v>369</v>
      </c>
      <c r="B370">
        <v>0</v>
      </c>
      <c r="C370">
        <v>0</v>
      </c>
      <c r="D370">
        <v>0</v>
      </c>
    </row>
    <row r="371" spans="1:4">
      <c r="A371">
        <v>370</v>
      </c>
      <c r="B371">
        <v>0</v>
      </c>
      <c r="C371">
        <v>0</v>
      </c>
      <c r="D371">
        <v>0</v>
      </c>
    </row>
    <row r="372" spans="1:4">
      <c r="A372">
        <v>371</v>
      </c>
      <c r="B372">
        <v>0</v>
      </c>
      <c r="C372">
        <v>0</v>
      </c>
      <c r="D372">
        <v>0</v>
      </c>
    </row>
    <row r="373" spans="1:4">
      <c r="A373">
        <v>372</v>
      </c>
      <c r="B373">
        <v>1</v>
      </c>
      <c r="C373">
        <v>1</v>
      </c>
      <c r="D373">
        <v>0</v>
      </c>
    </row>
    <row r="374" spans="1:4">
      <c r="A374">
        <v>373</v>
      </c>
      <c r="B374">
        <v>0</v>
      </c>
      <c r="C374">
        <v>0</v>
      </c>
      <c r="D374">
        <v>0</v>
      </c>
    </row>
    <row r="375" spans="1:4">
      <c r="A375">
        <v>374</v>
      </c>
      <c r="B375">
        <v>0</v>
      </c>
      <c r="C375">
        <v>0</v>
      </c>
      <c r="D375">
        <v>0</v>
      </c>
    </row>
    <row r="376" spans="1:4">
      <c r="A376">
        <v>375</v>
      </c>
      <c r="B376">
        <v>0</v>
      </c>
      <c r="C376">
        <v>0</v>
      </c>
      <c r="D376">
        <v>0</v>
      </c>
    </row>
    <row r="377" spans="1:4">
      <c r="A377">
        <v>376</v>
      </c>
      <c r="B377">
        <v>0</v>
      </c>
      <c r="C377">
        <v>0</v>
      </c>
      <c r="D377">
        <v>0</v>
      </c>
    </row>
    <row r="378" spans="1:4">
      <c r="A378">
        <v>377</v>
      </c>
      <c r="B378">
        <v>0</v>
      </c>
      <c r="C378">
        <v>0</v>
      </c>
      <c r="D378">
        <v>0</v>
      </c>
    </row>
    <row r="379" spans="1:4">
      <c r="A379">
        <v>378</v>
      </c>
      <c r="B379">
        <v>0</v>
      </c>
      <c r="C379">
        <v>0</v>
      </c>
      <c r="D379">
        <v>0</v>
      </c>
    </row>
    <row r="380" spans="1:4">
      <c r="A380">
        <v>379</v>
      </c>
      <c r="B380">
        <v>0</v>
      </c>
      <c r="C380">
        <v>1</v>
      </c>
      <c r="D380">
        <v>1</v>
      </c>
    </row>
    <row r="381" spans="1:4">
      <c r="A381">
        <v>380</v>
      </c>
      <c r="B381">
        <v>0</v>
      </c>
      <c r="C381">
        <v>0</v>
      </c>
      <c r="D381">
        <v>0</v>
      </c>
    </row>
    <row r="382" spans="1:4">
      <c r="A382">
        <v>381</v>
      </c>
      <c r="B382">
        <v>0</v>
      </c>
      <c r="C382">
        <v>0</v>
      </c>
      <c r="D382">
        <v>0</v>
      </c>
    </row>
    <row r="383" spans="1:4">
      <c r="A383">
        <v>382</v>
      </c>
      <c r="B383">
        <v>0</v>
      </c>
      <c r="C383">
        <v>0</v>
      </c>
      <c r="D383">
        <v>0</v>
      </c>
    </row>
    <row r="384" spans="1:4">
      <c r="A384">
        <v>383</v>
      </c>
      <c r="B384">
        <v>1</v>
      </c>
      <c r="C384">
        <v>1</v>
      </c>
      <c r="D384">
        <v>0</v>
      </c>
    </row>
    <row r="385" spans="1:4">
      <c r="A385">
        <v>384</v>
      </c>
      <c r="B385">
        <v>0</v>
      </c>
      <c r="C385">
        <v>0</v>
      </c>
      <c r="D385">
        <v>0</v>
      </c>
    </row>
    <row r="386" spans="1:4">
      <c r="A386">
        <v>385</v>
      </c>
      <c r="B386">
        <v>0</v>
      </c>
      <c r="C386">
        <v>0</v>
      </c>
      <c r="D386">
        <v>0</v>
      </c>
    </row>
    <row r="387" spans="1:4">
      <c r="A387">
        <v>386</v>
      </c>
      <c r="B387">
        <v>0</v>
      </c>
      <c r="C387">
        <v>0</v>
      </c>
      <c r="D387">
        <v>0</v>
      </c>
    </row>
    <row r="388" spans="1:4">
      <c r="A388">
        <v>387</v>
      </c>
      <c r="B388">
        <v>0</v>
      </c>
      <c r="C388">
        <v>0</v>
      </c>
      <c r="D388">
        <v>0</v>
      </c>
    </row>
    <row r="389" spans="1:4">
      <c r="A389">
        <v>388</v>
      </c>
      <c r="B389">
        <v>0</v>
      </c>
      <c r="C389">
        <v>0</v>
      </c>
      <c r="D389">
        <v>0</v>
      </c>
    </row>
    <row r="390" spans="1:4">
      <c r="A390">
        <v>389</v>
      </c>
      <c r="B390">
        <v>0</v>
      </c>
      <c r="C390">
        <v>0</v>
      </c>
      <c r="D390">
        <v>0</v>
      </c>
    </row>
    <row r="391" spans="1:4">
      <c r="A391">
        <v>390</v>
      </c>
      <c r="B391">
        <v>0</v>
      </c>
      <c r="C391">
        <v>0</v>
      </c>
      <c r="D391">
        <v>0</v>
      </c>
    </row>
    <row r="392" spans="1:4">
      <c r="A392">
        <v>391</v>
      </c>
      <c r="B392">
        <v>0</v>
      </c>
      <c r="C392">
        <v>0</v>
      </c>
      <c r="D392">
        <v>0</v>
      </c>
    </row>
    <row r="393" spans="1:4">
      <c r="A393">
        <v>392</v>
      </c>
      <c r="B393">
        <v>0</v>
      </c>
      <c r="C393">
        <v>0</v>
      </c>
      <c r="D393">
        <v>0</v>
      </c>
    </row>
    <row r="394" spans="1:4">
      <c r="A394">
        <v>393</v>
      </c>
      <c r="B394">
        <v>0</v>
      </c>
      <c r="C394">
        <v>0</v>
      </c>
      <c r="D394">
        <v>0</v>
      </c>
    </row>
    <row r="395" spans="1:4">
      <c r="A395">
        <v>394</v>
      </c>
      <c r="B395">
        <v>0</v>
      </c>
      <c r="C395">
        <v>0</v>
      </c>
      <c r="D395">
        <v>0</v>
      </c>
    </row>
    <row r="396" spans="1:4">
      <c r="A396">
        <v>395</v>
      </c>
      <c r="B396">
        <v>0</v>
      </c>
      <c r="C396">
        <v>0</v>
      </c>
      <c r="D396">
        <v>0</v>
      </c>
    </row>
    <row r="397" spans="1:4">
      <c r="A397">
        <v>396</v>
      </c>
      <c r="B397">
        <v>0</v>
      </c>
      <c r="C397">
        <v>0</v>
      </c>
      <c r="D397">
        <v>0</v>
      </c>
    </row>
    <row r="398" spans="1:4">
      <c r="A398">
        <v>397</v>
      </c>
      <c r="B398">
        <v>0</v>
      </c>
      <c r="C398">
        <v>0</v>
      </c>
      <c r="D398">
        <v>0</v>
      </c>
    </row>
    <row r="399" spans="1:4">
      <c r="A399">
        <v>398</v>
      </c>
      <c r="B399">
        <v>0</v>
      </c>
      <c r="C399">
        <v>0</v>
      </c>
      <c r="D399">
        <v>0</v>
      </c>
    </row>
    <row r="400" spans="1:4">
      <c r="A400">
        <v>399</v>
      </c>
      <c r="B400">
        <v>0</v>
      </c>
      <c r="C400">
        <v>0</v>
      </c>
      <c r="D400">
        <v>0</v>
      </c>
    </row>
    <row r="401" spans="1:4">
      <c r="A401">
        <v>400</v>
      </c>
      <c r="B401">
        <v>0</v>
      </c>
      <c r="C401">
        <v>0</v>
      </c>
      <c r="D401">
        <v>0</v>
      </c>
    </row>
    <row r="402" spans="1:4">
      <c r="A402">
        <v>401</v>
      </c>
      <c r="B402">
        <v>0</v>
      </c>
      <c r="C402">
        <v>1</v>
      </c>
      <c r="D402">
        <v>1</v>
      </c>
    </row>
    <row r="403" spans="1:4">
      <c r="A403">
        <v>402</v>
      </c>
      <c r="B403">
        <v>0</v>
      </c>
      <c r="C403">
        <v>0</v>
      </c>
      <c r="D403">
        <v>0</v>
      </c>
    </row>
    <row r="404" spans="1:4">
      <c r="A404">
        <v>403</v>
      </c>
      <c r="B404">
        <v>0</v>
      </c>
      <c r="C404">
        <v>0</v>
      </c>
      <c r="D404">
        <v>0</v>
      </c>
    </row>
    <row r="405" spans="1:4">
      <c r="A405">
        <v>404</v>
      </c>
      <c r="B405">
        <v>0</v>
      </c>
      <c r="C405">
        <v>0</v>
      </c>
      <c r="D405">
        <v>0</v>
      </c>
    </row>
    <row r="406" spans="1:4">
      <c r="A406">
        <v>405</v>
      </c>
      <c r="B406">
        <v>0</v>
      </c>
      <c r="C406">
        <v>0</v>
      </c>
      <c r="D406">
        <v>0</v>
      </c>
    </row>
    <row r="407" spans="1:4">
      <c r="A407">
        <v>406</v>
      </c>
      <c r="B407">
        <v>0</v>
      </c>
      <c r="C407">
        <v>0</v>
      </c>
      <c r="D407">
        <v>0</v>
      </c>
    </row>
    <row r="408" spans="1:4">
      <c r="A408">
        <v>407</v>
      </c>
      <c r="B408">
        <v>0</v>
      </c>
      <c r="C408">
        <v>1</v>
      </c>
      <c r="D408">
        <v>1</v>
      </c>
    </row>
    <row r="409" spans="1:4">
      <c r="A409">
        <v>408</v>
      </c>
      <c r="B409">
        <v>0</v>
      </c>
      <c r="C409">
        <v>0</v>
      </c>
      <c r="D409">
        <v>0</v>
      </c>
    </row>
    <row r="410" spans="1:4">
      <c r="A410">
        <v>409</v>
      </c>
      <c r="B410">
        <v>1</v>
      </c>
      <c r="C410">
        <v>1</v>
      </c>
      <c r="D410">
        <v>0</v>
      </c>
    </row>
    <row r="411" spans="1:4">
      <c r="A411">
        <v>410</v>
      </c>
      <c r="B411">
        <v>0</v>
      </c>
      <c r="C411">
        <v>0</v>
      </c>
      <c r="D411">
        <v>0</v>
      </c>
    </row>
    <row r="412" spans="1:4">
      <c r="A412">
        <v>411</v>
      </c>
      <c r="B412">
        <v>0</v>
      </c>
      <c r="C412">
        <v>1</v>
      </c>
      <c r="D412">
        <v>1</v>
      </c>
    </row>
    <row r="413" spans="1:4">
      <c r="A413">
        <v>412</v>
      </c>
      <c r="B413">
        <v>0</v>
      </c>
      <c r="C413">
        <v>0</v>
      </c>
      <c r="D413">
        <v>0</v>
      </c>
    </row>
    <row r="414" spans="1:4">
      <c r="A414">
        <v>413</v>
      </c>
      <c r="B414">
        <v>1</v>
      </c>
      <c r="C414">
        <v>1</v>
      </c>
      <c r="D414">
        <v>0</v>
      </c>
    </row>
    <row r="415" spans="1:4">
      <c r="A415">
        <v>414</v>
      </c>
      <c r="B415">
        <v>0</v>
      </c>
      <c r="C415">
        <v>0</v>
      </c>
      <c r="D415">
        <v>0</v>
      </c>
    </row>
    <row r="416" spans="1:4">
      <c r="A416">
        <v>415</v>
      </c>
      <c r="B416">
        <v>0</v>
      </c>
      <c r="C416">
        <v>0</v>
      </c>
      <c r="D416">
        <v>0</v>
      </c>
    </row>
    <row r="417" spans="1:4">
      <c r="A417">
        <v>416</v>
      </c>
      <c r="B417">
        <v>0</v>
      </c>
      <c r="C417">
        <v>0</v>
      </c>
      <c r="D417">
        <v>0</v>
      </c>
    </row>
    <row r="418" spans="1:4">
      <c r="A418">
        <v>417</v>
      </c>
      <c r="B418">
        <v>0</v>
      </c>
      <c r="C418">
        <v>0</v>
      </c>
      <c r="D418">
        <v>0</v>
      </c>
    </row>
    <row r="419" spans="1:4">
      <c r="A419">
        <v>418</v>
      </c>
      <c r="B419">
        <v>0</v>
      </c>
      <c r="C419">
        <v>0</v>
      </c>
      <c r="D419">
        <v>0</v>
      </c>
    </row>
    <row r="420" spans="1:4">
      <c r="A420">
        <v>419</v>
      </c>
      <c r="B420">
        <v>0</v>
      </c>
      <c r="C420">
        <v>0</v>
      </c>
      <c r="D420">
        <v>0</v>
      </c>
    </row>
    <row r="421" spans="1:4">
      <c r="A421">
        <v>420</v>
      </c>
      <c r="B421">
        <v>0</v>
      </c>
      <c r="C421">
        <v>0</v>
      </c>
      <c r="D421">
        <v>0</v>
      </c>
    </row>
    <row r="422" spans="1:4">
      <c r="A422">
        <v>421</v>
      </c>
      <c r="B422">
        <v>0</v>
      </c>
      <c r="C422">
        <v>0</v>
      </c>
      <c r="D422">
        <v>0</v>
      </c>
    </row>
    <row r="423" spans="1:4">
      <c r="A423">
        <v>422</v>
      </c>
      <c r="B423">
        <v>0</v>
      </c>
      <c r="C423">
        <v>0</v>
      </c>
      <c r="D423">
        <v>0</v>
      </c>
    </row>
    <row r="424" spans="1:4">
      <c r="A424">
        <v>423</v>
      </c>
      <c r="B424">
        <v>0</v>
      </c>
      <c r="C424">
        <v>1</v>
      </c>
      <c r="D424">
        <v>1</v>
      </c>
    </row>
    <row r="425" spans="1:4">
      <c r="A425">
        <v>424</v>
      </c>
      <c r="B425">
        <v>0</v>
      </c>
      <c r="C425">
        <v>0</v>
      </c>
      <c r="D425">
        <v>0</v>
      </c>
    </row>
    <row r="426" spans="1:4">
      <c r="A426">
        <v>425</v>
      </c>
      <c r="B426">
        <v>0</v>
      </c>
      <c r="C426">
        <v>0</v>
      </c>
      <c r="D426">
        <v>0</v>
      </c>
    </row>
    <row r="427" spans="1:4">
      <c r="A427">
        <v>426</v>
      </c>
      <c r="B427">
        <v>0</v>
      </c>
      <c r="C427">
        <v>0</v>
      </c>
      <c r="D427">
        <v>0</v>
      </c>
    </row>
    <row r="428" spans="1:4">
      <c r="A428">
        <v>427</v>
      </c>
      <c r="B428">
        <v>1</v>
      </c>
      <c r="C428">
        <v>1</v>
      </c>
      <c r="D428">
        <v>0</v>
      </c>
    </row>
    <row r="429" spans="1:4">
      <c r="A429">
        <v>428</v>
      </c>
      <c r="B429">
        <v>0</v>
      </c>
      <c r="C429">
        <v>0</v>
      </c>
      <c r="D429">
        <v>0</v>
      </c>
    </row>
    <row r="430" spans="1:4">
      <c r="A430">
        <v>429</v>
      </c>
      <c r="B430">
        <v>0</v>
      </c>
      <c r="C430">
        <v>0</v>
      </c>
      <c r="D430">
        <v>0</v>
      </c>
    </row>
    <row r="431" spans="1:4">
      <c r="A431">
        <v>430</v>
      </c>
      <c r="B431">
        <v>0</v>
      </c>
      <c r="C431">
        <v>0</v>
      </c>
      <c r="D431">
        <v>0</v>
      </c>
    </row>
    <row r="432" spans="1:4">
      <c r="A432">
        <v>431</v>
      </c>
      <c r="B432">
        <v>1</v>
      </c>
      <c r="C432">
        <v>1</v>
      </c>
      <c r="D432">
        <v>0</v>
      </c>
    </row>
    <row r="433" spans="1:4">
      <c r="A433">
        <v>432</v>
      </c>
      <c r="B433">
        <v>0</v>
      </c>
      <c r="C433">
        <v>0</v>
      </c>
      <c r="D433">
        <v>0</v>
      </c>
    </row>
    <row r="434" spans="1:4">
      <c r="A434">
        <v>433</v>
      </c>
      <c r="B434">
        <v>0</v>
      </c>
      <c r="C434">
        <v>0</v>
      </c>
      <c r="D434">
        <v>0</v>
      </c>
    </row>
    <row r="435" spans="1:4">
      <c r="A435">
        <v>434</v>
      </c>
      <c r="B435">
        <v>0</v>
      </c>
      <c r="C435">
        <v>0</v>
      </c>
      <c r="D435">
        <v>0</v>
      </c>
    </row>
    <row r="436" spans="1:4">
      <c r="A436">
        <v>435</v>
      </c>
      <c r="B436">
        <v>0</v>
      </c>
      <c r="C436">
        <v>0</v>
      </c>
      <c r="D436">
        <v>0</v>
      </c>
    </row>
    <row r="437" spans="1:4">
      <c r="A437">
        <v>436</v>
      </c>
      <c r="B437">
        <v>0</v>
      </c>
      <c r="C437">
        <v>0</v>
      </c>
      <c r="D437">
        <v>0</v>
      </c>
    </row>
    <row r="438" spans="1:4">
      <c r="A438">
        <v>437</v>
      </c>
      <c r="B438">
        <v>0</v>
      </c>
      <c r="C438">
        <v>0</v>
      </c>
      <c r="D438">
        <v>0</v>
      </c>
    </row>
    <row r="439" spans="1:4">
      <c r="A439">
        <v>438</v>
      </c>
      <c r="B439">
        <v>0</v>
      </c>
      <c r="C439">
        <v>0</v>
      </c>
      <c r="D439">
        <v>0</v>
      </c>
    </row>
    <row r="440" spans="1:4">
      <c r="A440">
        <v>439</v>
      </c>
      <c r="B440">
        <v>0</v>
      </c>
      <c r="C440">
        <v>1</v>
      </c>
      <c r="D440">
        <v>1</v>
      </c>
    </row>
    <row r="441" spans="1:4">
      <c r="A441">
        <v>440</v>
      </c>
      <c r="B441">
        <v>0</v>
      </c>
      <c r="C441">
        <v>0</v>
      </c>
      <c r="D441">
        <v>0</v>
      </c>
    </row>
    <row r="442" spans="1:4">
      <c r="A442">
        <v>441</v>
      </c>
      <c r="B442">
        <v>0</v>
      </c>
      <c r="C442">
        <v>0</v>
      </c>
      <c r="D442">
        <v>0</v>
      </c>
    </row>
    <row r="443" spans="1:4">
      <c r="A443">
        <v>442</v>
      </c>
      <c r="B443">
        <v>0</v>
      </c>
      <c r="C443">
        <v>0</v>
      </c>
      <c r="D443">
        <v>0</v>
      </c>
    </row>
    <row r="444" spans="1:4">
      <c r="A444">
        <v>443</v>
      </c>
      <c r="B444">
        <v>0</v>
      </c>
      <c r="C444">
        <v>0</v>
      </c>
      <c r="D444">
        <v>0</v>
      </c>
    </row>
    <row r="445" spans="1:4">
      <c r="A445">
        <v>444</v>
      </c>
      <c r="B445">
        <v>0</v>
      </c>
      <c r="C445">
        <v>0</v>
      </c>
      <c r="D445">
        <v>0</v>
      </c>
    </row>
    <row r="446" spans="1:4">
      <c r="A446">
        <v>445</v>
      </c>
      <c r="B446">
        <v>0</v>
      </c>
      <c r="C446">
        <v>0</v>
      </c>
      <c r="D446">
        <v>0</v>
      </c>
    </row>
    <row r="447" spans="1:4">
      <c r="A447">
        <v>446</v>
      </c>
      <c r="B447">
        <v>0</v>
      </c>
      <c r="C447">
        <v>0</v>
      </c>
      <c r="D447">
        <v>0</v>
      </c>
    </row>
    <row r="448" spans="1:4">
      <c r="A448">
        <v>447</v>
      </c>
      <c r="B448">
        <v>0</v>
      </c>
      <c r="C448">
        <v>0</v>
      </c>
      <c r="D448">
        <v>0</v>
      </c>
    </row>
    <row r="449" spans="1:4">
      <c r="A449">
        <v>448</v>
      </c>
      <c r="B449">
        <v>1</v>
      </c>
      <c r="C449">
        <v>1</v>
      </c>
      <c r="D449">
        <v>0</v>
      </c>
    </row>
    <row r="450" spans="1:4">
      <c r="A450">
        <v>449</v>
      </c>
      <c r="B450">
        <v>0</v>
      </c>
      <c r="C450">
        <v>0</v>
      </c>
      <c r="D450">
        <v>0</v>
      </c>
    </row>
    <row r="451" spans="1:4">
      <c r="A451">
        <v>450</v>
      </c>
      <c r="B451">
        <v>0</v>
      </c>
      <c r="C451">
        <v>0</v>
      </c>
      <c r="D451">
        <v>0</v>
      </c>
    </row>
    <row r="452" spans="1:4">
      <c r="A452">
        <v>451</v>
      </c>
      <c r="B452">
        <v>0</v>
      </c>
      <c r="C452">
        <v>0</v>
      </c>
      <c r="D452">
        <v>0</v>
      </c>
    </row>
    <row r="453" spans="1:4">
      <c r="A453">
        <v>452</v>
      </c>
      <c r="B453">
        <v>0</v>
      </c>
      <c r="C453">
        <v>0</v>
      </c>
      <c r="D453">
        <v>0</v>
      </c>
    </row>
    <row r="454" spans="1:4">
      <c r="A454">
        <v>453</v>
      </c>
      <c r="B454">
        <v>0</v>
      </c>
      <c r="C454">
        <v>0</v>
      </c>
      <c r="D454">
        <v>0</v>
      </c>
    </row>
    <row r="455" spans="1:4">
      <c r="A455">
        <v>454</v>
      </c>
      <c r="B455">
        <v>0</v>
      </c>
      <c r="C455">
        <v>0</v>
      </c>
      <c r="D455">
        <v>0</v>
      </c>
    </row>
    <row r="456" spans="1:4">
      <c r="A456">
        <v>455</v>
      </c>
      <c r="B456">
        <v>0</v>
      </c>
      <c r="C456">
        <v>0</v>
      </c>
      <c r="D456">
        <v>0</v>
      </c>
    </row>
    <row r="457" spans="1:4">
      <c r="A457">
        <v>456</v>
      </c>
      <c r="B457">
        <v>0</v>
      </c>
      <c r="C457">
        <v>0</v>
      </c>
      <c r="D457">
        <v>0</v>
      </c>
    </row>
    <row r="458" spans="1:4">
      <c r="A458">
        <v>457</v>
      </c>
      <c r="B458">
        <v>0</v>
      </c>
      <c r="C458">
        <v>0</v>
      </c>
      <c r="D458">
        <v>0</v>
      </c>
    </row>
    <row r="459" spans="1:4">
      <c r="A459">
        <v>458</v>
      </c>
      <c r="B459">
        <v>0</v>
      </c>
      <c r="C459">
        <v>0</v>
      </c>
      <c r="D459">
        <v>0</v>
      </c>
    </row>
    <row r="460" spans="1:4">
      <c r="A460">
        <v>459</v>
      </c>
      <c r="B460">
        <v>0</v>
      </c>
      <c r="C460">
        <v>0</v>
      </c>
      <c r="D460">
        <v>0</v>
      </c>
    </row>
    <row r="461" spans="1:4">
      <c r="A461">
        <v>460</v>
      </c>
      <c r="B461">
        <v>0</v>
      </c>
      <c r="C461">
        <v>0</v>
      </c>
      <c r="D461">
        <v>0</v>
      </c>
    </row>
    <row r="462" spans="1:4">
      <c r="A462">
        <v>461</v>
      </c>
      <c r="B462">
        <v>0</v>
      </c>
      <c r="C462">
        <v>0</v>
      </c>
      <c r="D462">
        <v>0</v>
      </c>
    </row>
    <row r="463" spans="1:4">
      <c r="A463">
        <v>462</v>
      </c>
      <c r="B463">
        <v>0</v>
      </c>
      <c r="C463">
        <v>0</v>
      </c>
      <c r="D463">
        <v>0</v>
      </c>
    </row>
    <row r="464" spans="1:4">
      <c r="A464">
        <v>463</v>
      </c>
      <c r="B464">
        <v>0</v>
      </c>
      <c r="C464">
        <v>0</v>
      </c>
      <c r="D464">
        <v>0</v>
      </c>
    </row>
    <row r="465" spans="1:4">
      <c r="A465">
        <v>464</v>
      </c>
      <c r="B465">
        <v>0</v>
      </c>
      <c r="C465">
        <v>0</v>
      </c>
      <c r="D465">
        <v>0</v>
      </c>
    </row>
    <row r="466" spans="1:4">
      <c r="A466">
        <v>465</v>
      </c>
      <c r="B466">
        <v>0</v>
      </c>
      <c r="C466">
        <v>0</v>
      </c>
      <c r="D466">
        <v>0</v>
      </c>
    </row>
    <row r="467" spans="1:4">
      <c r="A467">
        <v>466</v>
      </c>
      <c r="B467">
        <v>0</v>
      </c>
      <c r="C467">
        <v>0</v>
      </c>
      <c r="D467">
        <v>0</v>
      </c>
    </row>
    <row r="468" spans="1:4">
      <c r="A468">
        <v>467</v>
      </c>
      <c r="B468">
        <v>1</v>
      </c>
      <c r="C468">
        <v>0</v>
      </c>
      <c r="D468">
        <v>1</v>
      </c>
    </row>
    <row r="469" spans="1:4">
      <c r="A469">
        <v>468</v>
      </c>
      <c r="B469">
        <v>0</v>
      </c>
      <c r="C469">
        <v>0</v>
      </c>
      <c r="D469">
        <v>0</v>
      </c>
    </row>
    <row r="470" spans="1:4">
      <c r="A470">
        <v>469</v>
      </c>
      <c r="B470">
        <v>0</v>
      </c>
      <c r="C470">
        <v>0</v>
      </c>
      <c r="D470">
        <v>0</v>
      </c>
    </row>
    <row r="471" spans="1:4">
      <c r="A471">
        <v>470</v>
      </c>
      <c r="B471">
        <v>0</v>
      </c>
      <c r="C471">
        <v>0</v>
      </c>
      <c r="D471">
        <v>0</v>
      </c>
    </row>
    <row r="472" spans="1:4">
      <c r="A472">
        <v>471</v>
      </c>
      <c r="B472">
        <v>0</v>
      </c>
      <c r="C472">
        <v>0</v>
      </c>
      <c r="D472">
        <v>0</v>
      </c>
    </row>
    <row r="473" spans="1:4">
      <c r="A473">
        <v>472</v>
      </c>
      <c r="B473">
        <v>0</v>
      </c>
      <c r="C473">
        <v>0</v>
      </c>
      <c r="D473">
        <v>0</v>
      </c>
    </row>
    <row r="474" spans="1:4">
      <c r="A474">
        <v>473</v>
      </c>
      <c r="B474">
        <v>0</v>
      </c>
      <c r="C474">
        <v>0</v>
      </c>
      <c r="D474">
        <v>0</v>
      </c>
    </row>
    <row r="475" spans="1:4">
      <c r="A475">
        <v>474</v>
      </c>
      <c r="B475">
        <v>0</v>
      </c>
      <c r="C475">
        <v>0</v>
      </c>
      <c r="D475">
        <v>0</v>
      </c>
    </row>
    <row r="476" spans="1:4">
      <c r="A476">
        <v>475</v>
      </c>
      <c r="B476">
        <v>0</v>
      </c>
      <c r="C476">
        <v>0</v>
      </c>
      <c r="D476">
        <v>0</v>
      </c>
    </row>
    <row r="477" spans="1:4">
      <c r="A477">
        <v>476</v>
      </c>
      <c r="B477">
        <v>1</v>
      </c>
      <c r="C477">
        <v>1</v>
      </c>
      <c r="D477">
        <v>0</v>
      </c>
    </row>
    <row r="478" spans="1:4">
      <c r="A478">
        <v>477</v>
      </c>
      <c r="B478">
        <v>0</v>
      </c>
      <c r="C478">
        <v>0</v>
      </c>
      <c r="D478">
        <v>0</v>
      </c>
    </row>
    <row r="479" spans="1:4">
      <c r="A479">
        <v>478</v>
      </c>
      <c r="B479">
        <v>0</v>
      </c>
      <c r="C479">
        <v>0</v>
      </c>
      <c r="D479">
        <v>0</v>
      </c>
    </row>
    <row r="480" spans="1:4">
      <c r="A480">
        <v>479</v>
      </c>
      <c r="B480">
        <v>0</v>
      </c>
      <c r="C480">
        <v>0</v>
      </c>
      <c r="D480">
        <v>0</v>
      </c>
    </row>
    <row r="481" spans="1:4">
      <c r="A481">
        <v>480</v>
      </c>
      <c r="B481">
        <v>0</v>
      </c>
      <c r="C481">
        <v>0</v>
      </c>
      <c r="D481">
        <v>0</v>
      </c>
    </row>
    <row r="482" spans="1:4">
      <c r="A482">
        <v>481</v>
      </c>
      <c r="B482">
        <v>0</v>
      </c>
      <c r="C482">
        <v>0</v>
      </c>
      <c r="D482">
        <v>0</v>
      </c>
    </row>
    <row r="483" spans="1:4">
      <c r="A483">
        <v>482</v>
      </c>
      <c r="B483">
        <v>0</v>
      </c>
      <c r="C483">
        <v>0</v>
      </c>
      <c r="D483">
        <v>0</v>
      </c>
    </row>
    <row r="484" spans="1:4">
      <c r="A484">
        <v>483</v>
      </c>
      <c r="B484">
        <v>0</v>
      </c>
      <c r="C484">
        <v>0</v>
      </c>
      <c r="D484">
        <v>0</v>
      </c>
    </row>
    <row r="485" spans="1:4">
      <c r="A485">
        <v>484</v>
      </c>
      <c r="B485">
        <v>0</v>
      </c>
      <c r="C485">
        <v>0</v>
      </c>
      <c r="D485">
        <v>0</v>
      </c>
    </row>
    <row r="486" spans="1:4">
      <c r="A486">
        <v>485</v>
      </c>
      <c r="B486">
        <v>0</v>
      </c>
      <c r="C486">
        <v>0</v>
      </c>
      <c r="D486">
        <v>0</v>
      </c>
    </row>
    <row r="487" spans="1:4">
      <c r="A487">
        <v>486</v>
      </c>
      <c r="B487">
        <v>0</v>
      </c>
      <c r="C487">
        <v>0</v>
      </c>
      <c r="D487">
        <v>0</v>
      </c>
    </row>
    <row r="488" spans="1:4">
      <c r="A488">
        <v>487</v>
      </c>
      <c r="B488">
        <v>1</v>
      </c>
      <c r="C488">
        <v>1</v>
      </c>
      <c r="D488">
        <v>0</v>
      </c>
    </row>
    <row r="489" spans="1:4">
      <c r="A489">
        <v>488</v>
      </c>
      <c r="B489">
        <v>0</v>
      </c>
      <c r="C489">
        <v>0</v>
      </c>
      <c r="D489">
        <v>0</v>
      </c>
    </row>
    <row r="490" spans="1:4">
      <c r="A490">
        <v>489</v>
      </c>
      <c r="B490">
        <v>1</v>
      </c>
      <c r="C490">
        <v>1</v>
      </c>
      <c r="D490">
        <v>0</v>
      </c>
    </row>
    <row r="491" spans="1:4">
      <c r="A491">
        <v>490</v>
      </c>
      <c r="B491">
        <v>0</v>
      </c>
      <c r="C491">
        <v>0</v>
      </c>
      <c r="D491">
        <v>0</v>
      </c>
    </row>
    <row r="492" spans="1:4">
      <c r="A492">
        <v>491</v>
      </c>
      <c r="B492">
        <v>0</v>
      </c>
      <c r="C492">
        <v>0</v>
      </c>
      <c r="D492">
        <v>0</v>
      </c>
    </row>
    <row r="493" spans="1:4">
      <c r="A493">
        <v>492</v>
      </c>
      <c r="B493">
        <v>0</v>
      </c>
      <c r="C493">
        <v>0</v>
      </c>
      <c r="D493">
        <v>0</v>
      </c>
    </row>
    <row r="494" spans="1:4">
      <c r="A494">
        <v>493</v>
      </c>
      <c r="B494">
        <v>0</v>
      </c>
      <c r="C494">
        <v>0</v>
      </c>
      <c r="D494">
        <v>0</v>
      </c>
    </row>
    <row r="495" spans="1:4">
      <c r="A495">
        <v>494</v>
      </c>
      <c r="B495">
        <v>0</v>
      </c>
      <c r="C495">
        <v>0</v>
      </c>
      <c r="D495">
        <v>0</v>
      </c>
    </row>
    <row r="496" spans="1:4">
      <c r="A496">
        <v>495</v>
      </c>
      <c r="B496">
        <v>0</v>
      </c>
      <c r="C496">
        <v>0</v>
      </c>
      <c r="D496">
        <v>0</v>
      </c>
    </row>
    <row r="497" spans="1:4">
      <c r="A497">
        <v>496</v>
      </c>
      <c r="B497">
        <v>0</v>
      </c>
      <c r="C497">
        <v>0</v>
      </c>
      <c r="D497">
        <v>0</v>
      </c>
    </row>
    <row r="498" spans="1:4">
      <c r="A498">
        <v>497</v>
      </c>
      <c r="B498">
        <v>0</v>
      </c>
      <c r="C498">
        <v>0</v>
      </c>
      <c r="D498">
        <v>0</v>
      </c>
    </row>
    <row r="499" spans="1:4">
      <c r="A499">
        <v>498</v>
      </c>
      <c r="B499">
        <v>0</v>
      </c>
      <c r="C499">
        <v>0</v>
      </c>
      <c r="D499">
        <v>0</v>
      </c>
    </row>
    <row r="500" spans="1:4">
      <c r="A500">
        <v>499</v>
      </c>
      <c r="B500">
        <v>0</v>
      </c>
      <c r="C500">
        <v>0</v>
      </c>
      <c r="D500">
        <v>0</v>
      </c>
    </row>
    <row r="501" spans="1:4">
      <c r="A501">
        <v>500</v>
      </c>
      <c r="B501">
        <v>0</v>
      </c>
      <c r="C501">
        <v>0</v>
      </c>
      <c r="D501">
        <v>0</v>
      </c>
    </row>
    <row r="502" spans="1:4">
      <c r="A502">
        <v>501</v>
      </c>
      <c r="B502">
        <v>0</v>
      </c>
      <c r="C502">
        <v>0</v>
      </c>
      <c r="D502">
        <v>0</v>
      </c>
    </row>
    <row r="503" spans="1:4">
      <c r="A503">
        <v>502</v>
      </c>
      <c r="B503">
        <v>0</v>
      </c>
      <c r="C503">
        <v>0</v>
      </c>
      <c r="D503">
        <v>0</v>
      </c>
    </row>
    <row r="504" spans="1:4">
      <c r="A504">
        <v>503</v>
      </c>
      <c r="B504">
        <v>1</v>
      </c>
      <c r="C504">
        <v>1</v>
      </c>
      <c r="D504">
        <v>0</v>
      </c>
    </row>
    <row r="505" spans="1:4">
      <c r="A505">
        <v>504</v>
      </c>
      <c r="B505">
        <v>0</v>
      </c>
      <c r="C505">
        <v>0</v>
      </c>
      <c r="D505">
        <v>0</v>
      </c>
    </row>
    <row r="506" spans="1:4">
      <c r="A506">
        <v>505</v>
      </c>
      <c r="B506">
        <v>0</v>
      </c>
      <c r="C506">
        <v>0</v>
      </c>
      <c r="D506">
        <v>0</v>
      </c>
    </row>
    <row r="507" spans="1:4">
      <c r="A507">
        <v>506</v>
      </c>
      <c r="B507">
        <v>0</v>
      </c>
      <c r="C507">
        <v>0</v>
      </c>
      <c r="D507">
        <v>0</v>
      </c>
    </row>
    <row r="508" spans="1:4">
      <c r="A508">
        <v>507</v>
      </c>
      <c r="B508">
        <v>0</v>
      </c>
      <c r="C508">
        <v>1</v>
      </c>
      <c r="D508">
        <v>1</v>
      </c>
    </row>
    <row r="509" spans="1:4">
      <c r="A509">
        <v>508</v>
      </c>
      <c r="B509">
        <v>0</v>
      </c>
      <c r="C509">
        <v>0</v>
      </c>
      <c r="D509">
        <v>0</v>
      </c>
    </row>
    <row r="510" spans="1:4">
      <c r="A510">
        <v>509</v>
      </c>
      <c r="B510">
        <v>0</v>
      </c>
      <c r="C510">
        <v>0</v>
      </c>
      <c r="D510">
        <v>0</v>
      </c>
    </row>
    <row r="511" spans="1:4">
      <c r="A511">
        <v>510</v>
      </c>
      <c r="B511">
        <v>0</v>
      </c>
      <c r="C511">
        <v>0</v>
      </c>
      <c r="D511">
        <v>0</v>
      </c>
    </row>
    <row r="512" spans="1:4">
      <c r="A512">
        <v>511</v>
      </c>
      <c r="B512">
        <v>0</v>
      </c>
      <c r="C512">
        <v>0</v>
      </c>
      <c r="D512">
        <v>0</v>
      </c>
    </row>
    <row r="513" spans="1:4">
      <c r="A513">
        <v>512</v>
      </c>
      <c r="B513">
        <v>0</v>
      </c>
      <c r="C513">
        <v>0</v>
      </c>
      <c r="D513">
        <v>0</v>
      </c>
    </row>
    <row r="514" spans="1:4">
      <c r="A514">
        <v>513</v>
      </c>
      <c r="B514">
        <v>0</v>
      </c>
      <c r="C514">
        <v>0</v>
      </c>
      <c r="D514">
        <v>0</v>
      </c>
    </row>
    <row r="515" spans="1:4">
      <c r="A515">
        <v>514</v>
      </c>
      <c r="B515">
        <v>0</v>
      </c>
      <c r="C515">
        <v>0</v>
      </c>
      <c r="D515">
        <v>0</v>
      </c>
    </row>
    <row r="516" spans="1:4">
      <c r="A516">
        <v>515</v>
      </c>
      <c r="B516">
        <v>0</v>
      </c>
      <c r="C516">
        <v>0</v>
      </c>
      <c r="D516">
        <v>0</v>
      </c>
    </row>
    <row r="517" spans="1:4">
      <c r="A517">
        <v>516</v>
      </c>
      <c r="B517">
        <v>1</v>
      </c>
      <c r="C517">
        <v>1</v>
      </c>
      <c r="D517">
        <v>0</v>
      </c>
    </row>
    <row r="518" spans="1:4">
      <c r="A518">
        <v>517</v>
      </c>
      <c r="B518">
        <v>0</v>
      </c>
      <c r="C518">
        <v>0</v>
      </c>
      <c r="D518">
        <v>0</v>
      </c>
    </row>
    <row r="519" spans="1:4">
      <c r="A519">
        <v>518</v>
      </c>
      <c r="B519">
        <v>0</v>
      </c>
      <c r="C519">
        <v>0</v>
      </c>
      <c r="D519">
        <v>0</v>
      </c>
    </row>
    <row r="520" spans="1:4">
      <c r="A520">
        <v>519</v>
      </c>
      <c r="B520">
        <v>0</v>
      </c>
      <c r="C520">
        <v>0</v>
      </c>
      <c r="D520">
        <v>0</v>
      </c>
    </row>
    <row r="521" spans="1:4">
      <c r="A521">
        <v>520</v>
      </c>
      <c r="B521">
        <v>0</v>
      </c>
      <c r="C521">
        <v>0</v>
      </c>
      <c r="D521">
        <v>0</v>
      </c>
    </row>
    <row r="522" spans="1:4">
      <c r="A522">
        <v>521</v>
      </c>
      <c r="B522">
        <v>0</v>
      </c>
      <c r="C522">
        <v>0</v>
      </c>
      <c r="D522">
        <v>0</v>
      </c>
    </row>
    <row r="523" spans="1:4">
      <c r="A523">
        <v>522</v>
      </c>
      <c r="B523">
        <v>0</v>
      </c>
      <c r="C523">
        <v>0</v>
      </c>
      <c r="D523">
        <v>0</v>
      </c>
    </row>
    <row r="524" spans="1:4">
      <c r="A524">
        <v>523</v>
      </c>
      <c r="B524">
        <v>0</v>
      </c>
      <c r="C524">
        <v>0</v>
      </c>
      <c r="D524">
        <v>0</v>
      </c>
    </row>
    <row r="525" spans="1:4">
      <c r="A525">
        <v>524</v>
      </c>
      <c r="B525">
        <v>0</v>
      </c>
      <c r="C525">
        <v>0</v>
      </c>
      <c r="D525">
        <v>0</v>
      </c>
    </row>
    <row r="526" spans="1:4">
      <c r="A526">
        <v>525</v>
      </c>
      <c r="B526">
        <v>0</v>
      </c>
      <c r="C526">
        <v>0</v>
      </c>
      <c r="D526">
        <v>0</v>
      </c>
    </row>
    <row r="527" spans="1:4">
      <c r="A527">
        <v>526</v>
      </c>
      <c r="B527">
        <v>0</v>
      </c>
      <c r="C527">
        <v>0</v>
      </c>
      <c r="D527">
        <v>0</v>
      </c>
    </row>
    <row r="528" spans="1:4">
      <c r="A528">
        <v>527</v>
      </c>
      <c r="B528">
        <v>0</v>
      </c>
      <c r="C528">
        <v>0</v>
      </c>
      <c r="D528">
        <v>0</v>
      </c>
    </row>
    <row r="529" spans="1:4">
      <c r="A529">
        <v>528</v>
      </c>
      <c r="B529">
        <v>0</v>
      </c>
      <c r="C529">
        <v>0</v>
      </c>
      <c r="D529">
        <v>0</v>
      </c>
    </row>
    <row r="530" spans="1:4">
      <c r="A530">
        <v>529</v>
      </c>
      <c r="B530">
        <v>0</v>
      </c>
      <c r="C530">
        <v>0</v>
      </c>
      <c r="D530">
        <v>0</v>
      </c>
    </row>
    <row r="531" spans="1:4">
      <c r="A531">
        <v>530</v>
      </c>
      <c r="B531">
        <v>0</v>
      </c>
      <c r="C531">
        <v>0</v>
      </c>
      <c r="D531">
        <v>0</v>
      </c>
    </row>
    <row r="532" spans="1:4">
      <c r="A532">
        <v>531</v>
      </c>
      <c r="B532">
        <v>0</v>
      </c>
      <c r="C532">
        <v>0</v>
      </c>
      <c r="D532">
        <v>0</v>
      </c>
    </row>
    <row r="533" spans="1:4">
      <c r="A533">
        <v>532</v>
      </c>
      <c r="B533">
        <v>0</v>
      </c>
      <c r="C533">
        <v>0</v>
      </c>
      <c r="D533">
        <v>0</v>
      </c>
    </row>
    <row r="534" spans="1:4">
      <c r="A534">
        <v>533</v>
      </c>
      <c r="B534">
        <v>0</v>
      </c>
      <c r="C534">
        <v>0</v>
      </c>
      <c r="D534">
        <v>0</v>
      </c>
    </row>
    <row r="535" spans="1:4">
      <c r="A535">
        <v>534</v>
      </c>
      <c r="B535">
        <v>1</v>
      </c>
      <c r="C535">
        <v>1</v>
      </c>
      <c r="D535">
        <v>0</v>
      </c>
    </row>
    <row r="536" spans="1:4">
      <c r="A536">
        <v>535</v>
      </c>
      <c r="B536">
        <v>0</v>
      </c>
      <c r="C536">
        <v>0</v>
      </c>
      <c r="D536">
        <v>0</v>
      </c>
    </row>
    <row r="537" spans="1:4">
      <c r="A537">
        <v>536</v>
      </c>
      <c r="B537">
        <v>0</v>
      </c>
      <c r="C537">
        <v>0</v>
      </c>
      <c r="D537">
        <v>0</v>
      </c>
    </row>
    <row r="538" spans="1:4">
      <c r="A538">
        <v>537</v>
      </c>
      <c r="B538">
        <v>0</v>
      </c>
      <c r="C538">
        <v>0</v>
      </c>
      <c r="D538">
        <v>0</v>
      </c>
    </row>
    <row r="539" spans="1:4">
      <c r="A539">
        <v>538</v>
      </c>
      <c r="B539">
        <v>0</v>
      </c>
      <c r="C539">
        <v>0</v>
      </c>
      <c r="D539">
        <v>0</v>
      </c>
    </row>
    <row r="540" spans="1:4">
      <c r="A540">
        <v>539</v>
      </c>
      <c r="B540">
        <v>0</v>
      </c>
      <c r="C540">
        <v>0</v>
      </c>
      <c r="D540">
        <v>0</v>
      </c>
    </row>
    <row r="541" spans="1:4">
      <c r="A541">
        <v>540</v>
      </c>
      <c r="B541">
        <v>0</v>
      </c>
      <c r="C541">
        <v>0</v>
      </c>
      <c r="D541">
        <v>0</v>
      </c>
    </row>
    <row r="542" spans="1:4">
      <c r="A542">
        <v>541</v>
      </c>
      <c r="B542">
        <v>0</v>
      </c>
      <c r="C542">
        <v>0</v>
      </c>
      <c r="D542">
        <v>0</v>
      </c>
    </row>
    <row r="543" spans="1:4">
      <c r="A543">
        <v>542</v>
      </c>
      <c r="B543">
        <v>0</v>
      </c>
      <c r="C543">
        <v>0</v>
      </c>
      <c r="D543">
        <v>0</v>
      </c>
    </row>
    <row r="544" spans="1:4">
      <c r="A544">
        <v>543</v>
      </c>
      <c r="B544">
        <v>0</v>
      </c>
      <c r="C544">
        <v>0</v>
      </c>
      <c r="D544">
        <v>0</v>
      </c>
    </row>
    <row r="545" spans="1:4">
      <c r="A545">
        <v>544</v>
      </c>
      <c r="B545">
        <v>0</v>
      </c>
      <c r="C545">
        <v>0</v>
      </c>
      <c r="D545">
        <v>0</v>
      </c>
    </row>
    <row r="546" spans="1:4">
      <c r="A546">
        <v>545</v>
      </c>
      <c r="B546">
        <v>0</v>
      </c>
      <c r="C546">
        <v>0</v>
      </c>
      <c r="D546">
        <v>0</v>
      </c>
    </row>
    <row r="547" spans="1:4">
      <c r="A547">
        <v>546</v>
      </c>
      <c r="B547">
        <v>0</v>
      </c>
      <c r="C547">
        <v>0</v>
      </c>
      <c r="D547">
        <v>0</v>
      </c>
    </row>
    <row r="548" spans="1:4">
      <c r="A548">
        <v>547</v>
      </c>
      <c r="B548">
        <v>1</v>
      </c>
      <c r="C548">
        <v>1</v>
      </c>
      <c r="D548">
        <v>0</v>
      </c>
    </row>
    <row r="549" spans="1:4">
      <c r="A549">
        <v>548</v>
      </c>
      <c r="B549">
        <v>0</v>
      </c>
      <c r="C549">
        <v>0</v>
      </c>
      <c r="D549">
        <v>0</v>
      </c>
    </row>
    <row r="550" spans="1:4">
      <c r="A550">
        <v>549</v>
      </c>
      <c r="B550">
        <v>0</v>
      </c>
      <c r="C550">
        <v>1</v>
      </c>
      <c r="D550">
        <v>1</v>
      </c>
    </row>
    <row r="551" spans="1:4">
      <c r="A551">
        <v>550</v>
      </c>
      <c r="B551">
        <v>0</v>
      </c>
      <c r="C551">
        <v>0</v>
      </c>
      <c r="D551">
        <v>0</v>
      </c>
    </row>
    <row r="552" spans="1:4">
      <c r="A552">
        <v>551</v>
      </c>
      <c r="B552">
        <v>1</v>
      </c>
      <c r="C552">
        <v>1</v>
      </c>
      <c r="D552">
        <v>0</v>
      </c>
    </row>
    <row r="553" spans="1:4">
      <c r="A553">
        <v>552</v>
      </c>
      <c r="B553">
        <v>0</v>
      </c>
      <c r="C553">
        <v>0</v>
      </c>
      <c r="D553">
        <v>0</v>
      </c>
    </row>
    <row r="554" spans="1:4">
      <c r="A554">
        <v>553</v>
      </c>
      <c r="B554">
        <v>0</v>
      </c>
      <c r="C554">
        <v>0</v>
      </c>
      <c r="D554">
        <v>0</v>
      </c>
    </row>
    <row r="555" spans="1:4">
      <c r="A555">
        <v>554</v>
      </c>
      <c r="B555">
        <v>0</v>
      </c>
      <c r="C555">
        <v>0</v>
      </c>
      <c r="D555">
        <v>0</v>
      </c>
    </row>
    <row r="556" spans="1:4">
      <c r="A556">
        <v>555</v>
      </c>
      <c r="B556">
        <v>0</v>
      </c>
      <c r="C556">
        <v>0</v>
      </c>
      <c r="D556">
        <v>0</v>
      </c>
    </row>
    <row r="557" spans="1:4">
      <c r="A557">
        <v>556</v>
      </c>
      <c r="B557">
        <v>0</v>
      </c>
      <c r="C557">
        <v>0</v>
      </c>
      <c r="D557">
        <v>0</v>
      </c>
    </row>
    <row r="558" spans="1:4">
      <c r="A558">
        <v>557</v>
      </c>
      <c r="B558">
        <v>0</v>
      </c>
      <c r="C558">
        <v>0</v>
      </c>
      <c r="D558">
        <v>0</v>
      </c>
    </row>
    <row r="559" spans="1:4">
      <c r="A559">
        <v>558</v>
      </c>
      <c r="B559">
        <v>0</v>
      </c>
      <c r="C559">
        <v>0</v>
      </c>
      <c r="D559">
        <v>0</v>
      </c>
    </row>
    <row r="560" spans="1:4">
      <c r="A560">
        <v>559</v>
      </c>
      <c r="B560">
        <v>1</v>
      </c>
      <c r="C560">
        <v>1</v>
      </c>
      <c r="D560">
        <v>0</v>
      </c>
    </row>
    <row r="561" spans="1:4">
      <c r="A561">
        <v>560</v>
      </c>
      <c r="B561">
        <v>0</v>
      </c>
      <c r="C561">
        <v>0</v>
      </c>
      <c r="D561">
        <v>0</v>
      </c>
    </row>
    <row r="562" spans="1:4">
      <c r="A562">
        <v>561</v>
      </c>
      <c r="B562">
        <v>0</v>
      </c>
      <c r="C562">
        <v>0</v>
      </c>
      <c r="D562">
        <v>0</v>
      </c>
    </row>
    <row r="563" spans="1:4">
      <c r="A563">
        <v>562</v>
      </c>
      <c r="B563">
        <v>0</v>
      </c>
      <c r="C563">
        <v>1</v>
      </c>
      <c r="D563">
        <v>1</v>
      </c>
    </row>
    <row r="564" spans="1:4">
      <c r="A564">
        <v>563</v>
      </c>
      <c r="B564">
        <v>1</v>
      </c>
      <c r="C564">
        <v>1</v>
      </c>
      <c r="D564">
        <v>0</v>
      </c>
    </row>
    <row r="565" spans="1:4">
      <c r="A565">
        <v>564</v>
      </c>
      <c r="B565">
        <v>0</v>
      </c>
      <c r="C565">
        <v>0</v>
      </c>
      <c r="D565">
        <v>0</v>
      </c>
    </row>
    <row r="566" spans="1:4">
      <c r="A566">
        <v>565</v>
      </c>
      <c r="B566">
        <v>0</v>
      </c>
      <c r="C566">
        <v>0</v>
      </c>
      <c r="D566">
        <v>0</v>
      </c>
    </row>
    <row r="567" spans="1:4">
      <c r="A567">
        <v>566</v>
      </c>
      <c r="B567">
        <v>0</v>
      </c>
      <c r="C567">
        <v>0</v>
      </c>
      <c r="D567">
        <v>0</v>
      </c>
    </row>
    <row r="568" spans="1:4">
      <c r="A568">
        <v>567</v>
      </c>
      <c r="B568">
        <v>0</v>
      </c>
      <c r="C568">
        <v>0</v>
      </c>
      <c r="D568">
        <v>0</v>
      </c>
    </row>
    <row r="569" spans="1:4">
      <c r="A569">
        <v>568</v>
      </c>
      <c r="B569">
        <v>0</v>
      </c>
      <c r="C569">
        <v>0</v>
      </c>
      <c r="D569">
        <v>0</v>
      </c>
    </row>
    <row r="570" spans="1:4">
      <c r="A570">
        <v>569</v>
      </c>
      <c r="B570">
        <v>0</v>
      </c>
      <c r="C570">
        <v>0</v>
      </c>
      <c r="D570">
        <v>0</v>
      </c>
    </row>
    <row r="571" spans="1:4">
      <c r="A571">
        <v>570</v>
      </c>
      <c r="B571">
        <v>0</v>
      </c>
      <c r="C571">
        <v>0</v>
      </c>
      <c r="D571">
        <v>0</v>
      </c>
    </row>
    <row r="572" spans="1:4">
      <c r="A572">
        <v>571</v>
      </c>
      <c r="B572">
        <v>0</v>
      </c>
      <c r="C572">
        <v>0</v>
      </c>
      <c r="D572">
        <v>0</v>
      </c>
    </row>
    <row r="573" spans="1:4">
      <c r="A573">
        <v>572</v>
      </c>
      <c r="B573">
        <v>0</v>
      </c>
      <c r="C573">
        <v>0</v>
      </c>
      <c r="D573">
        <v>0</v>
      </c>
    </row>
    <row r="574" spans="1:4">
      <c r="A574">
        <v>573</v>
      </c>
      <c r="B574">
        <v>0</v>
      </c>
      <c r="C574">
        <v>0</v>
      </c>
      <c r="D574">
        <v>0</v>
      </c>
    </row>
    <row r="575" spans="1:4">
      <c r="A575">
        <v>574</v>
      </c>
      <c r="B575">
        <v>0</v>
      </c>
      <c r="C575">
        <v>0</v>
      </c>
      <c r="D575">
        <v>0</v>
      </c>
    </row>
    <row r="576" spans="1:4">
      <c r="A576">
        <v>575</v>
      </c>
      <c r="B576">
        <v>0</v>
      </c>
      <c r="C576">
        <v>0</v>
      </c>
      <c r="D576">
        <v>0</v>
      </c>
    </row>
    <row r="577" spans="1:4">
      <c r="A577">
        <v>576</v>
      </c>
      <c r="B577">
        <v>0</v>
      </c>
      <c r="C577">
        <v>0</v>
      </c>
      <c r="D577">
        <v>0</v>
      </c>
    </row>
    <row r="578" spans="1:4">
      <c r="A578">
        <v>577</v>
      </c>
      <c r="B578">
        <v>0</v>
      </c>
      <c r="C578">
        <v>0</v>
      </c>
      <c r="D578">
        <v>0</v>
      </c>
    </row>
    <row r="579" spans="1:4">
      <c r="A579">
        <v>578</v>
      </c>
      <c r="B579">
        <v>0</v>
      </c>
      <c r="C579">
        <v>0</v>
      </c>
      <c r="D579">
        <v>0</v>
      </c>
    </row>
    <row r="580" spans="1:4">
      <c r="A580">
        <v>579</v>
      </c>
      <c r="B580">
        <v>0</v>
      </c>
      <c r="C580">
        <v>0</v>
      </c>
      <c r="D580">
        <v>0</v>
      </c>
    </row>
    <row r="581" spans="1:4">
      <c r="A581">
        <v>580</v>
      </c>
      <c r="B581">
        <v>0</v>
      </c>
      <c r="C581">
        <v>0</v>
      </c>
      <c r="D581">
        <v>0</v>
      </c>
    </row>
    <row r="582" spans="1:4">
      <c r="A582">
        <v>581</v>
      </c>
      <c r="B582">
        <v>0</v>
      </c>
      <c r="C582">
        <v>0</v>
      </c>
      <c r="D582">
        <v>0</v>
      </c>
    </row>
    <row r="583" spans="1:4">
      <c r="A583">
        <v>582</v>
      </c>
      <c r="B583">
        <v>0</v>
      </c>
      <c r="C583">
        <v>0</v>
      </c>
      <c r="D583">
        <v>0</v>
      </c>
    </row>
    <row r="584" spans="1:4">
      <c r="A584">
        <v>583</v>
      </c>
      <c r="B584">
        <v>1</v>
      </c>
      <c r="C584">
        <v>1</v>
      </c>
      <c r="D584">
        <v>0</v>
      </c>
    </row>
    <row r="585" spans="1:4">
      <c r="A585">
        <v>584</v>
      </c>
      <c r="B585">
        <v>0</v>
      </c>
      <c r="C585">
        <v>0</v>
      </c>
      <c r="D585">
        <v>0</v>
      </c>
    </row>
    <row r="586" spans="1:4">
      <c r="A586">
        <v>585</v>
      </c>
      <c r="B586">
        <v>0</v>
      </c>
      <c r="C586">
        <v>0</v>
      </c>
      <c r="D586">
        <v>0</v>
      </c>
    </row>
    <row r="587" spans="1:4">
      <c r="A587">
        <v>586</v>
      </c>
      <c r="B587">
        <v>0</v>
      </c>
      <c r="C587">
        <v>0</v>
      </c>
      <c r="D587">
        <v>0</v>
      </c>
    </row>
    <row r="588" spans="1:4">
      <c r="A588">
        <v>587</v>
      </c>
      <c r="B588">
        <v>1</v>
      </c>
      <c r="C588">
        <v>1</v>
      </c>
      <c r="D588">
        <v>0</v>
      </c>
    </row>
    <row r="589" spans="1:4">
      <c r="A589">
        <v>588</v>
      </c>
      <c r="B589">
        <v>0</v>
      </c>
      <c r="C589">
        <v>0</v>
      </c>
      <c r="D589">
        <v>0</v>
      </c>
    </row>
    <row r="590" spans="1:4">
      <c r="A590">
        <v>589</v>
      </c>
      <c r="B590">
        <v>0</v>
      </c>
      <c r="C590">
        <v>0</v>
      </c>
      <c r="D590">
        <v>0</v>
      </c>
    </row>
    <row r="591" spans="1:4">
      <c r="A591">
        <v>590</v>
      </c>
      <c r="B591">
        <v>0</v>
      </c>
      <c r="C591">
        <v>0</v>
      </c>
      <c r="D591">
        <v>0</v>
      </c>
    </row>
    <row r="592" spans="1:4">
      <c r="A592">
        <v>591</v>
      </c>
      <c r="B592">
        <v>0</v>
      </c>
      <c r="C592">
        <v>0</v>
      </c>
      <c r="D592">
        <v>0</v>
      </c>
    </row>
    <row r="593" spans="1:4">
      <c r="A593">
        <v>592</v>
      </c>
      <c r="B593">
        <v>0</v>
      </c>
      <c r="C593">
        <v>0</v>
      </c>
      <c r="D593">
        <v>0</v>
      </c>
    </row>
    <row r="594" spans="1:4">
      <c r="A594">
        <v>593</v>
      </c>
      <c r="B594">
        <v>0</v>
      </c>
      <c r="C594">
        <v>0</v>
      </c>
      <c r="D594">
        <v>0</v>
      </c>
    </row>
    <row r="595" spans="1:4">
      <c r="A595">
        <v>594</v>
      </c>
      <c r="B595">
        <v>0</v>
      </c>
      <c r="C595">
        <v>1</v>
      </c>
      <c r="D595">
        <v>1</v>
      </c>
    </row>
    <row r="596" spans="1:4">
      <c r="A596">
        <v>595</v>
      </c>
      <c r="B596">
        <v>0</v>
      </c>
      <c r="C596">
        <v>0</v>
      </c>
      <c r="D596">
        <v>0</v>
      </c>
    </row>
    <row r="597" spans="1:4">
      <c r="A597">
        <v>596</v>
      </c>
      <c r="B597">
        <v>0</v>
      </c>
      <c r="C597">
        <v>0</v>
      </c>
      <c r="D597">
        <v>0</v>
      </c>
    </row>
    <row r="598" spans="1:4">
      <c r="A598">
        <v>597</v>
      </c>
      <c r="B598">
        <v>0</v>
      </c>
      <c r="C598">
        <v>0</v>
      </c>
      <c r="D598">
        <v>0</v>
      </c>
    </row>
    <row r="599" spans="1:4">
      <c r="A599">
        <v>598</v>
      </c>
      <c r="B599">
        <v>0</v>
      </c>
      <c r="C599">
        <v>0</v>
      </c>
      <c r="D599">
        <v>0</v>
      </c>
    </row>
    <row r="600" spans="1:4">
      <c r="A600">
        <v>599</v>
      </c>
      <c r="B600">
        <v>0</v>
      </c>
      <c r="C600">
        <v>0</v>
      </c>
      <c r="D600">
        <v>0</v>
      </c>
    </row>
    <row r="601" spans="1:4">
      <c r="A601">
        <v>600</v>
      </c>
      <c r="B601">
        <v>0</v>
      </c>
      <c r="C601">
        <v>0</v>
      </c>
      <c r="D601">
        <v>0</v>
      </c>
    </row>
    <row r="602" spans="1:4">
      <c r="A602">
        <v>601</v>
      </c>
      <c r="B602">
        <v>0</v>
      </c>
      <c r="C602">
        <v>0</v>
      </c>
      <c r="D602">
        <v>0</v>
      </c>
    </row>
    <row r="603" spans="1:4">
      <c r="A603">
        <v>602</v>
      </c>
      <c r="B603">
        <v>0</v>
      </c>
      <c r="C603">
        <v>0</v>
      </c>
      <c r="D603">
        <v>0</v>
      </c>
    </row>
    <row r="604" spans="1:4">
      <c r="A604">
        <v>603</v>
      </c>
      <c r="B604">
        <v>0</v>
      </c>
      <c r="C604">
        <v>0</v>
      </c>
      <c r="D604">
        <v>0</v>
      </c>
    </row>
    <row r="605" spans="1:4">
      <c r="A605">
        <v>604</v>
      </c>
      <c r="B605">
        <v>0</v>
      </c>
      <c r="C605">
        <v>0</v>
      </c>
      <c r="D605">
        <v>0</v>
      </c>
    </row>
    <row r="606" spans="1:4">
      <c r="A606">
        <v>605</v>
      </c>
      <c r="B606">
        <v>1</v>
      </c>
      <c r="C606">
        <v>1</v>
      </c>
      <c r="D606">
        <v>0</v>
      </c>
    </row>
    <row r="607" spans="1:4">
      <c r="A607">
        <v>606</v>
      </c>
      <c r="B607">
        <v>0</v>
      </c>
      <c r="C607">
        <v>0</v>
      </c>
      <c r="D607">
        <v>0</v>
      </c>
    </row>
    <row r="608" spans="1:4">
      <c r="A608">
        <v>607</v>
      </c>
      <c r="B608">
        <v>0</v>
      </c>
      <c r="C608">
        <v>0</v>
      </c>
      <c r="D608">
        <v>0</v>
      </c>
    </row>
    <row r="609" spans="1:4">
      <c r="A609">
        <v>608</v>
      </c>
      <c r="B609">
        <v>0</v>
      </c>
      <c r="C609">
        <v>0</v>
      </c>
      <c r="D609">
        <v>0</v>
      </c>
    </row>
    <row r="610" spans="1:4">
      <c r="A610">
        <v>609</v>
      </c>
      <c r="B610">
        <v>0</v>
      </c>
      <c r="C610">
        <v>0</v>
      </c>
      <c r="D610">
        <v>0</v>
      </c>
    </row>
    <row r="611" spans="1:4">
      <c r="A611">
        <v>610</v>
      </c>
      <c r="B611">
        <v>0</v>
      </c>
      <c r="C611">
        <v>0</v>
      </c>
      <c r="D611">
        <v>0</v>
      </c>
    </row>
    <row r="612" spans="1:4">
      <c r="A612">
        <v>611</v>
      </c>
      <c r="B612">
        <v>0</v>
      </c>
      <c r="C612">
        <v>0</v>
      </c>
      <c r="D612">
        <v>0</v>
      </c>
    </row>
    <row r="613" spans="1:4">
      <c r="A613">
        <v>612</v>
      </c>
      <c r="B613">
        <v>1</v>
      </c>
      <c r="C613">
        <v>1</v>
      </c>
      <c r="D613">
        <v>0</v>
      </c>
    </row>
    <row r="614" spans="1:4">
      <c r="A614">
        <v>613</v>
      </c>
      <c r="B614">
        <v>0</v>
      </c>
      <c r="C614">
        <v>0</v>
      </c>
      <c r="D614">
        <v>0</v>
      </c>
    </row>
    <row r="615" spans="1:4">
      <c r="A615">
        <v>614</v>
      </c>
      <c r="B615">
        <v>1</v>
      </c>
      <c r="C615">
        <v>1</v>
      </c>
      <c r="D615">
        <v>0</v>
      </c>
    </row>
    <row r="616" spans="1:4">
      <c r="A616">
        <v>615</v>
      </c>
      <c r="B616">
        <v>0</v>
      </c>
      <c r="C616">
        <v>0</v>
      </c>
      <c r="D616">
        <v>0</v>
      </c>
    </row>
    <row r="617" spans="1:4">
      <c r="A617">
        <v>616</v>
      </c>
      <c r="B617">
        <v>0</v>
      </c>
      <c r="C617">
        <v>1</v>
      </c>
      <c r="D617">
        <v>1</v>
      </c>
    </row>
    <row r="618" spans="1:4">
      <c r="A618">
        <v>617</v>
      </c>
      <c r="B618">
        <v>0</v>
      </c>
      <c r="C618">
        <v>0</v>
      </c>
      <c r="D618">
        <v>0</v>
      </c>
    </row>
    <row r="619" spans="1:4">
      <c r="A619">
        <v>618</v>
      </c>
      <c r="B619">
        <v>0</v>
      </c>
      <c r="C619">
        <v>0</v>
      </c>
      <c r="D619">
        <v>0</v>
      </c>
    </row>
    <row r="620" spans="1:4">
      <c r="A620">
        <v>619</v>
      </c>
      <c r="B620">
        <v>0</v>
      </c>
      <c r="C620">
        <v>0</v>
      </c>
      <c r="D620">
        <v>0</v>
      </c>
    </row>
    <row r="621" spans="1:4">
      <c r="A621">
        <v>620</v>
      </c>
      <c r="B621">
        <v>0</v>
      </c>
      <c r="C621">
        <v>0</v>
      </c>
      <c r="D621">
        <v>0</v>
      </c>
    </row>
    <row r="622" spans="1:4">
      <c r="A622">
        <v>621</v>
      </c>
      <c r="B622">
        <v>0</v>
      </c>
      <c r="C622">
        <v>0</v>
      </c>
      <c r="D622">
        <v>0</v>
      </c>
    </row>
    <row r="623" spans="1:4">
      <c r="A623">
        <v>622</v>
      </c>
      <c r="B623">
        <v>1</v>
      </c>
      <c r="C623">
        <v>1</v>
      </c>
      <c r="D623">
        <v>0</v>
      </c>
    </row>
    <row r="624" spans="1:4">
      <c r="A624">
        <v>623</v>
      </c>
      <c r="B624">
        <v>0</v>
      </c>
      <c r="C624">
        <v>0</v>
      </c>
      <c r="D624">
        <v>0</v>
      </c>
    </row>
    <row r="625" spans="1:4">
      <c r="A625">
        <v>624</v>
      </c>
      <c r="B625">
        <v>0</v>
      </c>
      <c r="C625">
        <v>0</v>
      </c>
      <c r="D625">
        <v>0</v>
      </c>
    </row>
    <row r="626" spans="1:4">
      <c r="A626">
        <v>625</v>
      </c>
      <c r="B626">
        <v>0</v>
      </c>
      <c r="C626">
        <v>0</v>
      </c>
      <c r="D626">
        <v>0</v>
      </c>
    </row>
    <row r="627" spans="1:4">
      <c r="A627">
        <v>626</v>
      </c>
      <c r="B627">
        <v>0</v>
      </c>
      <c r="C627">
        <v>0</v>
      </c>
      <c r="D627">
        <v>0</v>
      </c>
    </row>
    <row r="628" spans="1:4">
      <c r="A628">
        <v>627</v>
      </c>
      <c r="B628">
        <v>0</v>
      </c>
      <c r="C628">
        <v>0</v>
      </c>
      <c r="D628">
        <v>0</v>
      </c>
    </row>
    <row r="629" spans="1:4">
      <c r="A629">
        <v>628</v>
      </c>
      <c r="B629">
        <v>0</v>
      </c>
      <c r="C629">
        <v>0</v>
      </c>
      <c r="D629">
        <v>0</v>
      </c>
    </row>
    <row r="630" spans="1:4">
      <c r="A630">
        <v>629</v>
      </c>
      <c r="B630">
        <v>0</v>
      </c>
      <c r="C630">
        <v>0</v>
      </c>
      <c r="D630">
        <v>0</v>
      </c>
    </row>
    <row r="631" spans="1:4">
      <c r="A631">
        <v>630</v>
      </c>
      <c r="B631">
        <v>0</v>
      </c>
      <c r="C631">
        <v>0</v>
      </c>
      <c r="D631">
        <v>0</v>
      </c>
    </row>
    <row r="632" spans="1:4">
      <c r="A632">
        <v>631</v>
      </c>
      <c r="B632">
        <v>0</v>
      </c>
      <c r="C632">
        <v>0</v>
      </c>
      <c r="D632">
        <v>0</v>
      </c>
    </row>
    <row r="633" spans="1:4">
      <c r="A633">
        <v>632</v>
      </c>
      <c r="B633">
        <v>0</v>
      </c>
      <c r="C633">
        <v>0</v>
      </c>
      <c r="D633">
        <v>0</v>
      </c>
    </row>
    <row r="634" spans="1:4">
      <c r="A634">
        <v>633</v>
      </c>
      <c r="B634">
        <v>0</v>
      </c>
      <c r="C634">
        <v>0</v>
      </c>
      <c r="D634">
        <v>0</v>
      </c>
    </row>
    <row r="635" spans="1:4">
      <c r="A635">
        <v>634</v>
      </c>
      <c r="B635">
        <v>0</v>
      </c>
      <c r="C635">
        <v>0</v>
      </c>
      <c r="D635">
        <v>0</v>
      </c>
    </row>
    <row r="636" spans="1:4">
      <c r="A636">
        <v>635</v>
      </c>
      <c r="B636">
        <v>0</v>
      </c>
      <c r="C636">
        <v>1</v>
      </c>
      <c r="D636">
        <v>1</v>
      </c>
    </row>
    <row r="637" spans="1:4">
      <c r="A637">
        <v>636</v>
      </c>
      <c r="B637">
        <v>0</v>
      </c>
      <c r="C637">
        <v>0</v>
      </c>
      <c r="D637">
        <v>0</v>
      </c>
    </row>
    <row r="638" spans="1:4">
      <c r="A638">
        <v>637</v>
      </c>
      <c r="B638">
        <v>0</v>
      </c>
      <c r="C638">
        <v>0</v>
      </c>
      <c r="D638">
        <v>0</v>
      </c>
    </row>
    <row r="639" spans="1:4">
      <c r="A639">
        <v>638</v>
      </c>
      <c r="B639">
        <v>0</v>
      </c>
      <c r="C639">
        <v>0</v>
      </c>
      <c r="D639">
        <v>0</v>
      </c>
    </row>
    <row r="640" spans="1:4">
      <c r="A640">
        <v>639</v>
      </c>
      <c r="B640">
        <v>0</v>
      </c>
      <c r="C640">
        <v>0</v>
      </c>
      <c r="D640">
        <v>0</v>
      </c>
    </row>
    <row r="641" spans="1:4">
      <c r="A641">
        <v>640</v>
      </c>
      <c r="B641">
        <v>0</v>
      </c>
      <c r="C641">
        <v>0</v>
      </c>
      <c r="D641">
        <v>0</v>
      </c>
    </row>
    <row r="642" spans="1:4">
      <c r="A642">
        <v>641</v>
      </c>
      <c r="B642">
        <v>0</v>
      </c>
      <c r="C642">
        <v>0</v>
      </c>
      <c r="D642">
        <v>0</v>
      </c>
    </row>
    <row r="643" spans="1:4">
      <c r="A643">
        <v>642</v>
      </c>
      <c r="B643">
        <v>1</v>
      </c>
      <c r="C643">
        <v>1</v>
      </c>
      <c r="D643">
        <v>0</v>
      </c>
    </row>
    <row r="644" spans="1:4">
      <c r="A644">
        <v>643</v>
      </c>
      <c r="B644">
        <v>0</v>
      </c>
      <c r="C644">
        <v>0</v>
      </c>
      <c r="D644">
        <v>0</v>
      </c>
    </row>
    <row r="645" spans="1:4">
      <c r="A645">
        <v>644</v>
      </c>
      <c r="B645">
        <v>0</v>
      </c>
      <c r="C645">
        <v>0</v>
      </c>
      <c r="D645">
        <v>0</v>
      </c>
    </row>
    <row r="646" spans="1:4">
      <c r="A646">
        <v>645</v>
      </c>
      <c r="B646">
        <v>0</v>
      </c>
      <c r="C646">
        <v>0</v>
      </c>
      <c r="D646">
        <v>0</v>
      </c>
    </row>
    <row r="647" spans="1:4">
      <c r="A647">
        <v>646</v>
      </c>
      <c r="B647">
        <v>0</v>
      </c>
      <c r="C647">
        <v>0</v>
      </c>
      <c r="D647">
        <v>0</v>
      </c>
    </row>
    <row r="648" spans="1:4">
      <c r="A648">
        <v>647</v>
      </c>
      <c r="B648">
        <v>0</v>
      </c>
      <c r="C648">
        <v>0</v>
      </c>
      <c r="D648">
        <v>0</v>
      </c>
    </row>
    <row r="649" spans="1:4">
      <c r="A649">
        <v>648</v>
      </c>
      <c r="B649">
        <v>0</v>
      </c>
      <c r="C649">
        <v>0</v>
      </c>
      <c r="D649">
        <v>0</v>
      </c>
    </row>
    <row r="650" spans="1:4">
      <c r="A650">
        <v>649</v>
      </c>
      <c r="B650">
        <v>0</v>
      </c>
      <c r="C650">
        <v>0</v>
      </c>
      <c r="D650">
        <v>0</v>
      </c>
    </row>
    <row r="651" spans="1:4">
      <c r="A651">
        <v>650</v>
      </c>
      <c r="B651">
        <v>1</v>
      </c>
      <c r="C651">
        <v>1</v>
      </c>
      <c r="D651">
        <v>0</v>
      </c>
    </row>
    <row r="652" spans="1:4">
      <c r="A652">
        <v>651</v>
      </c>
      <c r="B652">
        <v>0</v>
      </c>
      <c r="C652">
        <v>0</v>
      </c>
      <c r="D652">
        <v>0</v>
      </c>
    </row>
    <row r="653" spans="1:4">
      <c r="A653">
        <v>652</v>
      </c>
      <c r="B653">
        <v>0</v>
      </c>
      <c r="C653">
        <v>0</v>
      </c>
      <c r="D653">
        <v>0</v>
      </c>
    </row>
    <row r="654" spans="1:4">
      <c r="A654">
        <v>653</v>
      </c>
      <c r="B654">
        <v>0</v>
      </c>
      <c r="C654">
        <v>0</v>
      </c>
      <c r="D654">
        <v>0</v>
      </c>
    </row>
    <row r="655" spans="1:4">
      <c r="A655">
        <v>654</v>
      </c>
      <c r="B655">
        <v>0</v>
      </c>
      <c r="C655">
        <v>0</v>
      </c>
      <c r="D655">
        <v>0</v>
      </c>
    </row>
    <row r="656" spans="1:4">
      <c r="A656">
        <v>655</v>
      </c>
      <c r="B656">
        <v>0</v>
      </c>
      <c r="C656">
        <v>0</v>
      </c>
      <c r="D656">
        <v>0</v>
      </c>
    </row>
    <row r="657" spans="1:4">
      <c r="A657">
        <v>656</v>
      </c>
      <c r="B657">
        <v>1</v>
      </c>
      <c r="C657">
        <v>1</v>
      </c>
      <c r="D657">
        <v>0</v>
      </c>
    </row>
    <row r="658" spans="1:4">
      <c r="A658">
        <v>657</v>
      </c>
      <c r="B658">
        <v>0</v>
      </c>
      <c r="C658">
        <v>0</v>
      </c>
      <c r="D658">
        <v>0</v>
      </c>
    </row>
    <row r="659" spans="1:4">
      <c r="A659">
        <v>658</v>
      </c>
      <c r="B659">
        <v>0</v>
      </c>
      <c r="C659">
        <v>0</v>
      </c>
      <c r="D659">
        <v>0</v>
      </c>
    </row>
    <row r="660" spans="1:4">
      <c r="A660">
        <v>659</v>
      </c>
      <c r="B660">
        <v>0</v>
      </c>
      <c r="C660">
        <v>0</v>
      </c>
      <c r="D660">
        <v>0</v>
      </c>
    </row>
    <row r="661" spans="1:4">
      <c r="A661">
        <v>660</v>
      </c>
      <c r="B661">
        <v>1</v>
      </c>
      <c r="C661">
        <v>1</v>
      </c>
      <c r="D661">
        <v>0</v>
      </c>
    </row>
    <row r="662" spans="1:4">
      <c r="A662">
        <v>661</v>
      </c>
      <c r="B662">
        <v>0</v>
      </c>
      <c r="C662">
        <v>0</v>
      </c>
      <c r="D662">
        <v>0</v>
      </c>
    </row>
    <row r="663" spans="1:4">
      <c r="A663">
        <v>662</v>
      </c>
      <c r="B663">
        <v>0</v>
      </c>
      <c r="C663">
        <v>0</v>
      </c>
      <c r="D663">
        <v>0</v>
      </c>
    </row>
    <row r="664" spans="1:4">
      <c r="A664">
        <v>663</v>
      </c>
      <c r="B664">
        <v>0</v>
      </c>
      <c r="C664">
        <v>0</v>
      </c>
      <c r="D664">
        <v>0</v>
      </c>
    </row>
    <row r="665" spans="1:4">
      <c r="A665">
        <v>664</v>
      </c>
      <c r="B665">
        <v>0</v>
      </c>
      <c r="C665">
        <v>0</v>
      </c>
      <c r="D665">
        <v>0</v>
      </c>
    </row>
    <row r="666" spans="1:4">
      <c r="A666">
        <v>665</v>
      </c>
      <c r="B666">
        <v>0</v>
      </c>
      <c r="C666">
        <v>0</v>
      </c>
      <c r="D666">
        <v>0</v>
      </c>
    </row>
    <row r="667" spans="1:4">
      <c r="A667">
        <v>666</v>
      </c>
      <c r="B667">
        <v>0</v>
      </c>
      <c r="C667">
        <v>0</v>
      </c>
      <c r="D667">
        <v>0</v>
      </c>
    </row>
    <row r="668" spans="1:4">
      <c r="A668">
        <v>667</v>
      </c>
      <c r="B668">
        <v>0</v>
      </c>
      <c r="C668">
        <v>0</v>
      </c>
      <c r="D668">
        <v>0</v>
      </c>
    </row>
    <row r="669" spans="1:4">
      <c r="A669">
        <v>668</v>
      </c>
      <c r="B669">
        <v>0</v>
      </c>
      <c r="C669">
        <v>0</v>
      </c>
      <c r="D669">
        <v>0</v>
      </c>
    </row>
    <row r="670" spans="1:4">
      <c r="A670">
        <v>669</v>
      </c>
      <c r="B670">
        <v>0</v>
      </c>
      <c r="C670">
        <v>0</v>
      </c>
      <c r="D670">
        <v>0</v>
      </c>
    </row>
    <row r="671" spans="1:4">
      <c r="A671">
        <v>670</v>
      </c>
      <c r="B671">
        <v>0</v>
      </c>
      <c r="C671">
        <v>0</v>
      </c>
      <c r="D671">
        <v>0</v>
      </c>
    </row>
    <row r="672" spans="1:4">
      <c r="A672">
        <v>671</v>
      </c>
      <c r="B672">
        <v>0</v>
      </c>
      <c r="C672">
        <v>0</v>
      </c>
      <c r="D672">
        <v>0</v>
      </c>
    </row>
    <row r="673" spans="1:4">
      <c r="A673">
        <v>672</v>
      </c>
      <c r="B673">
        <v>0</v>
      </c>
      <c r="C673">
        <v>0</v>
      </c>
      <c r="D673">
        <v>0</v>
      </c>
    </row>
    <row r="674" spans="1:4">
      <c r="A674">
        <v>673</v>
      </c>
      <c r="B674">
        <v>0</v>
      </c>
      <c r="C674">
        <v>0</v>
      </c>
      <c r="D674">
        <v>0</v>
      </c>
    </row>
    <row r="675" spans="1:4">
      <c r="A675">
        <v>674</v>
      </c>
      <c r="B675">
        <v>0</v>
      </c>
      <c r="C675">
        <v>0</v>
      </c>
      <c r="D675">
        <v>0</v>
      </c>
    </row>
    <row r="676" spans="1:4">
      <c r="A676">
        <v>675</v>
      </c>
      <c r="B676">
        <v>0</v>
      </c>
      <c r="C676">
        <v>0</v>
      </c>
      <c r="D676">
        <v>0</v>
      </c>
    </row>
    <row r="677" spans="1:4">
      <c r="A677">
        <v>676</v>
      </c>
      <c r="B677">
        <v>0</v>
      </c>
      <c r="C677">
        <v>0</v>
      </c>
      <c r="D677">
        <v>0</v>
      </c>
    </row>
    <row r="678" spans="1:4">
      <c r="A678">
        <v>677</v>
      </c>
      <c r="B678">
        <v>0</v>
      </c>
      <c r="C678">
        <v>0</v>
      </c>
      <c r="D678">
        <v>0</v>
      </c>
    </row>
    <row r="679" spans="1:4">
      <c r="A679">
        <v>678</v>
      </c>
      <c r="B679">
        <v>0</v>
      </c>
      <c r="C679">
        <v>0</v>
      </c>
      <c r="D679">
        <v>0</v>
      </c>
    </row>
    <row r="680" spans="1:4">
      <c r="A680">
        <v>679</v>
      </c>
      <c r="B680">
        <v>0</v>
      </c>
      <c r="C680">
        <v>0</v>
      </c>
      <c r="D680">
        <v>0</v>
      </c>
    </row>
    <row r="681" spans="1:4">
      <c r="A681">
        <v>680</v>
      </c>
      <c r="B681">
        <v>0</v>
      </c>
      <c r="C681">
        <v>0</v>
      </c>
      <c r="D681">
        <v>0</v>
      </c>
    </row>
    <row r="682" spans="1:4">
      <c r="A682">
        <v>681</v>
      </c>
      <c r="B682">
        <v>0</v>
      </c>
      <c r="C682">
        <v>1</v>
      </c>
      <c r="D682">
        <v>1</v>
      </c>
    </row>
    <row r="683" spans="1:4">
      <c r="A683">
        <v>682</v>
      </c>
      <c r="B683">
        <v>0</v>
      </c>
      <c r="C683">
        <v>0</v>
      </c>
      <c r="D683">
        <v>0</v>
      </c>
    </row>
    <row r="684" spans="1:4">
      <c r="A684">
        <v>683</v>
      </c>
      <c r="B684">
        <v>0</v>
      </c>
      <c r="C684">
        <v>0</v>
      </c>
      <c r="D684">
        <v>0</v>
      </c>
    </row>
    <row r="685" spans="1:4">
      <c r="A685">
        <v>684</v>
      </c>
      <c r="B685">
        <v>0</v>
      </c>
      <c r="C685">
        <v>0</v>
      </c>
      <c r="D685">
        <v>0</v>
      </c>
    </row>
    <row r="686" spans="1:4">
      <c r="A686">
        <v>685</v>
      </c>
      <c r="B686">
        <v>0</v>
      </c>
      <c r="C686">
        <v>0</v>
      </c>
      <c r="D686">
        <v>0</v>
      </c>
    </row>
    <row r="687" spans="1:4">
      <c r="A687">
        <v>686</v>
      </c>
      <c r="B687">
        <v>0</v>
      </c>
      <c r="C687">
        <v>0</v>
      </c>
      <c r="D687">
        <v>0</v>
      </c>
    </row>
    <row r="688" spans="1:4">
      <c r="A688">
        <v>687</v>
      </c>
      <c r="B688">
        <v>0</v>
      </c>
      <c r="C688">
        <v>0</v>
      </c>
      <c r="D688">
        <v>0</v>
      </c>
    </row>
    <row r="689" spans="1:4">
      <c r="A689">
        <v>688</v>
      </c>
      <c r="B689">
        <v>0</v>
      </c>
      <c r="C689">
        <v>1</v>
      </c>
      <c r="D689">
        <v>1</v>
      </c>
    </row>
    <row r="690" spans="1:4">
      <c r="A690">
        <v>689</v>
      </c>
      <c r="B690">
        <v>0</v>
      </c>
      <c r="C690">
        <v>0</v>
      </c>
      <c r="D690">
        <v>0</v>
      </c>
    </row>
    <row r="691" spans="1:4">
      <c r="A691">
        <v>690</v>
      </c>
      <c r="B691">
        <v>0</v>
      </c>
      <c r="C691">
        <v>0</v>
      </c>
      <c r="D691">
        <v>0</v>
      </c>
    </row>
    <row r="692" spans="1:4">
      <c r="A692">
        <v>691</v>
      </c>
      <c r="B692">
        <v>0</v>
      </c>
      <c r="C692">
        <v>0</v>
      </c>
      <c r="D692">
        <v>0</v>
      </c>
    </row>
    <row r="693" spans="1:4">
      <c r="A693">
        <v>692</v>
      </c>
      <c r="B693">
        <v>0</v>
      </c>
      <c r="C693">
        <v>0</v>
      </c>
      <c r="D693">
        <v>0</v>
      </c>
    </row>
    <row r="694" spans="1:4">
      <c r="A694">
        <v>693</v>
      </c>
      <c r="B694">
        <v>0</v>
      </c>
      <c r="C694">
        <v>0</v>
      </c>
      <c r="D694">
        <v>0</v>
      </c>
    </row>
    <row r="695" spans="1:4">
      <c r="A695">
        <v>694</v>
      </c>
      <c r="B695">
        <v>0</v>
      </c>
      <c r="C695">
        <v>0</v>
      </c>
      <c r="D695">
        <v>0</v>
      </c>
    </row>
    <row r="696" spans="1:4">
      <c r="A696">
        <v>695</v>
      </c>
      <c r="B696">
        <v>0</v>
      </c>
      <c r="C696">
        <v>0</v>
      </c>
      <c r="D696">
        <v>0</v>
      </c>
    </row>
    <row r="697" spans="1:4">
      <c r="A697">
        <v>696</v>
      </c>
      <c r="B697">
        <v>0</v>
      </c>
      <c r="C697">
        <v>0</v>
      </c>
      <c r="D697">
        <v>0</v>
      </c>
    </row>
    <row r="698" spans="1:4">
      <c r="A698">
        <v>697</v>
      </c>
      <c r="B698">
        <v>0</v>
      </c>
      <c r="C698">
        <v>0</v>
      </c>
      <c r="D698">
        <v>0</v>
      </c>
    </row>
    <row r="699" spans="1:4">
      <c r="A699">
        <v>698</v>
      </c>
      <c r="B699">
        <v>0</v>
      </c>
      <c r="C699">
        <v>0</v>
      </c>
      <c r="D699">
        <v>0</v>
      </c>
    </row>
    <row r="700" spans="1:4">
      <c r="A700">
        <v>699</v>
      </c>
      <c r="B700">
        <v>0</v>
      </c>
      <c r="C700">
        <v>0</v>
      </c>
      <c r="D700">
        <v>0</v>
      </c>
    </row>
    <row r="701" spans="1:4">
      <c r="A701">
        <v>700</v>
      </c>
      <c r="B701">
        <v>1</v>
      </c>
      <c r="C701">
        <v>1</v>
      </c>
      <c r="D701">
        <v>0</v>
      </c>
    </row>
    <row r="702" spans="1:4">
      <c r="A702">
        <v>701</v>
      </c>
      <c r="B702">
        <v>0</v>
      </c>
      <c r="C702">
        <v>0</v>
      </c>
      <c r="D702">
        <v>0</v>
      </c>
    </row>
    <row r="703" spans="1:4">
      <c r="A703">
        <v>702</v>
      </c>
      <c r="B703">
        <v>0</v>
      </c>
      <c r="C703">
        <v>0</v>
      </c>
      <c r="D703">
        <v>0</v>
      </c>
    </row>
    <row r="704" spans="1:4">
      <c r="A704">
        <v>703</v>
      </c>
      <c r="B704">
        <v>0</v>
      </c>
      <c r="C704">
        <v>0</v>
      </c>
      <c r="D704">
        <v>0</v>
      </c>
    </row>
    <row r="705" spans="1:4">
      <c r="A705">
        <v>704</v>
      </c>
      <c r="B705">
        <v>0</v>
      </c>
      <c r="C705">
        <v>0</v>
      </c>
      <c r="D705">
        <v>0</v>
      </c>
    </row>
    <row r="706" spans="1:4">
      <c r="A706">
        <v>705</v>
      </c>
      <c r="B706">
        <v>0</v>
      </c>
      <c r="C706">
        <v>0</v>
      </c>
      <c r="D706">
        <v>0</v>
      </c>
    </row>
    <row r="707" spans="1:4">
      <c r="A707">
        <v>706</v>
      </c>
      <c r="B707">
        <v>0</v>
      </c>
      <c r="C707">
        <v>1</v>
      </c>
      <c r="D707">
        <v>1</v>
      </c>
    </row>
    <row r="708" spans="1:4">
      <c r="A708">
        <v>707</v>
      </c>
      <c r="B708">
        <v>0</v>
      </c>
      <c r="C708">
        <v>0</v>
      </c>
      <c r="D708">
        <v>0</v>
      </c>
    </row>
    <row r="709" spans="1:4">
      <c r="A709">
        <v>708</v>
      </c>
      <c r="B709">
        <v>0</v>
      </c>
      <c r="C709">
        <v>0</v>
      </c>
      <c r="D709">
        <v>0</v>
      </c>
    </row>
    <row r="710" spans="1:4">
      <c r="A710">
        <v>709</v>
      </c>
      <c r="B710">
        <v>0</v>
      </c>
      <c r="C710">
        <v>0</v>
      </c>
      <c r="D710">
        <v>0</v>
      </c>
    </row>
    <row r="711" spans="1:4">
      <c r="A711">
        <v>710</v>
      </c>
      <c r="B711">
        <v>1</v>
      </c>
      <c r="C711">
        <v>1</v>
      </c>
      <c r="D711">
        <v>0</v>
      </c>
    </row>
    <row r="712" spans="1:4">
      <c r="A712">
        <v>711</v>
      </c>
      <c r="B712">
        <v>0</v>
      </c>
      <c r="C712">
        <v>0</v>
      </c>
      <c r="D712">
        <v>0</v>
      </c>
    </row>
    <row r="713" spans="1:4">
      <c r="A713">
        <v>712</v>
      </c>
      <c r="B713">
        <v>1</v>
      </c>
      <c r="C713">
        <v>1</v>
      </c>
      <c r="D713">
        <v>0</v>
      </c>
    </row>
    <row r="714" spans="1:4">
      <c r="A714">
        <v>713</v>
      </c>
      <c r="B714">
        <v>1</v>
      </c>
      <c r="C714">
        <v>1</v>
      </c>
      <c r="D714">
        <v>0</v>
      </c>
    </row>
    <row r="715" spans="1:4">
      <c r="A715">
        <v>714</v>
      </c>
      <c r="B715">
        <v>0</v>
      </c>
      <c r="C715">
        <v>0</v>
      </c>
      <c r="D715">
        <v>0</v>
      </c>
    </row>
    <row r="716" spans="1:4">
      <c r="A716">
        <v>715</v>
      </c>
      <c r="B716">
        <v>0</v>
      </c>
      <c r="C716">
        <v>0</v>
      </c>
      <c r="D716">
        <v>0</v>
      </c>
    </row>
    <row r="717" spans="1:4">
      <c r="A717">
        <v>716</v>
      </c>
      <c r="B717">
        <v>0</v>
      </c>
      <c r="C717">
        <v>0</v>
      </c>
      <c r="D717">
        <v>0</v>
      </c>
    </row>
    <row r="718" spans="1:4">
      <c r="A718">
        <v>717</v>
      </c>
      <c r="B718">
        <v>0</v>
      </c>
      <c r="C718">
        <v>0</v>
      </c>
      <c r="D718">
        <v>0</v>
      </c>
    </row>
    <row r="719" spans="1:4">
      <c r="A719">
        <v>718</v>
      </c>
      <c r="B719">
        <v>0</v>
      </c>
      <c r="C719">
        <v>0</v>
      </c>
      <c r="D719">
        <v>0</v>
      </c>
    </row>
    <row r="720" spans="1:4">
      <c r="A720">
        <v>719</v>
      </c>
      <c r="B720">
        <v>0</v>
      </c>
      <c r="C720">
        <v>0</v>
      </c>
      <c r="D720">
        <v>0</v>
      </c>
    </row>
    <row r="721" spans="1:4">
      <c r="A721">
        <v>720</v>
      </c>
      <c r="B721">
        <v>0</v>
      </c>
      <c r="C721">
        <v>0</v>
      </c>
      <c r="D721">
        <v>0</v>
      </c>
    </row>
    <row r="722" spans="1:4">
      <c r="A722">
        <v>721</v>
      </c>
      <c r="B722">
        <v>0</v>
      </c>
      <c r="C722">
        <v>0</v>
      </c>
      <c r="D722">
        <v>0</v>
      </c>
    </row>
    <row r="723" spans="1:4">
      <c r="A723">
        <v>722</v>
      </c>
      <c r="B723">
        <v>0</v>
      </c>
      <c r="C723">
        <v>0</v>
      </c>
      <c r="D723">
        <v>0</v>
      </c>
    </row>
    <row r="724" spans="1:4">
      <c r="A724">
        <v>723</v>
      </c>
      <c r="B724">
        <v>0</v>
      </c>
      <c r="C724">
        <v>0</v>
      </c>
      <c r="D724">
        <v>0</v>
      </c>
    </row>
    <row r="725" spans="1:4">
      <c r="A725">
        <v>724</v>
      </c>
      <c r="B725">
        <v>0</v>
      </c>
      <c r="C725">
        <v>0</v>
      </c>
      <c r="D725">
        <v>0</v>
      </c>
    </row>
    <row r="726" spans="1:4">
      <c r="A726">
        <v>725</v>
      </c>
      <c r="B726">
        <v>0</v>
      </c>
      <c r="C726">
        <v>1</v>
      </c>
      <c r="D726">
        <v>1</v>
      </c>
    </row>
    <row r="727" spans="1:4">
      <c r="A727">
        <v>726</v>
      </c>
      <c r="B727">
        <v>0</v>
      </c>
      <c r="C727">
        <v>0</v>
      </c>
      <c r="D727">
        <v>0</v>
      </c>
    </row>
    <row r="728" spans="1:4">
      <c r="A728">
        <v>727</v>
      </c>
      <c r="B728">
        <v>0</v>
      </c>
      <c r="C728">
        <v>0</v>
      </c>
      <c r="D728">
        <v>0</v>
      </c>
    </row>
    <row r="729" spans="1:4">
      <c r="A729">
        <v>728</v>
      </c>
      <c r="B729">
        <v>0</v>
      </c>
      <c r="C729">
        <v>0</v>
      </c>
      <c r="D729">
        <v>0</v>
      </c>
    </row>
    <row r="730" spans="1:4">
      <c r="A730">
        <v>729</v>
      </c>
      <c r="B730">
        <v>0</v>
      </c>
      <c r="C730">
        <v>0</v>
      </c>
      <c r="D730">
        <v>0</v>
      </c>
    </row>
    <row r="731" spans="1:4">
      <c r="A731">
        <v>730</v>
      </c>
      <c r="B731">
        <v>0</v>
      </c>
      <c r="C731">
        <v>0</v>
      </c>
      <c r="D731">
        <v>0</v>
      </c>
    </row>
    <row r="732" spans="1:4">
      <c r="A732">
        <v>731</v>
      </c>
      <c r="B732">
        <v>0</v>
      </c>
      <c r="C732">
        <v>0</v>
      </c>
      <c r="D732">
        <v>0</v>
      </c>
    </row>
    <row r="733" spans="1:4">
      <c r="A733">
        <v>732</v>
      </c>
      <c r="B733">
        <v>0</v>
      </c>
      <c r="C733">
        <v>0</v>
      </c>
      <c r="D733">
        <v>0</v>
      </c>
    </row>
    <row r="734" spans="1:4">
      <c r="A734">
        <v>733</v>
      </c>
      <c r="B734">
        <v>0</v>
      </c>
      <c r="C734">
        <v>0</v>
      </c>
      <c r="D734">
        <v>0</v>
      </c>
    </row>
    <row r="735" spans="1:4">
      <c r="A735">
        <v>734</v>
      </c>
      <c r="B735">
        <v>0</v>
      </c>
      <c r="C735">
        <v>0</v>
      </c>
      <c r="D735">
        <v>0</v>
      </c>
    </row>
    <row r="736" spans="1:4">
      <c r="A736">
        <v>735</v>
      </c>
      <c r="B736">
        <v>0</v>
      </c>
      <c r="C736">
        <v>0</v>
      </c>
      <c r="D736">
        <v>0</v>
      </c>
    </row>
    <row r="737" spans="1:4">
      <c r="A737">
        <v>736</v>
      </c>
      <c r="B737">
        <v>0</v>
      </c>
      <c r="C737">
        <v>0</v>
      </c>
      <c r="D737">
        <v>0</v>
      </c>
    </row>
    <row r="738" spans="1:4">
      <c r="A738">
        <v>737</v>
      </c>
      <c r="B738">
        <v>0</v>
      </c>
      <c r="C738">
        <v>0</v>
      </c>
      <c r="D738">
        <v>0</v>
      </c>
    </row>
    <row r="739" spans="1:4">
      <c r="A739">
        <v>738</v>
      </c>
      <c r="B739">
        <v>0</v>
      </c>
      <c r="C739">
        <v>0</v>
      </c>
      <c r="D739">
        <v>0</v>
      </c>
    </row>
    <row r="740" spans="1:4">
      <c r="A740">
        <v>739</v>
      </c>
      <c r="B740">
        <v>0</v>
      </c>
      <c r="C740">
        <v>0</v>
      </c>
      <c r="D740">
        <v>0</v>
      </c>
    </row>
    <row r="741" spans="1:4">
      <c r="A741">
        <v>740</v>
      </c>
      <c r="B741">
        <v>0</v>
      </c>
      <c r="C741">
        <v>0</v>
      </c>
      <c r="D741">
        <v>0</v>
      </c>
    </row>
    <row r="742" spans="1:4">
      <c r="A742">
        <v>741</v>
      </c>
      <c r="B742">
        <v>1</v>
      </c>
      <c r="C742">
        <v>1</v>
      </c>
      <c r="D742">
        <v>0</v>
      </c>
    </row>
    <row r="743" spans="1:4">
      <c r="A743">
        <v>742</v>
      </c>
      <c r="B743">
        <v>0</v>
      </c>
      <c r="C743">
        <v>0</v>
      </c>
      <c r="D743">
        <v>0</v>
      </c>
    </row>
    <row r="744" spans="1:4">
      <c r="A744">
        <v>743</v>
      </c>
      <c r="B744">
        <v>0</v>
      </c>
      <c r="C744">
        <v>0</v>
      </c>
      <c r="D744">
        <v>0</v>
      </c>
    </row>
    <row r="745" spans="1:4">
      <c r="A745">
        <v>744</v>
      </c>
      <c r="B745">
        <v>0</v>
      </c>
      <c r="C745">
        <v>0</v>
      </c>
      <c r="D745">
        <v>0</v>
      </c>
    </row>
    <row r="746" spans="1:4">
      <c r="A746">
        <v>745</v>
      </c>
      <c r="B746">
        <v>0</v>
      </c>
      <c r="C746">
        <v>0</v>
      </c>
      <c r="D746">
        <v>0</v>
      </c>
    </row>
    <row r="747" spans="1:4">
      <c r="A747">
        <v>746</v>
      </c>
      <c r="B747">
        <v>0</v>
      </c>
      <c r="C747">
        <v>0</v>
      </c>
      <c r="D747">
        <v>0</v>
      </c>
    </row>
    <row r="748" spans="1:4">
      <c r="A748">
        <v>747</v>
      </c>
      <c r="B748">
        <v>0</v>
      </c>
      <c r="C748">
        <v>0</v>
      </c>
      <c r="D748">
        <v>0</v>
      </c>
    </row>
    <row r="749" spans="1:4">
      <c r="A749">
        <v>748</v>
      </c>
      <c r="B749">
        <v>0</v>
      </c>
      <c r="C749">
        <v>0</v>
      </c>
      <c r="D749">
        <v>0</v>
      </c>
    </row>
    <row r="750" spans="1:4">
      <c r="A750">
        <v>749</v>
      </c>
      <c r="B750">
        <v>0</v>
      </c>
      <c r="C750">
        <v>0</v>
      </c>
      <c r="D750">
        <v>0</v>
      </c>
    </row>
    <row r="751" spans="1:4">
      <c r="A751">
        <v>750</v>
      </c>
      <c r="B751">
        <v>0</v>
      </c>
      <c r="C751">
        <v>0</v>
      </c>
      <c r="D751">
        <v>0</v>
      </c>
    </row>
    <row r="752" spans="1:4">
      <c r="A752">
        <v>751</v>
      </c>
      <c r="B752">
        <v>0</v>
      </c>
      <c r="C752">
        <v>0</v>
      </c>
      <c r="D752">
        <v>0</v>
      </c>
    </row>
    <row r="753" spans="1:4">
      <c r="A753">
        <v>752</v>
      </c>
      <c r="B753">
        <v>0</v>
      </c>
      <c r="C753">
        <v>0</v>
      </c>
      <c r="D753">
        <v>0</v>
      </c>
    </row>
    <row r="754" spans="1:4">
      <c r="A754">
        <v>753</v>
      </c>
      <c r="B754">
        <v>0</v>
      </c>
      <c r="C754">
        <v>0</v>
      </c>
      <c r="D754">
        <v>0</v>
      </c>
    </row>
    <row r="755" spans="1:4">
      <c r="A755">
        <v>754</v>
      </c>
      <c r="B755">
        <v>0</v>
      </c>
      <c r="C755">
        <v>0</v>
      </c>
      <c r="D755">
        <v>0</v>
      </c>
    </row>
    <row r="756" spans="1:4">
      <c r="A756">
        <v>755</v>
      </c>
      <c r="B756">
        <v>1</v>
      </c>
      <c r="C756">
        <v>1</v>
      </c>
      <c r="D756">
        <v>0</v>
      </c>
    </row>
    <row r="757" spans="1:4">
      <c r="A757">
        <v>756</v>
      </c>
      <c r="B757">
        <v>0</v>
      </c>
      <c r="C757">
        <v>0</v>
      </c>
      <c r="D757">
        <v>0</v>
      </c>
    </row>
    <row r="758" spans="1:4">
      <c r="A758">
        <v>757</v>
      </c>
      <c r="B758">
        <v>0</v>
      </c>
      <c r="C758">
        <v>0</v>
      </c>
      <c r="D758">
        <v>0</v>
      </c>
    </row>
    <row r="759" spans="1:4">
      <c r="A759">
        <v>758</v>
      </c>
      <c r="B759">
        <v>0</v>
      </c>
      <c r="C759">
        <v>0</v>
      </c>
      <c r="D759">
        <v>0</v>
      </c>
    </row>
    <row r="760" spans="1:4">
      <c r="A760">
        <v>759</v>
      </c>
      <c r="B760">
        <v>0</v>
      </c>
      <c r="C760">
        <v>0</v>
      </c>
      <c r="D760">
        <v>0</v>
      </c>
    </row>
    <row r="761" spans="1:4">
      <c r="A761">
        <v>760</v>
      </c>
      <c r="B761">
        <v>0</v>
      </c>
      <c r="C761">
        <v>0</v>
      </c>
      <c r="D761">
        <v>0</v>
      </c>
    </row>
    <row r="762" spans="1:4">
      <c r="A762">
        <v>761</v>
      </c>
      <c r="B762">
        <v>1</v>
      </c>
      <c r="C762">
        <v>1</v>
      </c>
      <c r="D762">
        <v>0</v>
      </c>
    </row>
    <row r="763" spans="1:4">
      <c r="A763">
        <v>762</v>
      </c>
      <c r="B763">
        <v>0</v>
      </c>
      <c r="C763">
        <v>0</v>
      </c>
      <c r="D763">
        <v>0</v>
      </c>
    </row>
    <row r="764" spans="1:4">
      <c r="A764">
        <v>763</v>
      </c>
      <c r="B764">
        <v>0</v>
      </c>
      <c r="C764">
        <v>0</v>
      </c>
      <c r="D764">
        <v>0</v>
      </c>
    </row>
    <row r="765" spans="1:4">
      <c r="A765">
        <v>764</v>
      </c>
      <c r="B765">
        <v>0</v>
      </c>
      <c r="C765">
        <v>0</v>
      </c>
      <c r="D765">
        <v>0</v>
      </c>
    </row>
    <row r="766" spans="1:4">
      <c r="A766">
        <v>765</v>
      </c>
      <c r="B766">
        <v>0</v>
      </c>
      <c r="C766">
        <v>0</v>
      </c>
      <c r="D766">
        <v>0</v>
      </c>
    </row>
    <row r="767" spans="1:4">
      <c r="A767">
        <v>766</v>
      </c>
      <c r="B767">
        <v>0</v>
      </c>
      <c r="C767">
        <v>0</v>
      </c>
      <c r="D767">
        <v>0</v>
      </c>
    </row>
    <row r="768" spans="1:4">
      <c r="A768">
        <v>767</v>
      </c>
      <c r="B768">
        <v>0</v>
      </c>
      <c r="C768">
        <v>0</v>
      </c>
      <c r="D768">
        <v>0</v>
      </c>
    </row>
    <row r="769" spans="1:4">
      <c r="A769">
        <v>768</v>
      </c>
      <c r="B769">
        <v>1</v>
      </c>
      <c r="C769">
        <v>1</v>
      </c>
      <c r="D769">
        <v>0</v>
      </c>
    </row>
    <row r="770" spans="1:4">
      <c r="A770">
        <v>769</v>
      </c>
      <c r="B770">
        <v>0</v>
      </c>
      <c r="C770">
        <v>0</v>
      </c>
      <c r="D770">
        <v>0</v>
      </c>
    </row>
    <row r="771" spans="1:4">
      <c r="A771">
        <v>770</v>
      </c>
      <c r="B771">
        <v>0</v>
      </c>
      <c r="C771">
        <v>0</v>
      </c>
      <c r="D771">
        <v>0</v>
      </c>
    </row>
    <row r="772" spans="1:4">
      <c r="A772">
        <v>771</v>
      </c>
      <c r="B772">
        <v>0</v>
      </c>
      <c r="C772">
        <v>0</v>
      </c>
      <c r="D772">
        <v>0</v>
      </c>
    </row>
    <row r="773" spans="1:4">
      <c r="A773">
        <v>772</v>
      </c>
      <c r="B773">
        <v>0</v>
      </c>
      <c r="C773">
        <v>0</v>
      </c>
      <c r="D773">
        <v>0</v>
      </c>
    </row>
    <row r="774" spans="1:4">
      <c r="A774">
        <v>773</v>
      </c>
      <c r="B774">
        <v>1</v>
      </c>
      <c r="C774">
        <v>1</v>
      </c>
      <c r="D774">
        <v>0</v>
      </c>
    </row>
    <row r="775" spans="1:4">
      <c r="A775">
        <v>774</v>
      </c>
      <c r="B775">
        <v>0</v>
      </c>
      <c r="C775">
        <v>0</v>
      </c>
      <c r="D775">
        <v>0</v>
      </c>
    </row>
    <row r="776" spans="1:4">
      <c r="A776">
        <v>775</v>
      </c>
      <c r="B776">
        <v>0</v>
      </c>
      <c r="C776">
        <v>0</v>
      </c>
      <c r="D776">
        <v>0</v>
      </c>
    </row>
    <row r="777" spans="1:4">
      <c r="A777">
        <v>776</v>
      </c>
      <c r="B777">
        <v>0</v>
      </c>
      <c r="C777">
        <v>0</v>
      </c>
      <c r="D777">
        <v>0</v>
      </c>
    </row>
    <row r="778" spans="1:4">
      <c r="A778">
        <v>777</v>
      </c>
      <c r="B778">
        <v>0</v>
      </c>
      <c r="C778">
        <v>0</v>
      </c>
      <c r="D778">
        <v>0</v>
      </c>
    </row>
    <row r="779" spans="1:4">
      <c r="A779">
        <v>778</v>
      </c>
      <c r="B779">
        <v>0</v>
      </c>
      <c r="C779">
        <v>0</v>
      </c>
      <c r="D779">
        <v>0</v>
      </c>
    </row>
    <row r="780" spans="1:4">
      <c r="A780">
        <v>779</v>
      </c>
      <c r="B780">
        <v>0</v>
      </c>
      <c r="C780">
        <v>0</v>
      </c>
      <c r="D780">
        <v>0</v>
      </c>
    </row>
    <row r="781" spans="1:4">
      <c r="A781">
        <v>780</v>
      </c>
      <c r="B781">
        <v>0</v>
      </c>
      <c r="C781">
        <v>0</v>
      </c>
      <c r="D781">
        <v>0</v>
      </c>
    </row>
    <row r="782" spans="1:4">
      <c r="A782">
        <v>781</v>
      </c>
      <c r="B782">
        <v>0</v>
      </c>
      <c r="C782">
        <v>0</v>
      </c>
      <c r="D782">
        <v>0</v>
      </c>
    </row>
    <row r="783" spans="1:4">
      <c r="A783">
        <v>782</v>
      </c>
      <c r="B783">
        <v>0</v>
      </c>
      <c r="C783">
        <v>0</v>
      </c>
      <c r="D783">
        <v>0</v>
      </c>
    </row>
    <row r="784" spans="1:4">
      <c r="A784">
        <v>783</v>
      </c>
      <c r="B784">
        <v>1</v>
      </c>
      <c r="C784">
        <v>1</v>
      </c>
      <c r="D784">
        <v>0</v>
      </c>
    </row>
    <row r="785" spans="1:4">
      <c r="A785">
        <v>784</v>
      </c>
      <c r="B785">
        <v>0</v>
      </c>
      <c r="C785">
        <v>0</v>
      </c>
      <c r="D785">
        <v>0</v>
      </c>
    </row>
    <row r="786" spans="1:4">
      <c r="A786">
        <v>785</v>
      </c>
      <c r="B786">
        <v>0</v>
      </c>
      <c r="C786">
        <v>0</v>
      </c>
      <c r="D786">
        <v>0</v>
      </c>
    </row>
    <row r="787" spans="1:4">
      <c r="A787">
        <v>786</v>
      </c>
      <c r="B787">
        <v>0</v>
      </c>
      <c r="C787">
        <v>0</v>
      </c>
      <c r="D787">
        <v>0</v>
      </c>
    </row>
    <row r="788" spans="1:4">
      <c r="A788">
        <v>787</v>
      </c>
      <c r="B788">
        <v>0</v>
      </c>
      <c r="C788">
        <v>0</v>
      </c>
      <c r="D788">
        <v>0</v>
      </c>
    </row>
    <row r="789" spans="1:4">
      <c r="A789">
        <v>788</v>
      </c>
      <c r="B789">
        <v>0</v>
      </c>
      <c r="C789">
        <v>0</v>
      </c>
      <c r="D789">
        <v>0</v>
      </c>
    </row>
    <row r="790" spans="1:4">
      <c r="A790">
        <v>789</v>
      </c>
      <c r="B790">
        <v>0</v>
      </c>
      <c r="C790">
        <v>0</v>
      </c>
      <c r="D790">
        <v>0</v>
      </c>
    </row>
    <row r="791" spans="1:4">
      <c r="A791">
        <v>790</v>
      </c>
      <c r="B791">
        <v>0</v>
      </c>
      <c r="C791">
        <v>0</v>
      </c>
      <c r="D791">
        <v>0</v>
      </c>
    </row>
    <row r="792" spans="1:4">
      <c r="A792">
        <v>791</v>
      </c>
      <c r="B792">
        <v>0</v>
      </c>
      <c r="C792">
        <v>0</v>
      </c>
      <c r="D792">
        <v>0</v>
      </c>
    </row>
    <row r="793" spans="1:4">
      <c r="A793">
        <v>792</v>
      </c>
      <c r="B793">
        <v>0</v>
      </c>
      <c r="C793">
        <v>0</v>
      </c>
      <c r="D793">
        <v>0</v>
      </c>
    </row>
    <row r="794" spans="1:4">
      <c r="A794">
        <v>793</v>
      </c>
      <c r="B794">
        <v>0</v>
      </c>
      <c r="C794">
        <v>0</v>
      </c>
      <c r="D794">
        <v>0</v>
      </c>
    </row>
    <row r="795" spans="1:4">
      <c r="A795">
        <v>794</v>
      </c>
      <c r="B795">
        <v>0</v>
      </c>
      <c r="C795">
        <v>0</v>
      </c>
      <c r="D795">
        <v>0</v>
      </c>
    </row>
    <row r="796" spans="1:4">
      <c r="A796">
        <v>795</v>
      </c>
      <c r="B796">
        <v>0</v>
      </c>
      <c r="C796">
        <v>0</v>
      </c>
      <c r="D796">
        <v>0</v>
      </c>
    </row>
    <row r="797" spans="1:4">
      <c r="A797">
        <v>796</v>
      </c>
      <c r="B797">
        <v>0</v>
      </c>
      <c r="C797">
        <v>0</v>
      </c>
      <c r="D797">
        <v>0</v>
      </c>
    </row>
    <row r="798" spans="1:4">
      <c r="A798">
        <v>797</v>
      </c>
      <c r="B798">
        <v>0</v>
      </c>
      <c r="C798">
        <v>0</v>
      </c>
      <c r="D798">
        <v>0</v>
      </c>
    </row>
    <row r="799" spans="1:4">
      <c r="A799">
        <v>798</v>
      </c>
      <c r="B799">
        <v>0</v>
      </c>
      <c r="C799">
        <v>0</v>
      </c>
      <c r="D799">
        <v>0</v>
      </c>
    </row>
    <row r="800" spans="1:4">
      <c r="A800">
        <v>799</v>
      </c>
      <c r="B800">
        <v>0</v>
      </c>
      <c r="C800">
        <v>0</v>
      </c>
      <c r="D800">
        <v>0</v>
      </c>
    </row>
    <row r="801" spans="1:4">
      <c r="A801">
        <v>800</v>
      </c>
      <c r="B801">
        <v>1</v>
      </c>
      <c r="C801">
        <v>1</v>
      </c>
      <c r="D801">
        <v>0</v>
      </c>
    </row>
    <row r="802" spans="1:4">
      <c r="A802">
        <v>801</v>
      </c>
      <c r="B802">
        <v>0</v>
      </c>
      <c r="C802">
        <v>0</v>
      </c>
      <c r="D802">
        <v>0</v>
      </c>
    </row>
    <row r="803" spans="1:4">
      <c r="A803">
        <v>802</v>
      </c>
      <c r="B803">
        <v>0</v>
      </c>
      <c r="C803">
        <v>0</v>
      </c>
      <c r="D803">
        <v>0</v>
      </c>
    </row>
    <row r="804" spans="1:4">
      <c r="A804">
        <v>803</v>
      </c>
      <c r="B804">
        <v>0</v>
      </c>
      <c r="C804">
        <v>0</v>
      </c>
      <c r="D804">
        <v>0</v>
      </c>
    </row>
    <row r="805" spans="1:4">
      <c r="A805">
        <v>804</v>
      </c>
      <c r="B805">
        <v>0</v>
      </c>
      <c r="C805">
        <v>0</v>
      </c>
      <c r="D805">
        <v>0</v>
      </c>
    </row>
    <row r="806" spans="1:4">
      <c r="A806">
        <v>805</v>
      </c>
      <c r="B806">
        <v>0</v>
      </c>
      <c r="C806">
        <v>0</v>
      </c>
      <c r="D806">
        <v>0</v>
      </c>
    </row>
    <row r="807" spans="1:4">
      <c r="A807">
        <v>806</v>
      </c>
      <c r="B807">
        <v>0</v>
      </c>
      <c r="C807">
        <v>0</v>
      </c>
      <c r="D807">
        <v>0</v>
      </c>
    </row>
    <row r="808" spans="1:4">
      <c r="A808">
        <v>807</v>
      </c>
      <c r="B808">
        <v>0</v>
      </c>
      <c r="C808">
        <v>0</v>
      </c>
      <c r="D808">
        <v>0</v>
      </c>
    </row>
    <row r="809" spans="1:4">
      <c r="A809">
        <v>808</v>
      </c>
      <c r="B809">
        <v>0</v>
      </c>
      <c r="C809">
        <v>0</v>
      </c>
      <c r="D809">
        <v>0</v>
      </c>
    </row>
    <row r="810" spans="1:4">
      <c r="A810">
        <v>809</v>
      </c>
      <c r="B810">
        <v>0</v>
      </c>
      <c r="C810">
        <v>0</v>
      </c>
      <c r="D810">
        <v>0</v>
      </c>
    </row>
    <row r="811" spans="1:4">
      <c r="A811">
        <v>810</v>
      </c>
      <c r="B811">
        <v>0</v>
      </c>
      <c r="C811">
        <v>0</v>
      </c>
      <c r="D811">
        <v>0</v>
      </c>
    </row>
    <row r="812" spans="1:4">
      <c r="A812">
        <v>811</v>
      </c>
      <c r="B812">
        <v>1</v>
      </c>
      <c r="C812">
        <v>0</v>
      </c>
      <c r="D812">
        <v>1</v>
      </c>
    </row>
    <row r="813" spans="1:4">
      <c r="A813">
        <v>812</v>
      </c>
      <c r="B813">
        <v>0</v>
      </c>
      <c r="C813">
        <v>0</v>
      </c>
      <c r="D813">
        <v>0</v>
      </c>
    </row>
    <row r="814" spans="1:4">
      <c r="A814">
        <v>813</v>
      </c>
      <c r="B814">
        <v>0</v>
      </c>
      <c r="C814">
        <v>0</v>
      </c>
      <c r="D814">
        <v>0</v>
      </c>
    </row>
    <row r="815" spans="1:4">
      <c r="A815">
        <v>814</v>
      </c>
      <c r="B815">
        <v>0</v>
      </c>
      <c r="C815">
        <v>0</v>
      </c>
      <c r="D815">
        <v>0</v>
      </c>
    </row>
    <row r="816" spans="1:4">
      <c r="A816">
        <v>815</v>
      </c>
      <c r="B816">
        <v>0</v>
      </c>
      <c r="C816">
        <v>0</v>
      </c>
      <c r="D816">
        <v>0</v>
      </c>
    </row>
    <row r="817" spans="1:4">
      <c r="A817">
        <v>816</v>
      </c>
      <c r="B817">
        <v>0</v>
      </c>
      <c r="C817">
        <v>0</v>
      </c>
      <c r="D817">
        <v>0</v>
      </c>
    </row>
    <row r="818" spans="1:4">
      <c r="A818">
        <v>817</v>
      </c>
      <c r="B818">
        <v>0</v>
      </c>
      <c r="C818">
        <v>0</v>
      </c>
      <c r="D818">
        <v>0</v>
      </c>
    </row>
    <row r="819" spans="1:4">
      <c r="A819">
        <v>818</v>
      </c>
      <c r="B819">
        <v>0</v>
      </c>
      <c r="C819">
        <v>0</v>
      </c>
      <c r="D819">
        <v>0</v>
      </c>
    </row>
    <row r="820" spans="1:4">
      <c r="A820">
        <v>819</v>
      </c>
      <c r="B820">
        <v>0</v>
      </c>
      <c r="C820">
        <v>0</v>
      </c>
      <c r="D820">
        <v>0</v>
      </c>
    </row>
    <row r="821" spans="1:4">
      <c r="A821">
        <v>820</v>
      </c>
      <c r="B821">
        <v>0</v>
      </c>
      <c r="C821">
        <v>0</v>
      </c>
      <c r="D821">
        <v>0</v>
      </c>
    </row>
    <row r="822" spans="1:4">
      <c r="A822">
        <v>821</v>
      </c>
      <c r="B822">
        <v>0</v>
      </c>
      <c r="C822">
        <v>0</v>
      </c>
      <c r="D822">
        <v>0</v>
      </c>
    </row>
    <row r="823" spans="1:4">
      <c r="A823">
        <v>822</v>
      </c>
      <c r="B823">
        <v>0</v>
      </c>
      <c r="C823">
        <v>0</v>
      </c>
      <c r="D823">
        <v>0</v>
      </c>
    </row>
    <row r="824" spans="1:4">
      <c r="A824">
        <v>823</v>
      </c>
      <c r="B824">
        <v>1</v>
      </c>
      <c r="C824">
        <v>1</v>
      </c>
      <c r="D824">
        <v>0</v>
      </c>
    </row>
    <row r="825" spans="1:4">
      <c r="A825">
        <v>824</v>
      </c>
      <c r="B825">
        <v>0</v>
      </c>
      <c r="C825">
        <v>0</v>
      </c>
      <c r="D825">
        <v>0</v>
      </c>
    </row>
    <row r="826" spans="1:4">
      <c r="A826">
        <v>825</v>
      </c>
      <c r="B826">
        <v>0</v>
      </c>
      <c r="C826">
        <v>0</v>
      </c>
      <c r="D826">
        <v>0</v>
      </c>
    </row>
    <row r="827" spans="1:4">
      <c r="A827">
        <v>826</v>
      </c>
      <c r="B827">
        <v>0</v>
      </c>
      <c r="C827">
        <v>0</v>
      </c>
      <c r="D827">
        <v>0</v>
      </c>
    </row>
    <row r="828" spans="1:4">
      <c r="A828">
        <v>827</v>
      </c>
      <c r="B828">
        <v>0</v>
      </c>
      <c r="C828">
        <v>0</v>
      </c>
      <c r="D828">
        <v>0</v>
      </c>
    </row>
    <row r="829" spans="1:4">
      <c r="A829">
        <v>828</v>
      </c>
      <c r="B829">
        <v>0</v>
      </c>
      <c r="C829">
        <v>0</v>
      </c>
      <c r="D829">
        <v>0</v>
      </c>
    </row>
    <row r="830" spans="1:4">
      <c r="A830">
        <v>829</v>
      </c>
      <c r="B830">
        <v>0</v>
      </c>
      <c r="C830">
        <v>0</v>
      </c>
      <c r="D830">
        <v>0</v>
      </c>
    </row>
    <row r="831" spans="1:4">
      <c r="A831">
        <v>830</v>
      </c>
      <c r="B831">
        <v>1</v>
      </c>
      <c r="C831">
        <v>0</v>
      </c>
      <c r="D831">
        <v>1</v>
      </c>
    </row>
    <row r="832" spans="1:4">
      <c r="A832">
        <v>831</v>
      </c>
      <c r="B832">
        <v>1</v>
      </c>
      <c r="C832">
        <v>1</v>
      </c>
      <c r="D832">
        <v>0</v>
      </c>
    </row>
    <row r="833" spans="1:4">
      <c r="A833">
        <v>832</v>
      </c>
      <c r="B833">
        <v>0</v>
      </c>
      <c r="C833">
        <v>0</v>
      </c>
      <c r="D833">
        <v>0</v>
      </c>
    </row>
    <row r="834" spans="1:4">
      <c r="A834">
        <v>833</v>
      </c>
      <c r="B834">
        <v>1</v>
      </c>
      <c r="C834">
        <v>1</v>
      </c>
      <c r="D834">
        <v>0</v>
      </c>
    </row>
    <row r="835" spans="1:4">
      <c r="A835">
        <v>834</v>
      </c>
      <c r="B835">
        <v>0</v>
      </c>
      <c r="C835">
        <v>0</v>
      </c>
      <c r="D835">
        <v>0</v>
      </c>
    </row>
    <row r="836" spans="1:4">
      <c r="A836">
        <v>835</v>
      </c>
      <c r="B836">
        <v>0</v>
      </c>
      <c r="C836">
        <v>0</v>
      </c>
      <c r="D836">
        <v>0</v>
      </c>
    </row>
    <row r="837" spans="1:4">
      <c r="A837">
        <v>836</v>
      </c>
      <c r="B837">
        <v>1</v>
      </c>
      <c r="C837">
        <v>1</v>
      </c>
      <c r="D837">
        <v>0</v>
      </c>
    </row>
    <row r="838" spans="1:4">
      <c r="A838">
        <v>837</v>
      </c>
      <c r="B838">
        <v>0</v>
      </c>
      <c r="C838">
        <v>0</v>
      </c>
      <c r="D838">
        <v>0</v>
      </c>
    </row>
    <row r="839" spans="1:4">
      <c r="A839">
        <v>838</v>
      </c>
      <c r="B839">
        <v>1</v>
      </c>
      <c r="C839">
        <v>1</v>
      </c>
      <c r="D839">
        <v>0</v>
      </c>
    </row>
    <row r="840" spans="1:4">
      <c r="A840">
        <v>839</v>
      </c>
      <c r="B840">
        <v>0</v>
      </c>
      <c r="C840">
        <v>0</v>
      </c>
      <c r="D840">
        <v>0</v>
      </c>
    </row>
    <row r="841" spans="1:4">
      <c r="A841">
        <v>840</v>
      </c>
      <c r="B841">
        <v>0</v>
      </c>
      <c r="C841">
        <v>0</v>
      </c>
      <c r="D841">
        <v>0</v>
      </c>
    </row>
    <row r="842" spans="1:4">
      <c r="A842">
        <v>841</v>
      </c>
      <c r="B842">
        <v>0</v>
      </c>
      <c r="C842">
        <v>0</v>
      </c>
      <c r="D842">
        <v>0</v>
      </c>
    </row>
    <row r="843" spans="1:4">
      <c r="A843">
        <v>842</v>
      </c>
      <c r="B843">
        <v>1</v>
      </c>
      <c r="C843">
        <v>1</v>
      </c>
      <c r="D843">
        <v>0</v>
      </c>
    </row>
    <row r="844" spans="1:4">
      <c r="A844">
        <v>843</v>
      </c>
      <c r="B844">
        <v>0</v>
      </c>
      <c r="C844">
        <v>0</v>
      </c>
      <c r="D844">
        <v>0</v>
      </c>
    </row>
    <row r="845" spans="1:4">
      <c r="A845">
        <v>844</v>
      </c>
      <c r="B845">
        <v>0</v>
      </c>
      <c r="C845">
        <v>0</v>
      </c>
      <c r="D845">
        <v>0</v>
      </c>
    </row>
    <row r="846" spans="1:4">
      <c r="A846">
        <v>845</v>
      </c>
      <c r="B846">
        <v>0</v>
      </c>
      <c r="C846">
        <v>0</v>
      </c>
      <c r="D846">
        <v>0</v>
      </c>
    </row>
    <row r="847" spans="1:4">
      <c r="A847">
        <v>846</v>
      </c>
      <c r="B847">
        <v>0</v>
      </c>
      <c r="C847">
        <v>0</v>
      </c>
      <c r="D847">
        <v>0</v>
      </c>
    </row>
    <row r="848" spans="1:4">
      <c r="A848">
        <v>847</v>
      </c>
      <c r="B848">
        <v>0</v>
      </c>
      <c r="C848">
        <v>0</v>
      </c>
      <c r="D848">
        <v>0</v>
      </c>
    </row>
    <row r="849" spans="1:4">
      <c r="A849">
        <v>848</v>
      </c>
      <c r="B849">
        <v>0</v>
      </c>
      <c r="C849">
        <v>0</v>
      </c>
      <c r="D849">
        <v>0</v>
      </c>
    </row>
    <row r="850" spans="1:4">
      <c r="A850">
        <v>849</v>
      </c>
      <c r="B850">
        <v>0</v>
      </c>
      <c r="C850">
        <v>0</v>
      </c>
      <c r="D850">
        <v>0</v>
      </c>
    </row>
    <row r="851" spans="1:4">
      <c r="A851">
        <v>850</v>
      </c>
      <c r="B851">
        <v>0</v>
      </c>
      <c r="C851">
        <v>0</v>
      </c>
      <c r="D851">
        <v>0</v>
      </c>
    </row>
    <row r="852" spans="1:4">
      <c r="A852">
        <v>851</v>
      </c>
      <c r="B852">
        <v>0</v>
      </c>
      <c r="C852">
        <v>0</v>
      </c>
      <c r="D852">
        <v>0</v>
      </c>
    </row>
    <row r="853" spans="1:4">
      <c r="A853">
        <v>852</v>
      </c>
      <c r="B853">
        <v>0</v>
      </c>
      <c r="C853">
        <v>0</v>
      </c>
      <c r="D853">
        <v>0</v>
      </c>
    </row>
    <row r="854" spans="1:4">
      <c r="A854">
        <v>853</v>
      </c>
      <c r="B854">
        <v>0</v>
      </c>
      <c r="C854">
        <v>0</v>
      </c>
      <c r="D854">
        <v>0</v>
      </c>
    </row>
    <row r="855" spans="1:4">
      <c r="A855">
        <v>854</v>
      </c>
      <c r="B855">
        <v>0</v>
      </c>
      <c r="C855">
        <v>0</v>
      </c>
      <c r="D855">
        <v>0</v>
      </c>
    </row>
    <row r="856" spans="1:4">
      <c r="A856">
        <v>855</v>
      </c>
      <c r="B856">
        <v>1</v>
      </c>
      <c r="C856">
        <v>1</v>
      </c>
      <c r="D856">
        <v>0</v>
      </c>
    </row>
    <row r="857" spans="1:4">
      <c r="A857">
        <v>856</v>
      </c>
      <c r="B857">
        <v>0</v>
      </c>
      <c r="C857">
        <v>0</v>
      </c>
      <c r="D857">
        <v>0</v>
      </c>
    </row>
    <row r="858" spans="1:4">
      <c r="A858">
        <v>857</v>
      </c>
      <c r="B858">
        <v>0</v>
      </c>
      <c r="C858">
        <v>0</v>
      </c>
      <c r="D858">
        <v>0</v>
      </c>
    </row>
    <row r="859" spans="1:4">
      <c r="A859">
        <v>858</v>
      </c>
      <c r="B859">
        <v>0</v>
      </c>
      <c r="C859">
        <v>0</v>
      </c>
      <c r="D859">
        <v>0</v>
      </c>
    </row>
    <row r="860" spans="1:4">
      <c r="A860">
        <v>859</v>
      </c>
      <c r="B860">
        <v>0</v>
      </c>
      <c r="C860">
        <v>0</v>
      </c>
      <c r="D860">
        <v>0</v>
      </c>
    </row>
    <row r="861" spans="1:4">
      <c r="A861">
        <v>860</v>
      </c>
      <c r="B861">
        <v>0</v>
      </c>
      <c r="C861">
        <v>0</v>
      </c>
      <c r="D861">
        <v>0</v>
      </c>
    </row>
    <row r="862" spans="1:4">
      <c r="A862">
        <v>861</v>
      </c>
      <c r="B862">
        <v>0</v>
      </c>
      <c r="C862">
        <v>0</v>
      </c>
      <c r="D862">
        <v>0</v>
      </c>
    </row>
    <row r="863" spans="1:4">
      <c r="A863">
        <v>862</v>
      </c>
      <c r="B863">
        <v>0</v>
      </c>
      <c r="C863">
        <v>0</v>
      </c>
      <c r="D863">
        <v>0</v>
      </c>
    </row>
    <row r="864" spans="1:4">
      <c r="A864">
        <v>863</v>
      </c>
      <c r="B864">
        <v>0</v>
      </c>
      <c r="C864">
        <v>0</v>
      </c>
      <c r="D864">
        <v>0</v>
      </c>
    </row>
    <row r="865" spans="1:4">
      <c r="A865">
        <v>864</v>
      </c>
      <c r="B865">
        <v>0</v>
      </c>
      <c r="C865">
        <v>0</v>
      </c>
      <c r="D865">
        <v>0</v>
      </c>
    </row>
    <row r="866" spans="1:4">
      <c r="A866">
        <v>865</v>
      </c>
      <c r="B866">
        <v>0</v>
      </c>
      <c r="C866">
        <v>0</v>
      </c>
      <c r="D866">
        <v>0</v>
      </c>
    </row>
    <row r="867" spans="1:4">
      <c r="A867">
        <v>866</v>
      </c>
      <c r="B867">
        <v>0</v>
      </c>
      <c r="C867">
        <v>1</v>
      </c>
      <c r="D867">
        <v>1</v>
      </c>
    </row>
    <row r="868" spans="1:4">
      <c r="A868">
        <v>867</v>
      </c>
      <c r="B868">
        <v>0</v>
      </c>
      <c r="C868">
        <v>1</v>
      </c>
      <c r="D868">
        <v>1</v>
      </c>
    </row>
    <row r="869" spans="1:4">
      <c r="A869">
        <v>868</v>
      </c>
      <c r="B869">
        <v>0</v>
      </c>
      <c r="C869">
        <v>0</v>
      </c>
      <c r="D869">
        <v>0</v>
      </c>
    </row>
    <row r="870" spans="1:4">
      <c r="A870">
        <v>869</v>
      </c>
      <c r="B870">
        <v>1</v>
      </c>
      <c r="C870">
        <v>1</v>
      </c>
      <c r="D870">
        <v>0</v>
      </c>
    </row>
    <row r="871" spans="1:4">
      <c r="A871">
        <v>870</v>
      </c>
      <c r="B871">
        <v>0</v>
      </c>
      <c r="C871">
        <v>0</v>
      </c>
      <c r="D871">
        <v>0</v>
      </c>
    </row>
    <row r="872" spans="1:4">
      <c r="A872">
        <v>871</v>
      </c>
      <c r="B872">
        <v>0</v>
      </c>
      <c r="C872">
        <v>0</v>
      </c>
      <c r="D872">
        <v>0</v>
      </c>
    </row>
    <row r="873" spans="1:4">
      <c r="A873">
        <v>872</v>
      </c>
      <c r="B873">
        <v>0</v>
      </c>
      <c r="C873">
        <v>0</v>
      </c>
      <c r="D873">
        <v>0</v>
      </c>
    </row>
    <row r="874" spans="1:4">
      <c r="A874">
        <v>873</v>
      </c>
      <c r="B874">
        <v>1</v>
      </c>
      <c r="C874">
        <v>1</v>
      </c>
      <c r="D874">
        <v>0</v>
      </c>
    </row>
    <row r="875" spans="1:4">
      <c r="A875">
        <v>874</v>
      </c>
      <c r="B875">
        <v>0</v>
      </c>
      <c r="C875">
        <v>0</v>
      </c>
      <c r="D875">
        <v>0</v>
      </c>
    </row>
    <row r="876" spans="1:4">
      <c r="A876">
        <v>875</v>
      </c>
      <c r="B876">
        <v>0</v>
      </c>
      <c r="C876">
        <v>0</v>
      </c>
      <c r="D876">
        <v>0</v>
      </c>
    </row>
    <row r="877" spans="1:4">
      <c r="A877">
        <v>876</v>
      </c>
      <c r="B877">
        <v>0</v>
      </c>
      <c r="C877">
        <v>0</v>
      </c>
      <c r="D877">
        <v>0</v>
      </c>
    </row>
    <row r="878" spans="1:4">
      <c r="A878">
        <v>877</v>
      </c>
      <c r="B878">
        <v>1</v>
      </c>
      <c r="C878">
        <v>1</v>
      </c>
      <c r="D878">
        <v>0</v>
      </c>
    </row>
    <row r="879" spans="1:4">
      <c r="A879">
        <v>878</v>
      </c>
      <c r="B879">
        <v>0</v>
      </c>
      <c r="C879">
        <v>0</v>
      </c>
      <c r="D879">
        <v>0</v>
      </c>
    </row>
    <row r="880" spans="1:4">
      <c r="A880">
        <v>879</v>
      </c>
      <c r="B880">
        <v>0</v>
      </c>
      <c r="C880">
        <v>0</v>
      </c>
      <c r="D880">
        <v>0</v>
      </c>
    </row>
    <row r="881" spans="1:4">
      <c r="A881">
        <v>880</v>
      </c>
      <c r="B881">
        <v>0</v>
      </c>
      <c r="C881">
        <v>0</v>
      </c>
      <c r="D881">
        <v>0</v>
      </c>
    </row>
    <row r="882" spans="1:4">
      <c r="A882">
        <v>881</v>
      </c>
      <c r="B882">
        <v>0</v>
      </c>
      <c r="C882">
        <v>0</v>
      </c>
      <c r="D882">
        <v>0</v>
      </c>
    </row>
    <row r="883" spans="1:4">
      <c r="A883">
        <v>882</v>
      </c>
      <c r="B883">
        <v>0</v>
      </c>
      <c r="C883">
        <v>0</v>
      </c>
      <c r="D883">
        <v>0</v>
      </c>
    </row>
    <row r="884" spans="1:4">
      <c r="A884">
        <v>883</v>
      </c>
      <c r="B884">
        <v>0</v>
      </c>
      <c r="C884">
        <v>0</v>
      </c>
      <c r="D884">
        <v>0</v>
      </c>
    </row>
    <row r="885" spans="1:4">
      <c r="A885">
        <v>884</v>
      </c>
      <c r="B885">
        <v>0</v>
      </c>
      <c r="C885">
        <v>0</v>
      </c>
      <c r="D885">
        <v>0</v>
      </c>
    </row>
    <row r="886" spans="1:4">
      <c r="A886">
        <v>885</v>
      </c>
      <c r="B886">
        <v>0</v>
      </c>
      <c r="C886">
        <v>0</v>
      </c>
      <c r="D886">
        <v>0</v>
      </c>
    </row>
    <row r="887" spans="1:4">
      <c r="A887">
        <v>886</v>
      </c>
      <c r="B887">
        <v>0</v>
      </c>
      <c r="C887">
        <v>0</v>
      </c>
      <c r="D887">
        <v>0</v>
      </c>
    </row>
    <row r="888" spans="1:4">
      <c r="A888">
        <v>887</v>
      </c>
      <c r="B888">
        <v>0</v>
      </c>
      <c r="C888">
        <v>0</v>
      </c>
      <c r="D888">
        <v>0</v>
      </c>
    </row>
    <row r="889" spans="1:4">
      <c r="A889">
        <v>888</v>
      </c>
      <c r="B889">
        <v>0</v>
      </c>
      <c r="C889">
        <v>0</v>
      </c>
      <c r="D889">
        <v>0</v>
      </c>
    </row>
    <row r="890" spans="1:4">
      <c r="A890">
        <v>889</v>
      </c>
      <c r="B890">
        <v>0</v>
      </c>
      <c r="C890">
        <v>0</v>
      </c>
      <c r="D890">
        <v>0</v>
      </c>
    </row>
    <row r="891" spans="1:4">
      <c r="A891">
        <v>890</v>
      </c>
      <c r="B891">
        <v>0</v>
      </c>
      <c r="C891">
        <v>0</v>
      </c>
      <c r="D891">
        <v>0</v>
      </c>
    </row>
    <row r="892" spans="1:4">
      <c r="A892">
        <v>891</v>
      </c>
      <c r="B892">
        <v>0</v>
      </c>
      <c r="C892">
        <v>0</v>
      </c>
      <c r="D892">
        <v>0</v>
      </c>
    </row>
    <row r="893" spans="1:4">
      <c r="A893">
        <v>892</v>
      </c>
      <c r="B893">
        <v>0</v>
      </c>
      <c r="C893">
        <v>0</v>
      </c>
      <c r="D893">
        <v>0</v>
      </c>
    </row>
    <row r="894" spans="1:4">
      <c r="A894">
        <v>893</v>
      </c>
      <c r="B894">
        <v>0</v>
      </c>
      <c r="C894">
        <v>0</v>
      </c>
      <c r="D894">
        <v>0</v>
      </c>
    </row>
    <row r="895" spans="1:4">
      <c r="A895">
        <v>894</v>
      </c>
      <c r="B895">
        <v>0</v>
      </c>
      <c r="C895">
        <v>0</v>
      </c>
      <c r="D895">
        <v>0</v>
      </c>
    </row>
    <row r="896" spans="1:4">
      <c r="A896">
        <v>895</v>
      </c>
      <c r="B896">
        <v>0</v>
      </c>
      <c r="C896">
        <v>0</v>
      </c>
      <c r="D896">
        <v>0</v>
      </c>
    </row>
    <row r="897" spans="1:4">
      <c r="A897">
        <v>896</v>
      </c>
      <c r="B897">
        <v>0</v>
      </c>
      <c r="C897">
        <v>0</v>
      </c>
      <c r="D897">
        <v>0</v>
      </c>
    </row>
    <row r="898" spans="1:4">
      <c r="A898">
        <v>897</v>
      </c>
      <c r="B898">
        <v>0</v>
      </c>
      <c r="C898">
        <v>0</v>
      </c>
      <c r="D898">
        <v>0</v>
      </c>
    </row>
    <row r="899" spans="1:4">
      <c r="A899">
        <v>898</v>
      </c>
      <c r="B899">
        <v>0</v>
      </c>
      <c r="C899">
        <v>0</v>
      </c>
      <c r="D899">
        <v>0</v>
      </c>
    </row>
    <row r="900" spans="1:4">
      <c r="A900">
        <v>899</v>
      </c>
      <c r="B900">
        <v>0</v>
      </c>
      <c r="C900">
        <v>0</v>
      </c>
      <c r="D900">
        <v>0</v>
      </c>
    </row>
    <row r="901" spans="1:4">
      <c r="A901">
        <v>900</v>
      </c>
      <c r="B901">
        <v>0</v>
      </c>
      <c r="C901">
        <v>0</v>
      </c>
      <c r="D901">
        <v>0</v>
      </c>
    </row>
    <row r="902" spans="1:4">
      <c r="A902">
        <v>901</v>
      </c>
      <c r="B902">
        <v>1</v>
      </c>
      <c r="C902">
        <v>1</v>
      </c>
      <c r="D902">
        <v>0</v>
      </c>
    </row>
    <row r="903" spans="1:4">
      <c r="A903">
        <v>902</v>
      </c>
      <c r="B903">
        <v>0</v>
      </c>
      <c r="C903">
        <v>0</v>
      </c>
      <c r="D903">
        <v>0</v>
      </c>
    </row>
    <row r="904" spans="1:4">
      <c r="A904">
        <v>903</v>
      </c>
      <c r="B904">
        <v>1</v>
      </c>
      <c r="C904">
        <v>1</v>
      </c>
      <c r="D904">
        <v>0</v>
      </c>
    </row>
    <row r="905" spans="1:4">
      <c r="A905">
        <v>904</v>
      </c>
      <c r="B905">
        <v>0</v>
      </c>
      <c r="C905">
        <v>0</v>
      </c>
      <c r="D905">
        <v>0</v>
      </c>
    </row>
    <row r="906" spans="1:4">
      <c r="A906">
        <v>905</v>
      </c>
      <c r="B906">
        <v>1</v>
      </c>
      <c r="C906">
        <v>1</v>
      </c>
      <c r="D906">
        <v>0</v>
      </c>
    </row>
    <row r="907" spans="1:4">
      <c r="A907">
        <v>906</v>
      </c>
      <c r="B907">
        <v>0</v>
      </c>
      <c r="C907">
        <v>0</v>
      </c>
      <c r="D907">
        <v>0</v>
      </c>
    </row>
    <row r="908" spans="1:4">
      <c r="A908">
        <v>907</v>
      </c>
      <c r="B908">
        <v>0</v>
      </c>
      <c r="C908">
        <v>0</v>
      </c>
      <c r="D908">
        <v>0</v>
      </c>
    </row>
    <row r="909" spans="1:4">
      <c r="A909">
        <v>908</v>
      </c>
      <c r="B909">
        <v>0</v>
      </c>
      <c r="C909">
        <v>0</v>
      </c>
      <c r="D909">
        <v>0</v>
      </c>
    </row>
    <row r="910" spans="1:4">
      <c r="A910">
        <v>909</v>
      </c>
      <c r="B910">
        <v>0</v>
      </c>
      <c r="C910">
        <v>0</v>
      </c>
      <c r="D910">
        <v>0</v>
      </c>
    </row>
    <row r="911" spans="1:4">
      <c r="A911">
        <v>910</v>
      </c>
      <c r="B911">
        <v>1</v>
      </c>
      <c r="C911">
        <v>1</v>
      </c>
      <c r="D911">
        <v>0</v>
      </c>
    </row>
    <row r="912" spans="1:4">
      <c r="A912">
        <v>911</v>
      </c>
      <c r="B912">
        <v>0</v>
      </c>
      <c r="C912">
        <v>0</v>
      </c>
      <c r="D912">
        <v>0</v>
      </c>
    </row>
    <row r="913" spans="1:4">
      <c r="A913">
        <v>912</v>
      </c>
      <c r="B913">
        <v>0</v>
      </c>
      <c r="C913">
        <v>0</v>
      </c>
      <c r="D913">
        <v>0</v>
      </c>
    </row>
    <row r="914" spans="1:4">
      <c r="A914">
        <v>913</v>
      </c>
      <c r="B914">
        <v>1</v>
      </c>
      <c r="C914">
        <v>1</v>
      </c>
      <c r="D914">
        <v>0</v>
      </c>
    </row>
    <row r="915" spans="1:4">
      <c r="A915">
        <v>914</v>
      </c>
      <c r="B915">
        <v>0</v>
      </c>
      <c r="C915">
        <v>0</v>
      </c>
      <c r="D915">
        <v>0</v>
      </c>
    </row>
    <row r="916" spans="1:4">
      <c r="A916">
        <v>915</v>
      </c>
      <c r="B916">
        <v>0</v>
      </c>
      <c r="C916">
        <v>0</v>
      </c>
      <c r="D916">
        <v>0</v>
      </c>
    </row>
    <row r="917" spans="1:4">
      <c r="A917">
        <v>916</v>
      </c>
      <c r="B917">
        <v>0</v>
      </c>
      <c r="C917">
        <v>0</v>
      </c>
      <c r="D917">
        <v>0</v>
      </c>
    </row>
    <row r="918" spans="1:4">
      <c r="A918">
        <v>917</v>
      </c>
      <c r="B918">
        <v>1</v>
      </c>
      <c r="C918">
        <v>1</v>
      </c>
      <c r="D918">
        <v>0</v>
      </c>
    </row>
    <row r="919" spans="1:4">
      <c r="A919">
        <v>918</v>
      </c>
      <c r="B919">
        <v>0</v>
      </c>
      <c r="C919">
        <v>0</v>
      </c>
      <c r="D919">
        <v>0</v>
      </c>
    </row>
    <row r="920" spans="1:4">
      <c r="A920">
        <v>919</v>
      </c>
      <c r="B920">
        <v>0</v>
      </c>
      <c r="C920">
        <v>1</v>
      </c>
      <c r="D920">
        <v>1</v>
      </c>
    </row>
    <row r="921" spans="1:4">
      <c r="A921">
        <v>920</v>
      </c>
      <c r="B921">
        <v>0</v>
      </c>
      <c r="C921">
        <v>0</v>
      </c>
      <c r="D921">
        <v>0</v>
      </c>
    </row>
    <row r="922" spans="1:4">
      <c r="A922">
        <v>921</v>
      </c>
      <c r="B922">
        <v>0</v>
      </c>
      <c r="C922">
        <v>0</v>
      </c>
      <c r="D922">
        <v>0</v>
      </c>
    </row>
    <row r="923" spans="1:4">
      <c r="A923">
        <v>922</v>
      </c>
      <c r="B923">
        <v>0</v>
      </c>
      <c r="C923">
        <v>0</v>
      </c>
      <c r="D923">
        <v>0</v>
      </c>
    </row>
    <row r="924" spans="1:4">
      <c r="A924">
        <v>923</v>
      </c>
      <c r="B924">
        <v>1</v>
      </c>
      <c r="C924">
        <v>1</v>
      </c>
      <c r="D924">
        <v>0</v>
      </c>
    </row>
    <row r="925" spans="1:4">
      <c r="A925">
        <v>924</v>
      </c>
      <c r="B925">
        <v>1</v>
      </c>
      <c r="C925">
        <v>1</v>
      </c>
      <c r="D925">
        <v>0</v>
      </c>
    </row>
    <row r="926" spans="1:4">
      <c r="A926">
        <v>925</v>
      </c>
      <c r="B926">
        <v>0</v>
      </c>
      <c r="C926">
        <v>0</v>
      </c>
      <c r="D926">
        <v>0</v>
      </c>
    </row>
    <row r="927" spans="1:4">
      <c r="A927">
        <v>926</v>
      </c>
      <c r="B927">
        <v>0</v>
      </c>
      <c r="C927">
        <v>0</v>
      </c>
      <c r="D927">
        <v>0</v>
      </c>
    </row>
    <row r="928" spans="1:4">
      <c r="A928">
        <v>927</v>
      </c>
      <c r="B928">
        <v>0</v>
      </c>
      <c r="C928">
        <v>0</v>
      </c>
      <c r="D928">
        <v>0</v>
      </c>
    </row>
    <row r="929" spans="1:4">
      <c r="A929">
        <v>928</v>
      </c>
      <c r="B929">
        <v>0</v>
      </c>
      <c r="C929">
        <v>0</v>
      </c>
      <c r="D929">
        <v>0</v>
      </c>
    </row>
    <row r="930" spans="1:4">
      <c r="A930">
        <v>929</v>
      </c>
      <c r="B930">
        <v>0</v>
      </c>
      <c r="C930">
        <v>0</v>
      </c>
      <c r="D930">
        <v>0</v>
      </c>
    </row>
    <row r="931" spans="1:4">
      <c r="A931">
        <v>930</v>
      </c>
      <c r="B931">
        <v>1</v>
      </c>
      <c r="C931">
        <v>1</v>
      </c>
      <c r="D931">
        <v>0</v>
      </c>
    </row>
    <row r="932" spans="1:4">
      <c r="A932">
        <v>931</v>
      </c>
      <c r="B932">
        <v>0</v>
      </c>
      <c r="C932">
        <v>0</v>
      </c>
      <c r="D932">
        <v>0</v>
      </c>
    </row>
    <row r="933" spans="1:4">
      <c r="A933">
        <v>932</v>
      </c>
      <c r="B933">
        <v>0</v>
      </c>
      <c r="C933">
        <v>0</v>
      </c>
      <c r="D933">
        <v>0</v>
      </c>
    </row>
    <row r="934" spans="1:4">
      <c r="A934">
        <v>933</v>
      </c>
      <c r="B934">
        <v>0</v>
      </c>
      <c r="C934">
        <v>0</v>
      </c>
      <c r="D934">
        <v>0</v>
      </c>
    </row>
    <row r="935" spans="1:4">
      <c r="A935">
        <v>934</v>
      </c>
      <c r="B935">
        <v>0</v>
      </c>
      <c r="C935">
        <v>1</v>
      </c>
      <c r="D935">
        <v>1</v>
      </c>
    </row>
    <row r="936" spans="1:4">
      <c r="A936">
        <v>935</v>
      </c>
      <c r="B936">
        <v>0</v>
      </c>
      <c r="C936">
        <v>0</v>
      </c>
      <c r="D936">
        <v>0</v>
      </c>
    </row>
    <row r="937" spans="1:4">
      <c r="A937">
        <v>936</v>
      </c>
      <c r="B937">
        <v>0</v>
      </c>
      <c r="C937">
        <v>0</v>
      </c>
      <c r="D937">
        <v>0</v>
      </c>
    </row>
    <row r="938" spans="1:4">
      <c r="A938">
        <v>937</v>
      </c>
      <c r="B938">
        <v>1</v>
      </c>
      <c r="C938">
        <v>1</v>
      </c>
      <c r="D938">
        <v>0</v>
      </c>
    </row>
    <row r="939" spans="1:4">
      <c r="A939">
        <v>938</v>
      </c>
      <c r="B939">
        <v>1</v>
      </c>
      <c r="C939">
        <v>1</v>
      </c>
      <c r="D939">
        <v>0</v>
      </c>
    </row>
    <row r="940" spans="1:4">
      <c r="A940">
        <v>939</v>
      </c>
      <c r="B940">
        <v>0</v>
      </c>
      <c r="C940">
        <v>0</v>
      </c>
      <c r="D940">
        <v>0</v>
      </c>
    </row>
    <row r="941" spans="1:4">
      <c r="A941">
        <v>940</v>
      </c>
      <c r="B941">
        <v>1</v>
      </c>
      <c r="C941">
        <v>1</v>
      </c>
      <c r="D941">
        <v>0</v>
      </c>
    </row>
    <row r="942" spans="1:4">
      <c r="A942">
        <v>941</v>
      </c>
      <c r="B942">
        <v>0</v>
      </c>
      <c r="C942">
        <v>0</v>
      </c>
      <c r="D942">
        <v>0</v>
      </c>
    </row>
    <row r="943" spans="1:4">
      <c r="A943">
        <v>942</v>
      </c>
      <c r="B943">
        <v>0</v>
      </c>
      <c r="C943">
        <v>0</v>
      </c>
      <c r="D943">
        <v>0</v>
      </c>
    </row>
    <row r="944" spans="1:4">
      <c r="A944">
        <v>943</v>
      </c>
      <c r="B944">
        <v>0</v>
      </c>
      <c r="C944">
        <v>0</v>
      </c>
      <c r="D944">
        <v>0</v>
      </c>
    </row>
    <row r="945" spans="1:4">
      <c r="A945">
        <v>944</v>
      </c>
      <c r="B945">
        <v>0</v>
      </c>
      <c r="C945">
        <v>0</v>
      </c>
      <c r="D945">
        <v>0</v>
      </c>
    </row>
    <row r="946" spans="1:4">
      <c r="A946">
        <v>945</v>
      </c>
      <c r="B946">
        <v>1</v>
      </c>
      <c r="C946">
        <v>1</v>
      </c>
      <c r="D946">
        <v>0</v>
      </c>
    </row>
    <row r="947" spans="1:4">
      <c r="A947">
        <v>946</v>
      </c>
      <c r="B947">
        <v>0</v>
      </c>
      <c r="C947">
        <v>0</v>
      </c>
      <c r="D947">
        <v>0</v>
      </c>
    </row>
    <row r="948" spans="1:4">
      <c r="A948">
        <v>947</v>
      </c>
      <c r="B948">
        <v>0</v>
      </c>
      <c r="C948">
        <v>0</v>
      </c>
      <c r="D948">
        <v>0</v>
      </c>
    </row>
    <row r="949" spans="1:4">
      <c r="A949">
        <v>948</v>
      </c>
      <c r="B949">
        <v>0</v>
      </c>
      <c r="C949">
        <v>0</v>
      </c>
      <c r="D949">
        <v>0</v>
      </c>
    </row>
    <row r="950" spans="1:4">
      <c r="A950">
        <v>949</v>
      </c>
      <c r="B950">
        <v>0</v>
      </c>
      <c r="C950">
        <v>0</v>
      </c>
      <c r="D950">
        <v>0</v>
      </c>
    </row>
    <row r="951" spans="1:4">
      <c r="A951">
        <v>950</v>
      </c>
      <c r="B951">
        <v>0</v>
      </c>
      <c r="C951">
        <v>0</v>
      </c>
      <c r="D951">
        <v>0</v>
      </c>
    </row>
    <row r="952" spans="1:4">
      <c r="A952">
        <v>951</v>
      </c>
      <c r="B952">
        <v>0</v>
      </c>
      <c r="C952">
        <v>0</v>
      </c>
      <c r="D952">
        <v>0</v>
      </c>
    </row>
    <row r="953" spans="1:4">
      <c r="A953">
        <v>952</v>
      </c>
      <c r="B953">
        <v>0</v>
      </c>
      <c r="C953">
        <v>0</v>
      </c>
      <c r="D953">
        <v>0</v>
      </c>
    </row>
    <row r="954" spans="1:4">
      <c r="A954">
        <v>953</v>
      </c>
      <c r="B954">
        <v>0</v>
      </c>
      <c r="C954">
        <v>0</v>
      </c>
      <c r="D954">
        <v>0</v>
      </c>
    </row>
    <row r="955" spans="1:4">
      <c r="A955">
        <v>954</v>
      </c>
      <c r="B955">
        <v>0</v>
      </c>
      <c r="C955">
        <v>0</v>
      </c>
      <c r="D955">
        <v>0</v>
      </c>
    </row>
    <row r="956" spans="1:4">
      <c r="A956">
        <v>955</v>
      </c>
      <c r="B956">
        <v>0</v>
      </c>
      <c r="C956">
        <v>0</v>
      </c>
      <c r="D956">
        <v>0</v>
      </c>
    </row>
    <row r="957" spans="1:4">
      <c r="A957">
        <v>956</v>
      </c>
      <c r="B957">
        <v>0</v>
      </c>
      <c r="C957">
        <v>0</v>
      </c>
      <c r="D957">
        <v>0</v>
      </c>
    </row>
    <row r="958" spans="1:4">
      <c r="A958">
        <v>957</v>
      </c>
      <c r="B958">
        <v>0</v>
      </c>
      <c r="C958">
        <v>0</v>
      </c>
      <c r="D958">
        <v>0</v>
      </c>
    </row>
    <row r="959" spans="1:4">
      <c r="A959">
        <v>958</v>
      </c>
      <c r="B959">
        <v>1</v>
      </c>
      <c r="C959">
        <v>1</v>
      </c>
      <c r="D959">
        <v>0</v>
      </c>
    </row>
    <row r="960" spans="1:4">
      <c r="A960">
        <v>959</v>
      </c>
      <c r="B960">
        <v>0</v>
      </c>
      <c r="C960">
        <v>0</v>
      </c>
      <c r="D960">
        <v>0</v>
      </c>
    </row>
    <row r="961" spans="1:4">
      <c r="A961">
        <v>960</v>
      </c>
      <c r="B961">
        <v>0</v>
      </c>
      <c r="C961">
        <v>0</v>
      </c>
      <c r="D961">
        <v>0</v>
      </c>
    </row>
    <row r="962" spans="1:4">
      <c r="A962">
        <v>961</v>
      </c>
      <c r="B962">
        <v>0</v>
      </c>
      <c r="C962">
        <v>0</v>
      </c>
      <c r="D962">
        <v>0</v>
      </c>
    </row>
    <row r="963" spans="1:4">
      <c r="A963">
        <v>962</v>
      </c>
      <c r="B963">
        <v>0</v>
      </c>
      <c r="C963">
        <v>0</v>
      </c>
      <c r="D963">
        <v>0</v>
      </c>
    </row>
    <row r="964" spans="1:4">
      <c r="A964">
        <v>963</v>
      </c>
      <c r="B964">
        <v>0</v>
      </c>
      <c r="C964">
        <v>0</v>
      </c>
      <c r="D964">
        <v>0</v>
      </c>
    </row>
    <row r="965" spans="1:4">
      <c r="A965">
        <v>964</v>
      </c>
      <c r="B965">
        <v>0</v>
      </c>
      <c r="C965">
        <v>0</v>
      </c>
      <c r="D965">
        <v>0</v>
      </c>
    </row>
    <row r="966" spans="1:4">
      <c r="A966">
        <v>965</v>
      </c>
      <c r="B966">
        <v>0</v>
      </c>
      <c r="C966">
        <v>0</v>
      </c>
      <c r="D966">
        <v>0</v>
      </c>
    </row>
    <row r="967" spans="1:4">
      <c r="A967">
        <v>966</v>
      </c>
      <c r="B967">
        <v>0</v>
      </c>
      <c r="C967">
        <v>0</v>
      </c>
      <c r="D967">
        <v>0</v>
      </c>
    </row>
    <row r="968" spans="1:4">
      <c r="A968">
        <v>967</v>
      </c>
      <c r="B968">
        <v>0</v>
      </c>
      <c r="C968">
        <v>0</v>
      </c>
      <c r="D968">
        <v>0</v>
      </c>
    </row>
    <row r="969" spans="1:4">
      <c r="A969">
        <v>968</v>
      </c>
      <c r="B969">
        <v>0</v>
      </c>
      <c r="C969">
        <v>0</v>
      </c>
      <c r="D969">
        <v>0</v>
      </c>
    </row>
    <row r="970" spans="1:4">
      <c r="A970">
        <v>969</v>
      </c>
      <c r="B970">
        <v>0</v>
      </c>
      <c r="C970">
        <v>0</v>
      </c>
      <c r="D970">
        <v>0</v>
      </c>
    </row>
    <row r="971" spans="1:4">
      <c r="A971">
        <v>970</v>
      </c>
      <c r="B971">
        <v>0</v>
      </c>
      <c r="C971">
        <v>0</v>
      </c>
      <c r="D971">
        <v>0</v>
      </c>
    </row>
    <row r="972" spans="1:4">
      <c r="A972">
        <v>971</v>
      </c>
      <c r="B972">
        <v>0</v>
      </c>
      <c r="C972">
        <v>0</v>
      </c>
      <c r="D972">
        <v>0</v>
      </c>
    </row>
    <row r="973" spans="1:4">
      <c r="A973">
        <v>972</v>
      </c>
      <c r="B973">
        <v>0</v>
      </c>
      <c r="C973">
        <v>0</v>
      </c>
      <c r="D973">
        <v>0</v>
      </c>
    </row>
    <row r="974" spans="1:4">
      <c r="A974">
        <v>973</v>
      </c>
      <c r="B974">
        <v>0</v>
      </c>
      <c r="C974">
        <v>0</v>
      </c>
      <c r="D974">
        <v>0</v>
      </c>
    </row>
    <row r="975" spans="1:4">
      <c r="A975">
        <v>974</v>
      </c>
      <c r="B975">
        <v>0</v>
      </c>
      <c r="C975">
        <v>0</v>
      </c>
      <c r="D975">
        <v>0</v>
      </c>
    </row>
    <row r="976" spans="1:4">
      <c r="A976">
        <v>975</v>
      </c>
      <c r="B976">
        <v>0</v>
      </c>
      <c r="C976">
        <v>0</v>
      </c>
      <c r="D976">
        <v>0</v>
      </c>
    </row>
    <row r="977" spans="1:4">
      <c r="A977">
        <v>976</v>
      </c>
      <c r="B977">
        <v>0</v>
      </c>
      <c r="C977">
        <v>0</v>
      </c>
      <c r="D977">
        <v>0</v>
      </c>
    </row>
    <row r="978" spans="1:4">
      <c r="A978">
        <v>977</v>
      </c>
      <c r="B978">
        <v>0</v>
      </c>
      <c r="C978">
        <v>0</v>
      </c>
      <c r="D978">
        <v>0</v>
      </c>
    </row>
    <row r="979" spans="1:4">
      <c r="A979">
        <v>978</v>
      </c>
      <c r="B979">
        <v>0</v>
      </c>
      <c r="C979">
        <v>0</v>
      </c>
      <c r="D979">
        <v>0</v>
      </c>
    </row>
    <row r="980" spans="1:4">
      <c r="A980">
        <v>979</v>
      </c>
      <c r="B980">
        <v>0</v>
      </c>
      <c r="C980">
        <v>0</v>
      </c>
      <c r="D980">
        <v>0</v>
      </c>
    </row>
    <row r="981" spans="1:4">
      <c r="A981">
        <v>980</v>
      </c>
      <c r="B981">
        <v>0</v>
      </c>
      <c r="C981">
        <v>0</v>
      </c>
      <c r="D981">
        <v>0</v>
      </c>
    </row>
    <row r="982" spans="1:4">
      <c r="A982">
        <v>981</v>
      </c>
      <c r="B982">
        <v>0</v>
      </c>
      <c r="C982">
        <v>0</v>
      </c>
      <c r="D982">
        <v>0</v>
      </c>
    </row>
    <row r="983" spans="1:4">
      <c r="A983">
        <v>982</v>
      </c>
      <c r="B983">
        <v>0</v>
      </c>
      <c r="C983">
        <v>0</v>
      </c>
      <c r="D983">
        <v>0</v>
      </c>
    </row>
    <row r="984" spans="1:4">
      <c r="A984">
        <v>983</v>
      </c>
      <c r="B984">
        <v>0</v>
      </c>
      <c r="C984">
        <v>0</v>
      </c>
      <c r="D984">
        <v>0</v>
      </c>
    </row>
    <row r="985" spans="1:4">
      <c r="A985">
        <v>984</v>
      </c>
      <c r="B985">
        <v>0</v>
      </c>
      <c r="C985">
        <v>0</v>
      </c>
      <c r="D985">
        <v>0</v>
      </c>
    </row>
    <row r="986" spans="1:4">
      <c r="A986">
        <v>985</v>
      </c>
      <c r="B986">
        <v>0</v>
      </c>
      <c r="C986">
        <v>0</v>
      </c>
      <c r="D986">
        <v>0</v>
      </c>
    </row>
    <row r="987" spans="1:4">
      <c r="A987">
        <v>986</v>
      </c>
      <c r="B987">
        <v>0</v>
      </c>
      <c r="C987">
        <v>0</v>
      </c>
      <c r="D987">
        <v>0</v>
      </c>
    </row>
    <row r="988" spans="1:4">
      <c r="A988">
        <v>987</v>
      </c>
      <c r="B988">
        <v>0</v>
      </c>
      <c r="C988">
        <v>0</v>
      </c>
      <c r="D988">
        <v>0</v>
      </c>
    </row>
    <row r="989" spans="1:4">
      <c r="A989">
        <v>988</v>
      </c>
      <c r="B989">
        <v>0</v>
      </c>
      <c r="C989">
        <v>0</v>
      </c>
      <c r="D989">
        <v>0</v>
      </c>
    </row>
    <row r="990" spans="1:4">
      <c r="A990">
        <v>989</v>
      </c>
      <c r="B990">
        <v>0</v>
      </c>
      <c r="C990">
        <v>0</v>
      </c>
      <c r="D990">
        <v>0</v>
      </c>
    </row>
    <row r="991" spans="1:4">
      <c r="A991">
        <v>990</v>
      </c>
      <c r="B991">
        <v>0</v>
      </c>
      <c r="C991">
        <v>0</v>
      </c>
      <c r="D991">
        <v>0</v>
      </c>
    </row>
    <row r="992" spans="1:4">
      <c r="A992">
        <v>991</v>
      </c>
      <c r="B992">
        <v>0</v>
      </c>
      <c r="C992">
        <v>0</v>
      </c>
      <c r="D992">
        <v>0</v>
      </c>
    </row>
    <row r="993" spans="1:4">
      <c r="A993">
        <v>992</v>
      </c>
      <c r="B993">
        <v>0</v>
      </c>
      <c r="C993">
        <v>0</v>
      </c>
      <c r="D993">
        <v>0</v>
      </c>
    </row>
    <row r="994" spans="1:4">
      <c r="A994">
        <v>993</v>
      </c>
      <c r="B994">
        <v>0</v>
      </c>
      <c r="C994">
        <v>0</v>
      </c>
      <c r="D994">
        <v>0</v>
      </c>
    </row>
    <row r="995" spans="1:4">
      <c r="A995">
        <v>994</v>
      </c>
      <c r="B995">
        <v>1</v>
      </c>
      <c r="C995">
        <v>1</v>
      </c>
      <c r="D995">
        <v>0</v>
      </c>
    </row>
    <row r="996" spans="1:4">
      <c r="A996">
        <v>995</v>
      </c>
      <c r="B996">
        <v>0</v>
      </c>
      <c r="C996">
        <v>0</v>
      </c>
      <c r="D996">
        <v>0</v>
      </c>
    </row>
    <row r="997" spans="1:4">
      <c r="A997">
        <v>996</v>
      </c>
      <c r="B997">
        <v>0</v>
      </c>
      <c r="C997">
        <v>0</v>
      </c>
      <c r="D997">
        <v>0</v>
      </c>
    </row>
    <row r="998" spans="1:4">
      <c r="A998">
        <v>997</v>
      </c>
      <c r="B998">
        <v>0</v>
      </c>
      <c r="C998">
        <v>0</v>
      </c>
      <c r="D998">
        <v>0</v>
      </c>
    </row>
    <row r="999" spans="1:4">
      <c r="A999">
        <v>998</v>
      </c>
      <c r="B999">
        <v>0</v>
      </c>
      <c r="C999">
        <v>0</v>
      </c>
      <c r="D999">
        <v>0</v>
      </c>
    </row>
    <row r="1000" spans="1:4">
      <c r="A1000">
        <v>999</v>
      </c>
      <c r="B1000">
        <v>0</v>
      </c>
      <c r="C1000">
        <v>0</v>
      </c>
      <c r="D1000">
        <v>0</v>
      </c>
    </row>
    <row r="1001" spans="1:4">
      <c r="A1001">
        <v>1000</v>
      </c>
      <c r="B1001">
        <v>0</v>
      </c>
      <c r="C1001">
        <v>0</v>
      </c>
      <c r="D10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L13" sqref="L13"/>
    </sheetView>
  </sheetViews>
  <sheetFormatPr defaultRowHeight="14.4"/>
  <cols>
    <col min="3" max="3" width="10" customWidth="1"/>
    <col min="4" max="5" width="11.5546875" bestFit="1" customWidth="1"/>
    <col min="6" max="6" width="21.33203125" bestFit="1" customWidth="1"/>
  </cols>
  <sheetData>
    <row r="1" spans="1:7">
      <c r="A1" s="1" t="s">
        <v>12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14</v>
      </c>
      <c r="B2">
        <v>495</v>
      </c>
      <c r="C2" s="10">
        <f>AVERAGEIF(Corporate_Data!M2:M1001,"Development",Corporate_Data!C2:C1001)</f>
        <v>46179.563409563409</v>
      </c>
      <c r="D2" s="10">
        <f>AVERAGEIF(Corporate_Data!M2:M1001,"Development",Corporate_Data!D2:D1001)</f>
        <v>17297.058585858587</v>
      </c>
      <c r="E2" s="10">
        <f>AVERAGEIF(Corporate_Data!M2:M1001,"Development",Corporate_Data!E2:E1001)</f>
        <v>1.5309033613445371</v>
      </c>
      <c r="F2" s="10">
        <f>AVERAGEIF(Corporate_Data!M2:M1001,"Development",Corporate_Data!F2:F1001)</f>
        <v>1.1149090909090917</v>
      </c>
      <c r="G2">
        <v>0.1393939393939394</v>
      </c>
    </row>
    <row r="3" spans="1:7">
      <c r="A3" t="s">
        <v>15</v>
      </c>
      <c r="B3">
        <v>505</v>
      </c>
      <c r="C3">
        <f>AVERAGEIF(Corporate_Data!M2:M1001,"Validation",Corporate_Data!C2:C1001)</f>
        <v>48072.939271255062</v>
      </c>
      <c r="D3">
        <f>AVERAGEIF(Corporate_Data!M2:M1001,"Validation",Corporate_Data!D2:D1001)</f>
        <v>16705.637623762377</v>
      </c>
      <c r="E3">
        <f>AVERAGEIF(Corporate_Data!M2:M1001,"Validation",Corporate_Data!E2:E1001)</f>
        <v>1.5665991902834007</v>
      </c>
      <c r="F3">
        <f>AVERAGEIF(Corporate_Data!M2:M1001,"Validation",Corporate_Data!F2:F1001)</f>
        <v>1.0994653465346529</v>
      </c>
      <c r="G3">
        <v>0.12673267326732671</v>
      </c>
    </row>
    <row r="5" spans="1:7">
      <c r="A5" s="7" t="s">
        <v>51</v>
      </c>
      <c r="B5" s="7" t="s">
        <v>52</v>
      </c>
      <c r="C5" s="7" t="s">
        <v>53</v>
      </c>
      <c r="D5" s="7" t="s">
        <v>54</v>
      </c>
      <c r="E5" s="7" t="s">
        <v>55</v>
      </c>
      <c r="F5" s="7" t="s">
        <v>56</v>
      </c>
    </row>
    <row r="6" spans="1:7" ht="43.2">
      <c r="A6" s="12" t="s">
        <v>40</v>
      </c>
      <c r="B6" s="12" t="s">
        <v>41</v>
      </c>
      <c r="C6" s="12" t="s">
        <v>42</v>
      </c>
      <c r="D6" s="12" t="s">
        <v>43</v>
      </c>
      <c r="E6" s="12" t="s">
        <v>44</v>
      </c>
      <c r="F6" s="12" t="s">
        <v>45</v>
      </c>
    </row>
    <row r="7" spans="1:7" ht="21.6" customHeight="1">
      <c r="A7" s="13" t="s">
        <v>46</v>
      </c>
      <c r="B7" s="11">
        <f>COUNTIFS(Corporate_Data!H:H,"&lt;600",Corporate_Data!M:M,"Development")</f>
        <v>34</v>
      </c>
      <c r="C7" s="11">
        <f>COUNTIFS(Corporate_Data!H:H,"&lt;600",Corporate_Data!M:M,"Validation")</f>
        <v>47</v>
      </c>
      <c r="D7" s="14">
        <f>B7/$B$12</f>
        <v>7.0393374741200831E-2</v>
      </c>
      <c r="E7" s="14">
        <f>C7/$C$12</f>
        <v>9.4567404426559351E-2</v>
      </c>
      <c r="F7" s="15">
        <f>(E7-D7)*LN(E7/D7)</f>
        <v>7.1365048597299184E-3</v>
      </c>
    </row>
    <row r="8" spans="1:7" ht="19.8" customHeight="1">
      <c r="A8" s="13" t="s">
        <v>47</v>
      </c>
      <c r="B8" s="11">
        <f>COUNTIFS(Corporate_Data!$H$2:$H$1001,"&gt;=600",Corporate_Data!$H$2:$H$1001,"&lt;650",Corporate_Data!$M$2:$M$1001,"Development")</f>
        <v>112</v>
      </c>
      <c r="C8" s="11">
        <f>COUNTIFS(Corporate_Data!$H$2:$H$1001,"&gt;=600",Corporate_Data!$H$2:$H$1001,"&lt;650",Corporate_Data!$M$2:$M$1001,"Validation")</f>
        <v>105</v>
      </c>
      <c r="D8" s="14">
        <f t="shared" ref="D8:D11" si="0">B8/$B$12</f>
        <v>0.2318840579710145</v>
      </c>
      <c r="E8" s="14">
        <f t="shared" ref="E8:E11" si="1">C8/$C$12</f>
        <v>0.21126760563380281</v>
      </c>
      <c r="F8" s="15">
        <f t="shared" ref="F8:F11" si="2">(E8-D8)*LN(E8/D8)</f>
        <v>1.9196369160531443E-3</v>
      </c>
    </row>
    <row r="9" spans="1:7" ht="22.2" customHeight="1">
      <c r="A9" s="13" t="s">
        <v>48</v>
      </c>
      <c r="B9" s="11">
        <f>COUNTIFS(Corporate_Data!$H$2:$H$1001,"&gt;=650",Corporate_Data!$H$2:$H$1001,"&lt;700",Corporate_Data!$M$2:$M$1001,"Development")</f>
        <v>169</v>
      </c>
      <c r="C9" s="11">
        <f>COUNTIFS(Corporate_Data!$H$2:$H$1001,"&gt;=650",Corporate_Data!$H$2:$H$1001,"&lt;700",Corporate_Data!$M$2:$M$1001,"Validation")</f>
        <v>174</v>
      </c>
      <c r="D9" s="14">
        <f t="shared" si="0"/>
        <v>0.34989648033126292</v>
      </c>
      <c r="E9" s="14">
        <f t="shared" si="1"/>
        <v>0.3501006036217304</v>
      </c>
      <c r="F9" s="15">
        <f t="shared" si="2"/>
        <v>1.1904712133081198E-7</v>
      </c>
    </row>
    <row r="10" spans="1:7" ht="20.399999999999999" customHeight="1">
      <c r="A10" s="13" t="s">
        <v>49</v>
      </c>
      <c r="B10" s="11">
        <f>COUNTIFS(Corporate_Data!$H$2:$H$1001,"&gt;=700",Corporate_Data!$H$2:$H$1001,"&lt;750",Corporate_Data!$M$2:$M$1001,"Development")</f>
        <v>117</v>
      </c>
      <c r="C10" s="11">
        <f>COUNTIFS(Corporate_Data!$H$2:$H$1001,"&gt;=700",Corporate_Data!$H$2:$H$1001,"&lt;750",Corporate_Data!$M$2:$M$1001,"Validation")</f>
        <v>119</v>
      </c>
      <c r="D10" s="14">
        <f t="shared" si="0"/>
        <v>0.24223602484472051</v>
      </c>
      <c r="E10" s="14">
        <f t="shared" si="1"/>
        <v>0.23943661971830985</v>
      </c>
      <c r="F10" s="15">
        <f t="shared" si="2"/>
        <v>3.2539764864758743E-5</v>
      </c>
    </row>
    <row r="11" spans="1:7" ht="21.6" customHeight="1">
      <c r="A11" s="13" t="s">
        <v>50</v>
      </c>
      <c r="B11" s="9">
        <f>COUNTIFS(Corporate_Data!$H$2:$H$1001,"&gt;=750",Corporate_Data!$M$2:$M$1001,"Development")</f>
        <v>51</v>
      </c>
      <c r="C11" s="9">
        <f>COUNTIFS(Corporate_Data!$H$2:$H$1001,"&gt;=750",Corporate_Data!$M$2:$M$1001,"Validation")</f>
        <v>52</v>
      </c>
      <c r="D11" s="14">
        <f t="shared" si="0"/>
        <v>0.10559006211180125</v>
      </c>
      <c r="E11" s="14">
        <f t="shared" si="1"/>
        <v>0.10462776659959759</v>
      </c>
      <c r="F11" s="15">
        <f t="shared" si="2"/>
        <v>8.8100911955646297E-6</v>
      </c>
    </row>
    <row r="12" spans="1:7">
      <c r="B12" s="7">
        <f>SUM(B7:B11)</f>
        <v>483</v>
      </c>
      <c r="C12">
        <f>SUM(C7:C11)</f>
        <v>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B6" sqref="B6"/>
    </sheetView>
  </sheetViews>
  <sheetFormatPr defaultRowHeight="14.4"/>
  <cols>
    <col min="1" max="1" width="25.88671875" customWidth="1"/>
    <col min="2" max="2" width="15" customWidth="1"/>
  </cols>
  <sheetData>
    <row r="1" spans="1:3">
      <c r="A1" s="1" t="s">
        <v>11</v>
      </c>
      <c r="B1" s="1" t="s">
        <v>28</v>
      </c>
      <c r="C1" s="1" t="s">
        <v>29</v>
      </c>
    </row>
    <row r="2" spans="1:3">
      <c r="A2">
        <v>6</v>
      </c>
      <c r="B2" s="10">
        <f>COUNTIF(Corporate_Data!L2:L1001,6)</f>
        <v>195</v>
      </c>
      <c r="C2">
        <f>B2/B5</f>
        <v>0.19500000000000001</v>
      </c>
    </row>
    <row r="3" spans="1:3">
      <c r="A3">
        <v>12</v>
      </c>
      <c r="B3" s="10">
        <f>COUNTIF(Corporate_Data!L2:L1001,12)</f>
        <v>611</v>
      </c>
      <c r="C3">
        <f>B3/B5</f>
        <v>0.61099999999999999</v>
      </c>
    </row>
    <row r="4" spans="1:3">
      <c r="A4">
        <v>18</v>
      </c>
      <c r="B4" s="10">
        <f>COUNTIF(Corporate_Data!L2:L1001,18)</f>
        <v>194</v>
      </c>
      <c r="C4">
        <f>B4/B5</f>
        <v>0.19400000000000001</v>
      </c>
    </row>
    <row r="5" spans="1:3">
      <c r="B5" s="7">
        <f>SUM(B2:B4)</f>
        <v>1000</v>
      </c>
    </row>
    <row r="6" spans="1:3">
      <c r="B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  for Recovery Avail</vt:lpstr>
      <vt:lpstr>Corporate_Data</vt:lpstr>
      <vt:lpstr>Missing_Value_Check</vt:lpstr>
      <vt:lpstr>Default_Flag_Check</vt:lpstr>
      <vt:lpstr>Population_Shift</vt:lpstr>
      <vt:lpstr>Window_Check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Biswarupa Mohapatra</cp:lastModifiedBy>
  <dcterms:created xsi:type="dcterms:W3CDTF">2026-09-08T12:54:53Z</dcterms:created>
  <dcterms:modified xsi:type="dcterms:W3CDTF">2026-09-10T12:27:57Z</dcterms:modified>
</cp:coreProperties>
</file>