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ISWARUPA MOHAPTRA\Desktop\"/>
    </mc:Choice>
  </mc:AlternateContent>
  <xr:revisionPtr revIDLastSave="0" documentId="13_ncr:1_{B8B416C7-0EC0-49A3-8891-9A66CA97F7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GD Raw Datatset" sheetId="2" r:id="rId1"/>
  </sheets>
  <definedNames>
    <definedName name="_xlnm._FilterDatabase" localSheetId="0" hidden="1">'LGD Raw Datatset'!$A$1:$AA$2001</definedName>
    <definedName name="_xlchart.v1.0" hidden="1">'LGD Raw Datatset'!$J$2:$J$2001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3" i="2" l="1"/>
  <c r="AF32" i="2"/>
  <c r="AE33" i="2"/>
  <c r="AE3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" i="2"/>
  <c r="AE11" i="2"/>
  <c r="AE10" i="2"/>
  <c r="AE9" i="2"/>
  <c r="AF15" i="2"/>
  <c r="AF16" i="2"/>
  <c r="AF17" i="2"/>
  <c r="AF14" i="2"/>
  <c r="AE15" i="2"/>
  <c r="AE16" i="2"/>
  <c r="AE17" i="2"/>
  <c r="AE14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" i="2"/>
  <c r="AE4" i="2" l="1"/>
  <c r="AE6" i="2"/>
  <c r="AE5" i="2"/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" i="2"/>
  <c r="AE21" i="2"/>
  <c r="AF21" i="2"/>
  <c r="AE20" i="2"/>
  <c r="AF20" i="2"/>
  <c r="AE24" i="2"/>
  <c r="AE23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" i="2"/>
  <c r="X3" i="2"/>
  <c r="Y3" i="2" s="1"/>
  <c r="X4" i="2"/>
  <c r="Y4" i="2" s="1"/>
  <c r="X5" i="2"/>
  <c r="Y5" i="2" s="1"/>
  <c r="X6" i="2"/>
  <c r="Y6" i="2" s="1"/>
  <c r="X7" i="2"/>
  <c r="Y7" i="2" s="1"/>
  <c r="X8" i="2"/>
  <c r="Y8" i="2" s="1"/>
  <c r="X9" i="2"/>
  <c r="Y9" i="2" s="1"/>
  <c r="X10" i="2"/>
  <c r="Y10" i="2" s="1"/>
  <c r="X11" i="2"/>
  <c r="Y11" i="2" s="1"/>
  <c r="X12" i="2"/>
  <c r="Y12" i="2" s="1"/>
  <c r="X13" i="2"/>
  <c r="Y13" i="2" s="1"/>
  <c r="X14" i="2"/>
  <c r="Y14" i="2" s="1"/>
  <c r="X15" i="2"/>
  <c r="Y15" i="2" s="1"/>
  <c r="X16" i="2"/>
  <c r="Y16" i="2" s="1"/>
  <c r="X17" i="2"/>
  <c r="Y17" i="2" s="1"/>
  <c r="X18" i="2"/>
  <c r="Y18" i="2" s="1"/>
  <c r="X19" i="2"/>
  <c r="Y19" i="2" s="1"/>
  <c r="X20" i="2"/>
  <c r="Y20" i="2" s="1"/>
  <c r="X21" i="2"/>
  <c r="Y21" i="2" s="1"/>
  <c r="X22" i="2"/>
  <c r="Y22" i="2" s="1"/>
  <c r="X23" i="2"/>
  <c r="Y23" i="2" s="1"/>
  <c r="X24" i="2"/>
  <c r="Y24" i="2" s="1"/>
  <c r="X25" i="2"/>
  <c r="Y25" i="2" s="1"/>
  <c r="X26" i="2"/>
  <c r="Y26" i="2" s="1"/>
  <c r="X27" i="2"/>
  <c r="Y27" i="2" s="1"/>
  <c r="X28" i="2"/>
  <c r="Y28" i="2" s="1"/>
  <c r="X29" i="2"/>
  <c r="Y29" i="2" s="1"/>
  <c r="X30" i="2"/>
  <c r="Y30" i="2" s="1"/>
  <c r="X31" i="2"/>
  <c r="Y31" i="2" s="1"/>
  <c r="X32" i="2"/>
  <c r="Y32" i="2" s="1"/>
  <c r="X33" i="2"/>
  <c r="Y33" i="2" s="1"/>
  <c r="X34" i="2"/>
  <c r="Y34" i="2" s="1"/>
  <c r="X35" i="2"/>
  <c r="Y35" i="2" s="1"/>
  <c r="X36" i="2"/>
  <c r="Y36" i="2" s="1"/>
  <c r="X37" i="2"/>
  <c r="Y37" i="2" s="1"/>
  <c r="X38" i="2"/>
  <c r="Y38" i="2" s="1"/>
  <c r="X39" i="2"/>
  <c r="Y39" i="2" s="1"/>
  <c r="X40" i="2"/>
  <c r="Y40" i="2" s="1"/>
  <c r="X41" i="2"/>
  <c r="Y41" i="2" s="1"/>
  <c r="X42" i="2"/>
  <c r="Y42" i="2" s="1"/>
  <c r="X43" i="2"/>
  <c r="Y43" i="2" s="1"/>
  <c r="X44" i="2"/>
  <c r="Y44" i="2" s="1"/>
  <c r="X45" i="2"/>
  <c r="Y45" i="2" s="1"/>
  <c r="X46" i="2"/>
  <c r="Y46" i="2" s="1"/>
  <c r="X47" i="2"/>
  <c r="Y47" i="2" s="1"/>
  <c r="X48" i="2"/>
  <c r="Y48" i="2" s="1"/>
  <c r="X49" i="2"/>
  <c r="Y49" i="2" s="1"/>
  <c r="X50" i="2"/>
  <c r="Y50" i="2" s="1"/>
  <c r="X51" i="2"/>
  <c r="Y51" i="2" s="1"/>
  <c r="X52" i="2"/>
  <c r="Y52" i="2" s="1"/>
  <c r="X53" i="2"/>
  <c r="Y53" i="2" s="1"/>
  <c r="X54" i="2"/>
  <c r="Y54" i="2" s="1"/>
  <c r="X55" i="2"/>
  <c r="Y55" i="2" s="1"/>
  <c r="X56" i="2"/>
  <c r="Y56" i="2" s="1"/>
  <c r="X57" i="2"/>
  <c r="Y57" i="2" s="1"/>
  <c r="X58" i="2"/>
  <c r="Y58" i="2" s="1"/>
  <c r="X59" i="2"/>
  <c r="Y59" i="2" s="1"/>
  <c r="X60" i="2"/>
  <c r="Y60" i="2" s="1"/>
  <c r="X61" i="2"/>
  <c r="Y61" i="2" s="1"/>
  <c r="X62" i="2"/>
  <c r="Y62" i="2" s="1"/>
  <c r="X63" i="2"/>
  <c r="Y63" i="2" s="1"/>
  <c r="X64" i="2"/>
  <c r="Y64" i="2" s="1"/>
  <c r="X65" i="2"/>
  <c r="Y65" i="2" s="1"/>
  <c r="X66" i="2"/>
  <c r="Y66" i="2" s="1"/>
  <c r="X67" i="2"/>
  <c r="Y67" i="2" s="1"/>
  <c r="X68" i="2"/>
  <c r="Y68" i="2" s="1"/>
  <c r="X69" i="2"/>
  <c r="Y69" i="2" s="1"/>
  <c r="X70" i="2"/>
  <c r="Y70" i="2" s="1"/>
  <c r="X71" i="2"/>
  <c r="Y71" i="2" s="1"/>
  <c r="X72" i="2"/>
  <c r="Y72" i="2" s="1"/>
  <c r="X73" i="2"/>
  <c r="Y73" i="2" s="1"/>
  <c r="X74" i="2"/>
  <c r="Y74" i="2" s="1"/>
  <c r="X75" i="2"/>
  <c r="Y75" i="2" s="1"/>
  <c r="X76" i="2"/>
  <c r="Y76" i="2" s="1"/>
  <c r="X77" i="2"/>
  <c r="Y77" i="2" s="1"/>
  <c r="X78" i="2"/>
  <c r="Y78" i="2" s="1"/>
  <c r="X79" i="2"/>
  <c r="Y79" i="2" s="1"/>
  <c r="X80" i="2"/>
  <c r="Y80" i="2" s="1"/>
  <c r="X81" i="2"/>
  <c r="Y81" i="2" s="1"/>
  <c r="X82" i="2"/>
  <c r="Y82" i="2" s="1"/>
  <c r="X83" i="2"/>
  <c r="Y83" i="2" s="1"/>
  <c r="X84" i="2"/>
  <c r="Y84" i="2" s="1"/>
  <c r="X85" i="2"/>
  <c r="Y85" i="2" s="1"/>
  <c r="X86" i="2"/>
  <c r="Y86" i="2" s="1"/>
  <c r="X87" i="2"/>
  <c r="Y87" i="2" s="1"/>
  <c r="X88" i="2"/>
  <c r="Y88" i="2" s="1"/>
  <c r="X89" i="2"/>
  <c r="Y89" i="2" s="1"/>
  <c r="X90" i="2"/>
  <c r="Y90" i="2" s="1"/>
  <c r="X91" i="2"/>
  <c r="Y91" i="2" s="1"/>
  <c r="X92" i="2"/>
  <c r="Y92" i="2" s="1"/>
  <c r="X93" i="2"/>
  <c r="Y93" i="2" s="1"/>
  <c r="X94" i="2"/>
  <c r="Y94" i="2" s="1"/>
  <c r="X95" i="2"/>
  <c r="Y95" i="2" s="1"/>
  <c r="X96" i="2"/>
  <c r="Y96" i="2" s="1"/>
  <c r="X97" i="2"/>
  <c r="Y97" i="2" s="1"/>
  <c r="X98" i="2"/>
  <c r="Y98" i="2" s="1"/>
  <c r="X99" i="2"/>
  <c r="Y99" i="2" s="1"/>
  <c r="X100" i="2"/>
  <c r="Y100" i="2" s="1"/>
  <c r="X101" i="2"/>
  <c r="Y101" i="2" s="1"/>
  <c r="X102" i="2"/>
  <c r="Y102" i="2" s="1"/>
  <c r="X103" i="2"/>
  <c r="Y103" i="2" s="1"/>
  <c r="X104" i="2"/>
  <c r="Y104" i="2" s="1"/>
  <c r="X105" i="2"/>
  <c r="Y105" i="2" s="1"/>
  <c r="X106" i="2"/>
  <c r="Y106" i="2" s="1"/>
  <c r="X107" i="2"/>
  <c r="Y107" i="2" s="1"/>
  <c r="X108" i="2"/>
  <c r="Y108" i="2" s="1"/>
  <c r="X109" i="2"/>
  <c r="Y109" i="2" s="1"/>
  <c r="X110" i="2"/>
  <c r="Y110" i="2" s="1"/>
  <c r="X111" i="2"/>
  <c r="Y111" i="2" s="1"/>
  <c r="X112" i="2"/>
  <c r="Y112" i="2" s="1"/>
  <c r="X113" i="2"/>
  <c r="Y113" i="2" s="1"/>
  <c r="X114" i="2"/>
  <c r="Y114" i="2" s="1"/>
  <c r="X115" i="2"/>
  <c r="Y115" i="2" s="1"/>
  <c r="X116" i="2"/>
  <c r="Y116" i="2" s="1"/>
  <c r="X117" i="2"/>
  <c r="Y117" i="2" s="1"/>
  <c r="X118" i="2"/>
  <c r="Y118" i="2" s="1"/>
  <c r="X119" i="2"/>
  <c r="Y119" i="2" s="1"/>
  <c r="X120" i="2"/>
  <c r="Y120" i="2" s="1"/>
  <c r="X121" i="2"/>
  <c r="Y121" i="2" s="1"/>
  <c r="X122" i="2"/>
  <c r="Y122" i="2" s="1"/>
  <c r="X123" i="2"/>
  <c r="Y123" i="2" s="1"/>
  <c r="X124" i="2"/>
  <c r="Y124" i="2" s="1"/>
  <c r="X125" i="2"/>
  <c r="Y125" i="2" s="1"/>
  <c r="X126" i="2"/>
  <c r="Y126" i="2" s="1"/>
  <c r="X127" i="2"/>
  <c r="Y127" i="2" s="1"/>
  <c r="X128" i="2"/>
  <c r="Y128" i="2" s="1"/>
  <c r="X129" i="2"/>
  <c r="Y129" i="2" s="1"/>
  <c r="X130" i="2"/>
  <c r="Y130" i="2" s="1"/>
  <c r="X131" i="2"/>
  <c r="Y131" i="2" s="1"/>
  <c r="X132" i="2"/>
  <c r="Y132" i="2" s="1"/>
  <c r="X133" i="2"/>
  <c r="Y133" i="2" s="1"/>
  <c r="X134" i="2"/>
  <c r="Y134" i="2" s="1"/>
  <c r="X135" i="2"/>
  <c r="Y135" i="2" s="1"/>
  <c r="X136" i="2"/>
  <c r="Y136" i="2" s="1"/>
  <c r="X137" i="2"/>
  <c r="Y137" i="2" s="1"/>
  <c r="X138" i="2"/>
  <c r="Y138" i="2" s="1"/>
  <c r="X139" i="2"/>
  <c r="Y139" i="2" s="1"/>
  <c r="X140" i="2"/>
  <c r="Y140" i="2" s="1"/>
  <c r="X141" i="2"/>
  <c r="Y141" i="2" s="1"/>
  <c r="X142" i="2"/>
  <c r="Y142" i="2" s="1"/>
  <c r="X143" i="2"/>
  <c r="Y143" i="2" s="1"/>
  <c r="X144" i="2"/>
  <c r="Y144" i="2" s="1"/>
  <c r="X145" i="2"/>
  <c r="Y145" i="2" s="1"/>
  <c r="X146" i="2"/>
  <c r="Y146" i="2" s="1"/>
  <c r="X147" i="2"/>
  <c r="Y147" i="2" s="1"/>
  <c r="X148" i="2"/>
  <c r="Y148" i="2" s="1"/>
  <c r="X149" i="2"/>
  <c r="Y149" i="2" s="1"/>
  <c r="X150" i="2"/>
  <c r="Y150" i="2" s="1"/>
  <c r="X151" i="2"/>
  <c r="Y151" i="2" s="1"/>
  <c r="X152" i="2"/>
  <c r="Y152" i="2" s="1"/>
  <c r="X153" i="2"/>
  <c r="Y153" i="2" s="1"/>
  <c r="X154" i="2"/>
  <c r="Y154" i="2" s="1"/>
  <c r="X155" i="2"/>
  <c r="Y155" i="2" s="1"/>
  <c r="X156" i="2"/>
  <c r="Y156" i="2" s="1"/>
  <c r="X157" i="2"/>
  <c r="Y157" i="2" s="1"/>
  <c r="X158" i="2"/>
  <c r="Y158" i="2" s="1"/>
  <c r="X159" i="2"/>
  <c r="Y159" i="2" s="1"/>
  <c r="X160" i="2"/>
  <c r="Y160" i="2" s="1"/>
  <c r="X161" i="2"/>
  <c r="Y161" i="2" s="1"/>
  <c r="X162" i="2"/>
  <c r="Y162" i="2" s="1"/>
  <c r="X163" i="2"/>
  <c r="Y163" i="2" s="1"/>
  <c r="X164" i="2"/>
  <c r="Y164" i="2" s="1"/>
  <c r="X165" i="2"/>
  <c r="Y165" i="2" s="1"/>
  <c r="X166" i="2"/>
  <c r="Y166" i="2" s="1"/>
  <c r="X167" i="2"/>
  <c r="Y167" i="2" s="1"/>
  <c r="X168" i="2"/>
  <c r="Y168" i="2" s="1"/>
  <c r="X169" i="2"/>
  <c r="Y169" i="2" s="1"/>
  <c r="X170" i="2"/>
  <c r="Y170" i="2" s="1"/>
  <c r="X171" i="2"/>
  <c r="Y171" i="2" s="1"/>
  <c r="X172" i="2"/>
  <c r="Y172" i="2" s="1"/>
  <c r="X173" i="2"/>
  <c r="Y173" i="2" s="1"/>
  <c r="X174" i="2"/>
  <c r="Y174" i="2" s="1"/>
  <c r="X175" i="2"/>
  <c r="Y175" i="2" s="1"/>
  <c r="X176" i="2"/>
  <c r="Y176" i="2" s="1"/>
  <c r="X177" i="2"/>
  <c r="Y177" i="2" s="1"/>
  <c r="X178" i="2"/>
  <c r="Y178" i="2" s="1"/>
  <c r="X179" i="2"/>
  <c r="Y179" i="2" s="1"/>
  <c r="X180" i="2"/>
  <c r="Y180" i="2" s="1"/>
  <c r="X181" i="2"/>
  <c r="Y181" i="2" s="1"/>
  <c r="X182" i="2"/>
  <c r="Y182" i="2" s="1"/>
  <c r="X183" i="2"/>
  <c r="Y183" i="2" s="1"/>
  <c r="X184" i="2"/>
  <c r="Y184" i="2" s="1"/>
  <c r="X185" i="2"/>
  <c r="Y185" i="2" s="1"/>
  <c r="X186" i="2"/>
  <c r="Y186" i="2" s="1"/>
  <c r="X187" i="2"/>
  <c r="Y187" i="2" s="1"/>
  <c r="X188" i="2"/>
  <c r="Y188" i="2" s="1"/>
  <c r="X189" i="2"/>
  <c r="Y189" i="2" s="1"/>
  <c r="X190" i="2"/>
  <c r="Y190" i="2" s="1"/>
  <c r="X191" i="2"/>
  <c r="Y191" i="2" s="1"/>
  <c r="X192" i="2"/>
  <c r="Y192" i="2" s="1"/>
  <c r="X193" i="2"/>
  <c r="Y193" i="2" s="1"/>
  <c r="X194" i="2"/>
  <c r="Y194" i="2" s="1"/>
  <c r="X195" i="2"/>
  <c r="Y195" i="2" s="1"/>
  <c r="X196" i="2"/>
  <c r="Y196" i="2" s="1"/>
  <c r="X197" i="2"/>
  <c r="Y197" i="2" s="1"/>
  <c r="X198" i="2"/>
  <c r="Y198" i="2" s="1"/>
  <c r="X199" i="2"/>
  <c r="Y199" i="2" s="1"/>
  <c r="X200" i="2"/>
  <c r="Y200" i="2" s="1"/>
  <c r="X201" i="2"/>
  <c r="Y201" i="2" s="1"/>
  <c r="X202" i="2"/>
  <c r="Y202" i="2" s="1"/>
  <c r="X203" i="2"/>
  <c r="Y203" i="2" s="1"/>
  <c r="X204" i="2"/>
  <c r="Y204" i="2" s="1"/>
  <c r="X205" i="2"/>
  <c r="Y205" i="2" s="1"/>
  <c r="X206" i="2"/>
  <c r="Y206" i="2" s="1"/>
  <c r="X207" i="2"/>
  <c r="Y207" i="2" s="1"/>
  <c r="X208" i="2"/>
  <c r="Y208" i="2" s="1"/>
  <c r="X209" i="2"/>
  <c r="Y209" i="2" s="1"/>
  <c r="X210" i="2"/>
  <c r="Y210" i="2" s="1"/>
  <c r="X211" i="2"/>
  <c r="Y211" i="2" s="1"/>
  <c r="X212" i="2"/>
  <c r="Y212" i="2" s="1"/>
  <c r="X213" i="2"/>
  <c r="Y213" i="2" s="1"/>
  <c r="X214" i="2"/>
  <c r="Y214" i="2" s="1"/>
  <c r="X215" i="2"/>
  <c r="Y215" i="2" s="1"/>
  <c r="X216" i="2"/>
  <c r="Y216" i="2" s="1"/>
  <c r="X217" i="2"/>
  <c r="Y217" i="2" s="1"/>
  <c r="X218" i="2"/>
  <c r="Y218" i="2" s="1"/>
  <c r="X219" i="2"/>
  <c r="Y219" i="2" s="1"/>
  <c r="X220" i="2"/>
  <c r="Y220" i="2" s="1"/>
  <c r="X221" i="2"/>
  <c r="Y221" i="2" s="1"/>
  <c r="X222" i="2"/>
  <c r="Y222" i="2" s="1"/>
  <c r="X223" i="2"/>
  <c r="Y223" i="2" s="1"/>
  <c r="X224" i="2"/>
  <c r="Y224" i="2" s="1"/>
  <c r="X225" i="2"/>
  <c r="Y225" i="2" s="1"/>
  <c r="X226" i="2"/>
  <c r="Y226" i="2" s="1"/>
  <c r="X227" i="2"/>
  <c r="Y227" i="2" s="1"/>
  <c r="X228" i="2"/>
  <c r="Y228" i="2" s="1"/>
  <c r="X229" i="2"/>
  <c r="Y229" i="2" s="1"/>
  <c r="X230" i="2"/>
  <c r="Y230" i="2" s="1"/>
  <c r="X231" i="2"/>
  <c r="Y231" i="2" s="1"/>
  <c r="X232" i="2"/>
  <c r="Y232" i="2" s="1"/>
  <c r="X233" i="2"/>
  <c r="Y233" i="2" s="1"/>
  <c r="X234" i="2"/>
  <c r="Y234" i="2" s="1"/>
  <c r="X235" i="2"/>
  <c r="Y235" i="2" s="1"/>
  <c r="X236" i="2"/>
  <c r="Y236" i="2" s="1"/>
  <c r="X237" i="2"/>
  <c r="Y237" i="2" s="1"/>
  <c r="X238" i="2"/>
  <c r="Y238" i="2" s="1"/>
  <c r="X239" i="2"/>
  <c r="Y239" i="2" s="1"/>
  <c r="X240" i="2"/>
  <c r="Y240" i="2" s="1"/>
  <c r="X241" i="2"/>
  <c r="Y241" i="2" s="1"/>
  <c r="X242" i="2"/>
  <c r="Y242" i="2" s="1"/>
  <c r="X243" i="2"/>
  <c r="Y243" i="2" s="1"/>
  <c r="X244" i="2"/>
  <c r="Y244" i="2" s="1"/>
  <c r="X245" i="2"/>
  <c r="Y245" i="2" s="1"/>
  <c r="X246" i="2"/>
  <c r="Y246" i="2" s="1"/>
  <c r="X247" i="2"/>
  <c r="Y247" i="2" s="1"/>
  <c r="X248" i="2"/>
  <c r="Y248" i="2" s="1"/>
  <c r="X249" i="2"/>
  <c r="Y249" i="2" s="1"/>
  <c r="X250" i="2"/>
  <c r="Y250" i="2" s="1"/>
  <c r="X251" i="2"/>
  <c r="Y251" i="2" s="1"/>
  <c r="X252" i="2"/>
  <c r="Y252" i="2" s="1"/>
  <c r="X253" i="2"/>
  <c r="Y253" i="2" s="1"/>
  <c r="X254" i="2"/>
  <c r="Y254" i="2" s="1"/>
  <c r="X255" i="2"/>
  <c r="Y255" i="2" s="1"/>
  <c r="X256" i="2"/>
  <c r="Y256" i="2" s="1"/>
  <c r="X257" i="2"/>
  <c r="Y257" i="2" s="1"/>
  <c r="X258" i="2"/>
  <c r="Y258" i="2" s="1"/>
  <c r="X259" i="2"/>
  <c r="Y259" i="2" s="1"/>
  <c r="X260" i="2"/>
  <c r="Y260" i="2" s="1"/>
  <c r="X261" i="2"/>
  <c r="Y261" i="2" s="1"/>
  <c r="X262" i="2"/>
  <c r="Y262" i="2" s="1"/>
  <c r="X263" i="2"/>
  <c r="Y263" i="2" s="1"/>
  <c r="X264" i="2"/>
  <c r="Y264" i="2" s="1"/>
  <c r="X265" i="2"/>
  <c r="Y265" i="2" s="1"/>
  <c r="X266" i="2"/>
  <c r="Y266" i="2" s="1"/>
  <c r="X267" i="2"/>
  <c r="Y267" i="2" s="1"/>
  <c r="X268" i="2"/>
  <c r="Y268" i="2" s="1"/>
  <c r="X269" i="2"/>
  <c r="Y269" i="2" s="1"/>
  <c r="X270" i="2"/>
  <c r="Y270" i="2" s="1"/>
  <c r="X271" i="2"/>
  <c r="Y271" i="2" s="1"/>
  <c r="X272" i="2"/>
  <c r="Y272" i="2" s="1"/>
  <c r="X273" i="2"/>
  <c r="Y273" i="2" s="1"/>
  <c r="X274" i="2"/>
  <c r="Y274" i="2" s="1"/>
  <c r="X275" i="2"/>
  <c r="Y275" i="2" s="1"/>
  <c r="X276" i="2"/>
  <c r="Y276" i="2" s="1"/>
  <c r="X277" i="2"/>
  <c r="Y277" i="2" s="1"/>
  <c r="X278" i="2"/>
  <c r="Y278" i="2" s="1"/>
  <c r="X279" i="2"/>
  <c r="Y279" i="2" s="1"/>
  <c r="X280" i="2"/>
  <c r="Y280" i="2" s="1"/>
  <c r="X281" i="2"/>
  <c r="Y281" i="2" s="1"/>
  <c r="X282" i="2"/>
  <c r="Y282" i="2" s="1"/>
  <c r="X283" i="2"/>
  <c r="Y283" i="2" s="1"/>
  <c r="X284" i="2"/>
  <c r="Y284" i="2" s="1"/>
  <c r="X285" i="2"/>
  <c r="Y285" i="2" s="1"/>
  <c r="X286" i="2"/>
  <c r="Y286" i="2" s="1"/>
  <c r="X287" i="2"/>
  <c r="Y287" i="2" s="1"/>
  <c r="X288" i="2"/>
  <c r="Y288" i="2" s="1"/>
  <c r="X289" i="2"/>
  <c r="Y289" i="2" s="1"/>
  <c r="X290" i="2"/>
  <c r="Y290" i="2" s="1"/>
  <c r="X291" i="2"/>
  <c r="Y291" i="2" s="1"/>
  <c r="X292" i="2"/>
  <c r="Y292" i="2" s="1"/>
  <c r="X293" i="2"/>
  <c r="Y293" i="2" s="1"/>
  <c r="X294" i="2"/>
  <c r="Y294" i="2" s="1"/>
  <c r="X295" i="2"/>
  <c r="Y295" i="2" s="1"/>
  <c r="X296" i="2"/>
  <c r="Y296" i="2" s="1"/>
  <c r="X297" i="2"/>
  <c r="Y297" i="2" s="1"/>
  <c r="X298" i="2"/>
  <c r="Y298" i="2" s="1"/>
  <c r="X299" i="2"/>
  <c r="Y299" i="2" s="1"/>
  <c r="X300" i="2"/>
  <c r="Y300" i="2" s="1"/>
  <c r="X301" i="2"/>
  <c r="Y301" i="2" s="1"/>
  <c r="X302" i="2"/>
  <c r="Y302" i="2" s="1"/>
  <c r="X303" i="2"/>
  <c r="Y303" i="2" s="1"/>
  <c r="X304" i="2"/>
  <c r="Y304" i="2" s="1"/>
  <c r="X305" i="2"/>
  <c r="Y305" i="2" s="1"/>
  <c r="X306" i="2"/>
  <c r="Y306" i="2" s="1"/>
  <c r="X307" i="2"/>
  <c r="Y307" i="2" s="1"/>
  <c r="X308" i="2"/>
  <c r="Y308" i="2" s="1"/>
  <c r="X309" i="2"/>
  <c r="Y309" i="2" s="1"/>
  <c r="X310" i="2"/>
  <c r="Y310" i="2" s="1"/>
  <c r="X311" i="2"/>
  <c r="Y311" i="2" s="1"/>
  <c r="X312" i="2"/>
  <c r="Y312" i="2" s="1"/>
  <c r="X313" i="2"/>
  <c r="Y313" i="2" s="1"/>
  <c r="X314" i="2"/>
  <c r="Y314" i="2" s="1"/>
  <c r="X315" i="2"/>
  <c r="Y315" i="2" s="1"/>
  <c r="X316" i="2"/>
  <c r="Y316" i="2" s="1"/>
  <c r="X317" i="2"/>
  <c r="Y317" i="2" s="1"/>
  <c r="X318" i="2"/>
  <c r="Y318" i="2" s="1"/>
  <c r="X319" i="2"/>
  <c r="Y319" i="2" s="1"/>
  <c r="X320" i="2"/>
  <c r="Y320" i="2" s="1"/>
  <c r="X321" i="2"/>
  <c r="Y321" i="2" s="1"/>
  <c r="X322" i="2"/>
  <c r="Y322" i="2" s="1"/>
  <c r="X323" i="2"/>
  <c r="Y323" i="2" s="1"/>
  <c r="X324" i="2"/>
  <c r="Y324" i="2" s="1"/>
  <c r="X325" i="2"/>
  <c r="Y325" i="2" s="1"/>
  <c r="X326" i="2"/>
  <c r="Y326" i="2" s="1"/>
  <c r="X327" i="2"/>
  <c r="Y327" i="2" s="1"/>
  <c r="X328" i="2"/>
  <c r="Y328" i="2" s="1"/>
  <c r="X329" i="2"/>
  <c r="Y329" i="2" s="1"/>
  <c r="X330" i="2"/>
  <c r="Y330" i="2" s="1"/>
  <c r="X331" i="2"/>
  <c r="Y331" i="2" s="1"/>
  <c r="X332" i="2"/>
  <c r="Y332" i="2" s="1"/>
  <c r="X333" i="2"/>
  <c r="Y333" i="2" s="1"/>
  <c r="X334" i="2"/>
  <c r="Y334" i="2" s="1"/>
  <c r="X335" i="2"/>
  <c r="Y335" i="2" s="1"/>
  <c r="X336" i="2"/>
  <c r="Y336" i="2" s="1"/>
  <c r="X337" i="2"/>
  <c r="Y337" i="2" s="1"/>
  <c r="X338" i="2"/>
  <c r="Y338" i="2" s="1"/>
  <c r="X339" i="2"/>
  <c r="Y339" i="2" s="1"/>
  <c r="X340" i="2"/>
  <c r="Y340" i="2" s="1"/>
  <c r="X341" i="2"/>
  <c r="Y341" i="2" s="1"/>
  <c r="X342" i="2"/>
  <c r="Y342" i="2" s="1"/>
  <c r="X343" i="2"/>
  <c r="Y343" i="2" s="1"/>
  <c r="X344" i="2"/>
  <c r="Y344" i="2" s="1"/>
  <c r="X345" i="2"/>
  <c r="Y345" i="2" s="1"/>
  <c r="X346" i="2"/>
  <c r="Y346" i="2" s="1"/>
  <c r="X347" i="2"/>
  <c r="Y347" i="2" s="1"/>
  <c r="X348" i="2"/>
  <c r="Y348" i="2" s="1"/>
  <c r="X349" i="2"/>
  <c r="Y349" i="2" s="1"/>
  <c r="X350" i="2"/>
  <c r="Y350" i="2" s="1"/>
  <c r="X351" i="2"/>
  <c r="Y351" i="2" s="1"/>
  <c r="X352" i="2"/>
  <c r="Y352" i="2" s="1"/>
  <c r="X353" i="2"/>
  <c r="Y353" i="2" s="1"/>
  <c r="X354" i="2"/>
  <c r="Y354" i="2" s="1"/>
  <c r="X355" i="2"/>
  <c r="Y355" i="2" s="1"/>
  <c r="X356" i="2"/>
  <c r="Y356" i="2" s="1"/>
  <c r="X357" i="2"/>
  <c r="Y357" i="2" s="1"/>
  <c r="X358" i="2"/>
  <c r="Y358" i="2" s="1"/>
  <c r="X359" i="2"/>
  <c r="Y359" i="2" s="1"/>
  <c r="X360" i="2"/>
  <c r="Y360" i="2" s="1"/>
  <c r="X361" i="2"/>
  <c r="Y361" i="2" s="1"/>
  <c r="X362" i="2"/>
  <c r="Y362" i="2" s="1"/>
  <c r="X363" i="2"/>
  <c r="Y363" i="2" s="1"/>
  <c r="X364" i="2"/>
  <c r="Y364" i="2" s="1"/>
  <c r="X365" i="2"/>
  <c r="Y365" i="2" s="1"/>
  <c r="X366" i="2"/>
  <c r="Y366" i="2" s="1"/>
  <c r="X367" i="2"/>
  <c r="Y367" i="2" s="1"/>
  <c r="X368" i="2"/>
  <c r="Y368" i="2" s="1"/>
  <c r="X369" i="2"/>
  <c r="Y369" i="2" s="1"/>
  <c r="X370" i="2"/>
  <c r="Y370" i="2" s="1"/>
  <c r="X371" i="2"/>
  <c r="Y371" i="2" s="1"/>
  <c r="X372" i="2"/>
  <c r="Y372" i="2" s="1"/>
  <c r="X373" i="2"/>
  <c r="Y373" i="2" s="1"/>
  <c r="X374" i="2"/>
  <c r="Y374" i="2" s="1"/>
  <c r="X375" i="2"/>
  <c r="Y375" i="2" s="1"/>
  <c r="X376" i="2"/>
  <c r="Y376" i="2" s="1"/>
  <c r="X377" i="2"/>
  <c r="Y377" i="2" s="1"/>
  <c r="X378" i="2"/>
  <c r="Y378" i="2" s="1"/>
  <c r="X379" i="2"/>
  <c r="Y379" i="2" s="1"/>
  <c r="X380" i="2"/>
  <c r="Y380" i="2" s="1"/>
  <c r="X381" i="2"/>
  <c r="Y381" i="2" s="1"/>
  <c r="X382" i="2"/>
  <c r="Y382" i="2" s="1"/>
  <c r="X383" i="2"/>
  <c r="Y383" i="2" s="1"/>
  <c r="X384" i="2"/>
  <c r="Y384" i="2" s="1"/>
  <c r="X385" i="2"/>
  <c r="Y385" i="2" s="1"/>
  <c r="X386" i="2"/>
  <c r="Y386" i="2" s="1"/>
  <c r="X387" i="2"/>
  <c r="Y387" i="2" s="1"/>
  <c r="X388" i="2"/>
  <c r="Y388" i="2" s="1"/>
  <c r="X389" i="2"/>
  <c r="Y389" i="2" s="1"/>
  <c r="X390" i="2"/>
  <c r="Y390" i="2" s="1"/>
  <c r="X391" i="2"/>
  <c r="Y391" i="2" s="1"/>
  <c r="X392" i="2"/>
  <c r="Y392" i="2" s="1"/>
  <c r="X393" i="2"/>
  <c r="Y393" i="2" s="1"/>
  <c r="X394" i="2"/>
  <c r="Y394" i="2" s="1"/>
  <c r="X395" i="2"/>
  <c r="Y395" i="2" s="1"/>
  <c r="X396" i="2"/>
  <c r="Y396" i="2" s="1"/>
  <c r="X397" i="2"/>
  <c r="Y397" i="2" s="1"/>
  <c r="X398" i="2"/>
  <c r="Y398" i="2" s="1"/>
  <c r="X399" i="2"/>
  <c r="Y399" i="2" s="1"/>
  <c r="X400" i="2"/>
  <c r="Y400" i="2" s="1"/>
  <c r="X401" i="2"/>
  <c r="Y401" i="2" s="1"/>
  <c r="X402" i="2"/>
  <c r="Y402" i="2" s="1"/>
  <c r="X403" i="2"/>
  <c r="Y403" i="2" s="1"/>
  <c r="X404" i="2"/>
  <c r="Y404" i="2" s="1"/>
  <c r="X405" i="2"/>
  <c r="Y405" i="2" s="1"/>
  <c r="X406" i="2"/>
  <c r="Y406" i="2" s="1"/>
  <c r="X407" i="2"/>
  <c r="Y407" i="2" s="1"/>
  <c r="X408" i="2"/>
  <c r="Y408" i="2" s="1"/>
  <c r="X409" i="2"/>
  <c r="Y409" i="2" s="1"/>
  <c r="X410" i="2"/>
  <c r="Y410" i="2" s="1"/>
  <c r="X411" i="2"/>
  <c r="Y411" i="2" s="1"/>
  <c r="X412" i="2"/>
  <c r="Y412" i="2" s="1"/>
  <c r="X413" i="2"/>
  <c r="Y413" i="2" s="1"/>
  <c r="X414" i="2"/>
  <c r="Y414" i="2" s="1"/>
  <c r="X415" i="2"/>
  <c r="Y415" i="2" s="1"/>
  <c r="X416" i="2"/>
  <c r="Y416" i="2" s="1"/>
  <c r="X417" i="2"/>
  <c r="Y417" i="2" s="1"/>
  <c r="X418" i="2"/>
  <c r="Y418" i="2" s="1"/>
  <c r="X419" i="2"/>
  <c r="Y419" i="2" s="1"/>
  <c r="X420" i="2"/>
  <c r="Y420" i="2" s="1"/>
  <c r="X421" i="2"/>
  <c r="Y421" i="2" s="1"/>
  <c r="X422" i="2"/>
  <c r="Y422" i="2" s="1"/>
  <c r="X423" i="2"/>
  <c r="Y423" i="2" s="1"/>
  <c r="X424" i="2"/>
  <c r="Y424" i="2" s="1"/>
  <c r="X425" i="2"/>
  <c r="Y425" i="2" s="1"/>
  <c r="X426" i="2"/>
  <c r="Y426" i="2" s="1"/>
  <c r="X427" i="2"/>
  <c r="Y427" i="2" s="1"/>
  <c r="X428" i="2"/>
  <c r="Y428" i="2" s="1"/>
  <c r="X429" i="2"/>
  <c r="Y429" i="2" s="1"/>
  <c r="X430" i="2"/>
  <c r="Y430" i="2" s="1"/>
  <c r="X431" i="2"/>
  <c r="Y431" i="2" s="1"/>
  <c r="X432" i="2"/>
  <c r="Y432" i="2" s="1"/>
  <c r="X433" i="2"/>
  <c r="Y433" i="2" s="1"/>
  <c r="X434" i="2"/>
  <c r="Y434" i="2" s="1"/>
  <c r="X435" i="2"/>
  <c r="Y435" i="2" s="1"/>
  <c r="X436" i="2"/>
  <c r="Y436" i="2" s="1"/>
  <c r="X437" i="2"/>
  <c r="Y437" i="2" s="1"/>
  <c r="X438" i="2"/>
  <c r="Y438" i="2" s="1"/>
  <c r="X439" i="2"/>
  <c r="Y439" i="2" s="1"/>
  <c r="X440" i="2"/>
  <c r="Y440" i="2" s="1"/>
  <c r="X441" i="2"/>
  <c r="Y441" i="2" s="1"/>
  <c r="X442" i="2"/>
  <c r="Y442" i="2" s="1"/>
  <c r="X443" i="2"/>
  <c r="Y443" i="2" s="1"/>
  <c r="X444" i="2"/>
  <c r="Y444" i="2" s="1"/>
  <c r="X445" i="2"/>
  <c r="Y445" i="2" s="1"/>
  <c r="X446" i="2"/>
  <c r="Y446" i="2" s="1"/>
  <c r="X447" i="2"/>
  <c r="Y447" i="2" s="1"/>
  <c r="X448" i="2"/>
  <c r="Y448" i="2" s="1"/>
  <c r="X449" i="2"/>
  <c r="Y449" i="2" s="1"/>
  <c r="X450" i="2"/>
  <c r="Y450" i="2" s="1"/>
  <c r="X451" i="2"/>
  <c r="Y451" i="2" s="1"/>
  <c r="X452" i="2"/>
  <c r="Y452" i="2" s="1"/>
  <c r="X453" i="2"/>
  <c r="Y453" i="2" s="1"/>
  <c r="X454" i="2"/>
  <c r="Y454" i="2" s="1"/>
  <c r="X455" i="2"/>
  <c r="Y455" i="2" s="1"/>
  <c r="X456" i="2"/>
  <c r="Y456" i="2" s="1"/>
  <c r="X457" i="2"/>
  <c r="Y457" i="2" s="1"/>
  <c r="X458" i="2"/>
  <c r="Y458" i="2" s="1"/>
  <c r="X459" i="2"/>
  <c r="Y459" i="2" s="1"/>
  <c r="X460" i="2"/>
  <c r="Y460" i="2" s="1"/>
  <c r="X461" i="2"/>
  <c r="Y461" i="2" s="1"/>
  <c r="X462" i="2"/>
  <c r="Y462" i="2" s="1"/>
  <c r="X463" i="2"/>
  <c r="Y463" i="2" s="1"/>
  <c r="X464" i="2"/>
  <c r="Y464" i="2" s="1"/>
  <c r="X465" i="2"/>
  <c r="Y465" i="2" s="1"/>
  <c r="X466" i="2"/>
  <c r="Y466" i="2" s="1"/>
  <c r="X467" i="2"/>
  <c r="Y467" i="2" s="1"/>
  <c r="X468" i="2"/>
  <c r="Y468" i="2" s="1"/>
  <c r="X469" i="2"/>
  <c r="Y469" i="2" s="1"/>
  <c r="X470" i="2"/>
  <c r="Y470" i="2" s="1"/>
  <c r="X471" i="2"/>
  <c r="Y471" i="2" s="1"/>
  <c r="X472" i="2"/>
  <c r="Y472" i="2" s="1"/>
  <c r="X473" i="2"/>
  <c r="Y473" i="2" s="1"/>
  <c r="X474" i="2"/>
  <c r="Y474" i="2" s="1"/>
  <c r="X475" i="2"/>
  <c r="Y475" i="2" s="1"/>
  <c r="X476" i="2"/>
  <c r="Y476" i="2" s="1"/>
  <c r="X477" i="2"/>
  <c r="Y477" i="2" s="1"/>
  <c r="X478" i="2"/>
  <c r="Y478" i="2" s="1"/>
  <c r="X479" i="2"/>
  <c r="Y479" i="2" s="1"/>
  <c r="X480" i="2"/>
  <c r="Y480" i="2" s="1"/>
  <c r="X481" i="2"/>
  <c r="Y481" i="2" s="1"/>
  <c r="X482" i="2"/>
  <c r="Y482" i="2" s="1"/>
  <c r="X483" i="2"/>
  <c r="Y483" i="2" s="1"/>
  <c r="X484" i="2"/>
  <c r="Y484" i="2" s="1"/>
  <c r="X485" i="2"/>
  <c r="Y485" i="2" s="1"/>
  <c r="X486" i="2"/>
  <c r="Y486" i="2" s="1"/>
  <c r="X487" i="2"/>
  <c r="Y487" i="2" s="1"/>
  <c r="X488" i="2"/>
  <c r="Y488" i="2" s="1"/>
  <c r="X489" i="2"/>
  <c r="Y489" i="2" s="1"/>
  <c r="X490" i="2"/>
  <c r="Y490" i="2" s="1"/>
  <c r="X491" i="2"/>
  <c r="Y491" i="2" s="1"/>
  <c r="X492" i="2"/>
  <c r="Y492" i="2" s="1"/>
  <c r="X493" i="2"/>
  <c r="Y493" i="2" s="1"/>
  <c r="X494" i="2"/>
  <c r="Y494" i="2" s="1"/>
  <c r="X495" i="2"/>
  <c r="Y495" i="2" s="1"/>
  <c r="X496" i="2"/>
  <c r="Y496" i="2" s="1"/>
  <c r="X497" i="2"/>
  <c r="Y497" i="2" s="1"/>
  <c r="X498" i="2"/>
  <c r="Y498" i="2" s="1"/>
  <c r="X499" i="2"/>
  <c r="Y499" i="2" s="1"/>
  <c r="X500" i="2"/>
  <c r="Y500" i="2" s="1"/>
  <c r="X501" i="2"/>
  <c r="Y501" i="2" s="1"/>
  <c r="X502" i="2"/>
  <c r="Y502" i="2" s="1"/>
  <c r="X503" i="2"/>
  <c r="Y503" i="2" s="1"/>
  <c r="X504" i="2"/>
  <c r="Y504" i="2" s="1"/>
  <c r="X505" i="2"/>
  <c r="Y505" i="2" s="1"/>
  <c r="X506" i="2"/>
  <c r="Y506" i="2" s="1"/>
  <c r="X507" i="2"/>
  <c r="Y507" i="2" s="1"/>
  <c r="X508" i="2"/>
  <c r="Y508" i="2" s="1"/>
  <c r="X509" i="2"/>
  <c r="Y509" i="2" s="1"/>
  <c r="X510" i="2"/>
  <c r="Y510" i="2" s="1"/>
  <c r="X511" i="2"/>
  <c r="Y511" i="2" s="1"/>
  <c r="X512" i="2"/>
  <c r="Y512" i="2" s="1"/>
  <c r="X513" i="2"/>
  <c r="Y513" i="2" s="1"/>
  <c r="X514" i="2"/>
  <c r="Y514" i="2" s="1"/>
  <c r="X515" i="2"/>
  <c r="Y515" i="2" s="1"/>
  <c r="X516" i="2"/>
  <c r="Y516" i="2" s="1"/>
  <c r="X517" i="2"/>
  <c r="Y517" i="2" s="1"/>
  <c r="X518" i="2"/>
  <c r="Y518" i="2" s="1"/>
  <c r="X519" i="2"/>
  <c r="Y519" i="2" s="1"/>
  <c r="X520" i="2"/>
  <c r="Y520" i="2" s="1"/>
  <c r="X521" i="2"/>
  <c r="Y521" i="2" s="1"/>
  <c r="X522" i="2"/>
  <c r="Y522" i="2" s="1"/>
  <c r="X523" i="2"/>
  <c r="Y523" i="2" s="1"/>
  <c r="X524" i="2"/>
  <c r="Y524" i="2" s="1"/>
  <c r="X525" i="2"/>
  <c r="Y525" i="2" s="1"/>
  <c r="X526" i="2"/>
  <c r="Y526" i="2" s="1"/>
  <c r="X527" i="2"/>
  <c r="Y527" i="2" s="1"/>
  <c r="X528" i="2"/>
  <c r="Y528" i="2" s="1"/>
  <c r="X529" i="2"/>
  <c r="Y529" i="2" s="1"/>
  <c r="X530" i="2"/>
  <c r="Y530" i="2" s="1"/>
  <c r="X531" i="2"/>
  <c r="Y531" i="2" s="1"/>
  <c r="X532" i="2"/>
  <c r="Y532" i="2" s="1"/>
  <c r="X533" i="2"/>
  <c r="Y533" i="2" s="1"/>
  <c r="X534" i="2"/>
  <c r="Y534" i="2" s="1"/>
  <c r="X535" i="2"/>
  <c r="Y535" i="2" s="1"/>
  <c r="X536" i="2"/>
  <c r="Y536" i="2" s="1"/>
  <c r="X537" i="2"/>
  <c r="Y537" i="2" s="1"/>
  <c r="X538" i="2"/>
  <c r="Y538" i="2" s="1"/>
  <c r="X539" i="2"/>
  <c r="Y539" i="2" s="1"/>
  <c r="X540" i="2"/>
  <c r="Y540" i="2" s="1"/>
  <c r="X541" i="2"/>
  <c r="Y541" i="2" s="1"/>
  <c r="X542" i="2"/>
  <c r="Y542" i="2" s="1"/>
  <c r="X543" i="2"/>
  <c r="Y543" i="2" s="1"/>
  <c r="X544" i="2"/>
  <c r="Y544" i="2" s="1"/>
  <c r="X545" i="2"/>
  <c r="Y545" i="2" s="1"/>
  <c r="X546" i="2"/>
  <c r="Y546" i="2" s="1"/>
  <c r="X547" i="2"/>
  <c r="Y547" i="2" s="1"/>
  <c r="X548" i="2"/>
  <c r="Y548" i="2" s="1"/>
  <c r="X549" i="2"/>
  <c r="Y549" i="2" s="1"/>
  <c r="X550" i="2"/>
  <c r="Y550" i="2" s="1"/>
  <c r="X551" i="2"/>
  <c r="Y551" i="2" s="1"/>
  <c r="X552" i="2"/>
  <c r="Y552" i="2" s="1"/>
  <c r="X553" i="2"/>
  <c r="Y553" i="2" s="1"/>
  <c r="X554" i="2"/>
  <c r="Y554" i="2" s="1"/>
  <c r="X555" i="2"/>
  <c r="Y555" i="2" s="1"/>
  <c r="X556" i="2"/>
  <c r="Y556" i="2" s="1"/>
  <c r="X557" i="2"/>
  <c r="Y557" i="2" s="1"/>
  <c r="X558" i="2"/>
  <c r="Y558" i="2" s="1"/>
  <c r="X559" i="2"/>
  <c r="Y559" i="2" s="1"/>
  <c r="X560" i="2"/>
  <c r="Y560" i="2" s="1"/>
  <c r="X561" i="2"/>
  <c r="Y561" i="2" s="1"/>
  <c r="X562" i="2"/>
  <c r="Y562" i="2" s="1"/>
  <c r="X563" i="2"/>
  <c r="Y563" i="2" s="1"/>
  <c r="X564" i="2"/>
  <c r="Y564" i="2" s="1"/>
  <c r="X565" i="2"/>
  <c r="Y565" i="2" s="1"/>
  <c r="X566" i="2"/>
  <c r="Y566" i="2" s="1"/>
  <c r="X567" i="2"/>
  <c r="Y567" i="2" s="1"/>
  <c r="X568" i="2"/>
  <c r="Y568" i="2" s="1"/>
  <c r="X569" i="2"/>
  <c r="Y569" i="2" s="1"/>
  <c r="X570" i="2"/>
  <c r="Y570" i="2" s="1"/>
  <c r="X571" i="2"/>
  <c r="Y571" i="2" s="1"/>
  <c r="X572" i="2"/>
  <c r="Y572" i="2" s="1"/>
  <c r="X573" i="2"/>
  <c r="Y573" i="2" s="1"/>
  <c r="X574" i="2"/>
  <c r="Y574" i="2" s="1"/>
  <c r="X575" i="2"/>
  <c r="Y575" i="2" s="1"/>
  <c r="X576" i="2"/>
  <c r="Y576" i="2" s="1"/>
  <c r="X577" i="2"/>
  <c r="Y577" i="2" s="1"/>
  <c r="X578" i="2"/>
  <c r="Y578" i="2" s="1"/>
  <c r="X579" i="2"/>
  <c r="Y579" i="2" s="1"/>
  <c r="X580" i="2"/>
  <c r="Y580" i="2" s="1"/>
  <c r="X581" i="2"/>
  <c r="Y581" i="2" s="1"/>
  <c r="X582" i="2"/>
  <c r="Y582" i="2" s="1"/>
  <c r="X583" i="2"/>
  <c r="Y583" i="2" s="1"/>
  <c r="X584" i="2"/>
  <c r="Y584" i="2" s="1"/>
  <c r="X585" i="2"/>
  <c r="Y585" i="2" s="1"/>
  <c r="X586" i="2"/>
  <c r="Y586" i="2" s="1"/>
  <c r="X587" i="2"/>
  <c r="Y587" i="2" s="1"/>
  <c r="X588" i="2"/>
  <c r="Y588" i="2" s="1"/>
  <c r="X589" i="2"/>
  <c r="Y589" i="2" s="1"/>
  <c r="X590" i="2"/>
  <c r="Y590" i="2" s="1"/>
  <c r="X591" i="2"/>
  <c r="Y591" i="2" s="1"/>
  <c r="X592" i="2"/>
  <c r="Y592" i="2" s="1"/>
  <c r="X593" i="2"/>
  <c r="Y593" i="2" s="1"/>
  <c r="X594" i="2"/>
  <c r="Y594" i="2" s="1"/>
  <c r="X595" i="2"/>
  <c r="Y595" i="2" s="1"/>
  <c r="X596" i="2"/>
  <c r="Y596" i="2" s="1"/>
  <c r="X597" i="2"/>
  <c r="Y597" i="2" s="1"/>
  <c r="X598" i="2"/>
  <c r="Y598" i="2" s="1"/>
  <c r="X599" i="2"/>
  <c r="Y599" i="2" s="1"/>
  <c r="X600" i="2"/>
  <c r="Y600" i="2" s="1"/>
  <c r="X601" i="2"/>
  <c r="Y601" i="2" s="1"/>
  <c r="X602" i="2"/>
  <c r="Y602" i="2" s="1"/>
  <c r="X603" i="2"/>
  <c r="Y603" i="2" s="1"/>
  <c r="X604" i="2"/>
  <c r="Y604" i="2" s="1"/>
  <c r="X605" i="2"/>
  <c r="Y605" i="2" s="1"/>
  <c r="X606" i="2"/>
  <c r="Y606" i="2" s="1"/>
  <c r="X607" i="2"/>
  <c r="Y607" i="2" s="1"/>
  <c r="X608" i="2"/>
  <c r="Y608" i="2" s="1"/>
  <c r="X609" i="2"/>
  <c r="Y609" i="2" s="1"/>
  <c r="X610" i="2"/>
  <c r="Y610" i="2" s="1"/>
  <c r="X611" i="2"/>
  <c r="Y611" i="2" s="1"/>
  <c r="X612" i="2"/>
  <c r="Y612" i="2" s="1"/>
  <c r="X613" i="2"/>
  <c r="Y613" i="2" s="1"/>
  <c r="X614" i="2"/>
  <c r="Y614" i="2" s="1"/>
  <c r="X615" i="2"/>
  <c r="Y615" i="2" s="1"/>
  <c r="X616" i="2"/>
  <c r="Y616" i="2" s="1"/>
  <c r="X617" i="2"/>
  <c r="Y617" i="2" s="1"/>
  <c r="X618" i="2"/>
  <c r="Y618" i="2" s="1"/>
  <c r="X619" i="2"/>
  <c r="Y619" i="2" s="1"/>
  <c r="X620" i="2"/>
  <c r="Y620" i="2" s="1"/>
  <c r="X621" i="2"/>
  <c r="Y621" i="2" s="1"/>
  <c r="X622" i="2"/>
  <c r="Y622" i="2" s="1"/>
  <c r="X623" i="2"/>
  <c r="Y623" i="2" s="1"/>
  <c r="X624" i="2"/>
  <c r="Y624" i="2" s="1"/>
  <c r="X625" i="2"/>
  <c r="Y625" i="2" s="1"/>
  <c r="X626" i="2"/>
  <c r="Y626" i="2" s="1"/>
  <c r="X627" i="2"/>
  <c r="Y627" i="2" s="1"/>
  <c r="X628" i="2"/>
  <c r="Y628" i="2" s="1"/>
  <c r="X629" i="2"/>
  <c r="Y629" i="2" s="1"/>
  <c r="X630" i="2"/>
  <c r="Y630" i="2" s="1"/>
  <c r="X631" i="2"/>
  <c r="Y631" i="2" s="1"/>
  <c r="X632" i="2"/>
  <c r="Y632" i="2" s="1"/>
  <c r="X633" i="2"/>
  <c r="Y633" i="2" s="1"/>
  <c r="X634" i="2"/>
  <c r="Y634" i="2" s="1"/>
  <c r="X635" i="2"/>
  <c r="Y635" i="2" s="1"/>
  <c r="X636" i="2"/>
  <c r="Y636" i="2" s="1"/>
  <c r="X637" i="2"/>
  <c r="Y637" i="2" s="1"/>
  <c r="X638" i="2"/>
  <c r="Y638" i="2" s="1"/>
  <c r="X639" i="2"/>
  <c r="Y639" i="2" s="1"/>
  <c r="X640" i="2"/>
  <c r="Y640" i="2" s="1"/>
  <c r="X641" i="2"/>
  <c r="Y641" i="2" s="1"/>
  <c r="X642" i="2"/>
  <c r="Y642" i="2" s="1"/>
  <c r="X643" i="2"/>
  <c r="Y643" i="2" s="1"/>
  <c r="X644" i="2"/>
  <c r="Y644" i="2" s="1"/>
  <c r="X645" i="2"/>
  <c r="Y645" i="2" s="1"/>
  <c r="X646" i="2"/>
  <c r="Y646" i="2" s="1"/>
  <c r="X647" i="2"/>
  <c r="Y647" i="2" s="1"/>
  <c r="X648" i="2"/>
  <c r="Y648" i="2" s="1"/>
  <c r="X649" i="2"/>
  <c r="Y649" i="2" s="1"/>
  <c r="X650" i="2"/>
  <c r="Y650" i="2" s="1"/>
  <c r="X651" i="2"/>
  <c r="Y651" i="2" s="1"/>
  <c r="X652" i="2"/>
  <c r="Y652" i="2" s="1"/>
  <c r="X653" i="2"/>
  <c r="Y653" i="2" s="1"/>
  <c r="X654" i="2"/>
  <c r="Y654" i="2" s="1"/>
  <c r="X655" i="2"/>
  <c r="Y655" i="2" s="1"/>
  <c r="X656" i="2"/>
  <c r="Y656" i="2" s="1"/>
  <c r="X657" i="2"/>
  <c r="Y657" i="2" s="1"/>
  <c r="X658" i="2"/>
  <c r="Y658" i="2" s="1"/>
  <c r="X659" i="2"/>
  <c r="Y659" i="2" s="1"/>
  <c r="X660" i="2"/>
  <c r="Y660" i="2" s="1"/>
  <c r="X661" i="2"/>
  <c r="Y661" i="2" s="1"/>
  <c r="X662" i="2"/>
  <c r="Y662" i="2" s="1"/>
  <c r="X663" i="2"/>
  <c r="Y663" i="2" s="1"/>
  <c r="X664" i="2"/>
  <c r="Y664" i="2" s="1"/>
  <c r="X665" i="2"/>
  <c r="Y665" i="2" s="1"/>
  <c r="X666" i="2"/>
  <c r="Y666" i="2" s="1"/>
  <c r="X667" i="2"/>
  <c r="Y667" i="2" s="1"/>
  <c r="X668" i="2"/>
  <c r="Y668" i="2" s="1"/>
  <c r="X669" i="2"/>
  <c r="Y669" i="2" s="1"/>
  <c r="X670" i="2"/>
  <c r="Y670" i="2" s="1"/>
  <c r="X671" i="2"/>
  <c r="Y671" i="2" s="1"/>
  <c r="X672" i="2"/>
  <c r="Y672" i="2" s="1"/>
  <c r="X673" i="2"/>
  <c r="Y673" i="2" s="1"/>
  <c r="X674" i="2"/>
  <c r="Y674" i="2" s="1"/>
  <c r="X675" i="2"/>
  <c r="Y675" i="2" s="1"/>
  <c r="X676" i="2"/>
  <c r="Y676" i="2" s="1"/>
  <c r="X677" i="2"/>
  <c r="Y677" i="2" s="1"/>
  <c r="X678" i="2"/>
  <c r="Y678" i="2" s="1"/>
  <c r="X679" i="2"/>
  <c r="Y679" i="2" s="1"/>
  <c r="X680" i="2"/>
  <c r="Y680" i="2" s="1"/>
  <c r="X681" i="2"/>
  <c r="Y681" i="2" s="1"/>
  <c r="X682" i="2"/>
  <c r="Y682" i="2" s="1"/>
  <c r="X683" i="2"/>
  <c r="Y683" i="2" s="1"/>
  <c r="X684" i="2"/>
  <c r="Y684" i="2" s="1"/>
  <c r="X685" i="2"/>
  <c r="Y685" i="2" s="1"/>
  <c r="X686" i="2"/>
  <c r="Y686" i="2" s="1"/>
  <c r="X687" i="2"/>
  <c r="Y687" i="2" s="1"/>
  <c r="X688" i="2"/>
  <c r="Y688" i="2" s="1"/>
  <c r="X689" i="2"/>
  <c r="Y689" i="2" s="1"/>
  <c r="X690" i="2"/>
  <c r="Y690" i="2" s="1"/>
  <c r="X691" i="2"/>
  <c r="Y691" i="2" s="1"/>
  <c r="X692" i="2"/>
  <c r="Y692" i="2" s="1"/>
  <c r="X693" i="2"/>
  <c r="Y693" i="2" s="1"/>
  <c r="X694" i="2"/>
  <c r="Y694" i="2" s="1"/>
  <c r="X695" i="2"/>
  <c r="Y695" i="2" s="1"/>
  <c r="X696" i="2"/>
  <c r="Y696" i="2" s="1"/>
  <c r="X697" i="2"/>
  <c r="Y697" i="2" s="1"/>
  <c r="X698" i="2"/>
  <c r="Y698" i="2" s="1"/>
  <c r="X699" i="2"/>
  <c r="Y699" i="2" s="1"/>
  <c r="X700" i="2"/>
  <c r="Y700" i="2" s="1"/>
  <c r="X701" i="2"/>
  <c r="Y701" i="2" s="1"/>
  <c r="X702" i="2"/>
  <c r="Y702" i="2" s="1"/>
  <c r="X703" i="2"/>
  <c r="Y703" i="2" s="1"/>
  <c r="X704" i="2"/>
  <c r="Y704" i="2" s="1"/>
  <c r="X705" i="2"/>
  <c r="Y705" i="2" s="1"/>
  <c r="X706" i="2"/>
  <c r="Y706" i="2" s="1"/>
  <c r="X707" i="2"/>
  <c r="Y707" i="2" s="1"/>
  <c r="X708" i="2"/>
  <c r="Y708" i="2" s="1"/>
  <c r="X709" i="2"/>
  <c r="Y709" i="2" s="1"/>
  <c r="X710" i="2"/>
  <c r="Y710" i="2" s="1"/>
  <c r="X711" i="2"/>
  <c r="Y711" i="2" s="1"/>
  <c r="X712" i="2"/>
  <c r="Y712" i="2" s="1"/>
  <c r="X713" i="2"/>
  <c r="Y713" i="2" s="1"/>
  <c r="X714" i="2"/>
  <c r="Y714" i="2" s="1"/>
  <c r="X715" i="2"/>
  <c r="Y715" i="2" s="1"/>
  <c r="X716" i="2"/>
  <c r="Y716" i="2" s="1"/>
  <c r="X717" i="2"/>
  <c r="Y717" i="2" s="1"/>
  <c r="X718" i="2"/>
  <c r="Y718" i="2" s="1"/>
  <c r="X719" i="2"/>
  <c r="Y719" i="2" s="1"/>
  <c r="X720" i="2"/>
  <c r="Y720" i="2" s="1"/>
  <c r="X721" i="2"/>
  <c r="Y721" i="2" s="1"/>
  <c r="X722" i="2"/>
  <c r="Y722" i="2" s="1"/>
  <c r="X723" i="2"/>
  <c r="Y723" i="2" s="1"/>
  <c r="X724" i="2"/>
  <c r="Y724" i="2" s="1"/>
  <c r="X725" i="2"/>
  <c r="Y725" i="2" s="1"/>
  <c r="X726" i="2"/>
  <c r="Y726" i="2" s="1"/>
  <c r="X727" i="2"/>
  <c r="Y727" i="2" s="1"/>
  <c r="X728" i="2"/>
  <c r="Y728" i="2" s="1"/>
  <c r="X729" i="2"/>
  <c r="Y729" i="2" s="1"/>
  <c r="X730" i="2"/>
  <c r="Y730" i="2" s="1"/>
  <c r="X731" i="2"/>
  <c r="Y731" i="2" s="1"/>
  <c r="X732" i="2"/>
  <c r="Y732" i="2" s="1"/>
  <c r="X733" i="2"/>
  <c r="Y733" i="2" s="1"/>
  <c r="X734" i="2"/>
  <c r="Y734" i="2" s="1"/>
  <c r="X735" i="2"/>
  <c r="Y735" i="2" s="1"/>
  <c r="X736" i="2"/>
  <c r="Y736" i="2" s="1"/>
  <c r="X737" i="2"/>
  <c r="Y737" i="2" s="1"/>
  <c r="X738" i="2"/>
  <c r="Y738" i="2" s="1"/>
  <c r="X739" i="2"/>
  <c r="Y739" i="2" s="1"/>
  <c r="X740" i="2"/>
  <c r="Y740" i="2" s="1"/>
  <c r="X741" i="2"/>
  <c r="Y741" i="2" s="1"/>
  <c r="X742" i="2"/>
  <c r="Y742" i="2" s="1"/>
  <c r="X743" i="2"/>
  <c r="Y743" i="2" s="1"/>
  <c r="X744" i="2"/>
  <c r="Y744" i="2" s="1"/>
  <c r="X745" i="2"/>
  <c r="Y745" i="2" s="1"/>
  <c r="X746" i="2"/>
  <c r="Y746" i="2" s="1"/>
  <c r="X747" i="2"/>
  <c r="Y747" i="2" s="1"/>
  <c r="X748" i="2"/>
  <c r="Y748" i="2" s="1"/>
  <c r="X749" i="2"/>
  <c r="Y749" i="2" s="1"/>
  <c r="X750" i="2"/>
  <c r="Y750" i="2" s="1"/>
  <c r="X751" i="2"/>
  <c r="Y751" i="2" s="1"/>
  <c r="X752" i="2"/>
  <c r="Y752" i="2" s="1"/>
  <c r="X753" i="2"/>
  <c r="Y753" i="2" s="1"/>
  <c r="X754" i="2"/>
  <c r="Y754" i="2" s="1"/>
  <c r="X755" i="2"/>
  <c r="Y755" i="2" s="1"/>
  <c r="X756" i="2"/>
  <c r="Y756" i="2" s="1"/>
  <c r="X757" i="2"/>
  <c r="Y757" i="2" s="1"/>
  <c r="X758" i="2"/>
  <c r="Y758" i="2" s="1"/>
  <c r="X759" i="2"/>
  <c r="Y759" i="2" s="1"/>
  <c r="X760" i="2"/>
  <c r="Y760" i="2" s="1"/>
  <c r="X761" i="2"/>
  <c r="Y761" i="2" s="1"/>
  <c r="X762" i="2"/>
  <c r="Y762" i="2" s="1"/>
  <c r="X763" i="2"/>
  <c r="Y763" i="2" s="1"/>
  <c r="X764" i="2"/>
  <c r="Y764" i="2" s="1"/>
  <c r="X765" i="2"/>
  <c r="Y765" i="2" s="1"/>
  <c r="X766" i="2"/>
  <c r="Y766" i="2" s="1"/>
  <c r="X767" i="2"/>
  <c r="Y767" i="2" s="1"/>
  <c r="X768" i="2"/>
  <c r="Y768" i="2" s="1"/>
  <c r="X769" i="2"/>
  <c r="Y769" i="2" s="1"/>
  <c r="X770" i="2"/>
  <c r="Y770" i="2" s="1"/>
  <c r="X771" i="2"/>
  <c r="Y771" i="2" s="1"/>
  <c r="X772" i="2"/>
  <c r="Y772" i="2" s="1"/>
  <c r="X773" i="2"/>
  <c r="Y773" i="2" s="1"/>
  <c r="X774" i="2"/>
  <c r="Y774" i="2" s="1"/>
  <c r="X775" i="2"/>
  <c r="Y775" i="2" s="1"/>
  <c r="X776" i="2"/>
  <c r="Y776" i="2" s="1"/>
  <c r="X777" i="2"/>
  <c r="Y777" i="2" s="1"/>
  <c r="X778" i="2"/>
  <c r="Y778" i="2" s="1"/>
  <c r="X779" i="2"/>
  <c r="Y779" i="2" s="1"/>
  <c r="X780" i="2"/>
  <c r="Y780" i="2" s="1"/>
  <c r="X781" i="2"/>
  <c r="Y781" i="2" s="1"/>
  <c r="X782" i="2"/>
  <c r="Y782" i="2" s="1"/>
  <c r="X783" i="2"/>
  <c r="Y783" i="2" s="1"/>
  <c r="X784" i="2"/>
  <c r="Y784" i="2" s="1"/>
  <c r="X785" i="2"/>
  <c r="Y785" i="2" s="1"/>
  <c r="X786" i="2"/>
  <c r="Y786" i="2" s="1"/>
  <c r="X787" i="2"/>
  <c r="Y787" i="2" s="1"/>
  <c r="X788" i="2"/>
  <c r="Y788" i="2" s="1"/>
  <c r="X789" i="2"/>
  <c r="Y789" i="2" s="1"/>
  <c r="X790" i="2"/>
  <c r="Y790" i="2" s="1"/>
  <c r="X791" i="2"/>
  <c r="Y791" i="2" s="1"/>
  <c r="X792" i="2"/>
  <c r="Y792" i="2" s="1"/>
  <c r="X793" i="2"/>
  <c r="Y793" i="2" s="1"/>
  <c r="X794" i="2"/>
  <c r="Y794" i="2" s="1"/>
  <c r="X795" i="2"/>
  <c r="Y795" i="2" s="1"/>
  <c r="X796" i="2"/>
  <c r="Y796" i="2" s="1"/>
  <c r="X797" i="2"/>
  <c r="Y797" i="2" s="1"/>
  <c r="X798" i="2"/>
  <c r="Y798" i="2" s="1"/>
  <c r="X799" i="2"/>
  <c r="Y799" i="2" s="1"/>
  <c r="X800" i="2"/>
  <c r="Y800" i="2" s="1"/>
  <c r="X801" i="2"/>
  <c r="Y801" i="2" s="1"/>
  <c r="X802" i="2"/>
  <c r="Y802" i="2" s="1"/>
  <c r="X803" i="2"/>
  <c r="Y803" i="2" s="1"/>
  <c r="X804" i="2"/>
  <c r="Y804" i="2" s="1"/>
  <c r="X805" i="2"/>
  <c r="Y805" i="2" s="1"/>
  <c r="X806" i="2"/>
  <c r="Y806" i="2" s="1"/>
  <c r="X807" i="2"/>
  <c r="Y807" i="2" s="1"/>
  <c r="X808" i="2"/>
  <c r="Y808" i="2" s="1"/>
  <c r="X809" i="2"/>
  <c r="Y809" i="2" s="1"/>
  <c r="X810" i="2"/>
  <c r="Y810" i="2" s="1"/>
  <c r="X811" i="2"/>
  <c r="Y811" i="2" s="1"/>
  <c r="X812" i="2"/>
  <c r="Y812" i="2" s="1"/>
  <c r="X813" i="2"/>
  <c r="Y813" i="2" s="1"/>
  <c r="X814" i="2"/>
  <c r="Y814" i="2" s="1"/>
  <c r="X815" i="2"/>
  <c r="Y815" i="2" s="1"/>
  <c r="X816" i="2"/>
  <c r="Y816" i="2" s="1"/>
  <c r="X817" i="2"/>
  <c r="Y817" i="2" s="1"/>
  <c r="X818" i="2"/>
  <c r="Y818" i="2" s="1"/>
  <c r="X819" i="2"/>
  <c r="Y819" i="2" s="1"/>
  <c r="X820" i="2"/>
  <c r="Y820" i="2" s="1"/>
  <c r="X821" i="2"/>
  <c r="Y821" i="2" s="1"/>
  <c r="X822" i="2"/>
  <c r="Y822" i="2" s="1"/>
  <c r="X823" i="2"/>
  <c r="Y823" i="2" s="1"/>
  <c r="X824" i="2"/>
  <c r="Y824" i="2" s="1"/>
  <c r="X825" i="2"/>
  <c r="Y825" i="2" s="1"/>
  <c r="X826" i="2"/>
  <c r="Y826" i="2" s="1"/>
  <c r="X827" i="2"/>
  <c r="Y827" i="2" s="1"/>
  <c r="X828" i="2"/>
  <c r="Y828" i="2" s="1"/>
  <c r="X829" i="2"/>
  <c r="Y829" i="2" s="1"/>
  <c r="X830" i="2"/>
  <c r="Y830" i="2" s="1"/>
  <c r="X831" i="2"/>
  <c r="Y831" i="2" s="1"/>
  <c r="X832" i="2"/>
  <c r="Y832" i="2" s="1"/>
  <c r="X833" i="2"/>
  <c r="Y833" i="2" s="1"/>
  <c r="X834" i="2"/>
  <c r="Y834" i="2" s="1"/>
  <c r="X835" i="2"/>
  <c r="Y835" i="2" s="1"/>
  <c r="X836" i="2"/>
  <c r="Y836" i="2" s="1"/>
  <c r="X837" i="2"/>
  <c r="Y837" i="2" s="1"/>
  <c r="X838" i="2"/>
  <c r="Y838" i="2" s="1"/>
  <c r="X839" i="2"/>
  <c r="Y839" i="2" s="1"/>
  <c r="X840" i="2"/>
  <c r="Y840" i="2" s="1"/>
  <c r="X841" i="2"/>
  <c r="Y841" i="2" s="1"/>
  <c r="X842" i="2"/>
  <c r="Y842" i="2" s="1"/>
  <c r="X843" i="2"/>
  <c r="Y843" i="2" s="1"/>
  <c r="X844" i="2"/>
  <c r="Y844" i="2" s="1"/>
  <c r="X845" i="2"/>
  <c r="Y845" i="2" s="1"/>
  <c r="X846" i="2"/>
  <c r="Y846" i="2" s="1"/>
  <c r="X847" i="2"/>
  <c r="Y847" i="2" s="1"/>
  <c r="X848" i="2"/>
  <c r="Y848" i="2" s="1"/>
  <c r="X849" i="2"/>
  <c r="Y849" i="2" s="1"/>
  <c r="X850" i="2"/>
  <c r="Y850" i="2" s="1"/>
  <c r="X851" i="2"/>
  <c r="Y851" i="2" s="1"/>
  <c r="X852" i="2"/>
  <c r="Y852" i="2" s="1"/>
  <c r="X853" i="2"/>
  <c r="Y853" i="2" s="1"/>
  <c r="X854" i="2"/>
  <c r="Y854" i="2" s="1"/>
  <c r="X855" i="2"/>
  <c r="Y855" i="2" s="1"/>
  <c r="X856" i="2"/>
  <c r="Y856" i="2" s="1"/>
  <c r="X857" i="2"/>
  <c r="Y857" i="2" s="1"/>
  <c r="X858" i="2"/>
  <c r="Y858" i="2" s="1"/>
  <c r="X859" i="2"/>
  <c r="Y859" i="2" s="1"/>
  <c r="X860" i="2"/>
  <c r="Y860" i="2" s="1"/>
  <c r="X861" i="2"/>
  <c r="Y861" i="2" s="1"/>
  <c r="X862" i="2"/>
  <c r="Y862" i="2" s="1"/>
  <c r="X863" i="2"/>
  <c r="Y863" i="2" s="1"/>
  <c r="X864" i="2"/>
  <c r="Y864" i="2" s="1"/>
  <c r="X865" i="2"/>
  <c r="Y865" i="2" s="1"/>
  <c r="X866" i="2"/>
  <c r="Y866" i="2" s="1"/>
  <c r="X867" i="2"/>
  <c r="Y867" i="2" s="1"/>
  <c r="X868" i="2"/>
  <c r="Y868" i="2" s="1"/>
  <c r="X869" i="2"/>
  <c r="Y869" i="2" s="1"/>
  <c r="X870" i="2"/>
  <c r="Y870" i="2" s="1"/>
  <c r="X871" i="2"/>
  <c r="Y871" i="2" s="1"/>
  <c r="X872" i="2"/>
  <c r="Y872" i="2" s="1"/>
  <c r="X873" i="2"/>
  <c r="Y873" i="2" s="1"/>
  <c r="X874" i="2"/>
  <c r="Y874" i="2" s="1"/>
  <c r="X875" i="2"/>
  <c r="Y875" i="2" s="1"/>
  <c r="X876" i="2"/>
  <c r="Y876" i="2" s="1"/>
  <c r="X877" i="2"/>
  <c r="Y877" i="2" s="1"/>
  <c r="X878" i="2"/>
  <c r="Y878" i="2" s="1"/>
  <c r="X879" i="2"/>
  <c r="Y879" i="2" s="1"/>
  <c r="X880" i="2"/>
  <c r="Y880" i="2" s="1"/>
  <c r="X881" i="2"/>
  <c r="Y881" i="2" s="1"/>
  <c r="X882" i="2"/>
  <c r="Y882" i="2" s="1"/>
  <c r="X883" i="2"/>
  <c r="Y883" i="2" s="1"/>
  <c r="X884" i="2"/>
  <c r="Y884" i="2" s="1"/>
  <c r="X885" i="2"/>
  <c r="Y885" i="2" s="1"/>
  <c r="X886" i="2"/>
  <c r="Y886" i="2" s="1"/>
  <c r="X887" i="2"/>
  <c r="Y887" i="2" s="1"/>
  <c r="X888" i="2"/>
  <c r="Y888" i="2" s="1"/>
  <c r="X889" i="2"/>
  <c r="Y889" i="2" s="1"/>
  <c r="X890" i="2"/>
  <c r="Y890" i="2" s="1"/>
  <c r="X891" i="2"/>
  <c r="Y891" i="2" s="1"/>
  <c r="X892" i="2"/>
  <c r="Y892" i="2" s="1"/>
  <c r="X893" i="2"/>
  <c r="Y893" i="2" s="1"/>
  <c r="X894" i="2"/>
  <c r="Y894" i="2" s="1"/>
  <c r="X895" i="2"/>
  <c r="Y895" i="2" s="1"/>
  <c r="X896" i="2"/>
  <c r="Y896" i="2" s="1"/>
  <c r="X897" i="2"/>
  <c r="Y897" i="2" s="1"/>
  <c r="X898" i="2"/>
  <c r="Y898" i="2" s="1"/>
  <c r="X899" i="2"/>
  <c r="Y899" i="2" s="1"/>
  <c r="X900" i="2"/>
  <c r="Y900" i="2" s="1"/>
  <c r="X901" i="2"/>
  <c r="Y901" i="2" s="1"/>
  <c r="X902" i="2"/>
  <c r="Y902" i="2" s="1"/>
  <c r="X903" i="2"/>
  <c r="Y903" i="2" s="1"/>
  <c r="X904" i="2"/>
  <c r="Y904" i="2" s="1"/>
  <c r="X905" i="2"/>
  <c r="Y905" i="2" s="1"/>
  <c r="X906" i="2"/>
  <c r="Y906" i="2" s="1"/>
  <c r="X907" i="2"/>
  <c r="Y907" i="2" s="1"/>
  <c r="X908" i="2"/>
  <c r="Y908" i="2" s="1"/>
  <c r="X909" i="2"/>
  <c r="Y909" i="2" s="1"/>
  <c r="X910" i="2"/>
  <c r="Y910" i="2" s="1"/>
  <c r="X911" i="2"/>
  <c r="Y911" i="2" s="1"/>
  <c r="X912" i="2"/>
  <c r="Y912" i="2" s="1"/>
  <c r="X913" i="2"/>
  <c r="Y913" i="2" s="1"/>
  <c r="X914" i="2"/>
  <c r="Y914" i="2" s="1"/>
  <c r="X915" i="2"/>
  <c r="Y915" i="2" s="1"/>
  <c r="X916" i="2"/>
  <c r="Y916" i="2" s="1"/>
  <c r="X917" i="2"/>
  <c r="Y917" i="2" s="1"/>
  <c r="X918" i="2"/>
  <c r="Y918" i="2" s="1"/>
  <c r="X919" i="2"/>
  <c r="Y919" i="2" s="1"/>
  <c r="X920" i="2"/>
  <c r="Y920" i="2" s="1"/>
  <c r="X921" i="2"/>
  <c r="Y921" i="2" s="1"/>
  <c r="X922" i="2"/>
  <c r="Y922" i="2" s="1"/>
  <c r="X923" i="2"/>
  <c r="Y923" i="2" s="1"/>
  <c r="X924" i="2"/>
  <c r="Y924" i="2" s="1"/>
  <c r="X925" i="2"/>
  <c r="Y925" i="2" s="1"/>
  <c r="X926" i="2"/>
  <c r="Y926" i="2" s="1"/>
  <c r="X927" i="2"/>
  <c r="Y927" i="2" s="1"/>
  <c r="X928" i="2"/>
  <c r="Y928" i="2" s="1"/>
  <c r="X929" i="2"/>
  <c r="Y929" i="2" s="1"/>
  <c r="X930" i="2"/>
  <c r="Y930" i="2" s="1"/>
  <c r="X931" i="2"/>
  <c r="Y931" i="2" s="1"/>
  <c r="X932" i="2"/>
  <c r="Y932" i="2" s="1"/>
  <c r="X933" i="2"/>
  <c r="Y933" i="2" s="1"/>
  <c r="X934" i="2"/>
  <c r="Y934" i="2" s="1"/>
  <c r="X935" i="2"/>
  <c r="Y935" i="2" s="1"/>
  <c r="X936" i="2"/>
  <c r="Y936" i="2" s="1"/>
  <c r="X937" i="2"/>
  <c r="Y937" i="2" s="1"/>
  <c r="X938" i="2"/>
  <c r="Y938" i="2" s="1"/>
  <c r="X939" i="2"/>
  <c r="Y939" i="2" s="1"/>
  <c r="X940" i="2"/>
  <c r="Y940" i="2" s="1"/>
  <c r="X941" i="2"/>
  <c r="Y941" i="2" s="1"/>
  <c r="X942" i="2"/>
  <c r="Y942" i="2" s="1"/>
  <c r="X943" i="2"/>
  <c r="Y943" i="2" s="1"/>
  <c r="X944" i="2"/>
  <c r="Y944" i="2" s="1"/>
  <c r="X945" i="2"/>
  <c r="Y945" i="2" s="1"/>
  <c r="X946" i="2"/>
  <c r="Y946" i="2" s="1"/>
  <c r="X947" i="2"/>
  <c r="Y947" i="2" s="1"/>
  <c r="X948" i="2"/>
  <c r="Y948" i="2" s="1"/>
  <c r="X949" i="2"/>
  <c r="Y949" i="2" s="1"/>
  <c r="X950" i="2"/>
  <c r="Y950" i="2" s="1"/>
  <c r="X951" i="2"/>
  <c r="Y951" i="2" s="1"/>
  <c r="X952" i="2"/>
  <c r="Y952" i="2" s="1"/>
  <c r="X953" i="2"/>
  <c r="Y953" i="2" s="1"/>
  <c r="X954" i="2"/>
  <c r="Y954" i="2" s="1"/>
  <c r="X955" i="2"/>
  <c r="Y955" i="2" s="1"/>
  <c r="X956" i="2"/>
  <c r="Y956" i="2" s="1"/>
  <c r="X957" i="2"/>
  <c r="Y957" i="2" s="1"/>
  <c r="X958" i="2"/>
  <c r="Y958" i="2" s="1"/>
  <c r="X959" i="2"/>
  <c r="Y959" i="2" s="1"/>
  <c r="X960" i="2"/>
  <c r="Y960" i="2" s="1"/>
  <c r="X961" i="2"/>
  <c r="Y961" i="2" s="1"/>
  <c r="X962" i="2"/>
  <c r="Y962" i="2" s="1"/>
  <c r="X963" i="2"/>
  <c r="Y963" i="2" s="1"/>
  <c r="X964" i="2"/>
  <c r="Y964" i="2" s="1"/>
  <c r="X965" i="2"/>
  <c r="Y965" i="2" s="1"/>
  <c r="X966" i="2"/>
  <c r="Y966" i="2" s="1"/>
  <c r="X967" i="2"/>
  <c r="Y967" i="2" s="1"/>
  <c r="X968" i="2"/>
  <c r="Y968" i="2" s="1"/>
  <c r="X969" i="2"/>
  <c r="Y969" i="2" s="1"/>
  <c r="X970" i="2"/>
  <c r="Y970" i="2" s="1"/>
  <c r="X971" i="2"/>
  <c r="Y971" i="2" s="1"/>
  <c r="X972" i="2"/>
  <c r="Y972" i="2" s="1"/>
  <c r="X973" i="2"/>
  <c r="Y973" i="2" s="1"/>
  <c r="X974" i="2"/>
  <c r="Y974" i="2" s="1"/>
  <c r="X975" i="2"/>
  <c r="Y975" i="2" s="1"/>
  <c r="X976" i="2"/>
  <c r="Y976" i="2" s="1"/>
  <c r="X977" i="2"/>
  <c r="Y977" i="2" s="1"/>
  <c r="X978" i="2"/>
  <c r="Y978" i="2" s="1"/>
  <c r="X979" i="2"/>
  <c r="Y979" i="2" s="1"/>
  <c r="X980" i="2"/>
  <c r="Y980" i="2" s="1"/>
  <c r="X981" i="2"/>
  <c r="Y981" i="2" s="1"/>
  <c r="X982" i="2"/>
  <c r="Y982" i="2" s="1"/>
  <c r="X983" i="2"/>
  <c r="Y983" i="2" s="1"/>
  <c r="X984" i="2"/>
  <c r="Y984" i="2" s="1"/>
  <c r="X985" i="2"/>
  <c r="Y985" i="2" s="1"/>
  <c r="X986" i="2"/>
  <c r="Y986" i="2" s="1"/>
  <c r="X987" i="2"/>
  <c r="Y987" i="2" s="1"/>
  <c r="X988" i="2"/>
  <c r="Y988" i="2" s="1"/>
  <c r="X989" i="2"/>
  <c r="Y989" i="2" s="1"/>
  <c r="X990" i="2"/>
  <c r="Y990" i="2" s="1"/>
  <c r="X991" i="2"/>
  <c r="Y991" i="2" s="1"/>
  <c r="X992" i="2"/>
  <c r="Y992" i="2" s="1"/>
  <c r="X993" i="2"/>
  <c r="Y993" i="2" s="1"/>
  <c r="X994" i="2"/>
  <c r="Y994" i="2" s="1"/>
  <c r="X995" i="2"/>
  <c r="Y995" i="2" s="1"/>
  <c r="X996" i="2"/>
  <c r="Y996" i="2" s="1"/>
  <c r="X997" i="2"/>
  <c r="Y997" i="2" s="1"/>
  <c r="X998" i="2"/>
  <c r="Y998" i="2" s="1"/>
  <c r="X999" i="2"/>
  <c r="Y999" i="2" s="1"/>
  <c r="X1000" i="2"/>
  <c r="Y1000" i="2" s="1"/>
  <c r="X1001" i="2"/>
  <c r="Y1001" i="2" s="1"/>
  <c r="X1002" i="2"/>
  <c r="Y1002" i="2" s="1"/>
  <c r="X1003" i="2"/>
  <c r="Y1003" i="2" s="1"/>
  <c r="X1004" i="2"/>
  <c r="Y1004" i="2" s="1"/>
  <c r="X1005" i="2"/>
  <c r="Y1005" i="2" s="1"/>
  <c r="X1006" i="2"/>
  <c r="Y1006" i="2" s="1"/>
  <c r="X1007" i="2"/>
  <c r="Y1007" i="2" s="1"/>
  <c r="X1008" i="2"/>
  <c r="Y1008" i="2" s="1"/>
  <c r="X1009" i="2"/>
  <c r="Y1009" i="2" s="1"/>
  <c r="X1010" i="2"/>
  <c r="Y1010" i="2" s="1"/>
  <c r="X1011" i="2"/>
  <c r="Y1011" i="2" s="1"/>
  <c r="X1012" i="2"/>
  <c r="Y1012" i="2" s="1"/>
  <c r="X1013" i="2"/>
  <c r="Y1013" i="2" s="1"/>
  <c r="X1014" i="2"/>
  <c r="Y1014" i="2" s="1"/>
  <c r="X1015" i="2"/>
  <c r="Y1015" i="2" s="1"/>
  <c r="X1016" i="2"/>
  <c r="Y1016" i="2" s="1"/>
  <c r="X1017" i="2"/>
  <c r="Y1017" i="2" s="1"/>
  <c r="X1018" i="2"/>
  <c r="Y1018" i="2" s="1"/>
  <c r="X1019" i="2"/>
  <c r="Y1019" i="2" s="1"/>
  <c r="X1020" i="2"/>
  <c r="Y1020" i="2" s="1"/>
  <c r="X1021" i="2"/>
  <c r="Y1021" i="2" s="1"/>
  <c r="X1022" i="2"/>
  <c r="Y1022" i="2" s="1"/>
  <c r="X1023" i="2"/>
  <c r="Y1023" i="2" s="1"/>
  <c r="X1024" i="2"/>
  <c r="Y1024" i="2" s="1"/>
  <c r="X1025" i="2"/>
  <c r="Y1025" i="2" s="1"/>
  <c r="X1026" i="2"/>
  <c r="Y1026" i="2" s="1"/>
  <c r="X1027" i="2"/>
  <c r="Y1027" i="2" s="1"/>
  <c r="X1028" i="2"/>
  <c r="Y1028" i="2" s="1"/>
  <c r="X1029" i="2"/>
  <c r="Y1029" i="2" s="1"/>
  <c r="X1030" i="2"/>
  <c r="Y1030" i="2" s="1"/>
  <c r="X1031" i="2"/>
  <c r="Y1031" i="2" s="1"/>
  <c r="X1032" i="2"/>
  <c r="Y1032" i="2" s="1"/>
  <c r="X1033" i="2"/>
  <c r="Y1033" i="2" s="1"/>
  <c r="X1034" i="2"/>
  <c r="Y1034" i="2" s="1"/>
  <c r="X1035" i="2"/>
  <c r="Y1035" i="2" s="1"/>
  <c r="X1036" i="2"/>
  <c r="Y1036" i="2" s="1"/>
  <c r="X1037" i="2"/>
  <c r="Y1037" i="2" s="1"/>
  <c r="X1038" i="2"/>
  <c r="Y1038" i="2" s="1"/>
  <c r="X1039" i="2"/>
  <c r="Y1039" i="2" s="1"/>
  <c r="X1040" i="2"/>
  <c r="Y1040" i="2" s="1"/>
  <c r="X1041" i="2"/>
  <c r="Y1041" i="2" s="1"/>
  <c r="X1042" i="2"/>
  <c r="Y1042" i="2" s="1"/>
  <c r="X1043" i="2"/>
  <c r="Y1043" i="2" s="1"/>
  <c r="X1044" i="2"/>
  <c r="Y1044" i="2" s="1"/>
  <c r="X1045" i="2"/>
  <c r="Y1045" i="2" s="1"/>
  <c r="X1046" i="2"/>
  <c r="Y1046" i="2" s="1"/>
  <c r="X1047" i="2"/>
  <c r="Y1047" i="2" s="1"/>
  <c r="X1048" i="2"/>
  <c r="Y1048" i="2" s="1"/>
  <c r="X1049" i="2"/>
  <c r="Y1049" i="2" s="1"/>
  <c r="X1050" i="2"/>
  <c r="Y1050" i="2" s="1"/>
  <c r="X1051" i="2"/>
  <c r="Y1051" i="2" s="1"/>
  <c r="X1052" i="2"/>
  <c r="Y1052" i="2" s="1"/>
  <c r="X1053" i="2"/>
  <c r="Y1053" i="2" s="1"/>
  <c r="X1054" i="2"/>
  <c r="Y1054" i="2" s="1"/>
  <c r="X1055" i="2"/>
  <c r="Y1055" i="2" s="1"/>
  <c r="X1056" i="2"/>
  <c r="Y1056" i="2" s="1"/>
  <c r="X1057" i="2"/>
  <c r="Y1057" i="2" s="1"/>
  <c r="X1058" i="2"/>
  <c r="Y1058" i="2" s="1"/>
  <c r="X1059" i="2"/>
  <c r="Y1059" i="2" s="1"/>
  <c r="X1060" i="2"/>
  <c r="Y1060" i="2" s="1"/>
  <c r="X1061" i="2"/>
  <c r="Y1061" i="2" s="1"/>
  <c r="X1062" i="2"/>
  <c r="Y1062" i="2" s="1"/>
  <c r="X1063" i="2"/>
  <c r="Y1063" i="2" s="1"/>
  <c r="X1064" i="2"/>
  <c r="Y1064" i="2" s="1"/>
  <c r="X1065" i="2"/>
  <c r="Y1065" i="2" s="1"/>
  <c r="X1066" i="2"/>
  <c r="Y1066" i="2" s="1"/>
  <c r="X1067" i="2"/>
  <c r="Y1067" i="2" s="1"/>
  <c r="X1068" i="2"/>
  <c r="Y1068" i="2" s="1"/>
  <c r="X1069" i="2"/>
  <c r="Y1069" i="2" s="1"/>
  <c r="X1070" i="2"/>
  <c r="Y1070" i="2" s="1"/>
  <c r="X1071" i="2"/>
  <c r="Y1071" i="2" s="1"/>
  <c r="X1072" i="2"/>
  <c r="Y1072" i="2" s="1"/>
  <c r="X1073" i="2"/>
  <c r="Y1073" i="2" s="1"/>
  <c r="X1074" i="2"/>
  <c r="Y1074" i="2" s="1"/>
  <c r="X1075" i="2"/>
  <c r="Y1075" i="2" s="1"/>
  <c r="X1076" i="2"/>
  <c r="Y1076" i="2" s="1"/>
  <c r="X1077" i="2"/>
  <c r="Y1077" i="2" s="1"/>
  <c r="X1078" i="2"/>
  <c r="Y1078" i="2" s="1"/>
  <c r="X1079" i="2"/>
  <c r="Y1079" i="2" s="1"/>
  <c r="X1080" i="2"/>
  <c r="Y1080" i="2" s="1"/>
  <c r="X1081" i="2"/>
  <c r="Y1081" i="2" s="1"/>
  <c r="X1082" i="2"/>
  <c r="Y1082" i="2" s="1"/>
  <c r="X1083" i="2"/>
  <c r="Y1083" i="2" s="1"/>
  <c r="X1084" i="2"/>
  <c r="Y1084" i="2" s="1"/>
  <c r="X1085" i="2"/>
  <c r="Y1085" i="2" s="1"/>
  <c r="X1086" i="2"/>
  <c r="Y1086" i="2" s="1"/>
  <c r="X1087" i="2"/>
  <c r="Y1087" i="2" s="1"/>
  <c r="X1088" i="2"/>
  <c r="Y1088" i="2" s="1"/>
  <c r="X1089" i="2"/>
  <c r="Y1089" i="2" s="1"/>
  <c r="X1090" i="2"/>
  <c r="Y1090" i="2" s="1"/>
  <c r="X1091" i="2"/>
  <c r="Y1091" i="2" s="1"/>
  <c r="X1092" i="2"/>
  <c r="Y1092" i="2" s="1"/>
  <c r="X1093" i="2"/>
  <c r="Y1093" i="2" s="1"/>
  <c r="X1094" i="2"/>
  <c r="Y1094" i="2" s="1"/>
  <c r="X1095" i="2"/>
  <c r="Y1095" i="2" s="1"/>
  <c r="X1096" i="2"/>
  <c r="Y1096" i="2" s="1"/>
  <c r="X1097" i="2"/>
  <c r="Y1097" i="2" s="1"/>
  <c r="X1098" i="2"/>
  <c r="Y1098" i="2" s="1"/>
  <c r="X1099" i="2"/>
  <c r="Y1099" i="2" s="1"/>
  <c r="X1100" i="2"/>
  <c r="Y1100" i="2" s="1"/>
  <c r="X1101" i="2"/>
  <c r="Y1101" i="2" s="1"/>
  <c r="X1102" i="2"/>
  <c r="Y1102" i="2" s="1"/>
  <c r="X1103" i="2"/>
  <c r="Y1103" i="2" s="1"/>
  <c r="X1104" i="2"/>
  <c r="Y1104" i="2" s="1"/>
  <c r="X1105" i="2"/>
  <c r="Y1105" i="2" s="1"/>
  <c r="X1106" i="2"/>
  <c r="Y1106" i="2" s="1"/>
  <c r="X1107" i="2"/>
  <c r="Y1107" i="2" s="1"/>
  <c r="X1108" i="2"/>
  <c r="Y1108" i="2" s="1"/>
  <c r="X1109" i="2"/>
  <c r="Y1109" i="2" s="1"/>
  <c r="X1110" i="2"/>
  <c r="Y1110" i="2" s="1"/>
  <c r="X1111" i="2"/>
  <c r="Y1111" i="2" s="1"/>
  <c r="X1112" i="2"/>
  <c r="Y1112" i="2" s="1"/>
  <c r="X1113" i="2"/>
  <c r="Y1113" i="2" s="1"/>
  <c r="X1114" i="2"/>
  <c r="Y1114" i="2" s="1"/>
  <c r="X1115" i="2"/>
  <c r="Y1115" i="2" s="1"/>
  <c r="X1116" i="2"/>
  <c r="Y1116" i="2" s="1"/>
  <c r="X1117" i="2"/>
  <c r="Y1117" i="2" s="1"/>
  <c r="X1118" i="2"/>
  <c r="Y1118" i="2" s="1"/>
  <c r="X1119" i="2"/>
  <c r="Y1119" i="2" s="1"/>
  <c r="X1120" i="2"/>
  <c r="Y1120" i="2" s="1"/>
  <c r="X1121" i="2"/>
  <c r="Y1121" i="2" s="1"/>
  <c r="X1122" i="2"/>
  <c r="Y1122" i="2" s="1"/>
  <c r="X1123" i="2"/>
  <c r="Y1123" i="2" s="1"/>
  <c r="X1124" i="2"/>
  <c r="Y1124" i="2" s="1"/>
  <c r="X1125" i="2"/>
  <c r="Y1125" i="2" s="1"/>
  <c r="X1126" i="2"/>
  <c r="Y1126" i="2" s="1"/>
  <c r="X1127" i="2"/>
  <c r="Y1127" i="2" s="1"/>
  <c r="X1128" i="2"/>
  <c r="Y1128" i="2" s="1"/>
  <c r="X1129" i="2"/>
  <c r="Y1129" i="2" s="1"/>
  <c r="X1130" i="2"/>
  <c r="Y1130" i="2" s="1"/>
  <c r="X1131" i="2"/>
  <c r="Y1131" i="2" s="1"/>
  <c r="X1132" i="2"/>
  <c r="Y1132" i="2" s="1"/>
  <c r="X1133" i="2"/>
  <c r="Y1133" i="2" s="1"/>
  <c r="X1134" i="2"/>
  <c r="Y1134" i="2" s="1"/>
  <c r="X1135" i="2"/>
  <c r="Y1135" i="2" s="1"/>
  <c r="X1136" i="2"/>
  <c r="Y1136" i="2" s="1"/>
  <c r="X1137" i="2"/>
  <c r="Y1137" i="2" s="1"/>
  <c r="X1138" i="2"/>
  <c r="Y1138" i="2" s="1"/>
  <c r="X1139" i="2"/>
  <c r="Y1139" i="2" s="1"/>
  <c r="X1140" i="2"/>
  <c r="Y1140" i="2" s="1"/>
  <c r="X1141" i="2"/>
  <c r="Y1141" i="2" s="1"/>
  <c r="X1142" i="2"/>
  <c r="Y1142" i="2" s="1"/>
  <c r="X1143" i="2"/>
  <c r="Y1143" i="2" s="1"/>
  <c r="X1144" i="2"/>
  <c r="Y1144" i="2" s="1"/>
  <c r="X1145" i="2"/>
  <c r="Y1145" i="2" s="1"/>
  <c r="X1146" i="2"/>
  <c r="Y1146" i="2" s="1"/>
  <c r="X1147" i="2"/>
  <c r="Y1147" i="2" s="1"/>
  <c r="X1148" i="2"/>
  <c r="Y1148" i="2" s="1"/>
  <c r="X1149" i="2"/>
  <c r="Y1149" i="2" s="1"/>
  <c r="X1150" i="2"/>
  <c r="Y1150" i="2" s="1"/>
  <c r="X1151" i="2"/>
  <c r="Y1151" i="2" s="1"/>
  <c r="X1152" i="2"/>
  <c r="Y1152" i="2" s="1"/>
  <c r="X1153" i="2"/>
  <c r="Y1153" i="2" s="1"/>
  <c r="X1154" i="2"/>
  <c r="Y1154" i="2" s="1"/>
  <c r="X1155" i="2"/>
  <c r="Y1155" i="2" s="1"/>
  <c r="X1156" i="2"/>
  <c r="Y1156" i="2" s="1"/>
  <c r="X1157" i="2"/>
  <c r="Y1157" i="2" s="1"/>
  <c r="X1158" i="2"/>
  <c r="Y1158" i="2" s="1"/>
  <c r="X1159" i="2"/>
  <c r="Y1159" i="2" s="1"/>
  <c r="X1160" i="2"/>
  <c r="Y1160" i="2" s="1"/>
  <c r="X1161" i="2"/>
  <c r="Y1161" i="2" s="1"/>
  <c r="X1162" i="2"/>
  <c r="Y1162" i="2" s="1"/>
  <c r="X1163" i="2"/>
  <c r="Y1163" i="2" s="1"/>
  <c r="X1164" i="2"/>
  <c r="Y1164" i="2" s="1"/>
  <c r="X1165" i="2"/>
  <c r="Y1165" i="2" s="1"/>
  <c r="X1166" i="2"/>
  <c r="Y1166" i="2" s="1"/>
  <c r="X1167" i="2"/>
  <c r="Y1167" i="2" s="1"/>
  <c r="X1168" i="2"/>
  <c r="Y1168" i="2" s="1"/>
  <c r="X1169" i="2"/>
  <c r="Y1169" i="2" s="1"/>
  <c r="X1170" i="2"/>
  <c r="Y1170" i="2" s="1"/>
  <c r="X1171" i="2"/>
  <c r="Y1171" i="2" s="1"/>
  <c r="X1172" i="2"/>
  <c r="Y1172" i="2" s="1"/>
  <c r="X1173" i="2"/>
  <c r="Y1173" i="2" s="1"/>
  <c r="X1174" i="2"/>
  <c r="Y1174" i="2" s="1"/>
  <c r="X1175" i="2"/>
  <c r="Y1175" i="2" s="1"/>
  <c r="X1176" i="2"/>
  <c r="Y1176" i="2" s="1"/>
  <c r="X1177" i="2"/>
  <c r="Y1177" i="2" s="1"/>
  <c r="X1178" i="2"/>
  <c r="Y1178" i="2" s="1"/>
  <c r="X1179" i="2"/>
  <c r="Y1179" i="2" s="1"/>
  <c r="X1180" i="2"/>
  <c r="Y1180" i="2" s="1"/>
  <c r="X1181" i="2"/>
  <c r="Y1181" i="2" s="1"/>
  <c r="X1182" i="2"/>
  <c r="Y1182" i="2" s="1"/>
  <c r="X1183" i="2"/>
  <c r="Y1183" i="2" s="1"/>
  <c r="X1184" i="2"/>
  <c r="Y1184" i="2" s="1"/>
  <c r="X1185" i="2"/>
  <c r="Y1185" i="2" s="1"/>
  <c r="X1186" i="2"/>
  <c r="Y1186" i="2" s="1"/>
  <c r="X1187" i="2"/>
  <c r="Y1187" i="2" s="1"/>
  <c r="X1188" i="2"/>
  <c r="Y1188" i="2" s="1"/>
  <c r="X1189" i="2"/>
  <c r="Y1189" i="2" s="1"/>
  <c r="X1190" i="2"/>
  <c r="Y1190" i="2" s="1"/>
  <c r="X1191" i="2"/>
  <c r="Y1191" i="2" s="1"/>
  <c r="X1192" i="2"/>
  <c r="Y1192" i="2" s="1"/>
  <c r="X1193" i="2"/>
  <c r="Y1193" i="2" s="1"/>
  <c r="X1194" i="2"/>
  <c r="Y1194" i="2" s="1"/>
  <c r="X1195" i="2"/>
  <c r="Y1195" i="2" s="1"/>
  <c r="X1196" i="2"/>
  <c r="Y1196" i="2" s="1"/>
  <c r="X1197" i="2"/>
  <c r="Y1197" i="2" s="1"/>
  <c r="X1198" i="2"/>
  <c r="Y1198" i="2" s="1"/>
  <c r="X1199" i="2"/>
  <c r="Y1199" i="2" s="1"/>
  <c r="X1200" i="2"/>
  <c r="Y1200" i="2" s="1"/>
  <c r="X1201" i="2"/>
  <c r="Y1201" i="2" s="1"/>
  <c r="X1202" i="2"/>
  <c r="Y1202" i="2" s="1"/>
  <c r="X1203" i="2"/>
  <c r="Y1203" i="2" s="1"/>
  <c r="X1204" i="2"/>
  <c r="Y1204" i="2" s="1"/>
  <c r="X1205" i="2"/>
  <c r="Y1205" i="2" s="1"/>
  <c r="X1206" i="2"/>
  <c r="Y1206" i="2" s="1"/>
  <c r="X1207" i="2"/>
  <c r="Y1207" i="2" s="1"/>
  <c r="X1208" i="2"/>
  <c r="Y1208" i="2" s="1"/>
  <c r="X1209" i="2"/>
  <c r="Y1209" i="2" s="1"/>
  <c r="X1210" i="2"/>
  <c r="Y1210" i="2" s="1"/>
  <c r="X1211" i="2"/>
  <c r="Y1211" i="2" s="1"/>
  <c r="X1212" i="2"/>
  <c r="Y1212" i="2" s="1"/>
  <c r="X1213" i="2"/>
  <c r="Y1213" i="2" s="1"/>
  <c r="X1214" i="2"/>
  <c r="Y1214" i="2" s="1"/>
  <c r="X1215" i="2"/>
  <c r="Y1215" i="2" s="1"/>
  <c r="X1216" i="2"/>
  <c r="Y1216" i="2" s="1"/>
  <c r="X1217" i="2"/>
  <c r="Y1217" i="2" s="1"/>
  <c r="X1218" i="2"/>
  <c r="Y1218" i="2" s="1"/>
  <c r="X1219" i="2"/>
  <c r="Y1219" i="2" s="1"/>
  <c r="X1220" i="2"/>
  <c r="Y1220" i="2" s="1"/>
  <c r="X1221" i="2"/>
  <c r="Y1221" i="2" s="1"/>
  <c r="X1222" i="2"/>
  <c r="Y1222" i="2" s="1"/>
  <c r="X1223" i="2"/>
  <c r="Y1223" i="2" s="1"/>
  <c r="X1224" i="2"/>
  <c r="Y1224" i="2" s="1"/>
  <c r="X1225" i="2"/>
  <c r="Y1225" i="2" s="1"/>
  <c r="X1226" i="2"/>
  <c r="Y1226" i="2" s="1"/>
  <c r="X1227" i="2"/>
  <c r="Y1227" i="2" s="1"/>
  <c r="X1228" i="2"/>
  <c r="Y1228" i="2" s="1"/>
  <c r="X1229" i="2"/>
  <c r="Y1229" i="2" s="1"/>
  <c r="X1230" i="2"/>
  <c r="Y1230" i="2" s="1"/>
  <c r="X1231" i="2"/>
  <c r="Y1231" i="2" s="1"/>
  <c r="X1232" i="2"/>
  <c r="Y1232" i="2" s="1"/>
  <c r="X1233" i="2"/>
  <c r="Y1233" i="2" s="1"/>
  <c r="X1234" i="2"/>
  <c r="Y1234" i="2" s="1"/>
  <c r="X1235" i="2"/>
  <c r="Y1235" i="2" s="1"/>
  <c r="X1236" i="2"/>
  <c r="Y1236" i="2" s="1"/>
  <c r="X1237" i="2"/>
  <c r="Y1237" i="2" s="1"/>
  <c r="X1238" i="2"/>
  <c r="Y1238" i="2" s="1"/>
  <c r="X1239" i="2"/>
  <c r="Y1239" i="2" s="1"/>
  <c r="X1240" i="2"/>
  <c r="Y1240" i="2" s="1"/>
  <c r="X1241" i="2"/>
  <c r="Y1241" i="2" s="1"/>
  <c r="X1242" i="2"/>
  <c r="Y1242" i="2" s="1"/>
  <c r="X1243" i="2"/>
  <c r="Y1243" i="2" s="1"/>
  <c r="X1244" i="2"/>
  <c r="Y1244" i="2" s="1"/>
  <c r="X1245" i="2"/>
  <c r="Y1245" i="2" s="1"/>
  <c r="X1246" i="2"/>
  <c r="Y1246" i="2" s="1"/>
  <c r="X1247" i="2"/>
  <c r="Y1247" i="2" s="1"/>
  <c r="X1248" i="2"/>
  <c r="Y1248" i="2" s="1"/>
  <c r="X1249" i="2"/>
  <c r="Y1249" i="2" s="1"/>
  <c r="X1250" i="2"/>
  <c r="Y1250" i="2" s="1"/>
  <c r="X1251" i="2"/>
  <c r="Y1251" i="2" s="1"/>
  <c r="X1252" i="2"/>
  <c r="Y1252" i="2" s="1"/>
  <c r="X1253" i="2"/>
  <c r="Y1253" i="2" s="1"/>
  <c r="X1254" i="2"/>
  <c r="Y1254" i="2" s="1"/>
  <c r="X1255" i="2"/>
  <c r="Y1255" i="2" s="1"/>
  <c r="X1256" i="2"/>
  <c r="Y1256" i="2" s="1"/>
  <c r="X1257" i="2"/>
  <c r="Y1257" i="2" s="1"/>
  <c r="X1258" i="2"/>
  <c r="Y1258" i="2" s="1"/>
  <c r="X1259" i="2"/>
  <c r="Y1259" i="2" s="1"/>
  <c r="X1260" i="2"/>
  <c r="Y1260" i="2" s="1"/>
  <c r="X1261" i="2"/>
  <c r="Y1261" i="2" s="1"/>
  <c r="X1262" i="2"/>
  <c r="Y1262" i="2" s="1"/>
  <c r="X1263" i="2"/>
  <c r="Y1263" i="2" s="1"/>
  <c r="X1264" i="2"/>
  <c r="Y1264" i="2" s="1"/>
  <c r="X1265" i="2"/>
  <c r="Y1265" i="2" s="1"/>
  <c r="X1266" i="2"/>
  <c r="Y1266" i="2" s="1"/>
  <c r="X1267" i="2"/>
  <c r="Y1267" i="2" s="1"/>
  <c r="X1268" i="2"/>
  <c r="Y1268" i="2" s="1"/>
  <c r="X1269" i="2"/>
  <c r="Y1269" i="2" s="1"/>
  <c r="X1270" i="2"/>
  <c r="Y1270" i="2" s="1"/>
  <c r="X1271" i="2"/>
  <c r="Y1271" i="2" s="1"/>
  <c r="X1272" i="2"/>
  <c r="Y1272" i="2" s="1"/>
  <c r="X1273" i="2"/>
  <c r="Y1273" i="2" s="1"/>
  <c r="X1274" i="2"/>
  <c r="Y1274" i="2" s="1"/>
  <c r="X1275" i="2"/>
  <c r="Y1275" i="2" s="1"/>
  <c r="X1276" i="2"/>
  <c r="Y1276" i="2" s="1"/>
  <c r="X1277" i="2"/>
  <c r="Y1277" i="2" s="1"/>
  <c r="X1278" i="2"/>
  <c r="Y1278" i="2" s="1"/>
  <c r="X1279" i="2"/>
  <c r="Y1279" i="2" s="1"/>
  <c r="X1280" i="2"/>
  <c r="Y1280" i="2" s="1"/>
  <c r="X1281" i="2"/>
  <c r="Y1281" i="2" s="1"/>
  <c r="X1282" i="2"/>
  <c r="Y1282" i="2" s="1"/>
  <c r="X1283" i="2"/>
  <c r="Y1283" i="2" s="1"/>
  <c r="X1284" i="2"/>
  <c r="Y1284" i="2" s="1"/>
  <c r="X1285" i="2"/>
  <c r="Y1285" i="2" s="1"/>
  <c r="X1286" i="2"/>
  <c r="Y1286" i="2" s="1"/>
  <c r="X1287" i="2"/>
  <c r="Y1287" i="2" s="1"/>
  <c r="X1288" i="2"/>
  <c r="Y1288" i="2" s="1"/>
  <c r="X1289" i="2"/>
  <c r="Y1289" i="2" s="1"/>
  <c r="X1290" i="2"/>
  <c r="Y1290" i="2" s="1"/>
  <c r="X1291" i="2"/>
  <c r="Y1291" i="2" s="1"/>
  <c r="X1292" i="2"/>
  <c r="Y1292" i="2" s="1"/>
  <c r="X1293" i="2"/>
  <c r="Y1293" i="2" s="1"/>
  <c r="X1294" i="2"/>
  <c r="Y1294" i="2" s="1"/>
  <c r="X1295" i="2"/>
  <c r="Y1295" i="2" s="1"/>
  <c r="X1296" i="2"/>
  <c r="Y1296" i="2" s="1"/>
  <c r="X1297" i="2"/>
  <c r="Y1297" i="2" s="1"/>
  <c r="X1298" i="2"/>
  <c r="Y1298" i="2" s="1"/>
  <c r="X1299" i="2"/>
  <c r="Y1299" i="2" s="1"/>
  <c r="X1300" i="2"/>
  <c r="Y1300" i="2" s="1"/>
  <c r="X1301" i="2"/>
  <c r="Y1301" i="2" s="1"/>
  <c r="X1302" i="2"/>
  <c r="Y1302" i="2" s="1"/>
  <c r="X1303" i="2"/>
  <c r="Y1303" i="2" s="1"/>
  <c r="X1304" i="2"/>
  <c r="Y1304" i="2" s="1"/>
  <c r="X1305" i="2"/>
  <c r="Y1305" i="2" s="1"/>
  <c r="X1306" i="2"/>
  <c r="Y1306" i="2" s="1"/>
  <c r="X1307" i="2"/>
  <c r="Y1307" i="2" s="1"/>
  <c r="X1308" i="2"/>
  <c r="Y1308" i="2" s="1"/>
  <c r="X1309" i="2"/>
  <c r="Y1309" i="2" s="1"/>
  <c r="X1310" i="2"/>
  <c r="Y1310" i="2" s="1"/>
  <c r="X1311" i="2"/>
  <c r="Y1311" i="2" s="1"/>
  <c r="X1312" i="2"/>
  <c r="Y1312" i="2" s="1"/>
  <c r="X1313" i="2"/>
  <c r="Y1313" i="2" s="1"/>
  <c r="X1314" i="2"/>
  <c r="Y1314" i="2" s="1"/>
  <c r="X1315" i="2"/>
  <c r="Y1315" i="2" s="1"/>
  <c r="X1316" i="2"/>
  <c r="Y1316" i="2" s="1"/>
  <c r="X1317" i="2"/>
  <c r="Y1317" i="2" s="1"/>
  <c r="X1318" i="2"/>
  <c r="Y1318" i="2" s="1"/>
  <c r="X1319" i="2"/>
  <c r="Y1319" i="2" s="1"/>
  <c r="X1320" i="2"/>
  <c r="Y1320" i="2" s="1"/>
  <c r="X1321" i="2"/>
  <c r="Y1321" i="2" s="1"/>
  <c r="X1322" i="2"/>
  <c r="Y1322" i="2" s="1"/>
  <c r="X1323" i="2"/>
  <c r="Y1323" i="2" s="1"/>
  <c r="X1324" i="2"/>
  <c r="Y1324" i="2" s="1"/>
  <c r="X1325" i="2"/>
  <c r="Y1325" i="2" s="1"/>
  <c r="X1326" i="2"/>
  <c r="Y1326" i="2" s="1"/>
  <c r="X1327" i="2"/>
  <c r="Y1327" i="2" s="1"/>
  <c r="X1328" i="2"/>
  <c r="Y1328" i="2" s="1"/>
  <c r="X1329" i="2"/>
  <c r="Y1329" i="2" s="1"/>
  <c r="X1330" i="2"/>
  <c r="Y1330" i="2" s="1"/>
  <c r="X1331" i="2"/>
  <c r="Y1331" i="2" s="1"/>
  <c r="X1332" i="2"/>
  <c r="Y1332" i="2" s="1"/>
  <c r="X1333" i="2"/>
  <c r="Y1333" i="2" s="1"/>
  <c r="X1334" i="2"/>
  <c r="Y1334" i="2" s="1"/>
  <c r="X1335" i="2"/>
  <c r="Y1335" i="2" s="1"/>
  <c r="X1336" i="2"/>
  <c r="Y1336" i="2" s="1"/>
  <c r="X1337" i="2"/>
  <c r="Y1337" i="2" s="1"/>
  <c r="X1338" i="2"/>
  <c r="Y1338" i="2" s="1"/>
  <c r="X1339" i="2"/>
  <c r="Y1339" i="2" s="1"/>
  <c r="X1340" i="2"/>
  <c r="Y1340" i="2" s="1"/>
  <c r="X1341" i="2"/>
  <c r="Y1341" i="2" s="1"/>
  <c r="X1342" i="2"/>
  <c r="Y1342" i="2" s="1"/>
  <c r="X1343" i="2"/>
  <c r="Y1343" i="2" s="1"/>
  <c r="X1344" i="2"/>
  <c r="Y1344" i="2" s="1"/>
  <c r="X1345" i="2"/>
  <c r="Y1345" i="2" s="1"/>
  <c r="X1346" i="2"/>
  <c r="Y1346" i="2" s="1"/>
  <c r="X1347" i="2"/>
  <c r="Y1347" i="2" s="1"/>
  <c r="X1348" i="2"/>
  <c r="Y1348" i="2" s="1"/>
  <c r="X1349" i="2"/>
  <c r="Y1349" i="2" s="1"/>
  <c r="X1350" i="2"/>
  <c r="Y1350" i="2" s="1"/>
  <c r="X1351" i="2"/>
  <c r="Y1351" i="2" s="1"/>
  <c r="X1352" i="2"/>
  <c r="Y1352" i="2" s="1"/>
  <c r="X1353" i="2"/>
  <c r="Y1353" i="2" s="1"/>
  <c r="X1354" i="2"/>
  <c r="Y1354" i="2" s="1"/>
  <c r="X1355" i="2"/>
  <c r="Y1355" i="2" s="1"/>
  <c r="X1356" i="2"/>
  <c r="Y1356" i="2" s="1"/>
  <c r="X1357" i="2"/>
  <c r="Y1357" i="2" s="1"/>
  <c r="X1358" i="2"/>
  <c r="Y1358" i="2" s="1"/>
  <c r="X1359" i="2"/>
  <c r="Y1359" i="2" s="1"/>
  <c r="X1360" i="2"/>
  <c r="Y1360" i="2" s="1"/>
  <c r="X1361" i="2"/>
  <c r="Y1361" i="2" s="1"/>
  <c r="X1362" i="2"/>
  <c r="Y1362" i="2" s="1"/>
  <c r="X1363" i="2"/>
  <c r="Y1363" i="2" s="1"/>
  <c r="X1364" i="2"/>
  <c r="Y1364" i="2" s="1"/>
  <c r="X1365" i="2"/>
  <c r="Y1365" i="2" s="1"/>
  <c r="X1366" i="2"/>
  <c r="Y1366" i="2" s="1"/>
  <c r="X1367" i="2"/>
  <c r="Y1367" i="2" s="1"/>
  <c r="X1368" i="2"/>
  <c r="Y1368" i="2" s="1"/>
  <c r="X1369" i="2"/>
  <c r="Y1369" i="2" s="1"/>
  <c r="X1370" i="2"/>
  <c r="Y1370" i="2" s="1"/>
  <c r="X1371" i="2"/>
  <c r="Y1371" i="2" s="1"/>
  <c r="X1372" i="2"/>
  <c r="Y1372" i="2" s="1"/>
  <c r="X1373" i="2"/>
  <c r="Y1373" i="2" s="1"/>
  <c r="X1374" i="2"/>
  <c r="Y1374" i="2" s="1"/>
  <c r="X1375" i="2"/>
  <c r="Y1375" i="2" s="1"/>
  <c r="X1376" i="2"/>
  <c r="Y1376" i="2" s="1"/>
  <c r="X1377" i="2"/>
  <c r="Y1377" i="2" s="1"/>
  <c r="X1378" i="2"/>
  <c r="Y1378" i="2" s="1"/>
  <c r="X1379" i="2"/>
  <c r="Y1379" i="2" s="1"/>
  <c r="X1380" i="2"/>
  <c r="Y1380" i="2" s="1"/>
  <c r="X1381" i="2"/>
  <c r="Y1381" i="2" s="1"/>
  <c r="X1382" i="2"/>
  <c r="Y1382" i="2" s="1"/>
  <c r="X1383" i="2"/>
  <c r="Y1383" i="2" s="1"/>
  <c r="X1384" i="2"/>
  <c r="Y1384" i="2" s="1"/>
  <c r="X1385" i="2"/>
  <c r="Y1385" i="2" s="1"/>
  <c r="X1386" i="2"/>
  <c r="Y1386" i="2" s="1"/>
  <c r="X1387" i="2"/>
  <c r="Y1387" i="2" s="1"/>
  <c r="X1388" i="2"/>
  <c r="Y1388" i="2" s="1"/>
  <c r="X1389" i="2"/>
  <c r="Y1389" i="2" s="1"/>
  <c r="X1390" i="2"/>
  <c r="Y1390" i="2" s="1"/>
  <c r="X1391" i="2"/>
  <c r="Y1391" i="2" s="1"/>
  <c r="X1392" i="2"/>
  <c r="Y1392" i="2" s="1"/>
  <c r="X1393" i="2"/>
  <c r="Y1393" i="2" s="1"/>
  <c r="X1394" i="2"/>
  <c r="Y1394" i="2" s="1"/>
  <c r="X1395" i="2"/>
  <c r="Y1395" i="2" s="1"/>
  <c r="X1396" i="2"/>
  <c r="Y1396" i="2" s="1"/>
  <c r="X1397" i="2"/>
  <c r="Y1397" i="2" s="1"/>
  <c r="X1398" i="2"/>
  <c r="Y1398" i="2" s="1"/>
  <c r="X1399" i="2"/>
  <c r="Y1399" i="2" s="1"/>
  <c r="X1400" i="2"/>
  <c r="Y1400" i="2" s="1"/>
  <c r="X1401" i="2"/>
  <c r="Y1401" i="2" s="1"/>
  <c r="X1402" i="2"/>
  <c r="Y1402" i="2" s="1"/>
  <c r="X1403" i="2"/>
  <c r="Y1403" i="2" s="1"/>
  <c r="X1404" i="2"/>
  <c r="Y1404" i="2" s="1"/>
  <c r="X1405" i="2"/>
  <c r="Y1405" i="2" s="1"/>
  <c r="X1406" i="2"/>
  <c r="Y1406" i="2" s="1"/>
  <c r="X1407" i="2"/>
  <c r="Y1407" i="2" s="1"/>
  <c r="X1408" i="2"/>
  <c r="Y1408" i="2" s="1"/>
  <c r="X1409" i="2"/>
  <c r="Y1409" i="2" s="1"/>
  <c r="X1410" i="2"/>
  <c r="Y1410" i="2" s="1"/>
  <c r="X1411" i="2"/>
  <c r="Y1411" i="2" s="1"/>
  <c r="X1412" i="2"/>
  <c r="Y1412" i="2" s="1"/>
  <c r="X1413" i="2"/>
  <c r="Y1413" i="2" s="1"/>
  <c r="X1414" i="2"/>
  <c r="Y1414" i="2" s="1"/>
  <c r="X1415" i="2"/>
  <c r="Y1415" i="2" s="1"/>
  <c r="X1416" i="2"/>
  <c r="Y1416" i="2" s="1"/>
  <c r="X1417" i="2"/>
  <c r="Y1417" i="2" s="1"/>
  <c r="X1418" i="2"/>
  <c r="Y1418" i="2" s="1"/>
  <c r="X1419" i="2"/>
  <c r="Y1419" i="2" s="1"/>
  <c r="X1420" i="2"/>
  <c r="Y1420" i="2" s="1"/>
  <c r="X1421" i="2"/>
  <c r="Y1421" i="2" s="1"/>
  <c r="X1422" i="2"/>
  <c r="Y1422" i="2" s="1"/>
  <c r="X1423" i="2"/>
  <c r="Y1423" i="2" s="1"/>
  <c r="X1424" i="2"/>
  <c r="Y1424" i="2" s="1"/>
  <c r="X1425" i="2"/>
  <c r="Y1425" i="2" s="1"/>
  <c r="X1426" i="2"/>
  <c r="Y1426" i="2" s="1"/>
  <c r="X1427" i="2"/>
  <c r="Y1427" i="2" s="1"/>
  <c r="X1428" i="2"/>
  <c r="Y1428" i="2" s="1"/>
  <c r="X1429" i="2"/>
  <c r="Y1429" i="2" s="1"/>
  <c r="X1430" i="2"/>
  <c r="Y1430" i="2" s="1"/>
  <c r="X1431" i="2"/>
  <c r="Y1431" i="2" s="1"/>
  <c r="X1432" i="2"/>
  <c r="Y1432" i="2" s="1"/>
  <c r="X1433" i="2"/>
  <c r="Y1433" i="2" s="1"/>
  <c r="X1434" i="2"/>
  <c r="Y1434" i="2" s="1"/>
  <c r="X1435" i="2"/>
  <c r="Y1435" i="2" s="1"/>
  <c r="X1436" i="2"/>
  <c r="Y1436" i="2" s="1"/>
  <c r="X1437" i="2"/>
  <c r="Y1437" i="2" s="1"/>
  <c r="X1438" i="2"/>
  <c r="Y1438" i="2" s="1"/>
  <c r="X1439" i="2"/>
  <c r="Y1439" i="2" s="1"/>
  <c r="X1440" i="2"/>
  <c r="Y1440" i="2" s="1"/>
  <c r="X1441" i="2"/>
  <c r="Y1441" i="2" s="1"/>
  <c r="X1442" i="2"/>
  <c r="Y1442" i="2" s="1"/>
  <c r="X1443" i="2"/>
  <c r="Y1443" i="2" s="1"/>
  <c r="X1444" i="2"/>
  <c r="Y1444" i="2" s="1"/>
  <c r="X1445" i="2"/>
  <c r="Y1445" i="2" s="1"/>
  <c r="X1446" i="2"/>
  <c r="Y1446" i="2" s="1"/>
  <c r="X1447" i="2"/>
  <c r="Y1447" i="2" s="1"/>
  <c r="X1448" i="2"/>
  <c r="Y1448" i="2" s="1"/>
  <c r="X1449" i="2"/>
  <c r="Y1449" i="2" s="1"/>
  <c r="X1450" i="2"/>
  <c r="Y1450" i="2" s="1"/>
  <c r="X1451" i="2"/>
  <c r="Y1451" i="2" s="1"/>
  <c r="X1452" i="2"/>
  <c r="Y1452" i="2" s="1"/>
  <c r="X1453" i="2"/>
  <c r="Y1453" i="2" s="1"/>
  <c r="X1454" i="2"/>
  <c r="Y1454" i="2" s="1"/>
  <c r="X1455" i="2"/>
  <c r="Y1455" i="2" s="1"/>
  <c r="X1456" i="2"/>
  <c r="Y1456" i="2" s="1"/>
  <c r="X1457" i="2"/>
  <c r="Y1457" i="2" s="1"/>
  <c r="X1458" i="2"/>
  <c r="Y1458" i="2" s="1"/>
  <c r="X1459" i="2"/>
  <c r="Y1459" i="2" s="1"/>
  <c r="X1460" i="2"/>
  <c r="Y1460" i="2" s="1"/>
  <c r="X1461" i="2"/>
  <c r="Y1461" i="2" s="1"/>
  <c r="X1462" i="2"/>
  <c r="Y1462" i="2" s="1"/>
  <c r="X1463" i="2"/>
  <c r="Y1463" i="2" s="1"/>
  <c r="X1464" i="2"/>
  <c r="Y1464" i="2" s="1"/>
  <c r="X1465" i="2"/>
  <c r="Y1465" i="2" s="1"/>
  <c r="X1466" i="2"/>
  <c r="Y1466" i="2" s="1"/>
  <c r="X1467" i="2"/>
  <c r="Y1467" i="2" s="1"/>
  <c r="X1468" i="2"/>
  <c r="Y1468" i="2" s="1"/>
  <c r="X1469" i="2"/>
  <c r="Y1469" i="2" s="1"/>
  <c r="X1470" i="2"/>
  <c r="Y1470" i="2" s="1"/>
  <c r="X1471" i="2"/>
  <c r="Y1471" i="2" s="1"/>
  <c r="X1472" i="2"/>
  <c r="Y1472" i="2" s="1"/>
  <c r="X1473" i="2"/>
  <c r="Y1473" i="2" s="1"/>
  <c r="X1474" i="2"/>
  <c r="Y1474" i="2" s="1"/>
  <c r="X1475" i="2"/>
  <c r="Y1475" i="2" s="1"/>
  <c r="X1476" i="2"/>
  <c r="Y1476" i="2" s="1"/>
  <c r="X1477" i="2"/>
  <c r="Y1477" i="2" s="1"/>
  <c r="X1478" i="2"/>
  <c r="Y1478" i="2" s="1"/>
  <c r="X1479" i="2"/>
  <c r="Y1479" i="2" s="1"/>
  <c r="X1480" i="2"/>
  <c r="Y1480" i="2" s="1"/>
  <c r="X1481" i="2"/>
  <c r="Y1481" i="2" s="1"/>
  <c r="X1482" i="2"/>
  <c r="Y1482" i="2" s="1"/>
  <c r="X1483" i="2"/>
  <c r="Y1483" i="2" s="1"/>
  <c r="X1484" i="2"/>
  <c r="Y1484" i="2" s="1"/>
  <c r="X1485" i="2"/>
  <c r="Y1485" i="2" s="1"/>
  <c r="X1486" i="2"/>
  <c r="Y1486" i="2" s="1"/>
  <c r="X1487" i="2"/>
  <c r="Y1487" i="2" s="1"/>
  <c r="X1488" i="2"/>
  <c r="Y1488" i="2" s="1"/>
  <c r="X1489" i="2"/>
  <c r="Y1489" i="2" s="1"/>
  <c r="X1490" i="2"/>
  <c r="Y1490" i="2" s="1"/>
  <c r="X1491" i="2"/>
  <c r="Y1491" i="2" s="1"/>
  <c r="X1492" i="2"/>
  <c r="Y1492" i="2" s="1"/>
  <c r="X1493" i="2"/>
  <c r="Y1493" i="2" s="1"/>
  <c r="X1494" i="2"/>
  <c r="Y1494" i="2" s="1"/>
  <c r="X1495" i="2"/>
  <c r="Y1495" i="2" s="1"/>
  <c r="X1496" i="2"/>
  <c r="Y1496" i="2" s="1"/>
  <c r="X1497" i="2"/>
  <c r="Y1497" i="2" s="1"/>
  <c r="X1498" i="2"/>
  <c r="Y1498" i="2" s="1"/>
  <c r="X1499" i="2"/>
  <c r="Y1499" i="2" s="1"/>
  <c r="X1500" i="2"/>
  <c r="Y1500" i="2" s="1"/>
  <c r="X1501" i="2"/>
  <c r="Y1501" i="2" s="1"/>
  <c r="X1502" i="2"/>
  <c r="Y1502" i="2" s="1"/>
  <c r="X1503" i="2"/>
  <c r="Y1503" i="2" s="1"/>
  <c r="X1504" i="2"/>
  <c r="Y1504" i="2" s="1"/>
  <c r="X1505" i="2"/>
  <c r="Y1505" i="2" s="1"/>
  <c r="X1506" i="2"/>
  <c r="Y1506" i="2" s="1"/>
  <c r="X1507" i="2"/>
  <c r="Y1507" i="2" s="1"/>
  <c r="X1508" i="2"/>
  <c r="Y1508" i="2" s="1"/>
  <c r="X1509" i="2"/>
  <c r="Y1509" i="2" s="1"/>
  <c r="X1510" i="2"/>
  <c r="Y1510" i="2" s="1"/>
  <c r="X1511" i="2"/>
  <c r="Y1511" i="2" s="1"/>
  <c r="X1512" i="2"/>
  <c r="Y1512" i="2" s="1"/>
  <c r="X1513" i="2"/>
  <c r="Y1513" i="2" s="1"/>
  <c r="X1514" i="2"/>
  <c r="Y1514" i="2" s="1"/>
  <c r="X1515" i="2"/>
  <c r="Y1515" i="2" s="1"/>
  <c r="X1516" i="2"/>
  <c r="Y1516" i="2" s="1"/>
  <c r="X1517" i="2"/>
  <c r="Y1517" i="2" s="1"/>
  <c r="X1518" i="2"/>
  <c r="Y1518" i="2" s="1"/>
  <c r="X1519" i="2"/>
  <c r="Y1519" i="2" s="1"/>
  <c r="X1520" i="2"/>
  <c r="Y1520" i="2" s="1"/>
  <c r="X1521" i="2"/>
  <c r="Y1521" i="2" s="1"/>
  <c r="X1522" i="2"/>
  <c r="Y1522" i="2" s="1"/>
  <c r="X1523" i="2"/>
  <c r="Y1523" i="2" s="1"/>
  <c r="X1524" i="2"/>
  <c r="Y1524" i="2" s="1"/>
  <c r="X1525" i="2"/>
  <c r="Y1525" i="2" s="1"/>
  <c r="X1526" i="2"/>
  <c r="Y1526" i="2" s="1"/>
  <c r="X1527" i="2"/>
  <c r="Y1527" i="2" s="1"/>
  <c r="X1528" i="2"/>
  <c r="Y1528" i="2" s="1"/>
  <c r="X1529" i="2"/>
  <c r="Y1529" i="2" s="1"/>
  <c r="X1530" i="2"/>
  <c r="Y1530" i="2" s="1"/>
  <c r="X1531" i="2"/>
  <c r="Y1531" i="2" s="1"/>
  <c r="X1532" i="2"/>
  <c r="Y1532" i="2" s="1"/>
  <c r="X1533" i="2"/>
  <c r="Y1533" i="2" s="1"/>
  <c r="X1534" i="2"/>
  <c r="Y1534" i="2" s="1"/>
  <c r="X1535" i="2"/>
  <c r="Y1535" i="2" s="1"/>
  <c r="X1536" i="2"/>
  <c r="Y1536" i="2" s="1"/>
  <c r="X1537" i="2"/>
  <c r="Y1537" i="2" s="1"/>
  <c r="X1538" i="2"/>
  <c r="Y1538" i="2" s="1"/>
  <c r="X1539" i="2"/>
  <c r="Y1539" i="2" s="1"/>
  <c r="X1540" i="2"/>
  <c r="Y1540" i="2" s="1"/>
  <c r="X1541" i="2"/>
  <c r="Y1541" i="2" s="1"/>
  <c r="X1542" i="2"/>
  <c r="Y1542" i="2" s="1"/>
  <c r="X1543" i="2"/>
  <c r="Y1543" i="2" s="1"/>
  <c r="X1544" i="2"/>
  <c r="Y1544" i="2" s="1"/>
  <c r="X1545" i="2"/>
  <c r="Y1545" i="2" s="1"/>
  <c r="X1546" i="2"/>
  <c r="Y1546" i="2" s="1"/>
  <c r="X1547" i="2"/>
  <c r="Y1547" i="2" s="1"/>
  <c r="X1548" i="2"/>
  <c r="Y1548" i="2" s="1"/>
  <c r="X1549" i="2"/>
  <c r="Y1549" i="2" s="1"/>
  <c r="X1550" i="2"/>
  <c r="Y1550" i="2" s="1"/>
  <c r="X1551" i="2"/>
  <c r="Y1551" i="2" s="1"/>
  <c r="X1552" i="2"/>
  <c r="Y1552" i="2" s="1"/>
  <c r="X1553" i="2"/>
  <c r="Y1553" i="2" s="1"/>
  <c r="X1554" i="2"/>
  <c r="Y1554" i="2" s="1"/>
  <c r="X1555" i="2"/>
  <c r="Y1555" i="2" s="1"/>
  <c r="X1556" i="2"/>
  <c r="Y1556" i="2" s="1"/>
  <c r="X1557" i="2"/>
  <c r="Y1557" i="2" s="1"/>
  <c r="X1558" i="2"/>
  <c r="Y1558" i="2" s="1"/>
  <c r="X1559" i="2"/>
  <c r="Y1559" i="2" s="1"/>
  <c r="X1560" i="2"/>
  <c r="Y1560" i="2" s="1"/>
  <c r="X1561" i="2"/>
  <c r="Y1561" i="2" s="1"/>
  <c r="X1562" i="2"/>
  <c r="Y1562" i="2" s="1"/>
  <c r="X1563" i="2"/>
  <c r="Y1563" i="2" s="1"/>
  <c r="X1564" i="2"/>
  <c r="Y1564" i="2" s="1"/>
  <c r="X1565" i="2"/>
  <c r="Y1565" i="2" s="1"/>
  <c r="X1566" i="2"/>
  <c r="Y1566" i="2" s="1"/>
  <c r="X1567" i="2"/>
  <c r="Y1567" i="2" s="1"/>
  <c r="X1568" i="2"/>
  <c r="Y1568" i="2" s="1"/>
  <c r="X1569" i="2"/>
  <c r="Y1569" i="2" s="1"/>
  <c r="X1570" i="2"/>
  <c r="Y1570" i="2" s="1"/>
  <c r="X1571" i="2"/>
  <c r="Y1571" i="2" s="1"/>
  <c r="X1572" i="2"/>
  <c r="Y1572" i="2" s="1"/>
  <c r="X1573" i="2"/>
  <c r="Y1573" i="2" s="1"/>
  <c r="X1574" i="2"/>
  <c r="Y1574" i="2" s="1"/>
  <c r="X1575" i="2"/>
  <c r="Y1575" i="2" s="1"/>
  <c r="X1576" i="2"/>
  <c r="Y1576" i="2" s="1"/>
  <c r="X1577" i="2"/>
  <c r="Y1577" i="2" s="1"/>
  <c r="X1578" i="2"/>
  <c r="Y1578" i="2" s="1"/>
  <c r="X1579" i="2"/>
  <c r="Y1579" i="2" s="1"/>
  <c r="X1580" i="2"/>
  <c r="Y1580" i="2" s="1"/>
  <c r="X1581" i="2"/>
  <c r="Y1581" i="2" s="1"/>
  <c r="X1582" i="2"/>
  <c r="Y1582" i="2" s="1"/>
  <c r="X1583" i="2"/>
  <c r="Y1583" i="2" s="1"/>
  <c r="X1584" i="2"/>
  <c r="Y1584" i="2" s="1"/>
  <c r="X1585" i="2"/>
  <c r="Y1585" i="2" s="1"/>
  <c r="X1586" i="2"/>
  <c r="Y1586" i="2" s="1"/>
  <c r="X1587" i="2"/>
  <c r="Y1587" i="2" s="1"/>
  <c r="X1588" i="2"/>
  <c r="Y1588" i="2" s="1"/>
  <c r="X1589" i="2"/>
  <c r="Y1589" i="2" s="1"/>
  <c r="X1590" i="2"/>
  <c r="Y1590" i="2" s="1"/>
  <c r="X1591" i="2"/>
  <c r="Y1591" i="2" s="1"/>
  <c r="X1592" i="2"/>
  <c r="Y1592" i="2" s="1"/>
  <c r="X1593" i="2"/>
  <c r="Y1593" i="2" s="1"/>
  <c r="X1594" i="2"/>
  <c r="Y1594" i="2" s="1"/>
  <c r="X1595" i="2"/>
  <c r="Y1595" i="2" s="1"/>
  <c r="X1596" i="2"/>
  <c r="Y1596" i="2" s="1"/>
  <c r="X1597" i="2"/>
  <c r="Y1597" i="2" s="1"/>
  <c r="X1598" i="2"/>
  <c r="Y1598" i="2" s="1"/>
  <c r="X1599" i="2"/>
  <c r="Y1599" i="2" s="1"/>
  <c r="X1600" i="2"/>
  <c r="Y1600" i="2" s="1"/>
  <c r="X1601" i="2"/>
  <c r="Y1601" i="2" s="1"/>
  <c r="X1602" i="2"/>
  <c r="Y1602" i="2" s="1"/>
  <c r="X1603" i="2"/>
  <c r="Y1603" i="2" s="1"/>
  <c r="X1604" i="2"/>
  <c r="Y1604" i="2" s="1"/>
  <c r="X1605" i="2"/>
  <c r="Y1605" i="2" s="1"/>
  <c r="X1606" i="2"/>
  <c r="Y1606" i="2" s="1"/>
  <c r="X1607" i="2"/>
  <c r="Y1607" i="2" s="1"/>
  <c r="X1608" i="2"/>
  <c r="Y1608" i="2" s="1"/>
  <c r="X1609" i="2"/>
  <c r="Y1609" i="2" s="1"/>
  <c r="X1610" i="2"/>
  <c r="Y1610" i="2" s="1"/>
  <c r="X1611" i="2"/>
  <c r="Y1611" i="2" s="1"/>
  <c r="X1612" i="2"/>
  <c r="Y1612" i="2" s="1"/>
  <c r="X1613" i="2"/>
  <c r="Y1613" i="2" s="1"/>
  <c r="X1614" i="2"/>
  <c r="Y1614" i="2" s="1"/>
  <c r="X1615" i="2"/>
  <c r="Y1615" i="2" s="1"/>
  <c r="X1616" i="2"/>
  <c r="Y1616" i="2" s="1"/>
  <c r="X1617" i="2"/>
  <c r="Y1617" i="2" s="1"/>
  <c r="X1618" i="2"/>
  <c r="Y1618" i="2" s="1"/>
  <c r="X1619" i="2"/>
  <c r="Y1619" i="2" s="1"/>
  <c r="X1620" i="2"/>
  <c r="Y1620" i="2" s="1"/>
  <c r="X1621" i="2"/>
  <c r="Y1621" i="2" s="1"/>
  <c r="X1622" i="2"/>
  <c r="Y1622" i="2" s="1"/>
  <c r="X1623" i="2"/>
  <c r="Y1623" i="2" s="1"/>
  <c r="X1624" i="2"/>
  <c r="Y1624" i="2" s="1"/>
  <c r="X1625" i="2"/>
  <c r="Y1625" i="2" s="1"/>
  <c r="X1626" i="2"/>
  <c r="Y1626" i="2" s="1"/>
  <c r="X1627" i="2"/>
  <c r="Y1627" i="2" s="1"/>
  <c r="X1628" i="2"/>
  <c r="Y1628" i="2" s="1"/>
  <c r="X1629" i="2"/>
  <c r="Y1629" i="2" s="1"/>
  <c r="X1630" i="2"/>
  <c r="Y1630" i="2" s="1"/>
  <c r="X1631" i="2"/>
  <c r="Y1631" i="2" s="1"/>
  <c r="X1632" i="2"/>
  <c r="Y1632" i="2" s="1"/>
  <c r="X1633" i="2"/>
  <c r="Y1633" i="2" s="1"/>
  <c r="X1634" i="2"/>
  <c r="Y1634" i="2" s="1"/>
  <c r="X1635" i="2"/>
  <c r="Y1635" i="2" s="1"/>
  <c r="X1636" i="2"/>
  <c r="Y1636" i="2" s="1"/>
  <c r="X1637" i="2"/>
  <c r="Y1637" i="2" s="1"/>
  <c r="X1638" i="2"/>
  <c r="Y1638" i="2" s="1"/>
  <c r="X1639" i="2"/>
  <c r="Y1639" i="2" s="1"/>
  <c r="X1640" i="2"/>
  <c r="Y1640" i="2" s="1"/>
  <c r="X1641" i="2"/>
  <c r="Y1641" i="2" s="1"/>
  <c r="X1642" i="2"/>
  <c r="Y1642" i="2" s="1"/>
  <c r="X1643" i="2"/>
  <c r="Y1643" i="2" s="1"/>
  <c r="X1644" i="2"/>
  <c r="Y1644" i="2" s="1"/>
  <c r="X1645" i="2"/>
  <c r="Y1645" i="2" s="1"/>
  <c r="X1646" i="2"/>
  <c r="Y1646" i="2" s="1"/>
  <c r="X1647" i="2"/>
  <c r="Y1647" i="2" s="1"/>
  <c r="X1648" i="2"/>
  <c r="Y1648" i="2" s="1"/>
  <c r="X1649" i="2"/>
  <c r="Y1649" i="2" s="1"/>
  <c r="X1650" i="2"/>
  <c r="Y1650" i="2" s="1"/>
  <c r="X1651" i="2"/>
  <c r="Y1651" i="2" s="1"/>
  <c r="X1652" i="2"/>
  <c r="Y1652" i="2" s="1"/>
  <c r="X1653" i="2"/>
  <c r="Y1653" i="2" s="1"/>
  <c r="X1654" i="2"/>
  <c r="Y1654" i="2" s="1"/>
  <c r="X1655" i="2"/>
  <c r="Y1655" i="2" s="1"/>
  <c r="X1656" i="2"/>
  <c r="Y1656" i="2" s="1"/>
  <c r="X1657" i="2"/>
  <c r="Y1657" i="2" s="1"/>
  <c r="X1658" i="2"/>
  <c r="Y1658" i="2" s="1"/>
  <c r="X1659" i="2"/>
  <c r="Y1659" i="2" s="1"/>
  <c r="X1660" i="2"/>
  <c r="Y1660" i="2" s="1"/>
  <c r="X1661" i="2"/>
  <c r="Y1661" i="2" s="1"/>
  <c r="X1662" i="2"/>
  <c r="Y1662" i="2" s="1"/>
  <c r="X1663" i="2"/>
  <c r="Y1663" i="2" s="1"/>
  <c r="X1664" i="2"/>
  <c r="Y1664" i="2" s="1"/>
  <c r="X1665" i="2"/>
  <c r="Y1665" i="2" s="1"/>
  <c r="X1666" i="2"/>
  <c r="Y1666" i="2" s="1"/>
  <c r="X1667" i="2"/>
  <c r="Y1667" i="2" s="1"/>
  <c r="X1668" i="2"/>
  <c r="Y1668" i="2" s="1"/>
  <c r="X1669" i="2"/>
  <c r="Y1669" i="2" s="1"/>
  <c r="X1670" i="2"/>
  <c r="Y1670" i="2" s="1"/>
  <c r="X1671" i="2"/>
  <c r="Y1671" i="2" s="1"/>
  <c r="X1672" i="2"/>
  <c r="Y1672" i="2" s="1"/>
  <c r="X1673" i="2"/>
  <c r="Y1673" i="2" s="1"/>
  <c r="X1674" i="2"/>
  <c r="Y1674" i="2" s="1"/>
  <c r="X1675" i="2"/>
  <c r="Y1675" i="2" s="1"/>
  <c r="X1676" i="2"/>
  <c r="Y1676" i="2" s="1"/>
  <c r="X1677" i="2"/>
  <c r="Y1677" i="2" s="1"/>
  <c r="X1678" i="2"/>
  <c r="Y1678" i="2" s="1"/>
  <c r="X1679" i="2"/>
  <c r="Y1679" i="2" s="1"/>
  <c r="X1680" i="2"/>
  <c r="Y1680" i="2" s="1"/>
  <c r="X1681" i="2"/>
  <c r="Y1681" i="2" s="1"/>
  <c r="X1682" i="2"/>
  <c r="Y1682" i="2" s="1"/>
  <c r="X1683" i="2"/>
  <c r="Y1683" i="2" s="1"/>
  <c r="X1684" i="2"/>
  <c r="Y1684" i="2" s="1"/>
  <c r="X1685" i="2"/>
  <c r="Y1685" i="2" s="1"/>
  <c r="X1686" i="2"/>
  <c r="Y1686" i="2" s="1"/>
  <c r="X1687" i="2"/>
  <c r="Y1687" i="2" s="1"/>
  <c r="X1688" i="2"/>
  <c r="Y1688" i="2" s="1"/>
  <c r="X1689" i="2"/>
  <c r="Y1689" i="2" s="1"/>
  <c r="X1690" i="2"/>
  <c r="Y1690" i="2" s="1"/>
  <c r="X1691" i="2"/>
  <c r="Y1691" i="2" s="1"/>
  <c r="X1692" i="2"/>
  <c r="Y1692" i="2" s="1"/>
  <c r="X1693" i="2"/>
  <c r="Y1693" i="2" s="1"/>
  <c r="X1694" i="2"/>
  <c r="Y1694" i="2" s="1"/>
  <c r="X1695" i="2"/>
  <c r="Y1695" i="2" s="1"/>
  <c r="X1696" i="2"/>
  <c r="Y1696" i="2" s="1"/>
  <c r="X1697" i="2"/>
  <c r="Y1697" i="2" s="1"/>
  <c r="X1698" i="2"/>
  <c r="Y1698" i="2" s="1"/>
  <c r="X1699" i="2"/>
  <c r="Y1699" i="2" s="1"/>
  <c r="X1700" i="2"/>
  <c r="Y1700" i="2" s="1"/>
  <c r="X1701" i="2"/>
  <c r="Y1701" i="2" s="1"/>
  <c r="X1702" i="2"/>
  <c r="Y1702" i="2" s="1"/>
  <c r="X1703" i="2"/>
  <c r="Y1703" i="2" s="1"/>
  <c r="X1704" i="2"/>
  <c r="Y1704" i="2" s="1"/>
  <c r="X1705" i="2"/>
  <c r="Y1705" i="2" s="1"/>
  <c r="X1706" i="2"/>
  <c r="Y1706" i="2" s="1"/>
  <c r="X1707" i="2"/>
  <c r="Y1707" i="2" s="1"/>
  <c r="X1708" i="2"/>
  <c r="Y1708" i="2" s="1"/>
  <c r="X1709" i="2"/>
  <c r="Y1709" i="2" s="1"/>
  <c r="X1710" i="2"/>
  <c r="Y1710" i="2" s="1"/>
  <c r="X1711" i="2"/>
  <c r="Y1711" i="2" s="1"/>
  <c r="X1712" i="2"/>
  <c r="Y1712" i="2" s="1"/>
  <c r="X1713" i="2"/>
  <c r="Y1713" i="2" s="1"/>
  <c r="X1714" i="2"/>
  <c r="Y1714" i="2" s="1"/>
  <c r="X1715" i="2"/>
  <c r="Y1715" i="2" s="1"/>
  <c r="X1716" i="2"/>
  <c r="Y1716" i="2" s="1"/>
  <c r="X1717" i="2"/>
  <c r="Y1717" i="2" s="1"/>
  <c r="X1718" i="2"/>
  <c r="Y1718" i="2" s="1"/>
  <c r="X1719" i="2"/>
  <c r="Y1719" i="2" s="1"/>
  <c r="X1720" i="2"/>
  <c r="Y1720" i="2" s="1"/>
  <c r="X1721" i="2"/>
  <c r="Y1721" i="2" s="1"/>
  <c r="X1722" i="2"/>
  <c r="Y1722" i="2" s="1"/>
  <c r="X1723" i="2"/>
  <c r="Y1723" i="2" s="1"/>
  <c r="X1724" i="2"/>
  <c r="Y1724" i="2" s="1"/>
  <c r="X1725" i="2"/>
  <c r="Y1725" i="2" s="1"/>
  <c r="X1726" i="2"/>
  <c r="Y1726" i="2" s="1"/>
  <c r="X1727" i="2"/>
  <c r="Y1727" i="2" s="1"/>
  <c r="X1728" i="2"/>
  <c r="Y1728" i="2" s="1"/>
  <c r="X1729" i="2"/>
  <c r="Y1729" i="2" s="1"/>
  <c r="X1730" i="2"/>
  <c r="Y1730" i="2" s="1"/>
  <c r="X1731" i="2"/>
  <c r="Y1731" i="2" s="1"/>
  <c r="X1732" i="2"/>
  <c r="Y1732" i="2" s="1"/>
  <c r="X1733" i="2"/>
  <c r="Y1733" i="2" s="1"/>
  <c r="X1734" i="2"/>
  <c r="Y1734" i="2" s="1"/>
  <c r="X1735" i="2"/>
  <c r="Y1735" i="2" s="1"/>
  <c r="X1736" i="2"/>
  <c r="Y1736" i="2" s="1"/>
  <c r="X1737" i="2"/>
  <c r="Y1737" i="2" s="1"/>
  <c r="X1738" i="2"/>
  <c r="Y1738" i="2" s="1"/>
  <c r="X1739" i="2"/>
  <c r="Y1739" i="2" s="1"/>
  <c r="X1740" i="2"/>
  <c r="Y1740" i="2" s="1"/>
  <c r="X1741" i="2"/>
  <c r="Y1741" i="2" s="1"/>
  <c r="X1742" i="2"/>
  <c r="Y1742" i="2" s="1"/>
  <c r="X1743" i="2"/>
  <c r="Y1743" i="2" s="1"/>
  <c r="X1744" i="2"/>
  <c r="Y1744" i="2" s="1"/>
  <c r="X1745" i="2"/>
  <c r="Y1745" i="2" s="1"/>
  <c r="X1746" i="2"/>
  <c r="Y1746" i="2" s="1"/>
  <c r="X1747" i="2"/>
  <c r="Y1747" i="2" s="1"/>
  <c r="X1748" i="2"/>
  <c r="Y1748" i="2" s="1"/>
  <c r="X1749" i="2"/>
  <c r="Y1749" i="2" s="1"/>
  <c r="X1750" i="2"/>
  <c r="Y1750" i="2" s="1"/>
  <c r="X1751" i="2"/>
  <c r="Y1751" i="2" s="1"/>
  <c r="X1752" i="2"/>
  <c r="Y1752" i="2" s="1"/>
  <c r="X1753" i="2"/>
  <c r="Y1753" i="2" s="1"/>
  <c r="X1754" i="2"/>
  <c r="Y1754" i="2" s="1"/>
  <c r="X1755" i="2"/>
  <c r="Y1755" i="2" s="1"/>
  <c r="X1756" i="2"/>
  <c r="Y1756" i="2" s="1"/>
  <c r="X1757" i="2"/>
  <c r="Y1757" i="2" s="1"/>
  <c r="X1758" i="2"/>
  <c r="Y1758" i="2" s="1"/>
  <c r="X1759" i="2"/>
  <c r="Y1759" i="2" s="1"/>
  <c r="X1760" i="2"/>
  <c r="Y1760" i="2" s="1"/>
  <c r="X1761" i="2"/>
  <c r="Y1761" i="2" s="1"/>
  <c r="X1762" i="2"/>
  <c r="Y1762" i="2" s="1"/>
  <c r="X1763" i="2"/>
  <c r="Y1763" i="2" s="1"/>
  <c r="X1764" i="2"/>
  <c r="Y1764" i="2" s="1"/>
  <c r="X1765" i="2"/>
  <c r="Y1765" i="2" s="1"/>
  <c r="X1766" i="2"/>
  <c r="Y1766" i="2" s="1"/>
  <c r="X1767" i="2"/>
  <c r="Y1767" i="2" s="1"/>
  <c r="X1768" i="2"/>
  <c r="Y1768" i="2" s="1"/>
  <c r="X1769" i="2"/>
  <c r="Y1769" i="2" s="1"/>
  <c r="X1770" i="2"/>
  <c r="Y1770" i="2" s="1"/>
  <c r="X1771" i="2"/>
  <c r="Y1771" i="2" s="1"/>
  <c r="X1772" i="2"/>
  <c r="Y1772" i="2" s="1"/>
  <c r="X1773" i="2"/>
  <c r="Y1773" i="2" s="1"/>
  <c r="X1774" i="2"/>
  <c r="Y1774" i="2" s="1"/>
  <c r="X1775" i="2"/>
  <c r="Y1775" i="2" s="1"/>
  <c r="X1776" i="2"/>
  <c r="Y1776" i="2" s="1"/>
  <c r="X1777" i="2"/>
  <c r="Y1777" i="2" s="1"/>
  <c r="X1778" i="2"/>
  <c r="Y1778" i="2" s="1"/>
  <c r="X1779" i="2"/>
  <c r="Y1779" i="2" s="1"/>
  <c r="X1780" i="2"/>
  <c r="Y1780" i="2" s="1"/>
  <c r="X1781" i="2"/>
  <c r="Y1781" i="2" s="1"/>
  <c r="X1782" i="2"/>
  <c r="Y1782" i="2" s="1"/>
  <c r="X1783" i="2"/>
  <c r="Y1783" i="2" s="1"/>
  <c r="X1784" i="2"/>
  <c r="Y1784" i="2" s="1"/>
  <c r="X1785" i="2"/>
  <c r="Y1785" i="2" s="1"/>
  <c r="X1786" i="2"/>
  <c r="Y1786" i="2" s="1"/>
  <c r="X1787" i="2"/>
  <c r="Y1787" i="2" s="1"/>
  <c r="X1788" i="2"/>
  <c r="Y1788" i="2" s="1"/>
  <c r="X1789" i="2"/>
  <c r="Y1789" i="2" s="1"/>
  <c r="X1790" i="2"/>
  <c r="Y1790" i="2" s="1"/>
  <c r="X1791" i="2"/>
  <c r="Y1791" i="2" s="1"/>
  <c r="X1792" i="2"/>
  <c r="Y1792" i="2" s="1"/>
  <c r="X1793" i="2"/>
  <c r="Y1793" i="2" s="1"/>
  <c r="X1794" i="2"/>
  <c r="Y1794" i="2" s="1"/>
  <c r="X1795" i="2"/>
  <c r="Y1795" i="2" s="1"/>
  <c r="X1796" i="2"/>
  <c r="Y1796" i="2" s="1"/>
  <c r="X1797" i="2"/>
  <c r="Y1797" i="2" s="1"/>
  <c r="X1798" i="2"/>
  <c r="Y1798" i="2" s="1"/>
  <c r="X1799" i="2"/>
  <c r="Y1799" i="2" s="1"/>
  <c r="X1800" i="2"/>
  <c r="Y1800" i="2" s="1"/>
  <c r="X1801" i="2"/>
  <c r="Y1801" i="2" s="1"/>
  <c r="X1802" i="2"/>
  <c r="Y1802" i="2" s="1"/>
  <c r="X1803" i="2"/>
  <c r="Y1803" i="2" s="1"/>
  <c r="X1804" i="2"/>
  <c r="Y1804" i="2" s="1"/>
  <c r="X1805" i="2"/>
  <c r="Y1805" i="2" s="1"/>
  <c r="X1806" i="2"/>
  <c r="Y1806" i="2" s="1"/>
  <c r="X1807" i="2"/>
  <c r="Y1807" i="2" s="1"/>
  <c r="X1808" i="2"/>
  <c r="Y1808" i="2" s="1"/>
  <c r="X1809" i="2"/>
  <c r="Y1809" i="2" s="1"/>
  <c r="X1810" i="2"/>
  <c r="Y1810" i="2" s="1"/>
  <c r="X1811" i="2"/>
  <c r="Y1811" i="2" s="1"/>
  <c r="X1812" i="2"/>
  <c r="Y1812" i="2" s="1"/>
  <c r="X1813" i="2"/>
  <c r="Y1813" i="2" s="1"/>
  <c r="X1814" i="2"/>
  <c r="Y1814" i="2" s="1"/>
  <c r="X1815" i="2"/>
  <c r="Y1815" i="2" s="1"/>
  <c r="X1816" i="2"/>
  <c r="Y1816" i="2" s="1"/>
  <c r="X1817" i="2"/>
  <c r="Y1817" i="2" s="1"/>
  <c r="X1818" i="2"/>
  <c r="Y1818" i="2" s="1"/>
  <c r="X1819" i="2"/>
  <c r="Y1819" i="2" s="1"/>
  <c r="X1820" i="2"/>
  <c r="Y1820" i="2" s="1"/>
  <c r="X1821" i="2"/>
  <c r="Y1821" i="2" s="1"/>
  <c r="X1822" i="2"/>
  <c r="Y1822" i="2" s="1"/>
  <c r="X1823" i="2"/>
  <c r="Y1823" i="2" s="1"/>
  <c r="X1824" i="2"/>
  <c r="Y1824" i="2" s="1"/>
  <c r="X1825" i="2"/>
  <c r="Y1825" i="2" s="1"/>
  <c r="X1826" i="2"/>
  <c r="Y1826" i="2" s="1"/>
  <c r="X1827" i="2"/>
  <c r="Y1827" i="2" s="1"/>
  <c r="X1828" i="2"/>
  <c r="Y1828" i="2" s="1"/>
  <c r="X1829" i="2"/>
  <c r="Y1829" i="2" s="1"/>
  <c r="X1830" i="2"/>
  <c r="Y1830" i="2" s="1"/>
  <c r="X1831" i="2"/>
  <c r="Y1831" i="2" s="1"/>
  <c r="X1832" i="2"/>
  <c r="Y1832" i="2" s="1"/>
  <c r="X1833" i="2"/>
  <c r="Y1833" i="2" s="1"/>
  <c r="X1834" i="2"/>
  <c r="Y1834" i="2" s="1"/>
  <c r="X1835" i="2"/>
  <c r="Y1835" i="2" s="1"/>
  <c r="X1836" i="2"/>
  <c r="Y1836" i="2" s="1"/>
  <c r="X1837" i="2"/>
  <c r="Y1837" i="2" s="1"/>
  <c r="X1838" i="2"/>
  <c r="Y1838" i="2" s="1"/>
  <c r="X1839" i="2"/>
  <c r="Y1839" i="2" s="1"/>
  <c r="X1840" i="2"/>
  <c r="Y1840" i="2" s="1"/>
  <c r="X1841" i="2"/>
  <c r="Y1841" i="2" s="1"/>
  <c r="X1842" i="2"/>
  <c r="Y1842" i="2" s="1"/>
  <c r="X1843" i="2"/>
  <c r="Y1843" i="2" s="1"/>
  <c r="X1844" i="2"/>
  <c r="Y1844" i="2" s="1"/>
  <c r="X1845" i="2"/>
  <c r="Y1845" i="2" s="1"/>
  <c r="X1846" i="2"/>
  <c r="Y1846" i="2" s="1"/>
  <c r="X1847" i="2"/>
  <c r="Y1847" i="2" s="1"/>
  <c r="X1848" i="2"/>
  <c r="Y1848" i="2" s="1"/>
  <c r="X1849" i="2"/>
  <c r="Y1849" i="2" s="1"/>
  <c r="X1850" i="2"/>
  <c r="Y1850" i="2" s="1"/>
  <c r="X1851" i="2"/>
  <c r="Y1851" i="2" s="1"/>
  <c r="X1852" i="2"/>
  <c r="Y1852" i="2" s="1"/>
  <c r="X1853" i="2"/>
  <c r="Y1853" i="2" s="1"/>
  <c r="X1854" i="2"/>
  <c r="Y1854" i="2" s="1"/>
  <c r="X1855" i="2"/>
  <c r="Y1855" i="2" s="1"/>
  <c r="X1856" i="2"/>
  <c r="Y1856" i="2" s="1"/>
  <c r="X1857" i="2"/>
  <c r="Y1857" i="2" s="1"/>
  <c r="X1858" i="2"/>
  <c r="Y1858" i="2" s="1"/>
  <c r="X1859" i="2"/>
  <c r="Y1859" i="2" s="1"/>
  <c r="X1860" i="2"/>
  <c r="Y1860" i="2" s="1"/>
  <c r="X1861" i="2"/>
  <c r="Y1861" i="2" s="1"/>
  <c r="X1862" i="2"/>
  <c r="Y1862" i="2" s="1"/>
  <c r="X1863" i="2"/>
  <c r="Y1863" i="2" s="1"/>
  <c r="X1864" i="2"/>
  <c r="Y1864" i="2" s="1"/>
  <c r="X1865" i="2"/>
  <c r="Y1865" i="2" s="1"/>
  <c r="X1866" i="2"/>
  <c r="Y1866" i="2" s="1"/>
  <c r="X1867" i="2"/>
  <c r="Y1867" i="2" s="1"/>
  <c r="X1868" i="2"/>
  <c r="Y1868" i="2" s="1"/>
  <c r="X1869" i="2"/>
  <c r="Y1869" i="2" s="1"/>
  <c r="X1870" i="2"/>
  <c r="Y1870" i="2" s="1"/>
  <c r="X1871" i="2"/>
  <c r="Y1871" i="2" s="1"/>
  <c r="X1872" i="2"/>
  <c r="Y1872" i="2" s="1"/>
  <c r="X1873" i="2"/>
  <c r="Y1873" i="2" s="1"/>
  <c r="X1874" i="2"/>
  <c r="Y1874" i="2" s="1"/>
  <c r="X1875" i="2"/>
  <c r="Y1875" i="2" s="1"/>
  <c r="X1876" i="2"/>
  <c r="Y1876" i="2" s="1"/>
  <c r="X1877" i="2"/>
  <c r="Y1877" i="2" s="1"/>
  <c r="X1878" i="2"/>
  <c r="Y1878" i="2" s="1"/>
  <c r="X1879" i="2"/>
  <c r="Y1879" i="2" s="1"/>
  <c r="X1880" i="2"/>
  <c r="Y1880" i="2" s="1"/>
  <c r="X1881" i="2"/>
  <c r="Y1881" i="2" s="1"/>
  <c r="X1882" i="2"/>
  <c r="Y1882" i="2" s="1"/>
  <c r="X1883" i="2"/>
  <c r="Y1883" i="2" s="1"/>
  <c r="X1884" i="2"/>
  <c r="Y1884" i="2" s="1"/>
  <c r="X1885" i="2"/>
  <c r="Y1885" i="2" s="1"/>
  <c r="X1886" i="2"/>
  <c r="Y1886" i="2" s="1"/>
  <c r="X1887" i="2"/>
  <c r="Y1887" i="2" s="1"/>
  <c r="X1888" i="2"/>
  <c r="Y1888" i="2" s="1"/>
  <c r="X1889" i="2"/>
  <c r="Y1889" i="2" s="1"/>
  <c r="X1890" i="2"/>
  <c r="Y1890" i="2" s="1"/>
  <c r="X1891" i="2"/>
  <c r="Y1891" i="2" s="1"/>
  <c r="X1892" i="2"/>
  <c r="Y1892" i="2" s="1"/>
  <c r="X1893" i="2"/>
  <c r="Y1893" i="2" s="1"/>
  <c r="X1894" i="2"/>
  <c r="Y1894" i="2" s="1"/>
  <c r="X1895" i="2"/>
  <c r="Y1895" i="2" s="1"/>
  <c r="X1896" i="2"/>
  <c r="Y1896" i="2" s="1"/>
  <c r="X1897" i="2"/>
  <c r="Y1897" i="2" s="1"/>
  <c r="X1898" i="2"/>
  <c r="Y1898" i="2" s="1"/>
  <c r="X1899" i="2"/>
  <c r="Y1899" i="2" s="1"/>
  <c r="X1900" i="2"/>
  <c r="Y1900" i="2" s="1"/>
  <c r="X1901" i="2"/>
  <c r="Y1901" i="2" s="1"/>
  <c r="X1902" i="2"/>
  <c r="Y1902" i="2" s="1"/>
  <c r="X1903" i="2"/>
  <c r="Y1903" i="2" s="1"/>
  <c r="X1904" i="2"/>
  <c r="Y1904" i="2" s="1"/>
  <c r="X1905" i="2"/>
  <c r="Y1905" i="2" s="1"/>
  <c r="X1906" i="2"/>
  <c r="Y1906" i="2" s="1"/>
  <c r="X1907" i="2"/>
  <c r="Y1907" i="2" s="1"/>
  <c r="X1908" i="2"/>
  <c r="Y1908" i="2" s="1"/>
  <c r="X1909" i="2"/>
  <c r="Y1909" i="2" s="1"/>
  <c r="X1910" i="2"/>
  <c r="Y1910" i="2" s="1"/>
  <c r="X1911" i="2"/>
  <c r="Y1911" i="2" s="1"/>
  <c r="X1912" i="2"/>
  <c r="Y1912" i="2" s="1"/>
  <c r="X1913" i="2"/>
  <c r="Y1913" i="2" s="1"/>
  <c r="X1914" i="2"/>
  <c r="Y1914" i="2" s="1"/>
  <c r="X1915" i="2"/>
  <c r="Y1915" i="2" s="1"/>
  <c r="X1916" i="2"/>
  <c r="Y1916" i="2" s="1"/>
  <c r="X1917" i="2"/>
  <c r="Y1917" i="2" s="1"/>
  <c r="X1918" i="2"/>
  <c r="Y1918" i="2" s="1"/>
  <c r="X1919" i="2"/>
  <c r="Y1919" i="2" s="1"/>
  <c r="X1920" i="2"/>
  <c r="Y1920" i="2" s="1"/>
  <c r="X1921" i="2"/>
  <c r="Y1921" i="2" s="1"/>
  <c r="X1922" i="2"/>
  <c r="Y1922" i="2" s="1"/>
  <c r="X1923" i="2"/>
  <c r="Y1923" i="2" s="1"/>
  <c r="X1924" i="2"/>
  <c r="Y1924" i="2" s="1"/>
  <c r="X1925" i="2"/>
  <c r="Y1925" i="2" s="1"/>
  <c r="X1926" i="2"/>
  <c r="Y1926" i="2" s="1"/>
  <c r="X1927" i="2"/>
  <c r="Y1927" i="2" s="1"/>
  <c r="X1928" i="2"/>
  <c r="Y1928" i="2" s="1"/>
  <c r="X1929" i="2"/>
  <c r="Y1929" i="2" s="1"/>
  <c r="X1930" i="2"/>
  <c r="Y1930" i="2" s="1"/>
  <c r="X1931" i="2"/>
  <c r="Y1931" i="2" s="1"/>
  <c r="X1932" i="2"/>
  <c r="Y1932" i="2" s="1"/>
  <c r="X1933" i="2"/>
  <c r="Y1933" i="2" s="1"/>
  <c r="X1934" i="2"/>
  <c r="Y1934" i="2" s="1"/>
  <c r="X1935" i="2"/>
  <c r="Y1935" i="2" s="1"/>
  <c r="X1936" i="2"/>
  <c r="Y1936" i="2" s="1"/>
  <c r="X1937" i="2"/>
  <c r="Y1937" i="2" s="1"/>
  <c r="X1938" i="2"/>
  <c r="Y1938" i="2" s="1"/>
  <c r="X1939" i="2"/>
  <c r="Y1939" i="2" s="1"/>
  <c r="X1940" i="2"/>
  <c r="Y1940" i="2" s="1"/>
  <c r="X1941" i="2"/>
  <c r="Y1941" i="2" s="1"/>
  <c r="X1942" i="2"/>
  <c r="Y1942" i="2" s="1"/>
  <c r="X1943" i="2"/>
  <c r="Y1943" i="2" s="1"/>
  <c r="X1944" i="2"/>
  <c r="Y1944" i="2" s="1"/>
  <c r="X1945" i="2"/>
  <c r="Y1945" i="2" s="1"/>
  <c r="X1946" i="2"/>
  <c r="Y1946" i="2" s="1"/>
  <c r="X1947" i="2"/>
  <c r="Y1947" i="2" s="1"/>
  <c r="X1948" i="2"/>
  <c r="Y1948" i="2" s="1"/>
  <c r="X1949" i="2"/>
  <c r="Y1949" i="2" s="1"/>
  <c r="X1950" i="2"/>
  <c r="Y1950" i="2" s="1"/>
  <c r="X1951" i="2"/>
  <c r="Y1951" i="2" s="1"/>
  <c r="X1952" i="2"/>
  <c r="Y1952" i="2" s="1"/>
  <c r="X1953" i="2"/>
  <c r="Y1953" i="2" s="1"/>
  <c r="X1954" i="2"/>
  <c r="Y1954" i="2" s="1"/>
  <c r="X1955" i="2"/>
  <c r="Y1955" i="2" s="1"/>
  <c r="X1956" i="2"/>
  <c r="Y1956" i="2" s="1"/>
  <c r="X1957" i="2"/>
  <c r="Y1957" i="2" s="1"/>
  <c r="X1958" i="2"/>
  <c r="Y1958" i="2" s="1"/>
  <c r="X1959" i="2"/>
  <c r="Y1959" i="2" s="1"/>
  <c r="X1960" i="2"/>
  <c r="Y1960" i="2" s="1"/>
  <c r="X1961" i="2"/>
  <c r="Y1961" i="2" s="1"/>
  <c r="X1962" i="2"/>
  <c r="Y1962" i="2" s="1"/>
  <c r="X1963" i="2"/>
  <c r="Y1963" i="2" s="1"/>
  <c r="X1964" i="2"/>
  <c r="Y1964" i="2" s="1"/>
  <c r="X1965" i="2"/>
  <c r="Y1965" i="2" s="1"/>
  <c r="X1966" i="2"/>
  <c r="Y1966" i="2" s="1"/>
  <c r="X1967" i="2"/>
  <c r="Y1967" i="2" s="1"/>
  <c r="X1968" i="2"/>
  <c r="Y1968" i="2" s="1"/>
  <c r="X1969" i="2"/>
  <c r="Y1969" i="2" s="1"/>
  <c r="X1970" i="2"/>
  <c r="Y1970" i="2" s="1"/>
  <c r="X1971" i="2"/>
  <c r="Y1971" i="2" s="1"/>
  <c r="X1972" i="2"/>
  <c r="Y1972" i="2" s="1"/>
  <c r="X1973" i="2"/>
  <c r="Y1973" i="2" s="1"/>
  <c r="X1974" i="2"/>
  <c r="Y1974" i="2" s="1"/>
  <c r="X1975" i="2"/>
  <c r="Y1975" i="2" s="1"/>
  <c r="X1976" i="2"/>
  <c r="Y1976" i="2" s="1"/>
  <c r="X1977" i="2"/>
  <c r="Y1977" i="2" s="1"/>
  <c r="X1978" i="2"/>
  <c r="Y1978" i="2" s="1"/>
  <c r="X1979" i="2"/>
  <c r="Y1979" i="2" s="1"/>
  <c r="X1980" i="2"/>
  <c r="Y1980" i="2" s="1"/>
  <c r="X1981" i="2"/>
  <c r="Y1981" i="2" s="1"/>
  <c r="X1982" i="2"/>
  <c r="Y1982" i="2" s="1"/>
  <c r="X1983" i="2"/>
  <c r="Y1983" i="2" s="1"/>
  <c r="X1984" i="2"/>
  <c r="Y1984" i="2" s="1"/>
  <c r="X1985" i="2"/>
  <c r="Y1985" i="2" s="1"/>
  <c r="X1986" i="2"/>
  <c r="Y1986" i="2" s="1"/>
  <c r="X1987" i="2"/>
  <c r="Y1987" i="2" s="1"/>
  <c r="X1988" i="2"/>
  <c r="Y1988" i="2" s="1"/>
  <c r="X1989" i="2"/>
  <c r="Y1989" i="2" s="1"/>
  <c r="X1990" i="2"/>
  <c r="Y1990" i="2" s="1"/>
  <c r="X1991" i="2"/>
  <c r="Y1991" i="2" s="1"/>
  <c r="X1992" i="2"/>
  <c r="Y1992" i="2" s="1"/>
  <c r="X1993" i="2"/>
  <c r="Y1993" i="2" s="1"/>
  <c r="X1994" i="2"/>
  <c r="Y1994" i="2" s="1"/>
  <c r="X1995" i="2"/>
  <c r="Y1995" i="2" s="1"/>
  <c r="X1996" i="2"/>
  <c r="Y1996" i="2" s="1"/>
  <c r="X1997" i="2"/>
  <c r="Y1997" i="2" s="1"/>
  <c r="X1998" i="2"/>
  <c r="Y1998" i="2" s="1"/>
  <c r="X1999" i="2"/>
  <c r="Y1999" i="2" s="1"/>
  <c r="X2000" i="2"/>
  <c r="Y2000" i="2" s="1"/>
  <c r="X2001" i="2"/>
  <c r="Y2001" i="2" s="1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" i="2"/>
  <c r="Y2" i="2" l="1"/>
  <c r="AE3" i="2"/>
  <c r="M9" i="2"/>
  <c r="N1338" i="2"/>
  <c r="M6" i="2"/>
  <c r="N1924" i="2"/>
  <c r="N1575" i="2"/>
  <c r="N805" i="2"/>
  <c r="N1314" i="2"/>
  <c r="M1955" i="2"/>
  <c r="M1840" i="2"/>
  <c r="M1696" i="2"/>
  <c r="M1506" i="2"/>
  <c r="M1300" i="2"/>
  <c r="M993" i="2"/>
  <c r="M585" i="2"/>
  <c r="M1981" i="2"/>
  <c r="M1873" i="2"/>
  <c r="M1736" i="2"/>
  <c r="M1552" i="2"/>
  <c r="M1355" i="2"/>
  <c r="M1072" i="2"/>
  <c r="M703" i="2"/>
  <c r="M170" i="2"/>
  <c r="N1721" i="2"/>
  <c r="N674" i="2"/>
  <c r="M1972" i="2"/>
  <c r="M1864" i="2"/>
  <c r="M1727" i="2"/>
  <c r="M1539" i="2"/>
  <c r="M1341" i="2"/>
  <c r="M1051" i="2"/>
  <c r="M665" i="2"/>
  <c r="M128" i="2"/>
  <c r="N1617" i="2"/>
  <c r="N647" i="2"/>
  <c r="M1964" i="2"/>
  <c r="M1851" i="2"/>
  <c r="M1709" i="2"/>
  <c r="M1519" i="2"/>
  <c r="M1319" i="2"/>
  <c r="M1016" i="2"/>
  <c r="M623" i="2"/>
  <c r="M54" i="2"/>
  <c r="N1613" i="2"/>
  <c r="M1945" i="2"/>
  <c r="M1827" i="2"/>
  <c r="M1676" i="2"/>
  <c r="M1487" i="2"/>
  <c r="M1269" i="2"/>
  <c r="M967" i="2"/>
  <c r="M531" i="2"/>
  <c r="N1984" i="2"/>
  <c r="N1510" i="2"/>
  <c r="M1939" i="2"/>
  <c r="M1819" i="2"/>
  <c r="M1663" i="2"/>
  <c r="M1474" i="2"/>
  <c r="M1249" i="2"/>
  <c r="M946" i="2"/>
  <c r="M493" i="2"/>
  <c r="N1978" i="2"/>
  <c r="N1469" i="2"/>
  <c r="M882" i="2"/>
  <c r="M1928" i="2"/>
  <c r="M1806" i="2"/>
  <c r="M1645" i="2"/>
  <c r="M1455" i="2"/>
  <c r="M1228" i="2"/>
  <c r="M913" i="2"/>
  <c r="M436" i="2"/>
  <c r="N1932" i="2"/>
  <c r="M1919" i="2"/>
  <c r="M1795" i="2"/>
  <c r="M1631" i="2"/>
  <c r="M1442" i="2"/>
  <c r="M1208" i="2"/>
  <c r="M889" i="2"/>
  <c r="M399" i="2"/>
  <c r="M1912" i="2"/>
  <c r="M1782" i="2"/>
  <c r="M1612" i="2"/>
  <c r="M1425" i="2"/>
  <c r="M1181" i="2"/>
  <c r="M857" i="2"/>
  <c r="M343" i="2"/>
  <c r="N1870" i="2"/>
  <c r="N1289" i="2"/>
  <c r="N463" i="2"/>
  <c r="M1903" i="2"/>
  <c r="M1773" i="2"/>
  <c r="M1599" i="2"/>
  <c r="M1411" i="2"/>
  <c r="M1160" i="2"/>
  <c r="M829" i="2"/>
  <c r="M309" i="2"/>
  <c r="N1859" i="2"/>
  <c r="N1116" i="2"/>
  <c r="M1997" i="2"/>
  <c r="M1892" i="2"/>
  <c r="M1760" i="2"/>
  <c r="M1583" i="2"/>
  <c r="M1391" i="2"/>
  <c r="M1125" i="2"/>
  <c r="M784" i="2"/>
  <c r="M248" i="2"/>
  <c r="N1829" i="2"/>
  <c r="N1081" i="2"/>
  <c r="M1991" i="2"/>
  <c r="M1886" i="2"/>
  <c r="M1749" i="2"/>
  <c r="M1570" i="2"/>
  <c r="M1377" i="2"/>
  <c r="M1104" i="2"/>
  <c r="M752" i="2"/>
  <c r="M215" i="2"/>
  <c r="N1757" i="2"/>
  <c r="M1998" i="2"/>
  <c r="M1982" i="2"/>
  <c r="M1965" i="2"/>
  <c r="M1946" i="2"/>
  <c r="M1929" i="2"/>
  <c r="M1913" i="2"/>
  <c r="M1893" i="2"/>
  <c r="M1874" i="2"/>
  <c r="M1852" i="2"/>
  <c r="M1828" i="2"/>
  <c r="M1807" i="2"/>
  <c r="M1785" i="2"/>
  <c r="M1761" i="2"/>
  <c r="M1741" i="2"/>
  <c r="M1710" i="2"/>
  <c r="M1677" i="2"/>
  <c r="M1649" i="2"/>
  <c r="M1617" i="2"/>
  <c r="M1585" i="2"/>
  <c r="M1553" i="2"/>
  <c r="M1520" i="2"/>
  <c r="M1492" i="2"/>
  <c r="M1460" i="2"/>
  <c r="M1426" i="2"/>
  <c r="M1392" i="2"/>
  <c r="M1356" i="2"/>
  <c r="M1325" i="2"/>
  <c r="M1278" i="2"/>
  <c r="M1229" i="2"/>
  <c r="M1182" i="2"/>
  <c r="M1129" i="2"/>
  <c r="M1079" i="2"/>
  <c r="M1026" i="2"/>
  <c r="M968" i="2"/>
  <c r="M914" i="2"/>
  <c r="M859" i="2"/>
  <c r="M796" i="2"/>
  <c r="M718" i="2"/>
  <c r="M626" i="2"/>
  <c r="M532" i="2"/>
  <c r="M438" i="2"/>
  <c r="M357" i="2"/>
  <c r="M266" i="2"/>
  <c r="M171" i="2"/>
  <c r="M62" i="2"/>
  <c r="M1996" i="2"/>
  <c r="M1979" i="2"/>
  <c r="M1963" i="2"/>
  <c r="M1943" i="2"/>
  <c r="M1927" i="2"/>
  <c r="M1911" i="2"/>
  <c r="M1891" i="2"/>
  <c r="M1871" i="2"/>
  <c r="M1847" i="2"/>
  <c r="M1826" i="2"/>
  <c r="M1802" i="2"/>
  <c r="M1781" i="2"/>
  <c r="M1759" i="2"/>
  <c r="M1735" i="2"/>
  <c r="M1703" i="2"/>
  <c r="M1675" i="2"/>
  <c r="M1643" i="2"/>
  <c r="M1611" i="2"/>
  <c r="M1579" i="2"/>
  <c r="M1546" i="2"/>
  <c r="M1518" i="2"/>
  <c r="M1486" i="2"/>
  <c r="M1454" i="2"/>
  <c r="M1421" i="2"/>
  <c r="M1385" i="2"/>
  <c r="M1354" i="2"/>
  <c r="M1317" i="2"/>
  <c r="M1268" i="2"/>
  <c r="M1221" i="2"/>
  <c r="M1171" i="2"/>
  <c r="M1124" i="2"/>
  <c r="M1070" i="2"/>
  <c r="M1014" i="2"/>
  <c r="M960" i="2"/>
  <c r="M902" i="2"/>
  <c r="M856" i="2"/>
  <c r="M782" i="2"/>
  <c r="M702" i="2"/>
  <c r="M608" i="2"/>
  <c r="M515" i="2"/>
  <c r="M435" i="2"/>
  <c r="M342" i="2"/>
  <c r="M247" i="2"/>
  <c r="M155" i="2"/>
  <c r="M31" i="2"/>
  <c r="N1923" i="2"/>
  <c r="N1719" i="2"/>
  <c r="N1461" i="2"/>
  <c r="N1005" i="2"/>
  <c r="M1995" i="2"/>
  <c r="M1978" i="2"/>
  <c r="M1959" i="2"/>
  <c r="M1942" i="2"/>
  <c r="M1926" i="2"/>
  <c r="M1906" i="2"/>
  <c r="M1890" i="2"/>
  <c r="M1867" i="2"/>
  <c r="M1846" i="2"/>
  <c r="M1825" i="2"/>
  <c r="M1801" i="2"/>
  <c r="M1780" i="2"/>
  <c r="M1756" i="2"/>
  <c r="M1734" i="2"/>
  <c r="M1702" i="2"/>
  <c r="M1671" i="2"/>
  <c r="M1638" i="2"/>
  <c r="M1610" i="2"/>
  <c r="M1578" i="2"/>
  <c r="M1545" i="2"/>
  <c r="M1514" i="2"/>
  <c r="M1481" i="2"/>
  <c r="M1453" i="2"/>
  <c r="M1420" i="2"/>
  <c r="M1384" i="2"/>
  <c r="M1350" i="2"/>
  <c r="M1308" i="2"/>
  <c r="M1267" i="2"/>
  <c r="M1220" i="2"/>
  <c r="M1170" i="2"/>
  <c r="M1117" i="2"/>
  <c r="M1060" i="2"/>
  <c r="M1013" i="2"/>
  <c r="M959" i="2"/>
  <c r="M901" i="2"/>
  <c r="M848" i="2"/>
  <c r="M769" i="2"/>
  <c r="M698" i="2"/>
  <c r="M607" i="2"/>
  <c r="M513" i="2"/>
  <c r="M421" i="2"/>
  <c r="M327" i="2"/>
  <c r="M246" i="2"/>
  <c r="M153" i="2"/>
  <c r="M30" i="2"/>
  <c r="N1901" i="2"/>
  <c r="N1682" i="2"/>
  <c r="N1439" i="2"/>
  <c r="N1003" i="2"/>
  <c r="M1994" i="2"/>
  <c r="M1977" i="2"/>
  <c r="M1958" i="2"/>
  <c r="M1941" i="2"/>
  <c r="M1925" i="2"/>
  <c r="M1905" i="2"/>
  <c r="M1889" i="2"/>
  <c r="M1866" i="2"/>
  <c r="M1845" i="2"/>
  <c r="M1821" i="2"/>
  <c r="M1799" i="2"/>
  <c r="M1775" i="2"/>
  <c r="M1755" i="2"/>
  <c r="M1730" i="2"/>
  <c r="M1701" i="2"/>
  <c r="M1670" i="2"/>
  <c r="M1637" i="2"/>
  <c r="M1605" i="2"/>
  <c r="M1573" i="2"/>
  <c r="M1544" i="2"/>
  <c r="M1513" i="2"/>
  <c r="M1480" i="2"/>
  <c r="M1448" i="2"/>
  <c r="M1413" i="2"/>
  <c r="M1382" i="2"/>
  <c r="M1348" i="2"/>
  <c r="M1307" i="2"/>
  <c r="M1260" i="2"/>
  <c r="M1210" i="2"/>
  <c r="M1169" i="2"/>
  <c r="M1116" i="2"/>
  <c r="M1058" i="2"/>
  <c r="M1005" i="2"/>
  <c r="M948" i="2"/>
  <c r="M900" i="2"/>
  <c r="M844" i="2"/>
  <c r="M765" i="2"/>
  <c r="M687" i="2"/>
  <c r="M592" i="2"/>
  <c r="M508" i="2"/>
  <c r="M419" i="2"/>
  <c r="M326" i="2"/>
  <c r="M232" i="2"/>
  <c r="M136" i="2"/>
  <c r="M28" i="2"/>
  <c r="N1900" i="2"/>
  <c r="N1671" i="2"/>
  <c r="N1392" i="2"/>
  <c r="N892" i="2"/>
  <c r="M1993" i="2"/>
  <c r="M1976" i="2"/>
  <c r="M1957" i="2"/>
  <c r="M1940" i="2"/>
  <c r="M1924" i="2"/>
  <c r="M1904" i="2"/>
  <c r="M1887" i="2"/>
  <c r="M1865" i="2"/>
  <c r="M1841" i="2"/>
  <c r="M1820" i="2"/>
  <c r="M1798" i="2"/>
  <c r="M1774" i="2"/>
  <c r="M1754" i="2"/>
  <c r="M1729" i="2"/>
  <c r="M1697" i="2"/>
  <c r="M1664" i="2"/>
  <c r="M1636" i="2"/>
  <c r="M1604" i="2"/>
  <c r="M1571" i="2"/>
  <c r="M1540" i="2"/>
  <c r="M1507" i="2"/>
  <c r="M1479" i="2"/>
  <c r="M1447" i="2"/>
  <c r="M1412" i="2"/>
  <c r="M1378" i="2"/>
  <c r="M1342" i="2"/>
  <c r="M1306" i="2"/>
  <c r="M1259" i="2"/>
  <c r="M1209" i="2"/>
  <c r="M1162" i="2"/>
  <c r="M1105" i="2"/>
  <c r="M1057" i="2"/>
  <c r="M1003" i="2"/>
  <c r="M947" i="2"/>
  <c r="M894" i="2"/>
  <c r="M830" i="2"/>
  <c r="M764" i="2"/>
  <c r="M680" i="2"/>
  <c r="M587" i="2"/>
  <c r="M498" i="2"/>
  <c r="M403" i="2"/>
  <c r="M319" i="2"/>
  <c r="M231" i="2"/>
  <c r="M134" i="2"/>
  <c r="N1876" i="2"/>
  <c r="N1654" i="2"/>
  <c r="N1387" i="2"/>
  <c r="N854" i="2"/>
  <c r="M10" i="2"/>
  <c r="M22" i="2"/>
  <c r="M34" i="2"/>
  <c r="M46" i="2"/>
  <c r="M58" i="2"/>
  <c r="M70" i="2"/>
  <c r="M82" i="2"/>
  <c r="M94" i="2"/>
  <c r="M106" i="2"/>
  <c r="M118" i="2"/>
  <c r="M130" i="2"/>
  <c r="M142" i="2"/>
  <c r="M154" i="2"/>
  <c r="M166" i="2"/>
  <c r="M178" i="2"/>
  <c r="M190" i="2"/>
  <c r="M202" i="2"/>
  <c r="M214" i="2"/>
  <c r="M226" i="2"/>
  <c r="M238" i="2"/>
  <c r="M250" i="2"/>
  <c r="M262" i="2"/>
  <c r="M274" i="2"/>
  <c r="M286" i="2"/>
  <c r="M298" i="2"/>
  <c r="M310" i="2"/>
  <c r="M322" i="2"/>
  <c r="M334" i="2"/>
  <c r="M346" i="2"/>
  <c r="M358" i="2"/>
  <c r="M370" i="2"/>
  <c r="M382" i="2"/>
  <c r="M394" i="2"/>
  <c r="M406" i="2"/>
  <c r="M418" i="2"/>
  <c r="M430" i="2"/>
  <c r="M442" i="2"/>
  <c r="M454" i="2"/>
  <c r="M466" i="2"/>
  <c r="M478" i="2"/>
  <c r="M490" i="2"/>
  <c r="M502" i="2"/>
  <c r="M514" i="2"/>
  <c r="M526" i="2"/>
  <c r="M538" i="2"/>
  <c r="M550" i="2"/>
  <c r="M562" i="2"/>
  <c r="M574" i="2"/>
  <c r="M586" i="2"/>
  <c r="M598" i="2"/>
  <c r="M610" i="2"/>
  <c r="M622" i="2"/>
  <c r="M634" i="2"/>
  <c r="M646" i="2"/>
  <c r="M658" i="2"/>
  <c r="M670" i="2"/>
  <c r="M682" i="2"/>
  <c r="M694" i="2"/>
  <c r="M706" i="2"/>
  <c r="M12" i="2"/>
  <c r="M24" i="2"/>
  <c r="M36" i="2"/>
  <c r="M48" i="2"/>
  <c r="M60" i="2"/>
  <c r="M72" i="2"/>
  <c r="M84" i="2"/>
  <c r="M96" i="2"/>
  <c r="M108" i="2"/>
  <c r="M120" i="2"/>
  <c r="M132" i="2"/>
  <c r="M144" i="2"/>
  <c r="M156" i="2"/>
  <c r="M168" i="2"/>
  <c r="M180" i="2"/>
  <c r="M192" i="2"/>
  <c r="M204" i="2"/>
  <c r="M216" i="2"/>
  <c r="M228" i="2"/>
  <c r="M240" i="2"/>
  <c r="M252" i="2"/>
  <c r="M264" i="2"/>
  <c r="M276" i="2"/>
  <c r="M288" i="2"/>
  <c r="M300" i="2"/>
  <c r="M312" i="2"/>
  <c r="M324" i="2"/>
  <c r="M336" i="2"/>
  <c r="M348" i="2"/>
  <c r="M360" i="2"/>
  <c r="M372" i="2"/>
  <c r="M384" i="2"/>
  <c r="M396" i="2"/>
  <c r="M408" i="2"/>
  <c r="M420" i="2"/>
  <c r="M432" i="2"/>
  <c r="M444" i="2"/>
  <c r="M456" i="2"/>
  <c r="M468" i="2"/>
  <c r="M480" i="2"/>
  <c r="M492" i="2"/>
  <c r="M504" i="2"/>
  <c r="M516" i="2"/>
  <c r="M528" i="2"/>
  <c r="M540" i="2"/>
  <c r="M552" i="2"/>
  <c r="M564" i="2"/>
  <c r="M576" i="2"/>
  <c r="M588" i="2"/>
  <c r="M600" i="2"/>
  <c r="M612" i="2"/>
  <c r="M624" i="2"/>
  <c r="M636" i="2"/>
  <c r="M648" i="2"/>
  <c r="M660" i="2"/>
  <c r="M672" i="2"/>
  <c r="M684" i="2"/>
  <c r="M696" i="2"/>
  <c r="M708" i="2"/>
  <c r="M5" i="2"/>
  <c r="M19" i="2"/>
  <c r="M33" i="2"/>
  <c r="M49" i="2"/>
  <c r="M63" i="2"/>
  <c r="M77" i="2"/>
  <c r="M91" i="2"/>
  <c r="M105" i="2"/>
  <c r="M121" i="2"/>
  <c r="M135" i="2"/>
  <c r="M149" i="2"/>
  <c r="M163" i="2"/>
  <c r="M177" i="2"/>
  <c r="M193" i="2"/>
  <c r="M207" i="2"/>
  <c r="M221" i="2"/>
  <c r="M235" i="2"/>
  <c r="M249" i="2"/>
  <c r="M265" i="2"/>
  <c r="M279" i="2"/>
  <c r="M293" i="2"/>
  <c r="M307" i="2"/>
  <c r="M321" i="2"/>
  <c r="M337" i="2"/>
  <c r="M351" i="2"/>
  <c r="M365" i="2"/>
  <c r="M379" i="2"/>
  <c r="M393" i="2"/>
  <c r="M409" i="2"/>
  <c r="M423" i="2"/>
  <c r="M437" i="2"/>
  <c r="M451" i="2"/>
  <c r="M465" i="2"/>
  <c r="M481" i="2"/>
  <c r="M495" i="2"/>
  <c r="M509" i="2"/>
  <c r="M523" i="2"/>
  <c r="M537" i="2"/>
  <c r="M553" i="2"/>
  <c r="M567" i="2"/>
  <c r="M581" i="2"/>
  <c r="M595" i="2"/>
  <c r="M609" i="2"/>
  <c r="M625" i="2"/>
  <c r="M639" i="2"/>
  <c r="M653" i="2"/>
  <c r="M667" i="2"/>
  <c r="M681" i="2"/>
  <c r="M697" i="2"/>
  <c r="M711" i="2"/>
  <c r="M723" i="2"/>
  <c r="M735" i="2"/>
  <c r="M747" i="2"/>
  <c r="M759" i="2"/>
  <c r="M771" i="2"/>
  <c r="M783" i="2"/>
  <c r="M795" i="2"/>
  <c r="M807" i="2"/>
  <c r="M819" i="2"/>
  <c r="M831" i="2"/>
  <c r="M843" i="2"/>
  <c r="M855" i="2"/>
  <c r="M867" i="2"/>
  <c r="M879" i="2"/>
  <c r="M891" i="2"/>
  <c r="M903" i="2"/>
  <c r="M915" i="2"/>
  <c r="M927" i="2"/>
  <c r="M939" i="2"/>
  <c r="M951" i="2"/>
  <c r="M963" i="2"/>
  <c r="M975" i="2"/>
  <c r="M987" i="2"/>
  <c r="M999" i="2"/>
  <c r="M1011" i="2"/>
  <c r="M1023" i="2"/>
  <c r="M1035" i="2"/>
  <c r="M1047" i="2"/>
  <c r="M1059" i="2"/>
  <c r="M1071" i="2"/>
  <c r="M1083" i="2"/>
  <c r="M1095" i="2"/>
  <c r="M1107" i="2"/>
  <c r="M1119" i="2"/>
  <c r="M1131" i="2"/>
  <c r="M1143" i="2"/>
  <c r="M1155" i="2"/>
  <c r="M1167" i="2"/>
  <c r="M1179" i="2"/>
  <c r="M1191" i="2"/>
  <c r="M1203" i="2"/>
  <c r="M1215" i="2"/>
  <c r="M1227" i="2"/>
  <c r="M1239" i="2"/>
  <c r="M1251" i="2"/>
  <c r="M1263" i="2"/>
  <c r="M1275" i="2"/>
  <c r="M1287" i="2"/>
  <c r="M1299" i="2"/>
  <c r="M1311" i="2"/>
  <c r="M1323" i="2"/>
  <c r="M1335" i="2"/>
  <c r="M1347" i="2"/>
  <c r="M1359" i="2"/>
  <c r="M1371" i="2"/>
  <c r="M1383" i="2"/>
  <c r="M1395" i="2"/>
  <c r="M1407" i="2"/>
  <c r="M1419" i="2"/>
  <c r="M1431" i="2"/>
  <c r="M7" i="2"/>
  <c r="M21" i="2"/>
  <c r="M37" i="2"/>
  <c r="M51" i="2"/>
  <c r="M65" i="2"/>
  <c r="M79" i="2"/>
  <c r="M93" i="2"/>
  <c r="M109" i="2"/>
  <c r="M123" i="2"/>
  <c r="M137" i="2"/>
  <c r="M8" i="2"/>
  <c r="M23" i="2"/>
  <c r="M38" i="2"/>
  <c r="M52" i="2"/>
  <c r="M66" i="2"/>
  <c r="M80" i="2"/>
  <c r="M95" i="2"/>
  <c r="M110" i="2"/>
  <c r="M124" i="2"/>
  <c r="M138" i="2"/>
  <c r="M15" i="2"/>
  <c r="M29" i="2"/>
  <c r="M43" i="2"/>
  <c r="M57" i="2"/>
  <c r="M73" i="2"/>
  <c r="M87" i="2"/>
  <c r="M101" i="2"/>
  <c r="M115" i="2"/>
  <c r="M13" i="2"/>
  <c r="M32" i="2"/>
  <c r="M55" i="2"/>
  <c r="M76" i="2"/>
  <c r="M99" i="2"/>
  <c r="M119" i="2"/>
  <c r="M140" i="2"/>
  <c r="M157" i="2"/>
  <c r="M172" i="2"/>
  <c r="M187" i="2"/>
  <c r="M203" i="2"/>
  <c r="M219" i="2"/>
  <c r="M234" i="2"/>
  <c r="M251" i="2"/>
  <c r="M267" i="2"/>
  <c r="M282" i="2"/>
  <c r="M297" i="2"/>
  <c r="M314" i="2"/>
  <c r="M329" i="2"/>
  <c r="M344" i="2"/>
  <c r="M361" i="2"/>
  <c r="M376" i="2"/>
  <c r="M391" i="2"/>
  <c r="M407" i="2"/>
  <c r="M424" i="2"/>
  <c r="M439" i="2"/>
  <c r="M455" i="2"/>
  <c r="M471" i="2"/>
  <c r="M486" i="2"/>
  <c r="M501" i="2"/>
  <c r="M518" i="2"/>
  <c r="M533" i="2"/>
  <c r="M548" i="2"/>
  <c r="M565" i="2"/>
  <c r="M580" i="2"/>
  <c r="M596" i="2"/>
  <c r="M613" i="2"/>
  <c r="M628" i="2"/>
  <c r="M643" i="2"/>
  <c r="M659" i="2"/>
  <c r="M675" i="2"/>
  <c r="M690" i="2"/>
  <c r="M705" i="2"/>
  <c r="M720" i="2"/>
  <c r="M733" i="2"/>
  <c r="M746" i="2"/>
  <c r="M760" i="2"/>
  <c r="M773" i="2"/>
  <c r="M786" i="2"/>
  <c r="M799" i="2"/>
  <c r="M812" i="2"/>
  <c r="M825" i="2"/>
  <c r="M838" i="2"/>
  <c r="M851" i="2"/>
  <c r="M864" i="2"/>
  <c r="M877" i="2"/>
  <c r="M890" i="2"/>
  <c r="M904" i="2"/>
  <c r="M917" i="2"/>
  <c r="M930" i="2"/>
  <c r="M943" i="2"/>
  <c r="M956" i="2"/>
  <c r="M969" i="2"/>
  <c r="M982" i="2"/>
  <c r="M995" i="2"/>
  <c r="M1008" i="2"/>
  <c r="M1021" i="2"/>
  <c r="M1034" i="2"/>
  <c r="M1048" i="2"/>
  <c r="M1061" i="2"/>
  <c r="M1074" i="2"/>
  <c r="M1087" i="2"/>
  <c r="M1100" i="2"/>
  <c r="M1113" i="2"/>
  <c r="M1126" i="2"/>
  <c r="M1139" i="2"/>
  <c r="M1152" i="2"/>
  <c r="M1165" i="2"/>
  <c r="M1178" i="2"/>
  <c r="M1192" i="2"/>
  <c r="M1205" i="2"/>
  <c r="M1218" i="2"/>
  <c r="M1231" i="2"/>
  <c r="M1244" i="2"/>
  <c r="M1257" i="2"/>
  <c r="M1270" i="2"/>
  <c r="M1283" i="2"/>
  <c r="M1296" i="2"/>
  <c r="M1309" i="2"/>
  <c r="M1322" i="2"/>
  <c r="M1336" i="2"/>
  <c r="M1349" i="2"/>
  <c r="M1362" i="2"/>
  <c r="M1375" i="2"/>
  <c r="M1388" i="2"/>
  <c r="M1401" i="2"/>
  <c r="M1414" i="2"/>
  <c r="M1427" i="2"/>
  <c r="M1440" i="2"/>
  <c r="M1452" i="2"/>
  <c r="M1464" i="2"/>
  <c r="M1476" i="2"/>
  <c r="M1488" i="2"/>
  <c r="M1500" i="2"/>
  <c r="M1512" i="2"/>
  <c r="M1524" i="2"/>
  <c r="M1536" i="2"/>
  <c r="M1548" i="2"/>
  <c r="M1560" i="2"/>
  <c r="M1572" i="2"/>
  <c r="M1584" i="2"/>
  <c r="M1596" i="2"/>
  <c r="M1608" i="2"/>
  <c r="M1620" i="2"/>
  <c r="M1632" i="2"/>
  <c r="M1644" i="2"/>
  <c r="M1656" i="2"/>
  <c r="M1668" i="2"/>
  <c r="M1680" i="2"/>
  <c r="M1692" i="2"/>
  <c r="M1704" i="2"/>
  <c r="M1716" i="2"/>
  <c r="M1728" i="2"/>
  <c r="M1740" i="2"/>
  <c r="M1752" i="2"/>
  <c r="M1764" i="2"/>
  <c r="M1776" i="2"/>
  <c r="M1788" i="2"/>
  <c r="M1800" i="2"/>
  <c r="M1812" i="2"/>
  <c r="M1824" i="2"/>
  <c r="M1836" i="2"/>
  <c r="M1848" i="2"/>
  <c r="M1860" i="2"/>
  <c r="M1872" i="2"/>
  <c r="M1884" i="2"/>
  <c r="M1896" i="2"/>
  <c r="M1908" i="2"/>
  <c r="M1920" i="2"/>
  <c r="M1932" i="2"/>
  <c r="M1944" i="2"/>
  <c r="M1956" i="2"/>
  <c r="M1968" i="2"/>
  <c r="M1980" i="2"/>
  <c r="M1992" i="2"/>
  <c r="M14" i="2"/>
  <c r="M35" i="2"/>
  <c r="M56" i="2"/>
  <c r="M78" i="2"/>
  <c r="M100" i="2"/>
  <c r="M122" i="2"/>
  <c r="M141" i="2"/>
  <c r="M158" i="2"/>
  <c r="M173" i="2"/>
  <c r="M188" i="2"/>
  <c r="M205" i="2"/>
  <c r="M220" i="2"/>
  <c r="M236" i="2"/>
  <c r="M253" i="2"/>
  <c r="M268" i="2"/>
  <c r="M283" i="2"/>
  <c r="M299" i="2"/>
  <c r="M315" i="2"/>
  <c r="M330" i="2"/>
  <c r="M345" i="2"/>
  <c r="M362" i="2"/>
  <c r="M377" i="2"/>
  <c r="M392" i="2"/>
  <c r="M410" i="2"/>
  <c r="M425" i="2"/>
  <c r="M440" i="2"/>
  <c r="M457" i="2"/>
  <c r="M472" i="2"/>
  <c r="M487" i="2"/>
  <c r="M503" i="2"/>
  <c r="M519" i="2"/>
  <c r="M534" i="2"/>
  <c r="M549" i="2"/>
  <c r="M566" i="2"/>
  <c r="M582" i="2"/>
  <c r="M597" i="2"/>
  <c r="M614" i="2"/>
  <c r="M629" i="2"/>
  <c r="M644" i="2"/>
  <c r="M661" i="2"/>
  <c r="M676" i="2"/>
  <c r="M691" i="2"/>
  <c r="M707" i="2"/>
  <c r="M721" i="2"/>
  <c r="M734" i="2"/>
  <c r="M748" i="2"/>
  <c r="M761" i="2"/>
  <c r="M774" i="2"/>
  <c r="M787" i="2"/>
  <c r="M800" i="2"/>
  <c r="M813" i="2"/>
  <c r="M826" i="2"/>
  <c r="M839" i="2"/>
  <c r="M852" i="2"/>
  <c r="M865" i="2"/>
  <c r="M878" i="2"/>
  <c r="M892" i="2"/>
  <c r="M905" i="2"/>
  <c r="M918" i="2"/>
  <c r="M931" i="2"/>
  <c r="M944" i="2"/>
  <c r="M957" i="2"/>
  <c r="M970" i="2"/>
  <c r="M983" i="2"/>
  <c r="M996" i="2"/>
  <c r="M1009" i="2"/>
  <c r="M1022" i="2"/>
  <c r="M1036" i="2"/>
  <c r="M1049" i="2"/>
  <c r="M1062" i="2"/>
  <c r="M1075" i="2"/>
  <c r="M1088" i="2"/>
  <c r="M1101" i="2"/>
  <c r="M1114" i="2"/>
  <c r="M1127" i="2"/>
  <c r="M1140" i="2"/>
  <c r="M1153" i="2"/>
  <c r="M1166" i="2"/>
  <c r="M1180" i="2"/>
  <c r="M1193" i="2"/>
  <c r="M1206" i="2"/>
  <c r="M1219" i="2"/>
  <c r="M1232" i="2"/>
  <c r="M1245" i="2"/>
  <c r="M1258" i="2"/>
  <c r="M1271" i="2"/>
  <c r="M1284" i="2"/>
  <c r="M1297" i="2"/>
  <c r="M1310" i="2"/>
  <c r="M16" i="2"/>
  <c r="M39" i="2"/>
  <c r="M59" i="2"/>
  <c r="M81" i="2"/>
  <c r="M102" i="2"/>
  <c r="M125" i="2"/>
  <c r="M143" i="2"/>
  <c r="M159" i="2"/>
  <c r="M174" i="2"/>
  <c r="M189" i="2"/>
  <c r="M206" i="2"/>
  <c r="M222" i="2"/>
  <c r="M237" i="2"/>
  <c r="M254" i="2"/>
  <c r="M269" i="2"/>
  <c r="M284" i="2"/>
  <c r="M301" i="2"/>
  <c r="M316" i="2"/>
  <c r="M331" i="2"/>
  <c r="M347" i="2"/>
  <c r="M363" i="2"/>
  <c r="M378" i="2"/>
  <c r="M395" i="2"/>
  <c r="M411" i="2"/>
  <c r="M426" i="2"/>
  <c r="M441" i="2"/>
  <c r="M458" i="2"/>
  <c r="M473" i="2"/>
  <c r="M488" i="2"/>
  <c r="M505" i="2"/>
  <c r="M520" i="2"/>
  <c r="M535" i="2"/>
  <c r="M551" i="2"/>
  <c r="M568" i="2"/>
  <c r="M583" i="2"/>
  <c r="M599" i="2"/>
  <c r="M615" i="2"/>
  <c r="M630" i="2"/>
  <c r="M645" i="2"/>
  <c r="M662" i="2"/>
  <c r="M677" i="2"/>
  <c r="M692" i="2"/>
  <c r="M709" i="2"/>
  <c r="M722" i="2"/>
  <c r="M736" i="2"/>
  <c r="M749" i="2"/>
  <c r="M762" i="2"/>
  <c r="M775" i="2"/>
  <c r="M788" i="2"/>
  <c r="M801" i="2"/>
  <c r="M814" i="2"/>
  <c r="M827" i="2"/>
  <c r="M840" i="2"/>
  <c r="M853" i="2"/>
  <c r="M866" i="2"/>
  <c r="M880" i="2"/>
  <c r="M893" i="2"/>
  <c r="M906" i="2"/>
  <c r="M919" i="2"/>
  <c r="M932" i="2"/>
  <c r="M945" i="2"/>
  <c r="M958" i="2"/>
  <c r="M971" i="2"/>
  <c r="M984" i="2"/>
  <c r="M997" i="2"/>
  <c r="M1010" i="2"/>
  <c r="M1024" i="2"/>
  <c r="M1037" i="2"/>
  <c r="M1050" i="2"/>
  <c r="M1063" i="2"/>
  <c r="M1076" i="2"/>
  <c r="M1089" i="2"/>
  <c r="M1102" i="2"/>
  <c r="M1115" i="2"/>
  <c r="M1128" i="2"/>
  <c r="M1141" i="2"/>
  <c r="M1154" i="2"/>
  <c r="M17" i="2"/>
  <c r="M40" i="2"/>
  <c r="M61" i="2"/>
  <c r="M83" i="2"/>
  <c r="M103" i="2"/>
  <c r="M126" i="2"/>
  <c r="M145" i="2"/>
  <c r="M160" i="2"/>
  <c r="M175" i="2"/>
  <c r="M191" i="2"/>
  <c r="M208" i="2"/>
  <c r="M223" i="2"/>
  <c r="M239" i="2"/>
  <c r="M255" i="2"/>
  <c r="M270" i="2"/>
  <c r="M285" i="2"/>
  <c r="M302" i="2"/>
  <c r="M317" i="2"/>
  <c r="M332" i="2"/>
  <c r="M349" i="2"/>
  <c r="M364" i="2"/>
  <c r="M380" i="2"/>
  <c r="M397" i="2"/>
  <c r="M412" i="2"/>
  <c r="M427" i="2"/>
  <c r="M443" i="2"/>
  <c r="M459" i="2"/>
  <c r="M474" i="2"/>
  <c r="M489" i="2"/>
  <c r="M506" i="2"/>
  <c r="M521" i="2"/>
  <c r="M536" i="2"/>
  <c r="M554" i="2"/>
  <c r="M569" i="2"/>
  <c r="M584" i="2"/>
  <c r="M601" i="2"/>
  <c r="M616" i="2"/>
  <c r="M631" i="2"/>
  <c r="M647" i="2"/>
  <c r="M663" i="2"/>
  <c r="M678" i="2"/>
  <c r="M693" i="2"/>
  <c r="M710" i="2"/>
  <c r="M724" i="2"/>
  <c r="M737" i="2"/>
  <c r="M750" i="2"/>
  <c r="M763" i="2"/>
  <c r="M776" i="2"/>
  <c r="M789" i="2"/>
  <c r="M802" i="2"/>
  <c r="M815" i="2"/>
  <c r="M828" i="2"/>
  <c r="M841" i="2"/>
  <c r="M25" i="2"/>
  <c r="M44" i="2"/>
  <c r="M67" i="2"/>
  <c r="M88" i="2"/>
  <c r="M111" i="2"/>
  <c r="M129" i="2"/>
  <c r="M148" i="2"/>
  <c r="M164" i="2"/>
  <c r="M181" i="2"/>
  <c r="M196" i="2"/>
  <c r="M211" i="2"/>
  <c r="M227" i="2"/>
  <c r="M243" i="2"/>
  <c r="M258" i="2"/>
  <c r="M273" i="2"/>
  <c r="M290" i="2"/>
  <c r="M305" i="2"/>
  <c r="M320" i="2"/>
  <c r="M338" i="2"/>
  <c r="M353" i="2"/>
  <c r="M368" i="2"/>
  <c r="M385" i="2"/>
  <c r="M400" i="2"/>
  <c r="M415" i="2"/>
  <c r="M431" i="2"/>
  <c r="M447" i="2"/>
  <c r="M462" i="2"/>
  <c r="M477" i="2"/>
  <c r="M494" i="2"/>
  <c r="M510" i="2"/>
  <c r="M525" i="2"/>
  <c r="M542" i="2"/>
  <c r="M557" i="2"/>
  <c r="M572" i="2"/>
  <c r="M589" i="2"/>
  <c r="M604" i="2"/>
  <c r="M619" i="2"/>
  <c r="M635" i="2"/>
  <c r="M651" i="2"/>
  <c r="M666" i="2"/>
  <c r="M683" i="2"/>
  <c r="M699" i="2"/>
  <c r="M714" i="2"/>
  <c r="M727" i="2"/>
  <c r="M740" i="2"/>
  <c r="M753" i="2"/>
  <c r="M766" i="2"/>
  <c r="M779" i="2"/>
  <c r="M792" i="2"/>
  <c r="M805" i="2"/>
  <c r="M818" i="2"/>
  <c r="M832" i="2"/>
  <c r="M845" i="2"/>
  <c r="M858" i="2"/>
  <c r="M871" i="2"/>
  <c r="M884" i="2"/>
  <c r="M897" i="2"/>
  <c r="M910" i="2"/>
  <c r="M923" i="2"/>
  <c r="M936" i="2"/>
  <c r="M949" i="2"/>
  <c r="M962" i="2"/>
  <c r="M976" i="2"/>
  <c r="M989" i="2"/>
  <c r="M1002" i="2"/>
  <c r="M1015" i="2"/>
  <c r="M1028" i="2"/>
  <c r="M1041" i="2"/>
  <c r="M1054" i="2"/>
  <c r="M1067" i="2"/>
  <c r="M1080" i="2"/>
  <c r="M1093" i="2"/>
  <c r="M1106" i="2"/>
  <c r="M1120" i="2"/>
  <c r="M1133" i="2"/>
  <c r="M1146" i="2"/>
  <c r="M1159" i="2"/>
  <c r="M1172" i="2"/>
  <c r="M1185" i="2"/>
  <c r="M1198" i="2"/>
  <c r="M1211" i="2"/>
  <c r="M1224" i="2"/>
  <c r="M1237" i="2"/>
  <c r="M1250" i="2"/>
  <c r="M1264" i="2"/>
  <c r="M1277" i="2"/>
  <c r="M1290" i="2"/>
  <c r="M1303" i="2"/>
  <c r="M1316" i="2"/>
  <c r="M1329" i="2"/>
  <c r="M3" i="2"/>
  <c r="M26" i="2"/>
  <c r="M45" i="2"/>
  <c r="M68" i="2"/>
  <c r="M89" i="2"/>
  <c r="M112" i="2"/>
  <c r="M131" i="2"/>
  <c r="M150" i="2"/>
  <c r="M165" i="2"/>
  <c r="M182" i="2"/>
  <c r="M197" i="2"/>
  <c r="M212" i="2"/>
  <c r="M229" i="2"/>
  <c r="M244" i="2"/>
  <c r="M259" i="2"/>
  <c r="M275" i="2"/>
  <c r="M291" i="2"/>
  <c r="M306" i="2"/>
  <c r="M323" i="2"/>
  <c r="M339" i="2"/>
  <c r="M354" i="2"/>
  <c r="M369" i="2"/>
  <c r="M386" i="2"/>
  <c r="M401" i="2"/>
  <c r="M416" i="2"/>
  <c r="M433" i="2"/>
  <c r="M448" i="2"/>
  <c r="M463" i="2"/>
  <c r="M479" i="2"/>
  <c r="M496" i="2"/>
  <c r="M511" i="2"/>
  <c r="M527" i="2"/>
  <c r="M543" i="2"/>
  <c r="M558" i="2"/>
  <c r="M573" i="2"/>
  <c r="M590" i="2"/>
  <c r="M605" i="2"/>
  <c r="M620" i="2"/>
  <c r="M637" i="2"/>
  <c r="M652" i="2"/>
  <c r="M668" i="2"/>
  <c r="M685" i="2"/>
  <c r="M700" i="2"/>
  <c r="M715" i="2"/>
  <c r="M728" i="2"/>
  <c r="M741" i="2"/>
  <c r="M754" i="2"/>
  <c r="M767" i="2"/>
  <c r="M780" i="2"/>
  <c r="M793" i="2"/>
  <c r="M806" i="2"/>
  <c r="M820" i="2"/>
  <c r="M833" i="2"/>
  <c r="M846" i="2"/>
  <c r="M4" i="2"/>
  <c r="M27" i="2"/>
  <c r="M47" i="2"/>
  <c r="M69" i="2"/>
  <c r="M90" i="2"/>
  <c r="M113" i="2"/>
  <c r="M133" i="2"/>
  <c r="M151" i="2"/>
  <c r="M167" i="2"/>
  <c r="M183" i="2"/>
  <c r="M198" i="2"/>
  <c r="M213" i="2"/>
  <c r="M230" i="2"/>
  <c r="M245" i="2"/>
  <c r="M260" i="2"/>
  <c r="M277" i="2"/>
  <c r="M292" i="2"/>
  <c r="M308" i="2"/>
  <c r="M325" i="2"/>
  <c r="M340" i="2"/>
  <c r="M355" i="2"/>
  <c r="M371" i="2"/>
  <c r="M387" i="2"/>
  <c r="M402" i="2"/>
  <c r="M417" i="2"/>
  <c r="M434" i="2"/>
  <c r="M449" i="2"/>
  <c r="M464" i="2"/>
  <c r="M482" i="2"/>
  <c r="M497" i="2"/>
  <c r="M512" i="2"/>
  <c r="M529" i="2"/>
  <c r="M544" i="2"/>
  <c r="M559" i="2"/>
  <c r="M575" i="2"/>
  <c r="M591" i="2"/>
  <c r="M606" i="2"/>
  <c r="M621" i="2"/>
  <c r="M638" i="2"/>
  <c r="M654" i="2"/>
  <c r="M669" i="2"/>
  <c r="M686" i="2"/>
  <c r="M701" i="2"/>
  <c r="M716" i="2"/>
  <c r="M729" i="2"/>
  <c r="M742" i="2"/>
  <c r="M755" i="2"/>
  <c r="M768" i="2"/>
  <c r="M781" i="2"/>
  <c r="M794" i="2"/>
  <c r="M808" i="2"/>
  <c r="M821" i="2"/>
  <c r="M834" i="2"/>
  <c r="M847" i="2"/>
  <c r="M860" i="2"/>
  <c r="M873" i="2"/>
  <c r="M886" i="2"/>
  <c r="M899" i="2"/>
  <c r="M912" i="2"/>
  <c r="M925" i="2"/>
  <c r="M938" i="2"/>
  <c r="M952" i="2"/>
  <c r="M965" i="2"/>
  <c r="M978" i="2"/>
  <c r="M991" i="2"/>
  <c r="M1004" i="2"/>
  <c r="M1017" i="2"/>
  <c r="M1030" i="2"/>
  <c r="M1043" i="2"/>
  <c r="M1056" i="2"/>
  <c r="M1069" i="2"/>
  <c r="M1082" i="2"/>
  <c r="M1096" i="2"/>
  <c r="M1109" i="2"/>
  <c r="M1122" i="2"/>
  <c r="M1135" i="2"/>
  <c r="M1148" i="2"/>
  <c r="M1161" i="2"/>
  <c r="M1174" i="2"/>
  <c r="M1187" i="2"/>
  <c r="M1200" i="2"/>
  <c r="M1213" i="2"/>
  <c r="M1226" i="2"/>
  <c r="M1240" i="2"/>
  <c r="M1253" i="2"/>
  <c r="M1266" i="2"/>
  <c r="M1279" i="2"/>
  <c r="M1292" i="2"/>
  <c r="M1305" i="2"/>
  <c r="M1318" i="2"/>
  <c r="M11" i="2"/>
  <c r="M64" i="2"/>
  <c r="M116" i="2"/>
  <c r="M161" i="2"/>
  <c r="M199" i="2"/>
  <c r="M233" i="2"/>
  <c r="M272" i="2"/>
  <c r="M311" i="2"/>
  <c r="M350" i="2"/>
  <c r="M388" i="2"/>
  <c r="M422" i="2"/>
  <c r="M461" i="2"/>
  <c r="M499" i="2"/>
  <c r="M539" i="2"/>
  <c r="M577" i="2"/>
  <c r="M611" i="2"/>
  <c r="M650" i="2"/>
  <c r="M688" i="2"/>
  <c r="M725" i="2"/>
  <c r="M756" i="2"/>
  <c r="M785" i="2"/>
  <c r="M817" i="2"/>
  <c r="M849" i="2"/>
  <c r="M872" i="2"/>
  <c r="M895" i="2"/>
  <c r="M916" i="2"/>
  <c r="M940" i="2"/>
  <c r="M961" i="2"/>
  <c r="M985" i="2"/>
  <c r="M1006" i="2"/>
  <c r="M1029" i="2"/>
  <c r="M1052" i="2"/>
  <c r="M1073" i="2"/>
  <c r="M1097" i="2"/>
  <c r="M1118" i="2"/>
  <c r="M1142" i="2"/>
  <c r="M1163" i="2"/>
  <c r="M1183" i="2"/>
  <c r="M1202" i="2"/>
  <c r="M1222" i="2"/>
  <c r="M1242" i="2"/>
  <c r="M1261" i="2"/>
  <c r="M1281" i="2"/>
  <c r="M1301" i="2"/>
  <c r="M1320" i="2"/>
  <c r="M1337" i="2"/>
  <c r="M1351" i="2"/>
  <c r="M1365" i="2"/>
  <c r="M1379" i="2"/>
  <c r="M1393" i="2"/>
  <c r="M1408" i="2"/>
  <c r="M1422" i="2"/>
  <c r="M1436" i="2"/>
  <c r="M1449" i="2"/>
  <c r="M1462" i="2"/>
  <c r="M1475" i="2"/>
  <c r="M1489" i="2"/>
  <c r="M1502" i="2"/>
  <c r="M1515" i="2"/>
  <c r="M1528" i="2"/>
  <c r="M1541" i="2"/>
  <c r="M1554" i="2"/>
  <c r="M1567" i="2"/>
  <c r="M1580" i="2"/>
  <c r="M1593" i="2"/>
  <c r="M1606" i="2"/>
  <c r="M1619" i="2"/>
  <c r="M1633" i="2"/>
  <c r="M1646" i="2"/>
  <c r="M1659" i="2"/>
  <c r="M1672" i="2"/>
  <c r="M1685" i="2"/>
  <c r="M1698" i="2"/>
  <c r="M1711" i="2"/>
  <c r="M1724" i="2"/>
  <c r="M1737" i="2"/>
  <c r="M1750" i="2"/>
  <c r="M1763" i="2"/>
  <c r="M1777" i="2"/>
  <c r="M1790" i="2"/>
  <c r="M1803" i="2"/>
  <c r="M1816" i="2"/>
  <c r="M1829" i="2"/>
  <c r="M1842" i="2"/>
  <c r="M1855" i="2"/>
  <c r="M1868" i="2"/>
  <c r="M1881" i="2"/>
  <c r="M1894" i="2"/>
  <c r="M1907" i="2"/>
  <c r="M1921" i="2"/>
  <c r="M1934" i="2"/>
  <c r="M1947" i="2"/>
  <c r="M1960" i="2"/>
  <c r="M1973" i="2"/>
  <c r="M1986" i="2"/>
  <c r="M1999" i="2"/>
  <c r="M18" i="2"/>
  <c r="M71" i="2"/>
  <c r="M117" i="2"/>
  <c r="M162" i="2"/>
  <c r="M200" i="2"/>
  <c r="M241" i="2"/>
  <c r="M278" i="2"/>
  <c r="M313" i="2"/>
  <c r="M352" i="2"/>
  <c r="M389" i="2"/>
  <c r="M428" i="2"/>
  <c r="M467" i="2"/>
  <c r="M500" i="2"/>
  <c r="M541" i="2"/>
  <c r="M578" i="2"/>
  <c r="M617" i="2"/>
  <c r="M655" i="2"/>
  <c r="M689" i="2"/>
  <c r="M726" i="2"/>
  <c r="M757" i="2"/>
  <c r="M790" i="2"/>
  <c r="M822" i="2"/>
  <c r="M850" i="2"/>
  <c r="M874" i="2"/>
  <c r="M896" i="2"/>
  <c r="M920" i="2"/>
  <c r="M941" i="2"/>
  <c r="M964" i="2"/>
  <c r="M986" i="2"/>
  <c r="M1007" i="2"/>
  <c r="M1031" i="2"/>
  <c r="M1053" i="2"/>
  <c r="M1077" i="2"/>
  <c r="M1098" i="2"/>
  <c r="M1121" i="2"/>
  <c r="M1144" i="2"/>
  <c r="M1164" i="2"/>
  <c r="M1184" i="2"/>
  <c r="M1204" i="2"/>
  <c r="M1223" i="2"/>
  <c r="M1243" i="2"/>
  <c r="M1262" i="2"/>
  <c r="M1282" i="2"/>
  <c r="M1302" i="2"/>
  <c r="M1321" i="2"/>
  <c r="M1338" i="2"/>
  <c r="M1352" i="2"/>
  <c r="M1366" i="2"/>
  <c r="M1380" i="2"/>
  <c r="M1394" i="2"/>
  <c r="M1409" i="2"/>
  <c r="M1423" i="2"/>
  <c r="M1437" i="2"/>
  <c r="M1450" i="2"/>
  <c r="M1463" i="2"/>
  <c r="M1477" i="2"/>
  <c r="M1490" i="2"/>
  <c r="M1503" i="2"/>
  <c r="M1516" i="2"/>
  <c r="M1529" i="2"/>
  <c r="M1542" i="2"/>
  <c r="M1555" i="2"/>
  <c r="M1568" i="2"/>
  <c r="M1581" i="2"/>
  <c r="M1594" i="2"/>
  <c r="M1607" i="2"/>
  <c r="M1621" i="2"/>
  <c r="M1634" i="2"/>
  <c r="M1647" i="2"/>
  <c r="M1660" i="2"/>
  <c r="M1673" i="2"/>
  <c r="M1686" i="2"/>
  <c r="M1699" i="2"/>
  <c r="M1712" i="2"/>
  <c r="M1725" i="2"/>
  <c r="M1738" i="2"/>
  <c r="M1751" i="2"/>
  <c r="M1765" i="2"/>
  <c r="M1778" i="2"/>
  <c r="M1791" i="2"/>
  <c r="M1804" i="2"/>
  <c r="M1817" i="2"/>
  <c r="M1830" i="2"/>
  <c r="M1843" i="2"/>
  <c r="M1856" i="2"/>
  <c r="M1869" i="2"/>
  <c r="M1882" i="2"/>
  <c r="M1895" i="2"/>
  <c r="M1909" i="2"/>
  <c r="M1922" i="2"/>
  <c r="M1935" i="2"/>
  <c r="M1948" i="2"/>
  <c r="M1961" i="2"/>
  <c r="M1974" i="2"/>
  <c r="M1987" i="2"/>
  <c r="M2000" i="2"/>
  <c r="M20" i="2"/>
  <c r="M74" i="2"/>
  <c r="M127" i="2"/>
  <c r="M169" i="2"/>
  <c r="M201" i="2"/>
  <c r="M242" i="2"/>
  <c r="M280" i="2"/>
  <c r="M318" i="2"/>
  <c r="M356" i="2"/>
  <c r="M390" i="2"/>
  <c r="M429" i="2"/>
  <c r="M469" i="2"/>
  <c r="M507" i="2"/>
  <c r="M545" i="2"/>
  <c r="M579" i="2"/>
  <c r="M618" i="2"/>
  <c r="M656" i="2"/>
  <c r="M695" i="2"/>
  <c r="M730" i="2"/>
  <c r="M758" i="2"/>
  <c r="M791" i="2"/>
  <c r="M823" i="2"/>
  <c r="M854" i="2"/>
  <c r="M875" i="2"/>
  <c r="M898" i="2"/>
  <c r="M921" i="2"/>
  <c r="M942" i="2"/>
  <c r="M966" i="2"/>
  <c r="M988" i="2"/>
  <c r="M1012" i="2"/>
  <c r="M1032" i="2"/>
  <c r="M1055" i="2"/>
  <c r="M1078" i="2"/>
  <c r="M1099" i="2"/>
  <c r="M1123" i="2"/>
  <c r="M1145" i="2"/>
  <c r="M1168" i="2"/>
  <c r="M1186" i="2"/>
  <c r="M1207" i="2"/>
  <c r="M1225" i="2"/>
  <c r="M1246" i="2"/>
  <c r="M1265" i="2"/>
  <c r="M1285" i="2"/>
  <c r="M1304" i="2"/>
  <c r="M1324" i="2"/>
  <c r="M1339" i="2"/>
  <c r="M1353" i="2"/>
  <c r="M1367" i="2"/>
  <c r="M1381" i="2"/>
  <c r="M1396" i="2"/>
  <c r="M1410" i="2"/>
  <c r="M1424" i="2"/>
  <c r="M1438" i="2"/>
  <c r="M1451" i="2"/>
  <c r="M1465" i="2"/>
  <c r="M1478" i="2"/>
  <c r="M1491" i="2"/>
  <c r="M1504" i="2"/>
  <c r="M1517" i="2"/>
  <c r="M1530" i="2"/>
  <c r="M1543" i="2"/>
  <c r="M1556" i="2"/>
  <c r="M1569" i="2"/>
  <c r="M1582" i="2"/>
  <c r="M1595" i="2"/>
  <c r="M1609" i="2"/>
  <c r="M1622" i="2"/>
  <c r="M1635" i="2"/>
  <c r="M1648" i="2"/>
  <c r="M1661" i="2"/>
  <c r="M1674" i="2"/>
  <c r="M1687" i="2"/>
  <c r="M1700" i="2"/>
  <c r="M1713" i="2"/>
  <c r="M1726" i="2"/>
  <c r="M1739" i="2"/>
  <c r="M1753" i="2"/>
  <c r="M1766" i="2"/>
  <c r="M1779" i="2"/>
  <c r="M1792" i="2"/>
  <c r="M1805" i="2"/>
  <c r="M1818" i="2"/>
  <c r="M1831" i="2"/>
  <c r="M1844" i="2"/>
  <c r="M1857" i="2"/>
  <c r="M1870" i="2"/>
  <c r="M1883" i="2"/>
  <c r="M1897" i="2"/>
  <c r="M1910" i="2"/>
  <c r="M1923" i="2"/>
  <c r="M1936" i="2"/>
  <c r="M1949" i="2"/>
  <c r="M1962" i="2"/>
  <c r="M1975" i="2"/>
  <c r="M1988" i="2"/>
  <c r="M2001" i="2"/>
  <c r="M41" i="2"/>
  <c r="M92" i="2"/>
  <c r="M139" i="2"/>
  <c r="M179" i="2"/>
  <c r="M217" i="2"/>
  <c r="M256" i="2"/>
  <c r="M294" i="2"/>
  <c r="M328" i="2"/>
  <c r="M367" i="2"/>
  <c r="M404" i="2"/>
  <c r="M445" i="2"/>
  <c r="M483" i="2"/>
  <c r="M517" i="2"/>
  <c r="M556" i="2"/>
  <c r="M593" i="2"/>
  <c r="M632" i="2"/>
  <c r="M671" i="2"/>
  <c r="M704" i="2"/>
  <c r="M739" i="2"/>
  <c r="M770" i="2"/>
  <c r="M803" i="2"/>
  <c r="M835" i="2"/>
  <c r="M861" i="2"/>
  <c r="M883" i="2"/>
  <c r="M907" i="2"/>
  <c r="M928" i="2"/>
  <c r="M950" i="2"/>
  <c r="M973" i="2"/>
  <c r="M994" i="2"/>
  <c r="M1018" i="2"/>
  <c r="M1040" i="2"/>
  <c r="M1064" i="2"/>
  <c r="M1085" i="2"/>
  <c r="M1108" i="2"/>
  <c r="M1130" i="2"/>
  <c r="M1151" i="2"/>
  <c r="M1173" i="2"/>
  <c r="M1194" i="2"/>
  <c r="M1212" i="2"/>
  <c r="M1233" i="2"/>
  <c r="M1252" i="2"/>
  <c r="M1272" i="2"/>
  <c r="M1291" i="2"/>
  <c r="M1312" i="2"/>
  <c r="M1328" i="2"/>
  <c r="M1343" i="2"/>
  <c r="M1357" i="2"/>
  <c r="M1372" i="2"/>
  <c r="M1386" i="2"/>
  <c r="M1400" i="2"/>
  <c r="M1415" i="2"/>
  <c r="M1429" i="2"/>
  <c r="M1443" i="2"/>
  <c r="M1456" i="2"/>
  <c r="M1469" i="2"/>
  <c r="M1482" i="2"/>
  <c r="M1495" i="2"/>
  <c r="M1508" i="2"/>
  <c r="M1521" i="2"/>
  <c r="M1534" i="2"/>
  <c r="M1547" i="2"/>
  <c r="M1561" i="2"/>
  <c r="M1574" i="2"/>
  <c r="M1587" i="2"/>
  <c r="M1600" i="2"/>
  <c r="M1613" i="2"/>
  <c r="M1626" i="2"/>
  <c r="M1639" i="2"/>
  <c r="M1652" i="2"/>
  <c r="M1665" i="2"/>
  <c r="M1678" i="2"/>
  <c r="M1691" i="2"/>
  <c r="M1705" i="2"/>
  <c r="M1718" i="2"/>
  <c r="M1731" i="2"/>
  <c r="M1744" i="2"/>
  <c r="M1757" i="2"/>
  <c r="M1770" i="2"/>
  <c r="M1783" i="2"/>
  <c r="M1796" i="2"/>
  <c r="M1809" i="2"/>
  <c r="M1822" i="2"/>
  <c r="M1835" i="2"/>
  <c r="M1849" i="2"/>
  <c r="M1862" i="2"/>
  <c r="M1875" i="2"/>
  <c r="M1888" i="2"/>
  <c r="M42" i="2"/>
  <c r="M97" i="2"/>
  <c r="M146" i="2"/>
  <c r="M184" i="2"/>
  <c r="M218" i="2"/>
  <c r="M257" i="2"/>
  <c r="M295" i="2"/>
  <c r="M333" i="2"/>
  <c r="M373" i="2"/>
  <c r="M405" i="2"/>
  <c r="M446" i="2"/>
  <c r="M484" i="2"/>
  <c r="M522" i="2"/>
  <c r="M560" i="2"/>
  <c r="M594" i="2"/>
  <c r="M633" i="2"/>
  <c r="M673" i="2"/>
  <c r="M712" i="2"/>
  <c r="M743" i="2"/>
  <c r="M772" i="2"/>
  <c r="M804" i="2"/>
  <c r="M836" i="2"/>
  <c r="M862" i="2"/>
  <c r="M885" i="2"/>
  <c r="M908" i="2"/>
  <c r="M929" i="2"/>
  <c r="M953" i="2"/>
  <c r="M974" i="2"/>
  <c r="M998" i="2"/>
  <c r="M1019" i="2"/>
  <c r="M1042" i="2"/>
  <c r="M1065" i="2"/>
  <c r="M1086" i="2"/>
  <c r="M1110" i="2"/>
  <c r="M1132" i="2"/>
  <c r="M1156" i="2"/>
  <c r="M1175" i="2"/>
  <c r="M1195" i="2"/>
  <c r="M1214" i="2"/>
  <c r="M1234" i="2"/>
  <c r="M1254" i="2"/>
  <c r="M1273" i="2"/>
  <c r="M1293" i="2"/>
  <c r="M1313" i="2"/>
  <c r="M1330" i="2"/>
  <c r="M1344" i="2"/>
  <c r="M1358" i="2"/>
  <c r="M1373" i="2"/>
  <c r="M1387" i="2"/>
  <c r="M1402" i="2"/>
  <c r="M1416" i="2"/>
  <c r="M1430" i="2"/>
  <c r="M1444" i="2"/>
  <c r="M1457" i="2"/>
  <c r="M1470" i="2"/>
  <c r="M1483" i="2"/>
  <c r="M1496" i="2"/>
  <c r="M1509" i="2"/>
  <c r="M1522" i="2"/>
  <c r="M1535" i="2"/>
  <c r="M1549" i="2"/>
  <c r="M1562" i="2"/>
  <c r="M1575" i="2"/>
  <c r="M1588" i="2"/>
  <c r="M1601" i="2"/>
  <c r="M1614" i="2"/>
  <c r="M1627" i="2"/>
  <c r="M1640" i="2"/>
  <c r="M1653" i="2"/>
  <c r="M1666" i="2"/>
  <c r="M1679" i="2"/>
  <c r="M1693" i="2"/>
  <c r="M1706" i="2"/>
  <c r="M1719" i="2"/>
  <c r="M1732" i="2"/>
  <c r="M1745" i="2"/>
  <c r="M1758" i="2"/>
  <c r="M1771" i="2"/>
  <c r="M1784" i="2"/>
  <c r="M1797" i="2"/>
  <c r="M1810" i="2"/>
  <c r="M1823" i="2"/>
  <c r="M1837" i="2"/>
  <c r="M1850" i="2"/>
  <c r="M1863" i="2"/>
  <c r="M1876" i="2"/>
  <c r="M50" i="2"/>
  <c r="M98" i="2"/>
  <c r="M147" i="2"/>
  <c r="M185" i="2"/>
  <c r="M224" i="2"/>
  <c r="M261" i="2"/>
  <c r="M296" i="2"/>
  <c r="M335" i="2"/>
  <c r="M374" i="2"/>
  <c r="M413" i="2"/>
  <c r="M450" i="2"/>
  <c r="M485" i="2"/>
  <c r="M524" i="2"/>
  <c r="M561" i="2"/>
  <c r="M602" i="2"/>
  <c r="M640" i="2"/>
  <c r="M674" i="2"/>
  <c r="M713" i="2"/>
  <c r="M744" i="2"/>
  <c r="M777" i="2"/>
  <c r="M809" i="2"/>
  <c r="M837" i="2"/>
  <c r="M863" i="2"/>
  <c r="M887" i="2"/>
  <c r="M909" i="2"/>
  <c r="M933" i="2"/>
  <c r="M954" i="2"/>
  <c r="M977" i="2"/>
  <c r="M1000" i="2"/>
  <c r="M1020" i="2"/>
  <c r="M1044" i="2"/>
  <c r="M1066" i="2"/>
  <c r="M1090" i="2"/>
  <c r="M1111" i="2"/>
  <c r="M1134" i="2"/>
  <c r="M1157" i="2"/>
  <c r="M1176" i="2"/>
  <c r="M1196" i="2"/>
  <c r="M1216" i="2"/>
  <c r="M1235" i="2"/>
  <c r="M1255" i="2"/>
  <c r="M1274" i="2"/>
  <c r="M1294" i="2"/>
  <c r="M1314" i="2"/>
  <c r="M1331" i="2"/>
  <c r="M1345" i="2"/>
  <c r="M1360" i="2"/>
  <c r="M1374" i="2"/>
  <c r="M1389" i="2"/>
  <c r="M1403" i="2"/>
  <c r="M1417" i="2"/>
  <c r="M1432" i="2"/>
  <c r="M1445" i="2"/>
  <c r="M1458" i="2"/>
  <c r="M1471" i="2"/>
  <c r="M1484" i="2"/>
  <c r="M1497" i="2"/>
  <c r="M1510" i="2"/>
  <c r="M1523" i="2"/>
  <c r="M1537" i="2"/>
  <c r="M1550" i="2"/>
  <c r="M1563" i="2"/>
  <c r="M1576" i="2"/>
  <c r="M1589" i="2"/>
  <c r="M1602" i="2"/>
  <c r="M1615" i="2"/>
  <c r="M1628" i="2"/>
  <c r="M1641" i="2"/>
  <c r="M1654" i="2"/>
  <c r="M1667" i="2"/>
  <c r="M1681" i="2"/>
  <c r="M1694" i="2"/>
  <c r="M1707" i="2"/>
  <c r="M1720" i="2"/>
  <c r="M1733" i="2"/>
  <c r="M53" i="2"/>
  <c r="M104" i="2"/>
  <c r="M152" i="2"/>
  <c r="M186" i="2"/>
  <c r="M225" i="2"/>
  <c r="M263" i="2"/>
  <c r="M303" i="2"/>
  <c r="M341" i="2"/>
  <c r="M375" i="2"/>
  <c r="M414" i="2"/>
  <c r="M452" i="2"/>
  <c r="M491" i="2"/>
  <c r="M530" i="2"/>
  <c r="M563" i="2"/>
  <c r="M603" i="2"/>
  <c r="M641" i="2"/>
  <c r="M679" i="2"/>
  <c r="M717" i="2"/>
  <c r="M745" i="2"/>
  <c r="M778" i="2"/>
  <c r="M810" i="2"/>
  <c r="M842" i="2"/>
  <c r="M868" i="2"/>
  <c r="M888" i="2"/>
  <c r="M911" i="2"/>
  <c r="M934" i="2"/>
  <c r="M955" i="2"/>
  <c r="M979" i="2"/>
  <c r="M1001" i="2"/>
  <c r="M1025" i="2"/>
  <c r="M1045" i="2"/>
  <c r="M1068" i="2"/>
  <c r="M1091" i="2"/>
  <c r="M1112" i="2"/>
  <c r="M1136" i="2"/>
  <c r="M1158" i="2"/>
  <c r="M1177" i="2"/>
  <c r="M1197" i="2"/>
  <c r="M1217" i="2"/>
  <c r="M1236" i="2"/>
  <c r="M1256" i="2"/>
  <c r="M1276" i="2"/>
  <c r="M1295" i="2"/>
  <c r="M1315" i="2"/>
  <c r="M1332" i="2"/>
  <c r="M1346" i="2"/>
  <c r="M1361" i="2"/>
  <c r="M1376" i="2"/>
  <c r="M1390" i="2"/>
  <c r="M1404" i="2"/>
  <c r="M1418" i="2"/>
  <c r="M1433" i="2"/>
  <c r="M1446" i="2"/>
  <c r="M1459" i="2"/>
  <c r="M1472" i="2"/>
  <c r="M1485" i="2"/>
  <c r="M1498" i="2"/>
  <c r="M1511" i="2"/>
  <c r="M1525" i="2"/>
  <c r="M1538" i="2"/>
  <c r="M1551" i="2"/>
  <c r="M1564" i="2"/>
  <c r="M1577" i="2"/>
  <c r="M1590" i="2"/>
  <c r="M1603" i="2"/>
  <c r="M1616" i="2"/>
  <c r="M1629" i="2"/>
  <c r="M1642" i="2"/>
  <c r="M1655" i="2"/>
  <c r="M1669" i="2"/>
  <c r="M1682" i="2"/>
  <c r="M1695" i="2"/>
  <c r="M1708" i="2"/>
  <c r="M1721" i="2"/>
  <c r="M1989" i="2"/>
  <c r="M1970" i="2"/>
  <c r="M1953" i="2"/>
  <c r="M1937" i="2"/>
  <c r="M1917" i="2"/>
  <c r="M1901" i="2"/>
  <c r="M1880" i="2"/>
  <c r="M1859" i="2"/>
  <c r="M1838" i="2"/>
  <c r="M1814" i="2"/>
  <c r="M1793" i="2"/>
  <c r="M1769" i="2"/>
  <c r="M1747" i="2"/>
  <c r="M1722" i="2"/>
  <c r="M1689" i="2"/>
  <c r="M1658" i="2"/>
  <c r="M1625" i="2"/>
  <c r="M1597" i="2"/>
  <c r="M1565" i="2"/>
  <c r="M1532" i="2"/>
  <c r="M1501" i="2"/>
  <c r="M1468" i="2"/>
  <c r="M1439" i="2"/>
  <c r="M1405" i="2"/>
  <c r="M1369" i="2"/>
  <c r="M1334" i="2"/>
  <c r="M1289" i="2"/>
  <c r="M1247" i="2"/>
  <c r="M1199" i="2"/>
  <c r="M1149" i="2"/>
  <c r="M1094" i="2"/>
  <c r="M1039" i="2"/>
  <c r="M990" i="2"/>
  <c r="M935" i="2"/>
  <c r="M881" i="2"/>
  <c r="M816" i="2"/>
  <c r="M738" i="2"/>
  <c r="M657" i="2"/>
  <c r="M570" i="2"/>
  <c r="M475" i="2"/>
  <c r="M383" i="2"/>
  <c r="M289" i="2"/>
  <c r="M209" i="2"/>
  <c r="M107" i="2"/>
  <c r="M1990" i="2"/>
  <c r="M1938" i="2"/>
  <c r="M1918" i="2"/>
  <c r="M1885" i="2"/>
  <c r="M1839" i="2"/>
  <c r="M1794" i="2"/>
  <c r="M1748" i="2"/>
  <c r="M1662" i="2"/>
  <c r="M1598" i="2"/>
  <c r="M1533" i="2"/>
  <c r="M1505" i="2"/>
  <c r="M1441" i="2"/>
  <c r="M1370" i="2"/>
  <c r="M1298" i="2"/>
  <c r="M1248" i="2"/>
  <c r="M1150" i="2"/>
  <c r="M1103" i="2"/>
  <c r="M1046" i="2"/>
  <c r="M992" i="2"/>
  <c r="M937" i="2"/>
  <c r="M824" i="2"/>
  <c r="M751" i="2"/>
  <c r="M664" i="2"/>
  <c r="M571" i="2"/>
  <c r="M476" i="2"/>
  <c r="M398" i="2"/>
  <c r="M304" i="2"/>
  <c r="M210" i="2"/>
  <c r="M114" i="2"/>
  <c r="M1985" i="2"/>
  <c r="M1969" i="2"/>
  <c r="M1952" i="2"/>
  <c r="M1933" i="2"/>
  <c r="M1916" i="2"/>
  <c r="M1900" i="2"/>
  <c r="M1879" i="2"/>
  <c r="M1858" i="2"/>
  <c r="M1834" i="2"/>
  <c r="M1813" i="2"/>
  <c r="M1789" i="2"/>
  <c r="M1768" i="2"/>
  <c r="M1746" i="2"/>
  <c r="M1717" i="2"/>
  <c r="M1688" i="2"/>
  <c r="M1657" i="2"/>
  <c r="M1624" i="2"/>
  <c r="M1592" i="2"/>
  <c r="M1559" i="2"/>
  <c r="M1531" i="2"/>
  <c r="M1499" i="2"/>
  <c r="M1467" i="2"/>
  <c r="M1435" i="2"/>
  <c r="M1399" i="2"/>
  <c r="M1368" i="2"/>
  <c r="M1333" i="2"/>
  <c r="M1288" i="2"/>
  <c r="M1241" i="2"/>
  <c r="M1190" i="2"/>
  <c r="M1147" i="2"/>
  <c r="M1092" i="2"/>
  <c r="M1038" i="2"/>
  <c r="M981" i="2"/>
  <c r="M926" i="2"/>
  <c r="M876" i="2"/>
  <c r="M811" i="2"/>
  <c r="M732" i="2"/>
  <c r="M649" i="2"/>
  <c r="M555" i="2"/>
  <c r="M470" i="2"/>
  <c r="M381" i="2"/>
  <c r="M287" i="2"/>
  <c r="M195" i="2"/>
  <c r="M86" i="2"/>
  <c r="N1975" i="2"/>
  <c r="N1826" i="2"/>
  <c r="N1564" i="2"/>
  <c r="N1226" i="2"/>
  <c r="M1971" i="2"/>
  <c r="M1954" i="2"/>
  <c r="M1902" i="2"/>
  <c r="M1861" i="2"/>
  <c r="M1815" i="2"/>
  <c r="M1772" i="2"/>
  <c r="M1723" i="2"/>
  <c r="M1690" i="2"/>
  <c r="M1630" i="2"/>
  <c r="M1566" i="2"/>
  <c r="M1473" i="2"/>
  <c r="M1406" i="2"/>
  <c r="M1340" i="2"/>
  <c r="M1201" i="2"/>
  <c r="N3" i="2"/>
  <c r="N15" i="2"/>
  <c r="N27" i="2"/>
  <c r="N39" i="2"/>
  <c r="N51" i="2"/>
  <c r="N63" i="2"/>
  <c r="N75" i="2"/>
  <c r="N87" i="2"/>
  <c r="N99" i="2"/>
  <c r="N111" i="2"/>
  <c r="N123" i="2"/>
  <c r="N135" i="2"/>
  <c r="N147" i="2"/>
  <c r="N159" i="2"/>
  <c r="N171" i="2"/>
  <c r="N183" i="2"/>
  <c r="N195" i="2"/>
  <c r="N207" i="2"/>
  <c r="N219" i="2"/>
  <c r="N231" i="2"/>
  <c r="N243" i="2"/>
  <c r="N255" i="2"/>
  <c r="N267" i="2"/>
  <c r="N279" i="2"/>
  <c r="N291" i="2"/>
  <c r="N303" i="2"/>
  <c r="N315" i="2"/>
  <c r="N327" i="2"/>
  <c r="N339" i="2"/>
  <c r="N351" i="2"/>
  <c r="N363" i="2"/>
  <c r="N375" i="2"/>
  <c r="N387" i="2"/>
  <c r="N399" i="2"/>
  <c r="N411" i="2"/>
  <c r="N423" i="2"/>
  <c r="N435" i="2"/>
  <c r="N447" i="2"/>
  <c r="N459" i="2"/>
  <c r="N471" i="2"/>
  <c r="N483" i="2"/>
  <c r="N495" i="2"/>
  <c r="N507" i="2"/>
  <c r="N519" i="2"/>
  <c r="N531" i="2"/>
  <c r="N543" i="2"/>
  <c r="N555" i="2"/>
  <c r="N567" i="2"/>
  <c r="N579" i="2"/>
  <c r="N591" i="2"/>
  <c r="N603" i="2"/>
  <c r="N615" i="2"/>
  <c r="N627" i="2"/>
  <c r="N639" i="2"/>
  <c r="N651" i="2"/>
  <c r="N663" i="2"/>
  <c r="N675" i="2"/>
  <c r="N687" i="2"/>
  <c r="N699" i="2"/>
  <c r="N711" i="2"/>
  <c r="N723" i="2"/>
  <c r="N735" i="2"/>
  <c r="N747" i="2"/>
  <c r="N759" i="2"/>
  <c r="N771" i="2"/>
  <c r="N783" i="2"/>
  <c r="N795" i="2"/>
  <c r="N807" i="2"/>
  <c r="N819" i="2"/>
  <c r="N831" i="2"/>
  <c r="N843" i="2"/>
  <c r="N855" i="2"/>
  <c r="N867" i="2"/>
  <c r="N879" i="2"/>
  <c r="N891" i="2"/>
  <c r="N903" i="2"/>
  <c r="N915" i="2"/>
  <c r="N927" i="2"/>
  <c r="N939" i="2"/>
  <c r="N951" i="2"/>
  <c r="N963" i="2"/>
  <c r="N975" i="2"/>
  <c r="N987" i="2"/>
  <c r="N999" i="2"/>
  <c r="N1011" i="2"/>
  <c r="N4" i="2"/>
  <c r="N5" i="2"/>
  <c r="N17" i="2"/>
  <c r="N29" i="2"/>
  <c r="N41" i="2"/>
  <c r="N53" i="2"/>
  <c r="N65" i="2"/>
  <c r="N77" i="2"/>
  <c r="N89" i="2"/>
  <c r="N101" i="2"/>
  <c r="N113" i="2"/>
  <c r="N125" i="2"/>
  <c r="N137" i="2"/>
  <c r="N149" i="2"/>
  <c r="N161" i="2"/>
  <c r="N173" i="2"/>
  <c r="N185" i="2"/>
  <c r="N197" i="2"/>
  <c r="N209" i="2"/>
  <c r="N221" i="2"/>
  <c r="N233" i="2"/>
  <c r="N245" i="2"/>
  <c r="N257" i="2"/>
  <c r="N269" i="2"/>
  <c r="N281" i="2"/>
  <c r="N293" i="2"/>
  <c r="N305" i="2"/>
  <c r="N317" i="2"/>
  <c r="N329" i="2"/>
  <c r="N341" i="2"/>
  <c r="N353" i="2"/>
  <c r="N365" i="2"/>
  <c r="N377" i="2"/>
  <c r="N389" i="2"/>
  <c r="N401" i="2"/>
  <c r="N413" i="2"/>
  <c r="N425" i="2"/>
  <c r="N437" i="2"/>
  <c r="N449" i="2"/>
  <c r="N461" i="2"/>
  <c r="N473" i="2"/>
  <c r="N485" i="2"/>
  <c r="N497" i="2"/>
  <c r="N509" i="2"/>
  <c r="N521" i="2"/>
  <c r="N533" i="2"/>
  <c r="N545" i="2"/>
  <c r="N557" i="2"/>
  <c r="N569" i="2"/>
  <c r="N581" i="2"/>
  <c r="N593" i="2"/>
  <c r="N605" i="2"/>
  <c r="N617" i="2"/>
  <c r="N629" i="2"/>
  <c r="N641" i="2"/>
  <c r="N653" i="2"/>
  <c r="N665" i="2"/>
  <c r="N677" i="2"/>
  <c r="N689" i="2"/>
  <c r="N701" i="2"/>
  <c r="N713" i="2"/>
  <c r="N725" i="2"/>
  <c r="N737" i="2"/>
  <c r="N749" i="2"/>
  <c r="N761" i="2"/>
  <c r="N773" i="2"/>
  <c r="N785" i="2"/>
  <c r="N797" i="2"/>
  <c r="N809" i="2"/>
  <c r="N821" i="2"/>
  <c r="N833" i="2"/>
  <c r="N845" i="2"/>
  <c r="N857" i="2"/>
  <c r="N869" i="2"/>
  <c r="N881" i="2"/>
  <c r="N893" i="2"/>
  <c r="N905" i="2"/>
  <c r="N917" i="2"/>
  <c r="N929" i="2"/>
  <c r="N941" i="2"/>
  <c r="N953" i="2"/>
  <c r="N965" i="2"/>
  <c r="N977" i="2"/>
  <c r="N989" i="2"/>
  <c r="N1001" i="2"/>
  <c r="N1013" i="2"/>
  <c r="N6" i="2"/>
  <c r="N18" i="2"/>
  <c r="N30" i="2"/>
  <c r="N42" i="2"/>
  <c r="N54" i="2"/>
  <c r="N66" i="2"/>
  <c r="N78" i="2"/>
  <c r="N90" i="2"/>
  <c r="N102" i="2"/>
  <c r="N114" i="2"/>
  <c r="N126" i="2"/>
  <c r="N138" i="2"/>
  <c r="N150" i="2"/>
  <c r="N162" i="2"/>
  <c r="N174" i="2"/>
  <c r="N186" i="2"/>
  <c r="N198" i="2"/>
  <c r="N210" i="2"/>
  <c r="N222" i="2"/>
  <c r="N234" i="2"/>
  <c r="N246" i="2"/>
  <c r="N258" i="2"/>
  <c r="N270" i="2"/>
  <c r="N282" i="2"/>
  <c r="N294" i="2"/>
  <c r="N306" i="2"/>
  <c r="N318" i="2"/>
  <c r="N330" i="2"/>
  <c r="N342" i="2"/>
  <c r="N354" i="2"/>
  <c r="N366" i="2"/>
  <c r="N378" i="2"/>
  <c r="N390" i="2"/>
  <c r="N402" i="2"/>
  <c r="N414" i="2"/>
  <c r="N426" i="2"/>
  <c r="N438" i="2"/>
  <c r="N450" i="2"/>
  <c r="N462" i="2"/>
  <c r="N474" i="2"/>
  <c r="N486" i="2"/>
  <c r="N498" i="2"/>
  <c r="N510" i="2"/>
  <c r="N522" i="2"/>
  <c r="N534" i="2"/>
  <c r="N546" i="2"/>
  <c r="N558" i="2"/>
  <c r="N570" i="2"/>
  <c r="N582" i="2"/>
  <c r="N594" i="2"/>
  <c r="N606" i="2"/>
  <c r="N618" i="2"/>
  <c r="N630" i="2"/>
  <c r="N642" i="2"/>
  <c r="N654" i="2"/>
  <c r="N666" i="2"/>
  <c r="N678" i="2"/>
  <c r="N690" i="2"/>
  <c r="N702" i="2"/>
  <c r="N714" i="2"/>
  <c r="N726" i="2"/>
  <c r="N738" i="2"/>
  <c r="N750" i="2"/>
  <c r="N762" i="2"/>
  <c r="N9" i="2"/>
  <c r="N21" i="2"/>
  <c r="N33" i="2"/>
  <c r="N45" i="2"/>
  <c r="N57" i="2"/>
  <c r="N69" i="2"/>
  <c r="N81" i="2"/>
  <c r="N93" i="2"/>
  <c r="N105" i="2"/>
  <c r="N117" i="2"/>
  <c r="N129" i="2"/>
  <c r="N141" i="2"/>
  <c r="N153" i="2"/>
  <c r="N165" i="2"/>
  <c r="N177" i="2"/>
  <c r="N189" i="2"/>
  <c r="N201" i="2"/>
  <c r="N213" i="2"/>
  <c r="N225" i="2"/>
  <c r="N237" i="2"/>
  <c r="N249" i="2"/>
  <c r="N261" i="2"/>
  <c r="N273" i="2"/>
  <c r="N285" i="2"/>
  <c r="N297" i="2"/>
  <c r="N309" i="2"/>
  <c r="N321" i="2"/>
  <c r="N333" i="2"/>
  <c r="N345" i="2"/>
  <c r="N357" i="2"/>
  <c r="N369" i="2"/>
  <c r="N381" i="2"/>
  <c r="N393" i="2"/>
  <c r="N405" i="2"/>
  <c r="N417" i="2"/>
  <c r="N429" i="2"/>
  <c r="N441" i="2"/>
  <c r="N453" i="2"/>
  <c r="N465" i="2"/>
  <c r="N477" i="2"/>
  <c r="N489" i="2"/>
  <c r="N501" i="2"/>
  <c r="N513" i="2"/>
  <c r="N525" i="2"/>
  <c r="N537" i="2"/>
  <c r="N549" i="2"/>
  <c r="N561" i="2"/>
  <c r="N573" i="2"/>
  <c r="N585" i="2"/>
  <c r="N597" i="2"/>
  <c r="N609" i="2"/>
  <c r="N621" i="2"/>
  <c r="N633" i="2"/>
  <c r="N645" i="2"/>
  <c r="N657" i="2"/>
  <c r="N669" i="2"/>
  <c r="N681" i="2"/>
  <c r="N693" i="2"/>
  <c r="N705" i="2"/>
  <c r="N717" i="2"/>
  <c r="N10" i="2"/>
  <c r="N22" i="2"/>
  <c r="N34" i="2"/>
  <c r="N46" i="2"/>
  <c r="N58" i="2"/>
  <c r="N70" i="2"/>
  <c r="N82" i="2"/>
  <c r="N94" i="2"/>
  <c r="N106" i="2"/>
  <c r="N118" i="2"/>
  <c r="N130" i="2"/>
  <c r="N142" i="2"/>
  <c r="N154" i="2"/>
  <c r="N166" i="2"/>
  <c r="N178" i="2"/>
  <c r="N190" i="2"/>
  <c r="N202" i="2"/>
  <c r="N214" i="2"/>
  <c r="N226" i="2"/>
  <c r="N238" i="2"/>
  <c r="N250" i="2"/>
  <c r="N262" i="2"/>
  <c r="N274" i="2"/>
  <c r="N286" i="2"/>
  <c r="N298" i="2"/>
  <c r="N310" i="2"/>
  <c r="N322" i="2"/>
  <c r="N334" i="2"/>
  <c r="N346" i="2"/>
  <c r="N358" i="2"/>
  <c r="N370" i="2"/>
  <c r="N382" i="2"/>
  <c r="N394" i="2"/>
  <c r="N406" i="2"/>
  <c r="N418" i="2"/>
  <c r="N430" i="2"/>
  <c r="N442" i="2"/>
  <c r="N454" i="2"/>
  <c r="N466" i="2"/>
  <c r="N478" i="2"/>
  <c r="N490" i="2"/>
  <c r="N502" i="2"/>
  <c r="N514" i="2"/>
  <c r="N526" i="2"/>
  <c r="N538" i="2"/>
  <c r="N550" i="2"/>
  <c r="N562" i="2"/>
  <c r="N11" i="2"/>
  <c r="N23" i="2"/>
  <c r="N35" i="2"/>
  <c r="N47" i="2"/>
  <c r="N59" i="2"/>
  <c r="N71" i="2"/>
  <c r="N83" i="2"/>
  <c r="N95" i="2"/>
  <c r="N107" i="2"/>
  <c r="N119" i="2"/>
  <c r="N131" i="2"/>
  <c r="N143" i="2"/>
  <c r="N155" i="2"/>
  <c r="N167" i="2"/>
  <c r="N179" i="2"/>
  <c r="N191" i="2"/>
  <c r="N203" i="2"/>
  <c r="N215" i="2"/>
  <c r="N227" i="2"/>
  <c r="N239" i="2"/>
  <c r="N251" i="2"/>
  <c r="N263" i="2"/>
  <c r="N275" i="2"/>
  <c r="N287" i="2"/>
  <c r="N299" i="2"/>
  <c r="N311" i="2"/>
  <c r="N323" i="2"/>
  <c r="N335" i="2"/>
  <c r="N347" i="2"/>
  <c r="N359" i="2"/>
  <c r="N371" i="2"/>
  <c r="N383" i="2"/>
  <c r="N12" i="2"/>
  <c r="N24" i="2"/>
  <c r="N36" i="2"/>
  <c r="N48" i="2"/>
  <c r="N60" i="2"/>
  <c r="N72" i="2"/>
  <c r="N84" i="2"/>
  <c r="N96" i="2"/>
  <c r="N108" i="2"/>
  <c r="N120" i="2"/>
  <c r="N132" i="2"/>
  <c r="N144" i="2"/>
  <c r="N156" i="2"/>
  <c r="N168" i="2"/>
  <c r="N180" i="2"/>
  <c r="N192" i="2"/>
  <c r="N204" i="2"/>
  <c r="N216" i="2"/>
  <c r="N228" i="2"/>
  <c r="N240" i="2"/>
  <c r="N252" i="2"/>
  <c r="N264" i="2"/>
  <c r="N276" i="2"/>
  <c r="N288" i="2"/>
  <c r="N300" i="2"/>
  <c r="N312" i="2"/>
  <c r="N324" i="2"/>
  <c r="N336" i="2"/>
  <c r="N348" i="2"/>
  <c r="N360" i="2"/>
  <c r="N372" i="2"/>
  <c r="N384" i="2"/>
  <c r="N396" i="2"/>
  <c r="N408" i="2"/>
  <c r="N420" i="2"/>
  <c r="N432" i="2"/>
  <c r="N444" i="2"/>
  <c r="N456" i="2"/>
  <c r="N468" i="2"/>
  <c r="N480" i="2"/>
  <c r="N492" i="2"/>
  <c r="N504" i="2"/>
  <c r="N516" i="2"/>
  <c r="N528" i="2"/>
  <c r="N540" i="2"/>
  <c r="N552" i="2"/>
  <c r="N564" i="2"/>
  <c r="N576" i="2"/>
  <c r="N588" i="2"/>
  <c r="N600" i="2"/>
  <c r="N612" i="2"/>
  <c r="N7" i="2"/>
  <c r="N37" i="2"/>
  <c r="N64" i="2"/>
  <c r="N92" i="2"/>
  <c r="N122" i="2"/>
  <c r="N151" i="2"/>
  <c r="N181" i="2"/>
  <c r="N208" i="2"/>
  <c r="N236" i="2"/>
  <c r="N266" i="2"/>
  <c r="N295" i="2"/>
  <c r="N325" i="2"/>
  <c r="N352" i="2"/>
  <c r="N380" i="2"/>
  <c r="N407" i="2"/>
  <c r="N431" i="2"/>
  <c r="N455" i="2"/>
  <c r="N479" i="2"/>
  <c r="N503" i="2"/>
  <c r="N527" i="2"/>
  <c r="N551" i="2"/>
  <c r="N574" i="2"/>
  <c r="N595" i="2"/>
  <c r="N614" i="2"/>
  <c r="N634" i="2"/>
  <c r="N650" i="2"/>
  <c r="N670" i="2"/>
  <c r="N686" i="2"/>
  <c r="N706" i="2"/>
  <c r="N722" i="2"/>
  <c r="N740" i="2"/>
  <c r="N755" i="2"/>
  <c r="N770" i="2"/>
  <c r="N786" i="2"/>
  <c r="N800" i="2"/>
  <c r="N814" i="2"/>
  <c r="N828" i="2"/>
  <c r="N842" i="2"/>
  <c r="N858" i="2"/>
  <c r="N872" i="2"/>
  <c r="N886" i="2"/>
  <c r="N900" i="2"/>
  <c r="N914" i="2"/>
  <c r="N930" i="2"/>
  <c r="N944" i="2"/>
  <c r="N958" i="2"/>
  <c r="N972" i="2"/>
  <c r="N986" i="2"/>
  <c r="N1002" i="2"/>
  <c r="N1016" i="2"/>
  <c r="N8" i="2"/>
  <c r="N38" i="2"/>
  <c r="N67" i="2"/>
  <c r="N13" i="2"/>
  <c r="N40" i="2"/>
  <c r="N68" i="2"/>
  <c r="N98" i="2"/>
  <c r="N127" i="2"/>
  <c r="N157" i="2"/>
  <c r="N184" i="2"/>
  <c r="N212" i="2"/>
  <c r="N242" i="2"/>
  <c r="N271" i="2"/>
  <c r="N301" i="2"/>
  <c r="N328" i="2"/>
  <c r="N356" i="2"/>
  <c r="N386" i="2"/>
  <c r="N410" i="2"/>
  <c r="N434" i="2"/>
  <c r="N458" i="2"/>
  <c r="N482" i="2"/>
  <c r="N506" i="2"/>
  <c r="N530" i="2"/>
  <c r="N554" i="2"/>
  <c r="N577" i="2"/>
  <c r="N598" i="2"/>
  <c r="N619" i="2"/>
  <c r="N636" i="2"/>
  <c r="N655" i="2"/>
  <c r="N672" i="2"/>
  <c r="N691" i="2"/>
  <c r="N708" i="2"/>
  <c r="N727" i="2"/>
  <c r="N742" i="2"/>
  <c r="N757" i="2"/>
  <c r="N774" i="2"/>
  <c r="N788" i="2"/>
  <c r="N802" i="2"/>
  <c r="N816" i="2"/>
  <c r="N830" i="2"/>
  <c r="N846" i="2"/>
  <c r="N860" i="2"/>
  <c r="N874" i="2"/>
  <c r="N888" i="2"/>
  <c r="N902" i="2"/>
  <c r="N918" i="2"/>
  <c r="N932" i="2"/>
  <c r="N946" i="2"/>
  <c r="N960" i="2"/>
  <c r="N974" i="2"/>
  <c r="N990" i="2"/>
  <c r="N1004" i="2"/>
  <c r="N1018" i="2"/>
  <c r="N1030" i="2"/>
  <c r="N1042" i="2"/>
  <c r="N1054" i="2"/>
  <c r="N1066" i="2"/>
  <c r="N1078" i="2"/>
  <c r="N1090" i="2"/>
  <c r="N1102" i="2"/>
  <c r="N1114" i="2"/>
  <c r="N1126" i="2"/>
  <c r="N1138" i="2"/>
  <c r="N1150" i="2"/>
  <c r="N1162" i="2"/>
  <c r="N1174" i="2"/>
  <c r="N1186" i="2"/>
  <c r="N1198" i="2"/>
  <c r="N1210" i="2"/>
  <c r="N1222" i="2"/>
  <c r="N1234" i="2"/>
  <c r="N1246" i="2"/>
  <c r="N1258" i="2"/>
  <c r="N1270" i="2"/>
  <c r="N1282" i="2"/>
  <c r="N1294" i="2"/>
  <c r="N1306" i="2"/>
  <c r="N1318" i="2"/>
  <c r="N1330" i="2"/>
  <c r="N1342" i="2"/>
  <c r="N1354" i="2"/>
  <c r="N1366" i="2"/>
  <c r="N1378" i="2"/>
  <c r="N1390" i="2"/>
  <c r="N1402" i="2"/>
  <c r="N1414" i="2"/>
  <c r="N1426" i="2"/>
  <c r="N1438" i="2"/>
  <c r="N1450" i="2"/>
  <c r="N14" i="2"/>
  <c r="N43" i="2"/>
  <c r="N73" i="2"/>
  <c r="N100" i="2"/>
  <c r="N128" i="2"/>
  <c r="N158" i="2"/>
  <c r="N187" i="2"/>
  <c r="N217" i="2"/>
  <c r="N244" i="2"/>
  <c r="N272" i="2"/>
  <c r="N302" i="2"/>
  <c r="N331" i="2"/>
  <c r="N361" i="2"/>
  <c r="N388" i="2"/>
  <c r="N412" i="2"/>
  <c r="N436" i="2"/>
  <c r="N460" i="2"/>
  <c r="N484" i="2"/>
  <c r="N508" i="2"/>
  <c r="N532" i="2"/>
  <c r="N556" i="2"/>
  <c r="N578" i="2"/>
  <c r="N599" i="2"/>
  <c r="N620" i="2"/>
  <c r="N637" i="2"/>
  <c r="N656" i="2"/>
  <c r="N673" i="2"/>
  <c r="N692" i="2"/>
  <c r="N709" i="2"/>
  <c r="N728" i="2"/>
  <c r="N743" i="2"/>
  <c r="N758" i="2"/>
  <c r="N775" i="2"/>
  <c r="N789" i="2"/>
  <c r="N803" i="2"/>
  <c r="N16" i="2"/>
  <c r="N20" i="2"/>
  <c r="N50" i="2"/>
  <c r="N79" i="2"/>
  <c r="N109" i="2"/>
  <c r="N136" i="2"/>
  <c r="N164" i="2"/>
  <c r="N194" i="2"/>
  <c r="N223" i="2"/>
  <c r="N253" i="2"/>
  <c r="N280" i="2"/>
  <c r="N308" i="2"/>
  <c r="N338" i="2"/>
  <c r="N367" i="2"/>
  <c r="N395" i="2"/>
  <c r="N419" i="2"/>
  <c r="N443" i="2"/>
  <c r="N467" i="2"/>
  <c r="N491" i="2"/>
  <c r="N515" i="2"/>
  <c r="N539" i="2"/>
  <c r="N563" i="2"/>
  <c r="N584" i="2"/>
  <c r="N604" i="2"/>
  <c r="N624" i="2"/>
  <c r="N643" i="2"/>
  <c r="N660" i="2"/>
  <c r="N679" i="2"/>
  <c r="N696" i="2"/>
  <c r="N715" i="2"/>
  <c r="N731" i="2"/>
  <c r="N746" i="2"/>
  <c r="N764" i="2"/>
  <c r="N778" i="2"/>
  <c r="N792" i="2"/>
  <c r="N806" i="2"/>
  <c r="N822" i="2"/>
  <c r="N836" i="2"/>
  <c r="N850" i="2"/>
  <c r="N864" i="2"/>
  <c r="N878" i="2"/>
  <c r="N894" i="2"/>
  <c r="N908" i="2"/>
  <c r="N922" i="2"/>
  <c r="N936" i="2"/>
  <c r="N950" i="2"/>
  <c r="N966" i="2"/>
  <c r="N980" i="2"/>
  <c r="N994" i="2"/>
  <c r="N1008" i="2"/>
  <c r="N1022" i="2"/>
  <c r="N1034" i="2"/>
  <c r="N1046" i="2"/>
  <c r="N1058" i="2"/>
  <c r="N1070" i="2"/>
  <c r="N1082" i="2"/>
  <c r="N1094" i="2"/>
  <c r="N1106" i="2"/>
  <c r="N1118" i="2"/>
  <c r="N1130" i="2"/>
  <c r="N1142" i="2"/>
  <c r="N1154" i="2"/>
  <c r="N25" i="2"/>
  <c r="N52" i="2"/>
  <c r="N80" i="2"/>
  <c r="N110" i="2"/>
  <c r="N139" i="2"/>
  <c r="N169" i="2"/>
  <c r="N196" i="2"/>
  <c r="N224" i="2"/>
  <c r="N254" i="2"/>
  <c r="N283" i="2"/>
  <c r="N313" i="2"/>
  <c r="N340" i="2"/>
  <c r="N368" i="2"/>
  <c r="N397" i="2"/>
  <c r="N421" i="2"/>
  <c r="N445" i="2"/>
  <c r="N469" i="2"/>
  <c r="N493" i="2"/>
  <c r="N517" i="2"/>
  <c r="N541" i="2"/>
  <c r="N565" i="2"/>
  <c r="N586" i="2"/>
  <c r="N607" i="2"/>
  <c r="N625" i="2"/>
  <c r="N644" i="2"/>
  <c r="N661" i="2"/>
  <c r="N680" i="2"/>
  <c r="N697" i="2"/>
  <c r="N716" i="2"/>
  <c r="N732" i="2"/>
  <c r="N748" i="2"/>
  <c r="N765" i="2"/>
  <c r="N779" i="2"/>
  <c r="N793" i="2"/>
  <c r="N808" i="2"/>
  <c r="N823" i="2"/>
  <c r="N837" i="2"/>
  <c r="N851" i="2"/>
  <c r="N865" i="2"/>
  <c r="N880" i="2"/>
  <c r="N895" i="2"/>
  <c r="N909" i="2"/>
  <c r="N923" i="2"/>
  <c r="N937" i="2"/>
  <c r="N952" i="2"/>
  <c r="N967" i="2"/>
  <c r="N981" i="2"/>
  <c r="N995" i="2"/>
  <c r="N1009" i="2"/>
  <c r="N1023" i="2"/>
  <c r="N1035" i="2"/>
  <c r="N1047" i="2"/>
  <c r="N1059" i="2"/>
  <c r="N1071" i="2"/>
  <c r="N1083" i="2"/>
  <c r="N1095" i="2"/>
  <c r="N1107" i="2"/>
  <c r="N1119" i="2"/>
  <c r="N1131" i="2"/>
  <c r="N1143" i="2"/>
  <c r="N1155" i="2"/>
  <c r="N1167" i="2"/>
  <c r="N1179" i="2"/>
  <c r="N1191" i="2"/>
  <c r="N1203" i="2"/>
  <c r="N1215" i="2"/>
  <c r="N1227" i="2"/>
  <c r="N1239" i="2"/>
  <c r="N1251" i="2"/>
  <c r="N1263" i="2"/>
  <c r="N1275" i="2"/>
  <c r="N1287" i="2"/>
  <c r="N1299" i="2"/>
  <c r="N1311" i="2"/>
  <c r="N1323" i="2"/>
  <c r="N1335" i="2"/>
  <c r="N1347" i="2"/>
  <c r="N1359" i="2"/>
  <c r="N1371" i="2"/>
  <c r="N1383" i="2"/>
  <c r="N1395" i="2"/>
  <c r="N1407" i="2"/>
  <c r="N1419" i="2"/>
  <c r="N1431" i="2"/>
  <c r="N1443" i="2"/>
  <c r="N26" i="2"/>
  <c r="N55" i="2"/>
  <c r="N85" i="2"/>
  <c r="N112" i="2"/>
  <c r="N140" i="2"/>
  <c r="N170" i="2"/>
  <c r="N199" i="2"/>
  <c r="N229" i="2"/>
  <c r="N256" i="2"/>
  <c r="N284" i="2"/>
  <c r="N314" i="2"/>
  <c r="N343" i="2"/>
  <c r="N373" i="2"/>
  <c r="N398" i="2"/>
  <c r="N422" i="2"/>
  <c r="N446" i="2"/>
  <c r="N470" i="2"/>
  <c r="N494" i="2"/>
  <c r="N518" i="2"/>
  <c r="N542" i="2"/>
  <c r="N566" i="2"/>
  <c r="N587" i="2"/>
  <c r="N608" i="2"/>
  <c r="N626" i="2"/>
  <c r="N646" i="2"/>
  <c r="N662" i="2"/>
  <c r="N682" i="2"/>
  <c r="N698" i="2"/>
  <c r="N718" i="2"/>
  <c r="N733" i="2"/>
  <c r="N751" i="2"/>
  <c r="N766" i="2"/>
  <c r="N780" i="2"/>
  <c r="N794" i="2"/>
  <c r="N810" i="2"/>
  <c r="N824" i="2"/>
  <c r="N838" i="2"/>
  <c r="N852" i="2"/>
  <c r="N866" i="2"/>
  <c r="N882" i="2"/>
  <c r="N896" i="2"/>
  <c r="N910" i="2"/>
  <c r="N924" i="2"/>
  <c r="N938" i="2"/>
  <c r="N954" i="2"/>
  <c r="N968" i="2"/>
  <c r="N982" i="2"/>
  <c r="N996" i="2"/>
  <c r="N1010" i="2"/>
  <c r="N1024" i="2"/>
  <c r="N1036" i="2"/>
  <c r="N1048" i="2"/>
  <c r="N1060" i="2"/>
  <c r="N1072" i="2"/>
  <c r="N1084" i="2"/>
  <c r="N1096" i="2"/>
  <c r="N1108" i="2"/>
  <c r="N1120" i="2"/>
  <c r="N1132" i="2"/>
  <c r="N1144" i="2"/>
  <c r="N1156" i="2"/>
  <c r="N1168" i="2"/>
  <c r="N1180" i="2"/>
  <c r="N1192" i="2"/>
  <c r="N1204" i="2"/>
  <c r="N1216" i="2"/>
  <c r="N1228" i="2"/>
  <c r="N1240" i="2"/>
  <c r="N1252" i="2"/>
  <c r="N1264" i="2"/>
  <c r="N1276" i="2"/>
  <c r="N1288" i="2"/>
  <c r="N1300" i="2"/>
  <c r="N1312" i="2"/>
  <c r="N1324" i="2"/>
  <c r="N1336" i="2"/>
  <c r="N1348" i="2"/>
  <c r="N1360" i="2"/>
  <c r="N1372" i="2"/>
  <c r="N1384" i="2"/>
  <c r="N1396" i="2"/>
  <c r="N1408" i="2"/>
  <c r="N1420" i="2"/>
  <c r="N1432" i="2"/>
  <c r="N1444" i="2"/>
  <c r="N19" i="2"/>
  <c r="N88" i="2"/>
  <c r="N146" i="2"/>
  <c r="N205" i="2"/>
  <c r="N260" i="2"/>
  <c r="N319" i="2"/>
  <c r="N376" i="2"/>
  <c r="N427" i="2"/>
  <c r="N475" i="2"/>
  <c r="N523" i="2"/>
  <c r="N571" i="2"/>
  <c r="N611" i="2"/>
  <c r="N648" i="2"/>
  <c r="N684" i="2"/>
  <c r="N720" i="2"/>
  <c r="N753" i="2"/>
  <c r="N782" i="2"/>
  <c r="N812" i="2"/>
  <c r="N835" i="2"/>
  <c r="N861" i="2"/>
  <c r="N885" i="2"/>
  <c r="N911" i="2"/>
  <c r="N934" i="2"/>
  <c r="N959" i="2"/>
  <c r="N984" i="2"/>
  <c r="N1007" i="2"/>
  <c r="N1029" i="2"/>
  <c r="N1049" i="2"/>
  <c r="N1065" i="2"/>
  <c r="N1085" i="2"/>
  <c r="N1101" i="2"/>
  <c r="N1121" i="2"/>
  <c r="N1137" i="2"/>
  <c r="N1157" i="2"/>
  <c r="N1172" i="2"/>
  <c r="N1188" i="2"/>
  <c r="N1205" i="2"/>
  <c r="N1220" i="2"/>
  <c r="N1236" i="2"/>
  <c r="N1253" i="2"/>
  <c r="N1268" i="2"/>
  <c r="N1284" i="2"/>
  <c r="N1301" i="2"/>
  <c r="N1316" i="2"/>
  <c r="N1332" i="2"/>
  <c r="N1349" i="2"/>
  <c r="N1364" i="2"/>
  <c r="N1380" i="2"/>
  <c r="N1397" i="2"/>
  <c r="N1412" i="2"/>
  <c r="N1428" i="2"/>
  <c r="N1445" i="2"/>
  <c r="N1458" i="2"/>
  <c r="N1470" i="2"/>
  <c r="N1482" i="2"/>
  <c r="N1494" i="2"/>
  <c r="N1506" i="2"/>
  <c r="N1518" i="2"/>
  <c r="N1530" i="2"/>
  <c r="N1542" i="2"/>
  <c r="N1554" i="2"/>
  <c r="N1566" i="2"/>
  <c r="N1578" i="2"/>
  <c r="N1590" i="2"/>
  <c r="N1602" i="2"/>
  <c r="N1614" i="2"/>
  <c r="N1626" i="2"/>
  <c r="N1638" i="2"/>
  <c r="N1650" i="2"/>
  <c r="N1662" i="2"/>
  <c r="N1674" i="2"/>
  <c r="N1686" i="2"/>
  <c r="N1698" i="2"/>
  <c r="N1710" i="2"/>
  <c r="N1722" i="2"/>
  <c r="N1734" i="2"/>
  <c r="N1746" i="2"/>
  <c r="N1758" i="2"/>
  <c r="N1770" i="2"/>
  <c r="N1782" i="2"/>
  <c r="N1794" i="2"/>
  <c r="N1806" i="2"/>
  <c r="N1818" i="2"/>
  <c r="N1830" i="2"/>
  <c r="N1842" i="2"/>
  <c r="N1854" i="2"/>
  <c r="N1866" i="2"/>
  <c r="N1878" i="2"/>
  <c r="N1890" i="2"/>
  <c r="N1902" i="2"/>
  <c r="N1914" i="2"/>
  <c r="N1926" i="2"/>
  <c r="N1938" i="2"/>
  <c r="N1950" i="2"/>
  <c r="N1962" i="2"/>
  <c r="N1974" i="2"/>
  <c r="N1986" i="2"/>
  <c r="N1998" i="2"/>
  <c r="N28" i="2"/>
  <c r="N91" i="2"/>
  <c r="N148" i="2"/>
  <c r="N206" i="2"/>
  <c r="N265" i="2"/>
  <c r="N320" i="2"/>
  <c r="N379" i="2"/>
  <c r="N428" i="2"/>
  <c r="N476" i="2"/>
  <c r="N524" i="2"/>
  <c r="N572" i="2"/>
  <c r="N613" i="2"/>
  <c r="N649" i="2"/>
  <c r="N685" i="2"/>
  <c r="N721" i="2"/>
  <c r="N754" i="2"/>
  <c r="N784" i="2"/>
  <c r="N813" i="2"/>
  <c r="N839" i="2"/>
  <c r="N862" i="2"/>
  <c r="N887" i="2"/>
  <c r="N912" i="2"/>
  <c r="N935" i="2"/>
  <c r="N961" i="2"/>
  <c r="N985" i="2"/>
  <c r="N1012" i="2"/>
  <c r="N1031" i="2"/>
  <c r="N1050" i="2"/>
  <c r="N1067" i="2"/>
  <c r="N1086" i="2"/>
  <c r="N1103" i="2"/>
  <c r="N1122" i="2"/>
  <c r="N1139" i="2"/>
  <c r="N1158" i="2"/>
  <c r="N1173" i="2"/>
  <c r="N1189" i="2"/>
  <c r="N1206" i="2"/>
  <c r="N1221" i="2"/>
  <c r="N1237" i="2"/>
  <c r="N1254" i="2"/>
  <c r="N1269" i="2"/>
  <c r="N1285" i="2"/>
  <c r="N1302" i="2"/>
  <c r="N1317" i="2"/>
  <c r="N1333" i="2"/>
  <c r="N1350" i="2"/>
  <c r="N1365" i="2"/>
  <c r="N1381" i="2"/>
  <c r="N1398" i="2"/>
  <c r="N1413" i="2"/>
  <c r="N1429" i="2"/>
  <c r="N1446" i="2"/>
  <c r="N1459" i="2"/>
  <c r="N1471" i="2"/>
  <c r="N1483" i="2"/>
  <c r="N1495" i="2"/>
  <c r="N1507" i="2"/>
  <c r="N1519" i="2"/>
  <c r="N1531" i="2"/>
  <c r="N1543" i="2"/>
  <c r="N1555" i="2"/>
  <c r="N1567" i="2"/>
  <c r="N1579" i="2"/>
  <c r="N1591" i="2"/>
  <c r="N1603" i="2"/>
  <c r="N1615" i="2"/>
  <c r="N1627" i="2"/>
  <c r="N1639" i="2"/>
  <c r="N1651" i="2"/>
  <c r="N1663" i="2"/>
  <c r="N1675" i="2"/>
  <c r="N1687" i="2"/>
  <c r="N1699" i="2"/>
  <c r="N1711" i="2"/>
  <c r="N1723" i="2"/>
  <c r="N1735" i="2"/>
  <c r="N1747" i="2"/>
  <c r="N1759" i="2"/>
  <c r="N1771" i="2"/>
  <c r="N1783" i="2"/>
  <c r="N1795" i="2"/>
  <c r="N1807" i="2"/>
  <c r="N1819" i="2"/>
  <c r="N1831" i="2"/>
  <c r="N1843" i="2"/>
  <c r="N31" i="2"/>
  <c r="N97" i="2"/>
  <c r="N152" i="2"/>
  <c r="N211" i="2"/>
  <c r="N268" i="2"/>
  <c r="N326" i="2"/>
  <c r="N385" i="2"/>
  <c r="N433" i="2"/>
  <c r="N481" i="2"/>
  <c r="N529" i="2"/>
  <c r="N575" i="2"/>
  <c r="N616" i="2"/>
  <c r="N652" i="2"/>
  <c r="N688" i="2"/>
  <c r="N724" i="2"/>
  <c r="N756" i="2"/>
  <c r="N787" i="2"/>
  <c r="N815" i="2"/>
  <c r="N840" i="2"/>
  <c r="N863" i="2"/>
  <c r="N889" i="2"/>
  <c r="N913" i="2"/>
  <c r="N940" i="2"/>
  <c r="N962" i="2"/>
  <c r="N988" i="2"/>
  <c r="N1014" i="2"/>
  <c r="N1032" i="2"/>
  <c r="N1051" i="2"/>
  <c r="N1068" i="2"/>
  <c r="N1087" i="2"/>
  <c r="N1104" i="2"/>
  <c r="N1123" i="2"/>
  <c r="N1140" i="2"/>
  <c r="N1159" i="2"/>
  <c r="N1175" i="2"/>
  <c r="N1190" i="2"/>
  <c r="N1207" i="2"/>
  <c r="N1223" i="2"/>
  <c r="N1238" i="2"/>
  <c r="N1255" i="2"/>
  <c r="N1271" i="2"/>
  <c r="N1286" i="2"/>
  <c r="N1303" i="2"/>
  <c r="N1319" i="2"/>
  <c r="N1334" i="2"/>
  <c r="N1351" i="2"/>
  <c r="N1367" i="2"/>
  <c r="N1382" i="2"/>
  <c r="N1399" i="2"/>
  <c r="N1415" i="2"/>
  <c r="N1430" i="2"/>
  <c r="N1447" i="2"/>
  <c r="N1460" i="2"/>
  <c r="N1472" i="2"/>
  <c r="N1484" i="2"/>
  <c r="N1496" i="2"/>
  <c r="N1508" i="2"/>
  <c r="N1520" i="2"/>
  <c r="N1532" i="2"/>
  <c r="N1544" i="2"/>
  <c r="N1556" i="2"/>
  <c r="N1568" i="2"/>
  <c r="N1580" i="2"/>
  <c r="N1592" i="2"/>
  <c r="N1604" i="2"/>
  <c r="N1616" i="2"/>
  <c r="N1628" i="2"/>
  <c r="N1640" i="2"/>
  <c r="N1652" i="2"/>
  <c r="N1664" i="2"/>
  <c r="N1676" i="2"/>
  <c r="N1688" i="2"/>
  <c r="N1700" i="2"/>
  <c r="N1712" i="2"/>
  <c r="N1724" i="2"/>
  <c r="N1736" i="2"/>
  <c r="N1748" i="2"/>
  <c r="N1760" i="2"/>
  <c r="N1772" i="2"/>
  <c r="N1784" i="2"/>
  <c r="N1796" i="2"/>
  <c r="N1808" i="2"/>
  <c r="N1820" i="2"/>
  <c r="N1832" i="2"/>
  <c r="N1844" i="2"/>
  <c r="N1856" i="2"/>
  <c r="N1868" i="2"/>
  <c r="N1880" i="2"/>
  <c r="N1892" i="2"/>
  <c r="N1904" i="2"/>
  <c r="N1916" i="2"/>
  <c r="N1928" i="2"/>
  <c r="N1940" i="2"/>
  <c r="N1952" i="2"/>
  <c r="N1964" i="2"/>
  <c r="N1976" i="2"/>
  <c r="N1988" i="2"/>
  <c r="N2000" i="2"/>
  <c r="N56" i="2"/>
  <c r="N116" i="2"/>
  <c r="N175" i="2"/>
  <c r="N232" i="2"/>
  <c r="N290" i="2"/>
  <c r="N349" i="2"/>
  <c r="N403" i="2"/>
  <c r="N451" i="2"/>
  <c r="N499" i="2"/>
  <c r="N547" i="2"/>
  <c r="N590" i="2"/>
  <c r="N631" i="2"/>
  <c r="N667" i="2"/>
  <c r="N703" i="2"/>
  <c r="N736" i="2"/>
  <c r="N768" i="2"/>
  <c r="N798" i="2"/>
  <c r="N825" i="2"/>
  <c r="N848" i="2"/>
  <c r="N873" i="2"/>
  <c r="N898" i="2"/>
  <c r="N921" i="2"/>
  <c r="N947" i="2"/>
  <c r="N971" i="2"/>
  <c r="N997" i="2"/>
  <c r="N1020" i="2"/>
  <c r="N1039" i="2"/>
  <c r="N1056" i="2"/>
  <c r="N1075" i="2"/>
  <c r="N1092" i="2"/>
  <c r="N1111" i="2"/>
  <c r="N1128" i="2"/>
  <c r="N1147" i="2"/>
  <c r="N1164" i="2"/>
  <c r="N1181" i="2"/>
  <c r="N1196" i="2"/>
  <c r="N1212" i="2"/>
  <c r="N1229" i="2"/>
  <c r="N1244" i="2"/>
  <c r="N1260" i="2"/>
  <c r="N1277" i="2"/>
  <c r="N1292" i="2"/>
  <c r="N1308" i="2"/>
  <c r="N1325" i="2"/>
  <c r="N1340" i="2"/>
  <c r="N1356" i="2"/>
  <c r="N1373" i="2"/>
  <c r="N1388" i="2"/>
  <c r="N1404" i="2"/>
  <c r="N1421" i="2"/>
  <c r="N1436" i="2"/>
  <c r="N1452" i="2"/>
  <c r="N1464" i="2"/>
  <c r="N1476" i="2"/>
  <c r="N1488" i="2"/>
  <c r="N1500" i="2"/>
  <c r="N1512" i="2"/>
  <c r="N1524" i="2"/>
  <c r="N1536" i="2"/>
  <c r="N1548" i="2"/>
  <c r="N1560" i="2"/>
  <c r="N1572" i="2"/>
  <c r="N1584" i="2"/>
  <c r="N1596" i="2"/>
  <c r="N1608" i="2"/>
  <c r="N1620" i="2"/>
  <c r="N1632" i="2"/>
  <c r="N1644" i="2"/>
  <c r="N1656" i="2"/>
  <c r="N1668" i="2"/>
  <c r="N1680" i="2"/>
  <c r="N1692" i="2"/>
  <c r="N1704" i="2"/>
  <c r="N1716" i="2"/>
  <c r="N1728" i="2"/>
  <c r="N1740" i="2"/>
  <c r="N1752" i="2"/>
  <c r="N1764" i="2"/>
  <c r="N1776" i="2"/>
  <c r="N1788" i="2"/>
  <c r="N1800" i="2"/>
  <c r="N1812" i="2"/>
  <c r="N1824" i="2"/>
  <c r="N1836" i="2"/>
  <c r="N1848" i="2"/>
  <c r="N61" i="2"/>
  <c r="N121" i="2"/>
  <c r="N176" i="2"/>
  <c r="N235" i="2"/>
  <c r="N292" i="2"/>
  <c r="N350" i="2"/>
  <c r="N404" i="2"/>
  <c r="N452" i="2"/>
  <c r="N500" i="2"/>
  <c r="N548" i="2"/>
  <c r="N592" i="2"/>
  <c r="N632" i="2"/>
  <c r="N668" i="2"/>
  <c r="N704" i="2"/>
  <c r="N739" i="2"/>
  <c r="N769" i="2"/>
  <c r="N799" i="2"/>
  <c r="N826" i="2"/>
  <c r="N849" i="2"/>
  <c r="N875" i="2"/>
  <c r="N899" i="2"/>
  <c r="N925" i="2"/>
  <c r="N948" i="2"/>
  <c r="N973" i="2"/>
  <c r="N998" i="2"/>
  <c r="N1021" i="2"/>
  <c r="N1040" i="2"/>
  <c r="N1057" i="2"/>
  <c r="N1076" i="2"/>
  <c r="N1093" i="2"/>
  <c r="N1112" i="2"/>
  <c r="N1129" i="2"/>
  <c r="N1148" i="2"/>
  <c r="N1165" i="2"/>
  <c r="N1182" i="2"/>
  <c r="N1197" i="2"/>
  <c r="N1213" i="2"/>
  <c r="N1230" i="2"/>
  <c r="N1245" i="2"/>
  <c r="N1261" i="2"/>
  <c r="N1278" i="2"/>
  <c r="N1293" i="2"/>
  <c r="N1309" i="2"/>
  <c r="N1326" i="2"/>
  <c r="N1341" i="2"/>
  <c r="N1357" i="2"/>
  <c r="N1374" i="2"/>
  <c r="N1389" i="2"/>
  <c r="N1405" i="2"/>
  <c r="N1422" i="2"/>
  <c r="N1437" i="2"/>
  <c r="N1453" i="2"/>
  <c r="N1465" i="2"/>
  <c r="N1477" i="2"/>
  <c r="N1489" i="2"/>
  <c r="N1501" i="2"/>
  <c r="N1513" i="2"/>
  <c r="N1525" i="2"/>
  <c r="N1537" i="2"/>
  <c r="N1549" i="2"/>
  <c r="N1561" i="2"/>
  <c r="N1573" i="2"/>
  <c r="N1585" i="2"/>
  <c r="N1597" i="2"/>
  <c r="N1609" i="2"/>
  <c r="N1621" i="2"/>
  <c r="N1633" i="2"/>
  <c r="N1645" i="2"/>
  <c r="N1657" i="2"/>
  <c r="N1669" i="2"/>
  <c r="N1681" i="2"/>
  <c r="N1693" i="2"/>
  <c r="N1705" i="2"/>
  <c r="N1717" i="2"/>
  <c r="N1729" i="2"/>
  <c r="N1741" i="2"/>
  <c r="N1753" i="2"/>
  <c r="N1765" i="2"/>
  <c r="N1777" i="2"/>
  <c r="N1789" i="2"/>
  <c r="N1801" i="2"/>
  <c r="N1813" i="2"/>
  <c r="N1825" i="2"/>
  <c r="N1837" i="2"/>
  <c r="N1849" i="2"/>
  <c r="N32" i="2"/>
  <c r="N134" i="2"/>
  <c r="N241" i="2"/>
  <c r="N337" i="2"/>
  <c r="N424" i="2"/>
  <c r="N511" i="2"/>
  <c r="N589" i="2"/>
  <c r="N658" i="2"/>
  <c r="N712" i="2"/>
  <c r="N772" i="2"/>
  <c r="N818" i="2"/>
  <c r="N859" i="2"/>
  <c r="N904" i="2"/>
  <c r="N945" i="2"/>
  <c r="N991" i="2"/>
  <c r="N1027" i="2"/>
  <c r="N1061" i="2"/>
  <c r="N1089" i="2"/>
  <c r="N1117" i="2"/>
  <c r="N1151" i="2"/>
  <c r="N1178" i="2"/>
  <c r="N1208" i="2"/>
  <c r="N1233" i="2"/>
  <c r="N1262" i="2"/>
  <c r="N1290" i="2"/>
  <c r="N1315" i="2"/>
  <c r="N1344" i="2"/>
  <c r="N1370" i="2"/>
  <c r="N1400" i="2"/>
  <c r="N1425" i="2"/>
  <c r="N1454" i="2"/>
  <c r="N1474" i="2"/>
  <c r="N1493" i="2"/>
  <c r="N1515" i="2"/>
  <c r="N1535" i="2"/>
  <c r="N1557" i="2"/>
  <c r="N1576" i="2"/>
  <c r="N1598" i="2"/>
  <c r="N1618" i="2"/>
  <c r="N1637" i="2"/>
  <c r="N1659" i="2"/>
  <c r="N1679" i="2"/>
  <c r="N1701" i="2"/>
  <c r="N1720" i="2"/>
  <c r="N1742" i="2"/>
  <c r="N1762" i="2"/>
  <c r="N1781" i="2"/>
  <c r="N1803" i="2"/>
  <c r="N1823" i="2"/>
  <c r="N1845" i="2"/>
  <c r="N1861" i="2"/>
  <c r="N1875" i="2"/>
  <c r="N1889" i="2"/>
  <c r="N1905" i="2"/>
  <c r="N1919" i="2"/>
  <c r="N1933" i="2"/>
  <c r="N1947" i="2"/>
  <c r="N1961" i="2"/>
  <c r="N1977" i="2"/>
  <c r="N1991" i="2"/>
  <c r="N44" i="2"/>
  <c r="N145" i="2"/>
  <c r="N247" i="2"/>
  <c r="N344" i="2"/>
  <c r="N439" i="2"/>
  <c r="N512" i="2"/>
  <c r="N596" i="2"/>
  <c r="N659" i="2"/>
  <c r="N719" i="2"/>
  <c r="N776" i="2"/>
  <c r="N820" i="2"/>
  <c r="N868" i="2"/>
  <c r="N906" i="2"/>
  <c r="N949" i="2"/>
  <c r="N992" i="2"/>
  <c r="N1028" i="2"/>
  <c r="N1062" i="2"/>
  <c r="N1091" i="2"/>
  <c r="N1124" i="2"/>
  <c r="N1152" i="2"/>
  <c r="N1183" i="2"/>
  <c r="N1209" i="2"/>
  <c r="N1235" i="2"/>
  <c r="N1265" i="2"/>
  <c r="N49" i="2"/>
  <c r="N160" i="2"/>
  <c r="N248" i="2"/>
  <c r="N355" i="2"/>
  <c r="N440" i="2"/>
  <c r="N520" i="2"/>
  <c r="N601" i="2"/>
  <c r="N664" i="2"/>
  <c r="N729" i="2"/>
  <c r="N777" i="2"/>
  <c r="N827" i="2"/>
  <c r="N870" i="2"/>
  <c r="N907" i="2"/>
  <c r="N955" i="2"/>
  <c r="N993" i="2"/>
  <c r="N1033" i="2"/>
  <c r="N1063" i="2"/>
  <c r="N1097" i="2"/>
  <c r="N1125" i="2"/>
  <c r="N1153" i="2"/>
  <c r="N1184" i="2"/>
  <c r="N1211" i="2"/>
  <c r="N1241" i="2"/>
  <c r="N1266" i="2"/>
  <c r="N1295" i="2"/>
  <c r="N1321" i="2"/>
  <c r="N1346" i="2"/>
  <c r="N1376" i="2"/>
  <c r="N1403" i="2"/>
  <c r="N1433" i="2"/>
  <c r="N1456" i="2"/>
  <c r="N1478" i="2"/>
  <c r="N1498" i="2"/>
  <c r="N1517" i="2"/>
  <c r="N1539" i="2"/>
  <c r="N1559" i="2"/>
  <c r="N1581" i="2"/>
  <c r="N1600" i="2"/>
  <c r="N1622" i="2"/>
  <c r="N1642" i="2"/>
  <c r="N1661" i="2"/>
  <c r="N1683" i="2"/>
  <c r="N1703" i="2"/>
  <c r="N1725" i="2"/>
  <c r="N1744" i="2"/>
  <c r="N1766" i="2"/>
  <c r="N1786" i="2"/>
  <c r="N1805" i="2"/>
  <c r="N1827" i="2"/>
  <c r="N1847" i="2"/>
  <c r="N1863" i="2"/>
  <c r="N1877" i="2"/>
  <c r="N1893" i="2"/>
  <c r="N1907" i="2"/>
  <c r="N1921" i="2"/>
  <c r="N1935" i="2"/>
  <c r="N1949" i="2"/>
  <c r="N1965" i="2"/>
  <c r="N1979" i="2"/>
  <c r="N1993" i="2"/>
  <c r="N62" i="2"/>
  <c r="N163" i="2"/>
  <c r="N259" i="2"/>
  <c r="N362" i="2"/>
  <c r="N448" i="2"/>
  <c r="N535" i="2"/>
  <c r="N602" i="2"/>
  <c r="N671" i="2"/>
  <c r="N730" i="2"/>
  <c r="N781" i="2"/>
  <c r="N829" i="2"/>
  <c r="N871" i="2"/>
  <c r="N916" i="2"/>
  <c r="N956" i="2"/>
  <c r="N1000" i="2"/>
  <c r="N1037" i="2"/>
  <c r="N1064" i="2"/>
  <c r="N1098" i="2"/>
  <c r="N1127" i="2"/>
  <c r="N1160" i="2"/>
  <c r="N1185" i="2"/>
  <c r="N1214" i="2"/>
  <c r="N1242" i="2"/>
  <c r="N1267" i="2"/>
  <c r="N1296" i="2"/>
  <c r="N1322" i="2"/>
  <c r="N1352" i="2"/>
  <c r="N1377" i="2"/>
  <c r="N1406" i="2"/>
  <c r="N1434" i="2"/>
  <c r="N1457" i="2"/>
  <c r="N1479" i="2"/>
  <c r="N1499" i="2"/>
  <c r="N1521" i="2"/>
  <c r="N1540" i="2"/>
  <c r="N1562" i="2"/>
  <c r="N1582" i="2"/>
  <c r="N1601" i="2"/>
  <c r="N1623" i="2"/>
  <c r="N1643" i="2"/>
  <c r="N1665" i="2"/>
  <c r="N1684" i="2"/>
  <c r="N1706" i="2"/>
  <c r="N1726" i="2"/>
  <c r="N1745" i="2"/>
  <c r="N1767" i="2"/>
  <c r="N1787" i="2"/>
  <c r="N1809" i="2"/>
  <c r="N1828" i="2"/>
  <c r="N1850" i="2"/>
  <c r="N1864" i="2"/>
  <c r="N1879" i="2"/>
  <c r="N1894" i="2"/>
  <c r="N1908" i="2"/>
  <c r="N1922" i="2"/>
  <c r="N1936" i="2"/>
  <c r="N1951" i="2"/>
  <c r="N1966" i="2"/>
  <c r="N1980" i="2"/>
  <c r="N1994" i="2"/>
  <c r="N86" i="2"/>
  <c r="N188" i="2"/>
  <c r="N289" i="2"/>
  <c r="N391" i="2"/>
  <c r="N464" i="2"/>
  <c r="N553" i="2"/>
  <c r="N623" i="2"/>
  <c r="N683" i="2"/>
  <c r="N744" i="2"/>
  <c r="N796" i="2"/>
  <c r="N841" i="2"/>
  <c r="N883" i="2"/>
  <c r="N926" i="2"/>
  <c r="N969" i="2"/>
  <c r="N1006" i="2"/>
  <c r="N1043" i="2"/>
  <c r="N1074" i="2"/>
  <c r="N1105" i="2"/>
  <c r="N1135" i="2"/>
  <c r="N1166" i="2"/>
  <c r="N1194" i="2"/>
  <c r="N1219" i="2"/>
  <c r="N1248" i="2"/>
  <c r="N1274" i="2"/>
  <c r="N1304" i="2"/>
  <c r="N1329" i="2"/>
  <c r="N1358" i="2"/>
  <c r="N1386" i="2"/>
  <c r="N1411" i="2"/>
  <c r="N1440" i="2"/>
  <c r="N1463" i="2"/>
  <c r="N1485" i="2"/>
  <c r="N1504" i="2"/>
  <c r="N1526" i="2"/>
  <c r="N1546" i="2"/>
  <c r="N1565" i="2"/>
  <c r="N1587" i="2"/>
  <c r="N1607" i="2"/>
  <c r="N1629" i="2"/>
  <c r="N1648" i="2"/>
  <c r="N1670" i="2"/>
  <c r="N1690" i="2"/>
  <c r="N1709" i="2"/>
  <c r="N1731" i="2"/>
  <c r="N1751" i="2"/>
  <c r="N1773" i="2"/>
  <c r="N1792" i="2"/>
  <c r="N1814" i="2"/>
  <c r="N1834" i="2"/>
  <c r="N103" i="2"/>
  <c r="N193" i="2"/>
  <c r="N296" i="2"/>
  <c r="N392" i="2"/>
  <c r="N472" i="2"/>
  <c r="N559" i="2"/>
  <c r="N628" i="2"/>
  <c r="N694" i="2"/>
  <c r="N745" i="2"/>
  <c r="N801" i="2"/>
  <c r="N844" i="2"/>
  <c r="N884" i="2"/>
  <c r="N928" i="2"/>
  <c r="N970" i="2"/>
  <c r="N1015" i="2"/>
  <c r="N1044" i="2"/>
  <c r="N1077" i="2"/>
  <c r="N1109" i="2"/>
  <c r="N1136" i="2"/>
  <c r="N1169" i="2"/>
  <c r="N1195" i="2"/>
  <c r="N1224" i="2"/>
  <c r="N1249" i="2"/>
  <c r="N1279" i="2"/>
  <c r="N1305" i="2"/>
  <c r="N1331" i="2"/>
  <c r="N104" i="2"/>
  <c r="N200" i="2"/>
  <c r="N304" i="2"/>
  <c r="N400" i="2"/>
  <c r="N487" i="2"/>
  <c r="N560" i="2"/>
  <c r="N635" i="2"/>
  <c r="N695" i="2"/>
  <c r="N752" i="2"/>
  <c r="N804" i="2"/>
  <c r="N847" i="2"/>
  <c r="N890" i="2"/>
  <c r="N931" i="2"/>
  <c r="N976" i="2"/>
  <c r="N1017" i="2"/>
  <c r="N1045" i="2"/>
  <c r="N1079" i="2"/>
  <c r="N1110" i="2"/>
  <c r="N1141" i="2"/>
  <c r="N1170" i="2"/>
  <c r="N1199" i="2"/>
  <c r="N1225" i="2"/>
  <c r="N1250" i="2"/>
  <c r="N1280" i="2"/>
  <c r="N1307" i="2"/>
  <c r="N1337" i="2"/>
  <c r="N1362" i="2"/>
  <c r="N1391" i="2"/>
  <c r="N1417" i="2"/>
  <c r="N1442" i="2"/>
  <c r="N1467" i="2"/>
  <c r="N1487" i="2"/>
  <c r="N1509" i="2"/>
  <c r="N1528" i="2"/>
  <c r="N1550" i="2"/>
  <c r="N1570" i="2"/>
  <c r="N1589" i="2"/>
  <c r="N1611" i="2"/>
  <c r="N1631" i="2"/>
  <c r="N1653" i="2"/>
  <c r="N1672" i="2"/>
  <c r="N1694" i="2"/>
  <c r="N1714" i="2"/>
  <c r="N1733" i="2"/>
  <c r="N1755" i="2"/>
  <c r="N1775" i="2"/>
  <c r="N1797" i="2"/>
  <c r="N1816" i="2"/>
  <c r="N1838" i="2"/>
  <c r="N1857" i="2"/>
  <c r="N1871" i="2"/>
  <c r="N1885" i="2"/>
  <c r="N1899" i="2"/>
  <c r="N1913" i="2"/>
  <c r="N1929" i="2"/>
  <c r="N1943" i="2"/>
  <c r="N1957" i="2"/>
  <c r="N1971" i="2"/>
  <c r="N1985" i="2"/>
  <c r="N2001" i="2"/>
  <c r="N74" i="2"/>
  <c r="N307" i="2"/>
  <c r="N505" i="2"/>
  <c r="N676" i="2"/>
  <c r="N811" i="2"/>
  <c r="N919" i="2"/>
  <c r="N1019" i="2"/>
  <c r="N1088" i="2"/>
  <c r="N1163" i="2"/>
  <c r="N1231" i="2"/>
  <c r="N1291" i="2"/>
  <c r="N1345" i="2"/>
  <c r="N1393" i="2"/>
  <c r="N1441" i="2"/>
  <c r="N1480" i="2"/>
  <c r="N1514" i="2"/>
  <c r="N1551" i="2"/>
  <c r="N1586" i="2"/>
  <c r="N1619" i="2"/>
  <c r="N1655" i="2"/>
  <c r="N1691" i="2"/>
  <c r="N1727" i="2"/>
  <c r="N1761" i="2"/>
  <c r="N1798" i="2"/>
  <c r="N1833" i="2"/>
  <c r="N1860" i="2"/>
  <c r="N1883" i="2"/>
  <c r="N1903" i="2"/>
  <c r="N1925" i="2"/>
  <c r="N1946" i="2"/>
  <c r="N1969" i="2"/>
  <c r="N1990" i="2"/>
  <c r="N76" i="2"/>
  <c r="N316" i="2"/>
  <c r="N536" i="2"/>
  <c r="N700" i="2"/>
  <c r="N817" i="2"/>
  <c r="N920" i="2"/>
  <c r="N1025" i="2"/>
  <c r="N1099" i="2"/>
  <c r="N1171" i="2"/>
  <c r="N1232" i="2"/>
  <c r="N1297" i="2"/>
  <c r="N1353" i="2"/>
  <c r="N1394" i="2"/>
  <c r="N1448" i="2"/>
  <c r="N1481" i="2"/>
  <c r="N1516" i="2"/>
  <c r="N1552" i="2"/>
  <c r="N1588" i="2"/>
  <c r="N1624" i="2"/>
  <c r="N1658" i="2"/>
  <c r="N1695" i="2"/>
  <c r="N1730" i="2"/>
  <c r="N1763" i="2"/>
  <c r="N1799" i="2"/>
  <c r="N1835" i="2"/>
  <c r="N1862" i="2"/>
  <c r="N1884" i="2"/>
  <c r="N1906" i="2"/>
  <c r="N1927" i="2"/>
  <c r="N1948" i="2"/>
  <c r="N1970" i="2"/>
  <c r="N1992" i="2"/>
  <c r="N115" i="2"/>
  <c r="N332" i="2"/>
  <c r="N544" i="2"/>
  <c r="N707" i="2"/>
  <c r="N832" i="2"/>
  <c r="N933" i="2"/>
  <c r="N1026" i="2"/>
  <c r="N1100" i="2"/>
  <c r="N1176" i="2"/>
  <c r="N1243" i="2"/>
  <c r="N1298" i="2"/>
  <c r="N1355" i="2"/>
  <c r="N1401" i="2"/>
  <c r="N1449" i="2"/>
  <c r="N1486" i="2"/>
  <c r="N1522" i="2"/>
  <c r="N1553" i="2"/>
  <c r="N1593" i="2"/>
  <c r="N1625" i="2"/>
  <c r="N1660" i="2"/>
  <c r="N1696" i="2"/>
  <c r="N1732" i="2"/>
  <c r="N1768" i="2"/>
  <c r="N1802" i="2"/>
  <c r="N1839" i="2"/>
  <c r="N1865" i="2"/>
  <c r="N1886" i="2"/>
  <c r="N1909" i="2"/>
  <c r="N1930" i="2"/>
  <c r="N1953" i="2"/>
  <c r="N1972" i="2"/>
  <c r="N1995" i="2"/>
  <c r="N124" i="2"/>
  <c r="N364" i="2"/>
  <c r="N568" i="2"/>
  <c r="N710" i="2"/>
  <c r="N834" i="2"/>
  <c r="N942" i="2"/>
  <c r="N1038" i="2"/>
  <c r="N1113" i="2"/>
  <c r="N1177" i="2"/>
  <c r="N1247" i="2"/>
  <c r="N1310" i="2"/>
  <c r="N1361" i="2"/>
  <c r="N1409" i="2"/>
  <c r="N1451" i="2"/>
  <c r="N1490" i="2"/>
  <c r="N1523" i="2"/>
  <c r="N1558" i="2"/>
  <c r="N1594" i="2"/>
  <c r="N1630" i="2"/>
  <c r="N1666" i="2"/>
  <c r="N1697" i="2"/>
  <c r="N1737" i="2"/>
  <c r="N1769" i="2"/>
  <c r="N1804" i="2"/>
  <c r="N1840" i="2"/>
  <c r="N1867" i="2"/>
  <c r="N1887" i="2"/>
  <c r="N1910" i="2"/>
  <c r="N1931" i="2"/>
  <c r="N1954" i="2"/>
  <c r="N1973" i="2"/>
  <c r="N1996" i="2"/>
  <c r="N133" i="2"/>
  <c r="N374" i="2"/>
  <c r="N580" i="2"/>
  <c r="N734" i="2"/>
  <c r="N853" i="2"/>
  <c r="N943" i="2"/>
  <c r="N1041" i="2"/>
  <c r="N1115" i="2"/>
  <c r="N1187" i="2"/>
  <c r="N1256" i="2"/>
  <c r="N1313" i="2"/>
  <c r="N1363" i="2"/>
  <c r="N1410" i="2"/>
  <c r="N1455" i="2"/>
  <c r="N1491" i="2"/>
  <c r="N1527" i="2"/>
  <c r="N1563" i="2"/>
  <c r="N1595" i="2"/>
  <c r="N1634" i="2"/>
  <c r="N1667" i="2"/>
  <c r="N1702" i="2"/>
  <c r="N1738" i="2"/>
  <c r="N1774" i="2"/>
  <c r="N1810" i="2"/>
  <c r="N1841" i="2"/>
  <c r="N1869" i="2"/>
  <c r="N1888" i="2"/>
  <c r="N182" i="2"/>
  <c r="N415" i="2"/>
  <c r="N610" i="2"/>
  <c r="N760" i="2"/>
  <c r="N856" i="2"/>
  <c r="N964" i="2"/>
  <c r="N1053" i="2"/>
  <c r="N1133" i="2"/>
  <c r="N1200" i="2"/>
  <c r="N1259" i="2"/>
  <c r="N1320" i="2"/>
  <c r="N1369" i="2"/>
  <c r="N1418" i="2"/>
  <c r="N1462" i="2"/>
  <c r="N1497" i="2"/>
  <c r="N1533" i="2"/>
  <c r="N1569" i="2"/>
  <c r="N1605" i="2"/>
  <c r="N1636" i="2"/>
  <c r="N1673" i="2"/>
  <c r="N1708" i="2"/>
  <c r="N1743" i="2"/>
  <c r="N1779" i="2"/>
  <c r="N1815" i="2"/>
  <c r="N1851" i="2"/>
  <c r="N1872" i="2"/>
  <c r="N1895" i="2"/>
  <c r="N1915" i="2"/>
  <c r="N1937" i="2"/>
  <c r="N1958" i="2"/>
  <c r="N1981" i="2"/>
  <c r="N2" i="2"/>
  <c r="N218" i="2"/>
  <c r="N416" i="2"/>
  <c r="N622" i="2"/>
  <c r="N763" i="2"/>
  <c r="N876" i="2"/>
  <c r="N978" i="2"/>
  <c r="N1055" i="2"/>
  <c r="N1134" i="2"/>
  <c r="N1201" i="2"/>
  <c r="N1272" i="2"/>
  <c r="N1327" i="2"/>
  <c r="N1375" i="2"/>
  <c r="N1423" i="2"/>
  <c r="N1466" i="2"/>
  <c r="N1502" i="2"/>
  <c r="N1534" i="2"/>
  <c r="N1571" i="2"/>
  <c r="N1606" i="2"/>
  <c r="N1641" i="2"/>
  <c r="N1677" i="2"/>
  <c r="N1713" i="2"/>
  <c r="N1749" i="2"/>
  <c r="N1780" i="2"/>
  <c r="N1817" i="2"/>
  <c r="N1852" i="2"/>
  <c r="N1873" i="2"/>
  <c r="N1896" i="2"/>
  <c r="N1917" i="2"/>
  <c r="N1939" i="2"/>
  <c r="N1959" i="2"/>
  <c r="N1982" i="2"/>
  <c r="N220" i="2"/>
  <c r="N457" i="2"/>
  <c r="N638" i="2"/>
  <c r="N767" i="2"/>
  <c r="N877" i="2"/>
  <c r="N979" i="2"/>
  <c r="N1069" i="2"/>
  <c r="N1145" i="2"/>
  <c r="N1202" i="2"/>
  <c r="N1273" i="2"/>
  <c r="N1328" i="2"/>
  <c r="N1379" i="2"/>
  <c r="N1424" i="2"/>
  <c r="N1468" i="2"/>
  <c r="N1503" i="2"/>
  <c r="N1538" i="2"/>
  <c r="N1574" i="2"/>
  <c r="N1610" i="2"/>
  <c r="N1646" i="2"/>
  <c r="N1678" i="2"/>
  <c r="N1715" i="2"/>
  <c r="N1750" i="2"/>
  <c r="N1785" i="2"/>
  <c r="N1821" i="2"/>
  <c r="N1853" i="2"/>
  <c r="N1874" i="2"/>
  <c r="N1897" i="2"/>
  <c r="N1918" i="2"/>
  <c r="N1941" i="2"/>
  <c r="N1960" i="2"/>
  <c r="N1983" i="2"/>
  <c r="N172" i="2"/>
  <c r="N741" i="2"/>
  <c r="N1052" i="2"/>
  <c r="N1257" i="2"/>
  <c r="N1416" i="2"/>
  <c r="N1529" i="2"/>
  <c r="N1635" i="2"/>
  <c r="N1739" i="2"/>
  <c r="N1846" i="2"/>
  <c r="N1911" i="2"/>
  <c r="N1963" i="2"/>
  <c r="N230" i="2"/>
  <c r="N790" i="2"/>
  <c r="N1073" i="2"/>
  <c r="N1281" i="2"/>
  <c r="N1427" i="2"/>
  <c r="N1541" i="2"/>
  <c r="N1647" i="2"/>
  <c r="N1754" i="2"/>
  <c r="N1855" i="2"/>
  <c r="N1912" i="2"/>
  <c r="N1967" i="2"/>
  <c r="N277" i="2"/>
  <c r="N791" i="2"/>
  <c r="N1080" i="2"/>
  <c r="N1283" i="2"/>
  <c r="N1435" i="2"/>
  <c r="N1545" i="2"/>
  <c r="N1649" i="2"/>
  <c r="N1756" i="2"/>
  <c r="N1858" i="2"/>
  <c r="N1920" i="2"/>
  <c r="N1968" i="2"/>
  <c r="N488" i="2"/>
  <c r="N897" i="2"/>
  <c r="N1149" i="2"/>
  <c r="N1339" i="2"/>
  <c r="N1473" i="2"/>
  <c r="N1577" i="2"/>
  <c r="N1685" i="2"/>
  <c r="N1791" i="2"/>
  <c r="N1881" i="2"/>
  <c r="N1934" i="2"/>
  <c r="N1987" i="2"/>
  <c r="N496" i="2"/>
  <c r="N901" i="2"/>
  <c r="N1161" i="2"/>
  <c r="N1343" i="2"/>
  <c r="N1475" i="2"/>
  <c r="N1583" i="2"/>
  <c r="N1689" i="2"/>
  <c r="N1793" i="2"/>
  <c r="N1882" i="2"/>
  <c r="N1942" i="2"/>
  <c r="N1989" i="2"/>
  <c r="N583" i="2"/>
  <c r="N957" i="2"/>
  <c r="N1193" i="2"/>
  <c r="N1368" i="2"/>
  <c r="N1492" i="2"/>
  <c r="N1599" i="2"/>
  <c r="N1707" i="2"/>
  <c r="N1811" i="2"/>
  <c r="N1891" i="2"/>
  <c r="N1944" i="2"/>
  <c r="N1997" i="2"/>
  <c r="N640" i="2"/>
  <c r="N983" i="2"/>
  <c r="N1217" i="2"/>
  <c r="N1385" i="2"/>
  <c r="N1505" i="2"/>
  <c r="N1612" i="2"/>
  <c r="N1718" i="2"/>
  <c r="N1822" i="2"/>
  <c r="N1898" i="2"/>
  <c r="N1945" i="2"/>
  <c r="N1999" i="2"/>
  <c r="M1984" i="2"/>
  <c r="M1967" i="2"/>
  <c r="M1951" i="2"/>
  <c r="M1931" i="2"/>
  <c r="M1915" i="2"/>
  <c r="M1899" i="2"/>
  <c r="M1878" i="2"/>
  <c r="M1854" i="2"/>
  <c r="M1833" i="2"/>
  <c r="M1811" i="2"/>
  <c r="M1787" i="2"/>
  <c r="M1767" i="2"/>
  <c r="M1743" i="2"/>
  <c r="M1715" i="2"/>
  <c r="M1684" i="2"/>
  <c r="M1651" i="2"/>
  <c r="M1623" i="2"/>
  <c r="M1591" i="2"/>
  <c r="M1558" i="2"/>
  <c r="M1527" i="2"/>
  <c r="M1494" i="2"/>
  <c r="M1466" i="2"/>
  <c r="M1434" i="2"/>
  <c r="M1398" i="2"/>
  <c r="M1364" i="2"/>
  <c r="M1327" i="2"/>
  <c r="M1286" i="2"/>
  <c r="M1238" i="2"/>
  <c r="M1189" i="2"/>
  <c r="M1138" i="2"/>
  <c r="M1084" i="2"/>
  <c r="M1033" i="2"/>
  <c r="M980" i="2"/>
  <c r="M924" i="2"/>
  <c r="M870" i="2"/>
  <c r="M798" i="2"/>
  <c r="M731" i="2"/>
  <c r="M642" i="2"/>
  <c r="M547" i="2"/>
  <c r="M460" i="2"/>
  <c r="M366" i="2"/>
  <c r="M281" i="2"/>
  <c r="M194" i="2"/>
  <c r="M85" i="2"/>
  <c r="N1956" i="2"/>
  <c r="N1790" i="2"/>
  <c r="N1547" i="2"/>
  <c r="N1218" i="2"/>
  <c r="N409" i="2"/>
  <c r="M2" i="2"/>
  <c r="M1983" i="2"/>
  <c r="M1966" i="2"/>
  <c r="M1950" i="2"/>
  <c r="M1930" i="2"/>
  <c r="M1914" i="2"/>
  <c r="M1898" i="2"/>
  <c r="M1877" i="2"/>
  <c r="M1853" i="2"/>
  <c r="M1832" i="2"/>
  <c r="M1808" i="2"/>
  <c r="M1786" i="2"/>
  <c r="M1762" i="2"/>
  <c r="M1742" i="2"/>
  <c r="M1714" i="2"/>
  <c r="M1683" i="2"/>
  <c r="M1650" i="2"/>
  <c r="M1618" i="2"/>
  <c r="M1586" i="2"/>
  <c r="M1557" i="2"/>
  <c r="M1526" i="2"/>
  <c r="M1493" i="2"/>
  <c r="M1461" i="2"/>
  <c r="M1428" i="2"/>
  <c r="M1397" i="2"/>
  <c r="M1363" i="2"/>
  <c r="M1326" i="2"/>
  <c r="M1280" i="2"/>
  <c r="M1230" i="2"/>
  <c r="M1188" i="2"/>
  <c r="M1137" i="2"/>
  <c r="M1081" i="2"/>
  <c r="M1027" i="2"/>
  <c r="M972" i="2"/>
  <c r="M922" i="2"/>
  <c r="M869" i="2"/>
  <c r="M797" i="2"/>
  <c r="M719" i="2"/>
  <c r="M627" i="2"/>
  <c r="M546" i="2"/>
  <c r="M453" i="2"/>
  <c r="M359" i="2"/>
  <c r="M271" i="2"/>
  <c r="M176" i="2"/>
  <c r="M75" i="2"/>
  <c r="N1955" i="2"/>
  <c r="N1778" i="2"/>
  <c r="N1511" i="2"/>
  <c r="N1146" i="2"/>
  <c r="N278" i="2"/>
  <c r="AE8" i="2" l="1"/>
  <c r="AE7" i="2"/>
</calcChain>
</file>

<file path=xl/sharedStrings.xml><?xml version="1.0" encoding="utf-8"?>
<sst xmlns="http://schemas.openxmlformats.org/spreadsheetml/2006/main" count="2060" uniqueCount="54">
  <si>
    <t>loan_id</t>
  </si>
  <si>
    <t>EAD</t>
  </si>
  <si>
    <t>recovery_rate</t>
  </si>
  <si>
    <t>default_flag</t>
  </si>
  <si>
    <t>industry</t>
  </si>
  <si>
    <t>secured_flag</t>
  </si>
  <si>
    <t>debt_ratio</t>
  </si>
  <si>
    <t>ROA</t>
  </si>
  <si>
    <t>recovery_amount</t>
  </si>
  <si>
    <t>LGD</t>
  </si>
  <si>
    <t>Retail</t>
  </si>
  <si>
    <t>Services</t>
  </si>
  <si>
    <t>Energy</t>
  </si>
  <si>
    <t>Manufacturing</t>
  </si>
  <si>
    <t>Duplictae_Loan-ID</t>
  </si>
  <si>
    <t>LGD Range</t>
  </si>
  <si>
    <t>Recov&lt;=EAD</t>
  </si>
  <si>
    <t>LGD Cross eck</t>
  </si>
  <si>
    <t>Check Difference</t>
  </si>
  <si>
    <t>Missing_EAD</t>
  </si>
  <si>
    <t>Missing_Recovery</t>
  </si>
  <si>
    <t>Missing_LGD</t>
  </si>
  <si>
    <t>Min LGD</t>
  </si>
  <si>
    <t>Max LGD</t>
  </si>
  <si>
    <t>Avg LGD</t>
  </si>
  <si>
    <t>LGD_Buckets</t>
  </si>
  <si>
    <t>LGD=0</t>
  </si>
  <si>
    <t>LGD=1</t>
  </si>
  <si>
    <t>Percentile Threshold for Outliers detection</t>
  </si>
  <si>
    <t>Outlier Flag_EAD</t>
  </si>
  <si>
    <t>Outlier Flg_LGD</t>
  </si>
  <si>
    <t>Outlier Flag_Debt Ratio</t>
  </si>
  <si>
    <t>Outlier Flag_ROA</t>
  </si>
  <si>
    <t>Column 1</t>
  </si>
  <si>
    <t>Column 2</t>
  </si>
  <si>
    <t>Column 3</t>
  </si>
  <si>
    <t>Industry</t>
  </si>
  <si>
    <t>Count</t>
  </si>
  <si>
    <t>Avtg. LGD</t>
  </si>
  <si>
    <t>Total Rows</t>
  </si>
  <si>
    <t>Missing Rows</t>
  </si>
  <si>
    <t>Duplicate IDs</t>
  </si>
  <si>
    <t>LGD Errors</t>
  </si>
  <si>
    <t>Recovery Errors</t>
  </si>
  <si>
    <t>EAD Outliers</t>
  </si>
  <si>
    <t>LGD Outliers</t>
  </si>
  <si>
    <t>LGD Err Flag</t>
  </si>
  <si>
    <t>Recov Err Flag</t>
  </si>
  <si>
    <t>Missing  row flag</t>
  </si>
  <si>
    <t>Duplicate loan ID</t>
  </si>
  <si>
    <t>Segment</t>
  </si>
  <si>
    <t xml:space="preserve">Avg LGD </t>
  </si>
  <si>
    <t>Secured</t>
  </si>
  <si>
    <t>Unsecured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</si>
</sst>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70" fontId="0" fillId="0" borderId="0" xfId="0" applyNumberFormat="1"/>
    <xf numFmtId="0" fontId="0" fillId="0" borderId="1" xfId="0" applyBorder="1"/>
    <xf numFmtId="0" fontId="0" fillId="2" borderId="0" xfId="0" applyFill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1" fillId="0" borderId="1" xfId="0" applyFont="1" applyBorder="1"/>
    <xf numFmtId="0" fontId="1" fillId="3" borderId="0" xfId="0" applyFont="1" applyFill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'LGD Raw Datatset'!$C$1</c:f>
              <c:strCache>
                <c:ptCount val="1"/>
                <c:pt idx="0">
                  <c:v>debt_ratio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'LGD Raw Datatset'!$C$2:$C$1969</c:f>
              <c:numCache>
                <c:formatCode>General</c:formatCode>
                <c:ptCount val="1968"/>
                <c:pt idx="0">
                  <c:v>0.202635577668661</c:v>
                </c:pt>
                <c:pt idx="1">
                  <c:v>0.168582613485594</c:v>
                </c:pt>
                <c:pt idx="2">
                  <c:v>0.50814585451470595</c:v>
                </c:pt>
                <c:pt idx="3">
                  <c:v>0.41327184722492</c:v>
                </c:pt>
                <c:pt idx="4">
                  <c:v>0.54744364898045805</c:v>
                </c:pt>
                <c:pt idx="5">
                  <c:v>0.80125343115010905</c:v>
                </c:pt>
                <c:pt idx="6">
                  <c:v>0.80632235848197098</c:v>
                </c:pt>
                <c:pt idx="7">
                  <c:v>0.56981767112486803</c:v>
                </c:pt>
                <c:pt idx="8">
                  <c:v>0.53150869995039596</c:v>
                </c:pt>
                <c:pt idx="9">
                  <c:v>0.14947560149473901</c:v>
                </c:pt>
                <c:pt idx="10">
                  <c:v>0.65095485941660103</c:v>
                </c:pt>
                <c:pt idx="11">
                  <c:v>0.119143286427914</c:v>
                </c:pt>
                <c:pt idx="12">
                  <c:v>0.61689333628736998</c:v>
                </c:pt>
                <c:pt idx="13">
                  <c:v>0.65683370176007605</c:v>
                </c:pt>
                <c:pt idx="14">
                  <c:v>0.84096233025308498</c:v>
                </c:pt>
                <c:pt idx="15">
                  <c:v>0.71920217240404705</c:v>
                </c:pt>
                <c:pt idx="16">
                  <c:v>0.30496278087342898</c:v>
                </c:pt>
                <c:pt idx="17">
                  <c:v>0.47976552439571801</c:v>
                </c:pt>
                <c:pt idx="18">
                  <c:v>0.178355301615814</c:v>
                </c:pt>
                <c:pt idx="19">
                  <c:v>0.883055045104019</c:v>
                </c:pt>
                <c:pt idx="20">
                  <c:v>0.30194424166238498</c:v>
                </c:pt>
                <c:pt idx="21">
                  <c:v>0.71573659450254201</c:v>
                </c:pt>
                <c:pt idx="22">
                  <c:v>0.61742760746046499</c:v>
                </c:pt>
                <c:pt idx="23">
                  <c:v>0.703651981195347</c:v>
                </c:pt>
                <c:pt idx="24">
                  <c:v>0.88591746879320599</c:v>
                </c:pt>
                <c:pt idx="25">
                  <c:v>0.82515644453202797</c:v>
                </c:pt>
                <c:pt idx="26">
                  <c:v>0.50737373395916396</c:v>
                </c:pt>
                <c:pt idx="27">
                  <c:v>0.83418439149524404</c:v>
                </c:pt>
                <c:pt idx="28">
                  <c:v>0.42631995106572801</c:v>
                </c:pt>
                <c:pt idx="29">
                  <c:v>0.80891450483501803</c:v>
                </c:pt>
                <c:pt idx="30">
                  <c:v>0.64966023630277203</c:v>
                </c:pt>
                <c:pt idx="31">
                  <c:v>0.68119826778150505</c:v>
                </c:pt>
                <c:pt idx="32">
                  <c:v>0.75904401608085403</c:v>
                </c:pt>
                <c:pt idx="33">
                  <c:v>0.20594066861764301</c:v>
                </c:pt>
                <c:pt idx="34">
                  <c:v>0.83649652162136001</c:v>
                </c:pt>
                <c:pt idx="35">
                  <c:v>0.27028903746564398</c:v>
                </c:pt>
                <c:pt idx="36">
                  <c:v>0.28854335863383102</c:v>
                </c:pt>
                <c:pt idx="37">
                  <c:v>0.16702860831654001</c:v>
                </c:pt>
                <c:pt idx="38">
                  <c:v>0.45228394654794801</c:v>
                </c:pt>
                <c:pt idx="39">
                  <c:v>0.46207285831328798</c:v>
                </c:pt>
                <c:pt idx="40">
                  <c:v>0.62973177966148197</c:v>
                </c:pt>
                <c:pt idx="41">
                  <c:v>0.78954105736101898</c:v>
                </c:pt>
                <c:pt idx="42">
                  <c:v>0.248401661043572</c:v>
                </c:pt>
                <c:pt idx="43">
                  <c:v>0.26617614827936498</c:v>
                </c:pt>
                <c:pt idx="44">
                  <c:v>0.358324818706173</c:v>
                </c:pt>
                <c:pt idx="45">
                  <c:v>0.537504563026315</c:v>
                </c:pt>
                <c:pt idx="46">
                  <c:v>0.88225945500940794</c:v>
                </c:pt>
                <c:pt idx="47">
                  <c:v>0.68839038238179395</c:v>
                </c:pt>
                <c:pt idx="48">
                  <c:v>0.77760372995479798</c:v>
                </c:pt>
                <c:pt idx="49">
                  <c:v>0.52263941270847702</c:v>
                </c:pt>
                <c:pt idx="50">
                  <c:v>0.60392978201575997</c:v>
                </c:pt>
                <c:pt idx="51">
                  <c:v>0.470825113002869</c:v>
                </c:pt>
                <c:pt idx="52">
                  <c:v>0.282753170339063</c:v>
                </c:pt>
                <c:pt idx="53">
                  <c:v>0.63801357938497505</c:v>
                </c:pt>
                <c:pt idx="54">
                  <c:v>0.81204360704418199</c:v>
                </c:pt>
                <c:pt idx="55">
                  <c:v>0.34483174613684697</c:v>
                </c:pt>
                <c:pt idx="56">
                  <c:v>0.48936260067295201</c:v>
                </c:pt>
                <c:pt idx="57">
                  <c:v>0.83410105028025805</c:v>
                </c:pt>
                <c:pt idx="58">
                  <c:v>0.49813400992019802</c:v>
                </c:pt>
                <c:pt idx="59">
                  <c:v>0.36340053485590001</c:v>
                </c:pt>
                <c:pt idx="60">
                  <c:v>0.74537026908786097</c:v>
                </c:pt>
                <c:pt idx="61">
                  <c:v>0.51513770454427699</c:v>
                </c:pt>
                <c:pt idx="62">
                  <c:v>0.74235582114486998</c:v>
                </c:pt>
                <c:pt idx="63">
                  <c:v>0.76353109918652395</c:v>
                </c:pt>
                <c:pt idx="64">
                  <c:v>0.78528123961629503</c:v>
                </c:pt>
                <c:pt idx="65">
                  <c:v>0.224426345654826</c:v>
                </c:pt>
                <c:pt idx="66">
                  <c:v>0.48637444161023102</c:v>
                </c:pt>
                <c:pt idx="67">
                  <c:v>0.30551131522310199</c:v>
                </c:pt>
                <c:pt idx="68">
                  <c:v>0.34421988005459703</c:v>
                </c:pt>
                <c:pt idx="69">
                  <c:v>0.744696951215436</c:v>
                </c:pt>
                <c:pt idx="70">
                  <c:v>0.22684155532531</c:v>
                </c:pt>
                <c:pt idx="71">
                  <c:v>0.36667493702850301</c:v>
                </c:pt>
                <c:pt idx="72">
                  <c:v>0.56665858368171795</c:v>
                </c:pt>
                <c:pt idx="73">
                  <c:v>0.52989364802859495</c:v>
                </c:pt>
                <c:pt idx="74">
                  <c:v>0.31116930414648297</c:v>
                </c:pt>
                <c:pt idx="75">
                  <c:v>0.40702587527398998</c:v>
                </c:pt>
                <c:pt idx="76">
                  <c:v>0.82783604361936303</c:v>
                </c:pt>
                <c:pt idx="77">
                  <c:v>0.35727033170303901</c:v>
                </c:pt>
                <c:pt idx="78">
                  <c:v>0.33083662305433298</c:v>
                </c:pt>
                <c:pt idx="79">
                  <c:v>0.321488586461604</c:v>
                </c:pt>
                <c:pt idx="80">
                  <c:v>0.26764307718345998</c:v>
                </c:pt>
                <c:pt idx="81">
                  <c:v>0.50783674519006305</c:v>
                </c:pt>
                <c:pt idx="82">
                  <c:v>0.69194743675009296</c:v>
                </c:pt>
                <c:pt idx="83">
                  <c:v>0.62364589675622595</c:v>
                </c:pt>
                <c:pt idx="84">
                  <c:v>0.88629513265433701</c:v>
                </c:pt>
                <c:pt idx="85">
                  <c:v>0.22601886918273101</c:v>
                </c:pt>
                <c:pt idx="86">
                  <c:v>0.56454818257198203</c:v>
                </c:pt>
                <c:pt idx="87">
                  <c:v>0.41512846809113402</c:v>
                </c:pt>
                <c:pt idx="88">
                  <c:v>0.80533685024885304</c:v>
                </c:pt>
                <c:pt idx="89">
                  <c:v>0.46203135764160402</c:v>
                </c:pt>
                <c:pt idx="90">
                  <c:v>0.89317006192319803</c:v>
                </c:pt>
                <c:pt idx="91">
                  <c:v>0.45967779766364902</c:v>
                </c:pt>
                <c:pt idx="92">
                  <c:v>0.15434340903317201</c:v>
                </c:pt>
                <c:pt idx="93">
                  <c:v>0.35785459424593402</c:v>
                </c:pt>
                <c:pt idx="94">
                  <c:v>0.518800965210932</c:v>
                </c:pt>
                <c:pt idx="95">
                  <c:v>0.87059069113301102</c:v>
                </c:pt>
                <c:pt idx="96">
                  <c:v>0.76256739501663195</c:v>
                </c:pt>
                <c:pt idx="97">
                  <c:v>0.231608958150547</c:v>
                </c:pt>
                <c:pt idx="98">
                  <c:v>0.30447447518604798</c:v>
                </c:pt>
                <c:pt idx="99">
                  <c:v>0.81444550165610596</c:v>
                </c:pt>
                <c:pt idx="100">
                  <c:v>0.76498501730151902</c:v>
                </c:pt>
                <c:pt idx="101">
                  <c:v>0.61676858950842905</c:v>
                </c:pt>
                <c:pt idx="102">
                  <c:v>0.17203293287656901</c:v>
                </c:pt>
                <c:pt idx="103">
                  <c:v>0.43846835530420197</c:v>
                </c:pt>
                <c:pt idx="104">
                  <c:v>0.21882532941843399</c:v>
                </c:pt>
                <c:pt idx="105">
                  <c:v>0.69626620284530605</c:v>
                </c:pt>
                <c:pt idx="106">
                  <c:v>0.169552350602336</c:v>
                </c:pt>
                <c:pt idx="107">
                  <c:v>0.50446707658650103</c:v>
                </c:pt>
                <c:pt idx="108">
                  <c:v>0.58106334852401897</c:v>
                </c:pt>
                <c:pt idx="109">
                  <c:v>0.62275183453173899</c:v>
                </c:pt>
                <c:pt idx="110">
                  <c:v>0.57756416036893798</c:v>
                </c:pt>
                <c:pt idx="111">
                  <c:v>0.52638857572916498</c:v>
                </c:pt>
                <c:pt idx="112">
                  <c:v>0.28636773215746097</c:v>
                </c:pt>
                <c:pt idx="113">
                  <c:v>0.229256699370708</c:v>
                </c:pt>
                <c:pt idx="114">
                  <c:v>0.48767232557803197</c:v>
                </c:pt>
                <c:pt idx="115">
                  <c:v>0.82801672490165501</c:v>
                </c:pt>
                <c:pt idx="116">
                  <c:v>0.87650524785662498</c:v>
                </c:pt>
                <c:pt idx="117">
                  <c:v>0.76488093664609502</c:v>
                </c:pt>
                <c:pt idx="118">
                  <c:v>0.117102284450426</c:v>
                </c:pt>
                <c:pt idx="119">
                  <c:v>0.41609030600892799</c:v>
                </c:pt>
                <c:pt idx="120">
                  <c:v>0.87654211434334595</c:v>
                </c:pt>
                <c:pt idx="121">
                  <c:v>0.56123079933366904</c:v>
                </c:pt>
                <c:pt idx="122">
                  <c:v>0.42112471268804202</c:v>
                </c:pt>
                <c:pt idx="123">
                  <c:v>0.72847003156674495</c:v>
                </c:pt>
                <c:pt idx="124">
                  <c:v>0.78279175484373997</c:v>
                </c:pt>
                <c:pt idx="125">
                  <c:v>0.234250684122115</c:v>
                </c:pt>
                <c:pt idx="126">
                  <c:v>0.67724424601840905</c:v>
                </c:pt>
                <c:pt idx="127">
                  <c:v>0.44803595946961999</c:v>
                </c:pt>
                <c:pt idx="128">
                  <c:v>0.74550265368872504</c:v>
                </c:pt>
                <c:pt idx="129">
                  <c:v>0.30083048466089302</c:v>
                </c:pt>
                <c:pt idx="130">
                  <c:v>0.62923604435587699</c:v>
                </c:pt>
                <c:pt idx="131">
                  <c:v>0.37523735634565503</c:v>
                </c:pt>
                <c:pt idx="132">
                  <c:v>0.70832907023675495</c:v>
                </c:pt>
                <c:pt idx="133">
                  <c:v>0.887684005320729</c:v>
                </c:pt>
                <c:pt idx="134">
                  <c:v>0.59414463580278598</c:v>
                </c:pt>
                <c:pt idx="135">
                  <c:v>0.88827027721289697</c:v>
                </c:pt>
                <c:pt idx="136">
                  <c:v>0.602280154782739</c:v>
                </c:pt>
                <c:pt idx="137">
                  <c:v>0.44089840738432301</c:v>
                </c:pt>
                <c:pt idx="138">
                  <c:v>0.63353618493396902</c:v>
                </c:pt>
                <c:pt idx="139">
                  <c:v>0.878645372600797</c:v>
                </c:pt>
                <c:pt idx="140">
                  <c:v>0.31061353232976602</c:v>
                </c:pt>
                <c:pt idx="141">
                  <c:v>0.225907447911876</c:v>
                </c:pt>
                <c:pt idx="142">
                  <c:v>0.71052677869594705</c:v>
                </c:pt>
                <c:pt idx="143">
                  <c:v>0.50884715684368598</c:v>
                </c:pt>
                <c:pt idx="144">
                  <c:v>0.60593647813347096</c:v>
                </c:pt>
                <c:pt idx="145">
                  <c:v>0.54881533767188795</c:v>
                </c:pt>
                <c:pt idx="146">
                  <c:v>0.54037392822974295</c:v>
                </c:pt>
                <c:pt idx="147">
                  <c:v>0.60244701052352301</c:v>
                </c:pt>
                <c:pt idx="148">
                  <c:v>0.35194459132057998</c:v>
                </c:pt>
                <c:pt idx="149">
                  <c:v>0.13484725173731801</c:v>
                </c:pt>
                <c:pt idx="150">
                  <c:v>0.56308739375626604</c:v>
                </c:pt>
                <c:pt idx="151">
                  <c:v>0.38961004472017902</c:v>
                </c:pt>
                <c:pt idx="152">
                  <c:v>0.44065891612273</c:v>
                </c:pt>
                <c:pt idx="153">
                  <c:v>0.10084925526857599</c:v>
                </c:pt>
                <c:pt idx="154">
                  <c:v>0.88789122747795102</c:v>
                </c:pt>
                <c:pt idx="155">
                  <c:v>0.23023771701298801</c:v>
                </c:pt>
                <c:pt idx="156">
                  <c:v>0.17692748223261201</c:v>
                </c:pt>
                <c:pt idx="157">
                  <c:v>0.71950923294013103</c:v>
                </c:pt>
                <c:pt idx="158">
                  <c:v>0.12923414906452299</c:v>
                </c:pt>
                <c:pt idx="159">
                  <c:v>0.16486460241259099</c:v>
                </c:pt>
                <c:pt idx="160">
                  <c:v>0.85646452744054702</c:v>
                </c:pt>
                <c:pt idx="161">
                  <c:v>0.66650859453067302</c:v>
                </c:pt>
                <c:pt idx="162">
                  <c:v>0.690682093011458</c:v>
                </c:pt>
                <c:pt idx="163">
                  <c:v>0.89075979383005499</c:v>
                </c:pt>
                <c:pt idx="164">
                  <c:v>0.139184225219354</c:v>
                </c:pt>
                <c:pt idx="165">
                  <c:v>0.17328137830003501</c:v>
                </c:pt>
                <c:pt idx="166">
                  <c:v>0.85931433675208801</c:v>
                </c:pt>
                <c:pt idx="167">
                  <c:v>0.17155004383174699</c:v>
                </c:pt>
                <c:pt idx="168">
                  <c:v>0.80118891986706697</c:v>
                </c:pt>
                <c:pt idx="169">
                  <c:v>0.201111689283546</c:v>
                </c:pt>
                <c:pt idx="170">
                  <c:v>0.66853376046002499</c:v>
                </c:pt>
                <c:pt idx="171">
                  <c:v>0.40797686279760798</c:v>
                </c:pt>
                <c:pt idx="172">
                  <c:v>0.26175045102497102</c:v>
                </c:pt>
                <c:pt idx="173">
                  <c:v>0.152600811301943</c:v>
                </c:pt>
                <c:pt idx="174">
                  <c:v>0.13381765259077399</c:v>
                </c:pt>
                <c:pt idx="175">
                  <c:v>0.31024176032768902</c:v>
                </c:pt>
                <c:pt idx="176">
                  <c:v>0.15268261115862999</c:v>
                </c:pt>
                <c:pt idx="177">
                  <c:v>0.62478652479082397</c:v>
                </c:pt>
                <c:pt idx="178">
                  <c:v>0.52256892241697595</c:v>
                </c:pt>
                <c:pt idx="179">
                  <c:v>0.374709342613747</c:v>
                </c:pt>
                <c:pt idx="180">
                  <c:v>0.86548269445150205</c:v>
                </c:pt>
                <c:pt idx="181">
                  <c:v>0.77767356134697296</c:v>
                </c:pt>
                <c:pt idx="182">
                  <c:v>0.63570875804166005</c:v>
                </c:pt>
                <c:pt idx="183">
                  <c:v>0.45122542174864999</c:v>
                </c:pt>
                <c:pt idx="184">
                  <c:v>0.76502535575588504</c:v>
                </c:pt>
                <c:pt idx="185">
                  <c:v>0.48240402948719902</c:v>
                </c:pt>
                <c:pt idx="186">
                  <c:v>0.29769633289935499</c:v>
                </c:pt>
                <c:pt idx="187">
                  <c:v>0.43943728108112401</c:v>
                </c:pt>
                <c:pt idx="188">
                  <c:v>0.42270199338431802</c:v>
                </c:pt>
                <c:pt idx="189">
                  <c:v>0.23771634387965501</c:v>
                </c:pt>
                <c:pt idx="190">
                  <c:v>0.83270108068719995</c:v>
                </c:pt>
                <c:pt idx="191">
                  <c:v>0.63946085151504595</c:v>
                </c:pt>
                <c:pt idx="192">
                  <c:v>0.16519603777355699</c:v>
                </c:pt>
                <c:pt idx="193">
                  <c:v>0.14570004713256601</c:v>
                </c:pt>
                <c:pt idx="194">
                  <c:v>0.51881095961911605</c:v>
                </c:pt>
                <c:pt idx="195">
                  <c:v>0.87493414342563602</c:v>
                </c:pt>
                <c:pt idx="196">
                  <c:v>0.42328224242596202</c:v>
                </c:pt>
                <c:pt idx="197">
                  <c:v>0.26884325101106199</c:v>
                </c:pt>
                <c:pt idx="198">
                  <c:v>0.77668958676301103</c:v>
                </c:pt>
                <c:pt idx="199">
                  <c:v>0.37452906468245201</c:v>
                </c:pt>
                <c:pt idx="200">
                  <c:v>0.35421010900915301</c:v>
                </c:pt>
                <c:pt idx="201">
                  <c:v>0.50966075822253998</c:v>
                </c:pt>
                <c:pt idx="202">
                  <c:v>0.49049472507981701</c:v>
                </c:pt>
                <c:pt idx="203">
                  <c:v>0.439751518829824</c:v>
                </c:pt>
                <c:pt idx="204">
                  <c:v>0.31451047913301899</c:v>
                </c:pt>
                <c:pt idx="205">
                  <c:v>0.20942840316891001</c:v>
                </c:pt>
                <c:pt idx="206">
                  <c:v>0.132764089948187</c:v>
                </c:pt>
                <c:pt idx="207">
                  <c:v>0.29734682413976399</c:v>
                </c:pt>
                <c:pt idx="208">
                  <c:v>0.66511002976338496</c:v>
                </c:pt>
                <c:pt idx="209">
                  <c:v>0.21894668136361201</c:v>
                </c:pt>
                <c:pt idx="210">
                  <c:v>0.85559946589119895</c:v>
                </c:pt>
                <c:pt idx="211">
                  <c:v>0.72790379484374002</c:v>
                </c:pt>
                <c:pt idx="212">
                  <c:v>0.88706606929863896</c:v>
                </c:pt>
                <c:pt idx="213">
                  <c:v>0.753381373675723</c:v>
                </c:pt>
                <c:pt idx="214">
                  <c:v>0.69427676515611203</c:v>
                </c:pt>
                <c:pt idx="215">
                  <c:v>0.57537832448428905</c:v>
                </c:pt>
                <c:pt idx="216">
                  <c:v>0.63815184392475699</c:v>
                </c:pt>
                <c:pt idx="217">
                  <c:v>0.52048630510237004</c:v>
                </c:pt>
                <c:pt idx="218">
                  <c:v>0.31785792619659298</c:v>
                </c:pt>
                <c:pt idx="219">
                  <c:v>0.44173913613431698</c:v>
                </c:pt>
                <c:pt idx="220">
                  <c:v>0.77485307097092204</c:v>
                </c:pt>
                <c:pt idx="221">
                  <c:v>0.53627560747016301</c:v>
                </c:pt>
                <c:pt idx="222">
                  <c:v>0.83103578658117006</c:v>
                </c:pt>
                <c:pt idx="223">
                  <c:v>0.64032634783334896</c:v>
                </c:pt>
                <c:pt idx="224">
                  <c:v>0.54797310463495297</c:v>
                </c:pt>
                <c:pt idx="225">
                  <c:v>0.84210462212802595</c:v>
                </c:pt>
                <c:pt idx="226">
                  <c:v>0.28127222434690602</c:v>
                </c:pt>
                <c:pt idx="227">
                  <c:v>0.76924805841167399</c:v>
                </c:pt>
                <c:pt idx="228">
                  <c:v>0.57201054436741905</c:v>
                </c:pt>
                <c:pt idx="229">
                  <c:v>0.64862066033602805</c:v>
                </c:pt>
                <c:pt idx="230">
                  <c:v>0.84638992199575802</c:v>
                </c:pt>
                <c:pt idx="231">
                  <c:v>0.28880635147904499</c:v>
                </c:pt>
                <c:pt idx="232">
                  <c:v>0.43176738110137203</c:v>
                </c:pt>
                <c:pt idx="233">
                  <c:v>0.55412232801547601</c:v>
                </c:pt>
                <c:pt idx="234">
                  <c:v>0.58547174335720398</c:v>
                </c:pt>
                <c:pt idx="235">
                  <c:v>0.39540314210551702</c:v>
                </c:pt>
                <c:pt idx="236">
                  <c:v>0.45677643581600402</c:v>
                </c:pt>
                <c:pt idx="237">
                  <c:v>0.89650315063268804</c:v>
                </c:pt>
                <c:pt idx="238">
                  <c:v>0.82402782211824799</c:v>
                </c:pt>
                <c:pt idx="239">
                  <c:v>0.87208060033148505</c:v>
                </c:pt>
                <c:pt idx="240">
                  <c:v>0.70486405149641596</c:v>
                </c:pt>
                <c:pt idx="241">
                  <c:v>0.154227863273008</c:v>
                </c:pt>
                <c:pt idx="242">
                  <c:v>0.30995004969513301</c:v>
                </c:pt>
                <c:pt idx="243">
                  <c:v>0.81710230514192805</c:v>
                </c:pt>
                <c:pt idx="244">
                  <c:v>0.42448550460602502</c:v>
                </c:pt>
                <c:pt idx="245">
                  <c:v>0.43493881399808798</c:v>
                </c:pt>
                <c:pt idx="246">
                  <c:v>0.11743012123235499</c:v>
                </c:pt>
                <c:pt idx="247">
                  <c:v>0.61848524548625805</c:v>
                </c:pt>
                <c:pt idx="248">
                  <c:v>0.79831135208163195</c:v>
                </c:pt>
                <c:pt idx="249">
                  <c:v>0.69768511993901305</c:v>
                </c:pt>
                <c:pt idx="250">
                  <c:v>0.85960272445553798</c:v>
                </c:pt>
                <c:pt idx="251">
                  <c:v>0.17552491177280999</c:v>
                </c:pt>
                <c:pt idx="252">
                  <c:v>0.731024140642207</c:v>
                </c:pt>
                <c:pt idx="253">
                  <c:v>0.76641998609522199</c:v>
                </c:pt>
                <c:pt idx="254">
                  <c:v>0.399036155184262</c:v>
                </c:pt>
                <c:pt idx="255">
                  <c:v>0.34020052982105897</c:v>
                </c:pt>
                <c:pt idx="256">
                  <c:v>0.43146432738742801</c:v>
                </c:pt>
                <c:pt idx="257">
                  <c:v>0.37886800702975798</c:v>
                </c:pt>
                <c:pt idx="258">
                  <c:v>0.228162975576298</c:v>
                </c:pt>
                <c:pt idx="259">
                  <c:v>0.33724688723556301</c:v>
                </c:pt>
                <c:pt idx="260">
                  <c:v>0.80454481534026601</c:v>
                </c:pt>
                <c:pt idx="261">
                  <c:v>0.36014002190693001</c:v>
                </c:pt>
                <c:pt idx="262">
                  <c:v>0.31621516137660999</c:v>
                </c:pt>
                <c:pt idx="263">
                  <c:v>0.713462922984617</c:v>
                </c:pt>
                <c:pt idx="264">
                  <c:v>0.17896551754201501</c:v>
                </c:pt>
                <c:pt idx="265">
                  <c:v>0.37853581527167401</c:v>
                </c:pt>
                <c:pt idx="266">
                  <c:v>0.117314967704173</c:v>
                </c:pt>
                <c:pt idx="267">
                  <c:v>0.50528748815916702</c:v>
                </c:pt>
                <c:pt idx="268">
                  <c:v>0.512230331971959</c:v>
                </c:pt>
                <c:pt idx="269">
                  <c:v>0.41372757211674699</c:v>
                </c:pt>
                <c:pt idx="270">
                  <c:v>0.81388845582733604</c:v>
                </c:pt>
                <c:pt idx="271">
                  <c:v>0.65387779906041599</c:v>
                </c:pt>
                <c:pt idx="272">
                  <c:v>0.614147674814153</c:v>
                </c:pt>
                <c:pt idx="273">
                  <c:v>0.43257635206328698</c:v>
                </c:pt>
                <c:pt idx="274">
                  <c:v>0.87658618030702795</c:v>
                </c:pt>
                <c:pt idx="275">
                  <c:v>0.44886506297866102</c:v>
                </c:pt>
                <c:pt idx="276">
                  <c:v>0.316274619110121</c:v>
                </c:pt>
                <c:pt idx="277">
                  <c:v>0.35591271783763201</c:v>
                </c:pt>
                <c:pt idx="278">
                  <c:v>0.18449126960939399</c:v>
                </c:pt>
                <c:pt idx="279">
                  <c:v>0.64281502664683698</c:v>
                </c:pt>
                <c:pt idx="280">
                  <c:v>0.80976029845512298</c:v>
                </c:pt>
                <c:pt idx="281">
                  <c:v>0.48630090370421902</c:v>
                </c:pt>
                <c:pt idx="282">
                  <c:v>0.49618468402035398</c:v>
                </c:pt>
                <c:pt idx="283">
                  <c:v>0.60644620672198801</c:v>
                </c:pt>
                <c:pt idx="284">
                  <c:v>0.66359714019551996</c:v>
                </c:pt>
                <c:pt idx="285">
                  <c:v>0.71869117655541903</c:v>
                </c:pt>
                <c:pt idx="286">
                  <c:v>0.57737888037740803</c:v>
                </c:pt>
                <c:pt idx="287">
                  <c:v>0.74603042841822997</c:v>
                </c:pt>
                <c:pt idx="288">
                  <c:v>0.213168819482805</c:v>
                </c:pt>
                <c:pt idx="289">
                  <c:v>0.71502070949500596</c:v>
                </c:pt>
                <c:pt idx="290">
                  <c:v>0.26298065242719898</c:v>
                </c:pt>
                <c:pt idx="291">
                  <c:v>0.57738087284477602</c:v>
                </c:pt>
                <c:pt idx="292">
                  <c:v>0.13934407340522301</c:v>
                </c:pt>
                <c:pt idx="293">
                  <c:v>0.33888355550738097</c:v>
                </c:pt>
                <c:pt idx="294">
                  <c:v>0.81889524584617501</c:v>
                </c:pt>
                <c:pt idx="295">
                  <c:v>0.245334761784577</c:v>
                </c:pt>
                <c:pt idx="296">
                  <c:v>0.36544294066447103</c:v>
                </c:pt>
                <c:pt idx="297">
                  <c:v>0.89000181582871596</c:v>
                </c:pt>
                <c:pt idx="298">
                  <c:v>0.172045188143302</c:v>
                </c:pt>
                <c:pt idx="299">
                  <c:v>0.83410098288524603</c:v>
                </c:pt>
                <c:pt idx="300">
                  <c:v>0.205575111891283</c:v>
                </c:pt>
                <c:pt idx="301">
                  <c:v>0.72366023635358201</c:v>
                </c:pt>
                <c:pt idx="302">
                  <c:v>0.123012795991187</c:v>
                </c:pt>
                <c:pt idx="303">
                  <c:v>0.67608692097102996</c:v>
                </c:pt>
                <c:pt idx="304">
                  <c:v>0.41883169380229501</c:v>
                </c:pt>
                <c:pt idx="305">
                  <c:v>0.39177255614892498</c:v>
                </c:pt>
                <c:pt idx="306">
                  <c:v>0.20669890097319699</c:v>
                </c:pt>
                <c:pt idx="307">
                  <c:v>0.65628725283226297</c:v>
                </c:pt>
                <c:pt idx="308">
                  <c:v>0.83562084954391003</c:v>
                </c:pt>
                <c:pt idx="309">
                  <c:v>0.419122409324166</c:v>
                </c:pt>
                <c:pt idx="310">
                  <c:v>0.26050316609358598</c:v>
                </c:pt>
                <c:pt idx="311">
                  <c:v>0.23632408988901299</c:v>
                </c:pt>
                <c:pt idx="312">
                  <c:v>0.62597423194361002</c:v>
                </c:pt>
                <c:pt idx="313">
                  <c:v>0.87740055184870103</c:v>
                </c:pt>
                <c:pt idx="314">
                  <c:v>0.69788464763857705</c:v>
                </c:pt>
                <c:pt idx="315">
                  <c:v>0.16858717117400901</c:v>
                </c:pt>
                <c:pt idx="316">
                  <c:v>0.83557572951475501</c:v>
                </c:pt>
                <c:pt idx="317">
                  <c:v>0.26545364634346502</c:v>
                </c:pt>
                <c:pt idx="318">
                  <c:v>0.67095102488895497</c:v>
                </c:pt>
                <c:pt idx="319">
                  <c:v>0.51669400652936004</c:v>
                </c:pt>
                <c:pt idx="320">
                  <c:v>0.632534621568691</c:v>
                </c:pt>
                <c:pt idx="321">
                  <c:v>0.23781876492530399</c:v>
                </c:pt>
                <c:pt idx="322">
                  <c:v>0.60355823249110296</c:v>
                </c:pt>
                <c:pt idx="323">
                  <c:v>0.18841354441558</c:v>
                </c:pt>
                <c:pt idx="324">
                  <c:v>0.133162485127062</c:v>
                </c:pt>
                <c:pt idx="325">
                  <c:v>0.70281209699280101</c:v>
                </c:pt>
                <c:pt idx="326">
                  <c:v>0.53834671599596096</c:v>
                </c:pt>
                <c:pt idx="327">
                  <c:v>0.31065539692335897</c:v>
                </c:pt>
                <c:pt idx="328">
                  <c:v>0.781657150569672</c:v>
                </c:pt>
                <c:pt idx="329">
                  <c:v>0.102786089532156</c:v>
                </c:pt>
                <c:pt idx="330">
                  <c:v>0.49067411656715099</c:v>
                </c:pt>
                <c:pt idx="331">
                  <c:v>0.211002580740278</c:v>
                </c:pt>
                <c:pt idx="332">
                  <c:v>0.74346083749708303</c:v>
                </c:pt>
                <c:pt idx="333">
                  <c:v>0.58448869441228402</c:v>
                </c:pt>
                <c:pt idx="334">
                  <c:v>0.396506530435765</c:v>
                </c:pt>
                <c:pt idx="335">
                  <c:v>0.25073628720320101</c:v>
                </c:pt>
                <c:pt idx="336">
                  <c:v>0.114094192630735</c:v>
                </c:pt>
                <c:pt idx="337">
                  <c:v>0.65009588769396998</c:v>
                </c:pt>
                <c:pt idx="338">
                  <c:v>0.52592125909550203</c:v>
                </c:pt>
                <c:pt idx="339">
                  <c:v>0.68401788904418104</c:v>
                </c:pt>
                <c:pt idx="340">
                  <c:v>0.566057382945656</c:v>
                </c:pt>
                <c:pt idx="341">
                  <c:v>0.51395406112791897</c:v>
                </c:pt>
                <c:pt idx="342">
                  <c:v>0.89644685045417705</c:v>
                </c:pt>
                <c:pt idx="343">
                  <c:v>0.85556549846669105</c:v>
                </c:pt>
                <c:pt idx="344">
                  <c:v>0.78542682754390902</c:v>
                </c:pt>
                <c:pt idx="345">
                  <c:v>0.34004505770918603</c:v>
                </c:pt>
                <c:pt idx="346">
                  <c:v>0.87229300235471496</c:v>
                </c:pt>
                <c:pt idx="347">
                  <c:v>0.74578419652761097</c:v>
                </c:pt>
                <c:pt idx="348">
                  <c:v>0.69167518056674704</c:v>
                </c:pt>
                <c:pt idx="349">
                  <c:v>0.74235304858548201</c:v>
                </c:pt>
                <c:pt idx="350">
                  <c:v>0.856869253728751</c:v>
                </c:pt>
                <c:pt idx="351">
                  <c:v>0.69880550454096202</c:v>
                </c:pt>
                <c:pt idx="352">
                  <c:v>0.63444967123840801</c:v>
                </c:pt>
                <c:pt idx="353">
                  <c:v>0.87977140573461399</c:v>
                </c:pt>
                <c:pt idx="354">
                  <c:v>0.65390489922963102</c:v>
                </c:pt>
                <c:pt idx="355">
                  <c:v>0.37996509435925002</c:v>
                </c:pt>
                <c:pt idx="356">
                  <c:v>0.58384102094743195</c:v>
                </c:pt>
                <c:pt idx="357">
                  <c:v>0.83746706756247202</c:v>
                </c:pt>
                <c:pt idx="358">
                  <c:v>0.71830488157176198</c:v>
                </c:pt>
                <c:pt idx="359">
                  <c:v>0.44657055494431502</c:v>
                </c:pt>
                <c:pt idx="360">
                  <c:v>0.175311960071272</c:v>
                </c:pt>
                <c:pt idx="361">
                  <c:v>0.72902952158100198</c:v>
                </c:pt>
                <c:pt idx="362">
                  <c:v>0.716648715089094</c:v>
                </c:pt>
                <c:pt idx="363">
                  <c:v>0.86956829667139401</c:v>
                </c:pt>
                <c:pt idx="364">
                  <c:v>0.139462603862157</c:v>
                </c:pt>
                <c:pt idx="365">
                  <c:v>0.86266443984824803</c:v>
                </c:pt>
                <c:pt idx="366">
                  <c:v>0.76059480411989</c:v>
                </c:pt>
                <c:pt idx="367">
                  <c:v>0.60695143320283695</c:v>
                </c:pt>
                <c:pt idx="368">
                  <c:v>0.43383198578659699</c:v>
                </c:pt>
                <c:pt idx="369">
                  <c:v>0.87751899431541902</c:v>
                </c:pt>
                <c:pt idx="370">
                  <c:v>0.86227521984983801</c:v>
                </c:pt>
                <c:pt idx="371">
                  <c:v>0.31249756548198598</c:v>
                </c:pt>
                <c:pt idx="372">
                  <c:v>0.76471397966835397</c:v>
                </c:pt>
                <c:pt idx="373">
                  <c:v>0.85145485667701704</c:v>
                </c:pt>
                <c:pt idx="374">
                  <c:v>0.81797354168898295</c:v>
                </c:pt>
                <c:pt idx="375">
                  <c:v>0.47667672043854098</c:v>
                </c:pt>
                <c:pt idx="376">
                  <c:v>0.46091017745532598</c:v>
                </c:pt>
                <c:pt idx="377">
                  <c:v>0.28409742421948497</c:v>
                </c:pt>
                <c:pt idx="378">
                  <c:v>0.275046882568656</c:v>
                </c:pt>
                <c:pt idx="379">
                  <c:v>0.64115779814292095</c:v>
                </c:pt>
                <c:pt idx="380">
                  <c:v>0.62572549084470297</c:v>
                </c:pt>
                <c:pt idx="381">
                  <c:v>0.39579295804335501</c:v>
                </c:pt>
                <c:pt idx="382">
                  <c:v>0.78243236148127904</c:v>
                </c:pt>
                <c:pt idx="383">
                  <c:v>0.440523452680808</c:v>
                </c:pt>
                <c:pt idx="384">
                  <c:v>0.54593395175221704</c:v>
                </c:pt>
                <c:pt idx="385">
                  <c:v>0.465919197118566</c:v>
                </c:pt>
                <c:pt idx="386">
                  <c:v>0.44304626660215601</c:v>
                </c:pt>
                <c:pt idx="387">
                  <c:v>0.27997586122657597</c:v>
                </c:pt>
                <c:pt idx="388">
                  <c:v>0.82672391521042399</c:v>
                </c:pt>
                <c:pt idx="389">
                  <c:v>0.162080678848431</c:v>
                </c:pt>
                <c:pt idx="390">
                  <c:v>0.57931518825770101</c:v>
                </c:pt>
                <c:pt idx="391">
                  <c:v>0.63814449305258503</c:v>
                </c:pt>
                <c:pt idx="392">
                  <c:v>0.16145870773366999</c:v>
                </c:pt>
                <c:pt idx="393">
                  <c:v>0.744802686166677</c:v>
                </c:pt>
                <c:pt idx="394">
                  <c:v>0.449594770846587</c:v>
                </c:pt>
                <c:pt idx="395">
                  <c:v>0.80736345060256798</c:v>
                </c:pt>
                <c:pt idx="396">
                  <c:v>0.235468500227307</c:v>
                </c:pt>
                <c:pt idx="397">
                  <c:v>0.265996764793346</c:v>
                </c:pt>
                <c:pt idx="398">
                  <c:v>0.56758502149995405</c:v>
                </c:pt>
                <c:pt idx="399">
                  <c:v>0.63800398341643405</c:v>
                </c:pt>
                <c:pt idx="400">
                  <c:v>0.15026142745971</c:v>
                </c:pt>
                <c:pt idx="401">
                  <c:v>0.74983275352215695</c:v>
                </c:pt>
                <c:pt idx="402">
                  <c:v>0.36891590829127202</c:v>
                </c:pt>
                <c:pt idx="403">
                  <c:v>0.32602928609784598</c:v>
                </c:pt>
                <c:pt idx="404">
                  <c:v>0.30973880829658301</c:v>
                </c:pt>
                <c:pt idx="405">
                  <c:v>0.82085197646623798</c:v>
                </c:pt>
                <c:pt idx="406">
                  <c:v>0.34141011767576301</c:v>
                </c:pt>
                <c:pt idx="407">
                  <c:v>0.63765050345428098</c:v>
                </c:pt>
                <c:pt idx="408">
                  <c:v>0.60620365461292602</c:v>
                </c:pt>
                <c:pt idx="409">
                  <c:v>0.14145710009109499</c:v>
                </c:pt>
                <c:pt idx="410">
                  <c:v>0.27044761761319203</c:v>
                </c:pt>
                <c:pt idx="411">
                  <c:v>0.20450570490188499</c:v>
                </c:pt>
                <c:pt idx="412">
                  <c:v>0.46312603297600202</c:v>
                </c:pt>
                <c:pt idx="413">
                  <c:v>0.84280648792276802</c:v>
                </c:pt>
                <c:pt idx="414">
                  <c:v>0.196385434777439</c:v>
                </c:pt>
                <c:pt idx="415">
                  <c:v>0.25888973731424297</c:v>
                </c:pt>
                <c:pt idx="416">
                  <c:v>0.51481287819272303</c:v>
                </c:pt>
                <c:pt idx="417">
                  <c:v>0.64504893325038304</c:v>
                </c:pt>
                <c:pt idx="418">
                  <c:v>0.76089774531560095</c:v>
                </c:pt>
                <c:pt idx="419">
                  <c:v>0.32718252975129603</c:v>
                </c:pt>
                <c:pt idx="420">
                  <c:v>0.509255337862355</c:v>
                </c:pt>
                <c:pt idx="421">
                  <c:v>0.68280012193171002</c:v>
                </c:pt>
                <c:pt idx="422">
                  <c:v>0.26119074077883297</c:v>
                </c:pt>
                <c:pt idx="423">
                  <c:v>0.80982219913950804</c:v>
                </c:pt>
                <c:pt idx="424">
                  <c:v>0.64150236830623397</c:v>
                </c:pt>
                <c:pt idx="425">
                  <c:v>0.85823927991857896</c:v>
                </c:pt>
                <c:pt idx="426">
                  <c:v>0.704323783317644</c:v>
                </c:pt>
                <c:pt idx="427">
                  <c:v>0.65213026761562098</c:v>
                </c:pt>
                <c:pt idx="428">
                  <c:v>0.34713357234041903</c:v>
                </c:pt>
                <c:pt idx="429">
                  <c:v>0.41493592537884899</c:v>
                </c:pt>
                <c:pt idx="430">
                  <c:v>0.879236275357136</c:v>
                </c:pt>
                <c:pt idx="431">
                  <c:v>0.305103367785094</c:v>
                </c:pt>
                <c:pt idx="432">
                  <c:v>0.244797055290882</c:v>
                </c:pt>
                <c:pt idx="433">
                  <c:v>0.391298439047156</c:v>
                </c:pt>
                <c:pt idx="434">
                  <c:v>0.10872743057383</c:v>
                </c:pt>
                <c:pt idx="435">
                  <c:v>0.755693158211726</c:v>
                </c:pt>
                <c:pt idx="436">
                  <c:v>0.13205151840936899</c:v>
                </c:pt>
                <c:pt idx="437">
                  <c:v>0.64903044758120498</c:v>
                </c:pt>
                <c:pt idx="438">
                  <c:v>0.66231516165300797</c:v>
                </c:pt>
                <c:pt idx="439">
                  <c:v>0.33881918688170598</c:v>
                </c:pt>
                <c:pt idx="440">
                  <c:v>0.60118716269818995</c:v>
                </c:pt>
                <c:pt idx="441">
                  <c:v>0.81737182994339297</c:v>
                </c:pt>
                <c:pt idx="442">
                  <c:v>0.50728298282092099</c:v>
                </c:pt>
                <c:pt idx="443">
                  <c:v>0.24704099016804701</c:v>
                </c:pt>
                <c:pt idx="444">
                  <c:v>0.19448761454484001</c:v>
                </c:pt>
                <c:pt idx="445">
                  <c:v>0.54609807381676601</c:v>
                </c:pt>
                <c:pt idx="446">
                  <c:v>0.55029357638548004</c:v>
                </c:pt>
                <c:pt idx="447">
                  <c:v>0.655390583637255</c:v>
                </c:pt>
                <c:pt idx="448">
                  <c:v>0.17642578664466099</c:v>
                </c:pt>
                <c:pt idx="449">
                  <c:v>0.89416422699669196</c:v>
                </c:pt>
                <c:pt idx="450">
                  <c:v>0.33552790495224699</c:v>
                </c:pt>
                <c:pt idx="451">
                  <c:v>0.86293891686223101</c:v>
                </c:pt>
                <c:pt idx="452">
                  <c:v>0.16626333427207801</c:v>
                </c:pt>
                <c:pt idx="453">
                  <c:v>0.81408564931740801</c:v>
                </c:pt>
                <c:pt idx="454">
                  <c:v>0.29732683049736203</c:v>
                </c:pt>
                <c:pt idx="455">
                  <c:v>0.54110537504550105</c:v>
                </c:pt>
                <c:pt idx="456">
                  <c:v>0.47946667583805203</c:v>
                </c:pt>
                <c:pt idx="457">
                  <c:v>0.156322984801156</c:v>
                </c:pt>
                <c:pt idx="458">
                  <c:v>0.229377913045229</c:v>
                </c:pt>
                <c:pt idx="459">
                  <c:v>0.35996873478687003</c:v>
                </c:pt>
                <c:pt idx="460">
                  <c:v>0.77687431635034399</c:v>
                </c:pt>
                <c:pt idx="461">
                  <c:v>0.77843977988716495</c:v>
                </c:pt>
                <c:pt idx="462">
                  <c:v>0.83669950778989699</c:v>
                </c:pt>
                <c:pt idx="463">
                  <c:v>0.37271222814687599</c:v>
                </c:pt>
                <c:pt idx="464">
                  <c:v>0.87936955744654499</c:v>
                </c:pt>
                <c:pt idx="465">
                  <c:v>0.868627173813311</c:v>
                </c:pt>
                <c:pt idx="466">
                  <c:v>0.52026122365802396</c:v>
                </c:pt>
                <c:pt idx="467">
                  <c:v>0.85370975205503796</c:v>
                </c:pt>
                <c:pt idx="468">
                  <c:v>0.50797050876745498</c:v>
                </c:pt>
                <c:pt idx="469">
                  <c:v>0.64150456321484695</c:v>
                </c:pt>
                <c:pt idx="470">
                  <c:v>0.57181101704305004</c:v>
                </c:pt>
                <c:pt idx="471">
                  <c:v>0.52977234853718602</c:v>
                </c:pt>
                <c:pt idx="472">
                  <c:v>0.77084855835015897</c:v>
                </c:pt>
                <c:pt idx="473">
                  <c:v>0.78020055434219004</c:v>
                </c:pt>
                <c:pt idx="474">
                  <c:v>0.27524167171611902</c:v>
                </c:pt>
                <c:pt idx="475">
                  <c:v>0.80626791037718104</c:v>
                </c:pt>
                <c:pt idx="476">
                  <c:v>0.86445443988562298</c:v>
                </c:pt>
                <c:pt idx="477">
                  <c:v>0.106011140447937</c:v>
                </c:pt>
                <c:pt idx="478">
                  <c:v>0.58175561656524299</c:v>
                </c:pt>
                <c:pt idx="479">
                  <c:v>0.285322840174907</c:v>
                </c:pt>
                <c:pt idx="480">
                  <c:v>0.80227423828907396</c:v>
                </c:pt>
                <c:pt idx="481">
                  <c:v>0.23600334352538099</c:v>
                </c:pt>
                <c:pt idx="482">
                  <c:v>0.83739556589997</c:v>
                </c:pt>
                <c:pt idx="483">
                  <c:v>0.39672375456291398</c:v>
                </c:pt>
                <c:pt idx="484">
                  <c:v>0.66378552158099202</c:v>
                </c:pt>
                <c:pt idx="485">
                  <c:v>0.48443079014822199</c:v>
                </c:pt>
                <c:pt idx="486">
                  <c:v>0.55991800395757096</c:v>
                </c:pt>
                <c:pt idx="487">
                  <c:v>0.77084396540981104</c:v>
                </c:pt>
                <c:pt idx="488">
                  <c:v>0.46792341061399401</c:v>
                </c:pt>
                <c:pt idx="489">
                  <c:v>0.166744427243705</c:v>
                </c:pt>
                <c:pt idx="490">
                  <c:v>0.49504748300304802</c:v>
                </c:pt>
                <c:pt idx="491">
                  <c:v>0.86173572480912597</c:v>
                </c:pt>
                <c:pt idx="492">
                  <c:v>0.83723279200985201</c:v>
                </c:pt>
                <c:pt idx="493">
                  <c:v>0.74391448531105697</c:v>
                </c:pt>
                <c:pt idx="494">
                  <c:v>0.111193209698043</c:v>
                </c:pt>
                <c:pt idx="495">
                  <c:v>0.51990095676845005</c:v>
                </c:pt>
                <c:pt idx="496">
                  <c:v>0.76524713293489</c:v>
                </c:pt>
                <c:pt idx="497">
                  <c:v>0.878597404210267</c:v>
                </c:pt>
                <c:pt idx="498">
                  <c:v>0.40194388242747497</c:v>
                </c:pt>
                <c:pt idx="499">
                  <c:v>0.75355940860439796</c:v>
                </c:pt>
                <c:pt idx="500">
                  <c:v>0.14423702572109101</c:v>
                </c:pt>
                <c:pt idx="501">
                  <c:v>0.10763282278658701</c:v>
                </c:pt>
                <c:pt idx="502">
                  <c:v>0.43887702608468798</c:v>
                </c:pt>
                <c:pt idx="503">
                  <c:v>0.82717771803114504</c:v>
                </c:pt>
                <c:pt idx="504">
                  <c:v>0.338139122752179</c:v>
                </c:pt>
                <c:pt idx="505">
                  <c:v>0.43676440572429698</c:v>
                </c:pt>
                <c:pt idx="506">
                  <c:v>0.11266543841019901</c:v>
                </c:pt>
                <c:pt idx="507">
                  <c:v>0.292701641580982</c:v>
                </c:pt>
                <c:pt idx="508">
                  <c:v>0.70614069577252303</c:v>
                </c:pt>
                <c:pt idx="509">
                  <c:v>0.85286381561536695</c:v>
                </c:pt>
                <c:pt idx="510">
                  <c:v>0.33731103500313098</c:v>
                </c:pt>
                <c:pt idx="511">
                  <c:v>0.278719015126071</c:v>
                </c:pt>
                <c:pt idx="512">
                  <c:v>0.557039080580775</c:v>
                </c:pt>
                <c:pt idx="513">
                  <c:v>0.14586075424623399</c:v>
                </c:pt>
                <c:pt idx="514">
                  <c:v>0.52753653386741395</c:v>
                </c:pt>
                <c:pt idx="515">
                  <c:v>0.29219982482233903</c:v>
                </c:pt>
                <c:pt idx="516">
                  <c:v>0.85578040823474499</c:v>
                </c:pt>
                <c:pt idx="517">
                  <c:v>0.219333296406967</c:v>
                </c:pt>
                <c:pt idx="518">
                  <c:v>0.252040134778238</c:v>
                </c:pt>
                <c:pt idx="519">
                  <c:v>0.171378901917178</c:v>
                </c:pt>
                <c:pt idx="520">
                  <c:v>0.38959277066231901</c:v>
                </c:pt>
                <c:pt idx="521">
                  <c:v>0.89119485428075096</c:v>
                </c:pt>
                <c:pt idx="522">
                  <c:v>0.55828087814054095</c:v>
                </c:pt>
                <c:pt idx="523">
                  <c:v>0.40017531756852098</c:v>
                </c:pt>
                <c:pt idx="524">
                  <c:v>0.61333762193874097</c:v>
                </c:pt>
                <c:pt idx="525">
                  <c:v>0.27797601673220801</c:v>
                </c:pt>
                <c:pt idx="526">
                  <c:v>0.53981888112856902</c:v>
                </c:pt>
                <c:pt idx="527">
                  <c:v>0.31958943886003999</c:v>
                </c:pt>
                <c:pt idx="528">
                  <c:v>0.41704404871575101</c:v>
                </c:pt>
                <c:pt idx="529">
                  <c:v>0.263773415486244</c:v>
                </c:pt>
                <c:pt idx="530">
                  <c:v>0.75850373317072595</c:v>
                </c:pt>
                <c:pt idx="531">
                  <c:v>0.24575670758893201</c:v>
                </c:pt>
                <c:pt idx="532">
                  <c:v>0.21471720319503301</c:v>
                </c:pt>
                <c:pt idx="533">
                  <c:v>0.58994324838235301</c:v>
                </c:pt>
                <c:pt idx="534">
                  <c:v>0.24178948964351499</c:v>
                </c:pt>
                <c:pt idx="535">
                  <c:v>0.177725120333356</c:v>
                </c:pt>
                <c:pt idx="536">
                  <c:v>0.608753542100547</c:v>
                </c:pt>
                <c:pt idx="537">
                  <c:v>0.36593686364456501</c:v>
                </c:pt>
                <c:pt idx="538">
                  <c:v>0.88414134276078005</c:v>
                </c:pt>
                <c:pt idx="539">
                  <c:v>0.764875007733816</c:v>
                </c:pt>
                <c:pt idx="540">
                  <c:v>0.63251956876673998</c:v>
                </c:pt>
                <c:pt idx="541">
                  <c:v>0.404406010238541</c:v>
                </c:pt>
                <c:pt idx="542">
                  <c:v>0.10996528750842199</c:v>
                </c:pt>
                <c:pt idx="543">
                  <c:v>0.45293928858955501</c:v>
                </c:pt>
                <c:pt idx="544">
                  <c:v>0.89723448315028398</c:v>
                </c:pt>
                <c:pt idx="545">
                  <c:v>0.76582830840808502</c:v>
                </c:pt>
                <c:pt idx="546">
                  <c:v>0.79268252980437404</c:v>
                </c:pt>
                <c:pt idx="547">
                  <c:v>0.64941305741473598</c:v>
                </c:pt>
                <c:pt idx="548">
                  <c:v>0.27713463885289003</c:v>
                </c:pt>
                <c:pt idx="549">
                  <c:v>0.23597250659373201</c:v>
                </c:pt>
                <c:pt idx="550">
                  <c:v>0.40040013662327201</c:v>
                </c:pt>
                <c:pt idx="551">
                  <c:v>0.28041624053210801</c:v>
                </c:pt>
                <c:pt idx="552">
                  <c:v>0.86275265451894001</c:v>
                </c:pt>
                <c:pt idx="553">
                  <c:v>0.39496620499225699</c:v>
                </c:pt>
                <c:pt idx="554">
                  <c:v>0.119432336358453</c:v>
                </c:pt>
                <c:pt idx="555">
                  <c:v>0.61593114262185</c:v>
                </c:pt>
                <c:pt idx="556">
                  <c:v>0.75967872173429896</c:v>
                </c:pt>
                <c:pt idx="557">
                  <c:v>0.77843963246697201</c:v>
                </c:pt>
                <c:pt idx="558">
                  <c:v>0.83890475215379601</c:v>
                </c:pt>
                <c:pt idx="559">
                  <c:v>0.49513708715972199</c:v>
                </c:pt>
                <c:pt idx="560">
                  <c:v>0.25739387096696498</c:v>
                </c:pt>
                <c:pt idx="561">
                  <c:v>0.87330096931620704</c:v>
                </c:pt>
                <c:pt idx="562">
                  <c:v>0.280453183070834</c:v>
                </c:pt>
                <c:pt idx="563">
                  <c:v>0.553008112106675</c:v>
                </c:pt>
                <c:pt idx="564">
                  <c:v>0.65399399641529998</c:v>
                </c:pt>
                <c:pt idx="565">
                  <c:v>0.11048751379598799</c:v>
                </c:pt>
                <c:pt idx="566">
                  <c:v>0.21705347741200501</c:v>
                </c:pt>
                <c:pt idx="567">
                  <c:v>0.79344587640379705</c:v>
                </c:pt>
                <c:pt idx="568">
                  <c:v>0.75536848904325404</c:v>
                </c:pt>
                <c:pt idx="569">
                  <c:v>0.13696216533194799</c:v>
                </c:pt>
                <c:pt idx="570">
                  <c:v>0.716332688409131</c:v>
                </c:pt>
                <c:pt idx="571">
                  <c:v>0.66021233002473001</c:v>
                </c:pt>
                <c:pt idx="572">
                  <c:v>0.45080383481332098</c:v>
                </c:pt>
                <c:pt idx="573">
                  <c:v>0.71549246564136604</c:v>
                </c:pt>
                <c:pt idx="574">
                  <c:v>0.79256912393479295</c:v>
                </c:pt>
                <c:pt idx="575">
                  <c:v>0.77588236157926904</c:v>
                </c:pt>
                <c:pt idx="576">
                  <c:v>0.800268388306</c:v>
                </c:pt>
                <c:pt idx="577">
                  <c:v>0.83492674478847795</c:v>
                </c:pt>
                <c:pt idx="578">
                  <c:v>0.22109800615723199</c:v>
                </c:pt>
                <c:pt idx="579">
                  <c:v>0.86204866494374399</c:v>
                </c:pt>
                <c:pt idx="580">
                  <c:v>0.57920005436706801</c:v>
                </c:pt>
                <c:pt idx="581">
                  <c:v>0.84096321323316003</c:v>
                </c:pt>
                <c:pt idx="582">
                  <c:v>0.85659414633340403</c:v>
                </c:pt>
                <c:pt idx="583">
                  <c:v>0.62952105886088705</c:v>
                </c:pt>
                <c:pt idx="584">
                  <c:v>0.18759598892319099</c:v>
                </c:pt>
                <c:pt idx="585">
                  <c:v>0.37155070402378398</c:v>
                </c:pt>
                <c:pt idx="586">
                  <c:v>0.48392113448660901</c:v>
                </c:pt>
                <c:pt idx="587">
                  <c:v>0.21089544177352401</c:v>
                </c:pt>
                <c:pt idx="588">
                  <c:v>0.39350944653863701</c:v>
                </c:pt>
                <c:pt idx="589">
                  <c:v>0.74346849581752295</c:v>
                </c:pt>
                <c:pt idx="590">
                  <c:v>0.25534873502723399</c:v>
                </c:pt>
                <c:pt idx="591">
                  <c:v>0.89704325621610903</c:v>
                </c:pt>
                <c:pt idx="592">
                  <c:v>0.112452792144535</c:v>
                </c:pt>
                <c:pt idx="593">
                  <c:v>0.53400748086668504</c:v>
                </c:pt>
                <c:pt idx="594">
                  <c:v>0.140497979622666</c:v>
                </c:pt>
                <c:pt idx="595">
                  <c:v>0.62760491984789701</c:v>
                </c:pt>
                <c:pt idx="596">
                  <c:v>0.33861713595181903</c:v>
                </c:pt>
                <c:pt idx="597">
                  <c:v>0.57661689418117801</c:v>
                </c:pt>
                <c:pt idx="598">
                  <c:v>0.64400616607257599</c:v>
                </c:pt>
                <c:pt idx="599">
                  <c:v>0.46961167871034898</c:v>
                </c:pt>
                <c:pt idx="600">
                  <c:v>0.72212279912931299</c:v>
                </c:pt>
                <c:pt idx="601">
                  <c:v>0.61101559592476296</c:v>
                </c:pt>
                <c:pt idx="602">
                  <c:v>0.58756516913099899</c:v>
                </c:pt>
                <c:pt idx="603">
                  <c:v>0.123574237604686</c:v>
                </c:pt>
                <c:pt idx="604">
                  <c:v>0.53589867725358398</c:v>
                </c:pt>
                <c:pt idx="605">
                  <c:v>0.576403175472881</c:v>
                </c:pt>
                <c:pt idx="606">
                  <c:v>0.163005848826762</c:v>
                </c:pt>
                <c:pt idx="607">
                  <c:v>0.52452519005443798</c:v>
                </c:pt>
                <c:pt idx="608">
                  <c:v>0.46654619870029701</c:v>
                </c:pt>
                <c:pt idx="609">
                  <c:v>0.66808644897500602</c:v>
                </c:pt>
                <c:pt idx="610">
                  <c:v>0.78013803404263105</c:v>
                </c:pt>
                <c:pt idx="611">
                  <c:v>0.57377817007848897</c:v>
                </c:pt>
                <c:pt idx="612">
                  <c:v>0.63385803651377803</c:v>
                </c:pt>
                <c:pt idx="613">
                  <c:v>0.382582554062873</c:v>
                </c:pt>
                <c:pt idx="614">
                  <c:v>0.25489136247906502</c:v>
                </c:pt>
                <c:pt idx="615">
                  <c:v>0.76345181156423303</c:v>
                </c:pt>
                <c:pt idx="616">
                  <c:v>0.62737901368895199</c:v>
                </c:pt>
                <c:pt idx="617">
                  <c:v>0.291786915945975</c:v>
                </c:pt>
                <c:pt idx="618">
                  <c:v>0.82438297451975995</c:v>
                </c:pt>
                <c:pt idx="619">
                  <c:v>0.37873135590454499</c:v>
                </c:pt>
                <c:pt idx="620">
                  <c:v>0.38326108149681498</c:v>
                </c:pt>
                <c:pt idx="621">
                  <c:v>0.373981986293553</c:v>
                </c:pt>
                <c:pt idx="622">
                  <c:v>0.18718986273461999</c:v>
                </c:pt>
                <c:pt idx="623">
                  <c:v>0.33765219177519801</c:v>
                </c:pt>
                <c:pt idx="624">
                  <c:v>0.49300212147058298</c:v>
                </c:pt>
                <c:pt idx="625">
                  <c:v>0.62163108648408405</c:v>
                </c:pt>
                <c:pt idx="626">
                  <c:v>0.53656050753122297</c:v>
                </c:pt>
                <c:pt idx="627">
                  <c:v>0.63326351525243796</c:v>
                </c:pt>
                <c:pt idx="628">
                  <c:v>0.65585914845691295</c:v>
                </c:pt>
                <c:pt idx="629">
                  <c:v>0.877862747766742</c:v>
                </c:pt>
                <c:pt idx="630">
                  <c:v>0.55759778319875597</c:v>
                </c:pt>
                <c:pt idx="631">
                  <c:v>0.117923997817376</c:v>
                </c:pt>
                <c:pt idx="632">
                  <c:v>0.63419467204941504</c:v>
                </c:pt>
                <c:pt idx="633">
                  <c:v>0.39865750299709402</c:v>
                </c:pt>
                <c:pt idx="634">
                  <c:v>0.55857667540909195</c:v>
                </c:pt>
                <c:pt idx="635">
                  <c:v>0.43982489560926702</c:v>
                </c:pt>
                <c:pt idx="636">
                  <c:v>0.82800863959801996</c:v>
                </c:pt>
                <c:pt idx="637">
                  <c:v>0.245036842990043</c:v>
                </c:pt>
                <c:pt idx="638">
                  <c:v>0.48417773968856898</c:v>
                </c:pt>
                <c:pt idx="639">
                  <c:v>0.64115064894218898</c:v>
                </c:pt>
                <c:pt idx="640">
                  <c:v>0.209286676034946</c:v>
                </c:pt>
                <c:pt idx="641">
                  <c:v>0.17003253871614399</c:v>
                </c:pt>
                <c:pt idx="642">
                  <c:v>0.44637533995863998</c:v>
                </c:pt>
                <c:pt idx="643">
                  <c:v>0.21468240222750501</c:v>
                </c:pt>
                <c:pt idx="644">
                  <c:v>0.73287878979163101</c:v>
                </c:pt>
                <c:pt idx="645">
                  <c:v>0.18814607018493701</c:v>
                </c:pt>
                <c:pt idx="646">
                  <c:v>0.20519200688761499</c:v>
                </c:pt>
                <c:pt idx="647">
                  <c:v>0.291739766964425</c:v>
                </c:pt>
                <c:pt idx="648">
                  <c:v>0.106602731202129</c:v>
                </c:pt>
                <c:pt idx="649">
                  <c:v>0.15267632065664799</c:v>
                </c:pt>
                <c:pt idx="650">
                  <c:v>0.20933989332014799</c:v>
                </c:pt>
                <c:pt idx="651">
                  <c:v>0.56615653921820797</c:v>
                </c:pt>
                <c:pt idx="652">
                  <c:v>0.46467976075553402</c:v>
                </c:pt>
                <c:pt idx="653">
                  <c:v>0.72172802830469296</c:v>
                </c:pt>
                <c:pt idx="654">
                  <c:v>0.39807190022102301</c:v>
                </c:pt>
                <c:pt idx="655">
                  <c:v>0.57348885192079802</c:v>
                </c:pt>
                <c:pt idx="656">
                  <c:v>0.24266307023654499</c:v>
                </c:pt>
                <c:pt idx="657">
                  <c:v>0.74237011977591105</c:v>
                </c:pt>
                <c:pt idx="658">
                  <c:v>0.58835964790199202</c:v>
                </c:pt>
                <c:pt idx="659">
                  <c:v>0.66013666354505596</c:v>
                </c:pt>
                <c:pt idx="660">
                  <c:v>0.14449159311742801</c:v>
                </c:pt>
                <c:pt idx="661">
                  <c:v>0.76627220214247604</c:v>
                </c:pt>
                <c:pt idx="662">
                  <c:v>0.39394856982034598</c:v>
                </c:pt>
                <c:pt idx="663">
                  <c:v>0.47352311990446699</c:v>
                </c:pt>
                <c:pt idx="664">
                  <c:v>0.28044040735991399</c:v>
                </c:pt>
                <c:pt idx="665">
                  <c:v>0.76732532384412999</c:v>
                </c:pt>
                <c:pt idx="666">
                  <c:v>0.55208967015946198</c:v>
                </c:pt>
                <c:pt idx="667">
                  <c:v>0.118937622786374</c:v>
                </c:pt>
                <c:pt idx="668">
                  <c:v>0.14558393156073601</c:v>
                </c:pt>
                <c:pt idx="669">
                  <c:v>0.12522978255564601</c:v>
                </c:pt>
                <c:pt idx="670">
                  <c:v>0.184987907871209</c:v>
                </c:pt>
                <c:pt idx="671">
                  <c:v>0.84324951428614203</c:v>
                </c:pt>
                <c:pt idx="672">
                  <c:v>0.75882782294309403</c:v>
                </c:pt>
                <c:pt idx="673">
                  <c:v>0.40828923830213698</c:v>
                </c:pt>
                <c:pt idx="674">
                  <c:v>0.35084648290793902</c:v>
                </c:pt>
                <c:pt idx="675">
                  <c:v>0.27224745342969903</c:v>
                </c:pt>
                <c:pt idx="676">
                  <c:v>0.76136662783132703</c:v>
                </c:pt>
                <c:pt idx="677">
                  <c:v>0.809328038388197</c:v>
                </c:pt>
                <c:pt idx="678">
                  <c:v>0.81218904893336596</c:v>
                </c:pt>
                <c:pt idx="679">
                  <c:v>0.48701346172830901</c:v>
                </c:pt>
                <c:pt idx="680">
                  <c:v>0.67408172017453905</c:v>
                </c:pt>
                <c:pt idx="681">
                  <c:v>0.59636157260494904</c:v>
                </c:pt>
                <c:pt idx="682">
                  <c:v>0.36901610101030802</c:v>
                </c:pt>
                <c:pt idx="683">
                  <c:v>0.35412710162428401</c:v>
                </c:pt>
                <c:pt idx="684">
                  <c:v>0.63229749917535605</c:v>
                </c:pt>
                <c:pt idx="685">
                  <c:v>0.25734876920356098</c:v>
                </c:pt>
                <c:pt idx="686">
                  <c:v>0.30620367545433502</c:v>
                </c:pt>
                <c:pt idx="687">
                  <c:v>0.80366905718047399</c:v>
                </c:pt>
                <c:pt idx="688">
                  <c:v>0.24457663271278299</c:v>
                </c:pt>
                <c:pt idx="689">
                  <c:v>0.42668127747596202</c:v>
                </c:pt>
                <c:pt idx="690">
                  <c:v>0.57083607974718897</c:v>
                </c:pt>
                <c:pt idx="691">
                  <c:v>0.14102614651037201</c:v>
                </c:pt>
                <c:pt idx="692">
                  <c:v>0.86198246632763698</c:v>
                </c:pt>
                <c:pt idx="693">
                  <c:v>0.83582428586834501</c:v>
                </c:pt>
                <c:pt idx="694">
                  <c:v>0.830391428848821</c:v>
                </c:pt>
                <c:pt idx="695">
                  <c:v>0.16652482921836101</c:v>
                </c:pt>
                <c:pt idx="696">
                  <c:v>0.112048502128214</c:v>
                </c:pt>
                <c:pt idx="697">
                  <c:v>0.219871182367365</c:v>
                </c:pt>
                <c:pt idx="698">
                  <c:v>0.50163897235313504</c:v>
                </c:pt>
                <c:pt idx="699">
                  <c:v>0.36867720976222301</c:v>
                </c:pt>
                <c:pt idx="700">
                  <c:v>0.78952569568769004</c:v>
                </c:pt>
                <c:pt idx="701">
                  <c:v>0.82360808545848296</c:v>
                </c:pt>
                <c:pt idx="702">
                  <c:v>0.44215138494950201</c:v>
                </c:pt>
                <c:pt idx="703">
                  <c:v>0.70727341622238105</c:v>
                </c:pt>
                <c:pt idx="704">
                  <c:v>0.35822880241335597</c:v>
                </c:pt>
                <c:pt idx="705">
                  <c:v>0.831948821251146</c:v>
                </c:pt>
                <c:pt idx="706">
                  <c:v>0.22390719120163599</c:v>
                </c:pt>
                <c:pt idx="707">
                  <c:v>0.68502588335826098</c:v>
                </c:pt>
                <c:pt idx="708">
                  <c:v>0.79516431059053805</c:v>
                </c:pt>
                <c:pt idx="709">
                  <c:v>0.50635720673712803</c:v>
                </c:pt>
                <c:pt idx="710">
                  <c:v>0.29860548600655401</c:v>
                </c:pt>
                <c:pt idx="711">
                  <c:v>0.78883488969210103</c:v>
                </c:pt>
                <c:pt idx="712">
                  <c:v>0.77847917941771405</c:v>
                </c:pt>
                <c:pt idx="713">
                  <c:v>0.81624112904212698</c:v>
                </c:pt>
                <c:pt idx="714">
                  <c:v>0.84544370805487601</c:v>
                </c:pt>
                <c:pt idx="715">
                  <c:v>0.44416705815012397</c:v>
                </c:pt>
                <c:pt idx="716">
                  <c:v>0.33532940567303898</c:v>
                </c:pt>
                <c:pt idx="717">
                  <c:v>0.23364708032741099</c:v>
                </c:pt>
                <c:pt idx="718">
                  <c:v>0.55059657405811802</c:v>
                </c:pt>
                <c:pt idx="719">
                  <c:v>0.13447928957463401</c:v>
                </c:pt>
                <c:pt idx="720">
                  <c:v>0.130676521477154</c:v>
                </c:pt>
                <c:pt idx="721">
                  <c:v>0.375068102238301</c:v>
                </c:pt>
                <c:pt idx="722">
                  <c:v>0.29059384368423202</c:v>
                </c:pt>
                <c:pt idx="723">
                  <c:v>0.74483278071991499</c:v>
                </c:pt>
                <c:pt idx="724">
                  <c:v>0.12538925220584099</c:v>
                </c:pt>
                <c:pt idx="725">
                  <c:v>0.77064668681117399</c:v>
                </c:pt>
                <c:pt idx="726">
                  <c:v>0.66314777801041203</c:v>
                </c:pt>
                <c:pt idx="727">
                  <c:v>0.68852000935353297</c:v>
                </c:pt>
                <c:pt idx="728">
                  <c:v>0.115323234220659</c:v>
                </c:pt>
                <c:pt idx="729">
                  <c:v>0.78497128504009595</c:v>
                </c:pt>
                <c:pt idx="730">
                  <c:v>0.61805853643587805</c:v>
                </c:pt>
                <c:pt idx="731">
                  <c:v>0.42362651350953301</c:v>
                </c:pt>
                <c:pt idx="732">
                  <c:v>0.56347244157875997</c:v>
                </c:pt>
                <c:pt idx="733">
                  <c:v>0.82273789615175696</c:v>
                </c:pt>
                <c:pt idx="734">
                  <c:v>0.359307224819158</c:v>
                </c:pt>
                <c:pt idx="735">
                  <c:v>0.70009194845476697</c:v>
                </c:pt>
                <c:pt idx="736">
                  <c:v>0.74578205611535198</c:v>
                </c:pt>
                <c:pt idx="737">
                  <c:v>0.51074681245084197</c:v>
                </c:pt>
                <c:pt idx="738">
                  <c:v>0.85723625075591603</c:v>
                </c:pt>
                <c:pt idx="739">
                  <c:v>0.74189606181207601</c:v>
                </c:pt>
                <c:pt idx="740">
                  <c:v>0.23245144006694099</c:v>
                </c:pt>
                <c:pt idx="741">
                  <c:v>0.60075756306524097</c:v>
                </c:pt>
                <c:pt idx="742">
                  <c:v>0.36264042996226198</c:v>
                </c:pt>
                <c:pt idx="743">
                  <c:v>0.71262602936767105</c:v>
                </c:pt>
                <c:pt idx="744">
                  <c:v>0.74594686674527599</c:v>
                </c:pt>
                <c:pt idx="745">
                  <c:v>0.43921282372538101</c:v>
                </c:pt>
                <c:pt idx="746">
                  <c:v>0.80303237590068499</c:v>
                </c:pt>
                <c:pt idx="747">
                  <c:v>0.41271028059674297</c:v>
                </c:pt>
                <c:pt idx="748">
                  <c:v>0.80860368563373397</c:v>
                </c:pt>
                <c:pt idx="749">
                  <c:v>0.437274492279836</c:v>
                </c:pt>
                <c:pt idx="750">
                  <c:v>0.22298287695162899</c:v>
                </c:pt>
                <c:pt idx="751">
                  <c:v>0.23814519610898599</c:v>
                </c:pt>
                <c:pt idx="752">
                  <c:v>0.45795376711825803</c:v>
                </c:pt>
                <c:pt idx="753">
                  <c:v>0.343369598346011</c:v>
                </c:pt>
                <c:pt idx="754">
                  <c:v>0.63235657577569504</c:v>
                </c:pt>
                <c:pt idx="755">
                  <c:v>0.47751748210873002</c:v>
                </c:pt>
                <c:pt idx="756">
                  <c:v>0.66004313358710198</c:v>
                </c:pt>
                <c:pt idx="757">
                  <c:v>0.170545705464659</c:v>
                </c:pt>
                <c:pt idx="758">
                  <c:v>0.31805594959650901</c:v>
                </c:pt>
                <c:pt idx="759">
                  <c:v>0.66651199637051595</c:v>
                </c:pt>
                <c:pt idx="760">
                  <c:v>0.66971611691889998</c:v>
                </c:pt>
                <c:pt idx="761">
                  <c:v>0.44614234889306698</c:v>
                </c:pt>
                <c:pt idx="762">
                  <c:v>0.59076795120520798</c:v>
                </c:pt>
                <c:pt idx="763">
                  <c:v>0.86338269885748298</c:v>
                </c:pt>
                <c:pt idx="764">
                  <c:v>0.59647420347997704</c:v>
                </c:pt>
                <c:pt idx="765">
                  <c:v>0.19616340465625201</c:v>
                </c:pt>
                <c:pt idx="766">
                  <c:v>0.55980400114550199</c:v>
                </c:pt>
                <c:pt idx="767">
                  <c:v>0.14296844743346501</c:v>
                </c:pt>
                <c:pt idx="768">
                  <c:v>0.39837368146197899</c:v>
                </c:pt>
                <c:pt idx="769">
                  <c:v>0.30461135667237199</c:v>
                </c:pt>
                <c:pt idx="770">
                  <c:v>0.88107902109524106</c:v>
                </c:pt>
                <c:pt idx="771">
                  <c:v>0.12808353342670001</c:v>
                </c:pt>
                <c:pt idx="772">
                  <c:v>0.52821766198814402</c:v>
                </c:pt>
                <c:pt idx="773">
                  <c:v>0.777415013252159</c:v>
                </c:pt>
                <c:pt idx="774">
                  <c:v>0.40371632235903698</c:v>
                </c:pt>
                <c:pt idx="775">
                  <c:v>0.82879069378991999</c:v>
                </c:pt>
                <c:pt idx="776">
                  <c:v>0.86200357735036703</c:v>
                </c:pt>
                <c:pt idx="777">
                  <c:v>0.81980477527147899</c:v>
                </c:pt>
                <c:pt idx="778">
                  <c:v>0.85504815327001804</c:v>
                </c:pt>
                <c:pt idx="779">
                  <c:v>0.43719043362918703</c:v>
                </c:pt>
                <c:pt idx="780">
                  <c:v>0.33495982517711298</c:v>
                </c:pt>
                <c:pt idx="781">
                  <c:v>0.17285831735724</c:v>
                </c:pt>
                <c:pt idx="782">
                  <c:v>0.73999800849506703</c:v>
                </c:pt>
                <c:pt idx="783">
                  <c:v>0.32163052761480199</c:v>
                </c:pt>
                <c:pt idx="784">
                  <c:v>0.73841290743170196</c:v>
                </c:pt>
                <c:pt idx="785">
                  <c:v>0.23910894188276599</c:v>
                </c:pt>
                <c:pt idx="786">
                  <c:v>0.121834058423143</c:v>
                </c:pt>
                <c:pt idx="787">
                  <c:v>0.73051664361777202</c:v>
                </c:pt>
                <c:pt idx="788">
                  <c:v>0.22171199072803399</c:v>
                </c:pt>
                <c:pt idx="789">
                  <c:v>0.73211715866910898</c:v>
                </c:pt>
                <c:pt idx="790">
                  <c:v>0.803905198198272</c:v>
                </c:pt>
                <c:pt idx="791">
                  <c:v>0.23407969897719799</c:v>
                </c:pt>
                <c:pt idx="792">
                  <c:v>0.79320163701428004</c:v>
                </c:pt>
                <c:pt idx="793">
                  <c:v>0.85317894899199398</c:v>
                </c:pt>
                <c:pt idx="794">
                  <c:v>0.14669104407505801</c:v>
                </c:pt>
                <c:pt idx="795">
                  <c:v>0.26411543221734002</c:v>
                </c:pt>
                <c:pt idx="796">
                  <c:v>0.72399353121997001</c:v>
                </c:pt>
                <c:pt idx="797">
                  <c:v>0.64308089549371905</c:v>
                </c:pt>
                <c:pt idx="798">
                  <c:v>0.86180784057898896</c:v>
                </c:pt>
                <c:pt idx="799">
                  <c:v>0.39986539568045099</c:v>
                </c:pt>
                <c:pt idx="800">
                  <c:v>0.62655710820071397</c:v>
                </c:pt>
                <c:pt idx="801">
                  <c:v>0.29795065890322397</c:v>
                </c:pt>
                <c:pt idx="802">
                  <c:v>0.37325660027506602</c:v>
                </c:pt>
                <c:pt idx="803">
                  <c:v>0.65395506826289496</c:v>
                </c:pt>
                <c:pt idx="804">
                  <c:v>0.73448713415822497</c:v>
                </c:pt>
                <c:pt idx="805">
                  <c:v>0.39860322546857702</c:v>
                </c:pt>
                <c:pt idx="806">
                  <c:v>0.26798995123023001</c:v>
                </c:pt>
                <c:pt idx="807">
                  <c:v>0.321963746639992</c:v>
                </c:pt>
                <c:pt idx="808">
                  <c:v>0.124176013618535</c:v>
                </c:pt>
                <c:pt idx="809">
                  <c:v>0.59435067911041195</c:v>
                </c:pt>
                <c:pt idx="810">
                  <c:v>0.59300810862651299</c:v>
                </c:pt>
                <c:pt idx="811">
                  <c:v>0.24713082252840701</c:v>
                </c:pt>
                <c:pt idx="812">
                  <c:v>0.26547644597058101</c:v>
                </c:pt>
                <c:pt idx="813">
                  <c:v>0.52252606456140605</c:v>
                </c:pt>
                <c:pt idx="814">
                  <c:v>0.77717668712383603</c:v>
                </c:pt>
                <c:pt idx="815">
                  <c:v>0.50857595096860797</c:v>
                </c:pt>
                <c:pt idx="816">
                  <c:v>0.105071570547286</c:v>
                </c:pt>
                <c:pt idx="817">
                  <c:v>0.223316516601688</c:v>
                </c:pt>
                <c:pt idx="818">
                  <c:v>0.51220025372818301</c:v>
                </c:pt>
                <c:pt idx="819">
                  <c:v>0.128713474247106</c:v>
                </c:pt>
                <c:pt idx="820">
                  <c:v>0.15902042357145399</c:v>
                </c:pt>
                <c:pt idx="821">
                  <c:v>0.79804544042770298</c:v>
                </c:pt>
                <c:pt idx="822">
                  <c:v>0.876539665128239</c:v>
                </c:pt>
                <c:pt idx="823">
                  <c:v>0.37766915677863599</c:v>
                </c:pt>
                <c:pt idx="824">
                  <c:v>0.29385790658660899</c:v>
                </c:pt>
                <c:pt idx="825">
                  <c:v>0.88799076944435296</c:v>
                </c:pt>
                <c:pt idx="826">
                  <c:v>0.64152180328178499</c:v>
                </c:pt>
                <c:pt idx="827">
                  <c:v>0.34462615233789001</c:v>
                </c:pt>
                <c:pt idx="828">
                  <c:v>0.193866190106153</c:v>
                </c:pt>
                <c:pt idx="829">
                  <c:v>0.85223802904113399</c:v>
                </c:pt>
                <c:pt idx="830">
                  <c:v>0.65840310804419999</c:v>
                </c:pt>
                <c:pt idx="831">
                  <c:v>0.51079268996434601</c:v>
                </c:pt>
                <c:pt idx="832">
                  <c:v>0.72338528164222204</c:v>
                </c:pt>
                <c:pt idx="833">
                  <c:v>0.46706583279990699</c:v>
                </c:pt>
                <c:pt idx="834">
                  <c:v>0.25227776514889</c:v>
                </c:pt>
                <c:pt idx="835">
                  <c:v>0.112750005243062</c:v>
                </c:pt>
                <c:pt idx="836">
                  <c:v>0.43146383549620898</c:v>
                </c:pt>
                <c:pt idx="837">
                  <c:v>0.89447910375845097</c:v>
                </c:pt>
                <c:pt idx="838">
                  <c:v>0.48920225925281302</c:v>
                </c:pt>
                <c:pt idx="839">
                  <c:v>0.53768214879655196</c:v>
                </c:pt>
                <c:pt idx="840">
                  <c:v>0.89417136955811505</c:v>
                </c:pt>
                <c:pt idx="841">
                  <c:v>0.43404060590457599</c:v>
                </c:pt>
                <c:pt idx="842">
                  <c:v>0.61672568124914895</c:v>
                </c:pt>
                <c:pt idx="843">
                  <c:v>0.17596363338270599</c:v>
                </c:pt>
                <c:pt idx="844">
                  <c:v>0.38031367084177098</c:v>
                </c:pt>
                <c:pt idx="845">
                  <c:v>0.29303974348485401</c:v>
                </c:pt>
                <c:pt idx="846">
                  <c:v>0.57864357408864897</c:v>
                </c:pt>
                <c:pt idx="847">
                  <c:v>0.24180007626385</c:v>
                </c:pt>
                <c:pt idx="848">
                  <c:v>0.56794310696287997</c:v>
                </c:pt>
                <c:pt idx="849">
                  <c:v>0.76930676207918502</c:v>
                </c:pt>
                <c:pt idx="850">
                  <c:v>0.40420550173893199</c:v>
                </c:pt>
                <c:pt idx="851">
                  <c:v>0.82901702349625905</c:v>
                </c:pt>
                <c:pt idx="852">
                  <c:v>0.55186887873067003</c:v>
                </c:pt>
                <c:pt idx="853">
                  <c:v>0.88012111027155004</c:v>
                </c:pt>
                <c:pt idx="854">
                  <c:v>0.18107130403240701</c:v>
                </c:pt>
                <c:pt idx="855">
                  <c:v>0.818804306654206</c:v>
                </c:pt>
                <c:pt idx="856">
                  <c:v>0.46036500745741299</c:v>
                </c:pt>
                <c:pt idx="857">
                  <c:v>0.48944976054439998</c:v>
                </c:pt>
                <c:pt idx="858">
                  <c:v>0.62627475172730396</c:v>
                </c:pt>
                <c:pt idx="859">
                  <c:v>0.71869660751538</c:v>
                </c:pt>
                <c:pt idx="860">
                  <c:v>0.16132718193717699</c:v>
                </c:pt>
                <c:pt idx="861">
                  <c:v>0.390895966172427</c:v>
                </c:pt>
                <c:pt idx="862">
                  <c:v>0.71000851792480402</c:v>
                </c:pt>
                <c:pt idx="863">
                  <c:v>0.51262798409587695</c:v>
                </c:pt>
                <c:pt idx="864">
                  <c:v>0.36200475601809201</c:v>
                </c:pt>
                <c:pt idx="865">
                  <c:v>0.78444702217089601</c:v>
                </c:pt>
                <c:pt idx="866">
                  <c:v>0.58387814884073996</c:v>
                </c:pt>
                <c:pt idx="867">
                  <c:v>0.34128043508212202</c:v>
                </c:pt>
                <c:pt idx="868">
                  <c:v>0.80140261472524899</c:v>
                </c:pt>
                <c:pt idx="869">
                  <c:v>0.68075585523411297</c:v>
                </c:pt>
                <c:pt idx="870">
                  <c:v>0.42119251004567998</c:v>
                </c:pt>
                <c:pt idx="871">
                  <c:v>0.585218672466711</c:v>
                </c:pt>
                <c:pt idx="872">
                  <c:v>0.74271018705469805</c:v>
                </c:pt>
                <c:pt idx="873">
                  <c:v>0.19504578496733499</c:v>
                </c:pt>
                <c:pt idx="874">
                  <c:v>0.71492477086223605</c:v>
                </c:pt>
                <c:pt idx="875">
                  <c:v>0.30975236069408801</c:v>
                </c:pt>
                <c:pt idx="876">
                  <c:v>0.40817495094547002</c:v>
                </c:pt>
                <c:pt idx="877">
                  <c:v>0.25738061013765001</c:v>
                </c:pt>
                <c:pt idx="878">
                  <c:v>0.36888608470122702</c:v>
                </c:pt>
                <c:pt idx="879">
                  <c:v>0.62281300137062701</c:v>
                </c:pt>
                <c:pt idx="880">
                  <c:v>0.79460754830451497</c:v>
                </c:pt>
                <c:pt idx="881">
                  <c:v>0.73736729364061604</c:v>
                </c:pt>
                <c:pt idx="882">
                  <c:v>0.84257387443308795</c:v>
                </c:pt>
                <c:pt idx="883">
                  <c:v>0.50875860731624301</c:v>
                </c:pt>
                <c:pt idx="884">
                  <c:v>0.89500526609414299</c:v>
                </c:pt>
                <c:pt idx="885">
                  <c:v>0.46984706700022499</c:v>
                </c:pt>
                <c:pt idx="886">
                  <c:v>0.84229165296301101</c:v>
                </c:pt>
                <c:pt idx="887">
                  <c:v>0.22394916668794099</c:v>
                </c:pt>
                <c:pt idx="888">
                  <c:v>0.17783873752276999</c:v>
                </c:pt>
                <c:pt idx="889">
                  <c:v>0.34919267430954798</c:v>
                </c:pt>
                <c:pt idx="890">
                  <c:v>0.23109495043091099</c:v>
                </c:pt>
                <c:pt idx="891">
                  <c:v>0.56299090308720501</c:v>
                </c:pt>
                <c:pt idx="892">
                  <c:v>0.51857596536782402</c:v>
                </c:pt>
                <c:pt idx="893">
                  <c:v>0.80767601995879801</c:v>
                </c:pt>
                <c:pt idx="894">
                  <c:v>0.63094550861588805</c:v>
                </c:pt>
                <c:pt idx="895">
                  <c:v>0.27246542619880898</c:v>
                </c:pt>
                <c:pt idx="896">
                  <c:v>0.41389102358740998</c:v>
                </c:pt>
                <c:pt idx="897">
                  <c:v>0.72862790598454896</c:v>
                </c:pt>
                <c:pt idx="898">
                  <c:v>0.35920303583871599</c:v>
                </c:pt>
                <c:pt idx="899">
                  <c:v>0.87093477322772805</c:v>
                </c:pt>
                <c:pt idx="900">
                  <c:v>0.107107845276547</c:v>
                </c:pt>
                <c:pt idx="901">
                  <c:v>0.25045115143059099</c:v>
                </c:pt>
                <c:pt idx="902">
                  <c:v>0.104731035277706</c:v>
                </c:pt>
                <c:pt idx="903">
                  <c:v>0.43596449402653598</c:v>
                </c:pt>
                <c:pt idx="904">
                  <c:v>0.82086525065124005</c:v>
                </c:pt>
                <c:pt idx="905">
                  <c:v>0.23877783214661699</c:v>
                </c:pt>
                <c:pt idx="906">
                  <c:v>0.44966905857348199</c:v>
                </c:pt>
                <c:pt idx="907">
                  <c:v>0.21144133893974301</c:v>
                </c:pt>
                <c:pt idx="908">
                  <c:v>0.41536006488573302</c:v>
                </c:pt>
                <c:pt idx="909">
                  <c:v>0.23217390364665899</c:v>
                </c:pt>
                <c:pt idx="910">
                  <c:v>0.107784610114212</c:v>
                </c:pt>
                <c:pt idx="911">
                  <c:v>0.58717223941376095</c:v>
                </c:pt>
                <c:pt idx="912">
                  <c:v>0.19375617939381601</c:v>
                </c:pt>
                <c:pt idx="913">
                  <c:v>0.57565730036144702</c:v>
                </c:pt>
                <c:pt idx="914">
                  <c:v>0.82722547641830402</c:v>
                </c:pt>
                <c:pt idx="915">
                  <c:v>0.20066829470289799</c:v>
                </c:pt>
                <c:pt idx="916">
                  <c:v>0.13253041160638099</c:v>
                </c:pt>
                <c:pt idx="917">
                  <c:v>0.70801832503683004</c:v>
                </c:pt>
                <c:pt idx="918">
                  <c:v>0.57077435954473099</c:v>
                </c:pt>
                <c:pt idx="919">
                  <c:v>0.74499937326997701</c:v>
                </c:pt>
                <c:pt idx="920">
                  <c:v>0.71511048327136195</c:v>
                </c:pt>
                <c:pt idx="921">
                  <c:v>0.249526296714153</c:v>
                </c:pt>
                <c:pt idx="922">
                  <c:v>0.48599974185294798</c:v>
                </c:pt>
                <c:pt idx="923">
                  <c:v>0.56450955280877702</c:v>
                </c:pt>
                <c:pt idx="924">
                  <c:v>0.42703604685130597</c:v>
                </c:pt>
                <c:pt idx="925">
                  <c:v>0.62274621140758701</c:v>
                </c:pt>
                <c:pt idx="926">
                  <c:v>0.753564151673629</c:v>
                </c:pt>
                <c:pt idx="927">
                  <c:v>0.57753982828592798</c:v>
                </c:pt>
                <c:pt idx="928">
                  <c:v>0.72913971957812995</c:v>
                </c:pt>
                <c:pt idx="929">
                  <c:v>0.32148420038905101</c:v>
                </c:pt>
                <c:pt idx="930">
                  <c:v>0.55625056144981699</c:v>
                </c:pt>
                <c:pt idx="931">
                  <c:v>0.37541258123534699</c:v>
                </c:pt>
                <c:pt idx="932">
                  <c:v>0.28678133954719598</c:v>
                </c:pt>
                <c:pt idx="933">
                  <c:v>0.87746691812988598</c:v>
                </c:pt>
                <c:pt idx="934">
                  <c:v>0.65183634726389095</c:v>
                </c:pt>
                <c:pt idx="935">
                  <c:v>0.19315869628423901</c:v>
                </c:pt>
                <c:pt idx="936">
                  <c:v>0.68567733163106703</c:v>
                </c:pt>
                <c:pt idx="937">
                  <c:v>0.76495418115839497</c:v>
                </c:pt>
                <c:pt idx="938">
                  <c:v>0.46045963245527199</c:v>
                </c:pt>
                <c:pt idx="939">
                  <c:v>0.66241459467053698</c:v>
                </c:pt>
                <c:pt idx="940">
                  <c:v>0.829602596684195</c:v>
                </c:pt>
                <c:pt idx="941">
                  <c:v>0.89915083287178199</c:v>
                </c:pt>
                <c:pt idx="942">
                  <c:v>0.53999199197828496</c:v>
                </c:pt>
                <c:pt idx="943">
                  <c:v>0.60159358176731803</c:v>
                </c:pt>
                <c:pt idx="944">
                  <c:v>0.41526634150604402</c:v>
                </c:pt>
                <c:pt idx="945">
                  <c:v>0.69916796142536597</c:v>
                </c:pt>
                <c:pt idx="946">
                  <c:v>0.31709208297019198</c:v>
                </c:pt>
                <c:pt idx="947">
                  <c:v>0.38810584957781102</c:v>
                </c:pt>
                <c:pt idx="948">
                  <c:v>0.628221952607249</c:v>
                </c:pt>
                <c:pt idx="949">
                  <c:v>0.76343812849881798</c:v>
                </c:pt>
                <c:pt idx="950">
                  <c:v>0.84361351858960898</c:v>
                </c:pt>
                <c:pt idx="951">
                  <c:v>0.21800522778753501</c:v>
                </c:pt>
                <c:pt idx="952">
                  <c:v>0.80652134720993596</c:v>
                </c:pt>
                <c:pt idx="953">
                  <c:v>0.7153139203351</c:v>
                </c:pt>
                <c:pt idx="954">
                  <c:v>0.18366574645631101</c:v>
                </c:pt>
                <c:pt idx="955">
                  <c:v>0.71922850603553101</c:v>
                </c:pt>
                <c:pt idx="956">
                  <c:v>0.231954495258967</c:v>
                </c:pt>
                <c:pt idx="957">
                  <c:v>0.64559255154871797</c:v>
                </c:pt>
                <c:pt idx="958">
                  <c:v>0.29114356641641298</c:v>
                </c:pt>
                <c:pt idx="959">
                  <c:v>0.37348529383247198</c:v>
                </c:pt>
                <c:pt idx="960">
                  <c:v>0.32814539112516</c:v>
                </c:pt>
                <c:pt idx="961">
                  <c:v>0.31951205882040301</c:v>
                </c:pt>
                <c:pt idx="962">
                  <c:v>0.41079137979570501</c:v>
                </c:pt>
                <c:pt idx="963">
                  <c:v>0.71207464420764499</c:v>
                </c:pt>
                <c:pt idx="964">
                  <c:v>0.887304653362742</c:v>
                </c:pt>
                <c:pt idx="965">
                  <c:v>0.65085609236608299</c:v>
                </c:pt>
                <c:pt idx="966">
                  <c:v>0.25284310772893898</c:v>
                </c:pt>
                <c:pt idx="967">
                  <c:v>0.88647601498571005</c:v>
                </c:pt>
                <c:pt idx="968">
                  <c:v>0.41718731823739202</c:v>
                </c:pt>
                <c:pt idx="969">
                  <c:v>0.63455746545553304</c:v>
                </c:pt>
                <c:pt idx="970">
                  <c:v>0.34903630735643898</c:v>
                </c:pt>
                <c:pt idx="971">
                  <c:v>0.42448492790395298</c:v>
                </c:pt>
                <c:pt idx="972">
                  <c:v>0.62702947306172996</c:v>
                </c:pt>
                <c:pt idx="973">
                  <c:v>0.73668831680847002</c:v>
                </c:pt>
                <c:pt idx="974">
                  <c:v>0.28034573439531801</c:v>
                </c:pt>
                <c:pt idx="975">
                  <c:v>0.12296960259332899</c:v>
                </c:pt>
                <c:pt idx="976">
                  <c:v>0.53115263471933705</c:v>
                </c:pt>
                <c:pt idx="977">
                  <c:v>0.31732995767247801</c:v>
                </c:pt>
                <c:pt idx="978">
                  <c:v>0.59645158840020895</c:v>
                </c:pt>
                <c:pt idx="979">
                  <c:v>0.18702479103540201</c:v>
                </c:pt>
                <c:pt idx="980">
                  <c:v>0.85167121124523404</c:v>
                </c:pt>
                <c:pt idx="981">
                  <c:v>0.36693337141537102</c:v>
                </c:pt>
                <c:pt idx="982">
                  <c:v>0.57119172966309195</c:v>
                </c:pt>
                <c:pt idx="983">
                  <c:v>0.72446316577674097</c:v>
                </c:pt>
                <c:pt idx="984">
                  <c:v>0.69113738689547399</c:v>
                </c:pt>
                <c:pt idx="985">
                  <c:v>0.472824872199335</c:v>
                </c:pt>
                <c:pt idx="986">
                  <c:v>0.13338349530431201</c:v>
                </c:pt>
                <c:pt idx="987">
                  <c:v>0.559460865733998</c:v>
                </c:pt>
                <c:pt idx="988">
                  <c:v>0.46611175792098403</c:v>
                </c:pt>
                <c:pt idx="989">
                  <c:v>0.22585057742572201</c:v>
                </c:pt>
                <c:pt idx="990">
                  <c:v>0.44190259938465798</c:v>
                </c:pt>
                <c:pt idx="991">
                  <c:v>0.41076858546784301</c:v>
                </c:pt>
                <c:pt idx="992">
                  <c:v>0.14356321063321401</c:v>
                </c:pt>
                <c:pt idx="993">
                  <c:v>0.74807245132153199</c:v>
                </c:pt>
                <c:pt idx="994">
                  <c:v>0.76029819821521105</c:v>
                </c:pt>
                <c:pt idx="995">
                  <c:v>0.81334159860427602</c:v>
                </c:pt>
                <c:pt idx="996">
                  <c:v>0.70204970555929003</c:v>
                </c:pt>
                <c:pt idx="997">
                  <c:v>0.82698885569533398</c:v>
                </c:pt>
                <c:pt idx="998">
                  <c:v>0.727492497572235</c:v>
                </c:pt>
                <c:pt idx="999">
                  <c:v>0.17480311329185</c:v>
                </c:pt>
                <c:pt idx="1000">
                  <c:v>0.86374530055619103</c:v>
                </c:pt>
                <c:pt idx="1001">
                  <c:v>0.55515975787717198</c:v>
                </c:pt>
                <c:pt idx="1002">
                  <c:v>0.38413844484384202</c:v>
                </c:pt>
                <c:pt idx="1003">
                  <c:v>0.53028939220062898</c:v>
                </c:pt>
                <c:pt idx="1004">
                  <c:v>0.181339422593287</c:v>
                </c:pt>
                <c:pt idx="1005">
                  <c:v>0.26621500278148402</c:v>
                </c:pt>
                <c:pt idx="1006">
                  <c:v>0.66410737488844196</c:v>
                </c:pt>
                <c:pt idx="1007">
                  <c:v>0.38326254610994798</c:v>
                </c:pt>
                <c:pt idx="1008">
                  <c:v>0.103525680622421</c:v>
                </c:pt>
                <c:pt idx="1009">
                  <c:v>0.31931848545824199</c:v>
                </c:pt>
                <c:pt idx="1010">
                  <c:v>0.39456913150780298</c:v>
                </c:pt>
                <c:pt idx="1011">
                  <c:v>0.57043798695576897</c:v>
                </c:pt>
                <c:pt idx="1012">
                  <c:v>0.46636642076601498</c:v>
                </c:pt>
                <c:pt idx="1013">
                  <c:v>0.57628420213083298</c:v>
                </c:pt>
                <c:pt idx="1014">
                  <c:v>0.57953617663905199</c:v>
                </c:pt>
                <c:pt idx="1015">
                  <c:v>0.79185760435980701</c:v>
                </c:pt>
                <c:pt idx="1016">
                  <c:v>0.33407174412787199</c:v>
                </c:pt>
                <c:pt idx="1017">
                  <c:v>0.13190508236896001</c:v>
                </c:pt>
                <c:pt idx="1018">
                  <c:v>0.778786263127764</c:v>
                </c:pt>
                <c:pt idx="1019">
                  <c:v>0.79427351210620101</c:v>
                </c:pt>
                <c:pt idx="1020">
                  <c:v>0.24465766310293999</c:v>
                </c:pt>
                <c:pt idx="1021">
                  <c:v>0.12771670347539499</c:v>
                </c:pt>
                <c:pt idx="1022">
                  <c:v>0.40571395460406501</c:v>
                </c:pt>
                <c:pt idx="1023">
                  <c:v>0.65988802075401698</c:v>
                </c:pt>
                <c:pt idx="1024">
                  <c:v>0.46594258268414102</c:v>
                </c:pt>
                <c:pt idx="1025">
                  <c:v>0.18547426215728199</c:v>
                </c:pt>
                <c:pt idx="1026">
                  <c:v>0.80042460923437597</c:v>
                </c:pt>
                <c:pt idx="1027">
                  <c:v>0.104728526609491</c:v>
                </c:pt>
                <c:pt idx="1028">
                  <c:v>0.45780097594792901</c:v>
                </c:pt>
                <c:pt idx="1029">
                  <c:v>0.82590069187790804</c:v>
                </c:pt>
                <c:pt idx="1030">
                  <c:v>0.44843813461036602</c:v>
                </c:pt>
                <c:pt idx="1031">
                  <c:v>0.31182280563081899</c:v>
                </c:pt>
                <c:pt idx="1032">
                  <c:v>0.49705655363545997</c:v>
                </c:pt>
                <c:pt idx="1033">
                  <c:v>0.72665128319822203</c:v>
                </c:pt>
                <c:pt idx="1034">
                  <c:v>0.44462422223356302</c:v>
                </c:pt>
                <c:pt idx="1035">
                  <c:v>0.81263478855239901</c:v>
                </c:pt>
                <c:pt idx="1036">
                  <c:v>0.82220196033235404</c:v>
                </c:pt>
                <c:pt idx="1037">
                  <c:v>0.37588428096541099</c:v>
                </c:pt>
                <c:pt idx="1038">
                  <c:v>0.89971626940748295</c:v>
                </c:pt>
                <c:pt idx="1039">
                  <c:v>0.69977998720046697</c:v>
                </c:pt>
                <c:pt idx="1040">
                  <c:v>0.85509049246365898</c:v>
                </c:pt>
                <c:pt idx="1041">
                  <c:v>0.895217672808021</c:v>
                </c:pt>
                <c:pt idx="1042">
                  <c:v>0.21547358142600601</c:v>
                </c:pt>
                <c:pt idx="1043">
                  <c:v>0.28322143318708198</c:v>
                </c:pt>
                <c:pt idx="1044">
                  <c:v>0.60438035281920999</c:v>
                </c:pt>
                <c:pt idx="1045">
                  <c:v>0.77409080651003803</c:v>
                </c:pt>
                <c:pt idx="1046">
                  <c:v>0.83018396709702003</c:v>
                </c:pt>
                <c:pt idx="1047">
                  <c:v>0.629424714190853</c:v>
                </c:pt>
                <c:pt idx="1048">
                  <c:v>0.44740287142271701</c:v>
                </c:pt>
                <c:pt idx="1049">
                  <c:v>0.70007590808758702</c:v>
                </c:pt>
                <c:pt idx="1050">
                  <c:v>0.879341535628687</c:v>
                </c:pt>
                <c:pt idx="1051">
                  <c:v>0.20569201257320399</c:v>
                </c:pt>
                <c:pt idx="1052">
                  <c:v>0.34253414590805897</c:v>
                </c:pt>
                <c:pt idx="1053">
                  <c:v>0.77116942418669998</c:v>
                </c:pt>
                <c:pt idx="1054">
                  <c:v>0.51509559289275797</c:v>
                </c:pt>
                <c:pt idx="1055">
                  <c:v>0.66015766703429202</c:v>
                </c:pt>
                <c:pt idx="1056">
                  <c:v>0.20544378440681099</c:v>
                </c:pt>
                <c:pt idx="1057">
                  <c:v>0.18925752710167101</c:v>
                </c:pt>
                <c:pt idx="1058">
                  <c:v>0.63100151210907396</c:v>
                </c:pt>
                <c:pt idx="1059">
                  <c:v>0.80618417351609895</c:v>
                </c:pt>
                <c:pt idx="1060">
                  <c:v>0.66720067861347299</c:v>
                </c:pt>
                <c:pt idx="1061">
                  <c:v>0.48039401778580998</c:v>
                </c:pt>
                <c:pt idx="1062">
                  <c:v>0.31550774196013498</c:v>
                </c:pt>
                <c:pt idx="1063">
                  <c:v>0.123413426150637</c:v>
                </c:pt>
                <c:pt idx="1064">
                  <c:v>0.40412712770848602</c:v>
                </c:pt>
                <c:pt idx="1065">
                  <c:v>0.19849086794096399</c:v>
                </c:pt>
                <c:pt idx="1066">
                  <c:v>0.48267755392752298</c:v>
                </c:pt>
                <c:pt idx="1067">
                  <c:v>0.56856123719336804</c:v>
                </c:pt>
                <c:pt idx="1068">
                  <c:v>0.88289718372391002</c:v>
                </c:pt>
                <c:pt idx="1069">
                  <c:v>0.25537459596321299</c:v>
                </c:pt>
                <c:pt idx="1070">
                  <c:v>0.58659553372231599</c:v>
                </c:pt>
                <c:pt idx="1071">
                  <c:v>0.33939703931148402</c:v>
                </c:pt>
                <c:pt idx="1072">
                  <c:v>0.181056361008989</c:v>
                </c:pt>
                <c:pt idx="1073">
                  <c:v>0.82893561080042599</c:v>
                </c:pt>
                <c:pt idx="1074">
                  <c:v>0.81967535546276304</c:v>
                </c:pt>
                <c:pt idx="1075">
                  <c:v>0.56745164916201996</c:v>
                </c:pt>
                <c:pt idx="1076">
                  <c:v>0.249405559921834</c:v>
                </c:pt>
                <c:pt idx="1077">
                  <c:v>0.86578881324327495</c:v>
                </c:pt>
                <c:pt idx="1078">
                  <c:v>0.118263297082378</c:v>
                </c:pt>
                <c:pt idx="1079">
                  <c:v>0.88343496730544002</c:v>
                </c:pt>
                <c:pt idx="1080">
                  <c:v>0.15889393270438701</c:v>
                </c:pt>
                <c:pt idx="1081">
                  <c:v>0.40195303783709702</c:v>
                </c:pt>
                <c:pt idx="1082">
                  <c:v>0.45159470406603902</c:v>
                </c:pt>
                <c:pt idx="1083">
                  <c:v>0.27179436444578797</c:v>
                </c:pt>
                <c:pt idx="1084">
                  <c:v>0.34218522188294997</c:v>
                </c:pt>
                <c:pt idx="1085">
                  <c:v>0.82913416287916397</c:v>
                </c:pt>
                <c:pt idx="1086">
                  <c:v>0.13789911610448699</c:v>
                </c:pt>
                <c:pt idx="1087">
                  <c:v>0.55526419438310703</c:v>
                </c:pt>
                <c:pt idx="1088">
                  <c:v>0.58295788456125597</c:v>
                </c:pt>
                <c:pt idx="1089">
                  <c:v>0.43047408695823203</c:v>
                </c:pt>
                <c:pt idx="1090">
                  <c:v>0.888428735438485</c:v>
                </c:pt>
                <c:pt idx="1091">
                  <c:v>0.22460049190345599</c:v>
                </c:pt>
                <c:pt idx="1092">
                  <c:v>0.73185911606065701</c:v>
                </c:pt>
                <c:pt idx="1093">
                  <c:v>0.37478992928085397</c:v>
                </c:pt>
                <c:pt idx="1094">
                  <c:v>0.799459519581874</c:v>
                </c:pt>
                <c:pt idx="1095">
                  <c:v>0.86358099263954902</c:v>
                </c:pt>
                <c:pt idx="1096">
                  <c:v>0.41183165374684599</c:v>
                </c:pt>
                <c:pt idx="1097">
                  <c:v>0.404198113021144</c:v>
                </c:pt>
                <c:pt idx="1098">
                  <c:v>0.226146959788632</c:v>
                </c:pt>
                <c:pt idx="1099">
                  <c:v>0.24164291387620701</c:v>
                </c:pt>
                <c:pt idx="1100">
                  <c:v>0.23634236926871299</c:v>
                </c:pt>
                <c:pt idx="1101">
                  <c:v>0.55830674704960703</c:v>
                </c:pt>
                <c:pt idx="1102">
                  <c:v>0.814113277469658</c:v>
                </c:pt>
                <c:pt idx="1103">
                  <c:v>0.174340744624086</c:v>
                </c:pt>
                <c:pt idx="1104">
                  <c:v>0.83861635582627903</c:v>
                </c:pt>
                <c:pt idx="1105">
                  <c:v>0.51091620747171695</c:v>
                </c:pt>
                <c:pt idx="1106">
                  <c:v>0.50743092524675903</c:v>
                </c:pt>
                <c:pt idx="1107">
                  <c:v>0.70054061331057405</c:v>
                </c:pt>
                <c:pt idx="1108">
                  <c:v>0.13832597612341799</c:v>
                </c:pt>
                <c:pt idx="1109">
                  <c:v>0.52112300034326098</c:v>
                </c:pt>
                <c:pt idx="1110">
                  <c:v>0.72726986221463596</c:v>
                </c:pt>
                <c:pt idx="1111">
                  <c:v>0.34642308724940701</c:v>
                </c:pt>
                <c:pt idx="1112">
                  <c:v>0.29346281970416799</c:v>
                </c:pt>
                <c:pt idx="1113">
                  <c:v>0.177705983583819</c:v>
                </c:pt>
                <c:pt idx="1114">
                  <c:v>0.66087042554907005</c:v>
                </c:pt>
                <c:pt idx="1115">
                  <c:v>0.55754692206906897</c:v>
                </c:pt>
                <c:pt idx="1116">
                  <c:v>0.81881340402457403</c:v>
                </c:pt>
                <c:pt idx="1117">
                  <c:v>0.83508728676704602</c:v>
                </c:pt>
                <c:pt idx="1118">
                  <c:v>0.56994244971573105</c:v>
                </c:pt>
                <c:pt idx="1119">
                  <c:v>0.69457034270924101</c:v>
                </c:pt>
                <c:pt idx="1120">
                  <c:v>0.12271259880148901</c:v>
                </c:pt>
                <c:pt idx="1121">
                  <c:v>0.10683203418172001</c:v>
                </c:pt>
                <c:pt idx="1122">
                  <c:v>0.76037672414809598</c:v>
                </c:pt>
                <c:pt idx="1123">
                  <c:v>0.42935818166392598</c:v>
                </c:pt>
                <c:pt idx="1124">
                  <c:v>0.37140653010000402</c:v>
                </c:pt>
                <c:pt idx="1125">
                  <c:v>0.27990504631847901</c:v>
                </c:pt>
                <c:pt idx="1126">
                  <c:v>0.78697988635427096</c:v>
                </c:pt>
                <c:pt idx="1127">
                  <c:v>0.32997225908427502</c:v>
                </c:pt>
                <c:pt idx="1128">
                  <c:v>0.41748808024210399</c:v>
                </c:pt>
                <c:pt idx="1129">
                  <c:v>0.54832490791058597</c:v>
                </c:pt>
                <c:pt idx="1130">
                  <c:v>0.102736727425304</c:v>
                </c:pt>
                <c:pt idx="1131">
                  <c:v>0.76464326951847195</c:v>
                </c:pt>
                <c:pt idx="1132">
                  <c:v>0.74609315567394696</c:v>
                </c:pt>
                <c:pt idx="1133">
                  <c:v>0.245047957566118</c:v>
                </c:pt>
                <c:pt idx="1134">
                  <c:v>0.33445991101515299</c:v>
                </c:pt>
                <c:pt idx="1135">
                  <c:v>0.44913932093687597</c:v>
                </c:pt>
                <c:pt idx="1136">
                  <c:v>0.52980214250042101</c:v>
                </c:pt>
                <c:pt idx="1137">
                  <c:v>0.28141854327245103</c:v>
                </c:pt>
                <c:pt idx="1138">
                  <c:v>0.446463594136154</c:v>
                </c:pt>
                <c:pt idx="1139">
                  <c:v>0.148358024435994</c:v>
                </c:pt>
                <c:pt idx="1140">
                  <c:v>0.16819240762815801</c:v>
                </c:pt>
                <c:pt idx="1141">
                  <c:v>0.40806788097547297</c:v>
                </c:pt>
                <c:pt idx="1142">
                  <c:v>0.28919029667234603</c:v>
                </c:pt>
                <c:pt idx="1143">
                  <c:v>0.35223624856057301</c:v>
                </c:pt>
                <c:pt idx="1144">
                  <c:v>0.65399151027412705</c:v>
                </c:pt>
                <c:pt idx="1145">
                  <c:v>0.30670965404019701</c:v>
                </c:pt>
                <c:pt idx="1146">
                  <c:v>0.18241446118174401</c:v>
                </c:pt>
                <c:pt idx="1147">
                  <c:v>0.30392825735867002</c:v>
                </c:pt>
                <c:pt idx="1148">
                  <c:v>0.241065461103458</c:v>
                </c:pt>
                <c:pt idx="1149">
                  <c:v>0.84460228367099</c:v>
                </c:pt>
                <c:pt idx="1150">
                  <c:v>0.19761988769812999</c:v>
                </c:pt>
                <c:pt idx="1151">
                  <c:v>0.34322545588476</c:v>
                </c:pt>
                <c:pt idx="1152">
                  <c:v>0.82011719892168899</c:v>
                </c:pt>
                <c:pt idx="1153">
                  <c:v>0.66493928574952199</c:v>
                </c:pt>
                <c:pt idx="1154">
                  <c:v>0.48908070249795199</c:v>
                </c:pt>
                <c:pt idx="1155">
                  <c:v>0.44182079086934001</c:v>
                </c:pt>
                <c:pt idx="1156">
                  <c:v>0.61355931855743395</c:v>
                </c:pt>
                <c:pt idx="1157">
                  <c:v>0.12502714749949401</c:v>
                </c:pt>
                <c:pt idx="1158">
                  <c:v>0.108966127395222</c:v>
                </c:pt>
                <c:pt idx="1159">
                  <c:v>0.32917167898322303</c:v>
                </c:pt>
                <c:pt idx="1160">
                  <c:v>0.76587750159994905</c:v>
                </c:pt>
                <c:pt idx="1161">
                  <c:v>0.54372664704713702</c:v>
                </c:pt>
                <c:pt idx="1162">
                  <c:v>0.55816419858995003</c:v>
                </c:pt>
                <c:pt idx="1163">
                  <c:v>0.57885956109263503</c:v>
                </c:pt>
                <c:pt idx="1164">
                  <c:v>0.37860452256274202</c:v>
                </c:pt>
                <c:pt idx="1165">
                  <c:v>0.142307037236866</c:v>
                </c:pt>
                <c:pt idx="1166">
                  <c:v>0.25012892095276401</c:v>
                </c:pt>
                <c:pt idx="1167">
                  <c:v>0.686056672249866</c:v>
                </c:pt>
                <c:pt idx="1168">
                  <c:v>0.45595906560546301</c:v>
                </c:pt>
                <c:pt idx="1169">
                  <c:v>0.63920659811842295</c:v>
                </c:pt>
                <c:pt idx="1170">
                  <c:v>0.56231338853889701</c:v>
                </c:pt>
                <c:pt idx="1171">
                  <c:v>0.48920861112231601</c:v>
                </c:pt>
                <c:pt idx="1172">
                  <c:v>0.11015325928137</c:v>
                </c:pt>
                <c:pt idx="1173">
                  <c:v>0.28813307495824603</c:v>
                </c:pt>
                <c:pt idx="1174">
                  <c:v>0.61086917796022699</c:v>
                </c:pt>
                <c:pt idx="1175">
                  <c:v>0.89830653066858501</c:v>
                </c:pt>
                <c:pt idx="1176">
                  <c:v>0.40200878124253098</c:v>
                </c:pt>
                <c:pt idx="1177">
                  <c:v>0.78741147962378</c:v>
                </c:pt>
                <c:pt idx="1178">
                  <c:v>0.70585464810026</c:v>
                </c:pt>
                <c:pt idx="1179">
                  <c:v>0.44464875560637501</c:v>
                </c:pt>
                <c:pt idx="1180">
                  <c:v>0.48578611920228998</c:v>
                </c:pt>
                <c:pt idx="1181">
                  <c:v>0.78970681105922602</c:v>
                </c:pt>
                <c:pt idx="1182">
                  <c:v>0.55506423782076597</c:v>
                </c:pt>
                <c:pt idx="1183">
                  <c:v>0.50959650570736903</c:v>
                </c:pt>
                <c:pt idx="1184">
                  <c:v>0.88920002566767298</c:v>
                </c:pt>
                <c:pt idx="1185">
                  <c:v>0.87361034414337302</c:v>
                </c:pt>
                <c:pt idx="1186">
                  <c:v>0.70487995319241503</c:v>
                </c:pt>
                <c:pt idx="1187">
                  <c:v>0.85670872518945995</c:v>
                </c:pt>
                <c:pt idx="1188">
                  <c:v>0.54937250986247799</c:v>
                </c:pt>
                <c:pt idx="1189">
                  <c:v>0.20447768874036201</c:v>
                </c:pt>
                <c:pt idx="1190">
                  <c:v>0.12366415723771799</c:v>
                </c:pt>
                <c:pt idx="1191">
                  <c:v>0.27890861382141902</c:v>
                </c:pt>
                <c:pt idx="1192">
                  <c:v>0.309862490209387</c:v>
                </c:pt>
                <c:pt idx="1193">
                  <c:v>0.72650045564577603</c:v>
                </c:pt>
                <c:pt idx="1194">
                  <c:v>0.50996009852812696</c:v>
                </c:pt>
                <c:pt idx="1195">
                  <c:v>0.879610174430003</c:v>
                </c:pt>
                <c:pt idx="1196">
                  <c:v>0.111304629450446</c:v>
                </c:pt>
                <c:pt idx="1197">
                  <c:v>0.25547489586349897</c:v>
                </c:pt>
                <c:pt idx="1198">
                  <c:v>0.30963811085366399</c:v>
                </c:pt>
                <c:pt idx="1199">
                  <c:v>0.54524695262891698</c:v>
                </c:pt>
                <c:pt idx="1200">
                  <c:v>0.66870750036249704</c:v>
                </c:pt>
                <c:pt idx="1201">
                  <c:v>0.89378803946206498</c:v>
                </c:pt>
                <c:pt idx="1202">
                  <c:v>0.60278738953531497</c:v>
                </c:pt>
                <c:pt idx="1203">
                  <c:v>0.59007018673760203</c:v>
                </c:pt>
                <c:pt idx="1204">
                  <c:v>0.368683988050236</c:v>
                </c:pt>
                <c:pt idx="1205">
                  <c:v>0.822995136843233</c:v>
                </c:pt>
                <c:pt idx="1206">
                  <c:v>0.565950056015325</c:v>
                </c:pt>
                <c:pt idx="1207">
                  <c:v>0.412188230506912</c:v>
                </c:pt>
                <c:pt idx="1208">
                  <c:v>0.264156423239088</c:v>
                </c:pt>
                <c:pt idx="1209">
                  <c:v>0.52897818745163105</c:v>
                </c:pt>
                <c:pt idx="1210">
                  <c:v>0.68316294700755198</c:v>
                </c:pt>
                <c:pt idx="1211">
                  <c:v>0.242633257494414</c:v>
                </c:pt>
                <c:pt idx="1212">
                  <c:v>0.89243779321346695</c:v>
                </c:pt>
                <c:pt idx="1213">
                  <c:v>0.68550326988930699</c:v>
                </c:pt>
                <c:pt idx="1214">
                  <c:v>0.425095112886407</c:v>
                </c:pt>
                <c:pt idx="1215">
                  <c:v>0.41456271856221</c:v>
                </c:pt>
                <c:pt idx="1216">
                  <c:v>0.51203253868245402</c:v>
                </c:pt>
                <c:pt idx="1217">
                  <c:v>0.25272948960438901</c:v>
                </c:pt>
                <c:pt idx="1218">
                  <c:v>0.77964598290935005</c:v>
                </c:pt>
                <c:pt idx="1219">
                  <c:v>0.65171364641187701</c:v>
                </c:pt>
                <c:pt idx="1220">
                  <c:v>0.64809385876815995</c:v>
                </c:pt>
                <c:pt idx="1221">
                  <c:v>0.62971821660512695</c:v>
                </c:pt>
                <c:pt idx="1222">
                  <c:v>0.65026076263267796</c:v>
                </c:pt>
                <c:pt idx="1223">
                  <c:v>0.71955517221598897</c:v>
                </c:pt>
                <c:pt idx="1224">
                  <c:v>0.71619221154898005</c:v>
                </c:pt>
                <c:pt idx="1225">
                  <c:v>0.64355354224797101</c:v>
                </c:pt>
                <c:pt idx="1226">
                  <c:v>0.20990740149670301</c:v>
                </c:pt>
                <c:pt idx="1227">
                  <c:v>0.57610650848447098</c:v>
                </c:pt>
                <c:pt idx="1228">
                  <c:v>0.48197285567691101</c:v>
                </c:pt>
                <c:pt idx="1229">
                  <c:v>0.25538086152920397</c:v>
                </c:pt>
                <c:pt idx="1230">
                  <c:v>0.42345851720258498</c:v>
                </c:pt>
                <c:pt idx="1231">
                  <c:v>0.440473682423413</c:v>
                </c:pt>
                <c:pt idx="1232">
                  <c:v>0.399426029591334</c:v>
                </c:pt>
                <c:pt idx="1233">
                  <c:v>0.39175330960184501</c:v>
                </c:pt>
                <c:pt idx="1234">
                  <c:v>0.214333428245049</c:v>
                </c:pt>
                <c:pt idx="1235">
                  <c:v>0.23886078042193701</c:v>
                </c:pt>
                <c:pt idx="1236">
                  <c:v>0.24358240292713701</c:v>
                </c:pt>
                <c:pt idx="1237">
                  <c:v>0.30091181292219898</c:v>
                </c:pt>
                <c:pt idx="1238">
                  <c:v>0.823906775293475</c:v>
                </c:pt>
                <c:pt idx="1239">
                  <c:v>0.75446718425709203</c:v>
                </c:pt>
                <c:pt idx="1240">
                  <c:v>0.88811613853723703</c:v>
                </c:pt>
                <c:pt idx="1241">
                  <c:v>0.78729967890005503</c:v>
                </c:pt>
                <c:pt idx="1242">
                  <c:v>0.49268378450725298</c:v>
                </c:pt>
                <c:pt idx="1243">
                  <c:v>0.39856309621296498</c:v>
                </c:pt>
                <c:pt idx="1244">
                  <c:v>0.153623695224269</c:v>
                </c:pt>
                <c:pt idx="1245">
                  <c:v>0.70829521060932998</c:v>
                </c:pt>
                <c:pt idx="1246">
                  <c:v>0.39661620525135</c:v>
                </c:pt>
                <c:pt idx="1247">
                  <c:v>0.76503402362068795</c:v>
                </c:pt>
                <c:pt idx="1248">
                  <c:v>0.77065005146989296</c:v>
                </c:pt>
                <c:pt idx="1249">
                  <c:v>0.57488348124062005</c:v>
                </c:pt>
                <c:pt idx="1250">
                  <c:v>0.231417937454476</c:v>
                </c:pt>
                <c:pt idx="1251">
                  <c:v>0.87951081006251597</c:v>
                </c:pt>
                <c:pt idx="1252">
                  <c:v>0.14081725524108199</c:v>
                </c:pt>
                <c:pt idx="1253">
                  <c:v>0.34403558674411799</c:v>
                </c:pt>
                <c:pt idx="1254">
                  <c:v>0.67233466193702796</c:v>
                </c:pt>
                <c:pt idx="1255">
                  <c:v>0.253665826871877</c:v>
                </c:pt>
                <c:pt idx="1256">
                  <c:v>0.37057401071076101</c:v>
                </c:pt>
                <c:pt idx="1257">
                  <c:v>0.41244114202221599</c:v>
                </c:pt>
                <c:pt idx="1258">
                  <c:v>0.26209124749159601</c:v>
                </c:pt>
                <c:pt idx="1259">
                  <c:v>0.890923733740419</c:v>
                </c:pt>
                <c:pt idx="1260">
                  <c:v>0.60633986743581203</c:v>
                </c:pt>
                <c:pt idx="1261">
                  <c:v>0.30251454993327098</c:v>
                </c:pt>
                <c:pt idx="1262">
                  <c:v>0.78096740692037003</c:v>
                </c:pt>
                <c:pt idx="1263">
                  <c:v>0.36449953128386903</c:v>
                </c:pt>
                <c:pt idx="1264">
                  <c:v>0.101507234971192</c:v>
                </c:pt>
                <c:pt idx="1265">
                  <c:v>0.46971400115758999</c:v>
                </c:pt>
                <c:pt idx="1266">
                  <c:v>0.61837831579869396</c:v>
                </c:pt>
                <c:pt idx="1267">
                  <c:v>0.21414716983122201</c:v>
                </c:pt>
                <c:pt idx="1268">
                  <c:v>0.75004911417323095</c:v>
                </c:pt>
                <c:pt idx="1269">
                  <c:v>0.30682389092034501</c:v>
                </c:pt>
                <c:pt idx="1270">
                  <c:v>0.44443047370892103</c:v>
                </c:pt>
                <c:pt idx="1271">
                  <c:v>0.84559622359956199</c:v>
                </c:pt>
                <c:pt idx="1272">
                  <c:v>0.50036036703408004</c:v>
                </c:pt>
                <c:pt idx="1273">
                  <c:v>0.13422910506906299</c:v>
                </c:pt>
                <c:pt idx="1274">
                  <c:v>0.82056684446342798</c:v>
                </c:pt>
                <c:pt idx="1275">
                  <c:v>0.65752555074083496</c:v>
                </c:pt>
                <c:pt idx="1276">
                  <c:v>0.81809215179458195</c:v>
                </c:pt>
                <c:pt idx="1277">
                  <c:v>0.44102810631103001</c:v>
                </c:pt>
                <c:pt idx="1278">
                  <c:v>0.803460517857432</c:v>
                </c:pt>
                <c:pt idx="1279">
                  <c:v>0.223404108636787</c:v>
                </c:pt>
                <c:pt idx="1280">
                  <c:v>0.73124720324216996</c:v>
                </c:pt>
                <c:pt idx="1281">
                  <c:v>0.78328127016172699</c:v>
                </c:pt>
                <c:pt idx="1282">
                  <c:v>0.68533941589234304</c:v>
                </c:pt>
                <c:pt idx="1283">
                  <c:v>0.73807249204562897</c:v>
                </c:pt>
                <c:pt idx="1284">
                  <c:v>0.56128337559626595</c:v>
                </c:pt>
                <c:pt idx="1285">
                  <c:v>0.41794861877751899</c:v>
                </c:pt>
                <c:pt idx="1286">
                  <c:v>0.62876949728425902</c:v>
                </c:pt>
                <c:pt idx="1287">
                  <c:v>0.1183140499011</c:v>
                </c:pt>
                <c:pt idx="1288">
                  <c:v>0.63000837148051902</c:v>
                </c:pt>
                <c:pt idx="1289">
                  <c:v>0.32747979542196098</c:v>
                </c:pt>
                <c:pt idx="1290">
                  <c:v>0.73913801534555601</c:v>
                </c:pt>
                <c:pt idx="1291">
                  <c:v>0.27375584503336697</c:v>
                </c:pt>
                <c:pt idx="1292">
                  <c:v>0.42486176127781</c:v>
                </c:pt>
                <c:pt idx="1293">
                  <c:v>0.24714257560019101</c:v>
                </c:pt>
                <c:pt idx="1294">
                  <c:v>0.515336326411862</c:v>
                </c:pt>
                <c:pt idx="1295">
                  <c:v>0.56700943849472996</c:v>
                </c:pt>
                <c:pt idx="1296">
                  <c:v>0.67427334212440104</c:v>
                </c:pt>
                <c:pt idx="1297">
                  <c:v>0.223849592669395</c:v>
                </c:pt>
                <c:pt idx="1298">
                  <c:v>0.712039148640771</c:v>
                </c:pt>
                <c:pt idx="1299">
                  <c:v>0.41535502793754098</c:v>
                </c:pt>
                <c:pt idx="1300">
                  <c:v>0.63901060660289999</c:v>
                </c:pt>
                <c:pt idx="1301">
                  <c:v>0.240629475751201</c:v>
                </c:pt>
                <c:pt idx="1302">
                  <c:v>0.33269103248746001</c:v>
                </c:pt>
                <c:pt idx="1303">
                  <c:v>0.223934737621273</c:v>
                </c:pt>
                <c:pt idx="1304">
                  <c:v>0.36097377206528503</c:v>
                </c:pt>
                <c:pt idx="1305">
                  <c:v>0.85696961121159099</c:v>
                </c:pt>
                <c:pt idx="1306">
                  <c:v>0.27965797385089503</c:v>
                </c:pt>
                <c:pt idx="1307">
                  <c:v>0.24168965903487899</c:v>
                </c:pt>
                <c:pt idx="1308">
                  <c:v>0.21103431845201401</c:v>
                </c:pt>
                <c:pt idx="1309">
                  <c:v>0.67394226434277205</c:v>
                </c:pt>
                <c:pt idx="1310">
                  <c:v>0.59012986495046305</c:v>
                </c:pt>
                <c:pt idx="1311">
                  <c:v>0.70568896970960104</c:v>
                </c:pt>
                <c:pt idx="1312">
                  <c:v>0.48142268393862198</c:v>
                </c:pt>
                <c:pt idx="1313">
                  <c:v>0.65228192517565298</c:v>
                </c:pt>
                <c:pt idx="1314">
                  <c:v>0.79491401325170596</c:v>
                </c:pt>
                <c:pt idx="1315">
                  <c:v>0.64084542989406101</c:v>
                </c:pt>
                <c:pt idx="1316">
                  <c:v>0.58118525099838803</c:v>
                </c:pt>
                <c:pt idx="1317">
                  <c:v>0.29991524548562698</c:v>
                </c:pt>
                <c:pt idx="1318">
                  <c:v>0.119071966713065</c:v>
                </c:pt>
                <c:pt idx="1319">
                  <c:v>0.86067076421032795</c:v>
                </c:pt>
                <c:pt idx="1320">
                  <c:v>0.247326203836333</c:v>
                </c:pt>
                <c:pt idx="1321">
                  <c:v>0.86020105891041598</c:v>
                </c:pt>
                <c:pt idx="1322">
                  <c:v>0.19738711483231</c:v>
                </c:pt>
                <c:pt idx="1323">
                  <c:v>0.80943876091673295</c:v>
                </c:pt>
                <c:pt idx="1324">
                  <c:v>0.84637066735062105</c:v>
                </c:pt>
                <c:pt idx="1325">
                  <c:v>0.68612369174204002</c:v>
                </c:pt>
                <c:pt idx="1326">
                  <c:v>0.39013106561552102</c:v>
                </c:pt>
                <c:pt idx="1327">
                  <c:v>0.72143332089430601</c:v>
                </c:pt>
                <c:pt idx="1328">
                  <c:v>0.74223199047627897</c:v>
                </c:pt>
                <c:pt idx="1329">
                  <c:v>0.81426959741394001</c:v>
                </c:pt>
                <c:pt idx="1330">
                  <c:v>0.12892968418823</c:v>
                </c:pt>
                <c:pt idx="1331">
                  <c:v>0.721588721056169</c:v>
                </c:pt>
                <c:pt idx="1332">
                  <c:v>0.78520763251012504</c:v>
                </c:pt>
                <c:pt idx="1333">
                  <c:v>0.69105957622075798</c:v>
                </c:pt>
                <c:pt idx="1334">
                  <c:v>0.70937858811827204</c:v>
                </c:pt>
                <c:pt idx="1335">
                  <c:v>0.112755139841546</c:v>
                </c:pt>
                <c:pt idx="1336">
                  <c:v>0.87698293850431996</c:v>
                </c:pt>
                <c:pt idx="1337">
                  <c:v>0.44351762225589197</c:v>
                </c:pt>
                <c:pt idx="1338">
                  <c:v>0.65856469574888099</c:v>
                </c:pt>
                <c:pt idx="1339">
                  <c:v>0.38412729254132899</c:v>
                </c:pt>
                <c:pt idx="1340">
                  <c:v>0.40967085817214899</c:v>
                </c:pt>
                <c:pt idx="1341">
                  <c:v>0.55606307304861802</c:v>
                </c:pt>
                <c:pt idx="1342">
                  <c:v>0.17691949513514801</c:v>
                </c:pt>
                <c:pt idx="1343">
                  <c:v>0.16620000816391101</c:v>
                </c:pt>
                <c:pt idx="1344">
                  <c:v>0.37346817449456898</c:v>
                </c:pt>
                <c:pt idx="1345">
                  <c:v>0.38563970052144098</c:v>
                </c:pt>
                <c:pt idx="1346">
                  <c:v>0.56168829700269396</c:v>
                </c:pt>
                <c:pt idx="1347">
                  <c:v>0.51893652419428804</c:v>
                </c:pt>
                <c:pt idx="1348">
                  <c:v>0.40952713104038302</c:v>
                </c:pt>
                <c:pt idx="1349">
                  <c:v>0.59522543140266704</c:v>
                </c:pt>
                <c:pt idx="1350">
                  <c:v>0.70875025749713005</c:v>
                </c:pt>
                <c:pt idx="1351">
                  <c:v>0.21940041355868201</c:v>
                </c:pt>
                <c:pt idx="1352">
                  <c:v>0.18227762502348999</c:v>
                </c:pt>
                <c:pt idx="1353">
                  <c:v>0.130161775970913</c:v>
                </c:pt>
                <c:pt idx="1354">
                  <c:v>0.11742989147029401</c:v>
                </c:pt>
                <c:pt idx="1355">
                  <c:v>0.86545833354604496</c:v>
                </c:pt>
                <c:pt idx="1356">
                  <c:v>0.371341844734628</c:v>
                </c:pt>
                <c:pt idx="1357">
                  <c:v>0.56304017514237903</c:v>
                </c:pt>
                <c:pt idx="1358">
                  <c:v>0.84648015205053595</c:v>
                </c:pt>
                <c:pt idx="1359">
                  <c:v>0.71410689904166902</c:v>
                </c:pt>
                <c:pt idx="1360">
                  <c:v>0.31669636051365802</c:v>
                </c:pt>
                <c:pt idx="1361">
                  <c:v>0.53552197430304105</c:v>
                </c:pt>
                <c:pt idx="1362">
                  <c:v>0.31333242918132398</c:v>
                </c:pt>
                <c:pt idx="1363">
                  <c:v>0.19251164610552501</c:v>
                </c:pt>
                <c:pt idx="1364">
                  <c:v>0.71687290719442698</c:v>
                </c:pt>
                <c:pt idx="1365">
                  <c:v>0.64668403833003196</c:v>
                </c:pt>
                <c:pt idx="1366">
                  <c:v>0.78628894007796002</c:v>
                </c:pt>
                <c:pt idx="1367">
                  <c:v>0.38690985001337103</c:v>
                </c:pt>
                <c:pt idx="1368">
                  <c:v>0.44944678841340902</c:v>
                </c:pt>
                <c:pt idx="1369">
                  <c:v>0.68982858649519396</c:v>
                </c:pt>
                <c:pt idx="1370">
                  <c:v>0.89139244431543097</c:v>
                </c:pt>
                <c:pt idx="1371">
                  <c:v>0.62861333203121295</c:v>
                </c:pt>
                <c:pt idx="1372">
                  <c:v>0.149406258960121</c:v>
                </c:pt>
                <c:pt idx="1373">
                  <c:v>0.83798149857537196</c:v>
                </c:pt>
                <c:pt idx="1374">
                  <c:v>0.39698113675211799</c:v>
                </c:pt>
                <c:pt idx="1375">
                  <c:v>0.666950302981143</c:v>
                </c:pt>
                <c:pt idx="1376">
                  <c:v>0.69610460653786299</c:v>
                </c:pt>
                <c:pt idx="1377">
                  <c:v>0.33165818091926902</c:v>
                </c:pt>
                <c:pt idx="1378">
                  <c:v>0.217483551034756</c:v>
                </c:pt>
                <c:pt idx="1379">
                  <c:v>0.63117283801161495</c:v>
                </c:pt>
                <c:pt idx="1380">
                  <c:v>0.62927391701410496</c:v>
                </c:pt>
                <c:pt idx="1381">
                  <c:v>0.73049336767058803</c:v>
                </c:pt>
                <c:pt idx="1382">
                  <c:v>0.63281179458895997</c:v>
                </c:pt>
                <c:pt idx="1383">
                  <c:v>0.64903005322785201</c:v>
                </c:pt>
                <c:pt idx="1384">
                  <c:v>0.54287937071061299</c:v>
                </c:pt>
                <c:pt idx="1385">
                  <c:v>0.49307116836971099</c:v>
                </c:pt>
                <c:pt idx="1386">
                  <c:v>0.55340685035771697</c:v>
                </c:pt>
                <c:pt idx="1387">
                  <c:v>0.42449718269614101</c:v>
                </c:pt>
                <c:pt idx="1388">
                  <c:v>0.52575026971743599</c:v>
                </c:pt>
                <c:pt idx="1389">
                  <c:v>0.86052913996326097</c:v>
                </c:pt>
                <c:pt idx="1390">
                  <c:v>0.45560543741816101</c:v>
                </c:pt>
                <c:pt idx="1391">
                  <c:v>0.55417576586909401</c:v>
                </c:pt>
                <c:pt idx="1392">
                  <c:v>0.441121422116662</c:v>
                </c:pt>
                <c:pt idx="1393">
                  <c:v>0.804621129233136</c:v>
                </c:pt>
                <c:pt idx="1394">
                  <c:v>0.44266380884858703</c:v>
                </c:pt>
                <c:pt idx="1395">
                  <c:v>0.47357633833532697</c:v>
                </c:pt>
                <c:pt idx="1396">
                  <c:v>0.43985068985202203</c:v>
                </c:pt>
                <c:pt idx="1397">
                  <c:v>0.50393296038160096</c:v>
                </c:pt>
                <c:pt idx="1398">
                  <c:v>0.77953677409594702</c:v>
                </c:pt>
                <c:pt idx="1399">
                  <c:v>0.70984685864697095</c:v>
                </c:pt>
                <c:pt idx="1400">
                  <c:v>0.77018016306903603</c:v>
                </c:pt>
                <c:pt idx="1401">
                  <c:v>0.84279792435983203</c:v>
                </c:pt>
                <c:pt idx="1402">
                  <c:v>0.77987648948232902</c:v>
                </c:pt>
                <c:pt idx="1403">
                  <c:v>0.11887398610269199</c:v>
                </c:pt>
                <c:pt idx="1404">
                  <c:v>0.68155558005618899</c:v>
                </c:pt>
                <c:pt idx="1405">
                  <c:v>0.59775340981047098</c:v>
                </c:pt>
                <c:pt idx="1406">
                  <c:v>0.50501355881697496</c:v>
                </c:pt>
                <c:pt idx="1407">
                  <c:v>0.73184355821146196</c:v>
                </c:pt>
                <c:pt idx="1408">
                  <c:v>0.71320079727124097</c:v>
                </c:pt>
                <c:pt idx="1409">
                  <c:v>0.62777017952984704</c:v>
                </c:pt>
                <c:pt idx="1410">
                  <c:v>0.38885797540601502</c:v>
                </c:pt>
                <c:pt idx="1411">
                  <c:v>0.473227590794572</c:v>
                </c:pt>
                <c:pt idx="1412">
                  <c:v>0.51173621982647499</c:v>
                </c:pt>
                <c:pt idx="1413">
                  <c:v>0.62672101485812404</c:v>
                </c:pt>
                <c:pt idx="1414">
                  <c:v>0.85806203991404295</c:v>
                </c:pt>
                <c:pt idx="1415">
                  <c:v>0.65426680344202903</c:v>
                </c:pt>
                <c:pt idx="1416">
                  <c:v>0.43994495200896799</c:v>
                </c:pt>
                <c:pt idx="1417">
                  <c:v>0.72894973208476799</c:v>
                </c:pt>
                <c:pt idx="1418">
                  <c:v>0.25015436173165301</c:v>
                </c:pt>
                <c:pt idx="1419">
                  <c:v>0.27920273830707598</c:v>
                </c:pt>
                <c:pt idx="1420">
                  <c:v>0.87130425451549898</c:v>
                </c:pt>
                <c:pt idx="1421">
                  <c:v>0.44969222038397799</c:v>
                </c:pt>
                <c:pt idx="1422">
                  <c:v>0.23824140419005599</c:v>
                </c:pt>
                <c:pt idx="1423">
                  <c:v>0.68434859384274005</c:v>
                </c:pt>
                <c:pt idx="1424">
                  <c:v>0.34180115159115698</c:v>
                </c:pt>
                <c:pt idx="1425">
                  <c:v>0.81278590446937404</c:v>
                </c:pt>
                <c:pt idx="1426">
                  <c:v>0.206550955502638</c:v>
                </c:pt>
                <c:pt idx="1427">
                  <c:v>0.27378824008663899</c:v>
                </c:pt>
                <c:pt idx="1428">
                  <c:v>0.56128480932361802</c:v>
                </c:pt>
                <c:pt idx="1429">
                  <c:v>0.121338104422964</c:v>
                </c:pt>
                <c:pt idx="1430">
                  <c:v>0.184261295045099</c:v>
                </c:pt>
                <c:pt idx="1431">
                  <c:v>0.80965460461657301</c:v>
                </c:pt>
                <c:pt idx="1432">
                  <c:v>0.54815518451841805</c:v>
                </c:pt>
                <c:pt idx="1433">
                  <c:v>0.35222905002960297</c:v>
                </c:pt>
                <c:pt idx="1434">
                  <c:v>0.250253818413187</c:v>
                </c:pt>
                <c:pt idx="1435">
                  <c:v>0.85567603866882302</c:v>
                </c:pt>
                <c:pt idx="1436">
                  <c:v>0.35229929035221802</c:v>
                </c:pt>
                <c:pt idx="1437">
                  <c:v>0.70557850355555596</c:v>
                </c:pt>
                <c:pt idx="1438">
                  <c:v>0.53332355325649805</c:v>
                </c:pt>
                <c:pt idx="1439">
                  <c:v>0.72086532677349002</c:v>
                </c:pt>
                <c:pt idx="1440">
                  <c:v>0.37410312633175202</c:v>
                </c:pt>
                <c:pt idx="1441">
                  <c:v>0.71467542344788904</c:v>
                </c:pt>
                <c:pt idx="1442">
                  <c:v>0.56344655558439505</c:v>
                </c:pt>
                <c:pt idx="1443">
                  <c:v>0.81511572738946203</c:v>
                </c:pt>
                <c:pt idx="1444">
                  <c:v>0.78845581340455295</c:v>
                </c:pt>
                <c:pt idx="1445">
                  <c:v>0.47517646895000498</c:v>
                </c:pt>
                <c:pt idx="1446">
                  <c:v>0.84126406675292098</c:v>
                </c:pt>
                <c:pt idx="1447">
                  <c:v>0.80476372455821998</c:v>
                </c:pt>
                <c:pt idx="1448">
                  <c:v>0.407857409338442</c:v>
                </c:pt>
                <c:pt idx="1449">
                  <c:v>0.129231658646206</c:v>
                </c:pt>
                <c:pt idx="1450">
                  <c:v>0.16563973452144801</c:v>
                </c:pt>
                <c:pt idx="1451">
                  <c:v>0.68786341168105702</c:v>
                </c:pt>
                <c:pt idx="1452">
                  <c:v>0.65158641595321098</c:v>
                </c:pt>
                <c:pt idx="1453">
                  <c:v>0.25921154480387298</c:v>
                </c:pt>
                <c:pt idx="1454">
                  <c:v>0.43382877094605699</c:v>
                </c:pt>
                <c:pt idx="1455">
                  <c:v>0.81736655567858696</c:v>
                </c:pt>
                <c:pt idx="1456">
                  <c:v>0.52527707146639502</c:v>
                </c:pt>
                <c:pt idx="1457">
                  <c:v>0.474948767226681</c:v>
                </c:pt>
                <c:pt idx="1458">
                  <c:v>0.16097543702572001</c:v>
                </c:pt>
                <c:pt idx="1459">
                  <c:v>0.413639651500183</c:v>
                </c:pt>
                <c:pt idx="1460">
                  <c:v>0.63011369254305205</c:v>
                </c:pt>
                <c:pt idx="1461">
                  <c:v>0.17074147172936099</c:v>
                </c:pt>
                <c:pt idx="1462">
                  <c:v>0.64297673531467603</c:v>
                </c:pt>
                <c:pt idx="1463">
                  <c:v>0.429467271986824</c:v>
                </c:pt>
                <c:pt idx="1464">
                  <c:v>0.131277560257098</c:v>
                </c:pt>
                <c:pt idx="1465">
                  <c:v>0.31159778187008202</c:v>
                </c:pt>
                <c:pt idx="1466">
                  <c:v>0.61105091473464102</c:v>
                </c:pt>
                <c:pt idx="1467">
                  <c:v>0.68461197590635403</c:v>
                </c:pt>
                <c:pt idx="1468">
                  <c:v>0.51541972857994001</c:v>
                </c:pt>
                <c:pt idx="1469">
                  <c:v>0.55345300571456701</c:v>
                </c:pt>
                <c:pt idx="1470">
                  <c:v>0.67612777161208004</c:v>
                </c:pt>
                <c:pt idx="1471">
                  <c:v>0.47754085499083698</c:v>
                </c:pt>
                <c:pt idx="1472">
                  <c:v>0.50121954522663204</c:v>
                </c:pt>
                <c:pt idx="1473">
                  <c:v>0.50042443742759302</c:v>
                </c:pt>
                <c:pt idx="1474">
                  <c:v>0.44041440744168597</c:v>
                </c:pt>
                <c:pt idx="1475">
                  <c:v>0.45411809222038102</c:v>
                </c:pt>
                <c:pt idx="1476">
                  <c:v>0.49057290714398999</c:v>
                </c:pt>
                <c:pt idx="1477">
                  <c:v>0.72893342576334197</c:v>
                </c:pt>
                <c:pt idx="1478">
                  <c:v>0.75416095001226802</c:v>
                </c:pt>
                <c:pt idx="1479">
                  <c:v>0.15078347241170001</c:v>
                </c:pt>
                <c:pt idx="1480">
                  <c:v>0.65971927215271198</c:v>
                </c:pt>
                <c:pt idx="1481">
                  <c:v>0.69420756767368896</c:v>
                </c:pt>
                <c:pt idx="1482">
                  <c:v>0.38462758211083697</c:v>
                </c:pt>
                <c:pt idx="1483">
                  <c:v>0.39147141495390703</c:v>
                </c:pt>
                <c:pt idx="1484">
                  <c:v>0.83448819469543201</c:v>
                </c:pt>
                <c:pt idx="1485">
                  <c:v>0.30606931673294002</c:v>
                </c:pt>
                <c:pt idx="1486">
                  <c:v>0.35721787626791102</c:v>
                </c:pt>
                <c:pt idx="1487">
                  <c:v>0.79014914454277996</c:v>
                </c:pt>
                <c:pt idx="1488">
                  <c:v>0.65327425093188796</c:v>
                </c:pt>
                <c:pt idx="1489">
                  <c:v>0.17496823419143701</c:v>
                </c:pt>
                <c:pt idx="1490">
                  <c:v>0.53301718013364796</c:v>
                </c:pt>
                <c:pt idx="1491">
                  <c:v>0.45014796389595102</c:v>
                </c:pt>
                <c:pt idx="1492">
                  <c:v>0.209654083941339</c:v>
                </c:pt>
                <c:pt idx="1493">
                  <c:v>0.84101902590125099</c:v>
                </c:pt>
                <c:pt idx="1494">
                  <c:v>0.46875256881851701</c:v>
                </c:pt>
                <c:pt idx="1495">
                  <c:v>0.85526277314054899</c:v>
                </c:pt>
                <c:pt idx="1496">
                  <c:v>0.87522462277484003</c:v>
                </c:pt>
                <c:pt idx="1497">
                  <c:v>0.62525014866908502</c:v>
                </c:pt>
                <c:pt idx="1498">
                  <c:v>0.18861260485223499</c:v>
                </c:pt>
                <c:pt idx="1499">
                  <c:v>0.52050435318059396</c:v>
                </c:pt>
                <c:pt idx="1500">
                  <c:v>0.57865667935421405</c:v>
                </c:pt>
                <c:pt idx="1501">
                  <c:v>0.84111401349001802</c:v>
                </c:pt>
                <c:pt idx="1502">
                  <c:v>0.146990499268745</c:v>
                </c:pt>
                <c:pt idx="1503">
                  <c:v>0.306664274623342</c:v>
                </c:pt>
                <c:pt idx="1504">
                  <c:v>0.28726504339124798</c:v>
                </c:pt>
                <c:pt idx="1505">
                  <c:v>0.30089314988447902</c:v>
                </c:pt>
                <c:pt idx="1506">
                  <c:v>0.26938120536993798</c:v>
                </c:pt>
                <c:pt idx="1507">
                  <c:v>0.804286382371311</c:v>
                </c:pt>
                <c:pt idx="1508">
                  <c:v>0.64952842648808096</c:v>
                </c:pt>
                <c:pt idx="1509">
                  <c:v>0.66418988305874904</c:v>
                </c:pt>
                <c:pt idx="1510">
                  <c:v>0.109956434168319</c:v>
                </c:pt>
                <c:pt idx="1511">
                  <c:v>0.65108209460272004</c:v>
                </c:pt>
                <c:pt idx="1512">
                  <c:v>0.424972425637479</c:v>
                </c:pt>
                <c:pt idx="1513">
                  <c:v>0.119079297989405</c:v>
                </c:pt>
                <c:pt idx="1514">
                  <c:v>0.10933648321287399</c:v>
                </c:pt>
                <c:pt idx="1515">
                  <c:v>0.67401940670525495</c:v>
                </c:pt>
                <c:pt idx="1516">
                  <c:v>0.486237014215601</c:v>
                </c:pt>
                <c:pt idx="1517">
                  <c:v>0.20317433628053899</c:v>
                </c:pt>
                <c:pt idx="1518">
                  <c:v>0.195520315869853</c:v>
                </c:pt>
                <c:pt idx="1519">
                  <c:v>0.45899804830020202</c:v>
                </c:pt>
                <c:pt idx="1520">
                  <c:v>0.56812577447511903</c:v>
                </c:pt>
                <c:pt idx="1521">
                  <c:v>0.43590418924881902</c:v>
                </c:pt>
                <c:pt idx="1522">
                  <c:v>0.62761053629937003</c:v>
                </c:pt>
                <c:pt idx="1523">
                  <c:v>0.83936046887133198</c:v>
                </c:pt>
                <c:pt idx="1524">
                  <c:v>0.834846100222842</c:v>
                </c:pt>
                <c:pt idx="1525">
                  <c:v>0.17254864002683001</c:v>
                </c:pt>
                <c:pt idx="1526">
                  <c:v>0.493504413419384</c:v>
                </c:pt>
                <c:pt idx="1527">
                  <c:v>0.30811529258005299</c:v>
                </c:pt>
                <c:pt idx="1528">
                  <c:v>0.73703421473346398</c:v>
                </c:pt>
                <c:pt idx="1529">
                  <c:v>0.20971668366289101</c:v>
                </c:pt>
                <c:pt idx="1530">
                  <c:v>0.762458248568601</c:v>
                </c:pt>
                <c:pt idx="1531">
                  <c:v>0.31403792809566</c:v>
                </c:pt>
                <c:pt idx="1532">
                  <c:v>0.25009395523573502</c:v>
                </c:pt>
                <c:pt idx="1533">
                  <c:v>0.116935891696875</c:v>
                </c:pt>
                <c:pt idx="1534">
                  <c:v>0.19986433362080899</c:v>
                </c:pt>
                <c:pt idx="1535">
                  <c:v>0.465307754964631</c:v>
                </c:pt>
                <c:pt idx="1536">
                  <c:v>0.63395554257041997</c:v>
                </c:pt>
                <c:pt idx="1537">
                  <c:v>0.34336254704838198</c:v>
                </c:pt>
                <c:pt idx="1538">
                  <c:v>0.64449459987886304</c:v>
                </c:pt>
                <c:pt idx="1539">
                  <c:v>0.86082992596108998</c:v>
                </c:pt>
                <c:pt idx="1540">
                  <c:v>0.65153322111865397</c:v>
                </c:pt>
                <c:pt idx="1541">
                  <c:v>0.30515505099290702</c:v>
                </c:pt>
                <c:pt idx="1542">
                  <c:v>0.81421900349664</c:v>
                </c:pt>
                <c:pt idx="1543">
                  <c:v>0.76254386685061504</c:v>
                </c:pt>
                <c:pt idx="1544">
                  <c:v>0.64813109274580105</c:v>
                </c:pt>
                <c:pt idx="1545">
                  <c:v>0.73147117979432796</c:v>
                </c:pt>
                <c:pt idx="1546">
                  <c:v>0.35747342491301998</c:v>
                </c:pt>
                <c:pt idx="1547">
                  <c:v>0.419969164770992</c:v>
                </c:pt>
                <c:pt idx="1548">
                  <c:v>0.47938968503753998</c:v>
                </c:pt>
                <c:pt idx="1549">
                  <c:v>0.421848956356426</c:v>
                </c:pt>
                <c:pt idx="1550">
                  <c:v>0.58537537408352303</c:v>
                </c:pt>
                <c:pt idx="1551">
                  <c:v>0.269959878487949</c:v>
                </c:pt>
                <c:pt idx="1552">
                  <c:v>0.72289025002707097</c:v>
                </c:pt>
                <c:pt idx="1553">
                  <c:v>0.76103133380400201</c:v>
                </c:pt>
                <c:pt idx="1554">
                  <c:v>0.40451417426109398</c:v>
                </c:pt>
                <c:pt idx="1555">
                  <c:v>0.61261761963178196</c:v>
                </c:pt>
                <c:pt idx="1556">
                  <c:v>0.75914503202848205</c:v>
                </c:pt>
                <c:pt idx="1557">
                  <c:v>0.89707487335642</c:v>
                </c:pt>
                <c:pt idx="1558">
                  <c:v>0.67242925094596895</c:v>
                </c:pt>
                <c:pt idx="1559">
                  <c:v>0.60954319929196199</c:v>
                </c:pt>
                <c:pt idx="1560">
                  <c:v>0.47513421562904001</c:v>
                </c:pt>
                <c:pt idx="1561">
                  <c:v>0.428244834792883</c:v>
                </c:pt>
                <c:pt idx="1562">
                  <c:v>0.57438408314251299</c:v>
                </c:pt>
                <c:pt idx="1563">
                  <c:v>0.88864005243747202</c:v>
                </c:pt>
                <c:pt idx="1564">
                  <c:v>0.39982760599617401</c:v>
                </c:pt>
                <c:pt idx="1565">
                  <c:v>0.443913597943284</c:v>
                </c:pt>
                <c:pt idx="1566">
                  <c:v>0.53381272533144497</c:v>
                </c:pt>
                <c:pt idx="1567">
                  <c:v>0.22362133802304299</c:v>
                </c:pt>
                <c:pt idx="1568">
                  <c:v>0.82764048508599997</c:v>
                </c:pt>
                <c:pt idx="1569">
                  <c:v>0.803927784385847</c:v>
                </c:pt>
                <c:pt idx="1570">
                  <c:v>0.59245712703700504</c:v>
                </c:pt>
                <c:pt idx="1571">
                  <c:v>0.41991188618879499</c:v>
                </c:pt>
                <c:pt idx="1572">
                  <c:v>0.28443767761156602</c:v>
                </c:pt>
                <c:pt idx="1573">
                  <c:v>0.26539762145847701</c:v>
                </c:pt>
                <c:pt idx="1574">
                  <c:v>0.88493329634932105</c:v>
                </c:pt>
                <c:pt idx="1575">
                  <c:v>0.47822806674236401</c:v>
                </c:pt>
                <c:pt idx="1576">
                  <c:v>0.328876634108482</c:v>
                </c:pt>
                <c:pt idx="1577">
                  <c:v>0.50823896047707795</c:v>
                </c:pt>
                <c:pt idx="1578">
                  <c:v>0.68095986039649303</c:v>
                </c:pt>
                <c:pt idx="1579">
                  <c:v>0.35311923030283998</c:v>
                </c:pt>
                <c:pt idx="1580">
                  <c:v>0.47190118368386103</c:v>
                </c:pt>
                <c:pt idx="1581">
                  <c:v>0.63464884396766497</c:v>
                </c:pt>
                <c:pt idx="1582">
                  <c:v>0.780650967795116</c:v>
                </c:pt>
                <c:pt idx="1583">
                  <c:v>0.52617892713062497</c:v>
                </c:pt>
                <c:pt idx="1584">
                  <c:v>0.41022617781537601</c:v>
                </c:pt>
                <c:pt idx="1585">
                  <c:v>0.256461814663756</c:v>
                </c:pt>
                <c:pt idx="1586">
                  <c:v>0.587084004096326</c:v>
                </c:pt>
                <c:pt idx="1587">
                  <c:v>0.36657394865073101</c:v>
                </c:pt>
                <c:pt idx="1588">
                  <c:v>0.42628593632789302</c:v>
                </c:pt>
                <c:pt idx="1589">
                  <c:v>0.48176363182483301</c:v>
                </c:pt>
                <c:pt idx="1590">
                  <c:v>0.16678559580881699</c:v>
                </c:pt>
                <c:pt idx="1591">
                  <c:v>0.35813592900054397</c:v>
                </c:pt>
                <c:pt idx="1592">
                  <c:v>0.76820874424428998</c:v>
                </c:pt>
                <c:pt idx="1593">
                  <c:v>0.68148297801555702</c:v>
                </c:pt>
                <c:pt idx="1594">
                  <c:v>0.36844877496011902</c:v>
                </c:pt>
                <c:pt idx="1595">
                  <c:v>0.31586299453083599</c:v>
                </c:pt>
                <c:pt idx="1596">
                  <c:v>0.87560300137053404</c:v>
                </c:pt>
                <c:pt idx="1597">
                  <c:v>0.26624855508371997</c:v>
                </c:pt>
                <c:pt idx="1598">
                  <c:v>0.40268314791066101</c:v>
                </c:pt>
                <c:pt idx="1599">
                  <c:v>0.72629946885482</c:v>
                </c:pt>
                <c:pt idx="1600">
                  <c:v>0.63178828653610097</c:v>
                </c:pt>
                <c:pt idx="1601">
                  <c:v>0.88203266714599804</c:v>
                </c:pt>
                <c:pt idx="1602">
                  <c:v>0.69998484974512998</c:v>
                </c:pt>
                <c:pt idx="1603">
                  <c:v>0.70054657004267396</c:v>
                </c:pt>
                <c:pt idx="1604">
                  <c:v>0.66712443272891098</c:v>
                </c:pt>
                <c:pt idx="1605">
                  <c:v>0.42701739108239301</c:v>
                </c:pt>
                <c:pt idx="1606">
                  <c:v>0.70665148531844901</c:v>
                </c:pt>
                <c:pt idx="1607">
                  <c:v>0.384476296829173</c:v>
                </c:pt>
                <c:pt idx="1608">
                  <c:v>0.85561190214232197</c:v>
                </c:pt>
                <c:pt idx="1609">
                  <c:v>0.77427106479482999</c:v>
                </c:pt>
                <c:pt idx="1610">
                  <c:v>0.54788254068308395</c:v>
                </c:pt>
                <c:pt idx="1611">
                  <c:v>0.832043817371248</c:v>
                </c:pt>
                <c:pt idx="1612">
                  <c:v>0.43978280675849701</c:v>
                </c:pt>
                <c:pt idx="1613">
                  <c:v>0.82926875095231201</c:v>
                </c:pt>
                <c:pt idx="1614">
                  <c:v>0.18734784251686501</c:v>
                </c:pt>
                <c:pt idx="1615">
                  <c:v>0.67575169685123504</c:v>
                </c:pt>
                <c:pt idx="1616">
                  <c:v>0.73557889509756202</c:v>
                </c:pt>
                <c:pt idx="1617">
                  <c:v>0.81225769455388597</c:v>
                </c:pt>
                <c:pt idx="1618">
                  <c:v>0.87876777537180695</c:v>
                </c:pt>
                <c:pt idx="1619">
                  <c:v>0.64339848717576698</c:v>
                </c:pt>
                <c:pt idx="1620">
                  <c:v>0.75440051809115904</c:v>
                </c:pt>
                <c:pt idx="1621">
                  <c:v>0.27288273748705999</c:v>
                </c:pt>
                <c:pt idx="1622">
                  <c:v>0.25050262339497498</c:v>
                </c:pt>
                <c:pt idx="1623">
                  <c:v>0.84636730077474698</c:v>
                </c:pt>
                <c:pt idx="1624">
                  <c:v>0.22227434261481999</c:v>
                </c:pt>
                <c:pt idx="1625">
                  <c:v>0.884595729815287</c:v>
                </c:pt>
                <c:pt idx="1626">
                  <c:v>0.50559542698178594</c:v>
                </c:pt>
                <c:pt idx="1627">
                  <c:v>0.45739252517218099</c:v>
                </c:pt>
                <c:pt idx="1628">
                  <c:v>0.69308529893211202</c:v>
                </c:pt>
                <c:pt idx="1629">
                  <c:v>0.144756879357919</c:v>
                </c:pt>
                <c:pt idx="1630">
                  <c:v>0.51146150775792598</c:v>
                </c:pt>
                <c:pt idx="1631">
                  <c:v>0.77577104328181601</c:v>
                </c:pt>
                <c:pt idx="1632">
                  <c:v>0.42419631007848901</c:v>
                </c:pt>
                <c:pt idx="1633">
                  <c:v>0.50724441094643302</c:v>
                </c:pt>
                <c:pt idx="1634">
                  <c:v>0.104072607422</c:v>
                </c:pt>
                <c:pt idx="1635">
                  <c:v>0.427211243907409</c:v>
                </c:pt>
                <c:pt idx="1636">
                  <c:v>0.60382989137086496</c:v>
                </c:pt>
                <c:pt idx="1637">
                  <c:v>0.67029298779967705</c:v>
                </c:pt>
                <c:pt idx="1638">
                  <c:v>0.74984774973379797</c:v>
                </c:pt>
                <c:pt idx="1639">
                  <c:v>0.38239445483904499</c:v>
                </c:pt>
                <c:pt idx="1640">
                  <c:v>0.76820163521903795</c:v>
                </c:pt>
                <c:pt idx="1641">
                  <c:v>0.60111916002455201</c:v>
                </c:pt>
                <c:pt idx="1642">
                  <c:v>0.42057267065119303</c:v>
                </c:pt>
                <c:pt idx="1643">
                  <c:v>0.49010988464116201</c:v>
                </c:pt>
                <c:pt idx="1644">
                  <c:v>0.348469200419527</c:v>
                </c:pt>
                <c:pt idx="1645">
                  <c:v>0.76168352691812802</c:v>
                </c:pt>
                <c:pt idx="1646">
                  <c:v>0.26358047380201799</c:v>
                </c:pt>
                <c:pt idx="1647">
                  <c:v>0.422669220469437</c:v>
                </c:pt>
                <c:pt idx="1648">
                  <c:v>0.39464139007133198</c:v>
                </c:pt>
                <c:pt idx="1649">
                  <c:v>0.57482880966650796</c:v>
                </c:pt>
                <c:pt idx="1650">
                  <c:v>0.249468971976053</c:v>
                </c:pt>
                <c:pt idx="1651">
                  <c:v>0.42603468967116198</c:v>
                </c:pt>
                <c:pt idx="1652">
                  <c:v>0.43145967352455999</c:v>
                </c:pt>
                <c:pt idx="1653">
                  <c:v>0.21602946135234699</c:v>
                </c:pt>
                <c:pt idx="1654">
                  <c:v>0.110010671755413</c:v>
                </c:pt>
                <c:pt idx="1655">
                  <c:v>0.63162964075011696</c:v>
                </c:pt>
                <c:pt idx="1656">
                  <c:v>0.68768233445219396</c:v>
                </c:pt>
                <c:pt idx="1657">
                  <c:v>0.41012712510878802</c:v>
                </c:pt>
                <c:pt idx="1658">
                  <c:v>0.51953669243462897</c:v>
                </c:pt>
                <c:pt idx="1659">
                  <c:v>0.136572911224977</c:v>
                </c:pt>
                <c:pt idx="1660">
                  <c:v>0.79189410708002395</c:v>
                </c:pt>
                <c:pt idx="1661">
                  <c:v>0.20755247910301799</c:v>
                </c:pt>
                <c:pt idx="1662">
                  <c:v>0.82922205372216495</c:v>
                </c:pt>
                <c:pt idx="1663">
                  <c:v>0.43109140381476202</c:v>
                </c:pt>
                <c:pt idx="1664">
                  <c:v>0.393377745863985</c:v>
                </c:pt>
                <c:pt idx="1665">
                  <c:v>0.56345507015340601</c:v>
                </c:pt>
                <c:pt idx="1666">
                  <c:v>0.27343016506321999</c:v>
                </c:pt>
                <c:pt idx="1667">
                  <c:v>0.74550806203881304</c:v>
                </c:pt>
                <c:pt idx="1668">
                  <c:v>0.22100810638521701</c:v>
                </c:pt>
                <c:pt idx="1669">
                  <c:v>0.85656392386353397</c:v>
                </c:pt>
                <c:pt idx="1670">
                  <c:v>0.74405940855970998</c:v>
                </c:pt>
                <c:pt idx="1671">
                  <c:v>0.79681238970688195</c:v>
                </c:pt>
                <c:pt idx="1672">
                  <c:v>0.85185622864051302</c:v>
                </c:pt>
                <c:pt idx="1673">
                  <c:v>0.40771825434005499</c:v>
                </c:pt>
                <c:pt idx="1674">
                  <c:v>0.46906209404865401</c:v>
                </c:pt>
                <c:pt idx="1675">
                  <c:v>0.53549284574310796</c:v>
                </c:pt>
                <c:pt idx="1676">
                  <c:v>0.25677120655386498</c:v>
                </c:pt>
                <c:pt idx="1677">
                  <c:v>0.16188422776089401</c:v>
                </c:pt>
                <c:pt idx="1678">
                  <c:v>0.17285677914904701</c:v>
                </c:pt>
                <c:pt idx="1679">
                  <c:v>0.595029918364821</c:v>
                </c:pt>
                <c:pt idx="1680">
                  <c:v>0.69576186967018805</c:v>
                </c:pt>
                <c:pt idx="1681">
                  <c:v>0.784857266628609</c:v>
                </c:pt>
                <c:pt idx="1682">
                  <c:v>0.25388156423109198</c:v>
                </c:pt>
                <c:pt idx="1683">
                  <c:v>0.78176260999234404</c:v>
                </c:pt>
                <c:pt idx="1684">
                  <c:v>0.80910746535240596</c:v>
                </c:pt>
                <c:pt idx="1685">
                  <c:v>0.61455321071301605</c:v>
                </c:pt>
                <c:pt idx="1686">
                  <c:v>0.87899701691022303</c:v>
                </c:pt>
                <c:pt idx="1687">
                  <c:v>0.396857739268209</c:v>
                </c:pt>
                <c:pt idx="1688">
                  <c:v>0.17390741450080399</c:v>
                </c:pt>
                <c:pt idx="1689">
                  <c:v>0.30873307758276403</c:v>
                </c:pt>
                <c:pt idx="1690">
                  <c:v>0.17632521055734099</c:v>
                </c:pt>
                <c:pt idx="1691">
                  <c:v>0.48659240205787302</c:v>
                </c:pt>
                <c:pt idx="1692">
                  <c:v>0.27230292513409898</c:v>
                </c:pt>
                <c:pt idx="1693">
                  <c:v>0.173047972684198</c:v>
                </c:pt>
                <c:pt idx="1694">
                  <c:v>0.13943538877450301</c:v>
                </c:pt>
                <c:pt idx="1695">
                  <c:v>0.33006967454587999</c:v>
                </c:pt>
                <c:pt idx="1696">
                  <c:v>0.29595191127142301</c:v>
                </c:pt>
                <c:pt idx="1697">
                  <c:v>0.70455744096926298</c:v>
                </c:pt>
                <c:pt idx="1698">
                  <c:v>0.43821486145009098</c:v>
                </c:pt>
                <c:pt idx="1699">
                  <c:v>0.53830544952356396</c:v>
                </c:pt>
                <c:pt idx="1700">
                  <c:v>0.59302782521652098</c:v>
                </c:pt>
                <c:pt idx="1701">
                  <c:v>0.16935977242283001</c:v>
                </c:pt>
                <c:pt idx="1702">
                  <c:v>0.216149839115332</c:v>
                </c:pt>
                <c:pt idx="1703">
                  <c:v>0.73278745662009603</c:v>
                </c:pt>
                <c:pt idx="1704">
                  <c:v>0.738642473869075</c:v>
                </c:pt>
                <c:pt idx="1705">
                  <c:v>0.509520829713214</c:v>
                </c:pt>
                <c:pt idx="1706">
                  <c:v>0.83846155497062103</c:v>
                </c:pt>
                <c:pt idx="1707">
                  <c:v>0.66278488860817297</c:v>
                </c:pt>
                <c:pt idx="1708">
                  <c:v>0.60637019042392104</c:v>
                </c:pt>
                <c:pt idx="1709">
                  <c:v>0.80876463544547095</c:v>
                </c:pt>
                <c:pt idx="1710">
                  <c:v>0.45806639212059402</c:v>
                </c:pt>
                <c:pt idx="1711">
                  <c:v>0.62816352249118601</c:v>
                </c:pt>
                <c:pt idx="1712">
                  <c:v>0.60204781247342398</c:v>
                </c:pt>
                <c:pt idx="1713">
                  <c:v>0.58021168132927603</c:v>
                </c:pt>
                <c:pt idx="1714">
                  <c:v>0.65537721347623101</c:v>
                </c:pt>
                <c:pt idx="1715">
                  <c:v>0.41226119430116898</c:v>
                </c:pt>
                <c:pt idx="1716">
                  <c:v>0.17304429854029299</c:v>
                </c:pt>
                <c:pt idx="1717">
                  <c:v>0.417685729432829</c:v>
                </c:pt>
                <c:pt idx="1718">
                  <c:v>0.57583038605647097</c:v>
                </c:pt>
                <c:pt idx="1719">
                  <c:v>0.82640612751920794</c:v>
                </c:pt>
                <c:pt idx="1720">
                  <c:v>0.48967369153313201</c:v>
                </c:pt>
                <c:pt idx="1721">
                  <c:v>0.237558403427679</c:v>
                </c:pt>
                <c:pt idx="1722">
                  <c:v>0.53377613023265802</c:v>
                </c:pt>
                <c:pt idx="1723">
                  <c:v>0.72456223137634301</c:v>
                </c:pt>
                <c:pt idx="1724">
                  <c:v>0.40203859430491101</c:v>
                </c:pt>
                <c:pt idx="1725">
                  <c:v>0.74078164672995395</c:v>
                </c:pt>
                <c:pt idx="1726">
                  <c:v>0.170076728991058</c:v>
                </c:pt>
                <c:pt idx="1727">
                  <c:v>0.113697935601987</c:v>
                </c:pt>
                <c:pt idx="1728">
                  <c:v>0.11550153611052701</c:v>
                </c:pt>
                <c:pt idx="1729">
                  <c:v>0.409705481115475</c:v>
                </c:pt>
                <c:pt idx="1730">
                  <c:v>0.57729853057850899</c:v>
                </c:pt>
                <c:pt idx="1731">
                  <c:v>0.27445675311124301</c:v>
                </c:pt>
                <c:pt idx="1732">
                  <c:v>0.46258450870697398</c:v>
                </c:pt>
                <c:pt idx="1733">
                  <c:v>0.192239438593379</c:v>
                </c:pt>
                <c:pt idx="1734">
                  <c:v>0.53921522228017005</c:v>
                </c:pt>
                <c:pt idx="1735">
                  <c:v>0.18105375044198599</c:v>
                </c:pt>
                <c:pt idx="1736">
                  <c:v>0.53587668282896705</c:v>
                </c:pt>
                <c:pt idx="1737">
                  <c:v>0.32503791295323797</c:v>
                </c:pt>
                <c:pt idx="1738">
                  <c:v>0.74700523077513903</c:v>
                </c:pt>
                <c:pt idx="1739">
                  <c:v>0.28697412483915802</c:v>
                </c:pt>
                <c:pt idx="1740">
                  <c:v>0.33303736657870903</c:v>
                </c:pt>
                <c:pt idx="1741">
                  <c:v>0.870508035050235</c:v>
                </c:pt>
                <c:pt idx="1742">
                  <c:v>0.34855066239183602</c:v>
                </c:pt>
                <c:pt idx="1743">
                  <c:v>0.39097527189410802</c:v>
                </c:pt>
                <c:pt idx="1744">
                  <c:v>0.39177126195724599</c:v>
                </c:pt>
                <c:pt idx="1745">
                  <c:v>0.435407734136944</c:v>
                </c:pt>
                <c:pt idx="1746">
                  <c:v>0.210743442610726</c:v>
                </c:pt>
                <c:pt idx="1747">
                  <c:v>0.38030405162627001</c:v>
                </c:pt>
                <c:pt idx="1748">
                  <c:v>0.30770235381913802</c:v>
                </c:pt>
                <c:pt idx="1749">
                  <c:v>0.66019129224678297</c:v>
                </c:pt>
                <c:pt idx="1750">
                  <c:v>0.63705934402352304</c:v>
                </c:pt>
                <c:pt idx="1751">
                  <c:v>0.59333384175860204</c:v>
                </c:pt>
                <c:pt idx="1752">
                  <c:v>0.39651019790091002</c:v>
                </c:pt>
                <c:pt idx="1753">
                  <c:v>0.84727612157451404</c:v>
                </c:pt>
                <c:pt idx="1754">
                  <c:v>0.60152367215037605</c:v>
                </c:pt>
                <c:pt idx="1755">
                  <c:v>0.414158311597835</c:v>
                </c:pt>
                <c:pt idx="1756">
                  <c:v>0.89135584825981895</c:v>
                </c:pt>
                <c:pt idx="1757">
                  <c:v>0.53143558686724102</c:v>
                </c:pt>
                <c:pt idx="1758">
                  <c:v>0.64591144775849496</c:v>
                </c:pt>
                <c:pt idx="1759">
                  <c:v>0.493217841407737</c:v>
                </c:pt>
                <c:pt idx="1760">
                  <c:v>0.415196100052029</c:v>
                </c:pt>
                <c:pt idx="1761">
                  <c:v>0.62129524402567904</c:v>
                </c:pt>
                <c:pt idx="1762">
                  <c:v>0.853654756520969</c:v>
                </c:pt>
                <c:pt idx="1763">
                  <c:v>0.293973005751473</c:v>
                </c:pt>
                <c:pt idx="1764">
                  <c:v>0.48778675530215199</c:v>
                </c:pt>
                <c:pt idx="1765">
                  <c:v>0.40217066178845301</c:v>
                </c:pt>
                <c:pt idx="1766">
                  <c:v>0.65688965392868903</c:v>
                </c:pt>
                <c:pt idx="1767">
                  <c:v>0.41536989102527799</c:v>
                </c:pt>
                <c:pt idx="1768">
                  <c:v>0.149465923623468</c:v>
                </c:pt>
                <c:pt idx="1769">
                  <c:v>0.52567832550446703</c:v>
                </c:pt>
                <c:pt idx="1770">
                  <c:v>0.104087443424785</c:v>
                </c:pt>
                <c:pt idx="1771">
                  <c:v>0.71690030210351996</c:v>
                </c:pt>
                <c:pt idx="1772">
                  <c:v>0.84102993887042898</c:v>
                </c:pt>
                <c:pt idx="1773">
                  <c:v>0.41452311195104802</c:v>
                </c:pt>
                <c:pt idx="1774">
                  <c:v>0.28904544273699501</c:v>
                </c:pt>
                <c:pt idx="1775">
                  <c:v>0.24091292864245101</c:v>
                </c:pt>
                <c:pt idx="1776">
                  <c:v>0.25565462225979702</c:v>
                </c:pt>
                <c:pt idx="1777">
                  <c:v>0.47816244652192602</c:v>
                </c:pt>
                <c:pt idx="1778">
                  <c:v>0.88789435207954903</c:v>
                </c:pt>
                <c:pt idx="1779">
                  <c:v>0.71068870183200905</c:v>
                </c:pt>
                <c:pt idx="1780">
                  <c:v>0.70406786467224303</c:v>
                </c:pt>
                <c:pt idx="1781">
                  <c:v>0.44111000214476398</c:v>
                </c:pt>
                <c:pt idx="1782">
                  <c:v>0.14282382786224601</c:v>
                </c:pt>
                <c:pt idx="1783">
                  <c:v>0.553149777677305</c:v>
                </c:pt>
                <c:pt idx="1784">
                  <c:v>0.22520996707316601</c:v>
                </c:pt>
                <c:pt idx="1785">
                  <c:v>0.69555132276140896</c:v>
                </c:pt>
                <c:pt idx="1786">
                  <c:v>0.251988969899406</c:v>
                </c:pt>
                <c:pt idx="1787">
                  <c:v>0.431743504169606</c:v>
                </c:pt>
                <c:pt idx="1788">
                  <c:v>0.42583230159007102</c:v>
                </c:pt>
                <c:pt idx="1789">
                  <c:v>0.85814404617981699</c:v>
                </c:pt>
                <c:pt idx="1790">
                  <c:v>0.44892850854691801</c:v>
                </c:pt>
                <c:pt idx="1791">
                  <c:v>0.43105378502622099</c:v>
                </c:pt>
                <c:pt idx="1792">
                  <c:v>0.74009956647428299</c:v>
                </c:pt>
                <c:pt idx="1793">
                  <c:v>0.43861336481388202</c:v>
                </c:pt>
                <c:pt idx="1794">
                  <c:v>0.174043887653868</c:v>
                </c:pt>
                <c:pt idx="1795">
                  <c:v>0.82282406397762198</c:v>
                </c:pt>
                <c:pt idx="1796">
                  <c:v>0.89808651623037405</c:v>
                </c:pt>
                <c:pt idx="1797">
                  <c:v>0.221828100657149</c:v>
                </c:pt>
                <c:pt idx="1798">
                  <c:v>0.38545720783286402</c:v>
                </c:pt>
                <c:pt idx="1799">
                  <c:v>0.52719601650145098</c:v>
                </c:pt>
                <c:pt idx="1800">
                  <c:v>0.10987121975633</c:v>
                </c:pt>
                <c:pt idx="1801">
                  <c:v>0.57090585186250198</c:v>
                </c:pt>
                <c:pt idx="1802">
                  <c:v>0.41928714451632298</c:v>
                </c:pt>
                <c:pt idx="1803">
                  <c:v>0.36857853600184898</c:v>
                </c:pt>
                <c:pt idx="1804">
                  <c:v>0.12426953261396199</c:v>
                </c:pt>
                <c:pt idx="1805">
                  <c:v>0.37254820203497702</c:v>
                </c:pt>
                <c:pt idx="1806">
                  <c:v>0.16285415399849901</c:v>
                </c:pt>
                <c:pt idx="1807">
                  <c:v>0.47219182966441697</c:v>
                </c:pt>
                <c:pt idx="1808">
                  <c:v>0.226649433045993</c:v>
                </c:pt>
                <c:pt idx="1809">
                  <c:v>0.24155484989877299</c:v>
                </c:pt>
                <c:pt idx="1810">
                  <c:v>0.72693070853604702</c:v>
                </c:pt>
                <c:pt idx="1811">
                  <c:v>0.12317520004786101</c:v>
                </c:pt>
                <c:pt idx="1812">
                  <c:v>0.50081534217069301</c:v>
                </c:pt>
                <c:pt idx="1813">
                  <c:v>0.54995869111032802</c:v>
                </c:pt>
                <c:pt idx="1814">
                  <c:v>0.246596467634975</c:v>
                </c:pt>
                <c:pt idx="1815">
                  <c:v>0.454625064400215</c:v>
                </c:pt>
                <c:pt idx="1816">
                  <c:v>0.698584652662671</c:v>
                </c:pt>
                <c:pt idx="1817">
                  <c:v>0.33872936366392498</c:v>
                </c:pt>
                <c:pt idx="1818">
                  <c:v>0.82521332599034602</c:v>
                </c:pt>
                <c:pt idx="1819">
                  <c:v>0.28339599802320597</c:v>
                </c:pt>
                <c:pt idx="1820">
                  <c:v>0.86902753081044104</c:v>
                </c:pt>
                <c:pt idx="1821">
                  <c:v>0.318840529058741</c:v>
                </c:pt>
                <c:pt idx="1822">
                  <c:v>0.74732607131119899</c:v>
                </c:pt>
                <c:pt idx="1823">
                  <c:v>0.72371638618298195</c:v>
                </c:pt>
                <c:pt idx="1824">
                  <c:v>0.53277489858252103</c:v>
                </c:pt>
                <c:pt idx="1825">
                  <c:v>0.22964910696670601</c:v>
                </c:pt>
                <c:pt idx="1826">
                  <c:v>0.589844845648269</c:v>
                </c:pt>
                <c:pt idx="1827">
                  <c:v>0.18990586849344401</c:v>
                </c:pt>
                <c:pt idx="1828">
                  <c:v>0.72810001774480604</c:v>
                </c:pt>
                <c:pt idx="1829">
                  <c:v>0.86254505911957802</c:v>
                </c:pt>
                <c:pt idx="1830">
                  <c:v>0.53206802131640596</c:v>
                </c:pt>
                <c:pt idx="1831">
                  <c:v>0.23467494357243801</c:v>
                </c:pt>
                <c:pt idx="1832">
                  <c:v>0.19626998405427901</c:v>
                </c:pt>
                <c:pt idx="1833">
                  <c:v>0.87255303278381802</c:v>
                </c:pt>
                <c:pt idx="1834">
                  <c:v>0.69943551297178197</c:v>
                </c:pt>
                <c:pt idx="1835">
                  <c:v>0.86160905289400103</c:v>
                </c:pt>
                <c:pt idx="1836">
                  <c:v>0.31155080242757699</c:v>
                </c:pt>
                <c:pt idx="1837">
                  <c:v>0.25964199184797998</c:v>
                </c:pt>
                <c:pt idx="1838">
                  <c:v>0.118939509044982</c:v>
                </c:pt>
                <c:pt idx="1839">
                  <c:v>0.80828277259460302</c:v>
                </c:pt>
                <c:pt idx="1840">
                  <c:v>0.230580709201573</c:v>
                </c:pt>
                <c:pt idx="1841">
                  <c:v>0.58897160082885602</c:v>
                </c:pt>
                <c:pt idx="1842">
                  <c:v>0.87662122990538904</c:v>
                </c:pt>
                <c:pt idx="1843">
                  <c:v>0.76455979783816497</c:v>
                </c:pt>
                <c:pt idx="1844">
                  <c:v>0.32620534602067203</c:v>
                </c:pt>
                <c:pt idx="1845">
                  <c:v>0.89779331585940503</c:v>
                </c:pt>
                <c:pt idx="1846">
                  <c:v>0.50390424160478697</c:v>
                </c:pt>
                <c:pt idx="1847">
                  <c:v>0.584331305038013</c:v>
                </c:pt>
                <c:pt idx="1848">
                  <c:v>0.111836467677166</c:v>
                </c:pt>
                <c:pt idx="1849">
                  <c:v>0.256091879755456</c:v>
                </c:pt>
                <c:pt idx="1850">
                  <c:v>0.82049350304528101</c:v>
                </c:pt>
                <c:pt idx="1851">
                  <c:v>0.393065621183527</c:v>
                </c:pt>
                <c:pt idx="1852">
                  <c:v>0.476631123270575</c:v>
                </c:pt>
                <c:pt idx="1853">
                  <c:v>0.72544072706893903</c:v>
                </c:pt>
                <c:pt idx="1854">
                  <c:v>0.58458383260493996</c:v>
                </c:pt>
                <c:pt idx="1855">
                  <c:v>0.55609315114319502</c:v>
                </c:pt>
                <c:pt idx="1856">
                  <c:v>0.82465357736034195</c:v>
                </c:pt>
                <c:pt idx="1857">
                  <c:v>0.75489146928900497</c:v>
                </c:pt>
                <c:pt idx="1858">
                  <c:v>0.75932527255538795</c:v>
                </c:pt>
                <c:pt idx="1859">
                  <c:v>0.37270764148451602</c:v>
                </c:pt>
                <c:pt idx="1860">
                  <c:v>0.66873614858256702</c:v>
                </c:pt>
                <c:pt idx="1861">
                  <c:v>0.68142474449928303</c:v>
                </c:pt>
                <c:pt idx="1862">
                  <c:v>0.69251376585289803</c:v>
                </c:pt>
                <c:pt idx="1863">
                  <c:v>0.107465537167565</c:v>
                </c:pt>
                <c:pt idx="1864">
                  <c:v>0.74025346584154506</c:v>
                </c:pt>
                <c:pt idx="1865">
                  <c:v>0.37584599539927599</c:v>
                </c:pt>
                <c:pt idx="1866">
                  <c:v>0.17528825376544099</c:v>
                </c:pt>
                <c:pt idx="1867">
                  <c:v>0.482868659983411</c:v>
                </c:pt>
                <c:pt idx="1868">
                  <c:v>0.469125057397839</c:v>
                </c:pt>
                <c:pt idx="1869">
                  <c:v>0.27416983605405498</c:v>
                </c:pt>
                <c:pt idx="1870">
                  <c:v>0.24605288687820701</c:v>
                </c:pt>
                <c:pt idx="1871">
                  <c:v>0.82852591048407598</c:v>
                </c:pt>
                <c:pt idx="1872">
                  <c:v>0.85190244502592105</c:v>
                </c:pt>
                <c:pt idx="1873">
                  <c:v>0.80600639067561797</c:v>
                </c:pt>
                <c:pt idx="1874">
                  <c:v>0.34547341657013497</c:v>
                </c:pt>
                <c:pt idx="1875">
                  <c:v>0.28405936201379201</c:v>
                </c:pt>
                <c:pt idx="1876">
                  <c:v>0.56582882549541902</c:v>
                </c:pt>
                <c:pt idx="1877">
                  <c:v>0.77091534087081204</c:v>
                </c:pt>
                <c:pt idx="1878">
                  <c:v>0.121319792602153</c:v>
                </c:pt>
                <c:pt idx="1879">
                  <c:v>0.14591961543740101</c:v>
                </c:pt>
                <c:pt idx="1880">
                  <c:v>0.625791706967876</c:v>
                </c:pt>
                <c:pt idx="1881">
                  <c:v>0.85247001106222897</c:v>
                </c:pt>
                <c:pt idx="1882">
                  <c:v>0.66861090057714201</c:v>
                </c:pt>
                <c:pt idx="1883">
                  <c:v>0.76253280797304501</c:v>
                </c:pt>
                <c:pt idx="1884">
                  <c:v>0.724201561754659</c:v>
                </c:pt>
                <c:pt idx="1885">
                  <c:v>0.80321131352573605</c:v>
                </c:pt>
                <c:pt idx="1886">
                  <c:v>0.79795629295815595</c:v>
                </c:pt>
                <c:pt idx="1887">
                  <c:v>0.77581060343395603</c:v>
                </c:pt>
                <c:pt idx="1888">
                  <c:v>0.62775147619882599</c:v>
                </c:pt>
                <c:pt idx="1889">
                  <c:v>0.27341078910190397</c:v>
                </c:pt>
                <c:pt idx="1890">
                  <c:v>0.74186151088937002</c:v>
                </c:pt>
                <c:pt idx="1891">
                  <c:v>0.14430958680735401</c:v>
                </c:pt>
                <c:pt idx="1892">
                  <c:v>0.79082836076236696</c:v>
                </c:pt>
                <c:pt idx="1893">
                  <c:v>0.54724100804486797</c:v>
                </c:pt>
                <c:pt idx="1894">
                  <c:v>0.78409130009927297</c:v>
                </c:pt>
                <c:pt idx="1895">
                  <c:v>0.60502818492966803</c:v>
                </c:pt>
                <c:pt idx="1896">
                  <c:v>0.79345594668953201</c:v>
                </c:pt>
                <c:pt idx="1897">
                  <c:v>0.75504444853410102</c:v>
                </c:pt>
                <c:pt idx="1898">
                  <c:v>0.75881126369813801</c:v>
                </c:pt>
                <c:pt idx="1899">
                  <c:v>0.38864091181536398</c:v>
                </c:pt>
                <c:pt idx="1900">
                  <c:v>0.25399880279745701</c:v>
                </c:pt>
                <c:pt idx="1901">
                  <c:v>0.72567670473941803</c:v>
                </c:pt>
                <c:pt idx="1902">
                  <c:v>0.42580721344809802</c:v>
                </c:pt>
                <c:pt idx="1903">
                  <c:v>0.48588285824336302</c:v>
                </c:pt>
                <c:pt idx="1904">
                  <c:v>0.53145388162154505</c:v>
                </c:pt>
                <c:pt idx="1905">
                  <c:v>0.23123401451867101</c:v>
                </c:pt>
                <c:pt idx="1906">
                  <c:v>0.55685882640761397</c:v>
                </c:pt>
                <c:pt idx="1907">
                  <c:v>0.52303859449004897</c:v>
                </c:pt>
                <c:pt idx="1908">
                  <c:v>0.42082148471095399</c:v>
                </c:pt>
                <c:pt idx="1909">
                  <c:v>0.36214972295105402</c:v>
                </c:pt>
                <c:pt idx="1910">
                  <c:v>0.103455871428606</c:v>
                </c:pt>
                <c:pt idx="1911">
                  <c:v>0.56700472997142204</c:v>
                </c:pt>
                <c:pt idx="1912">
                  <c:v>0.31456043983392501</c:v>
                </c:pt>
                <c:pt idx="1913">
                  <c:v>0.369455119321764</c:v>
                </c:pt>
                <c:pt idx="1914">
                  <c:v>0.21236393063047501</c:v>
                </c:pt>
                <c:pt idx="1915">
                  <c:v>0.73438925926826004</c:v>
                </c:pt>
                <c:pt idx="1916">
                  <c:v>0.43065603707837602</c:v>
                </c:pt>
                <c:pt idx="1917">
                  <c:v>0.33555993524932098</c:v>
                </c:pt>
                <c:pt idx="1918">
                  <c:v>0.419964536991767</c:v>
                </c:pt>
                <c:pt idx="1919">
                  <c:v>0.17265397632792501</c:v>
                </c:pt>
                <c:pt idx="1920">
                  <c:v>0.323421251402215</c:v>
                </c:pt>
                <c:pt idx="1921">
                  <c:v>0.19644214219984399</c:v>
                </c:pt>
                <c:pt idx="1922">
                  <c:v>0.76041375183047499</c:v>
                </c:pt>
                <c:pt idx="1923">
                  <c:v>0.49340939904109599</c:v>
                </c:pt>
                <c:pt idx="1924">
                  <c:v>0.51888761480580703</c:v>
                </c:pt>
                <c:pt idx="1925">
                  <c:v>0.864147556717351</c:v>
                </c:pt>
                <c:pt idx="1926">
                  <c:v>0.89913786110858296</c:v>
                </c:pt>
                <c:pt idx="1927">
                  <c:v>0.43991753322087701</c:v>
                </c:pt>
                <c:pt idx="1928">
                  <c:v>0.181507415980382</c:v>
                </c:pt>
                <c:pt idx="1929">
                  <c:v>0.80657957230141297</c:v>
                </c:pt>
                <c:pt idx="1930">
                  <c:v>0.209616448679809</c:v>
                </c:pt>
                <c:pt idx="1931">
                  <c:v>0.52589411581530898</c:v>
                </c:pt>
                <c:pt idx="1932">
                  <c:v>0.51590240120300801</c:v>
                </c:pt>
                <c:pt idx="1933">
                  <c:v>0.88251053853035699</c:v>
                </c:pt>
                <c:pt idx="1934">
                  <c:v>0.78438530330613798</c:v>
                </c:pt>
                <c:pt idx="1935">
                  <c:v>0.69625991765106898</c:v>
                </c:pt>
                <c:pt idx="1936">
                  <c:v>0.48989147879016698</c:v>
                </c:pt>
                <c:pt idx="1937">
                  <c:v>0.47863775447386803</c:v>
                </c:pt>
                <c:pt idx="1938">
                  <c:v>0.29003997210084298</c:v>
                </c:pt>
                <c:pt idx="1939">
                  <c:v>0.36226919918839301</c:v>
                </c:pt>
                <c:pt idx="1940">
                  <c:v>0.109849248191121</c:v>
                </c:pt>
                <c:pt idx="1941">
                  <c:v>0.63675677854761104</c:v>
                </c:pt>
                <c:pt idx="1942">
                  <c:v>0.39531540482217598</c:v>
                </c:pt>
                <c:pt idx="1943">
                  <c:v>0.73233095626272804</c:v>
                </c:pt>
                <c:pt idx="1944">
                  <c:v>0.56552171743450796</c:v>
                </c:pt>
                <c:pt idx="1945">
                  <c:v>0.54462758054594196</c:v>
                </c:pt>
                <c:pt idx="1946">
                  <c:v>0.43883747559041397</c:v>
                </c:pt>
                <c:pt idx="1947">
                  <c:v>0.59503191086150797</c:v>
                </c:pt>
                <c:pt idx="1948">
                  <c:v>0.74096357363320797</c:v>
                </c:pt>
                <c:pt idx="1949">
                  <c:v>0.24023672430437501</c:v>
                </c:pt>
                <c:pt idx="1950">
                  <c:v>0.26352727753384197</c:v>
                </c:pt>
                <c:pt idx="1951">
                  <c:v>0.35703370943246199</c:v>
                </c:pt>
                <c:pt idx="1952">
                  <c:v>0.63037609114529503</c:v>
                </c:pt>
                <c:pt idx="1953">
                  <c:v>0.60670378660826296</c:v>
                </c:pt>
                <c:pt idx="1954">
                  <c:v>0.81369890184082705</c:v>
                </c:pt>
                <c:pt idx="1955">
                  <c:v>0.33404738759209901</c:v>
                </c:pt>
                <c:pt idx="1956">
                  <c:v>0.15159888706545299</c:v>
                </c:pt>
                <c:pt idx="1957">
                  <c:v>0.452740076066316</c:v>
                </c:pt>
                <c:pt idx="1958">
                  <c:v>0.58956204708767002</c:v>
                </c:pt>
                <c:pt idx="1959">
                  <c:v>0.254198872746423</c:v>
                </c:pt>
                <c:pt idx="1960">
                  <c:v>0.67034381226328199</c:v>
                </c:pt>
                <c:pt idx="1961">
                  <c:v>0.58977235747003798</c:v>
                </c:pt>
                <c:pt idx="1962">
                  <c:v>0.88129264485041703</c:v>
                </c:pt>
                <c:pt idx="1963">
                  <c:v>0.34654744610715399</c:v>
                </c:pt>
                <c:pt idx="1964">
                  <c:v>0.21473610156197201</c:v>
                </c:pt>
                <c:pt idx="1965">
                  <c:v>0.75919764784595301</c:v>
                </c:pt>
                <c:pt idx="1966">
                  <c:v>0.78891415723291702</c:v>
                </c:pt>
                <c:pt idx="1967">
                  <c:v>0.242493964977472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68-49CC-804E-BECEF2AE90E1}"/>
            </c:ext>
          </c:extLst>
        </c:ser>
        <c:ser>
          <c:idx val="1"/>
          <c:order val="1"/>
          <c:tx>
            <c:strRef>
              <c:f>'LGD Raw Datatset'!$J$1</c:f>
              <c:strCache>
                <c:ptCount val="1"/>
                <c:pt idx="0">
                  <c:v>LGD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'LGD Raw Datatset'!$J$2:$J$2001</c:f>
              <c:numCache>
                <c:formatCode>General</c:formatCode>
                <c:ptCount val="2000"/>
                <c:pt idx="0">
                  <c:v>0.91006443172915796</c:v>
                </c:pt>
                <c:pt idx="1">
                  <c:v>0.64325409834867997</c:v>
                </c:pt>
                <c:pt idx="2">
                  <c:v>0.88403373930481199</c:v>
                </c:pt>
                <c:pt idx="3">
                  <c:v>0.71753309281141797</c:v>
                </c:pt>
                <c:pt idx="4">
                  <c:v>0.78675641507123795</c:v>
                </c:pt>
                <c:pt idx="5">
                  <c:v>0.58410483465878504</c:v>
                </c:pt>
                <c:pt idx="6">
                  <c:v>0.56452510207517703</c:v>
                </c:pt>
                <c:pt idx="7">
                  <c:v>0.85753897018444103</c:v>
                </c:pt>
                <c:pt idx="8">
                  <c:v>0.58437254247440795</c:v>
                </c:pt>
                <c:pt idx="9">
                  <c:v>0.53948641411674603</c:v>
                </c:pt>
                <c:pt idx="10">
                  <c:v>0.60469499450349495</c:v>
                </c:pt>
                <c:pt idx="11">
                  <c:v>0.53126654743895996</c:v>
                </c:pt>
                <c:pt idx="12">
                  <c:v>0.87513872008856997</c:v>
                </c:pt>
                <c:pt idx="13">
                  <c:v>0.43386364132052602</c:v>
                </c:pt>
                <c:pt idx="14">
                  <c:v>0.90942315068502699</c:v>
                </c:pt>
                <c:pt idx="15">
                  <c:v>0.49573975737549603</c:v>
                </c:pt>
                <c:pt idx="16">
                  <c:v>0.50662220554047099</c:v>
                </c:pt>
                <c:pt idx="17">
                  <c:v>0.79807684112865795</c:v>
                </c:pt>
                <c:pt idx="18">
                  <c:v>0.390816187644841</c:v>
                </c:pt>
                <c:pt idx="19">
                  <c:v>0.77367974362342695</c:v>
                </c:pt>
                <c:pt idx="20">
                  <c:v>0.85236010645402005</c:v>
                </c:pt>
                <c:pt idx="21">
                  <c:v>0.51916779921574996</c:v>
                </c:pt>
                <c:pt idx="22">
                  <c:v>0.47509014719046899</c:v>
                </c:pt>
                <c:pt idx="23">
                  <c:v>0.87107675154952102</c:v>
                </c:pt>
                <c:pt idx="24">
                  <c:v>0.98603086578143195</c:v>
                </c:pt>
                <c:pt idx="25">
                  <c:v>0.82597815892835902</c:v>
                </c:pt>
                <c:pt idx="26">
                  <c:v>0.63355564752885796</c:v>
                </c:pt>
                <c:pt idx="27">
                  <c:v>0.62163373557219903</c:v>
                </c:pt>
                <c:pt idx="28">
                  <c:v>0.95208648793224204</c:v>
                </c:pt>
                <c:pt idx="29">
                  <c:v>0.77593524269144099</c:v>
                </c:pt>
                <c:pt idx="30">
                  <c:v>0.49143048010805301</c:v>
                </c:pt>
                <c:pt idx="31">
                  <c:v>0.67743585060233802</c:v>
                </c:pt>
                <c:pt idx="32">
                  <c:v>0.829129295636439</c:v>
                </c:pt>
                <c:pt idx="33">
                  <c:v>0.850981886495076</c:v>
                </c:pt>
                <c:pt idx="34">
                  <c:v>0.76598776829916304</c:v>
                </c:pt>
                <c:pt idx="35">
                  <c:v>0.73083444461609504</c:v>
                </c:pt>
                <c:pt idx="36">
                  <c:v>0.74936123019842604</c:v>
                </c:pt>
                <c:pt idx="37">
                  <c:v>0.41198805795716598</c:v>
                </c:pt>
                <c:pt idx="38">
                  <c:v>0.55349666219490501</c:v>
                </c:pt>
                <c:pt idx="39">
                  <c:v>0.60016983917583699</c:v>
                </c:pt>
                <c:pt idx="40">
                  <c:v>0.77598551851598996</c:v>
                </c:pt>
                <c:pt idx="41">
                  <c:v>0.51647509468655906</c:v>
                </c:pt>
                <c:pt idx="42">
                  <c:v>0.50082454145597499</c:v>
                </c:pt>
                <c:pt idx="43">
                  <c:v>0.77045170917033401</c:v>
                </c:pt>
                <c:pt idx="44">
                  <c:v>0.93354532049078098</c:v>
                </c:pt>
                <c:pt idx="45">
                  <c:v>0.94692112715822496</c:v>
                </c:pt>
                <c:pt idx="46">
                  <c:v>0.56804605572042099</c:v>
                </c:pt>
                <c:pt idx="47">
                  <c:v>0.32607417804693001</c:v>
                </c:pt>
                <c:pt idx="48">
                  <c:v>0.34677552045412402</c:v>
                </c:pt>
                <c:pt idx="49">
                  <c:v>0.89637711416877497</c:v>
                </c:pt>
                <c:pt idx="50">
                  <c:v>0.824241796269363</c:v>
                </c:pt>
                <c:pt idx="51">
                  <c:v>0.497983859741852</c:v>
                </c:pt>
                <c:pt idx="52">
                  <c:v>0.77988442057141305</c:v>
                </c:pt>
                <c:pt idx="53">
                  <c:v>0.76596753821923302</c:v>
                </c:pt>
                <c:pt idx="54">
                  <c:v>0.92914752380644605</c:v>
                </c:pt>
                <c:pt idx="55">
                  <c:v>0.59213728235509999</c:v>
                </c:pt>
                <c:pt idx="56">
                  <c:v>0.83830483359896102</c:v>
                </c:pt>
                <c:pt idx="57">
                  <c:v>0.57952520705719701</c:v>
                </c:pt>
                <c:pt idx="58">
                  <c:v>0.61295532919043605</c:v>
                </c:pt>
                <c:pt idx="59">
                  <c:v>0.73690560625967905</c:v>
                </c:pt>
                <c:pt idx="60">
                  <c:v>0.67045150485870297</c:v>
                </c:pt>
                <c:pt idx="61">
                  <c:v>0.93779308503059</c:v>
                </c:pt>
                <c:pt idx="62">
                  <c:v>0.82881617305419097</c:v>
                </c:pt>
                <c:pt idx="63">
                  <c:v>0.66262653237503599</c:v>
                </c:pt>
                <c:pt idx="64">
                  <c:v>0.81838617967765304</c:v>
                </c:pt>
                <c:pt idx="65">
                  <c:v>0.40155777065783399</c:v>
                </c:pt>
                <c:pt idx="66">
                  <c:v>0.797934561520937</c:v>
                </c:pt>
                <c:pt idx="67">
                  <c:v>0.55472800558814295</c:v>
                </c:pt>
                <c:pt idx="68">
                  <c:v>0.536539306865361</c:v>
                </c:pt>
                <c:pt idx="69">
                  <c:v>0.482717546453511</c:v>
                </c:pt>
                <c:pt idx="70">
                  <c:v>0.78406858085018405</c:v>
                </c:pt>
                <c:pt idx="71">
                  <c:v>0.54574878728102405</c:v>
                </c:pt>
                <c:pt idx="72">
                  <c:v>0.60241375016813503</c:v>
                </c:pt>
                <c:pt idx="73">
                  <c:v>0.84742234549166895</c:v>
                </c:pt>
                <c:pt idx="74">
                  <c:v>0.77529209095553298</c:v>
                </c:pt>
                <c:pt idx="75">
                  <c:v>0.68763595392281196</c:v>
                </c:pt>
                <c:pt idx="76">
                  <c:v>0.78366292521108105</c:v>
                </c:pt>
                <c:pt idx="77">
                  <c:v>0.87207716710177996</c:v>
                </c:pt>
                <c:pt idx="78">
                  <c:v>0.88863484267524995</c:v>
                </c:pt>
                <c:pt idx="79">
                  <c:v>0.63056944259599801</c:v>
                </c:pt>
                <c:pt idx="80">
                  <c:v>0.61691808586720198</c:v>
                </c:pt>
                <c:pt idx="81">
                  <c:v>0.68334045807509802</c:v>
                </c:pt>
                <c:pt idx="82">
                  <c:v>0.57448096598957399</c:v>
                </c:pt>
                <c:pt idx="83">
                  <c:v>0.82485976227630997</c:v>
                </c:pt>
                <c:pt idx="84">
                  <c:v>0.84426641276081404</c:v>
                </c:pt>
                <c:pt idx="85">
                  <c:v>0.60826513480135902</c:v>
                </c:pt>
                <c:pt idx="86">
                  <c:v>0.88224697565913601</c:v>
                </c:pt>
                <c:pt idx="87">
                  <c:v>0.49803298236911198</c:v>
                </c:pt>
                <c:pt idx="88">
                  <c:v>0.81981712379884097</c:v>
                </c:pt>
                <c:pt idx="89">
                  <c:v>0.77259844854938498</c:v>
                </c:pt>
                <c:pt idx="90">
                  <c:v>0.75877534259024104</c:v>
                </c:pt>
                <c:pt idx="91">
                  <c:v>0.86412315053020505</c:v>
                </c:pt>
                <c:pt idx="92">
                  <c:v>0.52308189580364595</c:v>
                </c:pt>
                <c:pt idx="93">
                  <c:v>0.90930933299141503</c:v>
                </c:pt>
                <c:pt idx="94">
                  <c:v>0.42263321998710801</c:v>
                </c:pt>
                <c:pt idx="95">
                  <c:v>0.73123987817194602</c:v>
                </c:pt>
                <c:pt idx="96">
                  <c:v>0.67263248421297905</c:v>
                </c:pt>
                <c:pt idx="97">
                  <c:v>0.669997474738532</c:v>
                </c:pt>
                <c:pt idx="98">
                  <c:v>0.850553617811447</c:v>
                </c:pt>
                <c:pt idx="99">
                  <c:v>0.76465768437912196</c:v>
                </c:pt>
                <c:pt idx="100">
                  <c:v>0.62183539806448695</c:v>
                </c:pt>
                <c:pt idx="101">
                  <c:v>0.28369474682009999</c:v>
                </c:pt>
                <c:pt idx="102">
                  <c:v>0.989168095114903</c:v>
                </c:pt>
                <c:pt idx="103">
                  <c:v>0.77989871625221596</c:v>
                </c:pt>
                <c:pt idx="104">
                  <c:v>0.84198382088162904</c:v>
                </c:pt>
                <c:pt idx="105">
                  <c:v>0.92395839445958206</c:v>
                </c:pt>
                <c:pt idx="106">
                  <c:v>0.69859745367787296</c:v>
                </c:pt>
                <c:pt idx="107">
                  <c:v>0.91104533069853599</c:v>
                </c:pt>
                <c:pt idx="108">
                  <c:v>0.61894587861205697</c:v>
                </c:pt>
                <c:pt idx="109">
                  <c:v>0.71964425319733705</c:v>
                </c:pt>
                <c:pt idx="110">
                  <c:v>0.91204059334212395</c:v>
                </c:pt>
                <c:pt idx="111">
                  <c:v>0.84627323904548701</c:v>
                </c:pt>
                <c:pt idx="112">
                  <c:v>0.92080678574391595</c:v>
                </c:pt>
                <c:pt idx="113">
                  <c:v>0.71025752047327995</c:v>
                </c:pt>
                <c:pt idx="114">
                  <c:v>0.76212733104119701</c:v>
                </c:pt>
                <c:pt idx="115">
                  <c:v>0.77987365872682302</c:v>
                </c:pt>
                <c:pt idx="116">
                  <c:v>0.52923117805328102</c:v>
                </c:pt>
                <c:pt idx="117">
                  <c:v>0.91013076414885796</c:v>
                </c:pt>
                <c:pt idx="118">
                  <c:v>0.48847198711373002</c:v>
                </c:pt>
                <c:pt idx="119">
                  <c:v>0.72175498528035598</c:v>
                </c:pt>
                <c:pt idx="120">
                  <c:v>0.46911049343696298</c:v>
                </c:pt>
                <c:pt idx="121">
                  <c:v>0.58092466629704798</c:v>
                </c:pt>
                <c:pt idx="122">
                  <c:v>0.66829393290456496</c:v>
                </c:pt>
                <c:pt idx="123">
                  <c:v>0.78314234806645899</c:v>
                </c:pt>
                <c:pt idx="124">
                  <c:v>0.467035363400715</c:v>
                </c:pt>
                <c:pt idx="125">
                  <c:v>0.58953353996417701</c:v>
                </c:pt>
                <c:pt idx="126">
                  <c:v>0.79275195897290396</c:v>
                </c:pt>
                <c:pt idx="127">
                  <c:v>0.62961274532234501</c:v>
                </c:pt>
                <c:pt idx="128">
                  <c:v>0.67711887631398804</c:v>
                </c:pt>
                <c:pt idx="129">
                  <c:v>0.59508677543844901</c:v>
                </c:pt>
                <c:pt idx="130">
                  <c:v>0.76994817861190601</c:v>
                </c:pt>
                <c:pt idx="131">
                  <c:v>0.850434497311501</c:v>
                </c:pt>
                <c:pt idx="132">
                  <c:v>0.64352368397694204</c:v>
                </c:pt>
                <c:pt idx="133">
                  <c:v>0.49997052634309302</c:v>
                </c:pt>
                <c:pt idx="134">
                  <c:v>0.70565511501883604</c:v>
                </c:pt>
                <c:pt idx="135">
                  <c:v>0.367323389529913</c:v>
                </c:pt>
                <c:pt idx="136">
                  <c:v>0.21800418622157999</c:v>
                </c:pt>
                <c:pt idx="137">
                  <c:v>0.89535343180244198</c:v>
                </c:pt>
                <c:pt idx="138">
                  <c:v>0.7035177298909</c:v>
                </c:pt>
                <c:pt idx="139">
                  <c:v>0.82472011998772798</c:v>
                </c:pt>
                <c:pt idx="140">
                  <c:v>0.87313125794031898</c:v>
                </c:pt>
                <c:pt idx="141">
                  <c:v>0.72003036613789995</c:v>
                </c:pt>
                <c:pt idx="142">
                  <c:v>0.93965701564314796</c:v>
                </c:pt>
                <c:pt idx="143">
                  <c:v>0.62486523513419401</c:v>
                </c:pt>
                <c:pt idx="144">
                  <c:v>0.91932396965113095</c:v>
                </c:pt>
                <c:pt idx="145">
                  <c:v>0.57922326584412398</c:v>
                </c:pt>
                <c:pt idx="146">
                  <c:v>0.77826528066268896</c:v>
                </c:pt>
                <c:pt idx="147">
                  <c:v>0.79700339441493695</c:v>
                </c:pt>
                <c:pt idx="148">
                  <c:v>0.91830091168930805</c:v>
                </c:pt>
                <c:pt idx="149">
                  <c:v>0.41985740850069803</c:v>
                </c:pt>
                <c:pt idx="150">
                  <c:v>0.90959412011920904</c:v>
                </c:pt>
                <c:pt idx="151">
                  <c:v>0.46931505761242298</c:v>
                </c:pt>
                <c:pt idx="152">
                  <c:v>0.81166257694612098</c:v>
                </c:pt>
                <c:pt idx="153">
                  <c:v>0.84783264529992497</c:v>
                </c:pt>
                <c:pt idx="154">
                  <c:v>0.72779806704874705</c:v>
                </c:pt>
                <c:pt idx="155">
                  <c:v>0.92565533497019004</c:v>
                </c:pt>
                <c:pt idx="156">
                  <c:v>0.64066653357625203</c:v>
                </c:pt>
                <c:pt idx="157">
                  <c:v>0.73501727955003104</c:v>
                </c:pt>
                <c:pt idx="158">
                  <c:v>0.68151498065742699</c:v>
                </c:pt>
                <c:pt idx="159">
                  <c:v>0.822202921006564</c:v>
                </c:pt>
                <c:pt idx="160">
                  <c:v>0.50420263993596204</c:v>
                </c:pt>
                <c:pt idx="161">
                  <c:v>0.70935176732578298</c:v>
                </c:pt>
                <c:pt idx="162">
                  <c:v>0.55106308787014002</c:v>
                </c:pt>
                <c:pt idx="163">
                  <c:v>0.69634928314367806</c:v>
                </c:pt>
                <c:pt idx="164">
                  <c:v>0.61937072357853096</c:v>
                </c:pt>
                <c:pt idx="165">
                  <c:v>0.75214705503252499</c:v>
                </c:pt>
                <c:pt idx="166">
                  <c:v>0.55051174825951199</c:v>
                </c:pt>
                <c:pt idx="167">
                  <c:v>0.858794386625925</c:v>
                </c:pt>
                <c:pt idx="168">
                  <c:v>0.86487228381162096</c:v>
                </c:pt>
                <c:pt idx="169">
                  <c:v>0.57293055318516295</c:v>
                </c:pt>
                <c:pt idx="170">
                  <c:v>0.565748572471519</c:v>
                </c:pt>
                <c:pt idx="171">
                  <c:v>0.90900700348325203</c:v>
                </c:pt>
                <c:pt idx="172">
                  <c:v>0.65232191336813095</c:v>
                </c:pt>
                <c:pt idx="173">
                  <c:v>0.89449585201176496</c:v>
                </c:pt>
                <c:pt idx="174">
                  <c:v>0.80316673510018699</c:v>
                </c:pt>
                <c:pt idx="175">
                  <c:v>0.53249314742912002</c:v>
                </c:pt>
                <c:pt idx="176">
                  <c:v>0.85809027380976699</c:v>
                </c:pt>
                <c:pt idx="177">
                  <c:v>0.94140174566417001</c:v>
                </c:pt>
                <c:pt idx="178">
                  <c:v>0.707329481448149</c:v>
                </c:pt>
                <c:pt idx="179">
                  <c:v>0.568937719719527</c:v>
                </c:pt>
                <c:pt idx="180">
                  <c:v>0.63377590794623995</c:v>
                </c:pt>
                <c:pt idx="181">
                  <c:v>0.94950452861663104</c:v>
                </c:pt>
                <c:pt idx="182">
                  <c:v>0.78779124641675302</c:v>
                </c:pt>
                <c:pt idx="183">
                  <c:v>0.82003402179032903</c:v>
                </c:pt>
                <c:pt idx="184">
                  <c:v>0.37901329173331699</c:v>
                </c:pt>
                <c:pt idx="185">
                  <c:v>0.84199870088210305</c:v>
                </c:pt>
                <c:pt idx="186">
                  <c:v>0.89722656581043303</c:v>
                </c:pt>
                <c:pt idx="187">
                  <c:v>0.790829785578122</c:v>
                </c:pt>
                <c:pt idx="188">
                  <c:v>0.83696116469745596</c:v>
                </c:pt>
                <c:pt idx="189">
                  <c:v>0.54714038030575896</c:v>
                </c:pt>
                <c:pt idx="190">
                  <c:v>0.66776437015212697</c:v>
                </c:pt>
                <c:pt idx="191">
                  <c:v>0.99202669555979905</c:v>
                </c:pt>
                <c:pt idx="192">
                  <c:v>0.62992613985403201</c:v>
                </c:pt>
                <c:pt idx="193">
                  <c:v>0.54779012197993804</c:v>
                </c:pt>
                <c:pt idx="194">
                  <c:v>0.65315437187134395</c:v>
                </c:pt>
                <c:pt idx="195">
                  <c:v>0.55927561115234503</c:v>
                </c:pt>
                <c:pt idx="196">
                  <c:v>0.52595479433231895</c:v>
                </c:pt>
                <c:pt idx="197">
                  <c:v>0.64620015322537605</c:v>
                </c:pt>
                <c:pt idx="198">
                  <c:v>0.58726306168673004</c:v>
                </c:pt>
                <c:pt idx="199">
                  <c:v>0.74137008346215305</c:v>
                </c:pt>
                <c:pt idx="200">
                  <c:v>0.69770336368194097</c:v>
                </c:pt>
                <c:pt idx="201">
                  <c:v>0.76678497190467998</c:v>
                </c:pt>
                <c:pt idx="202">
                  <c:v>0.56931462106026798</c:v>
                </c:pt>
                <c:pt idx="203">
                  <c:v>0.55036359025797299</c:v>
                </c:pt>
                <c:pt idx="204">
                  <c:v>0.45927491367043499</c:v>
                </c:pt>
                <c:pt idx="205">
                  <c:v>0.56948267922796403</c:v>
                </c:pt>
                <c:pt idx="206">
                  <c:v>0.80489479223279603</c:v>
                </c:pt>
                <c:pt idx="207">
                  <c:v>0.86974904393972896</c:v>
                </c:pt>
                <c:pt idx="208">
                  <c:v>0.552859654115333</c:v>
                </c:pt>
                <c:pt idx="209">
                  <c:v>0.743184781277478</c:v>
                </c:pt>
                <c:pt idx="210">
                  <c:v>0.77860787900120298</c:v>
                </c:pt>
                <c:pt idx="211">
                  <c:v>0.92303400629267995</c:v>
                </c:pt>
                <c:pt idx="212">
                  <c:v>0.40502984834758698</c:v>
                </c:pt>
                <c:pt idx="213">
                  <c:v>0.91934775119296297</c:v>
                </c:pt>
                <c:pt idx="214">
                  <c:v>0.70999232898565401</c:v>
                </c:pt>
                <c:pt idx="215">
                  <c:v>0.68476093206194699</c:v>
                </c:pt>
                <c:pt idx="216">
                  <c:v>0.49802289601904598</c:v>
                </c:pt>
                <c:pt idx="217">
                  <c:v>0.77003606167072702</c:v>
                </c:pt>
                <c:pt idx="218">
                  <c:v>0.69363271388146397</c:v>
                </c:pt>
                <c:pt idx="219">
                  <c:v>0.58519465694855299</c:v>
                </c:pt>
                <c:pt idx="220">
                  <c:v>0.69944423450245297</c:v>
                </c:pt>
                <c:pt idx="221">
                  <c:v>0.68025695024182897</c:v>
                </c:pt>
                <c:pt idx="222">
                  <c:v>0.95581837435845796</c:v>
                </c:pt>
                <c:pt idx="223">
                  <c:v>0.933125438422582</c:v>
                </c:pt>
                <c:pt idx="224">
                  <c:v>0.71485387178964499</c:v>
                </c:pt>
                <c:pt idx="225">
                  <c:v>0.72319759107235504</c:v>
                </c:pt>
                <c:pt idx="226">
                  <c:v>0.81847303673959604</c:v>
                </c:pt>
                <c:pt idx="227">
                  <c:v>0.78453471429243005</c:v>
                </c:pt>
                <c:pt idx="228">
                  <c:v>0.43020717699697397</c:v>
                </c:pt>
                <c:pt idx="229">
                  <c:v>0.843369707228945</c:v>
                </c:pt>
                <c:pt idx="230">
                  <c:v>0.74712425892552303</c:v>
                </c:pt>
                <c:pt idx="231">
                  <c:v>0.735513369580301</c:v>
                </c:pt>
                <c:pt idx="232">
                  <c:v>0.47875317759945202</c:v>
                </c:pt>
                <c:pt idx="233">
                  <c:v>0.54818983071330696</c:v>
                </c:pt>
                <c:pt idx="234">
                  <c:v>0.75709157793533099</c:v>
                </c:pt>
                <c:pt idx="235">
                  <c:v>0.60890178440786003</c:v>
                </c:pt>
                <c:pt idx="236">
                  <c:v>0.89334443745986303</c:v>
                </c:pt>
                <c:pt idx="237">
                  <c:v>0.82771342921369395</c:v>
                </c:pt>
                <c:pt idx="238">
                  <c:v>0.68722379137073897</c:v>
                </c:pt>
                <c:pt idx="239">
                  <c:v>0.67262654387057097</c:v>
                </c:pt>
                <c:pt idx="240">
                  <c:v>0.78436048944459702</c:v>
                </c:pt>
                <c:pt idx="241">
                  <c:v>0.90349778595966002</c:v>
                </c:pt>
                <c:pt idx="242">
                  <c:v>0.79789846270293596</c:v>
                </c:pt>
                <c:pt idx="243">
                  <c:v>0.78898209962730204</c:v>
                </c:pt>
                <c:pt idx="244">
                  <c:v>0.813490964022344</c:v>
                </c:pt>
                <c:pt idx="245">
                  <c:v>0.88531718128384695</c:v>
                </c:pt>
                <c:pt idx="246">
                  <c:v>0.51710705956396597</c:v>
                </c:pt>
                <c:pt idx="247">
                  <c:v>0.54039119050551498</c:v>
                </c:pt>
                <c:pt idx="248">
                  <c:v>0.23802230887864601</c:v>
                </c:pt>
                <c:pt idx="249">
                  <c:v>0.56111589022210095</c:v>
                </c:pt>
                <c:pt idx="250">
                  <c:v>0.72108105278423096</c:v>
                </c:pt>
                <c:pt idx="251">
                  <c:v>0.64661329230037101</c:v>
                </c:pt>
                <c:pt idx="252">
                  <c:v>0.64956807123930904</c:v>
                </c:pt>
                <c:pt idx="253">
                  <c:v>0.88722446034008795</c:v>
                </c:pt>
                <c:pt idx="254">
                  <c:v>0.39844531185387799</c:v>
                </c:pt>
                <c:pt idx="255">
                  <c:v>0.89270296452700904</c:v>
                </c:pt>
                <c:pt idx="256">
                  <c:v>0.58045156051175695</c:v>
                </c:pt>
                <c:pt idx="257">
                  <c:v>0.84411537123496005</c:v>
                </c:pt>
                <c:pt idx="258">
                  <c:v>0.31904201973787499</c:v>
                </c:pt>
                <c:pt idx="259">
                  <c:v>0.68436947495391598</c:v>
                </c:pt>
                <c:pt idx="260">
                  <c:v>0.47567244681348397</c:v>
                </c:pt>
                <c:pt idx="261">
                  <c:v>0.87624423593546097</c:v>
                </c:pt>
                <c:pt idx="262">
                  <c:v>0.74205768309907805</c:v>
                </c:pt>
                <c:pt idx="263">
                  <c:v>0.80837012006086295</c:v>
                </c:pt>
                <c:pt idx="264">
                  <c:v>0.94182614369524997</c:v>
                </c:pt>
                <c:pt idx="265">
                  <c:v>0.83890774320088501</c:v>
                </c:pt>
                <c:pt idx="266">
                  <c:v>0.74834028803100205</c:v>
                </c:pt>
                <c:pt idx="267">
                  <c:v>0.71112903880707501</c:v>
                </c:pt>
                <c:pt idx="268">
                  <c:v>0.43902958270540898</c:v>
                </c:pt>
                <c:pt idx="269">
                  <c:v>0.68342470526578003</c:v>
                </c:pt>
                <c:pt idx="270">
                  <c:v>0.715938879026912</c:v>
                </c:pt>
                <c:pt idx="271">
                  <c:v>0.82744093907427396</c:v>
                </c:pt>
                <c:pt idx="272">
                  <c:v>0.76895361802280204</c:v>
                </c:pt>
                <c:pt idx="273">
                  <c:v>0.86924766563285105</c:v>
                </c:pt>
                <c:pt idx="274">
                  <c:v>0.56302872283178995</c:v>
                </c:pt>
                <c:pt idx="275">
                  <c:v>0.68850082980262794</c:v>
                </c:pt>
                <c:pt idx="276">
                  <c:v>0.70343741425864703</c:v>
                </c:pt>
                <c:pt idx="277">
                  <c:v>0.75113529140533597</c:v>
                </c:pt>
                <c:pt idx="278">
                  <c:v>0.46465339847128501</c:v>
                </c:pt>
                <c:pt idx="279">
                  <c:v>0.92724209109301203</c:v>
                </c:pt>
                <c:pt idx="280">
                  <c:v>0.55060853551373601</c:v>
                </c:pt>
                <c:pt idx="281">
                  <c:v>0.48749450790211402</c:v>
                </c:pt>
                <c:pt idx="282">
                  <c:v>0.70572759552960496</c:v>
                </c:pt>
                <c:pt idx="283">
                  <c:v>0.50785650386120296</c:v>
                </c:pt>
                <c:pt idx="284">
                  <c:v>0.89988547051988699</c:v>
                </c:pt>
                <c:pt idx="285">
                  <c:v>0.57349898823775303</c:v>
                </c:pt>
                <c:pt idx="286">
                  <c:v>0.81161005442562895</c:v>
                </c:pt>
                <c:pt idx="287">
                  <c:v>0.57458292533027799</c:v>
                </c:pt>
                <c:pt idx="288">
                  <c:v>0.757038325694668</c:v>
                </c:pt>
                <c:pt idx="289">
                  <c:v>0.89780722218770104</c:v>
                </c:pt>
                <c:pt idx="290">
                  <c:v>0.81250990938381495</c:v>
                </c:pt>
                <c:pt idx="291">
                  <c:v>0.72149551911009202</c:v>
                </c:pt>
                <c:pt idx="292">
                  <c:v>0.72874084693531005</c:v>
                </c:pt>
                <c:pt idx="293">
                  <c:v>0.81564361424712695</c:v>
                </c:pt>
                <c:pt idx="294">
                  <c:v>0.78758562191891501</c:v>
                </c:pt>
                <c:pt idx="295">
                  <c:v>0.96088889126468402</c:v>
                </c:pt>
                <c:pt idx="296">
                  <c:v>0.730794711406621</c:v>
                </c:pt>
                <c:pt idx="297">
                  <c:v>0.86148026422346802</c:v>
                </c:pt>
                <c:pt idx="298">
                  <c:v>0.62210707104323104</c:v>
                </c:pt>
                <c:pt idx="299">
                  <c:v>0.65093117168036096</c:v>
                </c:pt>
                <c:pt idx="300">
                  <c:v>0.58364243965787399</c:v>
                </c:pt>
                <c:pt idx="301">
                  <c:v>0.58156073448914403</c:v>
                </c:pt>
                <c:pt idx="302">
                  <c:v>0.67452838173422103</c:v>
                </c:pt>
                <c:pt idx="303">
                  <c:v>0.69014566227252605</c:v>
                </c:pt>
                <c:pt idx="304">
                  <c:v>0.67534160022550704</c:v>
                </c:pt>
                <c:pt idx="305">
                  <c:v>0.84308140864979797</c:v>
                </c:pt>
                <c:pt idx="306">
                  <c:v>0.85570471299579098</c:v>
                </c:pt>
                <c:pt idx="307">
                  <c:v>0.50980841458461601</c:v>
                </c:pt>
                <c:pt idx="308">
                  <c:v>0.67976664708662904</c:v>
                </c:pt>
                <c:pt idx="309">
                  <c:v>0.83181770100824004</c:v>
                </c:pt>
                <c:pt idx="310">
                  <c:v>0.87307189517595396</c:v>
                </c:pt>
                <c:pt idx="311">
                  <c:v>0.78459715042071398</c:v>
                </c:pt>
                <c:pt idx="312">
                  <c:v>0.81393026041294403</c:v>
                </c:pt>
                <c:pt idx="313">
                  <c:v>0.72662322095864496</c:v>
                </c:pt>
                <c:pt idx="314">
                  <c:v>0.54620529649201999</c:v>
                </c:pt>
                <c:pt idx="315">
                  <c:v>0.35296388130672501</c:v>
                </c:pt>
                <c:pt idx="316">
                  <c:v>0.74140510891581402</c:v>
                </c:pt>
                <c:pt idx="317">
                  <c:v>0.52151874617751504</c:v>
                </c:pt>
                <c:pt idx="318">
                  <c:v>0.45532681671154202</c:v>
                </c:pt>
                <c:pt idx="319">
                  <c:v>0.50487770163630097</c:v>
                </c:pt>
                <c:pt idx="320">
                  <c:v>0.77184211603035802</c:v>
                </c:pt>
                <c:pt idx="321">
                  <c:v>0.76111920372776598</c:v>
                </c:pt>
                <c:pt idx="322">
                  <c:v>0.96581599798462603</c:v>
                </c:pt>
                <c:pt idx="323">
                  <c:v>0.827965595946759</c:v>
                </c:pt>
                <c:pt idx="324">
                  <c:v>0.85798742810294704</c:v>
                </c:pt>
                <c:pt idx="325">
                  <c:v>0.70141788496646595</c:v>
                </c:pt>
                <c:pt idx="326">
                  <c:v>0.92626512553679397</c:v>
                </c:pt>
                <c:pt idx="327">
                  <c:v>0.65657427728522599</c:v>
                </c:pt>
                <c:pt idx="328">
                  <c:v>0.588203108508349</c:v>
                </c:pt>
                <c:pt idx="329">
                  <c:v>0.46288925243011803</c:v>
                </c:pt>
                <c:pt idx="330">
                  <c:v>0.87171073913853703</c:v>
                </c:pt>
                <c:pt idx="331">
                  <c:v>0.49344361746981602</c:v>
                </c:pt>
                <c:pt idx="332">
                  <c:v>0.58647424851138397</c:v>
                </c:pt>
                <c:pt idx="333">
                  <c:v>0.74327392194165198</c:v>
                </c:pt>
                <c:pt idx="334">
                  <c:v>0.73026347818916404</c:v>
                </c:pt>
                <c:pt idx="335">
                  <c:v>0.76466053363366904</c:v>
                </c:pt>
                <c:pt idx="336">
                  <c:v>0.46133280141077498</c:v>
                </c:pt>
                <c:pt idx="337">
                  <c:v>0.89159915899418096</c:v>
                </c:pt>
                <c:pt idx="338">
                  <c:v>0.458766440432131</c:v>
                </c:pt>
                <c:pt idx="339">
                  <c:v>0.490008182103159</c:v>
                </c:pt>
                <c:pt idx="340">
                  <c:v>0.56953633064072995</c:v>
                </c:pt>
                <c:pt idx="341">
                  <c:v>0.749740432351093</c:v>
                </c:pt>
                <c:pt idx="342">
                  <c:v>0.83255387233256695</c:v>
                </c:pt>
                <c:pt idx="343">
                  <c:v>0.76280238611731999</c:v>
                </c:pt>
                <c:pt idx="344">
                  <c:v>0.81050154847498801</c:v>
                </c:pt>
                <c:pt idx="345">
                  <c:v>0.425431743516622</c:v>
                </c:pt>
                <c:pt idx="346">
                  <c:v>0.70199343742421905</c:v>
                </c:pt>
                <c:pt idx="347">
                  <c:v>0.926779339257227</c:v>
                </c:pt>
                <c:pt idx="348">
                  <c:v>0.69445183795089704</c:v>
                </c:pt>
                <c:pt idx="349">
                  <c:v>0.37428391501714298</c:v>
                </c:pt>
                <c:pt idx="350">
                  <c:v>0.63156511885424005</c:v>
                </c:pt>
                <c:pt idx="351">
                  <c:v>0.60545382439429896</c:v>
                </c:pt>
                <c:pt idx="352">
                  <c:v>0.91656153330133905</c:v>
                </c:pt>
                <c:pt idx="353">
                  <c:v>0.42155325421367401</c:v>
                </c:pt>
                <c:pt idx="354">
                  <c:v>0.82224849792347499</c:v>
                </c:pt>
                <c:pt idx="355">
                  <c:v>0.61280617101316504</c:v>
                </c:pt>
                <c:pt idx="356">
                  <c:v>0.72817594307619704</c:v>
                </c:pt>
                <c:pt idx="357">
                  <c:v>0.72447142105584605</c:v>
                </c:pt>
                <c:pt idx="358">
                  <c:v>0.87629244647321902</c:v>
                </c:pt>
                <c:pt idx="359">
                  <c:v>0.69389377667650998</c:v>
                </c:pt>
                <c:pt idx="360">
                  <c:v>0.67141987571487105</c:v>
                </c:pt>
                <c:pt idx="361">
                  <c:v>0.86155627938280099</c:v>
                </c:pt>
                <c:pt idx="362">
                  <c:v>0.58185495576522495</c:v>
                </c:pt>
                <c:pt idx="363">
                  <c:v>0.79422313251906695</c:v>
                </c:pt>
                <c:pt idx="364">
                  <c:v>0.470468470372157</c:v>
                </c:pt>
                <c:pt idx="365">
                  <c:v>0.49770390403759301</c:v>
                </c:pt>
                <c:pt idx="366">
                  <c:v>0.91805339462008395</c:v>
                </c:pt>
                <c:pt idx="367">
                  <c:v>0.91585706435638103</c:v>
                </c:pt>
                <c:pt idx="368">
                  <c:v>0.23446091965239699</c:v>
                </c:pt>
                <c:pt idx="369">
                  <c:v>0.90296872626985103</c:v>
                </c:pt>
                <c:pt idx="370">
                  <c:v>0.49505260793066003</c:v>
                </c:pt>
                <c:pt idx="371">
                  <c:v>0.834649260711954</c:v>
                </c:pt>
                <c:pt idx="372">
                  <c:v>0.92103705689942805</c:v>
                </c:pt>
                <c:pt idx="373">
                  <c:v>0.87759819846044396</c:v>
                </c:pt>
                <c:pt idx="374">
                  <c:v>0.74508629885060995</c:v>
                </c:pt>
                <c:pt idx="375">
                  <c:v>0.82438984063173104</c:v>
                </c:pt>
                <c:pt idx="376">
                  <c:v>0.48023648898647597</c:v>
                </c:pt>
                <c:pt idx="377">
                  <c:v>0.78281519316651105</c:v>
                </c:pt>
                <c:pt idx="378">
                  <c:v>0.84506752860411605</c:v>
                </c:pt>
                <c:pt idx="379">
                  <c:v>0.89812832093067496</c:v>
                </c:pt>
                <c:pt idx="380">
                  <c:v>0.84041558151457896</c:v>
                </c:pt>
                <c:pt idx="381">
                  <c:v>0.49287060826253198</c:v>
                </c:pt>
                <c:pt idx="382">
                  <c:v>0.90944069132983996</c:v>
                </c:pt>
                <c:pt idx="383">
                  <c:v>0.55059964713146603</c:v>
                </c:pt>
                <c:pt idx="384">
                  <c:v>0.81981931694691501</c:v>
                </c:pt>
                <c:pt idx="385">
                  <c:v>0.38646916225650502</c:v>
                </c:pt>
                <c:pt idx="386">
                  <c:v>0.64394963585845999</c:v>
                </c:pt>
                <c:pt idx="387">
                  <c:v>0.86773903204187097</c:v>
                </c:pt>
                <c:pt idx="388">
                  <c:v>0.49447412043422601</c:v>
                </c:pt>
                <c:pt idx="389">
                  <c:v>0.84311801298047795</c:v>
                </c:pt>
                <c:pt idx="390">
                  <c:v>0.75626977468058798</c:v>
                </c:pt>
                <c:pt idx="391">
                  <c:v>0.56641263594751001</c:v>
                </c:pt>
                <c:pt idx="392">
                  <c:v>0.77542915390641898</c:v>
                </c:pt>
                <c:pt idx="393">
                  <c:v>0.95666012857981997</c:v>
                </c:pt>
                <c:pt idx="394">
                  <c:v>0.468508589909156</c:v>
                </c:pt>
                <c:pt idx="395">
                  <c:v>0.88603008010497697</c:v>
                </c:pt>
                <c:pt idx="396">
                  <c:v>0.66515077782874699</c:v>
                </c:pt>
                <c:pt idx="397">
                  <c:v>0.95437012291944101</c:v>
                </c:pt>
                <c:pt idx="398">
                  <c:v>0.71689480299799002</c:v>
                </c:pt>
                <c:pt idx="399">
                  <c:v>0.80438248810396396</c:v>
                </c:pt>
                <c:pt idx="400">
                  <c:v>0.628041287305104</c:v>
                </c:pt>
                <c:pt idx="401">
                  <c:v>0.38789510872604499</c:v>
                </c:pt>
                <c:pt idx="402">
                  <c:v>0.79642483245486195</c:v>
                </c:pt>
                <c:pt idx="403">
                  <c:v>0.81296635436966103</c:v>
                </c:pt>
                <c:pt idx="404">
                  <c:v>0.88370294028688601</c:v>
                </c:pt>
                <c:pt idx="405">
                  <c:v>0.63014907319837199</c:v>
                </c:pt>
                <c:pt idx="406">
                  <c:v>0.72130814617563299</c:v>
                </c:pt>
                <c:pt idx="407">
                  <c:v>0.65364039050304601</c:v>
                </c:pt>
                <c:pt idx="408">
                  <c:v>0.81267461953138598</c:v>
                </c:pt>
                <c:pt idx="409">
                  <c:v>0.68616956022393105</c:v>
                </c:pt>
                <c:pt idx="410">
                  <c:v>0.82411070221454197</c:v>
                </c:pt>
                <c:pt idx="411">
                  <c:v>0.80406895171829995</c:v>
                </c:pt>
                <c:pt idx="412">
                  <c:v>0.815532424142973</c:v>
                </c:pt>
                <c:pt idx="413">
                  <c:v>0.54887919423796805</c:v>
                </c:pt>
                <c:pt idx="414">
                  <c:v>0.74651457254193998</c:v>
                </c:pt>
                <c:pt idx="415">
                  <c:v>0.59689931884747605</c:v>
                </c:pt>
                <c:pt idx="416">
                  <c:v>0.66665493000501697</c:v>
                </c:pt>
                <c:pt idx="417">
                  <c:v>0.87612288072460998</c:v>
                </c:pt>
                <c:pt idx="418">
                  <c:v>0.41697231095720499</c:v>
                </c:pt>
                <c:pt idx="419">
                  <c:v>0.60880145972542099</c:v>
                </c:pt>
                <c:pt idx="420">
                  <c:v>0.53538518444668204</c:v>
                </c:pt>
                <c:pt idx="421">
                  <c:v>0.62251251771577398</c:v>
                </c:pt>
                <c:pt idx="422">
                  <c:v>0.908173436856061</c:v>
                </c:pt>
                <c:pt idx="423">
                  <c:v>0.69577653242250304</c:v>
                </c:pt>
                <c:pt idx="424">
                  <c:v>0.75051221380788602</c:v>
                </c:pt>
                <c:pt idx="425">
                  <c:v>0.400874940821148</c:v>
                </c:pt>
                <c:pt idx="426">
                  <c:v>0.696409440897929</c:v>
                </c:pt>
                <c:pt idx="427">
                  <c:v>0.535162626843252</c:v>
                </c:pt>
                <c:pt idx="428">
                  <c:v>0.74954449944381196</c:v>
                </c:pt>
                <c:pt idx="429">
                  <c:v>0.89817483488419703</c:v>
                </c:pt>
                <c:pt idx="430">
                  <c:v>0.49261060733832202</c:v>
                </c:pt>
                <c:pt idx="431">
                  <c:v>0.88053041206441396</c:v>
                </c:pt>
                <c:pt idx="432">
                  <c:v>0.83070671702598897</c:v>
                </c:pt>
                <c:pt idx="433">
                  <c:v>0.61629488952618605</c:v>
                </c:pt>
                <c:pt idx="434">
                  <c:v>0.57796926044600105</c:v>
                </c:pt>
                <c:pt idx="435">
                  <c:v>0.523356651670012</c:v>
                </c:pt>
                <c:pt idx="436">
                  <c:v>0.90180273810013001</c:v>
                </c:pt>
                <c:pt idx="437">
                  <c:v>0.45139627350609601</c:v>
                </c:pt>
                <c:pt idx="438">
                  <c:v>0.77780488315429497</c:v>
                </c:pt>
                <c:pt idx="439">
                  <c:v>0.774962671836955</c:v>
                </c:pt>
                <c:pt idx="440">
                  <c:v>0.85319496540379003</c:v>
                </c:pt>
                <c:pt idx="441">
                  <c:v>0.62775044772088395</c:v>
                </c:pt>
                <c:pt idx="442">
                  <c:v>0.64854813048882298</c:v>
                </c:pt>
                <c:pt idx="443">
                  <c:v>0.91070928483212898</c:v>
                </c:pt>
                <c:pt idx="444">
                  <c:v>0.48754479280741397</c:v>
                </c:pt>
                <c:pt idx="445">
                  <c:v>0.952219184421631</c:v>
                </c:pt>
                <c:pt idx="446">
                  <c:v>0.80743321481142605</c:v>
                </c:pt>
                <c:pt idx="447">
                  <c:v>0.73326182482767099</c:v>
                </c:pt>
                <c:pt idx="448">
                  <c:v>0.63308465939041902</c:v>
                </c:pt>
                <c:pt idx="449">
                  <c:v>0.86388332264739098</c:v>
                </c:pt>
                <c:pt idx="450">
                  <c:v>0.80427024979405404</c:v>
                </c:pt>
                <c:pt idx="451">
                  <c:v>0.61455257944446295</c:v>
                </c:pt>
                <c:pt idx="452">
                  <c:v>0.83378118901526299</c:v>
                </c:pt>
                <c:pt idx="453">
                  <c:v>0.42578000075883299</c:v>
                </c:pt>
                <c:pt idx="454">
                  <c:v>0.76748956910358002</c:v>
                </c:pt>
                <c:pt idx="455">
                  <c:v>0.59077512502543805</c:v>
                </c:pt>
                <c:pt idx="456">
                  <c:v>0.754324314323775</c:v>
                </c:pt>
                <c:pt idx="457">
                  <c:v>0.78122767747766098</c:v>
                </c:pt>
                <c:pt idx="458">
                  <c:v>0.78123298170621602</c:v>
                </c:pt>
                <c:pt idx="459">
                  <c:v>0.93235616332399096</c:v>
                </c:pt>
                <c:pt idx="460">
                  <c:v>0.63399044547948402</c:v>
                </c:pt>
                <c:pt idx="461">
                  <c:v>0.63333998326508301</c:v>
                </c:pt>
                <c:pt idx="462">
                  <c:v>0.70772862505523104</c:v>
                </c:pt>
                <c:pt idx="463">
                  <c:v>0.77300564812227701</c:v>
                </c:pt>
                <c:pt idx="464">
                  <c:v>0.69585475264677199</c:v>
                </c:pt>
                <c:pt idx="465">
                  <c:v>0.62542223849309597</c:v>
                </c:pt>
                <c:pt idx="466">
                  <c:v>0.72735432901236696</c:v>
                </c:pt>
                <c:pt idx="467">
                  <c:v>0.84348980193129797</c:v>
                </c:pt>
                <c:pt idx="468">
                  <c:v>0.52938375800493898</c:v>
                </c:pt>
                <c:pt idx="469">
                  <c:v>0.75835564558912705</c:v>
                </c:pt>
                <c:pt idx="470">
                  <c:v>0.60819564279576599</c:v>
                </c:pt>
                <c:pt idx="471">
                  <c:v>0.50251210107463895</c:v>
                </c:pt>
                <c:pt idx="472">
                  <c:v>0.55594248193744</c:v>
                </c:pt>
                <c:pt idx="473">
                  <c:v>0.61546295914592197</c:v>
                </c:pt>
                <c:pt idx="474">
                  <c:v>0.55004961583883505</c:v>
                </c:pt>
                <c:pt idx="475">
                  <c:v>0.34528921779361599</c:v>
                </c:pt>
                <c:pt idx="476">
                  <c:v>0.66380870063892905</c:v>
                </c:pt>
                <c:pt idx="477">
                  <c:v>0.46427897305493798</c:v>
                </c:pt>
                <c:pt idx="478">
                  <c:v>0.460700001048157</c:v>
                </c:pt>
                <c:pt idx="479">
                  <c:v>0.84090374850219396</c:v>
                </c:pt>
                <c:pt idx="480">
                  <c:v>0.61420871770031105</c:v>
                </c:pt>
                <c:pt idx="481">
                  <c:v>0.900346004282496</c:v>
                </c:pt>
                <c:pt idx="482">
                  <c:v>0.93121160096644495</c:v>
                </c:pt>
                <c:pt idx="483">
                  <c:v>0.61469719767308195</c:v>
                </c:pt>
                <c:pt idx="484">
                  <c:v>0.721107765237466</c:v>
                </c:pt>
                <c:pt idx="485">
                  <c:v>0.73257334724934697</c:v>
                </c:pt>
                <c:pt idx="486">
                  <c:v>0.80196716268190305</c:v>
                </c:pt>
                <c:pt idx="487">
                  <c:v>0.76181392638339895</c:v>
                </c:pt>
                <c:pt idx="488">
                  <c:v>0.77367932171179599</c:v>
                </c:pt>
                <c:pt idx="489">
                  <c:v>0.78630848488960803</c:v>
                </c:pt>
                <c:pt idx="490">
                  <c:v>0.95637710628495898</c:v>
                </c:pt>
                <c:pt idx="491">
                  <c:v>0.48425711557705903</c:v>
                </c:pt>
                <c:pt idx="492">
                  <c:v>0.94073219287824195</c:v>
                </c:pt>
                <c:pt idx="493">
                  <c:v>0.397552084273745</c:v>
                </c:pt>
                <c:pt idx="494">
                  <c:v>0.86859646427787596</c:v>
                </c:pt>
                <c:pt idx="495">
                  <c:v>0.58810589090939203</c:v>
                </c:pt>
                <c:pt idx="496">
                  <c:v>0.87069685697801602</c:v>
                </c:pt>
                <c:pt idx="497">
                  <c:v>0.39253908313423502</c:v>
                </c:pt>
                <c:pt idx="498">
                  <c:v>0.49088871211259999</c:v>
                </c:pt>
                <c:pt idx="499">
                  <c:v>0.59917337150309202</c:v>
                </c:pt>
                <c:pt idx="500">
                  <c:v>0.62855636088719502</c:v>
                </c:pt>
                <c:pt idx="501">
                  <c:v>0.57228092316536106</c:v>
                </c:pt>
                <c:pt idx="502">
                  <c:v>0.72418636075974596</c:v>
                </c:pt>
                <c:pt idx="503">
                  <c:v>0.66734155062658396</c:v>
                </c:pt>
                <c:pt idx="504">
                  <c:v>0.91958412801129596</c:v>
                </c:pt>
                <c:pt idx="505">
                  <c:v>0.85599754721255195</c:v>
                </c:pt>
                <c:pt idx="506">
                  <c:v>0.767175512910928</c:v>
                </c:pt>
                <c:pt idx="507">
                  <c:v>0.68362486818232404</c:v>
                </c:pt>
                <c:pt idx="508">
                  <c:v>0.72031812926604599</c:v>
                </c:pt>
                <c:pt idx="509">
                  <c:v>0.74611743286778298</c:v>
                </c:pt>
                <c:pt idx="510">
                  <c:v>0.737460628339626</c:v>
                </c:pt>
                <c:pt idx="511">
                  <c:v>0.58352360136289405</c:v>
                </c:pt>
                <c:pt idx="512">
                  <c:v>0.685318877988498</c:v>
                </c:pt>
                <c:pt idx="513">
                  <c:v>0.69889068089552198</c:v>
                </c:pt>
                <c:pt idx="514">
                  <c:v>0.88562390882891595</c:v>
                </c:pt>
                <c:pt idx="515">
                  <c:v>0.87304171473154701</c:v>
                </c:pt>
                <c:pt idx="516">
                  <c:v>0.64536844275537997</c:v>
                </c:pt>
                <c:pt idx="517">
                  <c:v>0.71888862347339499</c:v>
                </c:pt>
                <c:pt idx="518">
                  <c:v>0.54659596402092403</c:v>
                </c:pt>
                <c:pt idx="519">
                  <c:v>0.89845374480099105</c:v>
                </c:pt>
                <c:pt idx="520">
                  <c:v>0.41075661652455298</c:v>
                </c:pt>
                <c:pt idx="521">
                  <c:v>0.79141878527623899</c:v>
                </c:pt>
                <c:pt idx="522">
                  <c:v>0.46892597547766601</c:v>
                </c:pt>
                <c:pt idx="523">
                  <c:v>0.42398201010980202</c:v>
                </c:pt>
                <c:pt idx="524">
                  <c:v>0.64135989184224396</c:v>
                </c:pt>
                <c:pt idx="525">
                  <c:v>0.89369885816412498</c:v>
                </c:pt>
                <c:pt idx="526">
                  <c:v>0.86427460473112006</c:v>
                </c:pt>
                <c:pt idx="527">
                  <c:v>0.70824040598009497</c:v>
                </c:pt>
                <c:pt idx="528">
                  <c:v>0.82511646447285103</c:v>
                </c:pt>
                <c:pt idx="529">
                  <c:v>0.77441028165473003</c:v>
                </c:pt>
                <c:pt idx="530">
                  <c:v>0.83516429081062804</c:v>
                </c:pt>
                <c:pt idx="531">
                  <c:v>0.62623864229311799</c:v>
                </c:pt>
                <c:pt idx="532">
                  <c:v>0.80555146300309299</c:v>
                </c:pt>
                <c:pt idx="533">
                  <c:v>0.82340280100722896</c:v>
                </c:pt>
                <c:pt idx="534">
                  <c:v>0.61670754921224702</c:v>
                </c:pt>
                <c:pt idx="535">
                  <c:v>0.81669645416242798</c:v>
                </c:pt>
                <c:pt idx="536">
                  <c:v>0.663546216261239</c:v>
                </c:pt>
                <c:pt idx="537">
                  <c:v>0.71419094895181001</c:v>
                </c:pt>
                <c:pt idx="538">
                  <c:v>0.88548110532525404</c:v>
                </c:pt>
                <c:pt idx="539">
                  <c:v>0.711788255949654</c:v>
                </c:pt>
                <c:pt idx="540">
                  <c:v>0.708364746360157</c:v>
                </c:pt>
                <c:pt idx="541">
                  <c:v>0.43754076221432497</c:v>
                </c:pt>
                <c:pt idx="542">
                  <c:v>0.68801895374724598</c:v>
                </c:pt>
                <c:pt idx="543">
                  <c:v>0.88803972980531798</c:v>
                </c:pt>
                <c:pt idx="544">
                  <c:v>0.45815613248984399</c:v>
                </c:pt>
                <c:pt idx="545">
                  <c:v>0.60375837647433706</c:v>
                </c:pt>
                <c:pt idx="546">
                  <c:v>0.97059812313777405</c:v>
                </c:pt>
                <c:pt idx="547">
                  <c:v>0.85575650050792496</c:v>
                </c:pt>
                <c:pt idx="548">
                  <c:v>0.65559230134802204</c:v>
                </c:pt>
                <c:pt idx="549">
                  <c:v>0.65330322956598597</c:v>
                </c:pt>
                <c:pt idx="550">
                  <c:v>0.53569017629941396</c:v>
                </c:pt>
                <c:pt idx="551">
                  <c:v>0.52869452095620395</c:v>
                </c:pt>
                <c:pt idx="552">
                  <c:v>0.86850721138693099</c:v>
                </c:pt>
                <c:pt idx="553">
                  <c:v>0.93880391978427902</c:v>
                </c:pt>
                <c:pt idx="554">
                  <c:v>0.95711885003343899</c:v>
                </c:pt>
                <c:pt idx="555">
                  <c:v>0.71014099932081298</c:v>
                </c:pt>
                <c:pt idx="556">
                  <c:v>0.94656010945690705</c:v>
                </c:pt>
                <c:pt idx="557">
                  <c:v>0.76979485768825495</c:v>
                </c:pt>
                <c:pt idx="558">
                  <c:v>0.85084366686915502</c:v>
                </c:pt>
                <c:pt idx="559">
                  <c:v>0.71336806605485104</c:v>
                </c:pt>
                <c:pt idx="560">
                  <c:v>0.87140510324022102</c:v>
                </c:pt>
                <c:pt idx="561">
                  <c:v>0.84997848886459604</c:v>
                </c:pt>
                <c:pt idx="562">
                  <c:v>0.29235775847591999</c:v>
                </c:pt>
                <c:pt idx="563">
                  <c:v>0.68773614625294099</c:v>
                </c:pt>
                <c:pt idx="564">
                  <c:v>0.69500989898754495</c:v>
                </c:pt>
                <c:pt idx="565">
                  <c:v>0.71029563266248996</c:v>
                </c:pt>
                <c:pt idx="566">
                  <c:v>0.59698977818047205</c:v>
                </c:pt>
                <c:pt idx="567">
                  <c:v>0.73641611908092697</c:v>
                </c:pt>
                <c:pt idx="568">
                  <c:v>0.86969412466850304</c:v>
                </c:pt>
                <c:pt idx="569">
                  <c:v>0.54283927396740606</c:v>
                </c:pt>
                <c:pt idx="570">
                  <c:v>0.65792483345225705</c:v>
                </c:pt>
                <c:pt idx="571">
                  <c:v>0.70174965915080301</c:v>
                </c:pt>
                <c:pt idx="572">
                  <c:v>0.70619243630539097</c:v>
                </c:pt>
                <c:pt idx="573">
                  <c:v>0.86819997222407996</c:v>
                </c:pt>
                <c:pt idx="574">
                  <c:v>0.71610490044611796</c:v>
                </c:pt>
                <c:pt idx="575">
                  <c:v>0.66284735569745801</c:v>
                </c:pt>
                <c:pt idx="576">
                  <c:v>0.96236036725328999</c:v>
                </c:pt>
                <c:pt idx="577">
                  <c:v>0.622867982654013</c:v>
                </c:pt>
                <c:pt idx="578">
                  <c:v>0.95120374449586798</c:v>
                </c:pt>
                <c:pt idx="579">
                  <c:v>0.75245326142495506</c:v>
                </c:pt>
                <c:pt idx="580">
                  <c:v>0.49355538230470197</c:v>
                </c:pt>
                <c:pt idx="581">
                  <c:v>0.70483136242701205</c:v>
                </c:pt>
                <c:pt idx="582">
                  <c:v>0.82620561138901005</c:v>
                </c:pt>
                <c:pt idx="583">
                  <c:v>0.84848621531824597</c:v>
                </c:pt>
                <c:pt idx="584">
                  <c:v>0.54173813256652203</c:v>
                </c:pt>
                <c:pt idx="585">
                  <c:v>0.84639108254950701</c:v>
                </c:pt>
                <c:pt idx="586">
                  <c:v>0.85620046272421502</c:v>
                </c:pt>
                <c:pt idx="587">
                  <c:v>0.76304381853102898</c:v>
                </c:pt>
                <c:pt idx="588">
                  <c:v>0.47758231512636801</c:v>
                </c:pt>
                <c:pt idx="589">
                  <c:v>0.30397664350995202</c:v>
                </c:pt>
                <c:pt idx="590">
                  <c:v>0.94715670460234802</c:v>
                </c:pt>
                <c:pt idx="591">
                  <c:v>0.77763678313767604</c:v>
                </c:pt>
                <c:pt idx="592">
                  <c:v>0.80367741013482197</c:v>
                </c:pt>
                <c:pt idx="593">
                  <c:v>0.76447255718319396</c:v>
                </c:pt>
                <c:pt idx="594">
                  <c:v>0.51421474980947601</c:v>
                </c:pt>
                <c:pt idx="595">
                  <c:v>0.87619153876099798</c:v>
                </c:pt>
                <c:pt idx="596">
                  <c:v>0.34266986952286999</c:v>
                </c:pt>
                <c:pt idx="597">
                  <c:v>0.77298597828298898</c:v>
                </c:pt>
                <c:pt idx="598">
                  <c:v>0.83538600079879699</c:v>
                </c:pt>
                <c:pt idx="599">
                  <c:v>0.79264341870336896</c:v>
                </c:pt>
                <c:pt idx="600">
                  <c:v>0.79744422115490399</c:v>
                </c:pt>
                <c:pt idx="601">
                  <c:v>0.67723557290487402</c:v>
                </c:pt>
                <c:pt idx="602">
                  <c:v>0.806047567308387</c:v>
                </c:pt>
                <c:pt idx="603">
                  <c:v>0.56426758413643396</c:v>
                </c:pt>
                <c:pt idx="604">
                  <c:v>0.77970542772999996</c:v>
                </c:pt>
                <c:pt idx="605">
                  <c:v>0.72438326175429701</c:v>
                </c:pt>
                <c:pt idx="606">
                  <c:v>0.69336937981687696</c:v>
                </c:pt>
                <c:pt idx="607">
                  <c:v>0.83588801383294997</c:v>
                </c:pt>
                <c:pt idx="608">
                  <c:v>0.83470954651492502</c:v>
                </c:pt>
                <c:pt idx="609">
                  <c:v>0.63241353892241403</c:v>
                </c:pt>
                <c:pt idx="610">
                  <c:v>0.370917426349544</c:v>
                </c:pt>
                <c:pt idx="611">
                  <c:v>0.46605730595638001</c:v>
                </c:pt>
                <c:pt idx="612">
                  <c:v>0.78345590463089698</c:v>
                </c:pt>
                <c:pt idx="613">
                  <c:v>0.864626468926179</c:v>
                </c:pt>
                <c:pt idx="614">
                  <c:v>0.71804724394761199</c:v>
                </c:pt>
                <c:pt idx="615">
                  <c:v>0.42657760167026998</c:v>
                </c:pt>
                <c:pt idx="616">
                  <c:v>0.35539748989499598</c:v>
                </c:pt>
                <c:pt idx="617">
                  <c:v>0.95535062129555803</c:v>
                </c:pt>
                <c:pt idx="618">
                  <c:v>0.77012893987503706</c:v>
                </c:pt>
                <c:pt idx="619">
                  <c:v>0.83804167377286998</c:v>
                </c:pt>
                <c:pt idx="620">
                  <c:v>0.795535997039441</c:v>
                </c:pt>
                <c:pt idx="621">
                  <c:v>0.57113840601681898</c:v>
                </c:pt>
                <c:pt idx="622">
                  <c:v>0.66375980362655895</c:v>
                </c:pt>
                <c:pt idx="623">
                  <c:v>0.64886891032320304</c:v>
                </c:pt>
                <c:pt idx="624">
                  <c:v>0.30170338698839499</c:v>
                </c:pt>
                <c:pt idx="625">
                  <c:v>0.47900849371440501</c:v>
                </c:pt>
                <c:pt idx="626">
                  <c:v>0.454759155105248</c:v>
                </c:pt>
                <c:pt idx="627">
                  <c:v>0.584991218493077</c:v>
                </c:pt>
                <c:pt idx="628">
                  <c:v>0.69879055295680803</c:v>
                </c:pt>
                <c:pt idx="629">
                  <c:v>0.53931698232357395</c:v>
                </c:pt>
                <c:pt idx="630">
                  <c:v>0.67607038410335596</c:v>
                </c:pt>
                <c:pt idx="631">
                  <c:v>0.80411370923155601</c:v>
                </c:pt>
                <c:pt idx="632">
                  <c:v>0.71296960241126495</c:v>
                </c:pt>
                <c:pt idx="633">
                  <c:v>0.63083901052963398</c:v>
                </c:pt>
                <c:pt idx="634">
                  <c:v>0.87989010014811897</c:v>
                </c:pt>
                <c:pt idx="635">
                  <c:v>0.64719563326077001</c:v>
                </c:pt>
                <c:pt idx="636">
                  <c:v>0.74048011482222198</c:v>
                </c:pt>
                <c:pt idx="637">
                  <c:v>0.69782229451347899</c:v>
                </c:pt>
                <c:pt idx="638">
                  <c:v>0.98480567139974995</c:v>
                </c:pt>
                <c:pt idx="639">
                  <c:v>0.87301614004382699</c:v>
                </c:pt>
                <c:pt idx="640">
                  <c:v>0.69869553486320601</c:v>
                </c:pt>
                <c:pt idx="641">
                  <c:v>0.73090005686102599</c:v>
                </c:pt>
                <c:pt idx="642">
                  <c:v>0.59665168295390103</c:v>
                </c:pt>
                <c:pt idx="643">
                  <c:v>0.848884347199235</c:v>
                </c:pt>
                <c:pt idx="644">
                  <c:v>0.71890969673232596</c:v>
                </c:pt>
                <c:pt idx="645">
                  <c:v>0.339690074867258</c:v>
                </c:pt>
                <c:pt idx="646">
                  <c:v>0.70298429051364397</c:v>
                </c:pt>
                <c:pt idx="647">
                  <c:v>0.83619239872393503</c:v>
                </c:pt>
                <c:pt idx="648">
                  <c:v>0.74981331946454399</c:v>
                </c:pt>
                <c:pt idx="649">
                  <c:v>0.758452405494628</c:v>
                </c:pt>
                <c:pt idx="650">
                  <c:v>0.51365125570132897</c:v>
                </c:pt>
                <c:pt idx="651">
                  <c:v>0.75403489854579897</c:v>
                </c:pt>
                <c:pt idx="652">
                  <c:v>0.73821143334394301</c:v>
                </c:pt>
                <c:pt idx="653">
                  <c:v>0.355237724348266</c:v>
                </c:pt>
                <c:pt idx="654">
                  <c:v>0.86202897605749396</c:v>
                </c:pt>
                <c:pt idx="655">
                  <c:v>0.83605066847670895</c:v>
                </c:pt>
                <c:pt idx="656">
                  <c:v>0.74053854259697505</c:v>
                </c:pt>
                <c:pt idx="657">
                  <c:v>0.77376228211037301</c:v>
                </c:pt>
                <c:pt idx="658">
                  <c:v>0.71005434984361404</c:v>
                </c:pt>
                <c:pt idx="659">
                  <c:v>0.59323115474052002</c:v>
                </c:pt>
                <c:pt idx="660">
                  <c:v>0.62300938107167103</c:v>
                </c:pt>
                <c:pt idx="661">
                  <c:v>0.87044752731434705</c:v>
                </c:pt>
                <c:pt idx="662">
                  <c:v>0.73317442711330705</c:v>
                </c:pt>
                <c:pt idx="663">
                  <c:v>0.78855369576976098</c:v>
                </c:pt>
                <c:pt idx="664">
                  <c:v>0.65786939348387896</c:v>
                </c:pt>
                <c:pt idx="665">
                  <c:v>0.58300723434637003</c:v>
                </c:pt>
                <c:pt idx="666">
                  <c:v>0.44135450902675899</c:v>
                </c:pt>
                <c:pt idx="667">
                  <c:v>0.37002969140993103</c:v>
                </c:pt>
                <c:pt idx="668">
                  <c:v>0.85771197447595104</c:v>
                </c:pt>
                <c:pt idx="669">
                  <c:v>0.66541611809995604</c:v>
                </c:pt>
                <c:pt idx="670">
                  <c:v>0.66370177561431198</c:v>
                </c:pt>
                <c:pt idx="671">
                  <c:v>0.49754889494061599</c:v>
                </c:pt>
                <c:pt idx="672">
                  <c:v>0.71644538803124802</c:v>
                </c:pt>
                <c:pt idx="673">
                  <c:v>0.342740100884451</c:v>
                </c:pt>
                <c:pt idx="674">
                  <c:v>0.58605664753493403</c:v>
                </c:pt>
                <c:pt idx="675">
                  <c:v>0.73180700498533202</c:v>
                </c:pt>
                <c:pt idx="676">
                  <c:v>0.96828304541578003</c:v>
                </c:pt>
                <c:pt idx="677">
                  <c:v>0.92853011482187298</c:v>
                </c:pt>
                <c:pt idx="678">
                  <c:v>0.75173182656895199</c:v>
                </c:pt>
                <c:pt idx="679">
                  <c:v>0.78853107153700996</c:v>
                </c:pt>
                <c:pt idx="680">
                  <c:v>0.76718284594115504</c:v>
                </c:pt>
                <c:pt idx="681">
                  <c:v>0.93275131465599004</c:v>
                </c:pt>
                <c:pt idx="682">
                  <c:v>0.62942995124471302</c:v>
                </c:pt>
                <c:pt idx="683">
                  <c:v>0.77501657037540095</c:v>
                </c:pt>
                <c:pt idx="684">
                  <c:v>0.70797838861207496</c:v>
                </c:pt>
                <c:pt idx="685">
                  <c:v>0.78588351918928401</c:v>
                </c:pt>
                <c:pt idx="686">
                  <c:v>0.377838411192363</c:v>
                </c:pt>
                <c:pt idx="687">
                  <c:v>0.63918432826117599</c:v>
                </c:pt>
                <c:pt idx="688">
                  <c:v>0.628646166079603</c:v>
                </c:pt>
                <c:pt idx="689">
                  <c:v>0.74637064388463203</c:v>
                </c:pt>
                <c:pt idx="690">
                  <c:v>0.609039989274751</c:v>
                </c:pt>
                <c:pt idx="691">
                  <c:v>0.83694193107317105</c:v>
                </c:pt>
                <c:pt idx="692">
                  <c:v>0.92515662154644795</c:v>
                </c:pt>
                <c:pt idx="693">
                  <c:v>0.62002091564920503</c:v>
                </c:pt>
                <c:pt idx="694">
                  <c:v>0.68790843575296701</c:v>
                </c:pt>
                <c:pt idx="695">
                  <c:v>0.94378268460630099</c:v>
                </c:pt>
                <c:pt idx="696">
                  <c:v>0.43127594166876199</c:v>
                </c:pt>
                <c:pt idx="697">
                  <c:v>0.38762043434558702</c:v>
                </c:pt>
                <c:pt idx="698">
                  <c:v>0.77290868653241696</c:v>
                </c:pt>
                <c:pt idx="699">
                  <c:v>0.86570154799326404</c:v>
                </c:pt>
                <c:pt idx="700">
                  <c:v>0.48874956776832801</c:v>
                </c:pt>
                <c:pt idx="701">
                  <c:v>0.82797113223284602</c:v>
                </c:pt>
                <c:pt idx="702">
                  <c:v>0.728305006678166</c:v>
                </c:pt>
                <c:pt idx="703">
                  <c:v>0.62563117939979096</c:v>
                </c:pt>
                <c:pt idx="704">
                  <c:v>0.96011146358389599</c:v>
                </c:pt>
                <c:pt idx="705">
                  <c:v>0.35965641436753099</c:v>
                </c:pt>
                <c:pt idx="706">
                  <c:v>0.61091503624822396</c:v>
                </c:pt>
                <c:pt idx="707">
                  <c:v>0.67269253062138601</c:v>
                </c:pt>
                <c:pt idx="708">
                  <c:v>0.95614050866203903</c:v>
                </c:pt>
                <c:pt idx="709">
                  <c:v>0.72175904036615601</c:v>
                </c:pt>
                <c:pt idx="710">
                  <c:v>0.92516381472398401</c:v>
                </c:pt>
                <c:pt idx="711">
                  <c:v>0.77457407142480295</c:v>
                </c:pt>
                <c:pt idx="712">
                  <c:v>0.90186427930297697</c:v>
                </c:pt>
                <c:pt idx="713">
                  <c:v>0.83345392983192501</c:v>
                </c:pt>
                <c:pt idx="714">
                  <c:v>0.46546316944683302</c:v>
                </c:pt>
                <c:pt idx="715">
                  <c:v>0.800714008197426</c:v>
                </c:pt>
                <c:pt idx="716">
                  <c:v>0.71015126268534701</c:v>
                </c:pt>
                <c:pt idx="717">
                  <c:v>0.78601254707072499</c:v>
                </c:pt>
                <c:pt idx="718">
                  <c:v>0.81774738499370903</c:v>
                </c:pt>
                <c:pt idx="719">
                  <c:v>0.84504233950417496</c:v>
                </c:pt>
                <c:pt idx="720">
                  <c:v>0.83936179280308998</c:v>
                </c:pt>
                <c:pt idx="721">
                  <c:v>0.71273681506881104</c:v>
                </c:pt>
                <c:pt idx="722">
                  <c:v>0.823751545439386</c:v>
                </c:pt>
                <c:pt idx="723">
                  <c:v>0.56111832172570197</c:v>
                </c:pt>
                <c:pt idx="724">
                  <c:v>0.90539372098875104</c:v>
                </c:pt>
                <c:pt idx="725">
                  <c:v>0.813448349188161</c:v>
                </c:pt>
                <c:pt idx="726">
                  <c:v>0.97441861252298301</c:v>
                </c:pt>
                <c:pt idx="727">
                  <c:v>0.69805321593043501</c:v>
                </c:pt>
                <c:pt idx="728">
                  <c:v>0.83273665839098998</c:v>
                </c:pt>
                <c:pt idx="729">
                  <c:v>0.89236605755853304</c:v>
                </c:pt>
                <c:pt idx="730">
                  <c:v>0.57809966588137796</c:v>
                </c:pt>
                <c:pt idx="731">
                  <c:v>0.55308443494882098</c:v>
                </c:pt>
                <c:pt idx="732">
                  <c:v>0.78944930091103005</c:v>
                </c:pt>
                <c:pt idx="733">
                  <c:v>0.92135788628510795</c:v>
                </c:pt>
                <c:pt idx="734">
                  <c:v>0.27807095008208099</c:v>
                </c:pt>
                <c:pt idx="735">
                  <c:v>0.72541369595524496</c:v>
                </c:pt>
                <c:pt idx="736">
                  <c:v>0.97749107422488302</c:v>
                </c:pt>
                <c:pt idx="737">
                  <c:v>0.68461381811778899</c:v>
                </c:pt>
                <c:pt idx="738">
                  <c:v>0.87414547406796295</c:v>
                </c:pt>
                <c:pt idx="739">
                  <c:v>0.78995245729096897</c:v>
                </c:pt>
                <c:pt idx="740">
                  <c:v>0.60570779070940695</c:v>
                </c:pt>
                <c:pt idx="741">
                  <c:v>0.63584179121554196</c:v>
                </c:pt>
                <c:pt idx="742">
                  <c:v>0.57765093660101496</c:v>
                </c:pt>
                <c:pt idx="743">
                  <c:v>0.66643874334911501</c:v>
                </c:pt>
                <c:pt idx="744">
                  <c:v>0.75762438882821903</c:v>
                </c:pt>
                <c:pt idx="745">
                  <c:v>0.77887824155739505</c:v>
                </c:pt>
                <c:pt idx="746">
                  <c:v>0.615506457895447</c:v>
                </c:pt>
                <c:pt idx="747">
                  <c:v>0.62280663741179898</c:v>
                </c:pt>
                <c:pt idx="748">
                  <c:v>0.77259765081989495</c:v>
                </c:pt>
                <c:pt idx="749">
                  <c:v>0.92427595631628301</c:v>
                </c:pt>
                <c:pt idx="750">
                  <c:v>0.81756177434819</c:v>
                </c:pt>
                <c:pt idx="751">
                  <c:v>0.31304053459449499</c:v>
                </c:pt>
                <c:pt idx="752">
                  <c:v>0.72361619334485205</c:v>
                </c:pt>
                <c:pt idx="753">
                  <c:v>0.67316165431147001</c:v>
                </c:pt>
                <c:pt idx="754">
                  <c:v>0.85973247144117304</c:v>
                </c:pt>
                <c:pt idx="755">
                  <c:v>0.91150589972732898</c:v>
                </c:pt>
                <c:pt idx="756">
                  <c:v>0.67920165926970799</c:v>
                </c:pt>
                <c:pt idx="757">
                  <c:v>0.80206091420061998</c:v>
                </c:pt>
                <c:pt idx="758">
                  <c:v>0.57225777678408196</c:v>
                </c:pt>
                <c:pt idx="759">
                  <c:v>0.83343343311693796</c:v>
                </c:pt>
                <c:pt idx="760">
                  <c:v>0.96300654113998296</c:v>
                </c:pt>
                <c:pt idx="761">
                  <c:v>0.65758491309126799</c:v>
                </c:pt>
                <c:pt idx="762">
                  <c:v>0.61279979190745903</c:v>
                </c:pt>
                <c:pt idx="763">
                  <c:v>0.85995477782978502</c:v>
                </c:pt>
                <c:pt idx="764">
                  <c:v>0.62825324742498301</c:v>
                </c:pt>
                <c:pt idx="765">
                  <c:v>0.64439563508217701</c:v>
                </c:pt>
                <c:pt idx="766">
                  <c:v>0.76585886967031602</c:v>
                </c:pt>
                <c:pt idx="767">
                  <c:v>0.92069713743383097</c:v>
                </c:pt>
                <c:pt idx="768">
                  <c:v>0.71026623510147702</c:v>
                </c:pt>
                <c:pt idx="769">
                  <c:v>0.75539677913695602</c:v>
                </c:pt>
                <c:pt idx="770">
                  <c:v>0.86349661955123602</c:v>
                </c:pt>
                <c:pt idx="771">
                  <c:v>0.74386539031472099</c:v>
                </c:pt>
                <c:pt idx="772">
                  <c:v>0.79492459576237695</c:v>
                </c:pt>
                <c:pt idx="773">
                  <c:v>0.86170960231217097</c:v>
                </c:pt>
                <c:pt idx="774">
                  <c:v>0.69564385643262405</c:v>
                </c:pt>
                <c:pt idx="775">
                  <c:v>0.81357852305559497</c:v>
                </c:pt>
                <c:pt idx="776">
                  <c:v>0.84866472079472799</c:v>
                </c:pt>
                <c:pt idx="777">
                  <c:v>0.80063522059012704</c:v>
                </c:pt>
                <c:pt idx="778">
                  <c:v>0.72507407146226899</c:v>
                </c:pt>
                <c:pt idx="779">
                  <c:v>0.71803416730153102</c:v>
                </c:pt>
                <c:pt idx="780">
                  <c:v>0.86326994735575102</c:v>
                </c:pt>
                <c:pt idx="781">
                  <c:v>0.79744437982794503</c:v>
                </c:pt>
                <c:pt idx="782">
                  <c:v>0.71070438908752098</c:v>
                </c:pt>
                <c:pt idx="783">
                  <c:v>0.79247095967398895</c:v>
                </c:pt>
                <c:pt idx="784">
                  <c:v>0.57787250403305301</c:v>
                </c:pt>
                <c:pt idx="785">
                  <c:v>0.41483392572495498</c:v>
                </c:pt>
                <c:pt idx="786">
                  <c:v>0.59052533988273903</c:v>
                </c:pt>
                <c:pt idx="787">
                  <c:v>0.578584831336178</c:v>
                </c:pt>
                <c:pt idx="788">
                  <c:v>0.81223892151508004</c:v>
                </c:pt>
                <c:pt idx="789">
                  <c:v>0.72149104597074099</c:v>
                </c:pt>
                <c:pt idx="790">
                  <c:v>0.686027376644886</c:v>
                </c:pt>
                <c:pt idx="791">
                  <c:v>0.97430840329352397</c:v>
                </c:pt>
                <c:pt idx="792">
                  <c:v>0.92712193531752596</c:v>
                </c:pt>
                <c:pt idx="793">
                  <c:v>0.88684332548238998</c:v>
                </c:pt>
                <c:pt idx="794">
                  <c:v>0.89116828397834302</c:v>
                </c:pt>
                <c:pt idx="795">
                  <c:v>0.63121937748498402</c:v>
                </c:pt>
                <c:pt idx="796">
                  <c:v>0.84273917980805801</c:v>
                </c:pt>
                <c:pt idx="797">
                  <c:v>0.90388251265597397</c:v>
                </c:pt>
                <c:pt idx="798">
                  <c:v>0.86349691570689902</c:v>
                </c:pt>
                <c:pt idx="799">
                  <c:v>0.48630122677542598</c:v>
                </c:pt>
                <c:pt idx="800">
                  <c:v>0.73738695071320903</c:v>
                </c:pt>
                <c:pt idx="801">
                  <c:v>0.86150684863643501</c:v>
                </c:pt>
                <c:pt idx="802">
                  <c:v>0.87027873655791399</c:v>
                </c:pt>
                <c:pt idx="803">
                  <c:v>0.691370803733106</c:v>
                </c:pt>
                <c:pt idx="804">
                  <c:v>0.77706557299718504</c:v>
                </c:pt>
                <c:pt idx="805">
                  <c:v>0.50034007739788999</c:v>
                </c:pt>
                <c:pt idx="806">
                  <c:v>0.49909790863919001</c:v>
                </c:pt>
                <c:pt idx="807">
                  <c:v>0.77409666641091901</c:v>
                </c:pt>
                <c:pt idx="808">
                  <c:v>0.85774836984987002</c:v>
                </c:pt>
                <c:pt idx="809">
                  <c:v>0.720871365860144</c:v>
                </c:pt>
                <c:pt idx="810">
                  <c:v>0.30088271146893403</c:v>
                </c:pt>
                <c:pt idx="811">
                  <c:v>0.60655015104576904</c:v>
                </c:pt>
                <c:pt idx="812">
                  <c:v>0.67582221671520504</c:v>
                </c:pt>
                <c:pt idx="813">
                  <c:v>0.91425418473736497</c:v>
                </c:pt>
                <c:pt idx="814">
                  <c:v>0.79728275595143605</c:v>
                </c:pt>
                <c:pt idx="815">
                  <c:v>0.73628420769706904</c:v>
                </c:pt>
                <c:pt idx="816">
                  <c:v>0.60398017536446202</c:v>
                </c:pt>
                <c:pt idx="817">
                  <c:v>0.74261715108669901</c:v>
                </c:pt>
                <c:pt idx="818">
                  <c:v>0.63858349569028205</c:v>
                </c:pt>
                <c:pt idx="819">
                  <c:v>0.570594169848889</c:v>
                </c:pt>
                <c:pt idx="820">
                  <c:v>0.75818519712065302</c:v>
                </c:pt>
                <c:pt idx="821">
                  <c:v>0.68588769997329901</c:v>
                </c:pt>
                <c:pt idx="822">
                  <c:v>0.86097029649819601</c:v>
                </c:pt>
                <c:pt idx="823">
                  <c:v>0.64165824688115403</c:v>
                </c:pt>
                <c:pt idx="824">
                  <c:v>0.721077347416482</c:v>
                </c:pt>
                <c:pt idx="825">
                  <c:v>0.57766628698109102</c:v>
                </c:pt>
                <c:pt idx="826">
                  <c:v>0.83610296422736696</c:v>
                </c:pt>
                <c:pt idx="827">
                  <c:v>0.35187075952624502</c:v>
                </c:pt>
                <c:pt idx="828">
                  <c:v>0.69888707750366597</c:v>
                </c:pt>
                <c:pt idx="829">
                  <c:v>0.78367972940085395</c:v>
                </c:pt>
                <c:pt idx="830">
                  <c:v>0.60351309176163703</c:v>
                </c:pt>
                <c:pt idx="831">
                  <c:v>0.921019553064931</c:v>
                </c:pt>
                <c:pt idx="832">
                  <c:v>0.73647813665950301</c:v>
                </c:pt>
                <c:pt idx="833">
                  <c:v>0.49029741111748099</c:v>
                </c:pt>
                <c:pt idx="834">
                  <c:v>0.957489064642702</c:v>
                </c:pt>
                <c:pt idx="835">
                  <c:v>0.78713425522158997</c:v>
                </c:pt>
                <c:pt idx="836">
                  <c:v>0.56754327163797202</c:v>
                </c:pt>
                <c:pt idx="837">
                  <c:v>0.72177508177543803</c:v>
                </c:pt>
                <c:pt idx="838">
                  <c:v>0.88469669144903995</c:v>
                </c:pt>
                <c:pt idx="839">
                  <c:v>0.92002199957317798</c:v>
                </c:pt>
                <c:pt idx="840">
                  <c:v>0.52666883343217996</c:v>
                </c:pt>
                <c:pt idx="841">
                  <c:v>0.69787295931017801</c:v>
                </c:pt>
                <c:pt idx="842">
                  <c:v>0.53753330382571496</c:v>
                </c:pt>
                <c:pt idx="843">
                  <c:v>0.60868481503058702</c:v>
                </c:pt>
                <c:pt idx="844">
                  <c:v>0.598000279988668</c:v>
                </c:pt>
                <c:pt idx="845">
                  <c:v>0.52440591787104895</c:v>
                </c:pt>
                <c:pt idx="846">
                  <c:v>0.76626506323951704</c:v>
                </c:pt>
                <c:pt idx="847">
                  <c:v>0.81482866388049902</c:v>
                </c:pt>
                <c:pt idx="848">
                  <c:v>0.63198693895415303</c:v>
                </c:pt>
                <c:pt idx="849">
                  <c:v>0.57920372536200604</c:v>
                </c:pt>
                <c:pt idx="850">
                  <c:v>0.73218924717491896</c:v>
                </c:pt>
                <c:pt idx="851">
                  <c:v>0.58425676746825095</c:v>
                </c:pt>
                <c:pt idx="852">
                  <c:v>0.55936152593150301</c:v>
                </c:pt>
                <c:pt idx="853">
                  <c:v>0.79394377136828997</c:v>
                </c:pt>
                <c:pt idx="854">
                  <c:v>0.56225343504111602</c:v>
                </c:pt>
                <c:pt idx="855">
                  <c:v>0.90975069592361102</c:v>
                </c:pt>
                <c:pt idx="856">
                  <c:v>0.82540055178997396</c:v>
                </c:pt>
                <c:pt idx="857">
                  <c:v>0.69399489135221903</c:v>
                </c:pt>
                <c:pt idx="858">
                  <c:v>0.88354666396902404</c:v>
                </c:pt>
                <c:pt idx="859">
                  <c:v>0.62494581564506102</c:v>
                </c:pt>
                <c:pt idx="860">
                  <c:v>0.69639016909154805</c:v>
                </c:pt>
                <c:pt idx="861">
                  <c:v>0.65944822009953996</c:v>
                </c:pt>
                <c:pt idx="862">
                  <c:v>0.89209707376446001</c:v>
                </c:pt>
                <c:pt idx="863">
                  <c:v>0.32852675069010701</c:v>
                </c:pt>
                <c:pt idx="864">
                  <c:v>0.77526148173498399</c:v>
                </c:pt>
                <c:pt idx="865">
                  <c:v>0.74566628265693702</c:v>
                </c:pt>
                <c:pt idx="866">
                  <c:v>0.54636409616625403</c:v>
                </c:pt>
                <c:pt idx="867">
                  <c:v>0.74168499826511902</c:v>
                </c:pt>
                <c:pt idx="868">
                  <c:v>0.80465554995476496</c:v>
                </c:pt>
                <c:pt idx="869">
                  <c:v>0.97269187060963103</c:v>
                </c:pt>
                <c:pt idx="870">
                  <c:v>0.90349817995369996</c:v>
                </c:pt>
                <c:pt idx="871">
                  <c:v>0.71952020593305599</c:v>
                </c:pt>
                <c:pt idx="872">
                  <c:v>0.85613773012654204</c:v>
                </c:pt>
                <c:pt idx="873">
                  <c:v>0.90535563186706303</c:v>
                </c:pt>
                <c:pt idx="874">
                  <c:v>0.53708597890873799</c:v>
                </c:pt>
                <c:pt idx="875">
                  <c:v>0.80530934665814302</c:v>
                </c:pt>
                <c:pt idx="876">
                  <c:v>0.65860807344556904</c:v>
                </c:pt>
                <c:pt idx="877">
                  <c:v>0.19934233530714801</c:v>
                </c:pt>
                <c:pt idx="878">
                  <c:v>0.67460402899177696</c:v>
                </c:pt>
                <c:pt idx="879">
                  <c:v>0.547777653477314</c:v>
                </c:pt>
                <c:pt idx="880">
                  <c:v>0.71795038876091299</c:v>
                </c:pt>
                <c:pt idx="881">
                  <c:v>0.44819823158703398</c:v>
                </c:pt>
                <c:pt idx="882">
                  <c:v>0.84781132665932302</c:v>
                </c:pt>
                <c:pt idx="883">
                  <c:v>0.57925216891186004</c:v>
                </c:pt>
                <c:pt idx="884">
                  <c:v>0.71788324558238104</c:v>
                </c:pt>
                <c:pt idx="885">
                  <c:v>0.85297468362793805</c:v>
                </c:pt>
                <c:pt idx="886">
                  <c:v>0.93485114113395495</c:v>
                </c:pt>
                <c:pt idx="887">
                  <c:v>0.85274324407940605</c:v>
                </c:pt>
                <c:pt idx="888">
                  <c:v>0.70316941550878598</c:v>
                </c:pt>
                <c:pt idx="889">
                  <c:v>0.772863548650362</c:v>
                </c:pt>
                <c:pt idx="890">
                  <c:v>0.77286594529737995</c:v>
                </c:pt>
                <c:pt idx="891">
                  <c:v>0.721162943547488</c:v>
                </c:pt>
                <c:pt idx="892">
                  <c:v>0.76449728396983097</c:v>
                </c:pt>
                <c:pt idx="893">
                  <c:v>0.73557213039879299</c:v>
                </c:pt>
                <c:pt idx="894">
                  <c:v>0.65642936336995605</c:v>
                </c:pt>
                <c:pt idx="895">
                  <c:v>0.86815181129352603</c:v>
                </c:pt>
                <c:pt idx="896">
                  <c:v>0.77739130257419797</c:v>
                </c:pt>
                <c:pt idx="897">
                  <c:v>0.86203472860131602</c:v>
                </c:pt>
                <c:pt idx="898">
                  <c:v>0.775379609460636</c:v>
                </c:pt>
                <c:pt idx="899">
                  <c:v>0.79798944136764804</c:v>
                </c:pt>
                <c:pt idx="900">
                  <c:v>0.52366182526899197</c:v>
                </c:pt>
                <c:pt idx="901">
                  <c:v>0.79168110389416102</c:v>
                </c:pt>
                <c:pt idx="902">
                  <c:v>0.71185769413784294</c:v>
                </c:pt>
                <c:pt idx="903">
                  <c:v>0.92555142530122403</c:v>
                </c:pt>
                <c:pt idx="904">
                  <c:v>0.54746088367338597</c:v>
                </c:pt>
                <c:pt idx="905">
                  <c:v>0.79486690437848495</c:v>
                </c:pt>
                <c:pt idx="906">
                  <c:v>0.35628898970434802</c:v>
                </c:pt>
                <c:pt idx="907">
                  <c:v>0.45659888225941703</c:v>
                </c:pt>
                <c:pt idx="908">
                  <c:v>0.447977050163129</c:v>
                </c:pt>
                <c:pt idx="909">
                  <c:v>0.64232371457262405</c:v>
                </c:pt>
                <c:pt idx="910">
                  <c:v>0.81812267791053495</c:v>
                </c:pt>
                <c:pt idx="911">
                  <c:v>0.86808715558374405</c:v>
                </c:pt>
                <c:pt idx="912">
                  <c:v>0.739555161103984</c:v>
                </c:pt>
                <c:pt idx="913">
                  <c:v>0.65162757332711796</c:v>
                </c:pt>
                <c:pt idx="914">
                  <c:v>0.78544550340296704</c:v>
                </c:pt>
                <c:pt idx="915">
                  <c:v>0.68785854358551002</c:v>
                </c:pt>
                <c:pt idx="916">
                  <c:v>0.66110764246355602</c:v>
                </c:pt>
                <c:pt idx="917">
                  <c:v>0.76394446719671705</c:v>
                </c:pt>
                <c:pt idx="918">
                  <c:v>0.80174837065363502</c:v>
                </c:pt>
                <c:pt idx="919">
                  <c:v>0.24635141624613099</c:v>
                </c:pt>
                <c:pt idx="920">
                  <c:v>0.50816679100597295</c:v>
                </c:pt>
                <c:pt idx="921">
                  <c:v>0.72518506625567103</c:v>
                </c:pt>
                <c:pt idx="922">
                  <c:v>0.85830408227255806</c:v>
                </c:pt>
                <c:pt idx="923">
                  <c:v>0.56377528674838395</c:v>
                </c:pt>
                <c:pt idx="924">
                  <c:v>0.47167820127854498</c:v>
                </c:pt>
                <c:pt idx="925">
                  <c:v>0.63022265400460398</c:v>
                </c:pt>
                <c:pt idx="926">
                  <c:v>0.516400991647744</c:v>
                </c:pt>
                <c:pt idx="927">
                  <c:v>0.649165589824928</c:v>
                </c:pt>
                <c:pt idx="928">
                  <c:v>0.94039278945617899</c:v>
                </c:pt>
                <c:pt idx="929">
                  <c:v>0.88182105503494601</c:v>
                </c:pt>
                <c:pt idx="930">
                  <c:v>0.93097055465679501</c:v>
                </c:pt>
                <c:pt idx="931">
                  <c:v>0.87327311368393001</c:v>
                </c:pt>
                <c:pt idx="932">
                  <c:v>0.48151994247486302</c:v>
                </c:pt>
                <c:pt idx="933">
                  <c:v>0.73327981091137495</c:v>
                </c:pt>
                <c:pt idx="934">
                  <c:v>0.58836900148305804</c:v>
                </c:pt>
                <c:pt idx="935">
                  <c:v>0.88352128438628696</c:v>
                </c:pt>
                <c:pt idx="936">
                  <c:v>0.69766841317251904</c:v>
                </c:pt>
                <c:pt idx="937">
                  <c:v>0.77583507762113302</c:v>
                </c:pt>
                <c:pt idx="938">
                  <c:v>0.61101261288826203</c:v>
                </c:pt>
                <c:pt idx="939">
                  <c:v>0.50908829771664899</c:v>
                </c:pt>
                <c:pt idx="940">
                  <c:v>0.69457127947603303</c:v>
                </c:pt>
                <c:pt idx="941">
                  <c:v>0.54033298045383404</c:v>
                </c:pt>
                <c:pt idx="942">
                  <c:v>0.86047050055459995</c:v>
                </c:pt>
                <c:pt idx="943">
                  <c:v>0.87711530628173395</c:v>
                </c:pt>
                <c:pt idx="944">
                  <c:v>0.46030278568604399</c:v>
                </c:pt>
                <c:pt idx="945">
                  <c:v>0.82384922480356504</c:v>
                </c:pt>
                <c:pt idx="946">
                  <c:v>0.724496468204467</c:v>
                </c:pt>
                <c:pt idx="947">
                  <c:v>0.73283245435468902</c:v>
                </c:pt>
                <c:pt idx="948">
                  <c:v>0.65428088801709305</c:v>
                </c:pt>
                <c:pt idx="949">
                  <c:v>0.96798087000488697</c:v>
                </c:pt>
                <c:pt idx="950">
                  <c:v>0.79954610294379103</c:v>
                </c:pt>
                <c:pt idx="951">
                  <c:v>0.80551118018766599</c:v>
                </c:pt>
                <c:pt idx="952">
                  <c:v>0.85746331721977198</c:v>
                </c:pt>
                <c:pt idx="953">
                  <c:v>0.65148029957327502</c:v>
                </c:pt>
                <c:pt idx="954">
                  <c:v>0.84420436118582798</c:v>
                </c:pt>
                <c:pt idx="955">
                  <c:v>0.81483209096225995</c:v>
                </c:pt>
                <c:pt idx="956">
                  <c:v>0.55684144448554496</c:v>
                </c:pt>
                <c:pt idx="957">
                  <c:v>0.73023468785117596</c:v>
                </c:pt>
                <c:pt idx="958">
                  <c:v>0.716375643472001</c:v>
                </c:pt>
                <c:pt idx="959">
                  <c:v>0.80240046744725202</c:v>
                </c:pt>
                <c:pt idx="960">
                  <c:v>0.74836589646776297</c:v>
                </c:pt>
                <c:pt idx="961">
                  <c:v>0.84247297606251703</c:v>
                </c:pt>
                <c:pt idx="962">
                  <c:v>0.53217096911499895</c:v>
                </c:pt>
                <c:pt idx="963">
                  <c:v>0.89830106020529799</c:v>
                </c:pt>
                <c:pt idx="964">
                  <c:v>0.796148673404522</c:v>
                </c:pt>
                <c:pt idx="965">
                  <c:v>0.59942570991316801</c:v>
                </c:pt>
                <c:pt idx="966">
                  <c:v>0.54688330493397697</c:v>
                </c:pt>
                <c:pt idx="967">
                  <c:v>0.478905234467767</c:v>
                </c:pt>
                <c:pt idx="968">
                  <c:v>0.752226568496144</c:v>
                </c:pt>
                <c:pt idx="969">
                  <c:v>0.88938079788218705</c:v>
                </c:pt>
                <c:pt idx="970">
                  <c:v>0.74859449681851598</c:v>
                </c:pt>
                <c:pt idx="971">
                  <c:v>0.53924583888400002</c:v>
                </c:pt>
                <c:pt idx="972">
                  <c:v>0.75159113384987397</c:v>
                </c:pt>
                <c:pt idx="973">
                  <c:v>0.90182838478662197</c:v>
                </c:pt>
                <c:pt idx="974">
                  <c:v>0.69164074899209704</c:v>
                </c:pt>
                <c:pt idx="975">
                  <c:v>0.83464069583165101</c:v>
                </c:pt>
                <c:pt idx="976">
                  <c:v>0.66759031297257099</c:v>
                </c:pt>
                <c:pt idx="977">
                  <c:v>0.76082077277400795</c:v>
                </c:pt>
                <c:pt idx="978">
                  <c:v>0.72688957718465497</c:v>
                </c:pt>
                <c:pt idx="979">
                  <c:v>0.38739618351786298</c:v>
                </c:pt>
                <c:pt idx="980">
                  <c:v>0.80530454862606804</c:v>
                </c:pt>
                <c:pt idx="981">
                  <c:v>0.84404261229001798</c:v>
                </c:pt>
                <c:pt idx="982">
                  <c:v>0.79665409738388004</c:v>
                </c:pt>
                <c:pt idx="983">
                  <c:v>0.78532181498626097</c:v>
                </c:pt>
                <c:pt idx="984">
                  <c:v>0.42922992001093901</c:v>
                </c:pt>
                <c:pt idx="985">
                  <c:v>0.73086462385824902</c:v>
                </c:pt>
                <c:pt idx="986">
                  <c:v>0.89763870381092004</c:v>
                </c:pt>
                <c:pt idx="987">
                  <c:v>0.80976323796411398</c:v>
                </c:pt>
                <c:pt idx="988">
                  <c:v>0.80328649638525995</c:v>
                </c:pt>
                <c:pt idx="989">
                  <c:v>0.63954642417542096</c:v>
                </c:pt>
                <c:pt idx="990">
                  <c:v>0.75760608674297003</c:v>
                </c:pt>
                <c:pt idx="991">
                  <c:v>0.82642223272423798</c:v>
                </c:pt>
                <c:pt idx="992">
                  <c:v>0.71407634201011305</c:v>
                </c:pt>
                <c:pt idx="993">
                  <c:v>0.91990440186199196</c:v>
                </c:pt>
                <c:pt idx="994">
                  <c:v>0.80901678218727302</c:v>
                </c:pt>
                <c:pt idx="995">
                  <c:v>0.54812002957667205</c:v>
                </c:pt>
                <c:pt idx="996">
                  <c:v>0.62381426674250495</c:v>
                </c:pt>
                <c:pt idx="997">
                  <c:v>0.59792440915704104</c:v>
                </c:pt>
                <c:pt idx="998">
                  <c:v>0.69034313144168402</c:v>
                </c:pt>
                <c:pt idx="999">
                  <c:v>0.63277699296688505</c:v>
                </c:pt>
                <c:pt idx="1000">
                  <c:v>0.89445054251601697</c:v>
                </c:pt>
                <c:pt idx="1001">
                  <c:v>0.39419104349490502</c:v>
                </c:pt>
                <c:pt idx="1002">
                  <c:v>0.60825657964497803</c:v>
                </c:pt>
                <c:pt idx="1003">
                  <c:v>0.62214010158794697</c:v>
                </c:pt>
                <c:pt idx="1004">
                  <c:v>0.84544072542254101</c:v>
                </c:pt>
                <c:pt idx="1005">
                  <c:v>0.72243618229380502</c:v>
                </c:pt>
                <c:pt idx="1006">
                  <c:v>0.57656697454585604</c:v>
                </c:pt>
                <c:pt idx="1007">
                  <c:v>0.55965731332108204</c:v>
                </c:pt>
                <c:pt idx="1008">
                  <c:v>0.89957944405214196</c:v>
                </c:pt>
                <c:pt idx="1009">
                  <c:v>0.91153406810186299</c:v>
                </c:pt>
                <c:pt idx="1010">
                  <c:v>0.622048850410718</c:v>
                </c:pt>
                <c:pt idx="1011">
                  <c:v>0.73596401058085004</c:v>
                </c:pt>
                <c:pt idx="1012">
                  <c:v>0.76712548732809105</c:v>
                </c:pt>
                <c:pt idx="1013">
                  <c:v>0.42787994737506002</c:v>
                </c:pt>
                <c:pt idx="1014">
                  <c:v>0.78197735843014105</c:v>
                </c:pt>
                <c:pt idx="1015">
                  <c:v>0.65001593364591004</c:v>
                </c:pt>
                <c:pt idx="1016">
                  <c:v>0.52592856090566198</c:v>
                </c:pt>
                <c:pt idx="1017">
                  <c:v>0.66696852194390899</c:v>
                </c:pt>
                <c:pt idx="1018">
                  <c:v>0.34802626151814398</c:v>
                </c:pt>
                <c:pt idx="1019">
                  <c:v>0.754215927288027</c:v>
                </c:pt>
                <c:pt idx="1020">
                  <c:v>0.72078126224940797</c:v>
                </c:pt>
                <c:pt idx="1021">
                  <c:v>0.835533030312131</c:v>
                </c:pt>
                <c:pt idx="1022">
                  <c:v>0.79683301939899298</c:v>
                </c:pt>
                <c:pt idx="1023">
                  <c:v>0.36587980431807698</c:v>
                </c:pt>
                <c:pt idx="1024">
                  <c:v>0.87515532737425805</c:v>
                </c:pt>
                <c:pt idx="1025">
                  <c:v>0.75500353083298699</c:v>
                </c:pt>
                <c:pt idx="1026">
                  <c:v>0.72887643540522395</c:v>
                </c:pt>
                <c:pt idx="1027">
                  <c:v>0.91611209948278105</c:v>
                </c:pt>
                <c:pt idx="1028">
                  <c:v>0.37081262681756</c:v>
                </c:pt>
                <c:pt idx="1029">
                  <c:v>0.427532979223536</c:v>
                </c:pt>
                <c:pt idx="1030">
                  <c:v>0.83045022958716397</c:v>
                </c:pt>
                <c:pt idx="1031">
                  <c:v>0.78320712169465301</c:v>
                </c:pt>
                <c:pt idx="1032">
                  <c:v>0.58478705730112701</c:v>
                </c:pt>
                <c:pt idx="1033">
                  <c:v>0.55427234526216496</c:v>
                </c:pt>
                <c:pt idx="1034">
                  <c:v>0.74835915551765897</c:v>
                </c:pt>
                <c:pt idx="1035">
                  <c:v>0.88135264089536802</c:v>
                </c:pt>
                <c:pt idx="1036">
                  <c:v>0.6254268528111</c:v>
                </c:pt>
                <c:pt idx="1037">
                  <c:v>0.84392689547681599</c:v>
                </c:pt>
                <c:pt idx="1038">
                  <c:v>0.69538497752017003</c:v>
                </c:pt>
                <c:pt idx="1039">
                  <c:v>0.75830153511262199</c:v>
                </c:pt>
                <c:pt idx="1040">
                  <c:v>0.86086277656146104</c:v>
                </c:pt>
                <c:pt idx="1041">
                  <c:v>0.69483285802601202</c:v>
                </c:pt>
                <c:pt idx="1042">
                  <c:v>0.96668443926876801</c:v>
                </c:pt>
                <c:pt idx="1043">
                  <c:v>0.82182297234375801</c:v>
                </c:pt>
                <c:pt idx="1044">
                  <c:v>0.79555371481373105</c:v>
                </c:pt>
                <c:pt idx="1045">
                  <c:v>0.66889164476738905</c:v>
                </c:pt>
                <c:pt idx="1046">
                  <c:v>0.47658634618246998</c:v>
                </c:pt>
                <c:pt idx="1047">
                  <c:v>0.51489804681665297</c:v>
                </c:pt>
                <c:pt idx="1048">
                  <c:v>0.70561225769973102</c:v>
                </c:pt>
                <c:pt idx="1049">
                  <c:v>0.562133574216228</c:v>
                </c:pt>
                <c:pt idx="1050">
                  <c:v>0.75453966628856395</c:v>
                </c:pt>
                <c:pt idx="1051">
                  <c:v>0.66125689413854705</c:v>
                </c:pt>
                <c:pt idx="1052">
                  <c:v>0.69709106330364001</c:v>
                </c:pt>
                <c:pt idx="1053">
                  <c:v>0.76367912836327301</c:v>
                </c:pt>
                <c:pt idx="1054">
                  <c:v>0.76235950762511295</c:v>
                </c:pt>
                <c:pt idx="1055">
                  <c:v>0.68915618492764497</c:v>
                </c:pt>
                <c:pt idx="1056">
                  <c:v>0.51326012382934905</c:v>
                </c:pt>
                <c:pt idx="1057">
                  <c:v>0.59183393161854903</c:v>
                </c:pt>
                <c:pt idx="1058">
                  <c:v>0.63723939730895496</c:v>
                </c:pt>
                <c:pt idx="1059">
                  <c:v>0.68288067623912996</c:v>
                </c:pt>
                <c:pt idx="1060">
                  <c:v>0.87574593232430697</c:v>
                </c:pt>
                <c:pt idx="1061">
                  <c:v>0.59564487786026399</c:v>
                </c:pt>
                <c:pt idx="1062">
                  <c:v>0.79099468198820699</c:v>
                </c:pt>
                <c:pt idx="1063">
                  <c:v>0.49432167909679597</c:v>
                </c:pt>
                <c:pt idx="1064">
                  <c:v>0.83113675465148695</c:v>
                </c:pt>
                <c:pt idx="1065">
                  <c:v>0.95133003874725997</c:v>
                </c:pt>
                <c:pt idx="1066">
                  <c:v>0.72096861856077499</c:v>
                </c:pt>
                <c:pt idx="1067">
                  <c:v>0.759882479054383</c:v>
                </c:pt>
                <c:pt idx="1068">
                  <c:v>0.88986708142705795</c:v>
                </c:pt>
                <c:pt idx="1069">
                  <c:v>0.55000874188346405</c:v>
                </c:pt>
                <c:pt idx="1070">
                  <c:v>0.87877192728410602</c:v>
                </c:pt>
                <c:pt idx="1071">
                  <c:v>0.89219773419706305</c:v>
                </c:pt>
                <c:pt idx="1072">
                  <c:v>0.64860989166616301</c:v>
                </c:pt>
                <c:pt idx="1073">
                  <c:v>0.96417154616996603</c:v>
                </c:pt>
                <c:pt idx="1074">
                  <c:v>0.62505473992603799</c:v>
                </c:pt>
                <c:pt idx="1075">
                  <c:v>0.39249396795250002</c:v>
                </c:pt>
                <c:pt idx="1076">
                  <c:v>0.66772370124301195</c:v>
                </c:pt>
                <c:pt idx="1077">
                  <c:v>0.63180314279030703</c:v>
                </c:pt>
                <c:pt idx="1078">
                  <c:v>0.74460255626959604</c:v>
                </c:pt>
                <c:pt idx="1079">
                  <c:v>0.91555572095439897</c:v>
                </c:pt>
                <c:pt idx="1080">
                  <c:v>0.87074979254074902</c:v>
                </c:pt>
                <c:pt idx="1081">
                  <c:v>0.36958394540048001</c:v>
                </c:pt>
                <c:pt idx="1082">
                  <c:v>0.37784140724847698</c:v>
                </c:pt>
                <c:pt idx="1083">
                  <c:v>0.82703758825612905</c:v>
                </c:pt>
                <c:pt idx="1084">
                  <c:v>0.842648505445318</c:v>
                </c:pt>
                <c:pt idx="1085">
                  <c:v>0.71155932069233097</c:v>
                </c:pt>
                <c:pt idx="1086">
                  <c:v>0.42734806647905299</c:v>
                </c:pt>
                <c:pt idx="1087">
                  <c:v>0.80867807125553404</c:v>
                </c:pt>
                <c:pt idx="1088">
                  <c:v>0.68689235616931998</c:v>
                </c:pt>
                <c:pt idx="1089">
                  <c:v>0.77715507885762403</c:v>
                </c:pt>
                <c:pt idx="1090">
                  <c:v>0.81916021459365096</c:v>
                </c:pt>
                <c:pt idx="1091">
                  <c:v>0.882655205376498</c:v>
                </c:pt>
                <c:pt idx="1092">
                  <c:v>0.76518518863282603</c:v>
                </c:pt>
                <c:pt idx="1093">
                  <c:v>0.67680703779379103</c:v>
                </c:pt>
                <c:pt idx="1094">
                  <c:v>0.67856646481815097</c:v>
                </c:pt>
                <c:pt idx="1095">
                  <c:v>0.69686472123556398</c:v>
                </c:pt>
                <c:pt idx="1096">
                  <c:v>0.79020585880182004</c:v>
                </c:pt>
                <c:pt idx="1097">
                  <c:v>0.67294509719567797</c:v>
                </c:pt>
                <c:pt idx="1098">
                  <c:v>0.928609475884423</c:v>
                </c:pt>
                <c:pt idx="1099">
                  <c:v>0.61476859080433599</c:v>
                </c:pt>
                <c:pt idx="1100">
                  <c:v>0.593342753216899</c:v>
                </c:pt>
                <c:pt idx="1101">
                  <c:v>0.46807975223948001</c:v>
                </c:pt>
                <c:pt idx="1102">
                  <c:v>0.89969611819337503</c:v>
                </c:pt>
                <c:pt idx="1103">
                  <c:v>0.43789895957992903</c:v>
                </c:pt>
                <c:pt idx="1104">
                  <c:v>0.86665776229286196</c:v>
                </c:pt>
                <c:pt idx="1105">
                  <c:v>0.61226925605515803</c:v>
                </c:pt>
                <c:pt idx="1106">
                  <c:v>0.89137031965846303</c:v>
                </c:pt>
                <c:pt idx="1107">
                  <c:v>0.62955598451174499</c:v>
                </c:pt>
                <c:pt idx="1108">
                  <c:v>0.84407510098431004</c:v>
                </c:pt>
                <c:pt idx="1109">
                  <c:v>0.79798957819771299</c:v>
                </c:pt>
                <c:pt idx="1110">
                  <c:v>0.70242384124798696</c:v>
                </c:pt>
                <c:pt idx="1111">
                  <c:v>0.96095412761279697</c:v>
                </c:pt>
                <c:pt idx="1112">
                  <c:v>0.87633287388617298</c:v>
                </c:pt>
                <c:pt idx="1113">
                  <c:v>0.85459819454364905</c:v>
                </c:pt>
                <c:pt idx="1114">
                  <c:v>0.50021550955155802</c:v>
                </c:pt>
                <c:pt idx="1115">
                  <c:v>0.55718123916696904</c:v>
                </c:pt>
                <c:pt idx="1116">
                  <c:v>0.58520738009571704</c:v>
                </c:pt>
                <c:pt idx="1117">
                  <c:v>0.87342555488030604</c:v>
                </c:pt>
                <c:pt idx="1118">
                  <c:v>0.92627330462079704</c:v>
                </c:pt>
                <c:pt idx="1119">
                  <c:v>0.80249766609934603</c:v>
                </c:pt>
                <c:pt idx="1120">
                  <c:v>0.64371575195277497</c:v>
                </c:pt>
                <c:pt idx="1121">
                  <c:v>0.67978548046208198</c:v>
                </c:pt>
                <c:pt idx="1122">
                  <c:v>0.89737442094092401</c:v>
                </c:pt>
                <c:pt idx="1123">
                  <c:v>0.55716089911016597</c:v>
                </c:pt>
                <c:pt idx="1124">
                  <c:v>0.87664103412678795</c:v>
                </c:pt>
                <c:pt idx="1125">
                  <c:v>0.71644515574407197</c:v>
                </c:pt>
                <c:pt idx="1126">
                  <c:v>0.87251000705604997</c:v>
                </c:pt>
                <c:pt idx="1127">
                  <c:v>0.90202692819451002</c:v>
                </c:pt>
                <c:pt idx="1128">
                  <c:v>0.50611188139632002</c:v>
                </c:pt>
                <c:pt idx="1129">
                  <c:v>0.95119723758169505</c:v>
                </c:pt>
                <c:pt idx="1130">
                  <c:v>0.59918308519919405</c:v>
                </c:pt>
                <c:pt idx="1131">
                  <c:v>0.62535041358960497</c:v>
                </c:pt>
                <c:pt idx="1132">
                  <c:v>0.89286012847376295</c:v>
                </c:pt>
                <c:pt idx="1133">
                  <c:v>0.81040656216073503</c:v>
                </c:pt>
                <c:pt idx="1134">
                  <c:v>0.78566215003623197</c:v>
                </c:pt>
                <c:pt idx="1135">
                  <c:v>0.65368752132268904</c:v>
                </c:pt>
                <c:pt idx="1136">
                  <c:v>0.90207017802505896</c:v>
                </c:pt>
                <c:pt idx="1137">
                  <c:v>0.62045793485346701</c:v>
                </c:pt>
                <c:pt idx="1138">
                  <c:v>0.77099289747617195</c:v>
                </c:pt>
                <c:pt idx="1139">
                  <c:v>0.78745771487827698</c:v>
                </c:pt>
                <c:pt idx="1140">
                  <c:v>0.83900173005900602</c:v>
                </c:pt>
                <c:pt idx="1141">
                  <c:v>0.50344135481305197</c:v>
                </c:pt>
                <c:pt idx="1142">
                  <c:v>0.96657003553647902</c:v>
                </c:pt>
                <c:pt idx="1143">
                  <c:v>0.98117906303561098</c:v>
                </c:pt>
                <c:pt idx="1144">
                  <c:v>0.51967860980385305</c:v>
                </c:pt>
                <c:pt idx="1145">
                  <c:v>0.766952088976253</c:v>
                </c:pt>
                <c:pt idx="1146">
                  <c:v>0.83861048505336799</c:v>
                </c:pt>
                <c:pt idx="1147">
                  <c:v>0.69371221489318802</c:v>
                </c:pt>
                <c:pt idx="1148">
                  <c:v>0.77762895582004199</c:v>
                </c:pt>
                <c:pt idx="1149">
                  <c:v>0.64513501911540905</c:v>
                </c:pt>
                <c:pt idx="1150">
                  <c:v>0.63577714495041904</c:v>
                </c:pt>
                <c:pt idx="1151">
                  <c:v>0.93076209220034301</c:v>
                </c:pt>
                <c:pt idx="1152">
                  <c:v>0.91636086384068405</c:v>
                </c:pt>
                <c:pt idx="1153">
                  <c:v>0.73348592594605799</c:v>
                </c:pt>
                <c:pt idx="1154">
                  <c:v>0.73176208645918694</c:v>
                </c:pt>
                <c:pt idx="1155">
                  <c:v>0.89587090968069405</c:v>
                </c:pt>
                <c:pt idx="1156">
                  <c:v>0.67639302381267896</c:v>
                </c:pt>
                <c:pt idx="1157">
                  <c:v>0.33561367998677699</c:v>
                </c:pt>
                <c:pt idx="1158">
                  <c:v>0.89092994562404804</c:v>
                </c:pt>
                <c:pt idx="1159">
                  <c:v>0.92792946993879</c:v>
                </c:pt>
                <c:pt idx="1160">
                  <c:v>0.75669268727254602</c:v>
                </c:pt>
                <c:pt idx="1161">
                  <c:v>0.75941392817201203</c:v>
                </c:pt>
                <c:pt idx="1162">
                  <c:v>0.63416915625688697</c:v>
                </c:pt>
                <c:pt idx="1163">
                  <c:v>0.47295554026813202</c:v>
                </c:pt>
                <c:pt idx="1164">
                  <c:v>0.56396756166826001</c:v>
                </c:pt>
                <c:pt idx="1165">
                  <c:v>0.96118264995589597</c:v>
                </c:pt>
                <c:pt idx="1166">
                  <c:v>0.87918496632588505</c:v>
                </c:pt>
                <c:pt idx="1167">
                  <c:v>0.62385899014034396</c:v>
                </c:pt>
                <c:pt idx="1168">
                  <c:v>0.81849675748857698</c:v>
                </c:pt>
                <c:pt idx="1169">
                  <c:v>0.52756018264440097</c:v>
                </c:pt>
                <c:pt idx="1170">
                  <c:v>0.87106189952722901</c:v>
                </c:pt>
                <c:pt idx="1171">
                  <c:v>0.76002518558069299</c:v>
                </c:pt>
                <c:pt idx="1172">
                  <c:v>0.60243954502865205</c:v>
                </c:pt>
                <c:pt idx="1173">
                  <c:v>0.88564961334424097</c:v>
                </c:pt>
                <c:pt idx="1174">
                  <c:v>0.71020872522742395</c:v>
                </c:pt>
                <c:pt idx="1175">
                  <c:v>0.76166877457865301</c:v>
                </c:pt>
                <c:pt idx="1176">
                  <c:v>0.674503567752609</c:v>
                </c:pt>
                <c:pt idx="1177">
                  <c:v>0.66129313386986999</c:v>
                </c:pt>
                <c:pt idx="1178">
                  <c:v>0.69670293364129898</c:v>
                </c:pt>
                <c:pt idx="1179">
                  <c:v>0.943819839674922</c:v>
                </c:pt>
                <c:pt idx="1180">
                  <c:v>0.45618675590339303</c:v>
                </c:pt>
                <c:pt idx="1181">
                  <c:v>0.73880112199941395</c:v>
                </c:pt>
                <c:pt idx="1182">
                  <c:v>0.60536998564295497</c:v>
                </c:pt>
                <c:pt idx="1183">
                  <c:v>0.85814615870803501</c:v>
                </c:pt>
                <c:pt idx="1184">
                  <c:v>0.48785817637269702</c:v>
                </c:pt>
                <c:pt idx="1185">
                  <c:v>0.66042552432188895</c:v>
                </c:pt>
                <c:pt idx="1186">
                  <c:v>0.99586666080255004</c:v>
                </c:pt>
                <c:pt idx="1187">
                  <c:v>0.625437979474885</c:v>
                </c:pt>
                <c:pt idx="1188">
                  <c:v>0.50013424912887605</c:v>
                </c:pt>
                <c:pt idx="1189">
                  <c:v>0.93850076144440497</c:v>
                </c:pt>
                <c:pt idx="1190">
                  <c:v>0.92667870110877304</c:v>
                </c:pt>
                <c:pt idx="1191">
                  <c:v>0.62056864110445198</c:v>
                </c:pt>
                <c:pt idx="1192">
                  <c:v>0.85858528013448698</c:v>
                </c:pt>
                <c:pt idx="1193">
                  <c:v>0.64088104179198901</c:v>
                </c:pt>
                <c:pt idx="1194">
                  <c:v>0.47897813743775097</c:v>
                </c:pt>
                <c:pt idx="1195">
                  <c:v>0.76955204078042705</c:v>
                </c:pt>
                <c:pt idx="1196">
                  <c:v>0.84083605974089803</c:v>
                </c:pt>
                <c:pt idx="1197">
                  <c:v>0.88968967491145901</c:v>
                </c:pt>
                <c:pt idx="1198">
                  <c:v>0.86761857291224598</c:v>
                </c:pt>
                <c:pt idx="1199">
                  <c:v>0.49204630553975498</c:v>
                </c:pt>
                <c:pt idx="1200">
                  <c:v>0.92681664441821399</c:v>
                </c:pt>
                <c:pt idx="1201">
                  <c:v>0.59985637689978799</c:v>
                </c:pt>
                <c:pt idx="1202">
                  <c:v>0.81141992282537101</c:v>
                </c:pt>
                <c:pt idx="1203">
                  <c:v>0.75229816382965897</c:v>
                </c:pt>
                <c:pt idx="1204">
                  <c:v>0.92778221412827799</c:v>
                </c:pt>
                <c:pt idx="1205">
                  <c:v>0.73577989404638999</c:v>
                </c:pt>
                <c:pt idx="1206">
                  <c:v>0.54875108719243804</c:v>
                </c:pt>
                <c:pt idx="1207">
                  <c:v>0.68569939657380496</c:v>
                </c:pt>
                <c:pt idx="1208">
                  <c:v>0.54151665636656998</c:v>
                </c:pt>
                <c:pt idx="1209">
                  <c:v>0.95194847177478104</c:v>
                </c:pt>
                <c:pt idx="1210">
                  <c:v>0.68027162932679697</c:v>
                </c:pt>
                <c:pt idx="1211">
                  <c:v>0.69438112241244099</c:v>
                </c:pt>
                <c:pt idx="1212">
                  <c:v>0.75539466742635997</c:v>
                </c:pt>
                <c:pt idx="1213">
                  <c:v>0.60021211923379703</c:v>
                </c:pt>
                <c:pt idx="1214">
                  <c:v>0.81466327069462996</c:v>
                </c:pt>
                <c:pt idx="1215">
                  <c:v>0.64655541577543396</c:v>
                </c:pt>
                <c:pt idx="1216">
                  <c:v>0.86682139520520196</c:v>
                </c:pt>
                <c:pt idx="1217">
                  <c:v>0.67044065439991996</c:v>
                </c:pt>
                <c:pt idx="1218">
                  <c:v>0.60160083191469704</c:v>
                </c:pt>
                <c:pt idx="1219">
                  <c:v>0.77314187916259403</c:v>
                </c:pt>
                <c:pt idx="1220">
                  <c:v>0.86607603617218598</c:v>
                </c:pt>
                <c:pt idx="1221">
                  <c:v>0.84891692865169299</c:v>
                </c:pt>
                <c:pt idx="1222">
                  <c:v>0.56721965579544997</c:v>
                </c:pt>
                <c:pt idx="1223">
                  <c:v>0.85759946385746</c:v>
                </c:pt>
                <c:pt idx="1224">
                  <c:v>0.83994599309883899</c:v>
                </c:pt>
                <c:pt idx="1225">
                  <c:v>0.684309549573348</c:v>
                </c:pt>
                <c:pt idx="1226">
                  <c:v>0.48267094850077003</c:v>
                </c:pt>
                <c:pt idx="1227">
                  <c:v>0.65336319710853596</c:v>
                </c:pt>
                <c:pt idx="1228">
                  <c:v>0.74484150775231495</c:v>
                </c:pt>
                <c:pt idx="1229">
                  <c:v>0.93097727844173295</c:v>
                </c:pt>
                <c:pt idx="1230">
                  <c:v>0.77604262552227998</c:v>
                </c:pt>
                <c:pt idx="1231">
                  <c:v>0.72541049426230897</c:v>
                </c:pt>
                <c:pt idx="1232">
                  <c:v>0.84214433782670095</c:v>
                </c:pt>
                <c:pt idx="1233">
                  <c:v>0.88642552814841702</c:v>
                </c:pt>
                <c:pt idx="1234">
                  <c:v>0.93824795843101705</c:v>
                </c:pt>
                <c:pt idx="1235">
                  <c:v>0.62821118462652503</c:v>
                </c:pt>
                <c:pt idx="1236">
                  <c:v>0.67276208394204196</c:v>
                </c:pt>
                <c:pt idx="1237">
                  <c:v>0.95758656753233296</c:v>
                </c:pt>
                <c:pt idx="1238">
                  <c:v>0.898578354449033</c:v>
                </c:pt>
                <c:pt idx="1239">
                  <c:v>0.76133667887002099</c:v>
                </c:pt>
                <c:pt idx="1240">
                  <c:v>0.52424732679262798</c:v>
                </c:pt>
                <c:pt idx="1241">
                  <c:v>0.91192578875741404</c:v>
                </c:pt>
                <c:pt idx="1242">
                  <c:v>0.61588982736142095</c:v>
                </c:pt>
                <c:pt idx="1243">
                  <c:v>0.76343079884311205</c:v>
                </c:pt>
                <c:pt idx="1244">
                  <c:v>0.52009243612074696</c:v>
                </c:pt>
                <c:pt idx="1245">
                  <c:v>0.81634269586349295</c:v>
                </c:pt>
                <c:pt idx="1246">
                  <c:v>0.68767264440766696</c:v>
                </c:pt>
                <c:pt idx="1247">
                  <c:v>0.58824723417322</c:v>
                </c:pt>
                <c:pt idx="1248">
                  <c:v>0.71707918124998804</c:v>
                </c:pt>
                <c:pt idx="1249">
                  <c:v>0.561463847229976</c:v>
                </c:pt>
                <c:pt idx="1250">
                  <c:v>0.75154983441569201</c:v>
                </c:pt>
                <c:pt idx="1251">
                  <c:v>0.52472634398015705</c:v>
                </c:pt>
                <c:pt idx="1252">
                  <c:v>0.46546597798718398</c:v>
                </c:pt>
                <c:pt idx="1253">
                  <c:v>0.80724608124012298</c:v>
                </c:pt>
                <c:pt idx="1254">
                  <c:v>0.69720631879607897</c:v>
                </c:pt>
                <c:pt idx="1255">
                  <c:v>0.70436335780521597</c:v>
                </c:pt>
                <c:pt idx="1256">
                  <c:v>0.65077035919269699</c:v>
                </c:pt>
                <c:pt idx="1257">
                  <c:v>0.91693419889099503</c:v>
                </c:pt>
                <c:pt idx="1258">
                  <c:v>0.57144658722221897</c:v>
                </c:pt>
                <c:pt idx="1259">
                  <c:v>0.67949322736168405</c:v>
                </c:pt>
                <c:pt idx="1260">
                  <c:v>0.83904039455423896</c:v>
                </c:pt>
                <c:pt idx="1261">
                  <c:v>0.78418564288930204</c:v>
                </c:pt>
                <c:pt idx="1262">
                  <c:v>0.50666599335354001</c:v>
                </c:pt>
                <c:pt idx="1263">
                  <c:v>0.77421181252637306</c:v>
                </c:pt>
                <c:pt idx="1264">
                  <c:v>0.73457526599205802</c:v>
                </c:pt>
                <c:pt idx="1265">
                  <c:v>0.75183386480243897</c:v>
                </c:pt>
                <c:pt idx="1266">
                  <c:v>0.68502622807493596</c:v>
                </c:pt>
                <c:pt idx="1267">
                  <c:v>0.57871237830891398</c:v>
                </c:pt>
                <c:pt idx="1268">
                  <c:v>0.25470447985329803</c:v>
                </c:pt>
                <c:pt idx="1269">
                  <c:v>0.958457363692234</c:v>
                </c:pt>
                <c:pt idx="1270">
                  <c:v>0.65991125881796997</c:v>
                </c:pt>
                <c:pt idx="1271">
                  <c:v>0.69833321087271505</c:v>
                </c:pt>
                <c:pt idx="1272">
                  <c:v>0.79851699883205496</c:v>
                </c:pt>
                <c:pt idx="1273">
                  <c:v>0.90485865380049502</c:v>
                </c:pt>
                <c:pt idx="1274">
                  <c:v>0.671654206496479</c:v>
                </c:pt>
                <c:pt idx="1275">
                  <c:v>0.58579217752863799</c:v>
                </c:pt>
                <c:pt idx="1276">
                  <c:v>0.73100023405535297</c:v>
                </c:pt>
                <c:pt idx="1277">
                  <c:v>0.74532495060832604</c:v>
                </c:pt>
                <c:pt idx="1278">
                  <c:v>0.65678840294339402</c:v>
                </c:pt>
                <c:pt idx="1279">
                  <c:v>0.84163423720494801</c:v>
                </c:pt>
                <c:pt idx="1280">
                  <c:v>0.66565629336494303</c:v>
                </c:pt>
                <c:pt idx="1281">
                  <c:v>0.94820139572942097</c:v>
                </c:pt>
                <c:pt idx="1282">
                  <c:v>0.86623274974858999</c:v>
                </c:pt>
                <c:pt idx="1283">
                  <c:v>0.83330409658891902</c:v>
                </c:pt>
                <c:pt idx="1284">
                  <c:v>0.69977312856067797</c:v>
                </c:pt>
                <c:pt idx="1285">
                  <c:v>0.93760622147798001</c:v>
                </c:pt>
                <c:pt idx="1286">
                  <c:v>0.93487586795977196</c:v>
                </c:pt>
                <c:pt idx="1287">
                  <c:v>0.64850610809375198</c:v>
                </c:pt>
                <c:pt idx="1288">
                  <c:v>0.69057276744183005</c:v>
                </c:pt>
                <c:pt idx="1289">
                  <c:v>0.81335465598013401</c:v>
                </c:pt>
                <c:pt idx="1290">
                  <c:v>0.77579082840953395</c:v>
                </c:pt>
                <c:pt idx="1291">
                  <c:v>0.69243223442159596</c:v>
                </c:pt>
                <c:pt idx="1292">
                  <c:v>0.67691816278982897</c:v>
                </c:pt>
                <c:pt idx="1293">
                  <c:v>0.60358720352172501</c:v>
                </c:pt>
                <c:pt idx="1294">
                  <c:v>0.287782424960494</c:v>
                </c:pt>
                <c:pt idx="1295">
                  <c:v>0.54956147593401705</c:v>
                </c:pt>
                <c:pt idx="1296">
                  <c:v>0.82889919214979302</c:v>
                </c:pt>
                <c:pt idx="1297">
                  <c:v>0.60076332633114704</c:v>
                </c:pt>
                <c:pt idx="1298">
                  <c:v>0.71002245097367001</c:v>
                </c:pt>
                <c:pt idx="1299">
                  <c:v>0.94754266521269803</c:v>
                </c:pt>
                <c:pt idx="1300">
                  <c:v>0.82011624575412201</c:v>
                </c:pt>
                <c:pt idx="1301">
                  <c:v>0.74129913017992399</c:v>
                </c:pt>
                <c:pt idx="1302">
                  <c:v>0.76435768301534102</c:v>
                </c:pt>
                <c:pt idx="1303">
                  <c:v>0.71969522990527901</c:v>
                </c:pt>
                <c:pt idx="1304">
                  <c:v>0.87311850534619295</c:v>
                </c:pt>
                <c:pt idx="1305">
                  <c:v>0.56963263634531702</c:v>
                </c:pt>
                <c:pt idx="1306">
                  <c:v>0.61258887270513596</c:v>
                </c:pt>
                <c:pt idx="1307">
                  <c:v>0.86307743981962903</c:v>
                </c:pt>
                <c:pt idx="1308">
                  <c:v>0.83587763807583104</c:v>
                </c:pt>
                <c:pt idx="1309">
                  <c:v>0.53185159153120498</c:v>
                </c:pt>
                <c:pt idx="1310">
                  <c:v>0.72235035081545895</c:v>
                </c:pt>
                <c:pt idx="1311">
                  <c:v>0.84293497832733899</c:v>
                </c:pt>
                <c:pt idx="1312">
                  <c:v>0.85980952707887603</c:v>
                </c:pt>
                <c:pt idx="1313">
                  <c:v>0.64968475893408795</c:v>
                </c:pt>
                <c:pt idx="1314">
                  <c:v>0.76700604965722796</c:v>
                </c:pt>
                <c:pt idx="1315">
                  <c:v>0.52910111177171304</c:v>
                </c:pt>
                <c:pt idx="1316">
                  <c:v>0.75687351505011802</c:v>
                </c:pt>
                <c:pt idx="1317">
                  <c:v>0.285767029700353</c:v>
                </c:pt>
                <c:pt idx="1318">
                  <c:v>0.519101108874088</c:v>
                </c:pt>
                <c:pt idx="1319">
                  <c:v>0.41914560108287802</c:v>
                </c:pt>
                <c:pt idx="1320">
                  <c:v>0.66971154457589499</c:v>
                </c:pt>
                <c:pt idx="1321">
                  <c:v>0.51947657998118302</c:v>
                </c:pt>
                <c:pt idx="1322">
                  <c:v>0.70800129534907796</c:v>
                </c:pt>
                <c:pt idx="1323">
                  <c:v>0.84498442890063596</c:v>
                </c:pt>
                <c:pt idx="1324">
                  <c:v>0.741653860403237</c:v>
                </c:pt>
                <c:pt idx="1325">
                  <c:v>0.85312563928541096</c:v>
                </c:pt>
                <c:pt idx="1326">
                  <c:v>0.35868078397243902</c:v>
                </c:pt>
                <c:pt idx="1327">
                  <c:v>0.62887013619758003</c:v>
                </c:pt>
                <c:pt idx="1328">
                  <c:v>0.80456374752151905</c:v>
                </c:pt>
                <c:pt idx="1329">
                  <c:v>0.465692653175029</c:v>
                </c:pt>
                <c:pt idx="1330">
                  <c:v>0.78568492069515405</c:v>
                </c:pt>
                <c:pt idx="1331">
                  <c:v>0.79085888661192705</c:v>
                </c:pt>
                <c:pt idx="1332">
                  <c:v>0.89395304769068795</c:v>
                </c:pt>
                <c:pt idx="1333">
                  <c:v>0.57774783083152503</c:v>
                </c:pt>
                <c:pt idx="1334">
                  <c:v>0.80550524941882895</c:v>
                </c:pt>
                <c:pt idx="1335">
                  <c:v>0.65228937167201495</c:v>
                </c:pt>
                <c:pt idx="1336">
                  <c:v>0.72722986533340706</c:v>
                </c:pt>
                <c:pt idx="1337">
                  <c:v>0.70958830732635403</c:v>
                </c:pt>
                <c:pt idx="1338">
                  <c:v>0.83781631620090002</c:v>
                </c:pt>
                <c:pt idx="1339">
                  <c:v>0.76443737167603798</c:v>
                </c:pt>
                <c:pt idx="1340">
                  <c:v>0.90890817579858896</c:v>
                </c:pt>
                <c:pt idx="1341">
                  <c:v>0.551957807456535</c:v>
                </c:pt>
                <c:pt idx="1342">
                  <c:v>0.65541105918251696</c:v>
                </c:pt>
                <c:pt idx="1343">
                  <c:v>0.73586828761331002</c:v>
                </c:pt>
                <c:pt idx="1344">
                  <c:v>0.80466701662498297</c:v>
                </c:pt>
                <c:pt idx="1345">
                  <c:v>0.784820170799712</c:v>
                </c:pt>
                <c:pt idx="1346">
                  <c:v>0.51426147037708902</c:v>
                </c:pt>
                <c:pt idx="1347">
                  <c:v>0.53395520368619498</c:v>
                </c:pt>
                <c:pt idx="1348">
                  <c:v>0.63568094800975306</c:v>
                </c:pt>
                <c:pt idx="1349">
                  <c:v>0.43781102136302202</c:v>
                </c:pt>
                <c:pt idx="1350">
                  <c:v>0.54040025628921196</c:v>
                </c:pt>
                <c:pt idx="1351">
                  <c:v>0.43826762645564799</c:v>
                </c:pt>
                <c:pt idx="1352">
                  <c:v>0.79985249279159099</c:v>
                </c:pt>
                <c:pt idx="1353">
                  <c:v>0.72161145347658395</c:v>
                </c:pt>
                <c:pt idx="1354">
                  <c:v>0.92647902292111395</c:v>
                </c:pt>
                <c:pt idx="1355">
                  <c:v>0.88042005787748701</c:v>
                </c:pt>
                <c:pt idx="1356">
                  <c:v>0.85937459377812198</c:v>
                </c:pt>
                <c:pt idx="1357">
                  <c:v>0.66126399564727401</c:v>
                </c:pt>
                <c:pt idx="1358">
                  <c:v>0.78534756051179899</c:v>
                </c:pt>
                <c:pt idx="1359">
                  <c:v>0.48963271653143697</c:v>
                </c:pt>
                <c:pt idx="1360">
                  <c:v>0.51066415799556897</c:v>
                </c:pt>
                <c:pt idx="1361">
                  <c:v>0.66952801512992699</c:v>
                </c:pt>
                <c:pt idx="1362">
                  <c:v>0.85864756135152898</c:v>
                </c:pt>
                <c:pt idx="1363">
                  <c:v>0.66688983545721003</c:v>
                </c:pt>
                <c:pt idx="1364">
                  <c:v>0.35816042652622399</c:v>
                </c:pt>
                <c:pt idx="1365">
                  <c:v>0.61639689180051105</c:v>
                </c:pt>
                <c:pt idx="1366">
                  <c:v>0.74142655522863499</c:v>
                </c:pt>
                <c:pt idx="1367">
                  <c:v>0.77511947516447299</c:v>
                </c:pt>
                <c:pt idx="1368">
                  <c:v>0.64794065292983005</c:v>
                </c:pt>
                <c:pt idx="1369">
                  <c:v>0.83667194179904203</c:v>
                </c:pt>
                <c:pt idx="1370">
                  <c:v>0.70728435058238104</c:v>
                </c:pt>
                <c:pt idx="1371">
                  <c:v>0.60965914986584302</c:v>
                </c:pt>
                <c:pt idx="1372">
                  <c:v>0.83811545850355396</c:v>
                </c:pt>
                <c:pt idx="1373">
                  <c:v>0.60544778608035899</c:v>
                </c:pt>
                <c:pt idx="1374">
                  <c:v>0.75134866391912902</c:v>
                </c:pt>
                <c:pt idx="1375">
                  <c:v>0.67350885364998403</c:v>
                </c:pt>
                <c:pt idx="1376">
                  <c:v>0.71674345911543602</c:v>
                </c:pt>
                <c:pt idx="1377">
                  <c:v>0.51401202569903603</c:v>
                </c:pt>
                <c:pt idx="1378">
                  <c:v>0.44463637543329498</c:v>
                </c:pt>
                <c:pt idx="1379">
                  <c:v>0.70408780504930901</c:v>
                </c:pt>
                <c:pt idx="1380">
                  <c:v>0.78116267227921699</c:v>
                </c:pt>
                <c:pt idx="1381">
                  <c:v>0.650154269481513</c:v>
                </c:pt>
                <c:pt idx="1382">
                  <c:v>0.67073333346688302</c:v>
                </c:pt>
                <c:pt idx="1383">
                  <c:v>0.52902109172145995</c:v>
                </c:pt>
                <c:pt idx="1384">
                  <c:v>0.59328015714886395</c:v>
                </c:pt>
                <c:pt idx="1385">
                  <c:v>0.52556337406806897</c:v>
                </c:pt>
                <c:pt idx="1386">
                  <c:v>0.82747127554198696</c:v>
                </c:pt>
                <c:pt idx="1387">
                  <c:v>0.59868544248752997</c:v>
                </c:pt>
                <c:pt idx="1388">
                  <c:v>0.91375514891230702</c:v>
                </c:pt>
                <c:pt idx="1389">
                  <c:v>0.78894990893394401</c:v>
                </c:pt>
                <c:pt idx="1390">
                  <c:v>0.89802466373445</c:v>
                </c:pt>
                <c:pt idx="1391">
                  <c:v>0.79005614537646596</c:v>
                </c:pt>
                <c:pt idx="1392">
                  <c:v>0.87625584709000404</c:v>
                </c:pt>
                <c:pt idx="1393">
                  <c:v>0.79670103622263699</c:v>
                </c:pt>
                <c:pt idx="1394">
                  <c:v>0.843772728124354</c:v>
                </c:pt>
                <c:pt idx="1395">
                  <c:v>0.67657314720763995</c:v>
                </c:pt>
                <c:pt idx="1396">
                  <c:v>0.60412350161241901</c:v>
                </c:pt>
                <c:pt idx="1397">
                  <c:v>0.76922154530027098</c:v>
                </c:pt>
                <c:pt idx="1398">
                  <c:v>0.56106099523984898</c:v>
                </c:pt>
                <c:pt idx="1399">
                  <c:v>0.84710305435434297</c:v>
                </c:pt>
                <c:pt idx="1400">
                  <c:v>0.52708582928553005</c:v>
                </c:pt>
                <c:pt idx="1401">
                  <c:v>0.86627857217111803</c:v>
                </c:pt>
                <c:pt idx="1402">
                  <c:v>0.88521693139050805</c:v>
                </c:pt>
                <c:pt idx="1403">
                  <c:v>0.81899899739013204</c:v>
                </c:pt>
                <c:pt idx="1404">
                  <c:v>0.57436651974529696</c:v>
                </c:pt>
                <c:pt idx="1405">
                  <c:v>0.81065206767723397</c:v>
                </c:pt>
                <c:pt idx="1406">
                  <c:v>0.69138480389874701</c:v>
                </c:pt>
                <c:pt idx="1407">
                  <c:v>0.86588684552151296</c:v>
                </c:pt>
                <c:pt idx="1408">
                  <c:v>0.79956769799268701</c:v>
                </c:pt>
                <c:pt idx="1409">
                  <c:v>0.85416771706787697</c:v>
                </c:pt>
                <c:pt idx="1410">
                  <c:v>0.69495264391978395</c:v>
                </c:pt>
                <c:pt idx="1411">
                  <c:v>0.98898728492521404</c:v>
                </c:pt>
                <c:pt idx="1412">
                  <c:v>0.92087791525027896</c:v>
                </c:pt>
                <c:pt idx="1413">
                  <c:v>0.82752306435921497</c:v>
                </c:pt>
                <c:pt idx="1414">
                  <c:v>0.82003402637039202</c:v>
                </c:pt>
                <c:pt idx="1415">
                  <c:v>0.88468279872208599</c:v>
                </c:pt>
                <c:pt idx="1416">
                  <c:v>0.92021145033023399</c:v>
                </c:pt>
                <c:pt idx="1417">
                  <c:v>0.72987375164661805</c:v>
                </c:pt>
                <c:pt idx="1418">
                  <c:v>0.90982398230401096</c:v>
                </c:pt>
                <c:pt idx="1419">
                  <c:v>0.68988770122141596</c:v>
                </c:pt>
                <c:pt idx="1420">
                  <c:v>0.52191872303044595</c:v>
                </c:pt>
                <c:pt idx="1421">
                  <c:v>0.65943705041758405</c:v>
                </c:pt>
                <c:pt idx="1422">
                  <c:v>0.79466944993370103</c:v>
                </c:pt>
                <c:pt idx="1423">
                  <c:v>0.71079264827446997</c:v>
                </c:pt>
                <c:pt idx="1424">
                  <c:v>0.59631985798462295</c:v>
                </c:pt>
                <c:pt idx="1425">
                  <c:v>0.59192858607537402</c:v>
                </c:pt>
                <c:pt idx="1426">
                  <c:v>0.88941228739997402</c:v>
                </c:pt>
                <c:pt idx="1427">
                  <c:v>0.80805563758560595</c:v>
                </c:pt>
                <c:pt idx="1428">
                  <c:v>0.66711579424055401</c:v>
                </c:pt>
                <c:pt idx="1429">
                  <c:v>0.90372619946518196</c:v>
                </c:pt>
                <c:pt idx="1430">
                  <c:v>0.62116489286055498</c:v>
                </c:pt>
                <c:pt idx="1431">
                  <c:v>0.77596054137569703</c:v>
                </c:pt>
                <c:pt idx="1432">
                  <c:v>0.85546102467572205</c:v>
                </c:pt>
                <c:pt idx="1433">
                  <c:v>0.70211395227080098</c:v>
                </c:pt>
                <c:pt idx="1434">
                  <c:v>0.94914537220633599</c:v>
                </c:pt>
                <c:pt idx="1435">
                  <c:v>0.72520153894887396</c:v>
                </c:pt>
                <c:pt idx="1436">
                  <c:v>0.70122647643561298</c:v>
                </c:pt>
                <c:pt idx="1437">
                  <c:v>0.53858363856011504</c:v>
                </c:pt>
                <c:pt idx="1438">
                  <c:v>0.98216334776834102</c:v>
                </c:pt>
                <c:pt idx="1439">
                  <c:v>0.74045030583945004</c:v>
                </c:pt>
                <c:pt idx="1440">
                  <c:v>0.65607416930889595</c:v>
                </c:pt>
                <c:pt idx="1441">
                  <c:v>0.58954338066675405</c:v>
                </c:pt>
                <c:pt idx="1442">
                  <c:v>0.715141886112453</c:v>
                </c:pt>
                <c:pt idx="1443">
                  <c:v>0.85841486882518603</c:v>
                </c:pt>
                <c:pt idx="1444">
                  <c:v>0.63775613676249598</c:v>
                </c:pt>
                <c:pt idx="1445">
                  <c:v>0.80356530520660596</c:v>
                </c:pt>
                <c:pt idx="1446">
                  <c:v>0.36398265329046697</c:v>
                </c:pt>
                <c:pt idx="1447">
                  <c:v>0.74090079875906301</c:v>
                </c:pt>
                <c:pt idx="1448">
                  <c:v>0.72149307800982498</c:v>
                </c:pt>
                <c:pt idx="1449">
                  <c:v>0.73400663393626397</c:v>
                </c:pt>
                <c:pt idx="1450">
                  <c:v>0.86174903589573304</c:v>
                </c:pt>
                <c:pt idx="1451">
                  <c:v>0.28460634198658002</c:v>
                </c:pt>
                <c:pt idx="1452">
                  <c:v>0.61126433808602199</c:v>
                </c:pt>
                <c:pt idx="1453">
                  <c:v>0.706155482300176</c:v>
                </c:pt>
                <c:pt idx="1454">
                  <c:v>0.66847848612652505</c:v>
                </c:pt>
                <c:pt idx="1455">
                  <c:v>0.82771437654505398</c:v>
                </c:pt>
                <c:pt idx="1456">
                  <c:v>0.947529865172556</c:v>
                </c:pt>
                <c:pt idx="1457">
                  <c:v>0.73382690222681701</c:v>
                </c:pt>
                <c:pt idx="1458">
                  <c:v>0.64362749068164404</c:v>
                </c:pt>
                <c:pt idx="1459">
                  <c:v>0.62868161009386003</c:v>
                </c:pt>
                <c:pt idx="1460">
                  <c:v>0.75417800348359698</c:v>
                </c:pt>
                <c:pt idx="1461">
                  <c:v>0.90539813777220701</c:v>
                </c:pt>
                <c:pt idx="1462">
                  <c:v>0.85879339079581296</c:v>
                </c:pt>
                <c:pt idx="1463">
                  <c:v>0.42169323795824798</c:v>
                </c:pt>
                <c:pt idx="1464">
                  <c:v>0.60230136839516202</c:v>
                </c:pt>
                <c:pt idx="1465">
                  <c:v>0.52216338260577799</c:v>
                </c:pt>
                <c:pt idx="1466">
                  <c:v>0.82899156153785802</c:v>
                </c:pt>
                <c:pt idx="1467">
                  <c:v>0.88682872269667001</c:v>
                </c:pt>
                <c:pt idx="1468">
                  <c:v>0.89957607053968902</c:v>
                </c:pt>
                <c:pt idx="1469">
                  <c:v>0.89281435434315803</c:v>
                </c:pt>
                <c:pt idx="1470">
                  <c:v>0.90483140699072995</c:v>
                </c:pt>
                <c:pt idx="1471">
                  <c:v>0.69613467020132802</c:v>
                </c:pt>
                <c:pt idx="1472">
                  <c:v>0.71172708593727196</c:v>
                </c:pt>
                <c:pt idx="1473">
                  <c:v>0.96074182014073894</c:v>
                </c:pt>
                <c:pt idx="1474">
                  <c:v>0.623426852663307</c:v>
                </c:pt>
                <c:pt idx="1475">
                  <c:v>0.75827339050162601</c:v>
                </c:pt>
                <c:pt idx="1476">
                  <c:v>0.84031269325052005</c:v>
                </c:pt>
                <c:pt idx="1477">
                  <c:v>0.60569594497233503</c:v>
                </c:pt>
                <c:pt idx="1478">
                  <c:v>0.52298478776111001</c:v>
                </c:pt>
                <c:pt idx="1479">
                  <c:v>0.82340998315037905</c:v>
                </c:pt>
                <c:pt idx="1480">
                  <c:v>0.394703003052638</c:v>
                </c:pt>
                <c:pt idx="1481">
                  <c:v>0.800946013644254</c:v>
                </c:pt>
                <c:pt idx="1482">
                  <c:v>0.77847889823667304</c:v>
                </c:pt>
                <c:pt idx="1483">
                  <c:v>0.67345078690879401</c:v>
                </c:pt>
                <c:pt idx="1484">
                  <c:v>0.53990327627367796</c:v>
                </c:pt>
                <c:pt idx="1485">
                  <c:v>0.70229116317219098</c:v>
                </c:pt>
                <c:pt idx="1486">
                  <c:v>0.75221859211314002</c:v>
                </c:pt>
                <c:pt idx="1487">
                  <c:v>0.84623185662203104</c:v>
                </c:pt>
                <c:pt idx="1488">
                  <c:v>0.59475877730647897</c:v>
                </c:pt>
                <c:pt idx="1489">
                  <c:v>0.83440136911467599</c:v>
                </c:pt>
                <c:pt idx="1490">
                  <c:v>0.73551163319153001</c:v>
                </c:pt>
                <c:pt idx="1491">
                  <c:v>0.73970870046800397</c:v>
                </c:pt>
                <c:pt idx="1492">
                  <c:v>0.93906821044535604</c:v>
                </c:pt>
                <c:pt idx="1493">
                  <c:v>0.50639062795380396</c:v>
                </c:pt>
                <c:pt idx="1494">
                  <c:v>0.94625991782652596</c:v>
                </c:pt>
                <c:pt idx="1495">
                  <c:v>0.77270790854527305</c:v>
                </c:pt>
                <c:pt idx="1496">
                  <c:v>0.63546635066031798</c:v>
                </c:pt>
                <c:pt idx="1497">
                  <c:v>0.820205690956893</c:v>
                </c:pt>
                <c:pt idx="1498">
                  <c:v>0.78455827087002705</c:v>
                </c:pt>
                <c:pt idx="1499">
                  <c:v>0.79580342066502996</c:v>
                </c:pt>
                <c:pt idx="1500">
                  <c:v>0.779949491279887</c:v>
                </c:pt>
                <c:pt idx="1501">
                  <c:v>0.89376713293097498</c:v>
                </c:pt>
                <c:pt idx="1502">
                  <c:v>0.49450626754343702</c:v>
                </c:pt>
                <c:pt idx="1503">
                  <c:v>0.85258428526903496</c:v>
                </c:pt>
                <c:pt idx="1504">
                  <c:v>0.23320753013007001</c:v>
                </c:pt>
                <c:pt idx="1505">
                  <c:v>0.42470821048327501</c:v>
                </c:pt>
                <c:pt idx="1506">
                  <c:v>0.48793998914278702</c:v>
                </c:pt>
                <c:pt idx="1507">
                  <c:v>0.71009529231045798</c:v>
                </c:pt>
                <c:pt idx="1508">
                  <c:v>0.52388680372861796</c:v>
                </c:pt>
                <c:pt idx="1509">
                  <c:v>0.62809759796971998</c:v>
                </c:pt>
                <c:pt idx="1510">
                  <c:v>0.68869531296587705</c:v>
                </c:pt>
                <c:pt idx="1511">
                  <c:v>0.96173458447057603</c:v>
                </c:pt>
                <c:pt idx="1512">
                  <c:v>0.385886165133425</c:v>
                </c:pt>
                <c:pt idx="1513">
                  <c:v>0.82912940469543805</c:v>
                </c:pt>
                <c:pt idx="1514">
                  <c:v>0.882394658617493</c:v>
                </c:pt>
                <c:pt idx="1515">
                  <c:v>0.67623039237930205</c:v>
                </c:pt>
                <c:pt idx="1516">
                  <c:v>0.82685112021142804</c:v>
                </c:pt>
                <c:pt idx="1517">
                  <c:v>0.706136021416369</c:v>
                </c:pt>
                <c:pt idx="1518">
                  <c:v>0.69804956812640995</c:v>
                </c:pt>
                <c:pt idx="1519">
                  <c:v>0.80453748132450897</c:v>
                </c:pt>
                <c:pt idx="1520">
                  <c:v>0.66540685635765096</c:v>
                </c:pt>
                <c:pt idx="1521">
                  <c:v>0.557225395022933</c:v>
                </c:pt>
                <c:pt idx="1522">
                  <c:v>0.75459630888140505</c:v>
                </c:pt>
                <c:pt idx="1523">
                  <c:v>0.71320126049288202</c:v>
                </c:pt>
                <c:pt idx="1524">
                  <c:v>0.62901077195314503</c:v>
                </c:pt>
                <c:pt idx="1525">
                  <c:v>0.48506339505684898</c:v>
                </c:pt>
                <c:pt idx="1526">
                  <c:v>0.60456159185877001</c:v>
                </c:pt>
                <c:pt idx="1527">
                  <c:v>0.25362294819730602</c:v>
                </c:pt>
                <c:pt idx="1528">
                  <c:v>0.77492777425191695</c:v>
                </c:pt>
                <c:pt idx="1529">
                  <c:v>0.49314442303234501</c:v>
                </c:pt>
                <c:pt idx="1530">
                  <c:v>0.67310750136959097</c:v>
                </c:pt>
                <c:pt idx="1531">
                  <c:v>0.90756409879858502</c:v>
                </c:pt>
                <c:pt idx="1532">
                  <c:v>0.72030974169539996</c:v>
                </c:pt>
                <c:pt idx="1533">
                  <c:v>0.94073015076670097</c:v>
                </c:pt>
                <c:pt idx="1534">
                  <c:v>0.56876221494629198</c:v>
                </c:pt>
                <c:pt idx="1535">
                  <c:v>0.89725884629868802</c:v>
                </c:pt>
                <c:pt idx="1536">
                  <c:v>0.90339283303340101</c:v>
                </c:pt>
                <c:pt idx="1537">
                  <c:v>0.82908878517435602</c:v>
                </c:pt>
                <c:pt idx="1538">
                  <c:v>0.815547618171518</c:v>
                </c:pt>
                <c:pt idx="1539">
                  <c:v>0.67476641840254903</c:v>
                </c:pt>
                <c:pt idx="1540">
                  <c:v>0.86872322372349897</c:v>
                </c:pt>
                <c:pt idx="1541">
                  <c:v>0.72877345596961995</c:v>
                </c:pt>
                <c:pt idx="1542">
                  <c:v>0.52387058650479701</c:v>
                </c:pt>
                <c:pt idx="1543">
                  <c:v>0.63078599873531505</c:v>
                </c:pt>
                <c:pt idx="1544">
                  <c:v>0.80908529236272098</c:v>
                </c:pt>
                <c:pt idx="1545">
                  <c:v>0.70863747116169895</c:v>
                </c:pt>
                <c:pt idx="1546">
                  <c:v>0.91962581757922002</c:v>
                </c:pt>
                <c:pt idx="1547">
                  <c:v>0.98995772191769105</c:v>
                </c:pt>
                <c:pt idx="1548">
                  <c:v>0.77895851794641002</c:v>
                </c:pt>
                <c:pt idx="1549">
                  <c:v>0.75585645578483196</c:v>
                </c:pt>
                <c:pt idx="1550">
                  <c:v>0.49604204738534902</c:v>
                </c:pt>
                <c:pt idx="1551">
                  <c:v>0.67282118053463902</c:v>
                </c:pt>
                <c:pt idx="1552">
                  <c:v>0.58125891668817198</c:v>
                </c:pt>
                <c:pt idx="1553">
                  <c:v>0.59834354764588704</c:v>
                </c:pt>
                <c:pt idx="1554">
                  <c:v>0.668426276372035</c:v>
                </c:pt>
                <c:pt idx="1555">
                  <c:v>0.88245094396670798</c:v>
                </c:pt>
                <c:pt idx="1556">
                  <c:v>0.84572496049741097</c:v>
                </c:pt>
                <c:pt idx="1557">
                  <c:v>0.76444689561615498</c:v>
                </c:pt>
                <c:pt idx="1558">
                  <c:v>0.74227837569793897</c:v>
                </c:pt>
                <c:pt idx="1559">
                  <c:v>0.69587249790539596</c:v>
                </c:pt>
                <c:pt idx="1560">
                  <c:v>0.71484496466508296</c:v>
                </c:pt>
                <c:pt idx="1561">
                  <c:v>0.66914969185014805</c:v>
                </c:pt>
                <c:pt idx="1562">
                  <c:v>0.71217402484480496</c:v>
                </c:pt>
                <c:pt idx="1563">
                  <c:v>0.63218684593714902</c:v>
                </c:pt>
                <c:pt idx="1564">
                  <c:v>0.61983515999268401</c:v>
                </c:pt>
                <c:pt idx="1565">
                  <c:v>0.82517910382551096</c:v>
                </c:pt>
                <c:pt idx="1566">
                  <c:v>0.90929328112345298</c:v>
                </c:pt>
                <c:pt idx="1567">
                  <c:v>0.62625408647792202</c:v>
                </c:pt>
                <c:pt idx="1568">
                  <c:v>0.36754789988807002</c:v>
                </c:pt>
                <c:pt idx="1569">
                  <c:v>0.38015507233683599</c:v>
                </c:pt>
                <c:pt idx="1570">
                  <c:v>0.64436864945937899</c:v>
                </c:pt>
                <c:pt idx="1571">
                  <c:v>0.88248315224115703</c:v>
                </c:pt>
                <c:pt idx="1572">
                  <c:v>0.70709055454838998</c:v>
                </c:pt>
                <c:pt idx="1573">
                  <c:v>0.79344575815224505</c:v>
                </c:pt>
                <c:pt idx="1574">
                  <c:v>0.30300092747505197</c:v>
                </c:pt>
                <c:pt idx="1575">
                  <c:v>0.64358766913070198</c:v>
                </c:pt>
                <c:pt idx="1576">
                  <c:v>0.70284743132334504</c:v>
                </c:pt>
                <c:pt idx="1577">
                  <c:v>0.96052923716205196</c:v>
                </c:pt>
                <c:pt idx="1578">
                  <c:v>0.76539702544400501</c:v>
                </c:pt>
                <c:pt idx="1579">
                  <c:v>0.71273651320171705</c:v>
                </c:pt>
                <c:pt idx="1580">
                  <c:v>0.52454829615070597</c:v>
                </c:pt>
                <c:pt idx="1581">
                  <c:v>0.86406515614994095</c:v>
                </c:pt>
                <c:pt idx="1582">
                  <c:v>0.62431377187653703</c:v>
                </c:pt>
                <c:pt idx="1583">
                  <c:v>0.69257743698321605</c:v>
                </c:pt>
                <c:pt idx="1584">
                  <c:v>0.70826535435729299</c:v>
                </c:pt>
                <c:pt idx="1585">
                  <c:v>0.662011251189631</c:v>
                </c:pt>
                <c:pt idx="1586">
                  <c:v>0.72613659217279203</c:v>
                </c:pt>
                <c:pt idx="1587">
                  <c:v>0.70550052027374499</c:v>
                </c:pt>
                <c:pt idx="1588">
                  <c:v>0.60826777068342697</c:v>
                </c:pt>
                <c:pt idx="1589">
                  <c:v>0.89285864331798304</c:v>
                </c:pt>
                <c:pt idx="1590">
                  <c:v>0.81196306249459604</c:v>
                </c:pt>
                <c:pt idx="1591">
                  <c:v>0.57202512106643699</c:v>
                </c:pt>
                <c:pt idx="1592">
                  <c:v>0.65934708614360305</c:v>
                </c:pt>
                <c:pt idx="1593">
                  <c:v>0.68901752020787299</c:v>
                </c:pt>
                <c:pt idx="1594">
                  <c:v>0.87232407623970598</c:v>
                </c:pt>
                <c:pt idx="1595">
                  <c:v>0.62528241180528299</c:v>
                </c:pt>
                <c:pt idx="1596">
                  <c:v>0.83611204338468403</c:v>
                </c:pt>
                <c:pt idx="1597">
                  <c:v>0.68824130792125504</c:v>
                </c:pt>
                <c:pt idx="1598">
                  <c:v>0.52591105728484999</c:v>
                </c:pt>
                <c:pt idx="1599">
                  <c:v>0.42845641958346298</c:v>
                </c:pt>
                <c:pt idx="1600">
                  <c:v>0.79757459850127999</c:v>
                </c:pt>
                <c:pt idx="1601">
                  <c:v>0.36049362747591301</c:v>
                </c:pt>
                <c:pt idx="1602">
                  <c:v>0.76653869806026897</c:v>
                </c:pt>
                <c:pt idx="1603">
                  <c:v>0.84598344191817998</c:v>
                </c:pt>
                <c:pt idx="1604">
                  <c:v>0.51135690786616195</c:v>
                </c:pt>
                <c:pt idx="1605">
                  <c:v>0.78640817331964596</c:v>
                </c:pt>
                <c:pt idx="1606">
                  <c:v>0.90773843666061005</c:v>
                </c:pt>
                <c:pt idx="1607">
                  <c:v>0.596455238848419</c:v>
                </c:pt>
                <c:pt idx="1608">
                  <c:v>0.714777242747344</c:v>
                </c:pt>
                <c:pt idx="1609">
                  <c:v>0.68793949461936799</c:v>
                </c:pt>
                <c:pt idx="1610">
                  <c:v>0.76638453717224597</c:v>
                </c:pt>
                <c:pt idx="1611">
                  <c:v>0.84942618283361004</c:v>
                </c:pt>
                <c:pt idx="1612">
                  <c:v>0.73714632021224902</c:v>
                </c:pt>
                <c:pt idx="1613">
                  <c:v>0.59719754821665805</c:v>
                </c:pt>
                <c:pt idx="1614">
                  <c:v>0.65240106069458403</c:v>
                </c:pt>
                <c:pt idx="1615">
                  <c:v>0.60829128389602705</c:v>
                </c:pt>
                <c:pt idx="1616">
                  <c:v>0.65484938065200804</c:v>
                </c:pt>
                <c:pt idx="1617">
                  <c:v>0.66467902748734697</c:v>
                </c:pt>
                <c:pt idx="1618">
                  <c:v>0.88092479053074602</c:v>
                </c:pt>
                <c:pt idx="1619">
                  <c:v>0.81206164231801004</c:v>
                </c:pt>
                <c:pt idx="1620">
                  <c:v>0.80802001510890697</c:v>
                </c:pt>
                <c:pt idx="1621">
                  <c:v>0.76967939745609903</c:v>
                </c:pt>
                <c:pt idx="1622">
                  <c:v>0.59217860796201804</c:v>
                </c:pt>
                <c:pt idx="1623">
                  <c:v>0.86349921287751996</c:v>
                </c:pt>
                <c:pt idx="1624">
                  <c:v>0.93605958907340603</c:v>
                </c:pt>
                <c:pt idx="1625">
                  <c:v>0.87116371589240504</c:v>
                </c:pt>
                <c:pt idx="1626">
                  <c:v>0.57460649312003997</c:v>
                </c:pt>
                <c:pt idx="1627">
                  <c:v>0.65847299688611005</c:v>
                </c:pt>
                <c:pt idx="1628">
                  <c:v>0.89339573708852404</c:v>
                </c:pt>
                <c:pt idx="1629">
                  <c:v>0.61867988721709599</c:v>
                </c:pt>
                <c:pt idx="1630">
                  <c:v>0.68218503166654998</c:v>
                </c:pt>
                <c:pt idx="1631">
                  <c:v>0.71779147496889095</c:v>
                </c:pt>
                <c:pt idx="1632">
                  <c:v>0.65418709952602205</c:v>
                </c:pt>
                <c:pt idx="1633">
                  <c:v>0.62589405223147698</c:v>
                </c:pt>
                <c:pt idx="1634">
                  <c:v>0.66938537761449701</c:v>
                </c:pt>
                <c:pt idx="1635">
                  <c:v>0.73909410440303103</c:v>
                </c:pt>
                <c:pt idx="1636">
                  <c:v>0.84824258071431802</c:v>
                </c:pt>
                <c:pt idx="1637">
                  <c:v>0.84641103200034296</c:v>
                </c:pt>
                <c:pt idx="1638">
                  <c:v>0.38976251011403201</c:v>
                </c:pt>
                <c:pt idx="1639">
                  <c:v>0.78853306555858005</c:v>
                </c:pt>
                <c:pt idx="1640">
                  <c:v>0.91058943436803996</c:v>
                </c:pt>
                <c:pt idx="1641">
                  <c:v>0.58219129127213198</c:v>
                </c:pt>
                <c:pt idx="1642">
                  <c:v>0.982632934893237</c:v>
                </c:pt>
                <c:pt idx="1643">
                  <c:v>0.58740966324201205</c:v>
                </c:pt>
                <c:pt idx="1644">
                  <c:v>0.75394010172813897</c:v>
                </c:pt>
                <c:pt idx="1645">
                  <c:v>0.68288471478556401</c:v>
                </c:pt>
                <c:pt idx="1646">
                  <c:v>0.57092783887258602</c:v>
                </c:pt>
                <c:pt idx="1647">
                  <c:v>0.862152127047907</c:v>
                </c:pt>
                <c:pt idx="1648">
                  <c:v>0.53993119560899205</c:v>
                </c:pt>
                <c:pt idx="1649">
                  <c:v>0.84763374630077803</c:v>
                </c:pt>
                <c:pt idx="1650">
                  <c:v>0.681009645045349</c:v>
                </c:pt>
                <c:pt idx="1651">
                  <c:v>0.56361047458072799</c:v>
                </c:pt>
                <c:pt idx="1652">
                  <c:v>0.46091243214101302</c:v>
                </c:pt>
                <c:pt idx="1653">
                  <c:v>0.48378623178805902</c:v>
                </c:pt>
                <c:pt idx="1654">
                  <c:v>0.51806757253311497</c:v>
                </c:pt>
                <c:pt idx="1655">
                  <c:v>0.76107237278265305</c:v>
                </c:pt>
                <c:pt idx="1656">
                  <c:v>0.73402954841774504</c:v>
                </c:pt>
                <c:pt idx="1657">
                  <c:v>0.62412607068065196</c:v>
                </c:pt>
                <c:pt idx="1658">
                  <c:v>0.59318333134018597</c:v>
                </c:pt>
                <c:pt idx="1659">
                  <c:v>0.45402843894178302</c:v>
                </c:pt>
                <c:pt idx="1660">
                  <c:v>0.77702983032310302</c:v>
                </c:pt>
                <c:pt idx="1661">
                  <c:v>0.72124423118286896</c:v>
                </c:pt>
                <c:pt idx="1662">
                  <c:v>0.52676832906778304</c:v>
                </c:pt>
                <c:pt idx="1663">
                  <c:v>0.67469818248154301</c:v>
                </c:pt>
                <c:pt idx="1664">
                  <c:v>0.84306073120938396</c:v>
                </c:pt>
                <c:pt idx="1665">
                  <c:v>0.70792272916078602</c:v>
                </c:pt>
                <c:pt idx="1666">
                  <c:v>0.50753109877646696</c:v>
                </c:pt>
                <c:pt idx="1667">
                  <c:v>0.77153196083041597</c:v>
                </c:pt>
                <c:pt idx="1668">
                  <c:v>0.30937720493472598</c:v>
                </c:pt>
                <c:pt idx="1669">
                  <c:v>0.75737549230054002</c:v>
                </c:pt>
                <c:pt idx="1670">
                  <c:v>0.52261591391834294</c:v>
                </c:pt>
                <c:pt idx="1671">
                  <c:v>0.31352774061146499</c:v>
                </c:pt>
                <c:pt idx="1672">
                  <c:v>0.54110874894894601</c:v>
                </c:pt>
                <c:pt idx="1673">
                  <c:v>0.37607497615456797</c:v>
                </c:pt>
                <c:pt idx="1674">
                  <c:v>0.83647595751120296</c:v>
                </c:pt>
                <c:pt idx="1675">
                  <c:v>0.94159263730667297</c:v>
                </c:pt>
                <c:pt idx="1676">
                  <c:v>0.61394264415738697</c:v>
                </c:pt>
                <c:pt idx="1677">
                  <c:v>0.82193797256437995</c:v>
                </c:pt>
                <c:pt idx="1678">
                  <c:v>0.57297354867481498</c:v>
                </c:pt>
                <c:pt idx="1679">
                  <c:v>0.87670206274004103</c:v>
                </c:pt>
                <c:pt idx="1680">
                  <c:v>0.89005879769992502</c:v>
                </c:pt>
                <c:pt idx="1681">
                  <c:v>0.50007395654261</c:v>
                </c:pt>
                <c:pt idx="1682">
                  <c:v>0.52367443562982896</c:v>
                </c:pt>
                <c:pt idx="1683">
                  <c:v>0.92736866389704697</c:v>
                </c:pt>
                <c:pt idx="1684">
                  <c:v>0.38025235678150998</c:v>
                </c:pt>
                <c:pt idx="1685">
                  <c:v>0.84647292984059797</c:v>
                </c:pt>
                <c:pt idx="1686">
                  <c:v>0.83182928515267096</c:v>
                </c:pt>
                <c:pt idx="1687">
                  <c:v>0.82471764945959902</c:v>
                </c:pt>
                <c:pt idx="1688">
                  <c:v>0.76035781547182302</c:v>
                </c:pt>
                <c:pt idx="1689">
                  <c:v>0.82925413683663596</c:v>
                </c:pt>
                <c:pt idx="1690">
                  <c:v>0.62939884083688502</c:v>
                </c:pt>
                <c:pt idx="1691">
                  <c:v>0.572127095858048</c:v>
                </c:pt>
                <c:pt idx="1692">
                  <c:v>0.30607652496848298</c:v>
                </c:pt>
                <c:pt idx="1693">
                  <c:v>0.24388947744694001</c:v>
                </c:pt>
                <c:pt idx="1694">
                  <c:v>0.53087979766544002</c:v>
                </c:pt>
                <c:pt idx="1695">
                  <c:v>0.81757370788714001</c:v>
                </c:pt>
                <c:pt idx="1696">
                  <c:v>0.72501458052262302</c:v>
                </c:pt>
                <c:pt idx="1697">
                  <c:v>0.83250597661662196</c:v>
                </c:pt>
                <c:pt idx="1698">
                  <c:v>0.75086911508426502</c:v>
                </c:pt>
                <c:pt idx="1699">
                  <c:v>0.81901819243599505</c:v>
                </c:pt>
                <c:pt idx="1700">
                  <c:v>0.74200385813249303</c:v>
                </c:pt>
                <c:pt idx="1701">
                  <c:v>0.71331171301190299</c:v>
                </c:pt>
                <c:pt idx="1702">
                  <c:v>0.764299786933332</c:v>
                </c:pt>
                <c:pt idx="1703">
                  <c:v>0.864836163527264</c:v>
                </c:pt>
                <c:pt idx="1704">
                  <c:v>0.74329055360182394</c:v>
                </c:pt>
                <c:pt idx="1705">
                  <c:v>0.51154812111832904</c:v>
                </c:pt>
                <c:pt idx="1706">
                  <c:v>0.79375615115275799</c:v>
                </c:pt>
                <c:pt idx="1707">
                  <c:v>0.86759075679155395</c:v>
                </c:pt>
                <c:pt idx="1708">
                  <c:v>0.83886000395434501</c:v>
                </c:pt>
                <c:pt idx="1709">
                  <c:v>0.85894100464230305</c:v>
                </c:pt>
                <c:pt idx="1710">
                  <c:v>0.72975563831102797</c:v>
                </c:pt>
                <c:pt idx="1711">
                  <c:v>0.71106647735353601</c:v>
                </c:pt>
                <c:pt idx="1712">
                  <c:v>0.73205570865998204</c:v>
                </c:pt>
                <c:pt idx="1713">
                  <c:v>0.87073697604040801</c:v>
                </c:pt>
                <c:pt idx="1714">
                  <c:v>0.94668846030429299</c:v>
                </c:pt>
                <c:pt idx="1715">
                  <c:v>0.70605596374556401</c:v>
                </c:pt>
                <c:pt idx="1716">
                  <c:v>0.88756156997671598</c:v>
                </c:pt>
                <c:pt idx="1717">
                  <c:v>0.87786881942509698</c:v>
                </c:pt>
                <c:pt idx="1718">
                  <c:v>0.93245010489267199</c:v>
                </c:pt>
                <c:pt idx="1719">
                  <c:v>0.88650721445662894</c:v>
                </c:pt>
                <c:pt idx="1720">
                  <c:v>0.58693709179437803</c:v>
                </c:pt>
                <c:pt idx="1721">
                  <c:v>0.59689119762725895</c:v>
                </c:pt>
                <c:pt idx="1722">
                  <c:v>0.52727363041196995</c:v>
                </c:pt>
                <c:pt idx="1723">
                  <c:v>0.57748240383011995</c:v>
                </c:pt>
                <c:pt idx="1724">
                  <c:v>0.84516010786250695</c:v>
                </c:pt>
                <c:pt idx="1725">
                  <c:v>0.62811951792196197</c:v>
                </c:pt>
                <c:pt idx="1726">
                  <c:v>0.95296607635888797</c:v>
                </c:pt>
                <c:pt idx="1727">
                  <c:v>0.84104300821928701</c:v>
                </c:pt>
                <c:pt idx="1728">
                  <c:v>0.70715037062616204</c:v>
                </c:pt>
                <c:pt idx="1729">
                  <c:v>0.65680081929922696</c:v>
                </c:pt>
                <c:pt idx="1730">
                  <c:v>0.36467224474969301</c:v>
                </c:pt>
                <c:pt idx="1731">
                  <c:v>0.48184607363969101</c:v>
                </c:pt>
                <c:pt idx="1732">
                  <c:v>0.57243023842071405</c:v>
                </c:pt>
                <c:pt idx="1733">
                  <c:v>0.78652201748457395</c:v>
                </c:pt>
                <c:pt idx="1734">
                  <c:v>0.92577306846117202</c:v>
                </c:pt>
                <c:pt idx="1735">
                  <c:v>0.64005481755624405</c:v>
                </c:pt>
                <c:pt idx="1736">
                  <c:v>0.90223677338452901</c:v>
                </c:pt>
                <c:pt idx="1737">
                  <c:v>0.93199051140884404</c:v>
                </c:pt>
                <c:pt idx="1738">
                  <c:v>0.58084642398046304</c:v>
                </c:pt>
                <c:pt idx="1739">
                  <c:v>0.71085188425414203</c:v>
                </c:pt>
                <c:pt idx="1740">
                  <c:v>0.78293641424974203</c:v>
                </c:pt>
                <c:pt idx="1741">
                  <c:v>0.69415267471362097</c:v>
                </c:pt>
                <c:pt idx="1742">
                  <c:v>0.84855619979050301</c:v>
                </c:pt>
                <c:pt idx="1743">
                  <c:v>0.497488806483738</c:v>
                </c:pt>
                <c:pt idx="1744">
                  <c:v>0.86924713769901096</c:v>
                </c:pt>
                <c:pt idx="1745">
                  <c:v>0.83726820940232805</c:v>
                </c:pt>
                <c:pt idx="1746">
                  <c:v>0.41136116362460901</c:v>
                </c:pt>
                <c:pt idx="1747">
                  <c:v>0.78934647347224096</c:v>
                </c:pt>
                <c:pt idx="1748">
                  <c:v>0.80388720518992796</c:v>
                </c:pt>
                <c:pt idx="1749">
                  <c:v>0.69406749811393398</c:v>
                </c:pt>
                <c:pt idx="1750">
                  <c:v>0.78039616996179795</c:v>
                </c:pt>
                <c:pt idx="1751">
                  <c:v>0.96725008839135496</c:v>
                </c:pt>
                <c:pt idx="1752">
                  <c:v>0.89955277257601995</c:v>
                </c:pt>
                <c:pt idx="1753">
                  <c:v>0.93688697202335303</c:v>
                </c:pt>
                <c:pt idx="1754">
                  <c:v>0.81022488926869196</c:v>
                </c:pt>
                <c:pt idx="1755">
                  <c:v>0.65544070450731295</c:v>
                </c:pt>
                <c:pt idx="1756">
                  <c:v>0.94694049788281498</c:v>
                </c:pt>
                <c:pt idx="1757">
                  <c:v>0.67105842749693101</c:v>
                </c:pt>
                <c:pt idx="1758">
                  <c:v>0.738173949832299</c:v>
                </c:pt>
                <c:pt idx="1759">
                  <c:v>0.82647816448095202</c:v>
                </c:pt>
                <c:pt idx="1760">
                  <c:v>0.349509660979408</c:v>
                </c:pt>
                <c:pt idx="1761">
                  <c:v>0.90735132635948901</c:v>
                </c:pt>
                <c:pt idx="1762">
                  <c:v>0.94615357754913798</c:v>
                </c:pt>
                <c:pt idx="1763">
                  <c:v>0.83340927955116295</c:v>
                </c:pt>
                <c:pt idx="1764">
                  <c:v>0.73248552119143095</c:v>
                </c:pt>
                <c:pt idx="1765">
                  <c:v>0.76341462355426903</c:v>
                </c:pt>
                <c:pt idx="1766">
                  <c:v>0.45781173053872198</c:v>
                </c:pt>
                <c:pt idx="1767">
                  <c:v>0.50967669657945003</c:v>
                </c:pt>
                <c:pt idx="1768">
                  <c:v>0.29028571018933502</c:v>
                </c:pt>
                <c:pt idx="1769">
                  <c:v>0.76859792072534505</c:v>
                </c:pt>
                <c:pt idx="1770">
                  <c:v>0.66497784038910901</c:v>
                </c:pt>
                <c:pt idx="1771">
                  <c:v>0.651962392651108</c:v>
                </c:pt>
                <c:pt idx="1772">
                  <c:v>0.52379507459046304</c:v>
                </c:pt>
                <c:pt idx="1773">
                  <c:v>0.69028871161001804</c:v>
                </c:pt>
                <c:pt idx="1774">
                  <c:v>0.69420579440899799</c:v>
                </c:pt>
                <c:pt idx="1775">
                  <c:v>0.41343632178987699</c:v>
                </c:pt>
                <c:pt idx="1776">
                  <c:v>0.85327992264100905</c:v>
                </c:pt>
                <c:pt idx="1777">
                  <c:v>0.93586752605037204</c:v>
                </c:pt>
                <c:pt idx="1778">
                  <c:v>0.86785448133718301</c:v>
                </c:pt>
                <c:pt idx="1779">
                  <c:v>0.86398938977169104</c:v>
                </c:pt>
                <c:pt idx="1780">
                  <c:v>0.92303941597879902</c:v>
                </c:pt>
                <c:pt idx="1781">
                  <c:v>0.63142936512113501</c:v>
                </c:pt>
                <c:pt idx="1782">
                  <c:v>0.55444868358163502</c:v>
                </c:pt>
                <c:pt idx="1783">
                  <c:v>0.64172319974387504</c:v>
                </c:pt>
                <c:pt idx="1784">
                  <c:v>0.97843774655665805</c:v>
                </c:pt>
                <c:pt idx="1785">
                  <c:v>0.69235744473980099</c:v>
                </c:pt>
                <c:pt idx="1786">
                  <c:v>0.61251767625336395</c:v>
                </c:pt>
                <c:pt idx="1787">
                  <c:v>0.498526741102091</c:v>
                </c:pt>
                <c:pt idx="1788">
                  <c:v>0.63359581351281402</c:v>
                </c:pt>
                <c:pt idx="1789">
                  <c:v>0.90604629696704198</c:v>
                </c:pt>
                <c:pt idx="1790">
                  <c:v>0.70239916037508998</c:v>
                </c:pt>
                <c:pt idx="1791">
                  <c:v>0.81589914940742503</c:v>
                </c:pt>
                <c:pt idx="1792">
                  <c:v>0.44428633829938002</c:v>
                </c:pt>
                <c:pt idx="1793">
                  <c:v>0.395049908375396</c:v>
                </c:pt>
                <c:pt idx="1794">
                  <c:v>0.81897084879804904</c:v>
                </c:pt>
                <c:pt idx="1795">
                  <c:v>0.61052462923070405</c:v>
                </c:pt>
                <c:pt idx="1796">
                  <c:v>0.92488652860530896</c:v>
                </c:pt>
                <c:pt idx="1797">
                  <c:v>0.64219588973655395</c:v>
                </c:pt>
                <c:pt idx="1798">
                  <c:v>0.484065110406383</c:v>
                </c:pt>
                <c:pt idx="1799">
                  <c:v>0.73877452532418897</c:v>
                </c:pt>
                <c:pt idx="1800">
                  <c:v>0.77242289679820197</c:v>
                </c:pt>
                <c:pt idx="1801">
                  <c:v>0.86808851517589702</c:v>
                </c:pt>
                <c:pt idx="1802">
                  <c:v>0.74913578955424798</c:v>
                </c:pt>
                <c:pt idx="1803">
                  <c:v>0.95254812627454399</c:v>
                </c:pt>
                <c:pt idx="1804">
                  <c:v>0.63851112452632097</c:v>
                </c:pt>
                <c:pt idx="1805">
                  <c:v>0.56715151756843696</c:v>
                </c:pt>
                <c:pt idx="1806">
                  <c:v>0.94415394930207497</c:v>
                </c:pt>
                <c:pt idx="1807">
                  <c:v>0.72218683910264003</c:v>
                </c:pt>
                <c:pt idx="1808">
                  <c:v>0.83959888425136897</c:v>
                </c:pt>
                <c:pt idx="1809">
                  <c:v>0.54154919847803096</c:v>
                </c:pt>
                <c:pt idx="1810">
                  <c:v>0.89412651313509794</c:v>
                </c:pt>
                <c:pt idx="1811">
                  <c:v>0.84425470871001196</c:v>
                </c:pt>
                <c:pt idx="1812">
                  <c:v>0.92066176388467402</c:v>
                </c:pt>
                <c:pt idx="1813">
                  <c:v>0.544060556361185</c:v>
                </c:pt>
                <c:pt idx="1814">
                  <c:v>0.89345426339992895</c:v>
                </c:pt>
                <c:pt idx="1815">
                  <c:v>0.61151730547741301</c:v>
                </c:pt>
                <c:pt idx="1816">
                  <c:v>0.63328715217093701</c:v>
                </c:pt>
                <c:pt idx="1817">
                  <c:v>0.82182834870832899</c:v>
                </c:pt>
                <c:pt idx="1818">
                  <c:v>0.65953539398630101</c:v>
                </c:pt>
                <c:pt idx="1819">
                  <c:v>0.83267791207792297</c:v>
                </c:pt>
                <c:pt idx="1820">
                  <c:v>0.97257777833131298</c:v>
                </c:pt>
                <c:pt idx="1821">
                  <c:v>0.78285039449293403</c:v>
                </c:pt>
                <c:pt idx="1822">
                  <c:v>0.78234302109823595</c:v>
                </c:pt>
                <c:pt idx="1823">
                  <c:v>0.86200309518566098</c:v>
                </c:pt>
                <c:pt idx="1824">
                  <c:v>0.55748135937051202</c:v>
                </c:pt>
                <c:pt idx="1825">
                  <c:v>0.75013355701004703</c:v>
                </c:pt>
                <c:pt idx="1826">
                  <c:v>0.77012648497937697</c:v>
                </c:pt>
                <c:pt idx="1827">
                  <c:v>0.84643158640289495</c:v>
                </c:pt>
                <c:pt idx="1828">
                  <c:v>0.82061413160657104</c:v>
                </c:pt>
                <c:pt idx="1829">
                  <c:v>0.90675191199659899</c:v>
                </c:pt>
                <c:pt idx="1830">
                  <c:v>0.819630246104192</c:v>
                </c:pt>
                <c:pt idx="1831">
                  <c:v>0.82330114216427996</c:v>
                </c:pt>
                <c:pt idx="1832">
                  <c:v>0.61423295427473901</c:v>
                </c:pt>
                <c:pt idx="1833">
                  <c:v>0.57150928401377799</c:v>
                </c:pt>
                <c:pt idx="1834">
                  <c:v>0.67102498835787605</c:v>
                </c:pt>
                <c:pt idx="1835">
                  <c:v>0.89900795137350098</c:v>
                </c:pt>
                <c:pt idx="1836">
                  <c:v>0.88472950770370495</c:v>
                </c:pt>
                <c:pt idx="1837">
                  <c:v>0.79514460296836498</c:v>
                </c:pt>
                <c:pt idx="1838">
                  <c:v>0.41019643471273298</c:v>
                </c:pt>
                <c:pt idx="1839">
                  <c:v>0.69530975192979605</c:v>
                </c:pt>
                <c:pt idx="1840">
                  <c:v>0.75269689046852595</c:v>
                </c:pt>
                <c:pt idx="1841">
                  <c:v>0.92995971211545803</c:v>
                </c:pt>
                <c:pt idx="1842">
                  <c:v>0.85154558220458498</c:v>
                </c:pt>
                <c:pt idx="1843">
                  <c:v>0.91755564367012499</c:v>
                </c:pt>
                <c:pt idx="1844">
                  <c:v>0.49970193287887299</c:v>
                </c:pt>
                <c:pt idx="1845">
                  <c:v>0.77323336867085202</c:v>
                </c:pt>
                <c:pt idx="1846">
                  <c:v>0.75501213092399999</c:v>
                </c:pt>
                <c:pt idx="1847">
                  <c:v>0.65516190339352498</c:v>
                </c:pt>
                <c:pt idx="1848">
                  <c:v>0.47586366120761298</c:v>
                </c:pt>
                <c:pt idx="1849">
                  <c:v>0.87564766818778506</c:v>
                </c:pt>
                <c:pt idx="1850">
                  <c:v>0.81169070667799703</c:v>
                </c:pt>
                <c:pt idx="1851">
                  <c:v>0.98835114529526102</c:v>
                </c:pt>
                <c:pt idx="1852">
                  <c:v>0.96788568850678403</c:v>
                </c:pt>
                <c:pt idx="1853">
                  <c:v>0.60709536847773005</c:v>
                </c:pt>
                <c:pt idx="1854">
                  <c:v>0.23133257909096899</c:v>
                </c:pt>
                <c:pt idx="1855">
                  <c:v>0.56955050116501904</c:v>
                </c:pt>
                <c:pt idx="1856">
                  <c:v>0.64655371115334304</c:v>
                </c:pt>
                <c:pt idx="1857">
                  <c:v>0.87433515466842204</c:v>
                </c:pt>
                <c:pt idx="1858">
                  <c:v>0.91759877945521995</c:v>
                </c:pt>
                <c:pt idx="1859">
                  <c:v>0.68449186341657298</c:v>
                </c:pt>
                <c:pt idx="1860">
                  <c:v>0.93599366912573601</c:v>
                </c:pt>
                <c:pt idx="1861">
                  <c:v>0.72246492977561705</c:v>
                </c:pt>
                <c:pt idx="1862">
                  <c:v>0.77568958857333103</c:v>
                </c:pt>
                <c:pt idx="1863">
                  <c:v>0.61412802712076098</c:v>
                </c:pt>
                <c:pt idx="1864">
                  <c:v>0.84382921366971497</c:v>
                </c:pt>
                <c:pt idx="1865">
                  <c:v>0.873325571861857</c:v>
                </c:pt>
                <c:pt idx="1866">
                  <c:v>0.74913609616593702</c:v>
                </c:pt>
                <c:pt idx="1867">
                  <c:v>0.63350239190322599</c:v>
                </c:pt>
                <c:pt idx="1868">
                  <c:v>0.87558182769603898</c:v>
                </c:pt>
                <c:pt idx="1869">
                  <c:v>0.42511325841088299</c:v>
                </c:pt>
                <c:pt idx="1870">
                  <c:v>0.80259416810284401</c:v>
                </c:pt>
                <c:pt idx="1871">
                  <c:v>0.805899662108716</c:v>
                </c:pt>
                <c:pt idx="1872">
                  <c:v>0.68915087811311604</c:v>
                </c:pt>
                <c:pt idx="1873">
                  <c:v>0.28313227711261801</c:v>
                </c:pt>
                <c:pt idx="1874">
                  <c:v>0.76371310395088499</c:v>
                </c:pt>
                <c:pt idx="1875">
                  <c:v>0.52975143016104198</c:v>
                </c:pt>
                <c:pt idx="1876">
                  <c:v>0.77444543643534303</c:v>
                </c:pt>
                <c:pt idx="1877">
                  <c:v>0.66326880822865197</c:v>
                </c:pt>
                <c:pt idx="1878">
                  <c:v>0.59545349989480201</c:v>
                </c:pt>
                <c:pt idx="1879">
                  <c:v>0.587013650571099</c:v>
                </c:pt>
                <c:pt idx="1880">
                  <c:v>0.498856771875476</c:v>
                </c:pt>
                <c:pt idx="1881">
                  <c:v>0.77464187869685697</c:v>
                </c:pt>
                <c:pt idx="1882">
                  <c:v>0.83488479091863899</c:v>
                </c:pt>
                <c:pt idx="1883">
                  <c:v>0.82668819415003303</c:v>
                </c:pt>
                <c:pt idx="1884">
                  <c:v>0.784168132707733</c:v>
                </c:pt>
                <c:pt idx="1885">
                  <c:v>0.91640693153484998</c:v>
                </c:pt>
                <c:pt idx="1886">
                  <c:v>0.34914348491366698</c:v>
                </c:pt>
                <c:pt idx="1887">
                  <c:v>0.64309330743384496</c:v>
                </c:pt>
                <c:pt idx="1888">
                  <c:v>0.48828669776733302</c:v>
                </c:pt>
                <c:pt idx="1889">
                  <c:v>0.88584663076335501</c:v>
                </c:pt>
                <c:pt idx="1890">
                  <c:v>0.92761456388368801</c:v>
                </c:pt>
                <c:pt idx="1891">
                  <c:v>0.76350610716587097</c:v>
                </c:pt>
                <c:pt idx="1892">
                  <c:v>0.77034037279408496</c:v>
                </c:pt>
                <c:pt idx="1893">
                  <c:v>0.76771289679745203</c:v>
                </c:pt>
                <c:pt idx="1894">
                  <c:v>0.972107671915307</c:v>
                </c:pt>
                <c:pt idx="1895">
                  <c:v>0.64486362132583097</c:v>
                </c:pt>
                <c:pt idx="1896">
                  <c:v>0.67424949848853599</c:v>
                </c:pt>
                <c:pt idx="1897">
                  <c:v>0.74580410100391903</c:v>
                </c:pt>
                <c:pt idx="1898">
                  <c:v>0.78992544251535501</c:v>
                </c:pt>
                <c:pt idx="1899">
                  <c:v>0.69675185128081196</c:v>
                </c:pt>
                <c:pt idx="1900">
                  <c:v>0.73927292285296098</c:v>
                </c:pt>
                <c:pt idx="1901">
                  <c:v>0.72355250633438295</c:v>
                </c:pt>
                <c:pt idx="1902">
                  <c:v>0.54763350475725903</c:v>
                </c:pt>
                <c:pt idx="1903">
                  <c:v>0.69518771749247199</c:v>
                </c:pt>
                <c:pt idx="1904">
                  <c:v>0.66770716480834302</c:v>
                </c:pt>
                <c:pt idx="1905">
                  <c:v>0.317820210146046</c:v>
                </c:pt>
                <c:pt idx="1906">
                  <c:v>0.55477297905093503</c:v>
                </c:pt>
                <c:pt idx="1907">
                  <c:v>0.65857795571472599</c:v>
                </c:pt>
                <c:pt idx="1908">
                  <c:v>0.85134875954007605</c:v>
                </c:pt>
                <c:pt idx="1909">
                  <c:v>0.46266326612611902</c:v>
                </c:pt>
                <c:pt idx="1910">
                  <c:v>0.90542622940673501</c:v>
                </c:pt>
                <c:pt idx="1911">
                  <c:v>0.68055324059113098</c:v>
                </c:pt>
                <c:pt idx="1912">
                  <c:v>0.76627667205849503</c:v>
                </c:pt>
                <c:pt idx="1913">
                  <c:v>0.61843081043991699</c:v>
                </c:pt>
                <c:pt idx="1914">
                  <c:v>0.71159698781250502</c:v>
                </c:pt>
                <c:pt idx="1915">
                  <c:v>0.83606440624431799</c:v>
                </c:pt>
                <c:pt idx="1916">
                  <c:v>0.89638460569494605</c:v>
                </c:pt>
                <c:pt idx="1917">
                  <c:v>0.52501136079689004</c:v>
                </c:pt>
                <c:pt idx="1918">
                  <c:v>0.49331517751279602</c:v>
                </c:pt>
                <c:pt idx="1919">
                  <c:v>0.52603549649576997</c:v>
                </c:pt>
                <c:pt idx="1920">
                  <c:v>0.74682640172487003</c:v>
                </c:pt>
                <c:pt idx="1921">
                  <c:v>0.628734397180717</c:v>
                </c:pt>
                <c:pt idx="1922">
                  <c:v>0.77246648949156205</c:v>
                </c:pt>
                <c:pt idx="1923">
                  <c:v>0.56212856156511304</c:v>
                </c:pt>
                <c:pt idx="1924">
                  <c:v>0.94506805202826405</c:v>
                </c:pt>
                <c:pt idx="1925">
                  <c:v>0.40388970747427899</c:v>
                </c:pt>
                <c:pt idx="1926">
                  <c:v>0.69640300007163203</c:v>
                </c:pt>
                <c:pt idx="1927">
                  <c:v>0.46700180806417302</c:v>
                </c:pt>
                <c:pt idx="1928">
                  <c:v>0.265944418756761</c:v>
                </c:pt>
                <c:pt idx="1929">
                  <c:v>0.71813731267201997</c:v>
                </c:pt>
                <c:pt idx="1930">
                  <c:v>0.51477247137913196</c:v>
                </c:pt>
                <c:pt idx="1931">
                  <c:v>0.84449980012603798</c:v>
                </c:pt>
                <c:pt idx="1932">
                  <c:v>0.67417031773964298</c:v>
                </c:pt>
                <c:pt idx="1933">
                  <c:v>0.78399316589073897</c:v>
                </c:pt>
                <c:pt idx="1934">
                  <c:v>0.93753726319524799</c:v>
                </c:pt>
                <c:pt idx="1935">
                  <c:v>0.95243840511793998</c:v>
                </c:pt>
                <c:pt idx="1936">
                  <c:v>0.73078694466764005</c:v>
                </c:pt>
                <c:pt idx="1937">
                  <c:v>0.73124492363053795</c:v>
                </c:pt>
                <c:pt idx="1938">
                  <c:v>0.50136753225236397</c:v>
                </c:pt>
                <c:pt idx="1939">
                  <c:v>0.64700020583411399</c:v>
                </c:pt>
                <c:pt idx="1940">
                  <c:v>0.50486747857737102</c:v>
                </c:pt>
                <c:pt idx="1941">
                  <c:v>0.68345178169112997</c:v>
                </c:pt>
                <c:pt idx="1942">
                  <c:v>0.48693672299719098</c:v>
                </c:pt>
                <c:pt idx="1943">
                  <c:v>0.68246252007786701</c:v>
                </c:pt>
                <c:pt idx="1944">
                  <c:v>0.92689575270814395</c:v>
                </c:pt>
                <c:pt idx="1945">
                  <c:v>0.39065766701610999</c:v>
                </c:pt>
                <c:pt idx="1946">
                  <c:v>0.63534610561751703</c:v>
                </c:pt>
                <c:pt idx="1947">
                  <c:v>0.96228435348890295</c:v>
                </c:pt>
                <c:pt idx="1948">
                  <c:v>0.87410474182247699</c:v>
                </c:pt>
                <c:pt idx="1949">
                  <c:v>0.49500506329399402</c:v>
                </c:pt>
                <c:pt idx="1950">
                  <c:v>0.64364496336542198</c:v>
                </c:pt>
                <c:pt idx="1951">
                  <c:v>0.40614107954137701</c:v>
                </c:pt>
                <c:pt idx="1952">
                  <c:v>0.47641134318971801</c:v>
                </c:pt>
                <c:pt idx="1953">
                  <c:v>0.55917363156228295</c:v>
                </c:pt>
                <c:pt idx="1954">
                  <c:v>0.73341884965055004</c:v>
                </c:pt>
                <c:pt idx="1955">
                  <c:v>0.37443521399465002</c:v>
                </c:pt>
                <c:pt idx="1956">
                  <c:v>0.78829372730852298</c:v>
                </c:pt>
                <c:pt idx="1957">
                  <c:v>0.67237588101183199</c:v>
                </c:pt>
                <c:pt idx="1958">
                  <c:v>0.90334015910505305</c:v>
                </c:pt>
                <c:pt idx="1959">
                  <c:v>0.69207707434591503</c:v>
                </c:pt>
                <c:pt idx="1960">
                  <c:v>0.46981737158248199</c:v>
                </c:pt>
                <c:pt idx="1961">
                  <c:v>0.44539199833141502</c:v>
                </c:pt>
                <c:pt idx="1962">
                  <c:v>0.70672874676518904</c:v>
                </c:pt>
                <c:pt idx="1963">
                  <c:v>0.64712259611093603</c:v>
                </c:pt>
                <c:pt idx="1964">
                  <c:v>0.85322230423130596</c:v>
                </c:pt>
                <c:pt idx="1965">
                  <c:v>0.812710426408355</c:v>
                </c:pt>
                <c:pt idx="1966">
                  <c:v>0.690205268729018</c:v>
                </c:pt>
                <c:pt idx="1967">
                  <c:v>0.93667557052879602</c:v>
                </c:pt>
                <c:pt idx="1968">
                  <c:v>0.59453301645758005</c:v>
                </c:pt>
                <c:pt idx="1969">
                  <c:v>0.61293724486076295</c:v>
                </c:pt>
                <c:pt idx="1970">
                  <c:v>0.74952700704984399</c:v>
                </c:pt>
                <c:pt idx="1971">
                  <c:v>0.77001807561245705</c:v>
                </c:pt>
                <c:pt idx="1972">
                  <c:v>0.64998158001894801</c:v>
                </c:pt>
                <c:pt idx="1973">
                  <c:v>0.84537409694774202</c:v>
                </c:pt>
                <c:pt idx="1974">
                  <c:v>0.88183191484770296</c:v>
                </c:pt>
                <c:pt idx="1975">
                  <c:v>0.77954534145254895</c:v>
                </c:pt>
                <c:pt idx="1976">
                  <c:v>0.96869012618373496</c:v>
                </c:pt>
                <c:pt idx="1977">
                  <c:v>0.45153887327079201</c:v>
                </c:pt>
                <c:pt idx="1978">
                  <c:v>0.75480002111664701</c:v>
                </c:pt>
                <c:pt idx="1979">
                  <c:v>0.76752006356718205</c:v>
                </c:pt>
                <c:pt idx="1980">
                  <c:v>0.33813853631641899</c:v>
                </c:pt>
                <c:pt idx="1981">
                  <c:v>0.87209494743165294</c:v>
                </c:pt>
                <c:pt idx="1982">
                  <c:v>0.54348269709960595</c:v>
                </c:pt>
                <c:pt idx="1983">
                  <c:v>0.71565391626030705</c:v>
                </c:pt>
                <c:pt idx="1984">
                  <c:v>0.63755011328435496</c:v>
                </c:pt>
                <c:pt idx="1985">
                  <c:v>0.95193234959859396</c:v>
                </c:pt>
                <c:pt idx="1986">
                  <c:v>0.92881435125549405</c:v>
                </c:pt>
                <c:pt idx="1987">
                  <c:v>0.77825148403186095</c:v>
                </c:pt>
                <c:pt idx="1988">
                  <c:v>0.92176476736236901</c:v>
                </c:pt>
                <c:pt idx="1989">
                  <c:v>0.87372942913949903</c:v>
                </c:pt>
                <c:pt idx="1990">
                  <c:v>0.81876687337739895</c:v>
                </c:pt>
                <c:pt idx="1991">
                  <c:v>0.61707921932791199</c:v>
                </c:pt>
                <c:pt idx="1992">
                  <c:v>0.50225750365156696</c:v>
                </c:pt>
                <c:pt idx="1993">
                  <c:v>0.77790662010425704</c:v>
                </c:pt>
                <c:pt idx="1994">
                  <c:v>0.38692389596319599</c:v>
                </c:pt>
                <c:pt idx="1995">
                  <c:v>0.53049689287388302</c:v>
                </c:pt>
                <c:pt idx="1996">
                  <c:v>0.69498319563524302</c:v>
                </c:pt>
                <c:pt idx="1997">
                  <c:v>0.60304079637428198</c:v>
                </c:pt>
                <c:pt idx="1998">
                  <c:v>0.72002500127897995</c:v>
                </c:pt>
                <c:pt idx="1999">
                  <c:v>0.87921343195880497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68-49CC-804E-BECEF2AE9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649631"/>
        <c:axId val="217633311"/>
      </c:scatterChart>
      <c:valAx>
        <c:axId val="21764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633311"/>
        <c:crosses val="autoZero"/>
        <c:crossBetween val="midCat"/>
      </c:valAx>
      <c:valAx>
        <c:axId val="21763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649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'LGD Raw Datatset'!$J$1</c:f>
              <c:strCache>
                <c:ptCount val="1"/>
                <c:pt idx="0">
                  <c:v>LGD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'LGD Raw Datatset'!$D$2:$D$2001</c:f>
              <c:numCache>
                <c:formatCode>General</c:formatCode>
                <c:ptCount val="2000"/>
                <c:pt idx="0">
                  <c:v>-0.19291728775763001</c:v>
                </c:pt>
                <c:pt idx="1">
                  <c:v>9.7747475585253096E-2</c:v>
                </c:pt>
                <c:pt idx="2">
                  <c:v>-0.117982771050439</c:v>
                </c:pt>
                <c:pt idx="3">
                  <c:v>-9.4934677541019197E-2</c:v>
                </c:pt>
                <c:pt idx="4">
                  <c:v>1.54355430146941E-2</c:v>
                </c:pt>
                <c:pt idx="5">
                  <c:v>0.17618794581943201</c:v>
                </c:pt>
                <c:pt idx="6">
                  <c:v>-0.10675329813687599</c:v>
                </c:pt>
                <c:pt idx="7">
                  <c:v>-0.181077851446975</c:v>
                </c:pt>
                <c:pt idx="8">
                  <c:v>0.110580821477895</c:v>
                </c:pt>
                <c:pt idx="9">
                  <c:v>3.1771823993175501E-3</c:v>
                </c:pt>
                <c:pt idx="10">
                  <c:v>2.37241395392155E-2</c:v>
                </c:pt>
                <c:pt idx="11">
                  <c:v>-0.13479372969341799</c:v>
                </c:pt>
                <c:pt idx="12">
                  <c:v>-0.17484073791459201</c:v>
                </c:pt>
                <c:pt idx="13">
                  <c:v>0.195950802331635</c:v>
                </c:pt>
                <c:pt idx="14">
                  <c:v>9.9083011899270101E-2</c:v>
                </c:pt>
                <c:pt idx="15">
                  <c:v>-0.14993516398436499</c:v>
                </c:pt>
                <c:pt idx="16">
                  <c:v>-0.13131726310355099</c:v>
                </c:pt>
                <c:pt idx="17">
                  <c:v>-0.144702830875301</c:v>
                </c:pt>
                <c:pt idx="18">
                  <c:v>-0.15920913404749801</c:v>
                </c:pt>
                <c:pt idx="19">
                  <c:v>0.187448705424859</c:v>
                </c:pt>
                <c:pt idx="20">
                  <c:v>9.9721227101548501E-2</c:v>
                </c:pt>
                <c:pt idx="21">
                  <c:v>6.6882233159783394E-2</c:v>
                </c:pt>
                <c:pt idx="22">
                  <c:v>1.49661229033609E-2</c:v>
                </c:pt>
                <c:pt idx="23">
                  <c:v>0.12788792777629501</c:v>
                </c:pt>
                <c:pt idx="24">
                  <c:v>3.8439155809084101E-2</c:v>
                </c:pt>
                <c:pt idx="25">
                  <c:v>0.171263158863137</c:v>
                </c:pt>
                <c:pt idx="26">
                  <c:v>0.18419895678836401</c:v>
                </c:pt>
                <c:pt idx="27">
                  <c:v>-0.189146679163958</c:v>
                </c:pt>
                <c:pt idx="28">
                  <c:v>8.7015798206230899E-2</c:v>
                </c:pt>
                <c:pt idx="29">
                  <c:v>5.6137175246818799E-2</c:v>
                </c:pt>
                <c:pt idx="30">
                  <c:v>-1.49684627546578E-3</c:v>
                </c:pt>
                <c:pt idx="31">
                  <c:v>1.3413173877432001E-2</c:v>
                </c:pt>
                <c:pt idx="32">
                  <c:v>-5.9019511229896904E-3</c:v>
                </c:pt>
                <c:pt idx="33">
                  <c:v>-0.16895271524872801</c:v>
                </c:pt>
                <c:pt idx="34">
                  <c:v>7.0240670387400894E-2</c:v>
                </c:pt>
                <c:pt idx="35">
                  <c:v>0.15988110256236299</c:v>
                </c:pt>
                <c:pt idx="36">
                  <c:v>-9.6477655166275503E-2</c:v>
                </c:pt>
                <c:pt idx="37">
                  <c:v>-8.9670626199581296E-3</c:v>
                </c:pt>
                <c:pt idx="38">
                  <c:v>0.150918805302556</c:v>
                </c:pt>
                <c:pt idx="39">
                  <c:v>0.136697829340303</c:v>
                </c:pt>
                <c:pt idx="40">
                  <c:v>-5.9170467247651104E-3</c:v>
                </c:pt>
                <c:pt idx="41">
                  <c:v>9.5237293846854101E-2</c:v>
                </c:pt>
                <c:pt idx="42">
                  <c:v>-1.3066139484698E-2</c:v>
                </c:pt>
                <c:pt idx="43">
                  <c:v>0.120436324404827</c:v>
                </c:pt>
                <c:pt idx="44">
                  <c:v>-6.3776416618885903E-2</c:v>
                </c:pt>
                <c:pt idx="45">
                  <c:v>0.15050386952726799</c:v>
                </c:pt>
                <c:pt idx="46">
                  <c:v>7.8148107211865103E-2</c:v>
                </c:pt>
                <c:pt idx="47">
                  <c:v>-6.9406381209150799E-3</c:v>
                </c:pt>
                <c:pt idx="48">
                  <c:v>1.7400194760990102E-2</c:v>
                </c:pt>
                <c:pt idx="49">
                  <c:v>0.120282064411442</c:v>
                </c:pt>
                <c:pt idx="50">
                  <c:v>-0.16397822938591999</c:v>
                </c:pt>
                <c:pt idx="51">
                  <c:v>-0.17951188777704</c:v>
                </c:pt>
                <c:pt idx="52">
                  <c:v>-2.5074576674500498E-2</c:v>
                </c:pt>
                <c:pt idx="53">
                  <c:v>8.7216977537831697E-2</c:v>
                </c:pt>
                <c:pt idx="54">
                  <c:v>0.13761973358372001</c:v>
                </c:pt>
                <c:pt idx="55">
                  <c:v>-9.1130135113439703E-2</c:v>
                </c:pt>
                <c:pt idx="56">
                  <c:v>-7.52798208655856E-2</c:v>
                </c:pt>
                <c:pt idx="57">
                  <c:v>-0.19587945706158599</c:v>
                </c:pt>
                <c:pt idx="58">
                  <c:v>-0.135912248012591</c:v>
                </c:pt>
                <c:pt idx="59">
                  <c:v>0.10266456803415699</c:v>
                </c:pt>
                <c:pt idx="60">
                  <c:v>0.13566843510108101</c:v>
                </c:pt>
                <c:pt idx="61">
                  <c:v>3.5424116667246097E-2</c:v>
                </c:pt>
                <c:pt idx="62">
                  <c:v>-7.96509395636191E-2</c:v>
                </c:pt>
                <c:pt idx="63">
                  <c:v>8.7897672674538005E-2</c:v>
                </c:pt>
                <c:pt idx="64">
                  <c:v>0.187946825504024</c:v>
                </c:pt>
                <c:pt idx="65">
                  <c:v>0.18866035050711799</c:v>
                </c:pt>
                <c:pt idx="66">
                  <c:v>-0.165040880553843</c:v>
                </c:pt>
                <c:pt idx="67">
                  <c:v>7.1902754802728994E-2</c:v>
                </c:pt>
                <c:pt idx="68">
                  <c:v>0.17351112472859401</c:v>
                </c:pt>
                <c:pt idx="69">
                  <c:v>-0.18126679689393499</c:v>
                </c:pt>
                <c:pt idx="70">
                  <c:v>0.11823703744722899</c:v>
                </c:pt>
                <c:pt idx="71">
                  <c:v>-0.19118595085298601</c:v>
                </c:pt>
                <c:pt idx="72">
                  <c:v>-3.9925063348191597E-2</c:v>
                </c:pt>
                <c:pt idx="73">
                  <c:v>5.0546685358744098E-2</c:v>
                </c:pt>
                <c:pt idx="74">
                  <c:v>-0.155210898892787</c:v>
                </c:pt>
                <c:pt idx="75">
                  <c:v>-3.6253176743681198E-2</c:v>
                </c:pt>
                <c:pt idx="76">
                  <c:v>7.6342585275152499E-3</c:v>
                </c:pt>
                <c:pt idx="77">
                  <c:v>0.11030608286591601</c:v>
                </c:pt>
                <c:pt idx="78">
                  <c:v>-9.1944548232183801E-2</c:v>
                </c:pt>
                <c:pt idx="79">
                  <c:v>-9.2393774686879399E-2</c:v>
                </c:pt>
                <c:pt idx="80">
                  <c:v>0.10261365649069699</c:v>
                </c:pt>
                <c:pt idx="81">
                  <c:v>-0.10920450894217699</c:v>
                </c:pt>
                <c:pt idx="82">
                  <c:v>-0.129349905908169</c:v>
                </c:pt>
                <c:pt idx="83">
                  <c:v>-0.12749912513628001</c:v>
                </c:pt>
                <c:pt idx="84">
                  <c:v>0.110911113093249</c:v>
                </c:pt>
                <c:pt idx="85">
                  <c:v>0.12243571939103901</c:v>
                </c:pt>
                <c:pt idx="86">
                  <c:v>-4.2238803926258998E-2</c:v>
                </c:pt>
                <c:pt idx="87">
                  <c:v>-0.139851702041944</c:v>
                </c:pt>
                <c:pt idx="88">
                  <c:v>-9.1635569460759694E-2</c:v>
                </c:pt>
                <c:pt idx="89">
                  <c:v>0.13078589088416201</c:v>
                </c:pt>
                <c:pt idx="90">
                  <c:v>-4.1646833010546398E-2</c:v>
                </c:pt>
                <c:pt idx="91">
                  <c:v>-6.7421388491220605E-2</c:v>
                </c:pt>
                <c:pt idx="92">
                  <c:v>-0.160301669861694</c:v>
                </c:pt>
                <c:pt idx="93">
                  <c:v>-6.9987230307935605E-2</c:v>
                </c:pt>
                <c:pt idx="94">
                  <c:v>0.111611240345901</c:v>
                </c:pt>
                <c:pt idx="95">
                  <c:v>-0.136503140637694</c:v>
                </c:pt>
                <c:pt idx="96">
                  <c:v>0.12861626158594899</c:v>
                </c:pt>
                <c:pt idx="97">
                  <c:v>-0.115862823814607</c:v>
                </c:pt>
                <c:pt idx="98">
                  <c:v>-6.5228752441358201E-2</c:v>
                </c:pt>
                <c:pt idx="99">
                  <c:v>2.8607174919383201E-2</c:v>
                </c:pt>
                <c:pt idx="100">
                  <c:v>-0.109636408324261</c:v>
                </c:pt>
                <c:pt idx="101">
                  <c:v>-2.5147750216884701E-2</c:v>
                </c:pt>
                <c:pt idx="102">
                  <c:v>8.1441565731556996E-3</c:v>
                </c:pt>
                <c:pt idx="103">
                  <c:v>-0.118703754859255</c:v>
                </c:pt>
                <c:pt idx="104">
                  <c:v>-0.18801537446071301</c:v>
                </c:pt>
                <c:pt idx="105">
                  <c:v>-8.5286506191231092E-3</c:v>
                </c:pt>
                <c:pt idx="106">
                  <c:v>7.8572413999465601E-2</c:v>
                </c:pt>
                <c:pt idx="107">
                  <c:v>-3.8437325502433603E-2</c:v>
                </c:pt>
                <c:pt idx="108">
                  <c:v>0.18438339088324801</c:v>
                </c:pt>
                <c:pt idx="109">
                  <c:v>-0.112091321842826</c:v>
                </c:pt>
                <c:pt idx="110">
                  <c:v>4.89922436827879E-2</c:v>
                </c:pt>
                <c:pt idx="111">
                  <c:v>-0.12664846660955301</c:v>
                </c:pt>
                <c:pt idx="112">
                  <c:v>-9.9598906321824096E-2</c:v>
                </c:pt>
                <c:pt idx="113">
                  <c:v>-1.56044659349824E-2</c:v>
                </c:pt>
                <c:pt idx="114">
                  <c:v>-0.167965395151147</c:v>
                </c:pt>
                <c:pt idx="115">
                  <c:v>6.4445629533435494E-2</c:v>
                </c:pt>
                <c:pt idx="116">
                  <c:v>6.4951647474883301E-2</c:v>
                </c:pt>
                <c:pt idx="117">
                  <c:v>-0.172006499748279</c:v>
                </c:pt>
                <c:pt idx="118">
                  <c:v>1.1988478462798E-2</c:v>
                </c:pt>
                <c:pt idx="119">
                  <c:v>3.4480154373411301E-2</c:v>
                </c:pt>
                <c:pt idx="120">
                  <c:v>0.193198831759328</c:v>
                </c:pt>
                <c:pt idx="121">
                  <c:v>-6.5494275387252707E-2</c:v>
                </c:pt>
                <c:pt idx="122">
                  <c:v>-0.162500424815233</c:v>
                </c:pt>
                <c:pt idx="123">
                  <c:v>-0.131831952529534</c:v>
                </c:pt>
                <c:pt idx="124">
                  <c:v>0.16580198115997599</c:v>
                </c:pt>
                <c:pt idx="125">
                  <c:v>0.18628559496392499</c:v>
                </c:pt>
                <c:pt idx="126">
                  <c:v>3.48125112799667E-2</c:v>
                </c:pt>
                <c:pt idx="127">
                  <c:v>-3.74115052485453E-2</c:v>
                </c:pt>
                <c:pt idx="128">
                  <c:v>-0.103986940641597</c:v>
                </c:pt>
                <c:pt idx="129">
                  <c:v>-2.1999300480620401E-3</c:v>
                </c:pt>
                <c:pt idx="130">
                  <c:v>2.7883211104330199E-2</c:v>
                </c:pt>
                <c:pt idx="131">
                  <c:v>-0.15502765202745999</c:v>
                </c:pt>
                <c:pt idx="132">
                  <c:v>0.12549818059734699</c:v>
                </c:pt>
                <c:pt idx="133">
                  <c:v>-0.16484431395705501</c:v>
                </c:pt>
                <c:pt idx="134">
                  <c:v>0.19076005969409399</c:v>
                </c:pt>
                <c:pt idx="135">
                  <c:v>-8.1390260727541297E-2</c:v>
                </c:pt>
                <c:pt idx="136">
                  <c:v>0.102414280376175</c:v>
                </c:pt>
                <c:pt idx="137">
                  <c:v>6.0899522283914001E-2</c:v>
                </c:pt>
                <c:pt idx="138">
                  <c:v>-0.123960496551854</c:v>
                </c:pt>
                <c:pt idx="139">
                  <c:v>0.192590693640422</c:v>
                </c:pt>
                <c:pt idx="140">
                  <c:v>1.9834139222836202E-2</c:v>
                </c:pt>
                <c:pt idx="141">
                  <c:v>-0.16583707521893201</c:v>
                </c:pt>
                <c:pt idx="142">
                  <c:v>0.127999127978597</c:v>
                </c:pt>
                <c:pt idx="143">
                  <c:v>9.33903387601656E-2</c:v>
                </c:pt>
                <c:pt idx="144">
                  <c:v>-5.3142741511358699E-2</c:v>
                </c:pt>
                <c:pt idx="145">
                  <c:v>8.2566707073428697E-2</c:v>
                </c:pt>
                <c:pt idx="146">
                  <c:v>0.16219564578777401</c:v>
                </c:pt>
                <c:pt idx="147">
                  <c:v>4.5664551413967497E-2</c:v>
                </c:pt>
                <c:pt idx="148">
                  <c:v>2.3029796264402901E-2</c:v>
                </c:pt>
                <c:pt idx="149">
                  <c:v>-2.0284415062146999E-2</c:v>
                </c:pt>
                <c:pt idx="150">
                  <c:v>4.5563389734045397E-2</c:v>
                </c:pt>
                <c:pt idx="151">
                  <c:v>0.166575586487513</c:v>
                </c:pt>
                <c:pt idx="152">
                  <c:v>-0.109373635990589</c:v>
                </c:pt>
                <c:pt idx="153">
                  <c:v>0.170815733350826</c:v>
                </c:pt>
                <c:pt idx="154">
                  <c:v>9.0683142359056404E-2</c:v>
                </c:pt>
                <c:pt idx="155">
                  <c:v>-5.9715850789862399E-2</c:v>
                </c:pt>
                <c:pt idx="156">
                  <c:v>0.118061582197583</c:v>
                </c:pt>
                <c:pt idx="157">
                  <c:v>0.15089631745565599</c:v>
                </c:pt>
                <c:pt idx="158">
                  <c:v>7.7410658547291705E-2</c:v>
                </c:pt>
                <c:pt idx="159">
                  <c:v>-0.15516968489292499</c:v>
                </c:pt>
                <c:pt idx="160">
                  <c:v>-1.34934954546292E-2</c:v>
                </c:pt>
                <c:pt idx="161">
                  <c:v>3.13242810111393E-2</c:v>
                </c:pt>
                <c:pt idx="162">
                  <c:v>-2.98379797873105E-3</c:v>
                </c:pt>
                <c:pt idx="163">
                  <c:v>-1.42036719346646E-2</c:v>
                </c:pt>
                <c:pt idx="164">
                  <c:v>2.9834778711082199E-2</c:v>
                </c:pt>
                <c:pt idx="165">
                  <c:v>-0.16760882801117799</c:v>
                </c:pt>
                <c:pt idx="166">
                  <c:v>0.1078998020103</c:v>
                </c:pt>
                <c:pt idx="167">
                  <c:v>-1.3516981342683599E-2</c:v>
                </c:pt>
                <c:pt idx="168">
                  <c:v>7.9098987106954094E-2</c:v>
                </c:pt>
                <c:pt idx="169">
                  <c:v>-0.14730226642334801</c:v>
                </c:pt>
                <c:pt idx="170">
                  <c:v>7.4895608996672802E-2</c:v>
                </c:pt>
                <c:pt idx="171">
                  <c:v>3.4810891423845199E-2</c:v>
                </c:pt>
                <c:pt idx="172">
                  <c:v>0.190544538985365</c:v>
                </c:pt>
                <c:pt idx="173">
                  <c:v>-3.5884139440162797E-2</c:v>
                </c:pt>
                <c:pt idx="174">
                  <c:v>0.122620033099187</c:v>
                </c:pt>
                <c:pt idx="175">
                  <c:v>-9.3145420040976604E-2</c:v>
                </c:pt>
                <c:pt idx="176">
                  <c:v>6.9390447182783296E-2</c:v>
                </c:pt>
                <c:pt idx="177">
                  <c:v>0.11002787670571</c:v>
                </c:pt>
                <c:pt idx="178">
                  <c:v>-0.112522488278536</c:v>
                </c:pt>
                <c:pt idx="179">
                  <c:v>5.6099738546718098E-2</c:v>
                </c:pt>
                <c:pt idx="180">
                  <c:v>9.9289947477689794E-2</c:v>
                </c:pt>
                <c:pt idx="181">
                  <c:v>-0.19768357390100699</c:v>
                </c:pt>
                <c:pt idx="182">
                  <c:v>7.2373638728679801E-2</c:v>
                </c:pt>
                <c:pt idx="183">
                  <c:v>0.118782841531822</c:v>
                </c:pt>
                <c:pt idx="184">
                  <c:v>-2.4824289915917799E-2</c:v>
                </c:pt>
                <c:pt idx="185">
                  <c:v>4.5952025572762699E-2</c:v>
                </c:pt>
                <c:pt idx="186">
                  <c:v>0.159641033118924</c:v>
                </c:pt>
                <c:pt idx="187">
                  <c:v>-7.8636805391380203E-3</c:v>
                </c:pt>
                <c:pt idx="188">
                  <c:v>3.0819593124066E-2</c:v>
                </c:pt>
                <c:pt idx="189">
                  <c:v>-4.90495677066147E-2</c:v>
                </c:pt>
                <c:pt idx="190">
                  <c:v>4.9912223223780701E-2</c:v>
                </c:pt>
                <c:pt idx="191">
                  <c:v>0.17045903590793399</c:v>
                </c:pt>
                <c:pt idx="192">
                  <c:v>-0.13323687325994099</c:v>
                </c:pt>
                <c:pt idx="193">
                  <c:v>5.5118122691446498E-3</c:v>
                </c:pt>
                <c:pt idx="194">
                  <c:v>-7.6354466248212294E-2</c:v>
                </c:pt>
                <c:pt idx="195">
                  <c:v>5.8646726748567503E-2</c:v>
                </c:pt>
                <c:pt idx="196">
                  <c:v>-1.39680515191712E-2</c:v>
                </c:pt>
                <c:pt idx="197">
                  <c:v>-0.153087795613079</c:v>
                </c:pt>
                <c:pt idx="198">
                  <c:v>1.23340661355345E-2</c:v>
                </c:pt>
                <c:pt idx="199">
                  <c:v>8.9829977249112694E-2</c:v>
                </c:pt>
                <c:pt idx="200">
                  <c:v>-5.9498520170624597E-2</c:v>
                </c:pt>
                <c:pt idx="201">
                  <c:v>1.9668453316130201E-2</c:v>
                </c:pt>
                <c:pt idx="202">
                  <c:v>4.9229188650312297E-2</c:v>
                </c:pt>
                <c:pt idx="203">
                  <c:v>0.10834125805469701</c:v>
                </c:pt>
                <c:pt idx="204">
                  <c:v>-4.3031803649514602E-2</c:v>
                </c:pt>
                <c:pt idx="205">
                  <c:v>-6.4713245978356801E-2</c:v>
                </c:pt>
                <c:pt idx="206">
                  <c:v>-4.4970925802329399E-2</c:v>
                </c:pt>
                <c:pt idx="207">
                  <c:v>-0.18505487543990801</c:v>
                </c:pt>
                <c:pt idx="208">
                  <c:v>9.5206070474831896E-4</c:v>
                </c:pt>
                <c:pt idx="209">
                  <c:v>-0.13503253408002</c:v>
                </c:pt>
                <c:pt idx="210">
                  <c:v>2.1823328292343899E-2</c:v>
                </c:pt>
                <c:pt idx="211">
                  <c:v>7.2986129035609207E-2</c:v>
                </c:pt>
                <c:pt idx="212">
                  <c:v>-0.14552956101883799</c:v>
                </c:pt>
                <c:pt idx="213">
                  <c:v>-9.0961586401717004E-2</c:v>
                </c:pt>
                <c:pt idx="214">
                  <c:v>-6.1945597946843301E-3</c:v>
                </c:pt>
                <c:pt idx="215">
                  <c:v>0.10750872533910601</c:v>
                </c:pt>
                <c:pt idx="216">
                  <c:v>6.7999838019014894E-2</c:v>
                </c:pt>
                <c:pt idx="217">
                  <c:v>4.7442772858477797E-2</c:v>
                </c:pt>
                <c:pt idx="218">
                  <c:v>1.1462008176690699E-2</c:v>
                </c:pt>
                <c:pt idx="219">
                  <c:v>8.3314709543660295E-3</c:v>
                </c:pt>
                <c:pt idx="220">
                  <c:v>3.8925428911575501E-2</c:v>
                </c:pt>
                <c:pt idx="221">
                  <c:v>-0.133597550864581</c:v>
                </c:pt>
                <c:pt idx="222">
                  <c:v>7.3030297107755895E-2</c:v>
                </c:pt>
                <c:pt idx="223">
                  <c:v>-1.6570086375300001E-2</c:v>
                </c:pt>
                <c:pt idx="224">
                  <c:v>0.19104322848379099</c:v>
                </c:pt>
                <c:pt idx="225">
                  <c:v>0.14177391448107199</c:v>
                </c:pt>
                <c:pt idx="226">
                  <c:v>-0.16735188117947999</c:v>
                </c:pt>
                <c:pt idx="227">
                  <c:v>-0.112553276507359</c:v>
                </c:pt>
                <c:pt idx="228">
                  <c:v>-0.16890503914809801</c:v>
                </c:pt>
                <c:pt idx="229">
                  <c:v>-5.2852984359071903E-2</c:v>
                </c:pt>
                <c:pt idx="230">
                  <c:v>-4.4148688677240498E-2</c:v>
                </c:pt>
                <c:pt idx="231">
                  <c:v>-0.15612841666045199</c:v>
                </c:pt>
                <c:pt idx="232">
                  <c:v>0.173931680744673</c:v>
                </c:pt>
                <c:pt idx="233">
                  <c:v>-0.13849495998414399</c:v>
                </c:pt>
                <c:pt idx="234">
                  <c:v>7.3068705072523096E-2</c:v>
                </c:pt>
                <c:pt idx="235">
                  <c:v>-5.5052335587893797E-2</c:v>
                </c:pt>
                <c:pt idx="236">
                  <c:v>-1.2263383434906801E-2</c:v>
                </c:pt>
                <c:pt idx="237">
                  <c:v>0.101749123724278</c:v>
                </c:pt>
                <c:pt idx="238">
                  <c:v>-8.1547370962871304E-2</c:v>
                </c:pt>
                <c:pt idx="239">
                  <c:v>0.13297127339047701</c:v>
                </c:pt>
                <c:pt idx="240">
                  <c:v>-7.5400091894411395E-2</c:v>
                </c:pt>
                <c:pt idx="241">
                  <c:v>-8.20968610923275E-2</c:v>
                </c:pt>
                <c:pt idx="242">
                  <c:v>-1.0842813670023099E-2</c:v>
                </c:pt>
                <c:pt idx="243">
                  <c:v>0.116515035802323</c:v>
                </c:pt>
                <c:pt idx="244">
                  <c:v>1.8577555823353901E-2</c:v>
                </c:pt>
                <c:pt idx="245">
                  <c:v>-0.192442708525463</c:v>
                </c:pt>
                <c:pt idx="246">
                  <c:v>8.9784467874245696E-2</c:v>
                </c:pt>
                <c:pt idx="247">
                  <c:v>8.4873369985079994E-2</c:v>
                </c:pt>
                <c:pt idx="248">
                  <c:v>7.2559927018412504E-2</c:v>
                </c:pt>
                <c:pt idx="249">
                  <c:v>-5.5668944290007703E-2</c:v>
                </c:pt>
                <c:pt idx="250">
                  <c:v>-9.0415551928873794E-3</c:v>
                </c:pt>
                <c:pt idx="251">
                  <c:v>0.17745132983665801</c:v>
                </c:pt>
                <c:pt idx="252">
                  <c:v>0.19095516024086601</c:v>
                </c:pt>
                <c:pt idx="253">
                  <c:v>0.113986755073943</c:v>
                </c:pt>
                <c:pt idx="254">
                  <c:v>-0.18157858306392399</c:v>
                </c:pt>
                <c:pt idx="255">
                  <c:v>0.18184619425701901</c:v>
                </c:pt>
                <c:pt idx="256">
                  <c:v>-9.3152135466030295E-2</c:v>
                </c:pt>
                <c:pt idx="257">
                  <c:v>-7.6334247073903502E-2</c:v>
                </c:pt>
                <c:pt idx="258">
                  <c:v>3.3969687218720901E-2</c:v>
                </c:pt>
                <c:pt idx="259">
                  <c:v>-0.17730107261210201</c:v>
                </c:pt>
                <c:pt idx="260">
                  <c:v>0.141127888396232</c:v>
                </c:pt>
                <c:pt idx="261">
                  <c:v>-8.8800222858064798E-2</c:v>
                </c:pt>
                <c:pt idx="262">
                  <c:v>-0.13260387075469801</c:v>
                </c:pt>
                <c:pt idx="263">
                  <c:v>0.100239065449754</c:v>
                </c:pt>
                <c:pt idx="264">
                  <c:v>-3.52496794738325E-2</c:v>
                </c:pt>
                <c:pt idx="265">
                  <c:v>-6.9484351193282806E-2</c:v>
                </c:pt>
                <c:pt idx="266">
                  <c:v>5.3992546085580302E-2</c:v>
                </c:pt>
                <c:pt idx="267">
                  <c:v>-4.9207130981067597E-2</c:v>
                </c:pt>
                <c:pt idx="268">
                  <c:v>3.9017542838951397E-2</c:v>
                </c:pt>
                <c:pt idx="269">
                  <c:v>0.15758592859142301</c:v>
                </c:pt>
                <c:pt idx="270">
                  <c:v>0.147525110651127</c:v>
                </c:pt>
                <c:pt idx="271">
                  <c:v>-3.07429224286269E-2</c:v>
                </c:pt>
                <c:pt idx="272">
                  <c:v>0.127904580761217</c:v>
                </c:pt>
                <c:pt idx="273">
                  <c:v>9.5178268013225098E-2</c:v>
                </c:pt>
                <c:pt idx="274">
                  <c:v>7.6974890261325798E-2</c:v>
                </c:pt>
                <c:pt idx="275">
                  <c:v>8.3644651458742003E-2</c:v>
                </c:pt>
                <c:pt idx="276">
                  <c:v>0.123072970245557</c:v>
                </c:pt>
                <c:pt idx="277">
                  <c:v>6.4228751628124997E-2</c:v>
                </c:pt>
                <c:pt idx="278">
                  <c:v>0.123488919270517</c:v>
                </c:pt>
                <c:pt idx="279">
                  <c:v>3.8502641185228698E-2</c:v>
                </c:pt>
                <c:pt idx="280">
                  <c:v>-5.1056335924471598E-2</c:v>
                </c:pt>
                <c:pt idx="281">
                  <c:v>1.9097113791553801E-2</c:v>
                </c:pt>
                <c:pt idx="282">
                  <c:v>9.1936105003441501E-2</c:v>
                </c:pt>
                <c:pt idx="283">
                  <c:v>0.19760852924275901</c:v>
                </c:pt>
                <c:pt idx="284">
                  <c:v>-7.0769319083381105E-2</c:v>
                </c:pt>
                <c:pt idx="285">
                  <c:v>9.1511163321367606E-2</c:v>
                </c:pt>
                <c:pt idx="286">
                  <c:v>-8.9576897699673294E-2</c:v>
                </c:pt>
                <c:pt idx="287">
                  <c:v>-0.13043242298326299</c:v>
                </c:pt>
                <c:pt idx="288">
                  <c:v>4.3139641324543399E-2</c:v>
                </c:pt>
                <c:pt idx="289">
                  <c:v>-8.4999445943669705E-2</c:v>
                </c:pt>
                <c:pt idx="290">
                  <c:v>7.7538722153103701E-2</c:v>
                </c:pt>
                <c:pt idx="291">
                  <c:v>-1.42370219663197E-2</c:v>
                </c:pt>
                <c:pt idx="292">
                  <c:v>-0.125141702848688</c:v>
                </c:pt>
                <c:pt idx="293">
                  <c:v>7.0604207351810597E-2</c:v>
                </c:pt>
                <c:pt idx="294">
                  <c:v>9.6322612687842799E-2</c:v>
                </c:pt>
                <c:pt idx="295">
                  <c:v>9.43026092181148E-2</c:v>
                </c:pt>
                <c:pt idx="296">
                  <c:v>0.16332748856892901</c:v>
                </c:pt>
                <c:pt idx="297">
                  <c:v>8.4977842911168097E-2</c:v>
                </c:pt>
                <c:pt idx="298">
                  <c:v>4.56942501584362E-2</c:v>
                </c:pt>
                <c:pt idx="299">
                  <c:v>0.170260338673311</c:v>
                </c:pt>
                <c:pt idx="300">
                  <c:v>-4.7339807086990898E-2</c:v>
                </c:pt>
                <c:pt idx="301">
                  <c:v>-0.19167673639028401</c:v>
                </c:pt>
                <c:pt idx="302">
                  <c:v>-0.135069345166343</c:v>
                </c:pt>
                <c:pt idx="303">
                  <c:v>-0.167270694302457</c:v>
                </c:pt>
                <c:pt idx="304">
                  <c:v>2.73052121940799E-2</c:v>
                </c:pt>
                <c:pt idx="305">
                  <c:v>0.15173833280889501</c:v>
                </c:pt>
                <c:pt idx="306">
                  <c:v>-3.2415241910446903E-2</c:v>
                </c:pt>
                <c:pt idx="307">
                  <c:v>-4.63435027332414E-2</c:v>
                </c:pt>
                <c:pt idx="308">
                  <c:v>-0.19245794067457</c:v>
                </c:pt>
                <c:pt idx="309">
                  <c:v>0.14672667382163701</c:v>
                </c:pt>
                <c:pt idx="310">
                  <c:v>6.7839315699544295E-2</c:v>
                </c:pt>
                <c:pt idx="311">
                  <c:v>-0.16015603754020299</c:v>
                </c:pt>
                <c:pt idx="312">
                  <c:v>2.9163151335965701E-2</c:v>
                </c:pt>
                <c:pt idx="313">
                  <c:v>-8.87441552961203E-2</c:v>
                </c:pt>
                <c:pt idx="314">
                  <c:v>0.187330107979785</c:v>
                </c:pt>
                <c:pt idx="315">
                  <c:v>2.3570458302201301E-2</c:v>
                </c:pt>
                <c:pt idx="316">
                  <c:v>-6.2508693123793299E-2</c:v>
                </c:pt>
                <c:pt idx="317">
                  <c:v>-0.18237011326520899</c:v>
                </c:pt>
                <c:pt idx="318">
                  <c:v>-3.8226739784392098E-3</c:v>
                </c:pt>
                <c:pt idx="319">
                  <c:v>-0.18012133339684699</c:v>
                </c:pt>
                <c:pt idx="320">
                  <c:v>-0.12128985453873101</c:v>
                </c:pt>
                <c:pt idx="321">
                  <c:v>0.13751406447527201</c:v>
                </c:pt>
                <c:pt idx="322">
                  <c:v>-5.6634675137803299E-2</c:v>
                </c:pt>
                <c:pt idx="323">
                  <c:v>4.7696044276555299E-2</c:v>
                </c:pt>
                <c:pt idx="324">
                  <c:v>-0.19009169841993601</c:v>
                </c:pt>
                <c:pt idx="325">
                  <c:v>-0.163948831281549</c:v>
                </c:pt>
                <c:pt idx="326">
                  <c:v>0.193085060957572</c:v>
                </c:pt>
                <c:pt idx="327">
                  <c:v>0.172261862906428</c:v>
                </c:pt>
                <c:pt idx="328">
                  <c:v>-8.5512456484977795E-2</c:v>
                </c:pt>
                <c:pt idx="329">
                  <c:v>4.6887275340249598E-3</c:v>
                </c:pt>
                <c:pt idx="330">
                  <c:v>-9.9223447951014808E-3</c:v>
                </c:pt>
                <c:pt idx="331">
                  <c:v>9.1678004758967604E-2</c:v>
                </c:pt>
                <c:pt idx="332">
                  <c:v>-0.147817344990471</c:v>
                </c:pt>
                <c:pt idx="333">
                  <c:v>-0.120934575160597</c:v>
                </c:pt>
                <c:pt idx="334">
                  <c:v>1.7210966830230399E-2</c:v>
                </c:pt>
                <c:pt idx="335">
                  <c:v>0.112225035218218</c:v>
                </c:pt>
                <c:pt idx="336">
                  <c:v>-3.7424630609040901E-2</c:v>
                </c:pt>
                <c:pt idx="337">
                  <c:v>0.13177036190338001</c:v>
                </c:pt>
                <c:pt idx="338">
                  <c:v>4.7290093087932E-2</c:v>
                </c:pt>
                <c:pt idx="339">
                  <c:v>1.77233269149348E-3</c:v>
                </c:pt>
                <c:pt idx="340">
                  <c:v>1.5304697012842299E-2</c:v>
                </c:pt>
                <c:pt idx="341">
                  <c:v>-0.15200271988824601</c:v>
                </c:pt>
                <c:pt idx="342">
                  <c:v>-8.3925400585988505E-2</c:v>
                </c:pt>
                <c:pt idx="343">
                  <c:v>0.18586839960769599</c:v>
                </c:pt>
                <c:pt idx="344">
                  <c:v>-0.178641966819896</c:v>
                </c:pt>
                <c:pt idx="345">
                  <c:v>0.186358973604413</c:v>
                </c:pt>
                <c:pt idx="346">
                  <c:v>3.3517433094025197E-2</c:v>
                </c:pt>
                <c:pt idx="347">
                  <c:v>6.9697147475577703E-2</c:v>
                </c:pt>
                <c:pt idx="348">
                  <c:v>-2.21245868249496E-2</c:v>
                </c:pt>
                <c:pt idx="349">
                  <c:v>-0.12673006308319301</c:v>
                </c:pt>
                <c:pt idx="350">
                  <c:v>-0.102868976833019</c:v>
                </c:pt>
                <c:pt idx="351">
                  <c:v>0.154312407065126</c:v>
                </c:pt>
                <c:pt idx="352">
                  <c:v>0.121656899337311</c:v>
                </c:pt>
                <c:pt idx="353">
                  <c:v>-1.9769885689852598E-3</c:v>
                </c:pt>
                <c:pt idx="354">
                  <c:v>-0.128944425769453</c:v>
                </c:pt>
                <c:pt idx="355">
                  <c:v>5.0348026766012501E-2</c:v>
                </c:pt>
                <c:pt idx="356">
                  <c:v>-0.16945439832183201</c:v>
                </c:pt>
                <c:pt idx="357">
                  <c:v>-0.17746453797786799</c:v>
                </c:pt>
                <c:pt idx="358">
                  <c:v>-0.187089965842756</c:v>
                </c:pt>
                <c:pt idx="359">
                  <c:v>9.4397271839921401E-2</c:v>
                </c:pt>
                <c:pt idx="360">
                  <c:v>-2.29207933129187E-2</c:v>
                </c:pt>
                <c:pt idx="361">
                  <c:v>8.2515508979513694E-2</c:v>
                </c:pt>
                <c:pt idx="362">
                  <c:v>0.149925814776247</c:v>
                </c:pt>
                <c:pt idx="363">
                  <c:v>-0.124182524694554</c:v>
                </c:pt>
                <c:pt idx="364">
                  <c:v>-0.19602244005985001</c:v>
                </c:pt>
                <c:pt idx="365">
                  <c:v>0.10690119387189</c:v>
                </c:pt>
                <c:pt idx="366">
                  <c:v>0.169343160348255</c:v>
                </c:pt>
                <c:pt idx="367">
                  <c:v>-0.110588454171514</c:v>
                </c:pt>
                <c:pt idx="368">
                  <c:v>-3.7869810720405503E-2</c:v>
                </c:pt>
                <c:pt idx="369">
                  <c:v>-0.107190739221212</c:v>
                </c:pt>
                <c:pt idx="370">
                  <c:v>8.2358602921483004E-2</c:v>
                </c:pt>
                <c:pt idx="371">
                  <c:v>6.6502723396337201E-3</c:v>
                </c:pt>
                <c:pt idx="372">
                  <c:v>-0.15650190108835399</c:v>
                </c:pt>
                <c:pt idx="373">
                  <c:v>-9.5381857815729401E-2</c:v>
                </c:pt>
                <c:pt idx="374">
                  <c:v>6.4842487826727496E-2</c:v>
                </c:pt>
                <c:pt idx="375">
                  <c:v>5.0001347452093503E-2</c:v>
                </c:pt>
                <c:pt idx="376">
                  <c:v>-5.8343550882036001E-2</c:v>
                </c:pt>
                <c:pt idx="377">
                  <c:v>-0.17996772746061099</c:v>
                </c:pt>
                <c:pt idx="378">
                  <c:v>0.114300776276617</c:v>
                </c:pt>
                <c:pt idx="379">
                  <c:v>-7.5261757165132698E-2</c:v>
                </c:pt>
                <c:pt idx="380">
                  <c:v>-0.145452706406831</c:v>
                </c:pt>
                <c:pt idx="381">
                  <c:v>8.4591873969414699E-2</c:v>
                </c:pt>
                <c:pt idx="382">
                  <c:v>7.3814853883976794E-2</c:v>
                </c:pt>
                <c:pt idx="383">
                  <c:v>0.15568143748719801</c:v>
                </c:pt>
                <c:pt idx="384">
                  <c:v>-0.19681656041113299</c:v>
                </c:pt>
                <c:pt idx="385">
                  <c:v>-1.7052838761181102E-2</c:v>
                </c:pt>
                <c:pt idx="386">
                  <c:v>-4.2779914959574103E-2</c:v>
                </c:pt>
                <c:pt idx="387">
                  <c:v>0.103142305786818</c:v>
                </c:pt>
                <c:pt idx="388">
                  <c:v>0.177652331058402</c:v>
                </c:pt>
                <c:pt idx="389">
                  <c:v>0.16663723912756101</c:v>
                </c:pt>
                <c:pt idx="390">
                  <c:v>5.6443138550216702E-2</c:v>
                </c:pt>
                <c:pt idx="391">
                  <c:v>3.2535606516845297E-2</c:v>
                </c:pt>
                <c:pt idx="392">
                  <c:v>9.4412227208962696E-2</c:v>
                </c:pt>
                <c:pt idx="393">
                  <c:v>-0.14287808021787801</c:v>
                </c:pt>
                <c:pt idx="394">
                  <c:v>-1.8599552206008601E-2</c:v>
                </c:pt>
                <c:pt idx="395">
                  <c:v>3.6029164875702102E-3</c:v>
                </c:pt>
                <c:pt idx="396">
                  <c:v>1.7882783958721199E-2</c:v>
                </c:pt>
                <c:pt idx="397">
                  <c:v>7.43973488624146E-2</c:v>
                </c:pt>
                <c:pt idx="398">
                  <c:v>4.9220623665622902E-2</c:v>
                </c:pt>
                <c:pt idx="399">
                  <c:v>-0.18096535337102199</c:v>
                </c:pt>
                <c:pt idx="400">
                  <c:v>-5.5574604813278198E-3</c:v>
                </c:pt>
                <c:pt idx="401">
                  <c:v>-1.11721400037168E-3</c:v>
                </c:pt>
                <c:pt idx="402">
                  <c:v>-0.15120853962917499</c:v>
                </c:pt>
                <c:pt idx="403">
                  <c:v>-6.9635757098698197E-3</c:v>
                </c:pt>
                <c:pt idx="404">
                  <c:v>8.5475469260610504E-2</c:v>
                </c:pt>
                <c:pt idx="405">
                  <c:v>9.81423284520275E-2</c:v>
                </c:pt>
                <c:pt idx="406">
                  <c:v>-0.19254553772921701</c:v>
                </c:pt>
                <c:pt idx="407">
                  <c:v>-9.3870483053756795E-2</c:v>
                </c:pt>
                <c:pt idx="408">
                  <c:v>-0.117746003030302</c:v>
                </c:pt>
                <c:pt idx="409">
                  <c:v>5.0364798252987598E-2</c:v>
                </c:pt>
                <c:pt idx="410">
                  <c:v>9.6274932197276397E-2</c:v>
                </c:pt>
                <c:pt idx="411">
                  <c:v>-7.2211555744552E-2</c:v>
                </c:pt>
                <c:pt idx="412">
                  <c:v>-3.3225134677104098E-2</c:v>
                </c:pt>
                <c:pt idx="413">
                  <c:v>0.19204917094131299</c:v>
                </c:pt>
                <c:pt idx="414">
                  <c:v>0.195603075000848</c:v>
                </c:pt>
                <c:pt idx="415">
                  <c:v>-0.120932124125742</c:v>
                </c:pt>
                <c:pt idx="416">
                  <c:v>-6.5384269546882798E-2</c:v>
                </c:pt>
                <c:pt idx="417">
                  <c:v>6.30262849281501E-2</c:v>
                </c:pt>
                <c:pt idx="418">
                  <c:v>8.1846861014238607E-3</c:v>
                </c:pt>
                <c:pt idx="419">
                  <c:v>-0.165896832196963</c:v>
                </c:pt>
                <c:pt idx="420">
                  <c:v>-0.18707950884673499</c:v>
                </c:pt>
                <c:pt idx="421">
                  <c:v>-7.0723597748246603E-2</c:v>
                </c:pt>
                <c:pt idx="422">
                  <c:v>3.8069401656278902E-2</c:v>
                </c:pt>
                <c:pt idx="423">
                  <c:v>3.3233576910944501E-2</c:v>
                </c:pt>
                <c:pt idx="424">
                  <c:v>-0.173512494779583</c:v>
                </c:pt>
                <c:pt idx="425">
                  <c:v>6.7999989314608406E-2</c:v>
                </c:pt>
                <c:pt idx="426">
                  <c:v>8.0485714400485797E-2</c:v>
                </c:pt>
                <c:pt idx="427">
                  <c:v>-1.7006837257912698E-2</c:v>
                </c:pt>
                <c:pt idx="428">
                  <c:v>4.0225213242859E-2</c:v>
                </c:pt>
                <c:pt idx="429">
                  <c:v>-0.110695673632678</c:v>
                </c:pt>
                <c:pt idx="430">
                  <c:v>8.4975428960631302E-2</c:v>
                </c:pt>
                <c:pt idx="431">
                  <c:v>-6.7314560451796096E-2</c:v>
                </c:pt>
                <c:pt idx="432">
                  <c:v>4.9931677238599002E-2</c:v>
                </c:pt>
                <c:pt idx="433">
                  <c:v>-0.100715645295059</c:v>
                </c:pt>
                <c:pt idx="434">
                  <c:v>0.19443893357877001</c:v>
                </c:pt>
                <c:pt idx="435">
                  <c:v>-7.5190863151826604E-2</c:v>
                </c:pt>
                <c:pt idx="436">
                  <c:v>0.19353982257587701</c:v>
                </c:pt>
                <c:pt idx="437">
                  <c:v>-0.17270866784278999</c:v>
                </c:pt>
                <c:pt idx="438">
                  <c:v>-5.6558194617997E-2</c:v>
                </c:pt>
                <c:pt idx="439">
                  <c:v>-0.15081087355549699</c:v>
                </c:pt>
                <c:pt idx="440">
                  <c:v>0.13826963488705299</c:v>
                </c:pt>
                <c:pt idx="441">
                  <c:v>0.154359231563935</c:v>
                </c:pt>
                <c:pt idx="442">
                  <c:v>0.133923353080597</c:v>
                </c:pt>
                <c:pt idx="443">
                  <c:v>-0.106115446438799</c:v>
                </c:pt>
                <c:pt idx="444">
                  <c:v>4.85754400988773E-2</c:v>
                </c:pt>
                <c:pt idx="445">
                  <c:v>-3.48112228748531E-4</c:v>
                </c:pt>
                <c:pt idx="446">
                  <c:v>-0.188313125081779</c:v>
                </c:pt>
                <c:pt idx="447">
                  <c:v>0.11242756354604</c:v>
                </c:pt>
                <c:pt idx="448">
                  <c:v>-0.114065108346946</c:v>
                </c:pt>
                <c:pt idx="449">
                  <c:v>-0.11558274213007901</c:v>
                </c:pt>
                <c:pt idx="450">
                  <c:v>-6.3024946421141703E-2</c:v>
                </c:pt>
                <c:pt idx="451">
                  <c:v>-0.105790289579378</c:v>
                </c:pt>
                <c:pt idx="452">
                  <c:v>7.7721048841003698E-2</c:v>
                </c:pt>
                <c:pt idx="453">
                  <c:v>8.8244016382085705E-2</c:v>
                </c:pt>
                <c:pt idx="454">
                  <c:v>-0.104510964181715</c:v>
                </c:pt>
                <c:pt idx="455">
                  <c:v>1.30181747871006E-2</c:v>
                </c:pt>
                <c:pt idx="456">
                  <c:v>-8.7797963487981995E-2</c:v>
                </c:pt>
                <c:pt idx="457">
                  <c:v>-0.112379141461818</c:v>
                </c:pt>
                <c:pt idx="458">
                  <c:v>6.5625410272394602E-2</c:v>
                </c:pt>
                <c:pt idx="459">
                  <c:v>1.0431907552163999E-2</c:v>
                </c:pt>
                <c:pt idx="460">
                  <c:v>9.3086145957380004E-2</c:v>
                </c:pt>
                <c:pt idx="461">
                  <c:v>-0.162495192049287</c:v>
                </c:pt>
                <c:pt idx="462">
                  <c:v>0.12045082383726299</c:v>
                </c:pt>
                <c:pt idx="463">
                  <c:v>0.18656587714536901</c:v>
                </c:pt>
                <c:pt idx="464">
                  <c:v>0.168228082730668</c:v>
                </c:pt>
                <c:pt idx="465">
                  <c:v>-6.8902955504866401E-2</c:v>
                </c:pt>
                <c:pt idx="466">
                  <c:v>1.48289742226706E-3</c:v>
                </c:pt>
                <c:pt idx="467">
                  <c:v>9.0366475644836602E-2</c:v>
                </c:pt>
                <c:pt idx="468">
                  <c:v>-9.7665381440149704E-2</c:v>
                </c:pt>
                <c:pt idx="469">
                  <c:v>-3.7471481844530301E-2</c:v>
                </c:pt>
                <c:pt idx="470">
                  <c:v>0.19545350657688801</c:v>
                </c:pt>
                <c:pt idx="471">
                  <c:v>-0.104593129931004</c:v>
                </c:pt>
                <c:pt idx="472">
                  <c:v>0.17542189469754199</c:v>
                </c:pt>
                <c:pt idx="473">
                  <c:v>3.7779058203804501E-4</c:v>
                </c:pt>
                <c:pt idx="474">
                  <c:v>-5.8372960593337297E-2</c:v>
                </c:pt>
                <c:pt idx="475">
                  <c:v>-0.10310421099040799</c:v>
                </c:pt>
                <c:pt idx="476">
                  <c:v>4.01872389860638E-2</c:v>
                </c:pt>
                <c:pt idx="477">
                  <c:v>1.8280426696596401E-2</c:v>
                </c:pt>
                <c:pt idx="478">
                  <c:v>-0.16203580759067199</c:v>
                </c:pt>
                <c:pt idx="479">
                  <c:v>-4.0693176766245502E-2</c:v>
                </c:pt>
                <c:pt idx="480">
                  <c:v>4.4498995346039301E-2</c:v>
                </c:pt>
                <c:pt idx="481">
                  <c:v>6.3334236268156194E-2</c:v>
                </c:pt>
                <c:pt idx="482">
                  <c:v>-0.178971258025968</c:v>
                </c:pt>
                <c:pt idx="483">
                  <c:v>7.39163081067674E-2</c:v>
                </c:pt>
                <c:pt idx="484">
                  <c:v>-0.10672790319462901</c:v>
                </c:pt>
                <c:pt idx="485">
                  <c:v>-2.0272695163121999E-2</c:v>
                </c:pt>
                <c:pt idx="486">
                  <c:v>-0.16183579364833101</c:v>
                </c:pt>
                <c:pt idx="487">
                  <c:v>0.18189863807232301</c:v>
                </c:pt>
                <c:pt idx="488">
                  <c:v>4.3675518077968899E-2</c:v>
                </c:pt>
                <c:pt idx="489">
                  <c:v>0.17326493374777799</c:v>
                </c:pt>
                <c:pt idx="490">
                  <c:v>-0.12750433693896199</c:v>
                </c:pt>
                <c:pt idx="491">
                  <c:v>-0.16244791692121699</c:v>
                </c:pt>
                <c:pt idx="492">
                  <c:v>0.10639304915959</c:v>
                </c:pt>
                <c:pt idx="493">
                  <c:v>0.18751567856850901</c:v>
                </c:pt>
                <c:pt idx="494">
                  <c:v>-0.115458267013854</c:v>
                </c:pt>
                <c:pt idx="495">
                  <c:v>-3.5115407329791501E-2</c:v>
                </c:pt>
                <c:pt idx="496">
                  <c:v>-0.18304739303009299</c:v>
                </c:pt>
                <c:pt idx="497">
                  <c:v>-3.5474392212662798E-2</c:v>
                </c:pt>
                <c:pt idx="498">
                  <c:v>-9.8858601902948207E-2</c:v>
                </c:pt>
                <c:pt idx="499">
                  <c:v>-2.8767152641639101E-3</c:v>
                </c:pt>
                <c:pt idx="500">
                  <c:v>-0.19556139328734101</c:v>
                </c:pt>
                <c:pt idx="501">
                  <c:v>-0.15376098279061501</c:v>
                </c:pt>
                <c:pt idx="502">
                  <c:v>-0.178339820445828</c:v>
                </c:pt>
                <c:pt idx="503">
                  <c:v>0.17857650014908599</c:v>
                </c:pt>
                <c:pt idx="504">
                  <c:v>0.16860036701991701</c:v>
                </c:pt>
                <c:pt idx="505">
                  <c:v>1.7905422102130499E-2</c:v>
                </c:pt>
                <c:pt idx="506">
                  <c:v>-0.130259268400193</c:v>
                </c:pt>
                <c:pt idx="507">
                  <c:v>-1.92925699645515E-2</c:v>
                </c:pt>
                <c:pt idx="508">
                  <c:v>2.3723481487241401E-2</c:v>
                </c:pt>
                <c:pt idx="509">
                  <c:v>-0.117542782489408</c:v>
                </c:pt>
                <c:pt idx="510">
                  <c:v>-0.14018191506531</c:v>
                </c:pt>
                <c:pt idx="511">
                  <c:v>3.46409063301003E-2</c:v>
                </c:pt>
                <c:pt idx="512">
                  <c:v>0.11527873929348401</c:v>
                </c:pt>
                <c:pt idx="513">
                  <c:v>1.6782237721212401E-2</c:v>
                </c:pt>
                <c:pt idx="514">
                  <c:v>0.162562371245556</c:v>
                </c:pt>
                <c:pt idx="515">
                  <c:v>6.2175285871030397E-2</c:v>
                </c:pt>
                <c:pt idx="516">
                  <c:v>9.4284875575766397E-2</c:v>
                </c:pt>
                <c:pt idx="517">
                  <c:v>0.15383974062639599</c:v>
                </c:pt>
                <c:pt idx="518">
                  <c:v>-6.8430669438679106E-2</c:v>
                </c:pt>
                <c:pt idx="519">
                  <c:v>8.1990646205911594E-2</c:v>
                </c:pt>
                <c:pt idx="520">
                  <c:v>-7.1526017532961506E-2</c:v>
                </c:pt>
                <c:pt idx="521">
                  <c:v>-0.119532866224873</c:v>
                </c:pt>
                <c:pt idx="522">
                  <c:v>-0.10982408954525399</c:v>
                </c:pt>
                <c:pt idx="523">
                  <c:v>7.7201083191767203E-2</c:v>
                </c:pt>
                <c:pt idx="524">
                  <c:v>6.6548227327640702E-3</c:v>
                </c:pt>
                <c:pt idx="525">
                  <c:v>-0.17236053605846699</c:v>
                </c:pt>
                <c:pt idx="526">
                  <c:v>-0.14110577911311101</c:v>
                </c:pt>
                <c:pt idx="527">
                  <c:v>5.7207074062508398E-2</c:v>
                </c:pt>
                <c:pt idx="528">
                  <c:v>2.9128712896430001E-2</c:v>
                </c:pt>
                <c:pt idx="529">
                  <c:v>0.11999044037731001</c:v>
                </c:pt>
                <c:pt idx="530">
                  <c:v>-0.145194476771107</c:v>
                </c:pt>
                <c:pt idx="531">
                  <c:v>-7.6171960812238898E-2</c:v>
                </c:pt>
                <c:pt idx="532">
                  <c:v>-9.2470095211140496E-2</c:v>
                </c:pt>
                <c:pt idx="533">
                  <c:v>-0.19101996005906299</c:v>
                </c:pt>
                <c:pt idx="534">
                  <c:v>-0.130248724278238</c:v>
                </c:pt>
                <c:pt idx="535">
                  <c:v>-6.8759958220640904E-2</c:v>
                </c:pt>
                <c:pt idx="536">
                  <c:v>-1.8780744948627599E-2</c:v>
                </c:pt>
                <c:pt idx="537">
                  <c:v>-4.1938284742664499E-2</c:v>
                </c:pt>
                <c:pt idx="538">
                  <c:v>6.4733486215767605E-2</c:v>
                </c:pt>
                <c:pt idx="539">
                  <c:v>0.16335971253248199</c:v>
                </c:pt>
                <c:pt idx="540">
                  <c:v>1.54669551502598E-2</c:v>
                </c:pt>
                <c:pt idx="541">
                  <c:v>-8.0388984753131706E-2</c:v>
                </c:pt>
                <c:pt idx="542">
                  <c:v>0.19842787079876301</c:v>
                </c:pt>
                <c:pt idx="543">
                  <c:v>7.7088153898689504E-2</c:v>
                </c:pt>
                <c:pt idx="544">
                  <c:v>0.152331073512561</c:v>
                </c:pt>
                <c:pt idx="545">
                  <c:v>0.13430188197807599</c:v>
                </c:pt>
                <c:pt idx="546">
                  <c:v>-0.133956131030225</c:v>
                </c:pt>
                <c:pt idx="547">
                  <c:v>-8.5496007240392399E-2</c:v>
                </c:pt>
                <c:pt idx="548">
                  <c:v>-0.17165156340464</c:v>
                </c:pt>
                <c:pt idx="549">
                  <c:v>0.170102527514397</c:v>
                </c:pt>
                <c:pt idx="550">
                  <c:v>-9.5091937322573594E-2</c:v>
                </c:pt>
                <c:pt idx="551">
                  <c:v>0.16661909736345601</c:v>
                </c:pt>
                <c:pt idx="552">
                  <c:v>0.178364570024239</c:v>
                </c:pt>
                <c:pt idx="553">
                  <c:v>-6.7812602972459807E-2</c:v>
                </c:pt>
                <c:pt idx="554">
                  <c:v>0.17938974554981901</c:v>
                </c:pt>
                <c:pt idx="555">
                  <c:v>-0.120396339136127</c:v>
                </c:pt>
                <c:pt idx="556">
                  <c:v>1.25682347258047E-2</c:v>
                </c:pt>
                <c:pt idx="557">
                  <c:v>0.16973941415499599</c:v>
                </c:pt>
                <c:pt idx="558">
                  <c:v>-0.13075377009039699</c:v>
                </c:pt>
                <c:pt idx="559">
                  <c:v>1.6813975477229699E-2</c:v>
                </c:pt>
                <c:pt idx="560">
                  <c:v>-3.8793525247475702E-2</c:v>
                </c:pt>
                <c:pt idx="561">
                  <c:v>-0.107248482497178</c:v>
                </c:pt>
                <c:pt idx="562">
                  <c:v>-4.16162736631948E-2</c:v>
                </c:pt>
                <c:pt idx="563">
                  <c:v>-0.16489320902125801</c:v>
                </c:pt>
                <c:pt idx="564">
                  <c:v>0.121589792913026</c:v>
                </c:pt>
                <c:pt idx="565">
                  <c:v>-7.0398232480748807E-2</c:v>
                </c:pt>
                <c:pt idx="566">
                  <c:v>-0.182298444095079</c:v>
                </c:pt>
                <c:pt idx="567">
                  <c:v>-7.0964018982944702E-2</c:v>
                </c:pt>
                <c:pt idx="568">
                  <c:v>-0.11094120153473699</c:v>
                </c:pt>
                <c:pt idx="569">
                  <c:v>2.6014118429986199E-2</c:v>
                </c:pt>
                <c:pt idx="570">
                  <c:v>-3.22497958180784E-3</c:v>
                </c:pt>
                <c:pt idx="571">
                  <c:v>1.2444209326943401E-2</c:v>
                </c:pt>
                <c:pt idx="572">
                  <c:v>0.19949545988447001</c:v>
                </c:pt>
                <c:pt idx="573">
                  <c:v>-9.7052957629559303E-2</c:v>
                </c:pt>
                <c:pt idx="574">
                  <c:v>6.3183825933610296E-3</c:v>
                </c:pt>
                <c:pt idx="575">
                  <c:v>-0.14697496594152301</c:v>
                </c:pt>
                <c:pt idx="576">
                  <c:v>4.9284542411286896E-3</c:v>
                </c:pt>
                <c:pt idx="577">
                  <c:v>-1.94708872880155E-2</c:v>
                </c:pt>
                <c:pt idx="578">
                  <c:v>-0.122023332348786</c:v>
                </c:pt>
                <c:pt idx="579">
                  <c:v>9.6472122761388404E-2</c:v>
                </c:pt>
                <c:pt idx="580">
                  <c:v>-0.154235178829665</c:v>
                </c:pt>
                <c:pt idx="581">
                  <c:v>6.2907195498565398E-3</c:v>
                </c:pt>
                <c:pt idx="582">
                  <c:v>-0.101422936063029</c:v>
                </c:pt>
                <c:pt idx="583">
                  <c:v>-1.6800351476513199E-2</c:v>
                </c:pt>
                <c:pt idx="584">
                  <c:v>-1.00882309974447E-2</c:v>
                </c:pt>
                <c:pt idx="585">
                  <c:v>0.198563220042654</c:v>
                </c:pt>
                <c:pt idx="586">
                  <c:v>-5.33022126753857E-2</c:v>
                </c:pt>
                <c:pt idx="587">
                  <c:v>-5.0978428654555E-2</c:v>
                </c:pt>
                <c:pt idx="588">
                  <c:v>-4.0967384810146203E-2</c:v>
                </c:pt>
                <c:pt idx="589">
                  <c:v>-3.4773207418310699E-2</c:v>
                </c:pt>
                <c:pt idx="590">
                  <c:v>0.186621618586225</c:v>
                </c:pt>
                <c:pt idx="591">
                  <c:v>-1.34622930956926E-2</c:v>
                </c:pt>
                <c:pt idx="592">
                  <c:v>0.18666578390403801</c:v>
                </c:pt>
                <c:pt idx="593">
                  <c:v>0.19848602359649101</c:v>
                </c:pt>
                <c:pt idx="594">
                  <c:v>0.18258768164964401</c:v>
                </c:pt>
                <c:pt idx="595">
                  <c:v>-1.5378042946097899E-2</c:v>
                </c:pt>
                <c:pt idx="596">
                  <c:v>-2.29592708436442E-2</c:v>
                </c:pt>
                <c:pt idx="597">
                  <c:v>0.16456026225173001</c:v>
                </c:pt>
                <c:pt idx="598">
                  <c:v>1.5229910344509301E-2</c:v>
                </c:pt>
                <c:pt idx="599">
                  <c:v>-4.5814270057123699E-2</c:v>
                </c:pt>
                <c:pt idx="600">
                  <c:v>0.131081136902885</c:v>
                </c:pt>
                <c:pt idx="601">
                  <c:v>-0.17443690868688</c:v>
                </c:pt>
                <c:pt idx="602">
                  <c:v>4.7658776264300901E-2</c:v>
                </c:pt>
                <c:pt idx="603">
                  <c:v>-1.6565295503898399E-2</c:v>
                </c:pt>
                <c:pt idx="604">
                  <c:v>7.1652160304461601E-2</c:v>
                </c:pt>
                <c:pt idx="605">
                  <c:v>0.16023621558066101</c:v>
                </c:pt>
                <c:pt idx="606">
                  <c:v>0.170112815162488</c:v>
                </c:pt>
                <c:pt idx="607">
                  <c:v>0.154348615093342</c:v>
                </c:pt>
                <c:pt idx="608">
                  <c:v>-0.11183443121089499</c:v>
                </c:pt>
                <c:pt idx="609">
                  <c:v>4.7126019447298703E-2</c:v>
                </c:pt>
                <c:pt idx="610">
                  <c:v>5.0929456966020102E-3</c:v>
                </c:pt>
                <c:pt idx="611">
                  <c:v>-6.55587501800175E-2</c:v>
                </c:pt>
                <c:pt idx="612">
                  <c:v>-4.0842519429768902E-2</c:v>
                </c:pt>
                <c:pt idx="613">
                  <c:v>0.14566045832872901</c:v>
                </c:pt>
                <c:pt idx="614">
                  <c:v>-0.108161221108708</c:v>
                </c:pt>
                <c:pt idx="615">
                  <c:v>9.4778740876715006E-2</c:v>
                </c:pt>
                <c:pt idx="616">
                  <c:v>1.9213001553115099E-2</c:v>
                </c:pt>
                <c:pt idx="617">
                  <c:v>-0.18190378298250301</c:v>
                </c:pt>
                <c:pt idx="618">
                  <c:v>0.15080281694959299</c:v>
                </c:pt>
                <c:pt idx="619">
                  <c:v>-5.5042767357783101E-2</c:v>
                </c:pt>
                <c:pt idx="620">
                  <c:v>1.19733906091243E-2</c:v>
                </c:pt>
                <c:pt idx="621">
                  <c:v>0.16931455783010199</c:v>
                </c:pt>
                <c:pt idx="622">
                  <c:v>0.10617308862243199</c:v>
                </c:pt>
                <c:pt idx="623">
                  <c:v>0.17539145925829899</c:v>
                </c:pt>
                <c:pt idx="624">
                  <c:v>-0.112432470312106</c:v>
                </c:pt>
                <c:pt idx="625">
                  <c:v>-0.14271050056491</c:v>
                </c:pt>
                <c:pt idx="626">
                  <c:v>1.5302699822666599E-2</c:v>
                </c:pt>
                <c:pt idx="627">
                  <c:v>2.60432392635901E-2</c:v>
                </c:pt>
                <c:pt idx="628">
                  <c:v>-2.45765830203497E-2</c:v>
                </c:pt>
                <c:pt idx="629">
                  <c:v>-0.15972425135402499</c:v>
                </c:pt>
                <c:pt idx="630">
                  <c:v>-0.166495722315425</c:v>
                </c:pt>
                <c:pt idx="631">
                  <c:v>-8.3155649868804193E-2</c:v>
                </c:pt>
                <c:pt idx="632">
                  <c:v>-0.17350350253280999</c:v>
                </c:pt>
                <c:pt idx="633">
                  <c:v>0.14502780476077201</c:v>
                </c:pt>
                <c:pt idx="634">
                  <c:v>-0.11800360411899199</c:v>
                </c:pt>
                <c:pt idx="635">
                  <c:v>0.13205924570177399</c:v>
                </c:pt>
                <c:pt idx="636">
                  <c:v>-3.6341409485661898E-2</c:v>
                </c:pt>
                <c:pt idx="637">
                  <c:v>0.19788427546353701</c:v>
                </c:pt>
                <c:pt idx="638">
                  <c:v>0.19632618654616299</c:v>
                </c:pt>
                <c:pt idx="639">
                  <c:v>1.7647613175243802E-2</c:v>
                </c:pt>
                <c:pt idx="640">
                  <c:v>3.5790797808632598E-2</c:v>
                </c:pt>
                <c:pt idx="641">
                  <c:v>-0.105779207959696</c:v>
                </c:pt>
                <c:pt idx="642">
                  <c:v>-0.13285819950368399</c:v>
                </c:pt>
                <c:pt idx="643">
                  <c:v>1.6083430668407599E-2</c:v>
                </c:pt>
                <c:pt idx="644">
                  <c:v>-0.105264926579278</c:v>
                </c:pt>
                <c:pt idx="645">
                  <c:v>8.89397768690149E-2</c:v>
                </c:pt>
                <c:pt idx="646">
                  <c:v>9.7518961202776505E-2</c:v>
                </c:pt>
                <c:pt idx="647">
                  <c:v>-1.1705823441005E-2</c:v>
                </c:pt>
                <c:pt idx="648">
                  <c:v>0.15489631936315301</c:v>
                </c:pt>
                <c:pt idx="649">
                  <c:v>3.6289036610130998E-2</c:v>
                </c:pt>
                <c:pt idx="650">
                  <c:v>0.13764609885326401</c:v>
                </c:pt>
                <c:pt idx="651">
                  <c:v>-0.115334951024056</c:v>
                </c:pt>
                <c:pt idx="652">
                  <c:v>-0.19836836613903</c:v>
                </c:pt>
                <c:pt idx="653">
                  <c:v>-0.14595486720897</c:v>
                </c:pt>
                <c:pt idx="654">
                  <c:v>5.7945910425615303E-2</c:v>
                </c:pt>
                <c:pt idx="655">
                  <c:v>-0.18239546005723001</c:v>
                </c:pt>
                <c:pt idx="656">
                  <c:v>4.0050167088725601E-2</c:v>
                </c:pt>
                <c:pt idx="657">
                  <c:v>0.16206568068090399</c:v>
                </c:pt>
                <c:pt idx="658">
                  <c:v>5.6586847043673401E-2</c:v>
                </c:pt>
                <c:pt idx="659">
                  <c:v>2.8413711454745898E-2</c:v>
                </c:pt>
                <c:pt idx="660">
                  <c:v>-0.122408510729743</c:v>
                </c:pt>
                <c:pt idx="661">
                  <c:v>0.11474248516888499</c:v>
                </c:pt>
                <c:pt idx="662">
                  <c:v>0.117650701928427</c:v>
                </c:pt>
                <c:pt idx="663">
                  <c:v>-2.0908585903166601E-2</c:v>
                </c:pt>
                <c:pt idx="664">
                  <c:v>9.4525969791668496E-2</c:v>
                </c:pt>
                <c:pt idx="665">
                  <c:v>0.167332417629032</c:v>
                </c:pt>
                <c:pt idx="666">
                  <c:v>0.15940619367254999</c:v>
                </c:pt>
                <c:pt idx="667">
                  <c:v>8.4025021520885798E-2</c:v>
                </c:pt>
                <c:pt idx="668">
                  <c:v>8.7897216858602106E-2</c:v>
                </c:pt>
                <c:pt idx="669">
                  <c:v>-2.4545014865986599E-2</c:v>
                </c:pt>
                <c:pt idx="670">
                  <c:v>0.18853224471869801</c:v>
                </c:pt>
                <c:pt idx="671">
                  <c:v>7.7007771362613706E-2</c:v>
                </c:pt>
                <c:pt idx="672">
                  <c:v>-1.9545677526161102E-2</c:v>
                </c:pt>
                <c:pt idx="673">
                  <c:v>5.8522908024093703E-3</c:v>
                </c:pt>
                <c:pt idx="674">
                  <c:v>-0.14811557183364801</c:v>
                </c:pt>
                <c:pt idx="675">
                  <c:v>0.10671264116448199</c:v>
                </c:pt>
                <c:pt idx="676">
                  <c:v>3.87063694035348E-2</c:v>
                </c:pt>
                <c:pt idx="677">
                  <c:v>0.167092740813018</c:v>
                </c:pt>
                <c:pt idx="678">
                  <c:v>-1.18801055773343E-2</c:v>
                </c:pt>
                <c:pt idx="679">
                  <c:v>-2.19423557123406E-2</c:v>
                </c:pt>
                <c:pt idx="680">
                  <c:v>7.10734211618721E-3</c:v>
                </c:pt>
                <c:pt idx="681">
                  <c:v>0.160653929369443</c:v>
                </c:pt>
                <c:pt idx="682">
                  <c:v>-5.8282650263589697E-2</c:v>
                </c:pt>
                <c:pt idx="683">
                  <c:v>0.136220816085242</c:v>
                </c:pt>
                <c:pt idx="684">
                  <c:v>0.11579798299010401</c:v>
                </c:pt>
                <c:pt idx="685">
                  <c:v>0.179638192962146</c:v>
                </c:pt>
                <c:pt idx="686">
                  <c:v>-3.86870242362422E-2</c:v>
                </c:pt>
                <c:pt idx="687">
                  <c:v>0.15402205320805101</c:v>
                </c:pt>
                <c:pt idx="688">
                  <c:v>4.0190942219670497E-2</c:v>
                </c:pt>
                <c:pt idx="689">
                  <c:v>0.168910236981589</c:v>
                </c:pt>
                <c:pt idx="690">
                  <c:v>-0.12751371679768</c:v>
                </c:pt>
                <c:pt idx="691">
                  <c:v>-0.18090458202962501</c:v>
                </c:pt>
                <c:pt idx="692">
                  <c:v>-3.4584711693663797E-2</c:v>
                </c:pt>
                <c:pt idx="693">
                  <c:v>-0.18671164209282401</c:v>
                </c:pt>
                <c:pt idx="694">
                  <c:v>8.8659557449126694E-2</c:v>
                </c:pt>
                <c:pt idx="695">
                  <c:v>7.2768019720049704E-2</c:v>
                </c:pt>
                <c:pt idx="696">
                  <c:v>8.7628990055746703E-2</c:v>
                </c:pt>
                <c:pt idx="697">
                  <c:v>1.5944143462046E-2</c:v>
                </c:pt>
                <c:pt idx="698">
                  <c:v>6.08420395453584E-3</c:v>
                </c:pt>
                <c:pt idx="699">
                  <c:v>-8.66117001313087E-2</c:v>
                </c:pt>
                <c:pt idx="700">
                  <c:v>-2.2470206516139801E-2</c:v>
                </c:pt>
                <c:pt idx="701">
                  <c:v>3.1993093977030297E-2</c:v>
                </c:pt>
                <c:pt idx="702">
                  <c:v>5.7022566621159398E-2</c:v>
                </c:pt>
                <c:pt idx="703">
                  <c:v>0.17318457005207799</c:v>
                </c:pt>
                <c:pt idx="704">
                  <c:v>0.164533335569401</c:v>
                </c:pt>
                <c:pt idx="705">
                  <c:v>-0.16002035032112299</c:v>
                </c:pt>
                <c:pt idx="706">
                  <c:v>5.7048238975200199E-2</c:v>
                </c:pt>
                <c:pt idx="707">
                  <c:v>1.6571386536127299E-2</c:v>
                </c:pt>
                <c:pt idx="708">
                  <c:v>0.18770663256470099</c:v>
                </c:pt>
                <c:pt idx="709">
                  <c:v>-7.8047704836045298E-2</c:v>
                </c:pt>
                <c:pt idx="710">
                  <c:v>-0.192914217253006</c:v>
                </c:pt>
                <c:pt idx="711">
                  <c:v>-0.16440175476209801</c:v>
                </c:pt>
                <c:pt idx="712">
                  <c:v>0.134256660862036</c:v>
                </c:pt>
                <c:pt idx="713">
                  <c:v>-4.1124059300682601E-2</c:v>
                </c:pt>
                <c:pt idx="714">
                  <c:v>5.2245803953343203E-2</c:v>
                </c:pt>
                <c:pt idx="715">
                  <c:v>-4.37168639470625E-3</c:v>
                </c:pt>
                <c:pt idx="716">
                  <c:v>9.7609065867292292E-3</c:v>
                </c:pt>
                <c:pt idx="717">
                  <c:v>9.4763558859372293E-2</c:v>
                </c:pt>
                <c:pt idx="718">
                  <c:v>-0.11515472815139199</c:v>
                </c:pt>
                <c:pt idx="719">
                  <c:v>-5.5828303410100297E-2</c:v>
                </c:pt>
                <c:pt idx="720">
                  <c:v>-2.99225977758176E-2</c:v>
                </c:pt>
                <c:pt idx="721">
                  <c:v>5.65766525200075E-2</c:v>
                </c:pt>
                <c:pt idx="722">
                  <c:v>0.19338340236999199</c:v>
                </c:pt>
                <c:pt idx="723">
                  <c:v>4.52086303624709E-2</c:v>
                </c:pt>
                <c:pt idx="724">
                  <c:v>0.174770692588094</c:v>
                </c:pt>
                <c:pt idx="725">
                  <c:v>-0.192613149582195</c:v>
                </c:pt>
                <c:pt idx="726">
                  <c:v>-0.117126155906161</c:v>
                </c:pt>
                <c:pt idx="727">
                  <c:v>-0.15420969239198301</c:v>
                </c:pt>
                <c:pt idx="728">
                  <c:v>-1.6444788090352401E-2</c:v>
                </c:pt>
                <c:pt idx="729">
                  <c:v>-4.0499280001868698E-2</c:v>
                </c:pt>
                <c:pt idx="730">
                  <c:v>-0.110723253163688</c:v>
                </c:pt>
                <c:pt idx="731">
                  <c:v>0.18600860245547199</c:v>
                </c:pt>
                <c:pt idx="732">
                  <c:v>8.0457366349346499E-2</c:v>
                </c:pt>
                <c:pt idx="733">
                  <c:v>7.5514974260064802E-2</c:v>
                </c:pt>
                <c:pt idx="734">
                  <c:v>0.172706718952708</c:v>
                </c:pt>
                <c:pt idx="735">
                  <c:v>8.6659170971851995E-2</c:v>
                </c:pt>
                <c:pt idx="736">
                  <c:v>0.14749276033738601</c:v>
                </c:pt>
                <c:pt idx="737">
                  <c:v>0.151584618773137</c:v>
                </c:pt>
                <c:pt idx="738">
                  <c:v>-0.178681863845327</c:v>
                </c:pt>
                <c:pt idx="739">
                  <c:v>-1.1405673879223499E-2</c:v>
                </c:pt>
                <c:pt idx="740">
                  <c:v>-0.15650710134373</c:v>
                </c:pt>
                <c:pt idx="741">
                  <c:v>2.5913855703890099E-2</c:v>
                </c:pt>
                <c:pt idx="742">
                  <c:v>-0.104361199979752</c:v>
                </c:pt>
                <c:pt idx="743">
                  <c:v>0.16685230312958599</c:v>
                </c:pt>
                <c:pt idx="744">
                  <c:v>4.3062363808518203E-2</c:v>
                </c:pt>
                <c:pt idx="745">
                  <c:v>0.10403320333887101</c:v>
                </c:pt>
                <c:pt idx="746">
                  <c:v>-8.8773815205500803E-2</c:v>
                </c:pt>
                <c:pt idx="747">
                  <c:v>5.6120195530445303E-2</c:v>
                </c:pt>
                <c:pt idx="748">
                  <c:v>-7.2220179582410296E-2</c:v>
                </c:pt>
                <c:pt idx="749">
                  <c:v>-0.12432376326417</c:v>
                </c:pt>
                <c:pt idx="750">
                  <c:v>-0.18586570988217699</c:v>
                </c:pt>
                <c:pt idx="751">
                  <c:v>-9.0431031075748305E-2</c:v>
                </c:pt>
                <c:pt idx="752">
                  <c:v>-0.177767309045752</c:v>
                </c:pt>
                <c:pt idx="753">
                  <c:v>8.5533620269937702E-2</c:v>
                </c:pt>
                <c:pt idx="754">
                  <c:v>-1.2062119091287999E-2</c:v>
                </c:pt>
                <c:pt idx="755">
                  <c:v>3.4987175147482098E-2</c:v>
                </c:pt>
                <c:pt idx="756">
                  <c:v>2.2697904286568399E-2</c:v>
                </c:pt>
                <c:pt idx="757">
                  <c:v>0.108460352108514</c:v>
                </c:pt>
                <c:pt idx="758">
                  <c:v>3.8866007150779203E-2</c:v>
                </c:pt>
                <c:pt idx="759">
                  <c:v>0.17764077539572101</c:v>
                </c:pt>
                <c:pt idx="760">
                  <c:v>-2.69811042051986E-2</c:v>
                </c:pt>
                <c:pt idx="761">
                  <c:v>-6.5542257833583598E-2</c:v>
                </c:pt>
                <c:pt idx="762">
                  <c:v>0.14020634702096901</c:v>
                </c:pt>
                <c:pt idx="763">
                  <c:v>-3.80977214818638E-2</c:v>
                </c:pt>
                <c:pt idx="764">
                  <c:v>9.5870350672643295E-2</c:v>
                </c:pt>
                <c:pt idx="765">
                  <c:v>-7.1563277708615897E-2</c:v>
                </c:pt>
                <c:pt idx="766">
                  <c:v>4.2360187012816297E-2</c:v>
                </c:pt>
                <c:pt idx="767">
                  <c:v>-7.9242306302137994E-2</c:v>
                </c:pt>
                <c:pt idx="768">
                  <c:v>0.180751698769164</c:v>
                </c:pt>
                <c:pt idx="769">
                  <c:v>5.9917619968175302E-2</c:v>
                </c:pt>
                <c:pt idx="770">
                  <c:v>0.165892951675844</c:v>
                </c:pt>
                <c:pt idx="771">
                  <c:v>-0.12749445769053999</c:v>
                </c:pt>
                <c:pt idx="772">
                  <c:v>2.0699585187203901E-2</c:v>
                </c:pt>
                <c:pt idx="773">
                  <c:v>2.0735921893804399E-2</c:v>
                </c:pt>
                <c:pt idx="774">
                  <c:v>-0.19682957885059399</c:v>
                </c:pt>
                <c:pt idx="775">
                  <c:v>-5.8434705799781297E-4</c:v>
                </c:pt>
                <c:pt idx="776">
                  <c:v>-8.8933069561068501E-2</c:v>
                </c:pt>
                <c:pt idx="777">
                  <c:v>5.3883359990410599E-2</c:v>
                </c:pt>
                <c:pt idx="778">
                  <c:v>0.16025766423787899</c:v>
                </c:pt>
                <c:pt idx="779">
                  <c:v>0.10730337945172599</c:v>
                </c:pt>
                <c:pt idx="780">
                  <c:v>-7.4974812736844296E-2</c:v>
                </c:pt>
                <c:pt idx="781">
                  <c:v>1.9152250171275401E-3</c:v>
                </c:pt>
                <c:pt idx="782">
                  <c:v>6.6169407861526499E-3</c:v>
                </c:pt>
                <c:pt idx="783">
                  <c:v>-0.108043963683486</c:v>
                </c:pt>
                <c:pt idx="784">
                  <c:v>5.6439599168412201E-2</c:v>
                </c:pt>
                <c:pt idx="785">
                  <c:v>-0.112722381463643</c:v>
                </c:pt>
                <c:pt idx="786">
                  <c:v>7.5852301093495098E-2</c:v>
                </c:pt>
                <c:pt idx="787">
                  <c:v>-4.64613255803469E-2</c:v>
                </c:pt>
                <c:pt idx="788">
                  <c:v>0.16929402720259301</c:v>
                </c:pt>
                <c:pt idx="789">
                  <c:v>-0.15949525397096101</c:v>
                </c:pt>
                <c:pt idx="790">
                  <c:v>2.7032561593864302E-2</c:v>
                </c:pt>
                <c:pt idx="791">
                  <c:v>0.121549390694453</c:v>
                </c:pt>
                <c:pt idx="792">
                  <c:v>-0.17812944003846001</c:v>
                </c:pt>
                <c:pt idx="793">
                  <c:v>-0.17075899248110499</c:v>
                </c:pt>
                <c:pt idx="794">
                  <c:v>8.4340853580298802E-2</c:v>
                </c:pt>
                <c:pt idx="795">
                  <c:v>0.14539329477630999</c:v>
                </c:pt>
                <c:pt idx="796">
                  <c:v>0.19264712554385</c:v>
                </c:pt>
                <c:pt idx="797">
                  <c:v>-1.7808027150299499E-2</c:v>
                </c:pt>
                <c:pt idx="798">
                  <c:v>7.0715357648162294E-2</c:v>
                </c:pt>
                <c:pt idx="799">
                  <c:v>-0.104195669982178</c:v>
                </c:pt>
                <c:pt idx="800">
                  <c:v>-0.17086239371289699</c:v>
                </c:pt>
                <c:pt idx="801">
                  <c:v>-3.2985555502655899E-3</c:v>
                </c:pt>
                <c:pt idx="802">
                  <c:v>5.24699272330926E-2</c:v>
                </c:pt>
                <c:pt idx="803">
                  <c:v>0.183737295185189</c:v>
                </c:pt>
                <c:pt idx="804">
                  <c:v>0.18150924653893899</c:v>
                </c:pt>
                <c:pt idx="805">
                  <c:v>-3.7578799619260903E-2</c:v>
                </c:pt>
                <c:pt idx="806">
                  <c:v>7.7813715874431394E-2</c:v>
                </c:pt>
                <c:pt idx="807">
                  <c:v>3.2893407299827003E-2</c:v>
                </c:pt>
                <c:pt idx="808">
                  <c:v>3.5629759391823702E-2</c:v>
                </c:pt>
                <c:pt idx="809">
                  <c:v>2.6080709484903899E-2</c:v>
                </c:pt>
                <c:pt idx="810">
                  <c:v>0.153185947365271</c:v>
                </c:pt>
                <c:pt idx="811">
                  <c:v>0.16506963562913801</c:v>
                </c:pt>
                <c:pt idx="812">
                  <c:v>-0.157948138918933</c:v>
                </c:pt>
                <c:pt idx="813">
                  <c:v>-0.113540135636181</c:v>
                </c:pt>
                <c:pt idx="814">
                  <c:v>-0.13532285489109899</c:v>
                </c:pt>
                <c:pt idx="815">
                  <c:v>-3.3963209541559E-2</c:v>
                </c:pt>
                <c:pt idx="816">
                  <c:v>-1.5725413968314599E-2</c:v>
                </c:pt>
                <c:pt idx="817">
                  <c:v>0.14692118904861701</c:v>
                </c:pt>
                <c:pt idx="818">
                  <c:v>-2.1929128176311999E-2</c:v>
                </c:pt>
                <c:pt idx="819">
                  <c:v>0.18898937821432299</c:v>
                </c:pt>
                <c:pt idx="820">
                  <c:v>-0.14772948555665799</c:v>
                </c:pt>
                <c:pt idx="821">
                  <c:v>-5.1158698635764097E-2</c:v>
                </c:pt>
                <c:pt idx="822">
                  <c:v>-0.15506062628119599</c:v>
                </c:pt>
                <c:pt idx="823">
                  <c:v>0.10884760392088701</c:v>
                </c:pt>
                <c:pt idx="824">
                  <c:v>-7.2316879399568403E-3</c:v>
                </c:pt>
                <c:pt idx="825">
                  <c:v>-2.4524979582852501E-2</c:v>
                </c:pt>
                <c:pt idx="826">
                  <c:v>-6.3324923577583398E-3</c:v>
                </c:pt>
                <c:pt idx="827">
                  <c:v>0.18354593811584399</c:v>
                </c:pt>
                <c:pt idx="828">
                  <c:v>0.13744785500966999</c:v>
                </c:pt>
                <c:pt idx="829">
                  <c:v>-0.17716381875725001</c:v>
                </c:pt>
                <c:pt idx="830">
                  <c:v>-0.13634178245033701</c:v>
                </c:pt>
                <c:pt idx="831">
                  <c:v>-8.2872573054685497E-2</c:v>
                </c:pt>
                <c:pt idx="832">
                  <c:v>-8.4137108247700695E-2</c:v>
                </c:pt>
                <c:pt idx="833">
                  <c:v>-0.14487082546998101</c:v>
                </c:pt>
                <c:pt idx="834">
                  <c:v>-0.14554288657213699</c:v>
                </c:pt>
                <c:pt idx="835">
                  <c:v>0.19347060167232399</c:v>
                </c:pt>
                <c:pt idx="836">
                  <c:v>5.2533368354503597E-2</c:v>
                </c:pt>
                <c:pt idx="837">
                  <c:v>-0.139265180237331</c:v>
                </c:pt>
                <c:pt idx="838">
                  <c:v>0.15607561548729801</c:v>
                </c:pt>
                <c:pt idx="839">
                  <c:v>-7.3212942858665794E-2</c:v>
                </c:pt>
                <c:pt idx="840">
                  <c:v>3.6371375510171097E-2</c:v>
                </c:pt>
                <c:pt idx="841">
                  <c:v>-0.18000809430290399</c:v>
                </c:pt>
                <c:pt idx="842">
                  <c:v>0.169422139020935</c:v>
                </c:pt>
                <c:pt idx="843">
                  <c:v>8.1983642963505604E-2</c:v>
                </c:pt>
                <c:pt idx="844">
                  <c:v>3.2344254671694599E-2</c:v>
                </c:pt>
                <c:pt idx="845">
                  <c:v>-1.95396187391653E-2</c:v>
                </c:pt>
                <c:pt idx="846">
                  <c:v>0.18977794332438699</c:v>
                </c:pt>
                <c:pt idx="847">
                  <c:v>0.13336796852427599</c:v>
                </c:pt>
                <c:pt idx="848">
                  <c:v>0.136927157991653</c:v>
                </c:pt>
                <c:pt idx="849">
                  <c:v>-0.19923232600891799</c:v>
                </c:pt>
                <c:pt idx="850">
                  <c:v>-0.16648394710126799</c:v>
                </c:pt>
                <c:pt idx="851">
                  <c:v>-2.03863121178414E-2</c:v>
                </c:pt>
                <c:pt idx="852">
                  <c:v>0.12778548092582201</c:v>
                </c:pt>
                <c:pt idx="853">
                  <c:v>9.5474384498642401E-2</c:v>
                </c:pt>
                <c:pt idx="854">
                  <c:v>-0.12107445574074401</c:v>
                </c:pt>
                <c:pt idx="855">
                  <c:v>-0.14377314913834299</c:v>
                </c:pt>
                <c:pt idx="856">
                  <c:v>0.163599091234718</c:v>
                </c:pt>
                <c:pt idx="857">
                  <c:v>-0.16556469669732099</c:v>
                </c:pt>
                <c:pt idx="858">
                  <c:v>0.11899677245349501</c:v>
                </c:pt>
                <c:pt idx="859">
                  <c:v>-9.2161491320551903E-2</c:v>
                </c:pt>
                <c:pt idx="860">
                  <c:v>0.16061335817163999</c:v>
                </c:pt>
                <c:pt idx="861">
                  <c:v>-1.16235732655613E-2</c:v>
                </c:pt>
                <c:pt idx="862">
                  <c:v>-8.8428318105483295E-2</c:v>
                </c:pt>
                <c:pt idx="863">
                  <c:v>-4.9448667766347999E-3</c:v>
                </c:pt>
                <c:pt idx="864">
                  <c:v>0.11583777179120699</c:v>
                </c:pt>
                <c:pt idx="865">
                  <c:v>-0.15415328107548101</c:v>
                </c:pt>
                <c:pt idx="866">
                  <c:v>9.7548224894291199E-2</c:v>
                </c:pt>
                <c:pt idx="867">
                  <c:v>-8.5057175898736704E-4</c:v>
                </c:pt>
                <c:pt idx="868">
                  <c:v>0.181833373979257</c:v>
                </c:pt>
                <c:pt idx="869">
                  <c:v>6.5119683936173706E-2</c:v>
                </c:pt>
                <c:pt idx="870">
                  <c:v>-1.8482830359618601E-2</c:v>
                </c:pt>
                <c:pt idx="871">
                  <c:v>0.109766072454832</c:v>
                </c:pt>
                <c:pt idx="872">
                  <c:v>0.141448293362716</c:v>
                </c:pt>
                <c:pt idx="873">
                  <c:v>0.14413438444990101</c:v>
                </c:pt>
                <c:pt idx="874">
                  <c:v>0.195114429845925</c:v>
                </c:pt>
                <c:pt idx="875">
                  <c:v>-6.8205108758419203E-2</c:v>
                </c:pt>
                <c:pt idx="876">
                  <c:v>0.19179939053628001</c:v>
                </c:pt>
                <c:pt idx="877">
                  <c:v>3.1516351150191697E-2</c:v>
                </c:pt>
                <c:pt idx="878">
                  <c:v>0.10953232593896001</c:v>
                </c:pt>
                <c:pt idx="879">
                  <c:v>-0.15358602597162599</c:v>
                </c:pt>
                <c:pt idx="880">
                  <c:v>8.3581383230864198E-2</c:v>
                </c:pt>
                <c:pt idx="881">
                  <c:v>1.5822725327327002E-2</c:v>
                </c:pt>
                <c:pt idx="882">
                  <c:v>-3.29667700382111E-2</c:v>
                </c:pt>
                <c:pt idx="883">
                  <c:v>0.10695228588710499</c:v>
                </c:pt>
                <c:pt idx="884">
                  <c:v>-0.17907047048977701</c:v>
                </c:pt>
                <c:pt idx="885">
                  <c:v>0.17736290892347101</c:v>
                </c:pt>
                <c:pt idx="886">
                  <c:v>0.18524347509969399</c:v>
                </c:pt>
                <c:pt idx="887">
                  <c:v>-9.8463542832356601E-2</c:v>
                </c:pt>
                <c:pt idx="888">
                  <c:v>0.149098569853539</c:v>
                </c:pt>
                <c:pt idx="889">
                  <c:v>-1.12114817539262E-2</c:v>
                </c:pt>
                <c:pt idx="890">
                  <c:v>0.148584558871451</c:v>
                </c:pt>
                <c:pt idx="891">
                  <c:v>8.1321756211339996E-2</c:v>
                </c:pt>
                <c:pt idx="892">
                  <c:v>0.152646267108415</c:v>
                </c:pt>
                <c:pt idx="893">
                  <c:v>-2.8751671125279599E-2</c:v>
                </c:pt>
                <c:pt idx="894">
                  <c:v>0.17557972435247099</c:v>
                </c:pt>
                <c:pt idx="895">
                  <c:v>-0.167585601971425</c:v>
                </c:pt>
                <c:pt idx="896">
                  <c:v>-6.8447119200229098E-2</c:v>
                </c:pt>
                <c:pt idx="897">
                  <c:v>0.107037339263684</c:v>
                </c:pt>
                <c:pt idx="898">
                  <c:v>-0.12744291563847901</c:v>
                </c:pt>
                <c:pt idx="899">
                  <c:v>0.180038663926256</c:v>
                </c:pt>
                <c:pt idx="900">
                  <c:v>-5.2600128054469703E-2</c:v>
                </c:pt>
                <c:pt idx="901">
                  <c:v>3.9538957769511399E-2</c:v>
                </c:pt>
                <c:pt idx="902">
                  <c:v>-0.11615050718231799</c:v>
                </c:pt>
                <c:pt idx="903">
                  <c:v>0.11468536649212099</c:v>
                </c:pt>
                <c:pt idx="904">
                  <c:v>0.15824455836001899</c:v>
                </c:pt>
                <c:pt idx="905">
                  <c:v>-1.5578289498610801E-2</c:v>
                </c:pt>
                <c:pt idx="906">
                  <c:v>0.14666658791850901</c:v>
                </c:pt>
                <c:pt idx="907">
                  <c:v>6.4003874202292393E-2</c:v>
                </c:pt>
                <c:pt idx="908">
                  <c:v>-0.18555312366580601</c:v>
                </c:pt>
                <c:pt idx="909">
                  <c:v>-0.101609377505974</c:v>
                </c:pt>
                <c:pt idx="910">
                  <c:v>0.124859725716695</c:v>
                </c:pt>
                <c:pt idx="911">
                  <c:v>0.148421577402885</c:v>
                </c:pt>
                <c:pt idx="912">
                  <c:v>-7.6558140027008503E-2</c:v>
                </c:pt>
                <c:pt idx="913">
                  <c:v>0.16791451880580699</c:v>
                </c:pt>
                <c:pt idx="914">
                  <c:v>-0.19194312170230901</c:v>
                </c:pt>
                <c:pt idx="915">
                  <c:v>2.4286221866704299E-2</c:v>
                </c:pt>
                <c:pt idx="916">
                  <c:v>0.17940763601944801</c:v>
                </c:pt>
                <c:pt idx="917">
                  <c:v>-1.79428227956702E-2</c:v>
                </c:pt>
                <c:pt idx="918">
                  <c:v>-8.0612438137445397E-2</c:v>
                </c:pt>
                <c:pt idx="919">
                  <c:v>-0.196345178092908</c:v>
                </c:pt>
                <c:pt idx="920">
                  <c:v>1.7523129338017598E-2</c:v>
                </c:pt>
                <c:pt idx="921">
                  <c:v>-5.6848784449168001E-2</c:v>
                </c:pt>
                <c:pt idx="922">
                  <c:v>-9.3240927269069407E-2</c:v>
                </c:pt>
                <c:pt idx="923">
                  <c:v>7.4441839987971006E-2</c:v>
                </c:pt>
                <c:pt idx="924">
                  <c:v>-6.8940705276653996E-2</c:v>
                </c:pt>
                <c:pt idx="925">
                  <c:v>8.1163110163519694E-2</c:v>
                </c:pt>
                <c:pt idx="926">
                  <c:v>0.12644630995407599</c:v>
                </c:pt>
                <c:pt idx="927">
                  <c:v>-0.137105731065122</c:v>
                </c:pt>
                <c:pt idx="928">
                  <c:v>0.114787365077925</c:v>
                </c:pt>
                <c:pt idx="929">
                  <c:v>6.26253073762131E-3</c:v>
                </c:pt>
                <c:pt idx="930">
                  <c:v>-5.5648017501856599E-2</c:v>
                </c:pt>
                <c:pt idx="931">
                  <c:v>-0.14690596320440399</c:v>
                </c:pt>
                <c:pt idx="932">
                  <c:v>9.0957941083651003E-2</c:v>
                </c:pt>
                <c:pt idx="933">
                  <c:v>-1.56291026513623E-2</c:v>
                </c:pt>
                <c:pt idx="934">
                  <c:v>-3.2251095291342E-2</c:v>
                </c:pt>
                <c:pt idx="935">
                  <c:v>3.2138559397818997E-2</c:v>
                </c:pt>
                <c:pt idx="936">
                  <c:v>-0.10269038409704399</c:v>
                </c:pt>
                <c:pt idx="937">
                  <c:v>-9.9232387145574402E-3</c:v>
                </c:pt>
                <c:pt idx="938">
                  <c:v>1.28355093570196E-2</c:v>
                </c:pt>
                <c:pt idx="939">
                  <c:v>0.19662248172760399</c:v>
                </c:pt>
                <c:pt idx="940">
                  <c:v>8.5768405714544804E-2</c:v>
                </c:pt>
                <c:pt idx="941">
                  <c:v>-0.102701415549069</c:v>
                </c:pt>
                <c:pt idx="942">
                  <c:v>-0.124364886954262</c:v>
                </c:pt>
                <c:pt idx="943">
                  <c:v>0.16769568188939099</c:v>
                </c:pt>
                <c:pt idx="944">
                  <c:v>2.9466887764750201E-2</c:v>
                </c:pt>
                <c:pt idx="945">
                  <c:v>-9.6594835240170707E-2</c:v>
                </c:pt>
                <c:pt idx="946">
                  <c:v>-0.18686528312485101</c:v>
                </c:pt>
                <c:pt idx="947">
                  <c:v>0.19198774579907399</c:v>
                </c:pt>
                <c:pt idx="948">
                  <c:v>-0.13684486871938201</c:v>
                </c:pt>
                <c:pt idx="949">
                  <c:v>0.19978112622997701</c:v>
                </c:pt>
                <c:pt idx="950">
                  <c:v>0.13906247670490099</c:v>
                </c:pt>
                <c:pt idx="951">
                  <c:v>-0.15591801701258301</c:v>
                </c:pt>
                <c:pt idx="952">
                  <c:v>8.8499115375681794E-2</c:v>
                </c:pt>
                <c:pt idx="953">
                  <c:v>-2.0984913729572199E-2</c:v>
                </c:pt>
                <c:pt idx="954">
                  <c:v>-0.197421601369282</c:v>
                </c:pt>
                <c:pt idx="955">
                  <c:v>-0.125027261132062</c:v>
                </c:pt>
                <c:pt idx="956">
                  <c:v>-7.3212767428828304E-2</c:v>
                </c:pt>
                <c:pt idx="957">
                  <c:v>0.156201457748988</c:v>
                </c:pt>
                <c:pt idx="958">
                  <c:v>-0.158025357226622</c:v>
                </c:pt>
                <c:pt idx="959">
                  <c:v>-9.0139166970625101E-2</c:v>
                </c:pt>
                <c:pt idx="960">
                  <c:v>-0.138696874006486</c:v>
                </c:pt>
                <c:pt idx="961">
                  <c:v>0.161252488005874</c:v>
                </c:pt>
                <c:pt idx="962">
                  <c:v>0.19434929156358999</c:v>
                </c:pt>
                <c:pt idx="963">
                  <c:v>0.16253249055595301</c:v>
                </c:pt>
                <c:pt idx="964">
                  <c:v>-0.107627670380142</c:v>
                </c:pt>
                <c:pt idx="965">
                  <c:v>3.0766563180017501E-2</c:v>
                </c:pt>
                <c:pt idx="966">
                  <c:v>3.3533323902201401E-2</c:v>
                </c:pt>
                <c:pt idx="967">
                  <c:v>-0.13268315371222</c:v>
                </c:pt>
                <c:pt idx="968">
                  <c:v>-9.2286590191209397E-2</c:v>
                </c:pt>
                <c:pt idx="969">
                  <c:v>-0.13521322926144</c:v>
                </c:pt>
                <c:pt idx="970">
                  <c:v>-6.04448802163495E-2</c:v>
                </c:pt>
                <c:pt idx="971">
                  <c:v>-1.2497924075827701E-3</c:v>
                </c:pt>
                <c:pt idx="972">
                  <c:v>0.15026794302699001</c:v>
                </c:pt>
                <c:pt idx="973">
                  <c:v>-0.106829970706576</c:v>
                </c:pt>
                <c:pt idx="974">
                  <c:v>-7.6512394704162698E-2</c:v>
                </c:pt>
                <c:pt idx="975">
                  <c:v>2.9734994412600801E-2</c:v>
                </c:pt>
                <c:pt idx="976">
                  <c:v>2.3884292402036902E-2</c:v>
                </c:pt>
                <c:pt idx="977">
                  <c:v>-9.87381675302932E-2</c:v>
                </c:pt>
                <c:pt idx="978">
                  <c:v>4.5671888067021098E-2</c:v>
                </c:pt>
                <c:pt idx="979">
                  <c:v>8.6726660901422198E-2</c:v>
                </c:pt>
                <c:pt idx="980">
                  <c:v>-0.15343523625157501</c:v>
                </c:pt>
                <c:pt idx="981">
                  <c:v>0.17909582750904801</c:v>
                </c:pt>
                <c:pt idx="982">
                  <c:v>-2.0509841226498099E-2</c:v>
                </c:pt>
                <c:pt idx="983">
                  <c:v>1.4234847039506801E-2</c:v>
                </c:pt>
                <c:pt idx="984">
                  <c:v>-0.182368316037093</c:v>
                </c:pt>
                <c:pt idx="985">
                  <c:v>-9.4674132423019502E-2</c:v>
                </c:pt>
                <c:pt idx="986">
                  <c:v>2.0659376649500599E-2</c:v>
                </c:pt>
                <c:pt idx="987">
                  <c:v>0.13327867160134099</c:v>
                </c:pt>
                <c:pt idx="988">
                  <c:v>5.2343914572287799E-2</c:v>
                </c:pt>
                <c:pt idx="989">
                  <c:v>1.89509686469722E-2</c:v>
                </c:pt>
                <c:pt idx="990">
                  <c:v>0.17520858558763699</c:v>
                </c:pt>
                <c:pt idx="991">
                  <c:v>-2.36600221032803E-2</c:v>
                </c:pt>
                <c:pt idx="992">
                  <c:v>-0.15065680668871201</c:v>
                </c:pt>
                <c:pt idx="993">
                  <c:v>-0.147095570292123</c:v>
                </c:pt>
                <c:pt idx="994">
                  <c:v>-0.13666215437844001</c:v>
                </c:pt>
                <c:pt idx="995">
                  <c:v>-0.193075399303378</c:v>
                </c:pt>
                <c:pt idx="996">
                  <c:v>8.88888409290019E-2</c:v>
                </c:pt>
                <c:pt idx="997">
                  <c:v>3.1511427951522501E-2</c:v>
                </c:pt>
                <c:pt idx="998">
                  <c:v>-7.7022839796658693E-2</c:v>
                </c:pt>
                <c:pt idx="999">
                  <c:v>-3.7183227879862703E-2</c:v>
                </c:pt>
                <c:pt idx="1000">
                  <c:v>5.0363360084658602E-2</c:v>
                </c:pt>
                <c:pt idx="1001">
                  <c:v>-8.2239462383026402E-2</c:v>
                </c:pt>
                <c:pt idx="1002">
                  <c:v>-0.152126492987704</c:v>
                </c:pt>
                <c:pt idx="1003">
                  <c:v>2.68300942682696E-2</c:v>
                </c:pt>
                <c:pt idx="1004">
                  <c:v>0.104721599795329</c:v>
                </c:pt>
                <c:pt idx="1005">
                  <c:v>0.134608019222971</c:v>
                </c:pt>
                <c:pt idx="1006">
                  <c:v>0.19462363472309199</c:v>
                </c:pt>
                <c:pt idx="1007">
                  <c:v>-0.19041982493888299</c:v>
                </c:pt>
                <c:pt idx="1008">
                  <c:v>0.16769756644092601</c:v>
                </c:pt>
                <c:pt idx="1009">
                  <c:v>-2.2246812208007699E-2</c:v>
                </c:pt>
                <c:pt idx="1010">
                  <c:v>0.12437623478269599</c:v>
                </c:pt>
                <c:pt idx="1011">
                  <c:v>-0.136401112698118</c:v>
                </c:pt>
                <c:pt idx="1012">
                  <c:v>-0.19859621075967601</c:v>
                </c:pt>
                <c:pt idx="1013">
                  <c:v>6.2720104160256904E-2</c:v>
                </c:pt>
                <c:pt idx="1014">
                  <c:v>0.139227532842532</c:v>
                </c:pt>
                <c:pt idx="1015">
                  <c:v>-0.139066351693997</c:v>
                </c:pt>
                <c:pt idx="1016">
                  <c:v>0.136381668294597</c:v>
                </c:pt>
                <c:pt idx="1017">
                  <c:v>-0.116216788753987</c:v>
                </c:pt>
                <c:pt idx="1018">
                  <c:v>-5.9485777083453303E-2</c:v>
                </c:pt>
                <c:pt idx="1019">
                  <c:v>-0.16038239121995301</c:v>
                </c:pt>
                <c:pt idx="1020">
                  <c:v>0.19873124221971999</c:v>
                </c:pt>
                <c:pt idx="1021">
                  <c:v>8.4528458468489498E-2</c:v>
                </c:pt>
                <c:pt idx="1022">
                  <c:v>-0.186259902594339</c:v>
                </c:pt>
                <c:pt idx="1023">
                  <c:v>-8.29026828549113E-2</c:v>
                </c:pt>
                <c:pt idx="1024">
                  <c:v>8.9830227348174002E-2</c:v>
                </c:pt>
                <c:pt idx="1025">
                  <c:v>4.9253214641615799E-2</c:v>
                </c:pt>
                <c:pt idx="1026">
                  <c:v>-0.107600029662051</c:v>
                </c:pt>
                <c:pt idx="1027">
                  <c:v>-4.1090515846274697E-2</c:v>
                </c:pt>
                <c:pt idx="1028">
                  <c:v>-2.9347734324426901E-3</c:v>
                </c:pt>
                <c:pt idx="1029">
                  <c:v>-0.102717142861455</c:v>
                </c:pt>
                <c:pt idx="1030">
                  <c:v>8.9677506053691194E-2</c:v>
                </c:pt>
                <c:pt idx="1031">
                  <c:v>0.13369421880096299</c:v>
                </c:pt>
                <c:pt idx="1032">
                  <c:v>-7.2006377946385605E-2</c:v>
                </c:pt>
                <c:pt idx="1033">
                  <c:v>-4.5138640934751201E-2</c:v>
                </c:pt>
                <c:pt idx="1034">
                  <c:v>-0.122013777199729</c:v>
                </c:pt>
                <c:pt idx="1035">
                  <c:v>-0.14107092973617599</c:v>
                </c:pt>
                <c:pt idx="1036">
                  <c:v>-0.15162561759035401</c:v>
                </c:pt>
                <c:pt idx="1037">
                  <c:v>4.8091244659991997E-2</c:v>
                </c:pt>
                <c:pt idx="1038">
                  <c:v>-2.4707418710460199E-2</c:v>
                </c:pt>
                <c:pt idx="1039">
                  <c:v>0.150359901283032</c:v>
                </c:pt>
                <c:pt idx="1040">
                  <c:v>-2.3600201188904098E-2</c:v>
                </c:pt>
                <c:pt idx="1041">
                  <c:v>-0.110937102532878</c:v>
                </c:pt>
                <c:pt idx="1042">
                  <c:v>-0.18041743843256899</c:v>
                </c:pt>
                <c:pt idx="1043">
                  <c:v>4.5869524326676597E-2</c:v>
                </c:pt>
                <c:pt idx="1044">
                  <c:v>2.30635978829314E-2</c:v>
                </c:pt>
                <c:pt idx="1045">
                  <c:v>3.8487891101336401E-2</c:v>
                </c:pt>
                <c:pt idx="1046">
                  <c:v>-9.2155343734170406E-2</c:v>
                </c:pt>
                <c:pt idx="1047">
                  <c:v>0.18354829981072099</c:v>
                </c:pt>
                <c:pt idx="1048">
                  <c:v>0.11496124397216601</c:v>
                </c:pt>
                <c:pt idx="1049">
                  <c:v>5.7835661121069103E-2</c:v>
                </c:pt>
                <c:pt idx="1050">
                  <c:v>5.0383828392532E-3</c:v>
                </c:pt>
                <c:pt idx="1051">
                  <c:v>7.9780897787579894E-2</c:v>
                </c:pt>
                <c:pt idx="1052">
                  <c:v>-4.3779368587864798E-2</c:v>
                </c:pt>
                <c:pt idx="1053">
                  <c:v>-9.2040238858387594E-2</c:v>
                </c:pt>
                <c:pt idx="1054">
                  <c:v>-0.14945485335561701</c:v>
                </c:pt>
                <c:pt idx="1055">
                  <c:v>4.0039828783197604E-3</c:v>
                </c:pt>
                <c:pt idx="1056">
                  <c:v>0.19287109332194699</c:v>
                </c:pt>
                <c:pt idx="1057">
                  <c:v>0.19865788695038</c:v>
                </c:pt>
                <c:pt idx="1058">
                  <c:v>-8.6114789227939494E-3</c:v>
                </c:pt>
                <c:pt idx="1059">
                  <c:v>1.0312203463613201E-3</c:v>
                </c:pt>
                <c:pt idx="1060">
                  <c:v>0.19037899656462501</c:v>
                </c:pt>
                <c:pt idx="1061">
                  <c:v>0.19090288680890599</c:v>
                </c:pt>
                <c:pt idx="1062">
                  <c:v>-5.2619905890374401E-2</c:v>
                </c:pt>
                <c:pt idx="1063">
                  <c:v>6.8259184153713098E-2</c:v>
                </c:pt>
                <c:pt idx="1064">
                  <c:v>0.158042677755484</c:v>
                </c:pt>
                <c:pt idx="1065">
                  <c:v>-0.104581883110832</c:v>
                </c:pt>
                <c:pt idx="1066">
                  <c:v>0.117033200848599</c:v>
                </c:pt>
                <c:pt idx="1067">
                  <c:v>-9.01928691982435E-2</c:v>
                </c:pt>
                <c:pt idx="1068">
                  <c:v>-1.2814203126441799E-2</c:v>
                </c:pt>
                <c:pt idx="1069">
                  <c:v>9.3019916439926895E-2</c:v>
                </c:pt>
                <c:pt idx="1070">
                  <c:v>1.4981681598039401E-3</c:v>
                </c:pt>
                <c:pt idx="1071">
                  <c:v>-6.0209238625655997E-2</c:v>
                </c:pt>
                <c:pt idx="1072">
                  <c:v>0.11401051926462701</c:v>
                </c:pt>
                <c:pt idx="1073">
                  <c:v>0.133989049144045</c:v>
                </c:pt>
                <c:pt idx="1074">
                  <c:v>-0.192311366183025</c:v>
                </c:pt>
                <c:pt idx="1075">
                  <c:v>0.13065375032558099</c:v>
                </c:pt>
                <c:pt idx="1076">
                  <c:v>-1.6203612844620099E-2</c:v>
                </c:pt>
                <c:pt idx="1077">
                  <c:v>0.1622014535264</c:v>
                </c:pt>
                <c:pt idx="1078">
                  <c:v>0.121331635729576</c:v>
                </c:pt>
                <c:pt idx="1079">
                  <c:v>7.1861559495908306E-2</c:v>
                </c:pt>
                <c:pt idx="1080">
                  <c:v>-0.118027955818407</c:v>
                </c:pt>
                <c:pt idx="1081">
                  <c:v>9.7740368173482903E-2</c:v>
                </c:pt>
                <c:pt idx="1082">
                  <c:v>-0.112929124143499</c:v>
                </c:pt>
                <c:pt idx="1083">
                  <c:v>0.157759420820233</c:v>
                </c:pt>
                <c:pt idx="1084">
                  <c:v>3.3471090445609201E-3</c:v>
                </c:pt>
                <c:pt idx="1085">
                  <c:v>8.1823953640737801E-3</c:v>
                </c:pt>
                <c:pt idx="1086">
                  <c:v>0.14395656520470801</c:v>
                </c:pt>
                <c:pt idx="1087">
                  <c:v>-0.174654741733684</c:v>
                </c:pt>
                <c:pt idx="1088">
                  <c:v>2.4613775741490402E-3</c:v>
                </c:pt>
                <c:pt idx="1089">
                  <c:v>3.9562908390337902E-2</c:v>
                </c:pt>
                <c:pt idx="1090">
                  <c:v>-0.166998704344267</c:v>
                </c:pt>
                <c:pt idx="1091">
                  <c:v>-0.18666953829552199</c:v>
                </c:pt>
                <c:pt idx="1092">
                  <c:v>-2.8311255342111499E-2</c:v>
                </c:pt>
                <c:pt idx="1093">
                  <c:v>0.13735731051323</c:v>
                </c:pt>
                <c:pt idx="1094">
                  <c:v>-5.8190919884126703E-2</c:v>
                </c:pt>
                <c:pt idx="1095">
                  <c:v>8.8815659258788607E-2</c:v>
                </c:pt>
                <c:pt idx="1096">
                  <c:v>0.155186813575903</c:v>
                </c:pt>
                <c:pt idx="1097">
                  <c:v>0.13113540164708101</c:v>
                </c:pt>
                <c:pt idx="1098">
                  <c:v>-0.12947418245374101</c:v>
                </c:pt>
                <c:pt idx="1099">
                  <c:v>0.18791197028891199</c:v>
                </c:pt>
                <c:pt idx="1100">
                  <c:v>-0.1283275256818</c:v>
                </c:pt>
                <c:pt idx="1101">
                  <c:v>7.6774850538042602E-2</c:v>
                </c:pt>
                <c:pt idx="1102">
                  <c:v>-0.13736733363648199</c:v>
                </c:pt>
                <c:pt idx="1103">
                  <c:v>9.6093945615471105E-2</c:v>
                </c:pt>
                <c:pt idx="1104">
                  <c:v>5.1334260149622502E-2</c:v>
                </c:pt>
                <c:pt idx="1105">
                  <c:v>0.18260693643944001</c:v>
                </c:pt>
                <c:pt idx="1106">
                  <c:v>3.3391309560548997E-2</c:v>
                </c:pt>
                <c:pt idx="1107">
                  <c:v>0.10239589432035701</c:v>
                </c:pt>
                <c:pt idx="1108">
                  <c:v>-0.18719827336127901</c:v>
                </c:pt>
                <c:pt idx="1109">
                  <c:v>-1.2462992194405101E-2</c:v>
                </c:pt>
                <c:pt idx="1110">
                  <c:v>-3.8472305747422997E-2</c:v>
                </c:pt>
                <c:pt idx="1111">
                  <c:v>-2.0154152634813901E-2</c:v>
                </c:pt>
                <c:pt idx="1112">
                  <c:v>0.151693924568991</c:v>
                </c:pt>
                <c:pt idx="1113">
                  <c:v>-1.01118461971988E-2</c:v>
                </c:pt>
                <c:pt idx="1114">
                  <c:v>-0.15740003141637701</c:v>
                </c:pt>
                <c:pt idx="1115">
                  <c:v>0.14730713177452101</c:v>
                </c:pt>
                <c:pt idx="1116">
                  <c:v>-3.3163954130346299E-2</c:v>
                </c:pt>
                <c:pt idx="1117">
                  <c:v>4.5520703283670499E-2</c:v>
                </c:pt>
                <c:pt idx="1118">
                  <c:v>-4.0671880511330097E-2</c:v>
                </c:pt>
                <c:pt idx="1119">
                  <c:v>-0.19375905943783001</c:v>
                </c:pt>
                <c:pt idx="1120">
                  <c:v>0.132216185994319</c:v>
                </c:pt>
                <c:pt idx="1121">
                  <c:v>3.19347972783093E-2</c:v>
                </c:pt>
                <c:pt idx="1122">
                  <c:v>-4.2480648416112897E-2</c:v>
                </c:pt>
                <c:pt idx="1123">
                  <c:v>-0.18160940350190499</c:v>
                </c:pt>
                <c:pt idx="1124">
                  <c:v>1.07683977047123E-2</c:v>
                </c:pt>
                <c:pt idx="1125">
                  <c:v>0.132559844059843</c:v>
                </c:pt>
                <c:pt idx="1126">
                  <c:v>-2.7163571744127001E-2</c:v>
                </c:pt>
                <c:pt idx="1127">
                  <c:v>-0.12900884029375101</c:v>
                </c:pt>
                <c:pt idx="1128">
                  <c:v>0.118206178835969</c:v>
                </c:pt>
                <c:pt idx="1129">
                  <c:v>-0.19791289653403901</c:v>
                </c:pt>
                <c:pt idx="1130">
                  <c:v>-5.6462757110397499E-2</c:v>
                </c:pt>
                <c:pt idx="1131">
                  <c:v>4.5490435049114403E-2</c:v>
                </c:pt>
                <c:pt idx="1132">
                  <c:v>0.10345901847125299</c:v>
                </c:pt>
                <c:pt idx="1133">
                  <c:v>-0.172706227263211</c:v>
                </c:pt>
                <c:pt idx="1134">
                  <c:v>-0.114763611253427</c:v>
                </c:pt>
                <c:pt idx="1135">
                  <c:v>-0.17240774236189099</c:v>
                </c:pt>
                <c:pt idx="1136">
                  <c:v>-7.1833870000440794E-2</c:v>
                </c:pt>
                <c:pt idx="1137">
                  <c:v>2.37305050357038E-2</c:v>
                </c:pt>
                <c:pt idx="1138">
                  <c:v>2.2670447934159701E-2</c:v>
                </c:pt>
                <c:pt idx="1139">
                  <c:v>-0.133690904667497</c:v>
                </c:pt>
                <c:pt idx="1140">
                  <c:v>0.127446639045561</c:v>
                </c:pt>
                <c:pt idx="1141">
                  <c:v>5.8442083329087402E-2</c:v>
                </c:pt>
                <c:pt idx="1142">
                  <c:v>-2.4924124333847299E-2</c:v>
                </c:pt>
                <c:pt idx="1143">
                  <c:v>-0.154082967601743</c:v>
                </c:pt>
                <c:pt idx="1144">
                  <c:v>0.177505410431744</c:v>
                </c:pt>
                <c:pt idx="1145">
                  <c:v>2.16096579049272E-2</c:v>
                </c:pt>
                <c:pt idx="1146">
                  <c:v>-0.12861079811117901</c:v>
                </c:pt>
                <c:pt idx="1147">
                  <c:v>0.16231217006509099</c:v>
                </c:pt>
                <c:pt idx="1148">
                  <c:v>-6.1810997509889901E-2</c:v>
                </c:pt>
                <c:pt idx="1149">
                  <c:v>-6.2172186252181197E-2</c:v>
                </c:pt>
                <c:pt idx="1150">
                  <c:v>0.14035307311401701</c:v>
                </c:pt>
                <c:pt idx="1151">
                  <c:v>0.13785385684694901</c:v>
                </c:pt>
                <c:pt idx="1152">
                  <c:v>-1.7206184152733901E-2</c:v>
                </c:pt>
                <c:pt idx="1153">
                  <c:v>-7.1707113929528402E-2</c:v>
                </c:pt>
                <c:pt idx="1154">
                  <c:v>-0.17734230072264801</c:v>
                </c:pt>
                <c:pt idx="1155">
                  <c:v>0.129751370204816</c:v>
                </c:pt>
                <c:pt idx="1156">
                  <c:v>-0.19014806297464501</c:v>
                </c:pt>
                <c:pt idx="1157">
                  <c:v>0.101657390097826</c:v>
                </c:pt>
                <c:pt idx="1158">
                  <c:v>3.96765813155057E-2</c:v>
                </c:pt>
                <c:pt idx="1159">
                  <c:v>4.2580630696628097E-2</c:v>
                </c:pt>
                <c:pt idx="1160">
                  <c:v>-0.15825827673513701</c:v>
                </c:pt>
                <c:pt idx="1161">
                  <c:v>-0.170535198460499</c:v>
                </c:pt>
                <c:pt idx="1162">
                  <c:v>1.21594407096445E-2</c:v>
                </c:pt>
                <c:pt idx="1163">
                  <c:v>0.16779178416646601</c:v>
                </c:pt>
                <c:pt idx="1164">
                  <c:v>7.05249740312867E-2</c:v>
                </c:pt>
                <c:pt idx="1165">
                  <c:v>0.17227009923771899</c:v>
                </c:pt>
                <c:pt idx="1166">
                  <c:v>0.104487428220932</c:v>
                </c:pt>
                <c:pt idx="1167">
                  <c:v>0.181986784269561</c:v>
                </c:pt>
                <c:pt idx="1168">
                  <c:v>-2.2317678620579699E-2</c:v>
                </c:pt>
                <c:pt idx="1169">
                  <c:v>-0.15347363982033599</c:v>
                </c:pt>
                <c:pt idx="1170">
                  <c:v>-3.5612777645364302E-2</c:v>
                </c:pt>
                <c:pt idx="1171">
                  <c:v>6.9233680291617E-2</c:v>
                </c:pt>
                <c:pt idx="1172">
                  <c:v>0.165502594464387</c:v>
                </c:pt>
                <c:pt idx="1173">
                  <c:v>0.14731182868138801</c:v>
                </c:pt>
                <c:pt idx="1174">
                  <c:v>-0.14560013473703901</c:v>
                </c:pt>
                <c:pt idx="1175">
                  <c:v>3.8185068147764997E-2</c:v>
                </c:pt>
                <c:pt idx="1176">
                  <c:v>-0.12975962609803099</c:v>
                </c:pt>
                <c:pt idx="1177">
                  <c:v>0.143230903587554</c:v>
                </c:pt>
                <c:pt idx="1178">
                  <c:v>0.199458631616171</c:v>
                </c:pt>
                <c:pt idx="1179">
                  <c:v>0.10595987139589801</c:v>
                </c:pt>
                <c:pt idx="1180">
                  <c:v>0.11096336891565201</c:v>
                </c:pt>
                <c:pt idx="1181">
                  <c:v>4.2270319165227499E-2</c:v>
                </c:pt>
                <c:pt idx="1182">
                  <c:v>4.6209885404095402E-2</c:v>
                </c:pt>
                <c:pt idx="1183">
                  <c:v>8.59145752813541E-2</c:v>
                </c:pt>
                <c:pt idx="1184">
                  <c:v>-5.4721573626585002E-2</c:v>
                </c:pt>
                <c:pt idx="1185">
                  <c:v>0.152323291435008</c:v>
                </c:pt>
                <c:pt idx="1186">
                  <c:v>-5.4974460096679098E-2</c:v>
                </c:pt>
                <c:pt idx="1187">
                  <c:v>0.16165639938002799</c:v>
                </c:pt>
                <c:pt idx="1188">
                  <c:v>-0.117193094053006</c:v>
                </c:pt>
                <c:pt idx="1189">
                  <c:v>3.10086103316011E-2</c:v>
                </c:pt>
                <c:pt idx="1190">
                  <c:v>0.128868296029749</c:v>
                </c:pt>
                <c:pt idx="1191">
                  <c:v>0.15441836471377299</c:v>
                </c:pt>
                <c:pt idx="1192">
                  <c:v>-7.0776517530900002E-2</c:v>
                </c:pt>
                <c:pt idx="1193">
                  <c:v>-0.158238153478784</c:v>
                </c:pt>
                <c:pt idx="1194">
                  <c:v>-0.107652159420697</c:v>
                </c:pt>
                <c:pt idx="1195">
                  <c:v>-0.121521762108992</c:v>
                </c:pt>
                <c:pt idx="1196">
                  <c:v>-0.17011563442040101</c:v>
                </c:pt>
                <c:pt idx="1197">
                  <c:v>1.49736288681736E-2</c:v>
                </c:pt>
                <c:pt idx="1198">
                  <c:v>7.4302176511411605E-2</c:v>
                </c:pt>
                <c:pt idx="1199">
                  <c:v>-0.137181994131098</c:v>
                </c:pt>
                <c:pt idx="1200">
                  <c:v>1.46071755363625E-2</c:v>
                </c:pt>
                <c:pt idx="1201">
                  <c:v>-7.7416955238053697E-2</c:v>
                </c:pt>
                <c:pt idx="1202">
                  <c:v>-0.166477689789362</c:v>
                </c:pt>
                <c:pt idx="1203">
                  <c:v>0.168764783689029</c:v>
                </c:pt>
                <c:pt idx="1204">
                  <c:v>0.140581515532197</c:v>
                </c:pt>
                <c:pt idx="1205">
                  <c:v>8.8932388220987393E-3</c:v>
                </c:pt>
                <c:pt idx="1206">
                  <c:v>3.9267120833641797E-2</c:v>
                </c:pt>
                <c:pt idx="1207">
                  <c:v>0.10822311385486599</c:v>
                </c:pt>
                <c:pt idx="1208">
                  <c:v>-0.170838826915577</c:v>
                </c:pt>
                <c:pt idx="1209">
                  <c:v>6.5255686114706696E-2</c:v>
                </c:pt>
                <c:pt idx="1210">
                  <c:v>-4.9727292730641498E-2</c:v>
                </c:pt>
                <c:pt idx="1211">
                  <c:v>4.7812593937197903E-2</c:v>
                </c:pt>
                <c:pt idx="1212">
                  <c:v>0.14416984729120999</c:v>
                </c:pt>
                <c:pt idx="1213">
                  <c:v>3.7515635561917601E-2</c:v>
                </c:pt>
                <c:pt idx="1214">
                  <c:v>-7.5163207509051103E-2</c:v>
                </c:pt>
                <c:pt idx="1215">
                  <c:v>-3.4309773083495497E-2</c:v>
                </c:pt>
                <c:pt idx="1216">
                  <c:v>-7.6800997848011907E-2</c:v>
                </c:pt>
                <c:pt idx="1217">
                  <c:v>0.15467508356247001</c:v>
                </c:pt>
                <c:pt idx="1218">
                  <c:v>0.12561632324064601</c:v>
                </c:pt>
                <c:pt idx="1219">
                  <c:v>-0.13375154513565499</c:v>
                </c:pt>
                <c:pt idx="1220">
                  <c:v>5.9411806146615502E-2</c:v>
                </c:pt>
                <c:pt idx="1221">
                  <c:v>-0.18339630664311901</c:v>
                </c:pt>
                <c:pt idx="1222">
                  <c:v>8.4287172231278296E-2</c:v>
                </c:pt>
                <c:pt idx="1223">
                  <c:v>7.8235516883540301E-2</c:v>
                </c:pt>
                <c:pt idx="1224">
                  <c:v>-0.14584538909994499</c:v>
                </c:pt>
                <c:pt idx="1225">
                  <c:v>9.3819653702022499E-3</c:v>
                </c:pt>
                <c:pt idx="1226">
                  <c:v>-8.6066827272732599E-2</c:v>
                </c:pt>
                <c:pt idx="1227">
                  <c:v>0.17583206050813399</c:v>
                </c:pt>
                <c:pt idx="1228">
                  <c:v>0.14671632688268599</c:v>
                </c:pt>
                <c:pt idx="1229">
                  <c:v>5.5474370854219003E-2</c:v>
                </c:pt>
                <c:pt idx="1230">
                  <c:v>-0.15503295737650699</c:v>
                </c:pt>
                <c:pt idx="1231">
                  <c:v>0.104648439640613</c:v>
                </c:pt>
                <c:pt idx="1232">
                  <c:v>-4.83560250992119E-2</c:v>
                </c:pt>
                <c:pt idx="1233">
                  <c:v>0.19304959510252501</c:v>
                </c:pt>
                <c:pt idx="1234">
                  <c:v>7.1818762516086807E-2</c:v>
                </c:pt>
                <c:pt idx="1235">
                  <c:v>-7.6746243870355196E-2</c:v>
                </c:pt>
                <c:pt idx="1236">
                  <c:v>-0.173770140722566</c:v>
                </c:pt>
                <c:pt idx="1237">
                  <c:v>-6.0690164640523701E-2</c:v>
                </c:pt>
                <c:pt idx="1238">
                  <c:v>-0.14969656255397901</c:v>
                </c:pt>
                <c:pt idx="1239">
                  <c:v>-3.03051849326289E-2</c:v>
                </c:pt>
                <c:pt idx="1240">
                  <c:v>9.1635105145860193E-2</c:v>
                </c:pt>
                <c:pt idx="1241">
                  <c:v>3.4882365924557998E-2</c:v>
                </c:pt>
                <c:pt idx="1242">
                  <c:v>4.3778158067200201E-2</c:v>
                </c:pt>
                <c:pt idx="1243">
                  <c:v>0.12695876796372199</c:v>
                </c:pt>
                <c:pt idx="1244">
                  <c:v>4.7965931285142697E-2</c:v>
                </c:pt>
                <c:pt idx="1245">
                  <c:v>-0.19207099226336199</c:v>
                </c:pt>
                <c:pt idx="1246">
                  <c:v>5.0905420138796703E-2</c:v>
                </c:pt>
                <c:pt idx="1247">
                  <c:v>0.17461220444004699</c:v>
                </c:pt>
                <c:pt idx="1248">
                  <c:v>-0.11200349118766301</c:v>
                </c:pt>
                <c:pt idx="1249">
                  <c:v>0.117050767046337</c:v>
                </c:pt>
                <c:pt idx="1250">
                  <c:v>-0.16175643390911901</c:v>
                </c:pt>
                <c:pt idx="1251">
                  <c:v>0.111259935411974</c:v>
                </c:pt>
                <c:pt idx="1252">
                  <c:v>-0.192021506953372</c:v>
                </c:pt>
                <c:pt idx="1253">
                  <c:v>0.122704772786024</c:v>
                </c:pt>
                <c:pt idx="1254">
                  <c:v>0.139481848746876</c:v>
                </c:pt>
                <c:pt idx="1255">
                  <c:v>-9.3940124078224496E-3</c:v>
                </c:pt>
                <c:pt idx="1256">
                  <c:v>8.5857801628879599E-2</c:v>
                </c:pt>
                <c:pt idx="1257">
                  <c:v>0.17703911290972599</c:v>
                </c:pt>
                <c:pt idx="1258">
                  <c:v>-3.3946809636771297E-2</c:v>
                </c:pt>
                <c:pt idx="1259">
                  <c:v>-0.15911221284100299</c:v>
                </c:pt>
                <c:pt idx="1260">
                  <c:v>-2.60610228720363E-2</c:v>
                </c:pt>
                <c:pt idx="1261">
                  <c:v>-0.14146722872412301</c:v>
                </c:pt>
                <c:pt idx="1262">
                  <c:v>-0.133525830909454</c:v>
                </c:pt>
                <c:pt idx="1263">
                  <c:v>0.14665054686606899</c:v>
                </c:pt>
                <c:pt idx="1264">
                  <c:v>-6.5538530729009795E-2</c:v>
                </c:pt>
                <c:pt idx="1265">
                  <c:v>0.179261615527019</c:v>
                </c:pt>
                <c:pt idx="1266">
                  <c:v>-8.1953406878215104E-3</c:v>
                </c:pt>
                <c:pt idx="1267">
                  <c:v>-8.5303881802208104E-2</c:v>
                </c:pt>
                <c:pt idx="1268">
                  <c:v>-8.5768642562618E-2</c:v>
                </c:pt>
                <c:pt idx="1269">
                  <c:v>5.6310416706875803E-2</c:v>
                </c:pt>
                <c:pt idx="1270">
                  <c:v>7.0369025865798601E-2</c:v>
                </c:pt>
                <c:pt idx="1271">
                  <c:v>8.5996693369482596E-2</c:v>
                </c:pt>
                <c:pt idx="1272">
                  <c:v>1.4733558315357599E-3</c:v>
                </c:pt>
                <c:pt idx="1273">
                  <c:v>-0.14619663830638399</c:v>
                </c:pt>
                <c:pt idx="1274">
                  <c:v>-0.16425716982966199</c:v>
                </c:pt>
                <c:pt idx="1275">
                  <c:v>-0.12665017803402401</c:v>
                </c:pt>
                <c:pt idx="1276">
                  <c:v>0.11408975789648799</c:v>
                </c:pt>
                <c:pt idx="1277">
                  <c:v>-7.2220083614642994E-2</c:v>
                </c:pt>
                <c:pt idx="1278">
                  <c:v>8.0307301753767907E-2</c:v>
                </c:pt>
                <c:pt idx="1279">
                  <c:v>-0.16109903091106201</c:v>
                </c:pt>
                <c:pt idx="1280">
                  <c:v>-0.18711936044001201</c:v>
                </c:pt>
                <c:pt idx="1281">
                  <c:v>4.3677550680044197E-2</c:v>
                </c:pt>
                <c:pt idx="1282">
                  <c:v>-0.148115583781397</c:v>
                </c:pt>
                <c:pt idx="1283">
                  <c:v>-9.7231228561585295E-2</c:v>
                </c:pt>
                <c:pt idx="1284">
                  <c:v>2.05736279112602E-2</c:v>
                </c:pt>
                <c:pt idx="1285">
                  <c:v>-0.11117102044609301</c:v>
                </c:pt>
                <c:pt idx="1286">
                  <c:v>-6.2414447753359602E-2</c:v>
                </c:pt>
                <c:pt idx="1287">
                  <c:v>-0.15229723395980499</c:v>
                </c:pt>
                <c:pt idx="1288">
                  <c:v>-5.0475578735309702E-2</c:v>
                </c:pt>
                <c:pt idx="1289">
                  <c:v>0.100745427194965</c:v>
                </c:pt>
                <c:pt idx="1290">
                  <c:v>7.0834254790419396E-2</c:v>
                </c:pt>
                <c:pt idx="1291">
                  <c:v>0.10370147437965201</c:v>
                </c:pt>
                <c:pt idx="1292">
                  <c:v>0.13626419917248001</c:v>
                </c:pt>
                <c:pt idx="1293">
                  <c:v>-0.115998512755556</c:v>
                </c:pt>
                <c:pt idx="1294">
                  <c:v>-0.17114586366002499</c:v>
                </c:pt>
                <c:pt idx="1295">
                  <c:v>0.18310876926082101</c:v>
                </c:pt>
                <c:pt idx="1296">
                  <c:v>-0.145982569376436</c:v>
                </c:pt>
                <c:pt idx="1297">
                  <c:v>0.121027281028945</c:v>
                </c:pt>
                <c:pt idx="1298">
                  <c:v>-2.8386071464412299E-2</c:v>
                </c:pt>
                <c:pt idx="1299">
                  <c:v>2.2978459062014699E-2</c:v>
                </c:pt>
                <c:pt idx="1300">
                  <c:v>-0.14340697911963601</c:v>
                </c:pt>
                <c:pt idx="1301">
                  <c:v>-1.22267577476654E-2</c:v>
                </c:pt>
                <c:pt idx="1302">
                  <c:v>7.10886796371408E-2</c:v>
                </c:pt>
                <c:pt idx="1303">
                  <c:v>7.1782195421160599E-2</c:v>
                </c:pt>
                <c:pt idx="1304">
                  <c:v>-0.16940743009045101</c:v>
                </c:pt>
                <c:pt idx="1305">
                  <c:v>0.18320059757229601</c:v>
                </c:pt>
                <c:pt idx="1306">
                  <c:v>-2.4563854771463299E-2</c:v>
                </c:pt>
                <c:pt idx="1307">
                  <c:v>-9.0132996415909702E-2</c:v>
                </c:pt>
                <c:pt idx="1308">
                  <c:v>-0.14603828674200001</c:v>
                </c:pt>
                <c:pt idx="1309">
                  <c:v>0.119655998774316</c:v>
                </c:pt>
                <c:pt idx="1310">
                  <c:v>-0.18980336833481501</c:v>
                </c:pt>
                <c:pt idx="1311">
                  <c:v>-0.153186139517062</c:v>
                </c:pt>
                <c:pt idx="1312">
                  <c:v>2.6298410778158301E-3</c:v>
                </c:pt>
                <c:pt idx="1313">
                  <c:v>0.18072412240277999</c:v>
                </c:pt>
                <c:pt idx="1314">
                  <c:v>3.5668064964892401E-2</c:v>
                </c:pt>
                <c:pt idx="1315">
                  <c:v>-1.7159509217047599E-2</c:v>
                </c:pt>
                <c:pt idx="1316">
                  <c:v>-0.12683352377719601</c:v>
                </c:pt>
                <c:pt idx="1317">
                  <c:v>-0.18563468495789801</c:v>
                </c:pt>
                <c:pt idx="1318">
                  <c:v>7.3771399170669202E-2</c:v>
                </c:pt>
                <c:pt idx="1319">
                  <c:v>0.14292359248361</c:v>
                </c:pt>
                <c:pt idx="1320">
                  <c:v>0.19039981586281199</c:v>
                </c:pt>
                <c:pt idx="1321">
                  <c:v>0.19281254119586799</c:v>
                </c:pt>
                <c:pt idx="1322">
                  <c:v>0.16598915210581</c:v>
                </c:pt>
                <c:pt idx="1323">
                  <c:v>0.111357358937726</c:v>
                </c:pt>
                <c:pt idx="1324">
                  <c:v>-9.2356014290327901E-2</c:v>
                </c:pt>
                <c:pt idx="1325">
                  <c:v>-0.11367032808256899</c:v>
                </c:pt>
                <c:pt idx="1326">
                  <c:v>-0.14952700794553</c:v>
                </c:pt>
                <c:pt idx="1327">
                  <c:v>0.15116090496207901</c:v>
                </c:pt>
                <c:pt idx="1328">
                  <c:v>5.0264112784147302E-2</c:v>
                </c:pt>
                <c:pt idx="1329">
                  <c:v>0.190128530212297</c:v>
                </c:pt>
                <c:pt idx="1330">
                  <c:v>1.16310386123558E-4</c:v>
                </c:pt>
                <c:pt idx="1331">
                  <c:v>-0.14055570102062101</c:v>
                </c:pt>
                <c:pt idx="1332">
                  <c:v>-7.96263070779787E-2</c:v>
                </c:pt>
                <c:pt idx="1333">
                  <c:v>0.16660547457191499</c:v>
                </c:pt>
                <c:pt idx="1334">
                  <c:v>0.120216639476472</c:v>
                </c:pt>
                <c:pt idx="1335">
                  <c:v>4.2711932087487102E-2</c:v>
                </c:pt>
                <c:pt idx="1336">
                  <c:v>-0.16119169304466399</c:v>
                </c:pt>
                <c:pt idx="1337">
                  <c:v>-2.5501838293825099E-2</c:v>
                </c:pt>
                <c:pt idx="1338">
                  <c:v>7.5860510633649902E-2</c:v>
                </c:pt>
                <c:pt idx="1339">
                  <c:v>0.14325932898677601</c:v>
                </c:pt>
                <c:pt idx="1340">
                  <c:v>7.5399412943285907E-2</c:v>
                </c:pt>
                <c:pt idx="1341">
                  <c:v>0.125618984118673</c:v>
                </c:pt>
                <c:pt idx="1342">
                  <c:v>4.32283611641597E-2</c:v>
                </c:pt>
                <c:pt idx="1343">
                  <c:v>-7.4956245801746202E-2</c:v>
                </c:pt>
                <c:pt idx="1344">
                  <c:v>-9.2690539508123504E-2</c:v>
                </c:pt>
                <c:pt idx="1345">
                  <c:v>4.6483405357933702E-2</c:v>
                </c:pt>
                <c:pt idx="1346">
                  <c:v>-0.13665633774725899</c:v>
                </c:pt>
                <c:pt idx="1347">
                  <c:v>-0.17949867590931301</c:v>
                </c:pt>
                <c:pt idx="1348">
                  <c:v>-0.15838770829374099</c:v>
                </c:pt>
                <c:pt idx="1349">
                  <c:v>-0.12269028726982401</c:v>
                </c:pt>
                <c:pt idx="1350">
                  <c:v>-3.9261805023325602E-2</c:v>
                </c:pt>
                <c:pt idx="1351">
                  <c:v>6.9038189490294097E-2</c:v>
                </c:pt>
                <c:pt idx="1352">
                  <c:v>3.0149346373621402E-2</c:v>
                </c:pt>
                <c:pt idx="1353">
                  <c:v>-6.3883982292245404E-3</c:v>
                </c:pt>
                <c:pt idx="1354">
                  <c:v>0.144863405622361</c:v>
                </c:pt>
                <c:pt idx="1355">
                  <c:v>1.3226105079276801E-2</c:v>
                </c:pt>
                <c:pt idx="1356">
                  <c:v>0.157661478581647</c:v>
                </c:pt>
                <c:pt idx="1357">
                  <c:v>0.100900947075738</c:v>
                </c:pt>
                <c:pt idx="1358">
                  <c:v>1.47455341642622E-2</c:v>
                </c:pt>
                <c:pt idx="1359">
                  <c:v>7.0948110783180696E-2</c:v>
                </c:pt>
                <c:pt idx="1360">
                  <c:v>5.7848044949812299E-2</c:v>
                </c:pt>
                <c:pt idx="1361">
                  <c:v>0.13284724897160799</c:v>
                </c:pt>
                <c:pt idx="1362">
                  <c:v>0.112595153549016</c:v>
                </c:pt>
                <c:pt idx="1363">
                  <c:v>-3.11241520144213E-2</c:v>
                </c:pt>
                <c:pt idx="1364">
                  <c:v>-3.3012180509570999E-2</c:v>
                </c:pt>
                <c:pt idx="1365">
                  <c:v>-6.8918527489129799E-2</c:v>
                </c:pt>
                <c:pt idx="1366">
                  <c:v>-7.8687918364691606E-2</c:v>
                </c:pt>
                <c:pt idx="1367">
                  <c:v>3.2519566353550897E-2</c:v>
                </c:pt>
                <c:pt idx="1368">
                  <c:v>-0.184607532536986</c:v>
                </c:pt>
                <c:pt idx="1369">
                  <c:v>4.4306969732743E-2</c:v>
                </c:pt>
                <c:pt idx="1370">
                  <c:v>-0.119639925076471</c:v>
                </c:pt>
                <c:pt idx="1371">
                  <c:v>-0.14677718867727599</c:v>
                </c:pt>
                <c:pt idx="1372">
                  <c:v>-0.16466145340329799</c:v>
                </c:pt>
                <c:pt idx="1373">
                  <c:v>-3.2060030364949199E-2</c:v>
                </c:pt>
                <c:pt idx="1374">
                  <c:v>0.102599311146634</c:v>
                </c:pt>
                <c:pt idx="1375">
                  <c:v>-0.111370674551124</c:v>
                </c:pt>
                <c:pt idx="1376">
                  <c:v>7.2861804108084099E-2</c:v>
                </c:pt>
                <c:pt idx="1377">
                  <c:v>-4.12828409929967E-2</c:v>
                </c:pt>
                <c:pt idx="1378">
                  <c:v>0.17973776019502499</c:v>
                </c:pt>
                <c:pt idx="1379">
                  <c:v>-0.109281209083014</c:v>
                </c:pt>
                <c:pt idx="1380">
                  <c:v>-3.6834048048914797E-2</c:v>
                </c:pt>
                <c:pt idx="1381">
                  <c:v>-0.14551511333518199</c:v>
                </c:pt>
                <c:pt idx="1382">
                  <c:v>-8.5663081441052003E-2</c:v>
                </c:pt>
                <c:pt idx="1383">
                  <c:v>-0.171378142979698</c:v>
                </c:pt>
                <c:pt idx="1384">
                  <c:v>-0.10313086651407</c:v>
                </c:pt>
                <c:pt idx="1385">
                  <c:v>-0.14555254674847601</c:v>
                </c:pt>
                <c:pt idx="1386">
                  <c:v>-1.79059732236771E-2</c:v>
                </c:pt>
                <c:pt idx="1387">
                  <c:v>3.7425967560579497E-2</c:v>
                </c:pt>
                <c:pt idx="1388">
                  <c:v>-0.15110287070345399</c:v>
                </c:pt>
                <c:pt idx="1389">
                  <c:v>9.8623643368225503E-2</c:v>
                </c:pt>
                <c:pt idx="1390">
                  <c:v>0.18972106474783801</c:v>
                </c:pt>
                <c:pt idx="1391">
                  <c:v>-0.134027849493212</c:v>
                </c:pt>
                <c:pt idx="1392">
                  <c:v>0.16594561914671399</c:v>
                </c:pt>
                <c:pt idx="1393">
                  <c:v>3.7315687484237602E-2</c:v>
                </c:pt>
                <c:pt idx="1394">
                  <c:v>0.18860900390935101</c:v>
                </c:pt>
                <c:pt idx="1395">
                  <c:v>-0.146738166723658</c:v>
                </c:pt>
                <c:pt idx="1396">
                  <c:v>-0.19149364214665901</c:v>
                </c:pt>
                <c:pt idx="1397">
                  <c:v>-0.13325860013509599</c:v>
                </c:pt>
                <c:pt idx="1398">
                  <c:v>-0.11341804542259</c:v>
                </c:pt>
                <c:pt idx="1399">
                  <c:v>0.17271656248122499</c:v>
                </c:pt>
                <c:pt idx="1400">
                  <c:v>-0.129495572430297</c:v>
                </c:pt>
                <c:pt idx="1401">
                  <c:v>-0.146662120687411</c:v>
                </c:pt>
                <c:pt idx="1402">
                  <c:v>-5.281117410932E-2</c:v>
                </c:pt>
                <c:pt idx="1403">
                  <c:v>-0.16215248191715001</c:v>
                </c:pt>
                <c:pt idx="1404">
                  <c:v>-0.18025266729042</c:v>
                </c:pt>
                <c:pt idx="1405">
                  <c:v>-2.4876031922370298E-3</c:v>
                </c:pt>
                <c:pt idx="1406">
                  <c:v>9.5503131657770607E-2</c:v>
                </c:pt>
                <c:pt idx="1407">
                  <c:v>-3.9139758490394201E-2</c:v>
                </c:pt>
                <c:pt idx="1408">
                  <c:v>-0.112865774246955</c:v>
                </c:pt>
                <c:pt idx="1409">
                  <c:v>-0.12469891200987</c:v>
                </c:pt>
                <c:pt idx="1410">
                  <c:v>-2.1463182904917701E-2</c:v>
                </c:pt>
                <c:pt idx="1411">
                  <c:v>-6.1475002727650198E-2</c:v>
                </c:pt>
                <c:pt idx="1412">
                  <c:v>-9.2582307951196402E-2</c:v>
                </c:pt>
                <c:pt idx="1413">
                  <c:v>-0.134998065851857</c:v>
                </c:pt>
                <c:pt idx="1414">
                  <c:v>-4.20664093732942E-2</c:v>
                </c:pt>
                <c:pt idx="1415">
                  <c:v>4.2782458587468403E-2</c:v>
                </c:pt>
                <c:pt idx="1416">
                  <c:v>-2.1879631193294901E-2</c:v>
                </c:pt>
                <c:pt idx="1417">
                  <c:v>3.0512230431265101E-2</c:v>
                </c:pt>
                <c:pt idx="1418">
                  <c:v>2.8445242520109201E-2</c:v>
                </c:pt>
                <c:pt idx="1419">
                  <c:v>7.1853651913516794E-2</c:v>
                </c:pt>
                <c:pt idx="1420">
                  <c:v>0.13335499992000999</c:v>
                </c:pt>
                <c:pt idx="1421">
                  <c:v>-4.5356242695287298E-2</c:v>
                </c:pt>
                <c:pt idx="1422">
                  <c:v>-5.1182662035481302E-2</c:v>
                </c:pt>
                <c:pt idx="1423">
                  <c:v>0.19413329887481701</c:v>
                </c:pt>
                <c:pt idx="1424">
                  <c:v>-1.20264829372769E-2</c:v>
                </c:pt>
                <c:pt idx="1425">
                  <c:v>-0.102395795977367</c:v>
                </c:pt>
                <c:pt idx="1426">
                  <c:v>-7.6675625896415703E-2</c:v>
                </c:pt>
                <c:pt idx="1427">
                  <c:v>-0.109882480290334</c:v>
                </c:pt>
                <c:pt idx="1428">
                  <c:v>0.16028895762460599</c:v>
                </c:pt>
                <c:pt idx="1429">
                  <c:v>0.11554435053096899</c:v>
                </c:pt>
                <c:pt idx="1430">
                  <c:v>3.4760995149238597E-2</c:v>
                </c:pt>
                <c:pt idx="1431">
                  <c:v>0.13027957638333201</c:v>
                </c:pt>
                <c:pt idx="1432">
                  <c:v>-7.8484249608523196E-2</c:v>
                </c:pt>
                <c:pt idx="1433">
                  <c:v>-0.16158549535814901</c:v>
                </c:pt>
                <c:pt idx="1434">
                  <c:v>7.6503652311126102E-2</c:v>
                </c:pt>
                <c:pt idx="1435">
                  <c:v>-0.10377871981212</c:v>
                </c:pt>
                <c:pt idx="1436">
                  <c:v>-7.4513079227826401E-3</c:v>
                </c:pt>
                <c:pt idx="1437">
                  <c:v>-0.17132251300811899</c:v>
                </c:pt>
                <c:pt idx="1438">
                  <c:v>0.14477421283950201</c:v>
                </c:pt>
                <c:pt idx="1439">
                  <c:v>-0.14488755397278899</c:v>
                </c:pt>
                <c:pt idx="1440">
                  <c:v>0.13100236516278099</c:v>
                </c:pt>
                <c:pt idx="1441">
                  <c:v>-2.3621515860533199E-2</c:v>
                </c:pt>
                <c:pt idx="1442">
                  <c:v>0.10843823781064101</c:v>
                </c:pt>
                <c:pt idx="1443">
                  <c:v>-3.12139741030916E-2</c:v>
                </c:pt>
                <c:pt idx="1444">
                  <c:v>0.163378750883691</c:v>
                </c:pt>
                <c:pt idx="1445">
                  <c:v>-2.1019570515472E-2</c:v>
                </c:pt>
                <c:pt idx="1446">
                  <c:v>-0.14345183672129</c:v>
                </c:pt>
                <c:pt idx="1447">
                  <c:v>-0.115822016096518</c:v>
                </c:pt>
                <c:pt idx="1448">
                  <c:v>-0.18031676896490101</c:v>
                </c:pt>
                <c:pt idx="1449">
                  <c:v>9.4902708408261094E-2</c:v>
                </c:pt>
                <c:pt idx="1450">
                  <c:v>6.2338606678235799E-2</c:v>
                </c:pt>
                <c:pt idx="1451">
                  <c:v>0.146411286639934</c:v>
                </c:pt>
                <c:pt idx="1452">
                  <c:v>-3.6037233251807999E-3</c:v>
                </c:pt>
                <c:pt idx="1453">
                  <c:v>2.24081289554563E-2</c:v>
                </c:pt>
                <c:pt idx="1454">
                  <c:v>-0.124949924985719</c:v>
                </c:pt>
                <c:pt idx="1455">
                  <c:v>0.125493981934793</c:v>
                </c:pt>
                <c:pt idx="1456">
                  <c:v>9.7907899922447195E-2</c:v>
                </c:pt>
                <c:pt idx="1457">
                  <c:v>-0.12684707075364399</c:v>
                </c:pt>
                <c:pt idx="1458">
                  <c:v>-9.1208296224716101E-2</c:v>
                </c:pt>
                <c:pt idx="1459">
                  <c:v>3.13790788317709E-2</c:v>
                </c:pt>
                <c:pt idx="1460">
                  <c:v>8.6815127346258597E-2</c:v>
                </c:pt>
                <c:pt idx="1461">
                  <c:v>-6.0132592690630197E-2</c:v>
                </c:pt>
                <c:pt idx="1462">
                  <c:v>9.5571736064902907E-2</c:v>
                </c:pt>
                <c:pt idx="1463">
                  <c:v>-0.15828092326853899</c:v>
                </c:pt>
                <c:pt idx="1464">
                  <c:v>-0.145008659816205</c:v>
                </c:pt>
                <c:pt idx="1465">
                  <c:v>-0.15809682990521801</c:v>
                </c:pt>
                <c:pt idx="1466">
                  <c:v>-7.6690085174357006E-2</c:v>
                </c:pt>
                <c:pt idx="1467">
                  <c:v>0.140520586980659</c:v>
                </c:pt>
                <c:pt idx="1468">
                  <c:v>-0.118504352344973</c:v>
                </c:pt>
                <c:pt idx="1469">
                  <c:v>-0.18232315047070199</c:v>
                </c:pt>
                <c:pt idx="1470">
                  <c:v>-0.102778545883213</c:v>
                </c:pt>
                <c:pt idx="1471">
                  <c:v>1.3985917956131E-2</c:v>
                </c:pt>
                <c:pt idx="1472">
                  <c:v>0.16511100467562301</c:v>
                </c:pt>
                <c:pt idx="1473">
                  <c:v>0.116994110590494</c:v>
                </c:pt>
                <c:pt idx="1474">
                  <c:v>-7.4172035048990906E-2</c:v>
                </c:pt>
                <c:pt idx="1475">
                  <c:v>-3.7006574324314999E-2</c:v>
                </c:pt>
                <c:pt idx="1476">
                  <c:v>-5.0095583344009001E-2</c:v>
                </c:pt>
                <c:pt idx="1477">
                  <c:v>-0.19478731820872899</c:v>
                </c:pt>
                <c:pt idx="1478">
                  <c:v>0.16382171072615601</c:v>
                </c:pt>
                <c:pt idx="1479">
                  <c:v>-0.15470798993749801</c:v>
                </c:pt>
                <c:pt idx="1480">
                  <c:v>-0.13669287818801201</c:v>
                </c:pt>
                <c:pt idx="1481">
                  <c:v>3.2734201741418901E-4</c:v>
                </c:pt>
                <c:pt idx="1482">
                  <c:v>0.175076799515685</c:v>
                </c:pt>
                <c:pt idx="1483">
                  <c:v>0.17880605105053099</c:v>
                </c:pt>
                <c:pt idx="1484">
                  <c:v>-8.2594291522046906E-2</c:v>
                </c:pt>
                <c:pt idx="1485">
                  <c:v>-0.10585934640448399</c:v>
                </c:pt>
                <c:pt idx="1486">
                  <c:v>-7.3968663160487197E-2</c:v>
                </c:pt>
                <c:pt idx="1487">
                  <c:v>5.0078632803536402E-2</c:v>
                </c:pt>
                <c:pt idx="1488">
                  <c:v>0.19342258000250601</c:v>
                </c:pt>
                <c:pt idx="1489">
                  <c:v>1.56295044588711E-3</c:v>
                </c:pt>
                <c:pt idx="1490">
                  <c:v>-0.19731209055656401</c:v>
                </c:pt>
                <c:pt idx="1491">
                  <c:v>5.11072149668923E-2</c:v>
                </c:pt>
                <c:pt idx="1492">
                  <c:v>-0.132634738327118</c:v>
                </c:pt>
                <c:pt idx="1493">
                  <c:v>5.6465545740570999E-2</c:v>
                </c:pt>
                <c:pt idx="1494">
                  <c:v>8.9183775023432207E-3</c:v>
                </c:pt>
                <c:pt idx="1495">
                  <c:v>-0.14585804740907499</c:v>
                </c:pt>
                <c:pt idx="1496">
                  <c:v>6.8336577048850794E-2</c:v>
                </c:pt>
                <c:pt idx="1497">
                  <c:v>0.13713069036820499</c:v>
                </c:pt>
                <c:pt idx="1498">
                  <c:v>-0.15319771325397799</c:v>
                </c:pt>
                <c:pt idx="1499">
                  <c:v>-0.169269772459477</c:v>
                </c:pt>
                <c:pt idx="1500">
                  <c:v>0.158875856009774</c:v>
                </c:pt>
                <c:pt idx="1501">
                  <c:v>0.199741028786803</c:v>
                </c:pt>
                <c:pt idx="1502">
                  <c:v>-7.4710088226360898E-3</c:v>
                </c:pt>
                <c:pt idx="1503">
                  <c:v>0.106662289254866</c:v>
                </c:pt>
                <c:pt idx="1504">
                  <c:v>0.125621458194795</c:v>
                </c:pt>
                <c:pt idx="1505">
                  <c:v>-3.6356191428585298E-3</c:v>
                </c:pt>
                <c:pt idx="1506">
                  <c:v>1.3366199381367299E-2</c:v>
                </c:pt>
                <c:pt idx="1507">
                  <c:v>-1.9495443649529098E-2</c:v>
                </c:pt>
                <c:pt idx="1508">
                  <c:v>-3.2761488809743299E-2</c:v>
                </c:pt>
                <c:pt idx="1509">
                  <c:v>-0.12663754541146299</c:v>
                </c:pt>
                <c:pt idx="1510">
                  <c:v>1.1976479699741799E-2</c:v>
                </c:pt>
                <c:pt idx="1511">
                  <c:v>9.9612452180711394E-2</c:v>
                </c:pt>
                <c:pt idx="1512">
                  <c:v>5.8325891194290196E-3</c:v>
                </c:pt>
                <c:pt idx="1513">
                  <c:v>-0.18198798009418801</c:v>
                </c:pt>
                <c:pt idx="1514">
                  <c:v>-0.17436712121421999</c:v>
                </c:pt>
                <c:pt idx="1515">
                  <c:v>0.14848676549908699</c:v>
                </c:pt>
                <c:pt idx="1516">
                  <c:v>-0.19371887201081001</c:v>
                </c:pt>
                <c:pt idx="1517">
                  <c:v>0.109105602498732</c:v>
                </c:pt>
                <c:pt idx="1518">
                  <c:v>-2.3083716531468099E-2</c:v>
                </c:pt>
                <c:pt idx="1519">
                  <c:v>0.139139697588506</c:v>
                </c:pt>
                <c:pt idx="1520">
                  <c:v>0.107050217754643</c:v>
                </c:pt>
                <c:pt idx="1521">
                  <c:v>-0.117762391842945</c:v>
                </c:pt>
                <c:pt idx="1522">
                  <c:v>5.7848504308292498E-2</c:v>
                </c:pt>
                <c:pt idx="1523">
                  <c:v>9.9102488165684496E-2</c:v>
                </c:pt>
                <c:pt idx="1524">
                  <c:v>-6.09926098613605E-3</c:v>
                </c:pt>
                <c:pt idx="1525">
                  <c:v>-8.9742936030338699E-2</c:v>
                </c:pt>
                <c:pt idx="1526">
                  <c:v>-0.18977865274413799</c:v>
                </c:pt>
                <c:pt idx="1527">
                  <c:v>0.16442709317516199</c:v>
                </c:pt>
                <c:pt idx="1528">
                  <c:v>4.5640842919685801E-2</c:v>
                </c:pt>
                <c:pt idx="1529">
                  <c:v>-0.119077279197959</c:v>
                </c:pt>
                <c:pt idx="1530">
                  <c:v>8.0815397283992604E-2</c:v>
                </c:pt>
                <c:pt idx="1531">
                  <c:v>-0.15170615247754701</c:v>
                </c:pt>
                <c:pt idx="1532">
                  <c:v>-1.03779729966041E-3</c:v>
                </c:pt>
                <c:pt idx="1533">
                  <c:v>0.19038751937697801</c:v>
                </c:pt>
                <c:pt idx="1534">
                  <c:v>-2.0315363367879102E-2</c:v>
                </c:pt>
                <c:pt idx="1535">
                  <c:v>0.117770598933329</c:v>
                </c:pt>
                <c:pt idx="1536">
                  <c:v>5.85050591398232E-2</c:v>
                </c:pt>
                <c:pt idx="1537">
                  <c:v>-0.124935784462348</c:v>
                </c:pt>
                <c:pt idx="1538">
                  <c:v>0.128024780673928</c:v>
                </c:pt>
                <c:pt idx="1539">
                  <c:v>-0.135449255130737</c:v>
                </c:pt>
                <c:pt idx="1540">
                  <c:v>-4.1615737671015403E-2</c:v>
                </c:pt>
                <c:pt idx="1541">
                  <c:v>0.130612364518959</c:v>
                </c:pt>
                <c:pt idx="1542">
                  <c:v>0.161943649034096</c:v>
                </c:pt>
                <c:pt idx="1543">
                  <c:v>0.14680490743984501</c:v>
                </c:pt>
                <c:pt idx="1544">
                  <c:v>0.150988808028821</c:v>
                </c:pt>
                <c:pt idx="1545">
                  <c:v>-0.101644233971061</c:v>
                </c:pt>
                <c:pt idx="1546">
                  <c:v>5.32484885408935E-2</c:v>
                </c:pt>
                <c:pt idx="1547">
                  <c:v>0.13903038448649299</c:v>
                </c:pt>
                <c:pt idx="1548">
                  <c:v>6.9055866883983894E-2</c:v>
                </c:pt>
                <c:pt idx="1549">
                  <c:v>-9.2900659963813706E-2</c:v>
                </c:pt>
                <c:pt idx="1550">
                  <c:v>-3.8329813953333097E-2</c:v>
                </c:pt>
                <c:pt idx="1551">
                  <c:v>-1.13324795631138E-2</c:v>
                </c:pt>
                <c:pt idx="1552">
                  <c:v>-0.192759426725952</c:v>
                </c:pt>
                <c:pt idx="1553">
                  <c:v>-0.12859941992582499</c:v>
                </c:pt>
                <c:pt idx="1554">
                  <c:v>-7.0227128987675302E-2</c:v>
                </c:pt>
                <c:pt idx="1555">
                  <c:v>5.9870151110431202E-2</c:v>
                </c:pt>
                <c:pt idx="1556">
                  <c:v>8.5958538476744603E-2</c:v>
                </c:pt>
                <c:pt idx="1557">
                  <c:v>8.9251596140866002E-2</c:v>
                </c:pt>
                <c:pt idx="1558">
                  <c:v>0.146634315504133</c:v>
                </c:pt>
                <c:pt idx="1559">
                  <c:v>-0.10552213148185199</c:v>
                </c:pt>
                <c:pt idx="1560">
                  <c:v>6.6540272529718794E-2</c:v>
                </c:pt>
                <c:pt idx="1561">
                  <c:v>-0.196206021075544</c:v>
                </c:pt>
                <c:pt idx="1562">
                  <c:v>-8.6508467731321301E-2</c:v>
                </c:pt>
                <c:pt idx="1563">
                  <c:v>3.55359839028715E-2</c:v>
                </c:pt>
                <c:pt idx="1564">
                  <c:v>0.16639194567306601</c:v>
                </c:pt>
                <c:pt idx="1565">
                  <c:v>-0.105428318952498</c:v>
                </c:pt>
                <c:pt idx="1566">
                  <c:v>-6.7532699968709503E-2</c:v>
                </c:pt>
                <c:pt idx="1567">
                  <c:v>-0.108067758295259</c:v>
                </c:pt>
                <c:pt idx="1568">
                  <c:v>7.2756110598536095E-2</c:v>
                </c:pt>
                <c:pt idx="1569">
                  <c:v>0.111706286794594</c:v>
                </c:pt>
                <c:pt idx="1570">
                  <c:v>-0.10873732137884699</c:v>
                </c:pt>
                <c:pt idx="1571">
                  <c:v>-3.8955495553437601E-2</c:v>
                </c:pt>
                <c:pt idx="1572">
                  <c:v>0.14652565360172501</c:v>
                </c:pt>
                <c:pt idx="1573">
                  <c:v>-0.157377387847314</c:v>
                </c:pt>
                <c:pt idx="1574">
                  <c:v>-4.9777096950608599E-3</c:v>
                </c:pt>
                <c:pt idx="1575">
                  <c:v>-3.71589279331156E-2</c:v>
                </c:pt>
                <c:pt idx="1576">
                  <c:v>-3.1498311936634403E-2</c:v>
                </c:pt>
                <c:pt idx="1577">
                  <c:v>0.13197872413932299</c:v>
                </c:pt>
                <c:pt idx="1578">
                  <c:v>0.103531542996017</c:v>
                </c:pt>
                <c:pt idx="1579">
                  <c:v>7.3564450062400005E-2</c:v>
                </c:pt>
                <c:pt idx="1580">
                  <c:v>-2.95821272127634E-2</c:v>
                </c:pt>
                <c:pt idx="1581">
                  <c:v>7.8936510658414505E-2</c:v>
                </c:pt>
                <c:pt idx="1582">
                  <c:v>8.4410423702983101E-2</c:v>
                </c:pt>
                <c:pt idx="1583">
                  <c:v>-0.129440167255188</c:v>
                </c:pt>
                <c:pt idx="1584">
                  <c:v>7.6429741123133596E-2</c:v>
                </c:pt>
                <c:pt idx="1585">
                  <c:v>-0.12480143192104701</c:v>
                </c:pt>
                <c:pt idx="1586">
                  <c:v>-0.15298710809450999</c:v>
                </c:pt>
                <c:pt idx="1587">
                  <c:v>7.39938919527136E-3</c:v>
                </c:pt>
                <c:pt idx="1588">
                  <c:v>-3.2510428946229603E-2</c:v>
                </c:pt>
                <c:pt idx="1589">
                  <c:v>3.2520113257652701E-2</c:v>
                </c:pt>
                <c:pt idx="1590">
                  <c:v>5.8160059144944098E-3</c:v>
                </c:pt>
                <c:pt idx="1591">
                  <c:v>-0.109229009260484</c:v>
                </c:pt>
                <c:pt idx="1592">
                  <c:v>-1.0290033976111499E-2</c:v>
                </c:pt>
                <c:pt idx="1593">
                  <c:v>4.0489229472509103E-2</c:v>
                </c:pt>
                <c:pt idx="1594">
                  <c:v>7.0666647263197796E-2</c:v>
                </c:pt>
                <c:pt idx="1595">
                  <c:v>-0.15795736892342899</c:v>
                </c:pt>
                <c:pt idx="1596">
                  <c:v>-0.102915439289709</c:v>
                </c:pt>
                <c:pt idx="1597">
                  <c:v>-0.14112243774079</c:v>
                </c:pt>
                <c:pt idx="1598">
                  <c:v>0.10775643026404901</c:v>
                </c:pt>
                <c:pt idx="1599">
                  <c:v>-0.19414953775143201</c:v>
                </c:pt>
                <c:pt idx="1600">
                  <c:v>3.9805872679137003E-2</c:v>
                </c:pt>
                <c:pt idx="1601">
                  <c:v>0.11060416394925</c:v>
                </c:pt>
                <c:pt idx="1602">
                  <c:v>-9.1639955342595603E-4</c:v>
                </c:pt>
                <c:pt idx="1603">
                  <c:v>0.193946485172139</c:v>
                </c:pt>
                <c:pt idx="1604">
                  <c:v>-3.0098678621516599E-2</c:v>
                </c:pt>
                <c:pt idx="1605">
                  <c:v>-5.7008746999360697E-2</c:v>
                </c:pt>
                <c:pt idx="1606">
                  <c:v>1.8830192989369301E-2</c:v>
                </c:pt>
                <c:pt idx="1607">
                  <c:v>-0.106545207305785</c:v>
                </c:pt>
                <c:pt idx="1608">
                  <c:v>0.18018807460695799</c:v>
                </c:pt>
                <c:pt idx="1609">
                  <c:v>-5.5042508740603797E-2</c:v>
                </c:pt>
                <c:pt idx="1610">
                  <c:v>1.31241345465493E-2</c:v>
                </c:pt>
                <c:pt idx="1611">
                  <c:v>6.9348072076804601E-2</c:v>
                </c:pt>
                <c:pt idx="1612">
                  <c:v>-3.3521357677028803E-2</c:v>
                </c:pt>
                <c:pt idx="1613">
                  <c:v>-0.106357924345754</c:v>
                </c:pt>
                <c:pt idx="1614">
                  <c:v>7.1481082874292806E-2</c:v>
                </c:pt>
                <c:pt idx="1615">
                  <c:v>0.116407671033566</c:v>
                </c:pt>
                <c:pt idx="1616">
                  <c:v>-0.116429495453271</c:v>
                </c:pt>
                <c:pt idx="1617">
                  <c:v>4.8943621811671299E-2</c:v>
                </c:pt>
                <c:pt idx="1618">
                  <c:v>8.1882701115894393E-2</c:v>
                </c:pt>
                <c:pt idx="1619">
                  <c:v>-7.0951518323522797E-2</c:v>
                </c:pt>
                <c:pt idx="1620">
                  <c:v>-1.09657561253481E-2</c:v>
                </c:pt>
                <c:pt idx="1621">
                  <c:v>-0.130348850289327</c:v>
                </c:pt>
                <c:pt idx="1622">
                  <c:v>-0.122954574354508</c:v>
                </c:pt>
                <c:pt idx="1623">
                  <c:v>-5.1040266833252197E-2</c:v>
                </c:pt>
                <c:pt idx="1624">
                  <c:v>0.111927523075335</c:v>
                </c:pt>
                <c:pt idx="1625">
                  <c:v>8.0367231593313299E-2</c:v>
                </c:pt>
                <c:pt idx="1626">
                  <c:v>-5.9936543202129697E-2</c:v>
                </c:pt>
                <c:pt idx="1627">
                  <c:v>9.1343141822566906E-2</c:v>
                </c:pt>
                <c:pt idx="1628">
                  <c:v>-6.4944626233414404E-2</c:v>
                </c:pt>
                <c:pt idx="1629">
                  <c:v>-0.119742519426836</c:v>
                </c:pt>
                <c:pt idx="1630">
                  <c:v>6.3598614727890801E-2</c:v>
                </c:pt>
                <c:pt idx="1631">
                  <c:v>0.18762610248583</c:v>
                </c:pt>
                <c:pt idx="1632">
                  <c:v>-0.16614397844411199</c:v>
                </c:pt>
                <c:pt idx="1633">
                  <c:v>0.19764157061859999</c:v>
                </c:pt>
                <c:pt idx="1634">
                  <c:v>0.16502919237941199</c:v>
                </c:pt>
                <c:pt idx="1635">
                  <c:v>-0.12704520549609399</c:v>
                </c:pt>
                <c:pt idx="1636">
                  <c:v>3.9626356136450699E-2</c:v>
                </c:pt>
                <c:pt idx="1637">
                  <c:v>4.7046188827660103E-2</c:v>
                </c:pt>
                <c:pt idx="1638">
                  <c:v>-8.7169223098637102E-2</c:v>
                </c:pt>
                <c:pt idx="1639">
                  <c:v>-0.17883972744459301</c:v>
                </c:pt>
                <c:pt idx="1640">
                  <c:v>8.3504366993194495E-2</c:v>
                </c:pt>
                <c:pt idx="1641">
                  <c:v>-0.14513288779533201</c:v>
                </c:pt>
                <c:pt idx="1642">
                  <c:v>0.17270662433414599</c:v>
                </c:pt>
                <c:pt idx="1643">
                  <c:v>-0.13169016337644299</c:v>
                </c:pt>
                <c:pt idx="1644">
                  <c:v>0.16274478293643199</c:v>
                </c:pt>
                <c:pt idx="1645">
                  <c:v>0.110915507684464</c:v>
                </c:pt>
                <c:pt idx="1646">
                  <c:v>0.161372677625778</c:v>
                </c:pt>
                <c:pt idx="1647">
                  <c:v>-3.0145482113060899E-2</c:v>
                </c:pt>
                <c:pt idx="1648">
                  <c:v>0.192857550099581</c:v>
                </c:pt>
                <c:pt idx="1649">
                  <c:v>6.6481802152923902E-2</c:v>
                </c:pt>
                <c:pt idx="1650">
                  <c:v>0.106572864812104</c:v>
                </c:pt>
                <c:pt idx="1651">
                  <c:v>-2.27553513602721E-2</c:v>
                </c:pt>
                <c:pt idx="1652">
                  <c:v>-0.19533350757381601</c:v>
                </c:pt>
                <c:pt idx="1653">
                  <c:v>0.17871207775279199</c:v>
                </c:pt>
                <c:pt idx="1654">
                  <c:v>2.9029092702592098E-2</c:v>
                </c:pt>
                <c:pt idx="1655">
                  <c:v>-7.1574005554462694E-2</c:v>
                </c:pt>
                <c:pt idx="1656">
                  <c:v>-0.14811253011492001</c:v>
                </c:pt>
                <c:pt idx="1657">
                  <c:v>-6.4164569912668903E-2</c:v>
                </c:pt>
                <c:pt idx="1658">
                  <c:v>-0.16257110893275101</c:v>
                </c:pt>
                <c:pt idx="1659">
                  <c:v>-0.13216686598197</c:v>
                </c:pt>
                <c:pt idx="1660">
                  <c:v>-7.1472058572896499E-2</c:v>
                </c:pt>
                <c:pt idx="1661">
                  <c:v>5.8616493628727701E-2</c:v>
                </c:pt>
                <c:pt idx="1662">
                  <c:v>0.110920195990604</c:v>
                </c:pt>
                <c:pt idx="1663">
                  <c:v>-0.162294555503952</c:v>
                </c:pt>
                <c:pt idx="1664">
                  <c:v>2.2755079648802901E-2</c:v>
                </c:pt>
                <c:pt idx="1665">
                  <c:v>0.10929275729424399</c:v>
                </c:pt>
                <c:pt idx="1666">
                  <c:v>2.3231245733240102E-2</c:v>
                </c:pt>
                <c:pt idx="1667">
                  <c:v>-2.5774110061931001E-2</c:v>
                </c:pt>
                <c:pt idx="1668">
                  <c:v>0.144902042391367</c:v>
                </c:pt>
                <c:pt idx="1669">
                  <c:v>0.16305700788386401</c:v>
                </c:pt>
                <c:pt idx="1670">
                  <c:v>3.88557739396602E-2</c:v>
                </c:pt>
                <c:pt idx="1671">
                  <c:v>0.17156769438387801</c:v>
                </c:pt>
                <c:pt idx="1672">
                  <c:v>0.13353050675471001</c:v>
                </c:pt>
                <c:pt idx="1673">
                  <c:v>0.19714644514253701</c:v>
                </c:pt>
                <c:pt idx="1674">
                  <c:v>4.8561814765458303E-2</c:v>
                </c:pt>
                <c:pt idx="1675">
                  <c:v>0.160153577622763</c:v>
                </c:pt>
                <c:pt idx="1676">
                  <c:v>-0.13031687520094201</c:v>
                </c:pt>
                <c:pt idx="1677">
                  <c:v>-6.8606596025367006E-2</c:v>
                </c:pt>
                <c:pt idx="1678">
                  <c:v>0.169460024303243</c:v>
                </c:pt>
                <c:pt idx="1679">
                  <c:v>0.172084198759892</c:v>
                </c:pt>
                <c:pt idx="1680">
                  <c:v>-2.41062729853515E-2</c:v>
                </c:pt>
                <c:pt idx="1681">
                  <c:v>-3.0658627416098101E-2</c:v>
                </c:pt>
                <c:pt idx="1682">
                  <c:v>-0.14655182937663599</c:v>
                </c:pt>
                <c:pt idx="1683">
                  <c:v>-0.115387636174184</c:v>
                </c:pt>
                <c:pt idx="1684">
                  <c:v>0.190260137854839</c:v>
                </c:pt>
                <c:pt idx="1685">
                  <c:v>-5.1812334961850399E-2</c:v>
                </c:pt>
                <c:pt idx="1686">
                  <c:v>1.7958423015555398E-2</c:v>
                </c:pt>
                <c:pt idx="1687">
                  <c:v>-8.3918195451557806E-2</c:v>
                </c:pt>
                <c:pt idx="1688">
                  <c:v>0.161572460102405</c:v>
                </c:pt>
                <c:pt idx="1689">
                  <c:v>-0.17369140297549601</c:v>
                </c:pt>
                <c:pt idx="1690">
                  <c:v>-4.3601075079763001E-3</c:v>
                </c:pt>
                <c:pt idx="1691">
                  <c:v>-0.10921538503438601</c:v>
                </c:pt>
                <c:pt idx="1692">
                  <c:v>-0.115460210062341</c:v>
                </c:pt>
                <c:pt idx="1693">
                  <c:v>0.112559065649039</c:v>
                </c:pt>
                <c:pt idx="1694">
                  <c:v>-0.17608155362644501</c:v>
                </c:pt>
                <c:pt idx="1695">
                  <c:v>-0.101204675918755</c:v>
                </c:pt>
                <c:pt idx="1696">
                  <c:v>-3.5796277954765398E-3</c:v>
                </c:pt>
                <c:pt idx="1697">
                  <c:v>-3.3085822651955803E-2</c:v>
                </c:pt>
                <c:pt idx="1698">
                  <c:v>-0.12898363598896601</c:v>
                </c:pt>
                <c:pt idx="1699">
                  <c:v>-5.8029853083577901E-2</c:v>
                </c:pt>
                <c:pt idx="1700">
                  <c:v>0.12860639796773499</c:v>
                </c:pt>
                <c:pt idx="1701">
                  <c:v>-0.17419561328181399</c:v>
                </c:pt>
                <c:pt idx="1702">
                  <c:v>-9.032468912595E-2</c:v>
                </c:pt>
                <c:pt idx="1703">
                  <c:v>-0.15757843963700899</c:v>
                </c:pt>
                <c:pt idx="1704">
                  <c:v>-0.176244206170795</c:v>
                </c:pt>
                <c:pt idx="1705">
                  <c:v>2.80926096763712E-2</c:v>
                </c:pt>
                <c:pt idx="1706">
                  <c:v>-8.5664520856685106E-2</c:v>
                </c:pt>
                <c:pt idx="1707">
                  <c:v>-0.16088117674173999</c:v>
                </c:pt>
                <c:pt idx="1708">
                  <c:v>8.3516302258645495E-2</c:v>
                </c:pt>
                <c:pt idx="1709">
                  <c:v>0.100282084189075</c:v>
                </c:pt>
                <c:pt idx="1710">
                  <c:v>-0.168742144043528</c:v>
                </c:pt>
                <c:pt idx="1711">
                  <c:v>0.10774307738693099</c:v>
                </c:pt>
                <c:pt idx="1712">
                  <c:v>0.186819739625531</c:v>
                </c:pt>
                <c:pt idx="1713">
                  <c:v>-0.150263588783208</c:v>
                </c:pt>
                <c:pt idx="1714">
                  <c:v>8.5566615040599606E-2</c:v>
                </c:pt>
                <c:pt idx="1715">
                  <c:v>-0.122409572168064</c:v>
                </c:pt>
                <c:pt idx="1716">
                  <c:v>-7.7558726680967097E-2</c:v>
                </c:pt>
                <c:pt idx="1717">
                  <c:v>0.12649163284304701</c:v>
                </c:pt>
                <c:pt idx="1718">
                  <c:v>0.17050186342015999</c:v>
                </c:pt>
                <c:pt idx="1719">
                  <c:v>-3.4756968042005502E-2</c:v>
                </c:pt>
                <c:pt idx="1720">
                  <c:v>-0.133674695669416</c:v>
                </c:pt>
                <c:pt idx="1721">
                  <c:v>0.14739455644127</c:v>
                </c:pt>
                <c:pt idx="1722">
                  <c:v>-0.10069564092434299</c:v>
                </c:pt>
                <c:pt idx="1723">
                  <c:v>-7.7508046305883496E-2</c:v>
                </c:pt>
                <c:pt idx="1724">
                  <c:v>-0.145781681026662</c:v>
                </c:pt>
                <c:pt idx="1725">
                  <c:v>0.107784038037404</c:v>
                </c:pt>
                <c:pt idx="1726">
                  <c:v>6.2076705236504902E-2</c:v>
                </c:pt>
                <c:pt idx="1727">
                  <c:v>0.11803053167753701</c:v>
                </c:pt>
                <c:pt idx="1728">
                  <c:v>-3.06581962322077E-2</c:v>
                </c:pt>
                <c:pt idx="1729">
                  <c:v>0.14798400706200901</c:v>
                </c:pt>
                <c:pt idx="1730">
                  <c:v>-9.98010029153579E-2</c:v>
                </c:pt>
                <c:pt idx="1731">
                  <c:v>-0.107840601451848</c:v>
                </c:pt>
                <c:pt idx="1732">
                  <c:v>6.0981625763252799E-2</c:v>
                </c:pt>
                <c:pt idx="1733">
                  <c:v>-0.19665095482781</c:v>
                </c:pt>
                <c:pt idx="1734">
                  <c:v>-0.18649209297320701</c:v>
                </c:pt>
                <c:pt idx="1735">
                  <c:v>-4.9989733941946501E-2</c:v>
                </c:pt>
                <c:pt idx="1736">
                  <c:v>9.9026901674276593E-2</c:v>
                </c:pt>
                <c:pt idx="1737">
                  <c:v>0.18321690483665901</c:v>
                </c:pt>
                <c:pt idx="1738">
                  <c:v>-9.68779723199929E-2</c:v>
                </c:pt>
                <c:pt idx="1739">
                  <c:v>-0.14858735308031501</c:v>
                </c:pt>
                <c:pt idx="1740">
                  <c:v>-2.74546617473456E-2</c:v>
                </c:pt>
                <c:pt idx="1741">
                  <c:v>-7.3701838947708397E-3</c:v>
                </c:pt>
                <c:pt idx="1742">
                  <c:v>0.15994233255721901</c:v>
                </c:pt>
                <c:pt idx="1743">
                  <c:v>0.142548608732597</c:v>
                </c:pt>
                <c:pt idx="1744">
                  <c:v>-4.28101413460443E-2</c:v>
                </c:pt>
                <c:pt idx="1745">
                  <c:v>0.17374512496109601</c:v>
                </c:pt>
                <c:pt idx="1746">
                  <c:v>-0.17842954231786101</c:v>
                </c:pt>
                <c:pt idx="1747">
                  <c:v>3.3618486127146303E-2</c:v>
                </c:pt>
                <c:pt idx="1748">
                  <c:v>-6.3657265911540695E-2</c:v>
                </c:pt>
                <c:pt idx="1749">
                  <c:v>1.70381519334947E-2</c:v>
                </c:pt>
                <c:pt idx="1750">
                  <c:v>0.18818486091366199</c:v>
                </c:pt>
                <c:pt idx="1751">
                  <c:v>-0.19408256287401099</c:v>
                </c:pt>
                <c:pt idx="1752">
                  <c:v>1.99800976784631E-2</c:v>
                </c:pt>
                <c:pt idx="1753">
                  <c:v>-4.5551659075149997E-3</c:v>
                </c:pt>
                <c:pt idx="1754">
                  <c:v>-0.13446295794591301</c:v>
                </c:pt>
                <c:pt idx="1755">
                  <c:v>0.117289670233316</c:v>
                </c:pt>
                <c:pt idx="1756">
                  <c:v>-7.6018707040583194E-2</c:v>
                </c:pt>
                <c:pt idx="1757">
                  <c:v>0.13977386217641299</c:v>
                </c:pt>
                <c:pt idx="1758">
                  <c:v>-7.4105736685314796E-2</c:v>
                </c:pt>
                <c:pt idx="1759">
                  <c:v>-9.0023408226780302E-2</c:v>
                </c:pt>
                <c:pt idx="1760">
                  <c:v>-8.8979192961772605E-2</c:v>
                </c:pt>
                <c:pt idx="1761">
                  <c:v>-4.0827198025022597E-2</c:v>
                </c:pt>
                <c:pt idx="1762">
                  <c:v>-8.62770016267351E-2</c:v>
                </c:pt>
                <c:pt idx="1763">
                  <c:v>-3.7782774752334602E-2</c:v>
                </c:pt>
                <c:pt idx="1764">
                  <c:v>-0.18453635926718301</c:v>
                </c:pt>
                <c:pt idx="1765">
                  <c:v>6.3344131001881104E-2</c:v>
                </c:pt>
                <c:pt idx="1766">
                  <c:v>-8.2722515654219494E-2</c:v>
                </c:pt>
                <c:pt idx="1767">
                  <c:v>0.15397048774512001</c:v>
                </c:pt>
                <c:pt idx="1768">
                  <c:v>-0.16207710511300499</c:v>
                </c:pt>
                <c:pt idx="1769">
                  <c:v>-2.7146090036908099E-2</c:v>
                </c:pt>
                <c:pt idx="1770">
                  <c:v>-8.8162703893106903E-2</c:v>
                </c:pt>
                <c:pt idx="1771">
                  <c:v>-4.9168266735249697E-2</c:v>
                </c:pt>
                <c:pt idx="1772">
                  <c:v>0.19640859404602201</c:v>
                </c:pt>
                <c:pt idx="1773">
                  <c:v>4.0084320059982297E-2</c:v>
                </c:pt>
                <c:pt idx="1774">
                  <c:v>0.19250833110167201</c:v>
                </c:pt>
                <c:pt idx="1775">
                  <c:v>2.5746128329792398E-2</c:v>
                </c:pt>
                <c:pt idx="1776">
                  <c:v>-6.9248253835111906E-2</c:v>
                </c:pt>
                <c:pt idx="1777">
                  <c:v>9.3230803455778798E-3</c:v>
                </c:pt>
                <c:pt idx="1778">
                  <c:v>8.11446257897388E-2</c:v>
                </c:pt>
                <c:pt idx="1779">
                  <c:v>-0.124796577155306</c:v>
                </c:pt>
                <c:pt idx="1780">
                  <c:v>0.18173387482689701</c:v>
                </c:pt>
                <c:pt idx="1781">
                  <c:v>1.41930750009339E-2</c:v>
                </c:pt>
                <c:pt idx="1782">
                  <c:v>-0.18253441131916401</c:v>
                </c:pt>
                <c:pt idx="1783">
                  <c:v>-8.47845671121953E-2</c:v>
                </c:pt>
                <c:pt idx="1784">
                  <c:v>-8.2472822014935707E-2</c:v>
                </c:pt>
                <c:pt idx="1785">
                  <c:v>0.10866414414022101</c:v>
                </c:pt>
                <c:pt idx="1786">
                  <c:v>5.7607374213442801E-2</c:v>
                </c:pt>
                <c:pt idx="1787">
                  <c:v>9.5976673298405202E-2</c:v>
                </c:pt>
                <c:pt idx="1788">
                  <c:v>-0.14690123163909799</c:v>
                </c:pt>
                <c:pt idx="1789">
                  <c:v>0.16660977581515499</c:v>
                </c:pt>
                <c:pt idx="1790">
                  <c:v>-3.6195936153609401E-2</c:v>
                </c:pt>
                <c:pt idx="1791">
                  <c:v>-6.99689602217856E-2</c:v>
                </c:pt>
                <c:pt idx="1792">
                  <c:v>-3.1569197431147E-2</c:v>
                </c:pt>
                <c:pt idx="1793">
                  <c:v>0.13254306643706101</c:v>
                </c:pt>
                <c:pt idx="1794">
                  <c:v>9.4866073205339095E-3</c:v>
                </c:pt>
                <c:pt idx="1795">
                  <c:v>-4.1226013089545203E-2</c:v>
                </c:pt>
                <c:pt idx="1796">
                  <c:v>-6.9343959452134799E-2</c:v>
                </c:pt>
                <c:pt idx="1797">
                  <c:v>0.16346823541349401</c:v>
                </c:pt>
                <c:pt idx="1798">
                  <c:v>-8.6674220470713201E-2</c:v>
                </c:pt>
                <c:pt idx="1799">
                  <c:v>0.18304659791455599</c:v>
                </c:pt>
                <c:pt idx="1800">
                  <c:v>-9.9397237367081694E-3</c:v>
                </c:pt>
                <c:pt idx="1801">
                  <c:v>2.7014951180398799E-3</c:v>
                </c:pt>
                <c:pt idx="1802">
                  <c:v>-0.159079410404243</c:v>
                </c:pt>
                <c:pt idx="1803">
                  <c:v>-7.1661242965240901E-2</c:v>
                </c:pt>
                <c:pt idx="1804">
                  <c:v>-8.5515571477156493E-2</c:v>
                </c:pt>
                <c:pt idx="1805">
                  <c:v>3.4439199135270097E-2</c:v>
                </c:pt>
                <c:pt idx="1806">
                  <c:v>-4.1852568973984802E-2</c:v>
                </c:pt>
                <c:pt idx="1807">
                  <c:v>-0.19502847300760801</c:v>
                </c:pt>
                <c:pt idx="1808">
                  <c:v>-0.16369675746033899</c:v>
                </c:pt>
                <c:pt idx="1809">
                  <c:v>-0.100465065888472</c:v>
                </c:pt>
                <c:pt idx="1810">
                  <c:v>0.101061028114864</c:v>
                </c:pt>
                <c:pt idx="1811">
                  <c:v>0.18949983787484001</c:v>
                </c:pt>
                <c:pt idx="1812">
                  <c:v>-0.11944412434716201</c:v>
                </c:pt>
                <c:pt idx="1813">
                  <c:v>0.19451944915469699</c:v>
                </c:pt>
                <c:pt idx="1814">
                  <c:v>-0.111931699122276</c:v>
                </c:pt>
                <c:pt idx="1815">
                  <c:v>6.48311365807544E-2</c:v>
                </c:pt>
                <c:pt idx="1816">
                  <c:v>-5.6999489662453003E-2</c:v>
                </c:pt>
                <c:pt idx="1817">
                  <c:v>-3.0148235631558599E-2</c:v>
                </c:pt>
                <c:pt idx="1818">
                  <c:v>-0.17554098622900899</c:v>
                </c:pt>
                <c:pt idx="1819">
                  <c:v>-0.198259855030441</c:v>
                </c:pt>
                <c:pt idx="1820">
                  <c:v>-3.4305102634307999E-2</c:v>
                </c:pt>
                <c:pt idx="1821">
                  <c:v>-0.17687322590243601</c:v>
                </c:pt>
                <c:pt idx="1822">
                  <c:v>-0.113778312050154</c:v>
                </c:pt>
                <c:pt idx="1823">
                  <c:v>1.08550404853907E-2</c:v>
                </c:pt>
                <c:pt idx="1824">
                  <c:v>9.4703249748879208E-3</c:v>
                </c:pt>
                <c:pt idx="1825">
                  <c:v>-9.6498835837725602E-2</c:v>
                </c:pt>
                <c:pt idx="1826">
                  <c:v>6.4231641435726905E-2</c:v>
                </c:pt>
                <c:pt idx="1827">
                  <c:v>-4.7406959137937701E-2</c:v>
                </c:pt>
                <c:pt idx="1828">
                  <c:v>-6.6730995806763199E-2</c:v>
                </c:pt>
                <c:pt idx="1829">
                  <c:v>3.0011127182519599E-2</c:v>
                </c:pt>
                <c:pt idx="1830">
                  <c:v>-0.18275078518512</c:v>
                </c:pt>
                <c:pt idx="1831">
                  <c:v>-5.8245631526802601E-2</c:v>
                </c:pt>
                <c:pt idx="1832">
                  <c:v>8.1913823892655793E-2</c:v>
                </c:pt>
                <c:pt idx="1833">
                  <c:v>-5.6448826105626598E-2</c:v>
                </c:pt>
                <c:pt idx="1834">
                  <c:v>-0.19184082687922199</c:v>
                </c:pt>
                <c:pt idx="1835">
                  <c:v>0.131413025839412</c:v>
                </c:pt>
                <c:pt idx="1836">
                  <c:v>-0.11314547758471399</c:v>
                </c:pt>
                <c:pt idx="1837">
                  <c:v>-7.9608476351869503E-2</c:v>
                </c:pt>
                <c:pt idx="1838">
                  <c:v>-2.9002773802198401E-2</c:v>
                </c:pt>
                <c:pt idx="1839">
                  <c:v>-5.3872798142876002E-2</c:v>
                </c:pt>
                <c:pt idx="1840">
                  <c:v>-0.174594630013405</c:v>
                </c:pt>
                <c:pt idx="1841">
                  <c:v>0.143719855287093</c:v>
                </c:pt>
                <c:pt idx="1842">
                  <c:v>-0.146786310689376</c:v>
                </c:pt>
                <c:pt idx="1843">
                  <c:v>6.0994354719492001E-2</c:v>
                </c:pt>
                <c:pt idx="1844">
                  <c:v>0.116988983061785</c:v>
                </c:pt>
                <c:pt idx="1845">
                  <c:v>0.104796430117435</c:v>
                </c:pt>
                <c:pt idx="1846">
                  <c:v>0.141558432499022</c:v>
                </c:pt>
                <c:pt idx="1847">
                  <c:v>-1.42822327050101E-2</c:v>
                </c:pt>
                <c:pt idx="1848">
                  <c:v>-0.172966509056658</c:v>
                </c:pt>
                <c:pt idx="1849">
                  <c:v>-7.10711502629367E-2</c:v>
                </c:pt>
                <c:pt idx="1850">
                  <c:v>-3.46016605264676E-3</c:v>
                </c:pt>
                <c:pt idx="1851">
                  <c:v>0.174926118324605</c:v>
                </c:pt>
                <c:pt idx="1852">
                  <c:v>-7.5554992057225906E-2</c:v>
                </c:pt>
                <c:pt idx="1853">
                  <c:v>0.119151864564997</c:v>
                </c:pt>
                <c:pt idx="1854">
                  <c:v>1.5807202095106401E-2</c:v>
                </c:pt>
                <c:pt idx="1855">
                  <c:v>9.3207187007633793E-2</c:v>
                </c:pt>
                <c:pt idx="1856">
                  <c:v>3.7999236283468601E-2</c:v>
                </c:pt>
                <c:pt idx="1857">
                  <c:v>-0.17151089402062</c:v>
                </c:pt>
                <c:pt idx="1858">
                  <c:v>-0.175980176607794</c:v>
                </c:pt>
                <c:pt idx="1859">
                  <c:v>4.42696069654318E-2</c:v>
                </c:pt>
                <c:pt idx="1860">
                  <c:v>-9.1741554859151295E-2</c:v>
                </c:pt>
                <c:pt idx="1861">
                  <c:v>0.189685186200065</c:v>
                </c:pt>
                <c:pt idx="1862">
                  <c:v>-0.13895552769942601</c:v>
                </c:pt>
                <c:pt idx="1863">
                  <c:v>-0.14669895092638699</c:v>
                </c:pt>
                <c:pt idx="1864">
                  <c:v>0.13544046806472099</c:v>
                </c:pt>
                <c:pt idx="1865">
                  <c:v>-0.106338440726839</c:v>
                </c:pt>
                <c:pt idx="1866">
                  <c:v>-0.16464994831392299</c:v>
                </c:pt>
                <c:pt idx="1867">
                  <c:v>9.2020663102195296E-2</c:v>
                </c:pt>
                <c:pt idx="1868">
                  <c:v>-0.15546325782027501</c:v>
                </c:pt>
                <c:pt idx="1869">
                  <c:v>-7.5015955981315094E-2</c:v>
                </c:pt>
                <c:pt idx="1870">
                  <c:v>1.12475418324345E-2</c:v>
                </c:pt>
                <c:pt idx="1871">
                  <c:v>1.21298427034059E-2</c:v>
                </c:pt>
                <c:pt idx="1872">
                  <c:v>-5.0778238189338097E-2</c:v>
                </c:pt>
                <c:pt idx="1873">
                  <c:v>0.12296546546455001</c:v>
                </c:pt>
                <c:pt idx="1874">
                  <c:v>-0.17505742084894901</c:v>
                </c:pt>
                <c:pt idx="1875">
                  <c:v>-0.13726959299090699</c:v>
                </c:pt>
                <c:pt idx="1876">
                  <c:v>0.173729231605778</c:v>
                </c:pt>
                <c:pt idx="1877">
                  <c:v>-6.2016683406451202E-2</c:v>
                </c:pt>
                <c:pt idx="1878">
                  <c:v>-0.16374873156933301</c:v>
                </c:pt>
                <c:pt idx="1879">
                  <c:v>0.185440311615646</c:v>
                </c:pt>
                <c:pt idx="1880">
                  <c:v>-0.116090297909127</c:v>
                </c:pt>
                <c:pt idx="1881">
                  <c:v>0.133233001532543</c:v>
                </c:pt>
                <c:pt idx="1882">
                  <c:v>0.18868847000317199</c:v>
                </c:pt>
                <c:pt idx="1883">
                  <c:v>0.15451560503679401</c:v>
                </c:pt>
                <c:pt idx="1884">
                  <c:v>-5.20764888910209E-2</c:v>
                </c:pt>
                <c:pt idx="1885">
                  <c:v>-6.2665781726066794E-2</c:v>
                </c:pt>
                <c:pt idx="1886">
                  <c:v>7.3529019267330006E-2</c:v>
                </c:pt>
                <c:pt idx="1887">
                  <c:v>-0.11280336688062401</c:v>
                </c:pt>
                <c:pt idx="1888">
                  <c:v>7.9858327565634199E-2</c:v>
                </c:pt>
                <c:pt idx="1889">
                  <c:v>3.05124258844287E-2</c:v>
                </c:pt>
                <c:pt idx="1890">
                  <c:v>8.2208063040872498E-2</c:v>
                </c:pt>
                <c:pt idx="1891">
                  <c:v>-6.5968936585476007E-2</c:v>
                </c:pt>
                <c:pt idx="1892">
                  <c:v>-8.0538394160418705E-2</c:v>
                </c:pt>
                <c:pt idx="1893">
                  <c:v>-6.2044672735031899E-2</c:v>
                </c:pt>
                <c:pt idx="1894">
                  <c:v>-0.10415767597306699</c:v>
                </c:pt>
                <c:pt idx="1895">
                  <c:v>0.17860936837001101</c:v>
                </c:pt>
                <c:pt idx="1896">
                  <c:v>1.3948480708102199E-2</c:v>
                </c:pt>
                <c:pt idx="1897">
                  <c:v>-2.5426677625039799E-2</c:v>
                </c:pt>
                <c:pt idx="1898">
                  <c:v>0.16095280311306301</c:v>
                </c:pt>
                <c:pt idx="1899">
                  <c:v>-0.12923220642734501</c:v>
                </c:pt>
                <c:pt idx="1900">
                  <c:v>-3.08378077809029E-2</c:v>
                </c:pt>
                <c:pt idx="1901">
                  <c:v>-0.15989370405658801</c:v>
                </c:pt>
                <c:pt idx="1902">
                  <c:v>-8.9048633384161899E-3</c:v>
                </c:pt>
                <c:pt idx="1903">
                  <c:v>9.5641007685316595E-2</c:v>
                </c:pt>
                <c:pt idx="1904">
                  <c:v>6.5840438929769401E-2</c:v>
                </c:pt>
                <c:pt idx="1905">
                  <c:v>-0.18098246198451301</c:v>
                </c:pt>
                <c:pt idx="1906">
                  <c:v>-9.2834164354522797E-2</c:v>
                </c:pt>
                <c:pt idx="1907">
                  <c:v>-1.9979316178811199E-2</c:v>
                </c:pt>
                <c:pt idx="1908">
                  <c:v>0.160811644791993</c:v>
                </c:pt>
                <c:pt idx="1909">
                  <c:v>-7.6863815411131797E-2</c:v>
                </c:pt>
                <c:pt idx="1910">
                  <c:v>0.10513735246599699</c:v>
                </c:pt>
                <c:pt idx="1911">
                  <c:v>1.9401478249491001E-2</c:v>
                </c:pt>
                <c:pt idx="1912">
                  <c:v>8.2285686626594301E-2</c:v>
                </c:pt>
                <c:pt idx="1913">
                  <c:v>-0.19435892423405601</c:v>
                </c:pt>
                <c:pt idx="1914">
                  <c:v>-3.4498266169169199E-2</c:v>
                </c:pt>
                <c:pt idx="1915">
                  <c:v>0.12703065208624001</c:v>
                </c:pt>
                <c:pt idx="1916">
                  <c:v>8.8822352386595499E-2</c:v>
                </c:pt>
                <c:pt idx="1917">
                  <c:v>5.1051511308851903E-2</c:v>
                </c:pt>
                <c:pt idx="1918">
                  <c:v>-5.1929551195306699E-2</c:v>
                </c:pt>
                <c:pt idx="1919">
                  <c:v>2.5283848725277801E-2</c:v>
                </c:pt>
                <c:pt idx="1920">
                  <c:v>-0.19866581950002499</c:v>
                </c:pt>
                <c:pt idx="1921">
                  <c:v>-8.8239530898823804E-2</c:v>
                </c:pt>
                <c:pt idx="1922">
                  <c:v>-0.189391758522439</c:v>
                </c:pt>
                <c:pt idx="1923">
                  <c:v>1.5238943730533199E-2</c:v>
                </c:pt>
                <c:pt idx="1924">
                  <c:v>-8.5712513860026096E-2</c:v>
                </c:pt>
                <c:pt idx="1925">
                  <c:v>6.8995179628606004E-2</c:v>
                </c:pt>
                <c:pt idx="1926">
                  <c:v>0.193413787378063</c:v>
                </c:pt>
                <c:pt idx="1927">
                  <c:v>9.5856212186108194E-2</c:v>
                </c:pt>
                <c:pt idx="1928">
                  <c:v>0.17987214273374899</c:v>
                </c:pt>
                <c:pt idx="1929">
                  <c:v>0.10377065348742601</c:v>
                </c:pt>
                <c:pt idx="1930">
                  <c:v>0.184685081129846</c:v>
                </c:pt>
                <c:pt idx="1931">
                  <c:v>5.305858573398E-2</c:v>
                </c:pt>
                <c:pt idx="1932">
                  <c:v>-9.7465169734846105E-2</c:v>
                </c:pt>
                <c:pt idx="1933">
                  <c:v>-6.5076919694934204E-2</c:v>
                </c:pt>
                <c:pt idx="1934">
                  <c:v>-0.19631595920143599</c:v>
                </c:pt>
                <c:pt idx="1935">
                  <c:v>7.8259233321243293E-2</c:v>
                </c:pt>
                <c:pt idx="1936">
                  <c:v>1.1201007339985401E-3</c:v>
                </c:pt>
                <c:pt idx="1937">
                  <c:v>-8.0681054675543595E-2</c:v>
                </c:pt>
                <c:pt idx="1938">
                  <c:v>6.01809508179528E-2</c:v>
                </c:pt>
                <c:pt idx="1939">
                  <c:v>-3.2842792876797901E-2</c:v>
                </c:pt>
                <c:pt idx="1940">
                  <c:v>0.16004663851765299</c:v>
                </c:pt>
                <c:pt idx="1941">
                  <c:v>-5.01287629928997E-2</c:v>
                </c:pt>
                <c:pt idx="1942">
                  <c:v>-0.186796090610819</c:v>
                </c:pt>
                <c:pt idx="1943">
                  <c:v>-0.10917465013063</c:v>
                </c:pt>
                <c:pt idx="1944">
                  <c:v>-2.62002036749737E-2</c:v>
                </c:pt>
                <c:pt idx="1945">
                  <c:v>-0.122283643164974</c:v>
                </c:pt>
                <c:pt idx="1946">
                  <c:v>1.09267067919509E-2</c:v>
                </c:pt>
                <c:pt idx="1947">
                  <c:v>7.4204081983384795E-2</c:v>
                </c:pt>
                <c:pt idx="1948">
                  <c:v>8.21447770422358E-2</c:v>
                </c:pt>
                <c:pt idx="1949">
                  <c:v>-0.179730188535972</c:v>
                </c:pt>
                <c:pt idx="1950">
                  <c:v>0.146827362555909</c:v>
                </c:pt>
                <c:pt idx="1951">
                  <c:v>0.134860981881576</c:v>
                </c:pt>
                <c:pt idx="1952">
                  <c:v>0.17893367231006499</c:v>
                </c:pt>
                <c:pt idx="1953">
                  <c:v>-4.7087870016596797E-2</c:v>
                </c:pt>
                <c:pt idx="1954">
                  <c:v>-2.02612003819043E-2</c:v>
                </c:pt>
                <c:pt idx="1955">
                  <c:v>-0.15341962806721801</c:v>
                </c:pt>
                <c:pt idx="1956">
                  <c:v>-8.6099771468541503E-2</c:v>
                </c:pt>
                <c:pt idx="1957">
                  <c:v>1.9308221712005299E-2</c:v>
                </c:pt>
                <c:pt idx="1958">
                  <c:v>-8.3482101829660496E-2</c:v>
                </c:pt>
                <c:pt idx="1959">
                  <c:v>0.107267057303277</c:v>
                </c:pt>
                <c:pt idx="1960">
                  <c:v>-0.12209112270411</c:v>
                </c:pt>
                <c:pt idx="1961">
                  <c:v>4.2105096543828102E-2</c:v>
                </c:pt>
                <c:pt idx="1962">
                  <c:v>-0.14001108689962999</c:v>
                </c:pt>
                <c:pt idx="1963">
                  <c:v>-3.0718116059303201E-2</c:v>
                </c:pt>
                <c:pt idx="1964">
                  <c:v>0.17063332548858201</c:v>
                </c:pt>
                <c:pt idx="1965">
                  <c:v>-0.10949720404706</c:v>
                </c:pt>
                <c:pt idx="1966">
                  <c:v>0.19815386030561999</c:v>
                </c:pt>
                <c:pt idx="1967">
                  <c:v>-0.18973740445214099</c:v>
                </c:pt>
                <c:pt idx="1968">
                  <c:v>-4.9068647633391103E-2</c:v>
                </c:pt>
                <c:pt idx="1969">
                  <c:v>5.2399766455016997E-2</c:v>
                </c:pt>
                <c:pt idx="1970">
                  <c:v>-0.19490206122877099</c:v>
                </c:pt>
                <c:pt idx="1971">
                  <c:v>8.3149490603529094E-2</c:v>
                </c:pt>
                <c:pt idx="1972">
                  <c:v>-3.07966823937833E-2</c:v>
                </c:pt>
                <c:pt idx="1973">
                  <c:v>5.7647464337888601E-2</c:v>
                </c:pt>
                <c:pt idx="1974">
                  <c:v>0.164896254676658</c:v>
                </c:pt>
                <c:pt idx="1975">
                  <c:v>-2.8190509102420502E-2</c:v>
                </c:pt>
                <c:pt idx="1976">
                  <c:v>6.6990899351102806E-2</c:v>
                </c:pt>
                <c:pt idx="1977">
                  <c:v>0.12239212564275601</c:v>
                </c:pt>
                <c:pt idx="1978">
                  <c:v>-0.17354648960031499</c:v>
                </c:pt>
                <c:pt idx="1979">
                  <c:v>-0.19269299883766799</c:v>
                </c:pt>
                <c:pt idx="1980">
                  <c:v>-0.12638812531104901</c:v>
                </c:pt>
                <c:pt idx="1981">
                  <c:v>-0.15666692052933701</c:v>
                </c:pt>
                <c:pt idx="1982">
                  <c:v>2.9045020315507201E-2</c:v>
                </c:pt>
                <c:pt idx="1983">
                  <c:v>1.6305881010512599E-2</c:v>
                </c:pt>
                <c:pt idx="1984">
                  <c:v>0.190406192800051</c:v>
                </c:pt>
                <c:pt idx="1985">
                  <c:v>-0.154982517075585</c:v>
                </c:pt>
                <c:pt idx="1986">
                  <c:v>-0.19281792171829301</c:v>
                </c:pt>
                <c:pt idx="1987">
                  <c:v>-0.154866507223755</c:v>
                </c:pt>
                <c:pt idx="1988">
                  <c:v>-0.173084874122167</c:v>
                </c:pt>
                <c:pt idx="1989">
                  <c:v>5.8139854225932097E-2</c:v>
                </c:pt>
                <c:pt idx="1990">
                  <c:v>-0.196373192108135</c:v>
                </c:pt>
                <c:pt idx="1991">
                  <c:v>-0.13703318612766399</c:v>
                </c:pt>
                <c:pt idx="1992">
                  <c:v>-8.9756267227475896E-3</c:v>
                </c:pt>
                <c:pt idx="1993">
                  <c:v>-9.79889056028517E-2</c:v>
                </c:pt>
                <c:pt idx="1994">
                  <c:v>-0.119000842719495</c:v>
                </c:pt>
                <c:pt idx="1995">
                  <c:v>-5.9909397202197101E-3</c:v>
                </c:pt>
                <c:pt idx="1996">
                  <c:v>-5.10118334181109E-2</c:v>
                </c:pt>
                <c:pt idx="1997">
                  <c:v>0.139658479171931</c:v>
                </c:pt>
                <c:pt idx="1998">
                  <c:v>-0.16426184136734301</c:v>
                </c:pt>
                <c:pt idx="1999">
                  <c:v>-0.18488544753623801</c:v>
                </c:pt>
              </c:numCache>
            </c:numRef>
          </c:xVal>
          <c:yVal>
            <c:numRef>
              <c:f>'LGD Raw Datatset'!$J$2:$J$2001</c:f>
              <c:numCache>
                <c:formatCode>General</c:formatCode>
                <c:ptCount val="2000"/>
                <c:pt idx="0">
                  <c:v>0.91006443172915796</c:v>
                </c:pt>
                <c:pt idx="1">
                  <c:v>0.64325409834867997</c:v>
                </c:pt>
                <c:pt idx="2">
                  <c:v>0.88403373930481199</c:v>
                </c:pt>
                <c:pt idx="3">
                  <c:v>0.71753309281141797</c:v>
                </c:pt>
                <c:pt idx="4">
                  <c:v>0.78675641507123795</c:v>
                </c:pt>
                <c:pt idx="5">
                  <c:v>0.58410483465878504</c:v>
                </c:pt>
                <c:pt idx="6">
                  <c:v>0.56452510207517703</c:v>
                </c:pt>
                <c:pt idx="7">
                  <c:v>0.85753897018444103</c:v>
                </c:pt>
                <c:pt idx="8">
                  <c:v>0.58437254247440795</c:v>
                </c:pt>
                <c:pt idx="9">
                  <c:v>0.53948641411674603</c:v>
                </c:pt>
                <c:pt idx="10">
                  <c:v>0.60469499450349495</c:v>
                </c:pt>
                <c:pt idx="11">
                  <c:v>0.53126654743895996</c:v>
                </c:pt>
                <c:pt idx="12">
                  <c:v>0.87513872008856997</c:v>
                </c:pt>
                <c:pt idx="13">
                  <c:v>0.43386364132052602</c:v>
                </c:pt>
                <c:pt idx="14">
                  <c:v>0.90942315068502699</c:v>
                </c:pt>
                <c:pt idx="15">
                  <c:v>0.49573975737549603</c:v>
                </c:pt>
                <c:pt idx="16">
                  <c:v>0.50662220554047099</c:v>
                </c:pt>
                <c:pt idx="17">
                  <c:v>0.79807684112865795</c:v>
                </c:pt>
                <c:pt idx="18">
                  <c:v>0.390816187644841</c:v>
                </c:pt>
                <c:pt idx="19">
                  <c:v>0.77367974362342695</c:v>
                </c:pt>
                <c:pt idx="20">
                  <c:v>0.85236010645402005</c:v>
                </c:pt>
                <c:pt idx="21">
                  <c:v>0.51916779921574996</c:v>
                </c:pt>
                <c:pt idx="22">
                  <c:v>0.47509014719046899</c:v>
                </c:pt>
                <c:pt idx="23">
                  <c:v>0.87107675154952102</c:v>
                </c:pt>
                <c:pt idx="24">
                  <c:v>0.98603086578143195</c:v>
                </c:pt>
                <c:pt idx="25">
                  <c:v>0.82597815892835902</c:v>
                </c:pt>
                <c:pt idx="26">
                  <c:v>0.63355564752885796</c:v>
                </c:pt>
                <c:pt idx="27">
                  <c:v>0.62163373557219903</c:v>
                </c:pt>
                <c:pt idx="28">
                  <c:v>0.95208648793224204</c:v>
                </c:pt>
                <c:pt idx="29">
                  <c:v>0.77593524269144099</c:v>
                </c:pt>
                <c:pt idx="30">
                  <c:v>0.49143048010805301</c:v>
                </c:pt>
                <c:pt idx="31">
                  <c:v>0.67743585060233802</c:v>
                </c:pt>
                <c:pt idx="32">
                  <c:v>0.829129295636439</c:v>
                </c:pt>
                <c:pt idx="33">
                  <c:v>0.850981886495076</c:v>
                </c:pt>
                <c:pt idx="34">
                  <c:v>0.76598776829916304</c:v>
                </c:pt>
                <c:pt idx="35">
                  <c:v>0.73083444461609504</c:v>
                </c:pt>
                <c:pt idx="36">
                  <c:v>0.74936123019842604</c:v>
                </c:pt>
                <c:pt idx="37">
                  <c:v>0.41198805795716598</c:v>
                </c:pt>
                <c:pt idx="38">
                  <c:v>0.55349666219490501</c:v>
                </c:pt>
                <c:pt idx="39">
                  <c:v>0.60016983917583699</c:v>
                </c:pt>
                <c:pt idx="40">
                  <c:v>0.77598551851598996</c:v>
                </c:pt>
                <c:pt idx="41">
                  <c:v>0.51647509468655906</c:v>
                </c:pt>
                <c:pt idx="42">
                  <c:v>0.50082454145597499</c:v>
                </c:pt>
                <c:pt idx="43">
                  <c:v>0.77045170917033401</c:v>
                </c:pt>
                <c:pt idx="44">
                  <c:v>0.93354532049078098</c:v>
                </c:pt>
                <c:pt idx="45">
                  <c:v>0.94692112715822496</c:v>
                </c:pt>
                <c:pt idx="46">
                  <c:v>0.56804605572042099</c:v>
                </c:pt>
                <c:pt idx="47">
                  <c:v>0.32607417804693001</c:v>
                </c:pt>
                <c:pt idx="48">
                  <c:v>0.34677552045412402</c:v>
                </c:pt>
                <c:pt idx="49">
                  <c:v>0.89637711416877497</c:v>
                </c:pt>
                <c:pt idx="50">
                  <c:v>0.824241796269363</c:v>
                </c:pt>
                <c:pt idx="51">
                  <c:v>0.497983859741852</c:v>
                </c:pt>
                <c:pt idx="52">
                  <c:v>0.77988442057141305</c:v>
                </c:pt>
                <c:pt idx="53">
                  <c:v>0.76596753821923302</c:v>
                </c:pt>
                <c:pt idx="54">
                  <c:v>0.92914752380644605</c:v>
                </c:pt>
                <c:pt idx="55">
                  <c:v>0.59213728235509999</c:v>
                </c:pt>
                <c:pt idx="56">
                  <c:v>0.83830483359896102</c:v>
                </c:pt>
                <c:pt idx="57">
                  <c:v>0.57952520705719701</c:v>
                </c:pt>
                <c:pt idx="58">
                  <c:v>0.61295532919043605</c:v>
                </c:pt>
                <c:pt idx="59">
                  <c:v>0.73690560625967905</c:v>
                </c:pt>
                <c:pt idx="60">
                  <c:v>0.67045150485870297</c:v>
                </c:pt>
                <c:pt idx="61">
                  <c:v>0.93779308503059</c:v>
                </c:pt>
                <c:pt idx="62">
                  <c:v>0.82881617305419097</c:v>
                </c:pt>
                <c:pt idx="63">
                  <c:v>0.66262653237503599</c:v>
                </c:pt>
                <c:pt idx="64">
                  <c:v>0.81838617967765304</c:v>
                </c:pt>
                <c:pt idx="65">
                  <c:v>0.40155777065783399</c:v>
                </c:pt>
                <c:pt idx="66">
                  <c:v>0.797934561520937</c:v>
                </c:pt>
                <c:pt idx="67">
                  <c:v>0.55472800558814295</c:v>
                </c:pt>
                <c:pt idx="68">
                  <c:v>0.536539306865361</c:v>
                </c:pt>
                <c:pt idx="69">
                  <c:v>0.482717546453511</c:v>
                </c:pt>
                <c:pt idx="70">
                  <c:v>0.78406858085018405</c:v>
                </c:pt>
                <c:pt idx="71">
                  <c:v>0.54574878728102405</c:v>
                </c:pt>
                <c:pt idx="72">
                  <c:v>0.60241375016813503</c:v>
                </c:pt>
                <c:pt idx="73">
                  <c:v>0.84742234549166895</c:v>
                </c:pt>
                <c:pt idx="74">
                  <c:v>0.77529209095553298</c:v>
                </c:pt>
                <c:pt idx="75">
                  <c:v>0.68763595392281196</c:v>
                </c:pt>
                <c:pt idx="76">
                  <c:v>0.78366292521108105</c:v>
                </c:pt>
                <c:pt idx="77">
                  <c:v>0.87207716710177996</c:v>
                </c:pt>
                <c:pt idx="78">
                  <c:v>0.88863484267524995</c:v>
                </c:pt>
                <c:pt idx="79">
                  <c:v>0.63056944259599801</c:v>
                </c:pt>
                <c:pt idx="80">
                  <c:v>0.61691808586720198</c:v>
                </c:pt>
                <c:pt idx="81">
                  <c:v>0.68334045807509802</c:v>
                </c:pt>
                <c:pt idx="82">
                  <c:v>0.57448096598957399</c:v>
                </c:pt>
                <c:pt idx="83">
                  <c:v>0.82485976227630997</c:v>
                </c:pt>
                <c:pt idx="84">
                  <c:v>0.84426641276081404</c:v>
                </c:pt>
                <c:pt idx="85">
                  <c:v>0.60826513480135902</c:v>
                </c:pt>
                <c:pt idx="86">
                  <c:v>0.88224697565913601</c:v>
                </c:pt>
                <c:pt idx="87">
                  <c:v>0.49803298236911198</c:v>
                </c:pt>
                <c:pt idx="88">
                  <c:v>0.81981712379884097</c:v>
                </c:pt>
                <c:pt idx="89">
                  <c:v>0.77259844854938498</c:v>
                </c:pt>
                <c:pt idx="90">
                  <c:v>0.75877534259024104</c:v>
                </c:pt>
                <c:pt idx="91">
                  <c:v>0.86412315053020505</c:v>
                </c:pt>
                <c:pt idx="92">
                  <c:v>0.52308189580364595</c:v>
                </c:pt>
                <c:pt idx="93">
                  <c:v>0.90930933299141503</c:v>
                </c:pt>
                <c:pt idx="94">
                  <c:v>0.42263321998710801</c:v>
                </c:pt>
                <c:pt idx="95">
                  <c:v>0.73123987817194602</c:v>
                </c:pt>
                <c:pt idx="96">
                  <c:v>0.67263248421297905</c:v>
                </c:pt>
                <c:pt idx="97">
                  <c:v>0.669997474738532</c:v>
                </c:pt>
                <c:pt idx="98">
                  <c:v>0.850553617811447</c:v>
                </c:pt>
                <c:pt idx="99">
                  <c:v>0.76465768437912196</c:v>
                </c:pt>
                <c:pt idx="100">
                  <c:v>0.62183539806448695</c:v>
                </c:pt>
                <c:pt idx="101">
                  <c:v>0.28369474682009999</c:v>
                </c:pt>
                <c:pt idx="102">
                  <c:v>0.989168095114903</c:v>
                </c:pt>
                <c:pt idx="103">
                  <c:v>0.77989871625221596</c:v>
                </c:pt>
                <c:pt idx="104">
                  <c:v>0.84198382088162904</c:v>
                </c:pt>
                <c:pt idx="105">
                  <c:v>0.92395839445958206</c:v>
                </c:pt>
                <c:pt idx="106">
                  <c:v>0.69859745367787296</c:v>
                </c:pt>
                <c:pt idx="107">
                  <c:v>0.91104533069853599</c:v>
                </c:pt>
                <c:pt idx="108">
                  <c:v>0.61894587861205697</c:v>
                </c:pt>
                <c:pt idx="109">
                  <c:v>0.71964425319733705</c:v>
                </c:pt>
                <c:pt idx="110">
                  <c:v>0.91204059334212395</c:v>
                </c:pt>
                <c:pt idx="111">
                  <c:v>0.84627323904548701</c:v>
                </c:pt>
                <c:pt idx="112">
                  <c:v>0.92080678574391595</c:v>
                </c:pt>
                <c:pt idx="113">
                  <c:v>0.71025752047327995</c:v>
                </c:pt>
                <c:pt idx="114">
                  <c:v>0.76212733104119701</c:v>
                </c:pt>
                <c:pt idx="115">
                  <c:v>0.77987365872682302</c:v>
                </c:pt>
                <c:pt idx="116">
                  <c:v>0.52923117805328102</c:v>
                </c:pt>
                <c:pt idx="117">
                  <c:v>0.91013076414885796</c:v>
                </c:pt>
                <c:pt idx="118">
                  <c:v>0.48847198711373002</c:v>
                </c:pt>
                <c:pt idx="119">
                  <c:v>0.72175498528035598</c:v>
                </c:pt>
                <c:pt idx="120">
                  <c:v>0.46911049343696298</c:v>
                </c:pt>
                <c:pt idx="121">
                  <c:v>0.58092466629704798</c:v>
                </c:pt>
                <c:pt idx="122">
                  <c:v>0.66829393290456496</c:v>
                </c:pt>
                <c:pt idx="123">
                  <c:v>0.78314234806645899</c:v>
                </c:pt>
                <c:pt idx="124">
                  <c:v>0.467035363400715</c:v>
                </c:pt>
                <c:pt idx="125">
                  <c:v>0.58953353996417701</c:v>
                </c:pt>
                <c:pt idx="126">
                  <c:v>0.79275195897290396</c:v>
                </c:pt>
                <c:pt idx="127">
                  <c:v>0.62961274532234501</c:v>
                </c:pt>
                <c:pt idx="128">
                  <c:v>0.67711887631398804</c:v>
                </c:pt>
                <c:pt idx="129">
                  <c:v>0.59508677543844901</c:v>
                </c:pt>
                <c:pt idx="130">
                  <c:v>0.76994817861190601</c:v>
                </c:pt>
                <c:pt idx="131">
                  <c:v>0.850434497311501</c:v>
                </c:pt>
                <c:pt idx="132">
                  <c:v>0.64352368397694204</c:v>
                </c:pt>
                <c:pt idx="133">
                  <c:v>0.49997052634309302</c:v>
                </c:pt>
                <c:pt idx="134">
                  <c:v>0.70565511501883604</c:v>
                </c:pt>
                <c:pt idx="135">
                  <c:v>0.367323389529913</c:v>
                </c:pt>
                <c:pt idx="136">
                  <c:v>0.21800418622157999</c:v>
                </c:pt>
                <c:pt idx="137">
                  <c:v>0.89535343180244198</c:v>
                </c:pt>
                <c:pt idx="138">
                  <c:v>0.7035177298909</c:v>
                </c:pt>
                <c:pt idx="139">
                  <c:v>0.82472011998772798</c:v>
                </c:pt>
                <c:pt idx="140">
                  <c:v>0.87313125794031898</c:v>
                </c:pt>
                <c:pt idx="141">
                  <c:v>0.72003036613789995</c:v>
                </c:pt>
                <c:pt idx="142">
                  <c:v>0.93965701564314796</c:v>
                </c:pt>
                <c:pt idx="143">
                  <c:v>0.62486523513419401</c:v>
                </c:pt>
                <c:pt idx="144">
                  <c:v>0.91932396965113095</c:v>
                </c:pt>
                <c:pt idx="145">
                  <c:v>0.57922326584412398</c:v>
                </c:pt>
                <c:pt idx="146">
                  <c:v>0.77826528066268896</c:v>
                </c:pt>
                <c:pt idx="147">
                  <c:v>0.79700339441493695</c:v>
                </c:pt>
                <c:pt idx="148">
                  <c:v>0.91830091168930805</c:v>
                </c:pt>
                <c:pt idx="149">
                  <c:v>0.41985740850069803</c:v>
                </c:pt>
                <c:pt idx="150">
                  <c:v>0.90959412011920904</c:v>
                </c:pt>
                <c:pt idx="151">
                  <c:v>0.46931505761242298</c:v>
                </c:pt>
                <c:pt idx="152">
                  <c:v>0.81166257694612098</c:v>
                </c:pt>
                <c:pt idx="153">
                  <c:v>0.84783264529992497</c:v>
                </c:pt>
                <c:pt idx="154">
                  <c:v>0.72779806704874705</c:v>
                </c:pt>
                <c:pt idx="155">
                  <c:v>0.92565533497019004</c:v>
                </c:pt>
                <c:pt idx="156">
                  <c:v>0.64066653357625203</c:v>
                </c:pt>
                <c:pt idx="157">
                  <c:v>0.73501727955003104</c:v>
                </c:pt>
                <c:pt idx="158">
                  <c:v>0.68151498065742699</c:v>
                </c:pt>
                <c:pt idx="159">
                  <c:v>0.822202921006564</c:v>
                </c:pt>
                <c:pt idx="160">
                  <c:v>0.50420263993596204</c:v>
                </c:pt>
                <c:pt idx="161">
                  <c:v>0.70935176732578298</c:v>
                </c:pt>
                <c:pt idx="162">
                  <c:v>0.55106308787014002</c:v>
                </c:pt>
                <c:pt idx="163">
                  <c:v>0.69634928314367806</c:v>
                </c:pt>
                <c:pt idx="164">
                  <c:v>0.61937072357853096</c:v>
                </c:pt>
                <c:pt idx="165">
                  <c:v>0.75214705503252499</c:v>
                </c:pt>
                <c:pt idx="166">
                  <c:v>0.55051174825951199</c:v>
                </c:pt>
                <c:pt idx="167">
                  <c:v>0.858794386625925</c:v>
                </c:pt>
                <c:pt idx="168">
                  <c:v>0.86487228381162096</c:v>
                </c:pt>
                <c:pt idx="169">
                  <c:v>0.57293055318516295</c:v>
                </c:pt>
                <c:pt idx="170">
                  <c:v>0.565748572471519</c:v>
                </c:pt>
                <c:pt idx="171">
                  <c:v>0.90900700348325203</c:v>
                </c:pt>
                <c:pt idx="172">
                  <c:v>0.65232191336813095</c:v>
                </c:pt>
                <c:pt idx="173">
                  <c:v>0.89449585201176496</c:v>
                </c:pt>
                <c:pt idx="174">
                  <c:v>0.80316673510018699</c:v>
                </c:pt>
                <c:pt idx="175">
                  <c:v>0.53249314742912002</c:v>
                </c:pt>
                <c:pt idx="176">
                  <c:v>0.85809027380976699</c:v>
                </c:pt>
                <c:pt idx="177">
                  <c:v>0.94140174566417001</c:v>
                </c:pt>
                <c:pt idx="178">
                  <c:v>0.707329481448149</c:v>
                </c:pt>
                <c:pt idx="179">
                  <c:v>0.568937719719527</c:v>
                </c:pt>
                <c:pt idx="180">
                  <c:v>0.63377590794623995</c:v>
                </c:pt>
                <c:pt idx="181">
                  <c:v>0.94950452861663104</c:v>
                </c:pt>
                <c:pt idx="182">
                  <c:v>0.78779124641675302</c:v>
                </c:pt>
                <c:pt idx="183">
                  <c:v>0.82003402179032903</c:v>
                </c:pt>
                <c:pt idx="184">
                  <c:v>0.37901329173331699</c:v>
                </c:pt>
                <c:pt idx="185">
                  <c:v>0.84199870088210305</c:v>
                </c:pt>
                <c:pt idx="186">
                  <c:v>0.89722656581043303</c:v>
                </c:pt>
                <c:pt idx="187">
                  <c:v>0.790829785578122</c:v>
                </c:pt>
                <c:pt idx="188">
                  <c:v>0.83696116469745596</c:v>
                </c:pt>
                <c:pt idx="189">
                  <c:v>0.54714038030575896</c:v>
                </c:pt>
                <c:pt idx="190">
                  <c:v>0.66776437015212697</c:v>
                </c:pt>
                <c:pt idx="191">
                  <c:v>0.99202669555979905</c:v>
                </c:pt>
                <c:pt idx="192">
                  <c:v>0.62992613985403201</c:v>
                </c:pt>
                <c:pt idx="193">
                  <c:v>0.54779012197993804</c:v>
                </c:pt>
                <c:pt idx="194">
                  <c:v>0.65315437187134395</c:v>
                </c:pt>
                <c:pt idx="195">
                  <c:v>0.55927561115234503</c:v>
                </c:pt>
                <c:pt idx="196">
                  <c:v>0.52595479433231895</c:v>
                </c:pt>
                <c:pt idx="197">
                  <c:v>0.64620015322537605</c:v>
                </c:pt>
                <c:pt idx="198">
                  <c:v>0.58726306168673004</c:v>
                </c:pt>
                <c:pt idx="199">
                  <c:v>0.74137008346215305</c:v>
                </c:pt>
                <c:pt idx="200">
                  <c:v>0.69770336368194097</c:v>
                </c:pt>
                <c:pt idx="201">
                  <c:v>0.76678497190467998</c:v>
                </c:pt>
                <c:pt idx="202">
                  <c:v>0.56931462106026798</c:v>
                </c:pt>
                <c:pt idx="203">
                  <c:v>0.55036359025797299</c:v>
                </c:pt>
                <c:pt idx="204">
                  <c:v>0.45927491367043499</c:v>
                </c:pt>
                <c:pt idx="205">
                  <c:v>0.56948267922796403</c:v>
                </c:pt>
                <c:pt idx="206">
                  <c:v>0.80489479223279603</c:v>
                </c:pt>
                <c:pt idx="207">
                  <c:v>0.86974904393972896</c:v>
                </c:pt>
                <c:pt idx="208">
                  <c:v>0.552859654115333</c:v>
                </c:pt>
                <c:pt idx="209">
                  <c:v>0.743184781277478</c:v>
                </c:pt>
                <c:pt idx="210">
                  <c:v>0.77860787900120298</c:v>
                </c:pt>
                <c:pt idx="211">
                  <c:v>0.92303400629267995</c:v>
                </c:pt>
                <c:pt idx="212">
                  <c:v>0.40502984834758698</c:v>
                </c:pt>
                <c:pt idx="213">
                  <c:v>0.91934775119296297</c:v>
                </c:pt>
                <c:pt idx="214">
                  <c:v>0.70999232898565401</c:v>
                </c:pt>
                <c:pt idx="215">
                  <c:v>0.68476093206194699</c:v>
                </c:pt>
                <c:pt idx="216">
                  <c:v>0.49802289601904598</c:v>
                </c:pt>
                <c:pt idx="217">
                  <c:v>0.77003606167072702</c:v>
                </c:pt>
                <c:pt idx="218">
                  <c:v>0.69363271388146397</c:v>
                </c:pt>
                <c:pt idx="219">
                  <c:v>0.58519465694855299</c:v>
                </c:pt>
                <c:pt idx="220">
                  <c:v>0.69944423450245297</c:v>
                </c:pt>
                <c:pt idx="221">
                  <c:v>0.68025695024182897</c:v>
                </c:pt>
                <c:pt idx="222">
                  <c:v>0.95581837435845796</c:v>
                </c:pt>
                <c:pt idx="223">
                  <c:v>0.933125438422582</c:v>
                </c:pt>
                <c:pt idx="224">
                  <c:v>0.71485387178964499</c:v>
                </c:pt>
                <c:pt idx="225">
                  <c:v>0.72319759107235504</c:v>
                </c:pt>
                <c:pt idx="226">
                  <c:v>0.81847303673959604</c:v>
                </c:pt>
                <c:pt idx="227">
                  <c:v>0.78453471429243005</c:v>
                </c:pt>
                <c:pt idx="228">
                  <c:v>0.43020717699697397</c:v>
                </c:pt>
                <c:pt idx="229">
                  <c:v>0.843369707228945</c:v>
                </c:pt>
                <c:pt idx="230">
                  <c:v>0.74712425892552303</c:v>
                </c:pt>
                <c:pt idx="231">
                  <c:v>0.735513369580301</c:v>
                </c:pt>
                <c:pt idx="232">
                  <c:v>0.47875317759945202</c:v>
                </c:pt>
                <c:pt idx="233">
                  <c:v>0.54818983071330696</c:v>
                </c:pt>
                <c:pt idx="234">
                  <c:v>0.75709157793533099</c:v>
                </c:pt>
                <c:pt idx="235">
                  <c:v>0.60890178440786003</c:v>
                </c:pt>
                <c:pt idx="236">
                  <c:v>0.89334443745986303</c:v>
                </c:pt>
                <c:pt idx="237">
                  <c:v>0.82771342921369395</c:v>
                </c:pt>
                <c:pt idx="238">
                  <c:v>0.68722379137073897</c:v>
                </c:pt>
                <c:pt idx="239">
                  <c:v>0.67262654387057097</c:v>
                </c:pt>
                <c:pt idx="240">
                  <c:v>0.78436048944459702</c:v>
                </c:pt>
                <c:pt idx="241">
                  <c:v>0.90349778595966002</c:v>
                </c:pt>
                <c:pt idx="242">
                  <c:v>0.79789846270293596</c:v>
                </c:pt>
                <c:pt idx="243">
                  <c:v>0.78898209962730204</c:v>
                </c:pt>
                <c:pt idx="244">
                  <c:v>0.813490964022344</c:v>
                </c:pt>
                <c:pt idx="245">
                  <c:v>0.88531718128384695</c:v>
                </c:pt>
                <c:pt idx="246">
                  <c:v>0.51710705956396597</c:v>
                </c:pt>
                <c:pt idx="247">
                  <c:v>0.54039119050551498</c:v>
                </c:pt>
                <c:pt idx="248">
                  <c:v>0.23802230887864601</c:v>
                </c:pt>
                <c:pt idx="249">
                  <c:v>0.56111589022210095</c:v>
                </c:pt>
                <c:pt idx="250">
                  <c:v>0.72108105278423096</c:v>
                </c:pt>
                <c:pt idx="251">
                  <c:v>0.64661329230037101</c:v>
                </c:pt>
                <c:pt idx="252">
                  <c:v>0.64956807123930904</c:v>
                </c:pt>
                <c:pt idx="253">
                  <c:v>0.88722446034008795</c:v>
                </c:pt>
                <c:pt idx="254">
                  <c:v>0.39844531185387799</c:v>
                </c:pt>
                <c:pt idx="255">
                  <c:v>0.89270296452700904</c:v>
                </c:pt>
                <c:pt idx="256">
                  <c:v>0.58045156051175695</c:v>
                </c:pt>
                <c:pt idx="257">
                  <c:v>0.84411537123496005</c:v>
                </c:pt>
                <c:pt idx="258">
                  <c:v>0.31904201973787499</c:v>
                </c:pt>
                <c:pt idx="259">
                  <c:v>0.68436947495391598</c:v>
                </c:pt>
                <c:pt idx="260">
                  <c:v>0.47567244681348397</c:v>
                </c:pt>
                <c:pt idx="261">
                  <c:v>0.87624423593546097</c:v>
                </c:pt>
                <c:pt idx="262">
                  <c:v>0.74205768309907805</c:v>
                </c:pt>
                <c:pt idx="263">
                  <c:v>0.80837012006086295</c:v>
                </c:pt>
                <c:pt idx="264">
                  <c:v>0.94182614369524997</c:v>
                </c:pt>
                <c:pt idx="265">
                  <c:v>0.83890774320088501</c:v>
                </c:pt>
                <c:pt idx="266">
                  <c:v>0.74834028803100205</c:v>
                </c:pt>
                <c:pt idx="267">
                  <c:v>0.71112903880707501</c:v>
                </c:pt>
                <c:pt idx="268">
                  <c:v>0.43902958270540898</c:v>
                </c:pt>
                <c:pt idx="269">
                  <c:v>0.68342470526578003</c:v>
                </c:pt>
                <c:pt idx="270">
                  <c:v>0.715938879026912</c:v>
                </c:pt>
                <c:pt idx="271">
                  <c:v>0.82744093907427396</c:v>
                </c:pt>
                <c:pt idx="272">
                  <c:v>0.76895361802280204</c:v>
                </c:pt>
                <c:pt idx="273">
                  <c:v>0.86924766563285105</c:v>
                </c:pt>
                <c:pt idx="274">
                  <c:v>0.56302872283178995</c:v>
                </c:pt>
                <c:pt idx="275">
                  <c:v>0.68850082980262794</c:v>
                </c:pt>
                <c:pt idx="276">
                  <c:v>0.70343741425864703</c:v>
                </c:pt>
                <c:pt idx="277">
                  <c:v>0.75113529140533597</c:v>
                </c:pt>
                <c:pt idx="278">
                  <c:v>0.46465339847128501</c:v>
                </c:pt>
                <c:pt idx="279">
                  <c:v>0.92724209109301203</c:v>
                </c:pt>
                <c:pt idx="280">
                  <c:v>0.55060853551373601</c:v>
                </c:pt>
                <c:pt idx="281">
                  <c:v>0.48749450790211402</c:v>
                </c:pt>
                <c:pt idx="282">
                  <c:v>0.70572759552960496</c:v>
                </c:pt>
                <c:pt idx="283">
                  <c:v>0.50785650386120296</c:v>
                </c:pt>
                <c:pt idx="284">
                  <c:v>0.89988547051988699</c:v>
                </c:pt>
                <c:pt idx="285">
                  <c:v>0.57349898823775303</c:v>
                </c:pt>
                <c:pt idx="286">
                  <c:v>0.81161005442562895</c:v>
                </c:pt>
                <c:pt idx="287">
                  <c:v>0.57458292533027799</c:v>
                </c:pt>
                <c:pt idx="288">
                  <c:v>0.757038325694668</c:v>
                </c:pt>
                <c:pt idx="289">
                  <c:v>0.89780722218770104</c:v>
                </c:pt>
                <c:pt idx="290">
                  <c:v>0.81250990938381495</c:v>
                </c:pt>
                <c:pt idx="291">
                  <c:v>0.72149551911009202</c:v>
                </c:pt>
                <c:pt idx="292">
                  <c:v>0.72874084693531005</c:v>
                </c:pt>
                <c:pt idx="293">
                  <c:v>0.81564361424712695</c:v>
                </c:pt>
                <c:pt idx="294">
                  <c:v>0.78758562191891501</c:v>
                </c:pt>
                <c:pt idx="295">
                  <c:v>0.96088889126468402</c:v>
                </c:pt>
                <c:pt idx="296">
                  <c:v>0.730794711406621</c:v>
                </c:pt>
                <c:pt idx="297">
                  <c:v>0.86148026422346802</c:v>
                </c:pt>
                <c:pt idx="298">
                  <c:v>0.62210707104323104</c:v>
                </c:pt>
                <c:pt idx="299">
                  <c:v>0.65093117168036096</c:v>
                </c:pt>
                <c:pt idx="300">
                  <c:v>0.58364243965787399</c:v>
                </c:pt>
                <c:pt idx="301">
                  <c:v>0.58156073448914403</c:v>
                </c:pt>
                <c:pt idx="302">
                  <c:v>0.67452838173422103</c:v>
                </c:pt>
                <c:pt idx="303">
                  <c:v>0.69014566227252605</c:v>
                </c:pt>
                <c:pt idx="304">
                  <c:v>0.67534160022550704</c:v>
                </c:pt>
                <c:pt idx="305">
                  <c:v>0.84308140864979797</c:v>
                </c:pt>
                <c:pt idx="306">
                  <c:v>0.85570471299579098</c:v>
                </c:pt>
                <c:pt idx="307">
                  <c:v>0.50980841458461601</c:v>
                </c:pt>
                <c:pt idx="308">
                  <c:v>0.67976664708662904</c:v>
                </c:pt>
                <c:pt idx="309">
                  <c:v>0.83181770100824004</c:v>
                </c:pt>
                <c:pt idx="310">
                  <c:v>0.87307189517595396</c:v>
                </c:pt>
                <c:pt idx="311">
                  <c:v>0.78459715042071398</c:v>
                </c:pt>
                <c:pt idx="312">
                  <c:v>0.81393026041294403</c:v>
                </c:pt>
                <c:pt idx="313">
                  <c:v>0.72662322095864496</c:v>
                </c:pt>
                <c:pt idx="314">
                  <c:v>0.54620529649201999</c:v>
                </c:pt>
                <c:pt idx="315">
                  <c:v>0.35296388130672501</c:v>
                </c:pt>
                <c:pt idx="316">
                  <c:v>0.74140510891581402</c:v>
                </c:pt>
                <c:pt idx="317">
                  <c:v>0.52151874617751504</c:v>
                </c:pt>
                <c:pt idx="318">
                  <c:v>0.45532681671154202</c:v>
                </c:pt>
                <c:pt idx="319">
                  <c:v>0.50487770163630097</c:v>
                </c:pt>
                <c:pt idx="320">
                  <c:v>0.77184211603035802</c:v>
                </c:pt>
                <c:pt idx="321">
                  <c:v>0.76111920372776598</c:v>
                </c:pt>
                <c:pt idx="322">
                  <c:v>0.96581599798462603</c:v>
                </c:pt>
                <c:pt idx="323">
                  <c:v>0.827965595946759</c:v>
                </c:pt>
                <c:pt idx="324">
                  <c:v>0.85798742810294704</c:v>
                </c:pt>
                <c:pt idx="325">
                  <c:v>0.70141788496646595</c:v>
                </c:pt>
                <c:pt idx="326">
                  <c:v>0.92626512553679397</c:v>
                </c:pt>
                <c:pt idx="327">
                  <c:v>0.65657427728522599</c:v>
                </c:pt>
                <c:pt idx="328">
                  <c:v>0.588203108508349</c:v>
                </c:pt>
                <c:pt idx="329">
                  <c:v>0.46288925243011803</c:v>
                </c:pt>
                <c:pt idx="330">
                  <c:v>0.87171073913853703</c:v>
                </c:pt>
                <c:pt idx="331">
                  <c:v>0.49344361746981602</c:v>
                </c:pt>
                <c:pt idx="332">
                  <c:v>0.58647424851138397</c:v>
                </c:pt>
                <c:pt idx="333">
                  <c:v>0.74327392194165198</c:v>
                </c:pt>
                <c:pt idx="334">
                  <c:v>0.73026347818916404</c:v>
                </c:pt>
                <c:pt idx="335">
                  <c:v>0.76466053363366904</c:v>
                </c:pt>
                <c:pt idx="336">
                  <c:v>0.46133280141077498</c:v>
                </c:pt>
                <c:pt idx="337">
                  <c:v>0.89159915899418096</c:v>
                </c:pt>
                <c:pt idx="338">
                  <c:v>0.458766440432131</c:v>
                </c:pt>
                <c:pt idx="339">
                  <c:v>0.490008182103159</c:v>
                </c:pt>
                <c:pt idx="340">
                  <c:v>0.56953633064072995</c:v>
                </c:pt>
                <c:pt idx="341">
                  <c:v>0.749740432351093</c:v>
                </c:pt>
                <c:pt idx="342">
                  <c:v>0.83255387233256695</c:v>
                </c:pt>
                <c:pt idx="343">
                  <c:v>0.76280238611731999</c:v>
                </c:pt>
                <c:pt idx="344">
                  <c:v>0.81050154847498801</c:v>
                </c:pt>
                <c:pt idx="345">
                  <c:v>0.425431743516622</c:v>
                </c:pt>
                <c:pt idx="346">
                  <c:v>0.70199343742421905</c:v>
                </c:pt>
                <c:pt idx="347">
                  <c:v>0.926779339257227</c:v>
                </c:pt>
                <c:pt idx="348">
                  <c:v>0.69445183795089704</c:v>
                </c:pt>
                <c:pt idx="349">
                  <c:v>0.37428391501714298</c:v>
                </c:pt>
                <c:pt idx="350">
                  <c:v>0.63156511885424005</c:v>
                </c:pt>
                <c:pt idx="351">
                  <c:v>0.60545382439429896</c:v>
                </c:pt>
                <c:pt idx="352">
                  <c:v>0.91656153330133905</c:v>
                </c:pt>
                <c:pt idx="353">
                  <c:v>0.42155325421367401</c:v>
                </c:pt>
                <c:pt idx="354">
                  <c:v>0.82224849792347499</c:v>
                </c:pt>
                <c:pt idx="355">
                  <c:v>0.61280617101316504</c:v>
                </c:pt>
                <c:pt idx="356">
                  <c:v>0.72817594307619704</c:v>
                </c:pt>
                <c:pt idx="357">
                  <c:v>0.72447142105584605</c:v>
                </c:pt>
                <c:pt idx="358">
                  <c:v>0.87629244647321902</c:v>
                </c:pt>
                <c:pt idx="359">
                  <c:v>0.69389377667650998</c:v>
                </c:pt>
                <c:pt idx="360">
                  <c:v>0.67141987571487105</c:v>
                </c:pt>
                <c:pt idx="361">
                  <c:v>0.86155627938280099</c:v>
                </c:pt>
                <c:pt idx="362">
                  <c:v>0.58185495576522495</c:v>
                </c:pt>
                <c:pt idx="363">
                  <c:v>0.79422313251906695</c:v>
                </c:pt>
                <c:pt idx="364">
                  <c:v>0.470468470372157</c:v>
                </c:pt>
                <c:pt idx="365">
                  <c:v>0.49770390403759301</c:v>
                </c:pt>
                <c:pt idx="366">
                  <c:v>0.91805339462008395</c:v>
                </c:pt>
                <c:pt idx="367">
                  <c:v>0.91585706435638103</c:v>
                </c:pt>
                <c:pt idx="368">
                  <c:v>0.23446091965239699</c:v>
                </c:pt>
                <c:pt idx="369">
                  <c:v>0.90296872626985103</c:v>
                </c:pt>
                <c:pt idx="370">
                  <c:v>0.49505260793066003</c:v>
                </c:pt>
                <c:pt idx="371">
                  <c:v>0.834649260711954</c:v>
                </c:pt>
                <c:pt idx="372">
                  <c:v>0.92103705689942805</c:v>
                </c:pt>
                <c:pt idx="373">
                  <c:v>0.87759819846044396</c:v>
                </c:pt>
                <c:pt idx="374">
                  <c:v>0.74508629885060995</c:v>
                </c:pt>
                <c:pt idx="375">
                  <c:v>0.82438984063173104</c:v>
                </c:pt>
                <c:pt idx="376">
                  <c:v>0.48023648898647597</c:v>
                </c:pt>
                <c:pt idx="377">
                  <c:v>0.78281519316651105</c:v>
                </c:pt>
                <c:pt idx="378">
                  <c:v>0.84506752860411605</c:v>
                </c:pt>
                <c:pt idx="379">
                  <c:v>0.89812832093067496</c:v>
                </c:pt>
                <c:pt idx="380">
                  <c:v>0.84041558151457896</c:v>
                </c:pt>
                <c:pt idx="381">
                  <c:v>0.49287060826253198</c:v>
                </c:pt>
                <c:pt idx="382">
                  <c:v>0.90944069132983996</c:v>
                </c:pt>
                <c:pt idx="383">
                  <c:v>0.55059964713146603</c:v>
                </c:pt>
                <c:pt idx="384">
                  <c:v>0.81981931694691501</c:v>
                </c:pt>
                <c:pt idx="385">
                  <c:v>0.38646916225650502</c:v>
                </c:pt>
                <c:pt idx="386">
                  <c:v>0.64394963585845999</c:v>
                </c:pt>
                <c:pt idx="387">
                  <c:v>0.86773903204187097</c:v>
                </c:pt>
                <c:pt idx="388">
                  <c:v>0.49447412043422601</c:v>
                </c:pt>
                <c:pt idx="389">
                  <c:v>0.84311801298047795</c:v>
                </c:pt>
                <c:pt idx="390">
                  <c:v>0.75626977468058798</c:v>
                </c:pt>
                <c:pt idx="391">
                  <c:v>0.56641263594751001</c:v>
                </c:pt>
                <c:pt idx="392">
                  <c:v>0.77542915390641898</c:v>
                </c:pt>
                <c:pt idx="393">
                  <c:v>0.95666012857981997</c:v>
                </c:pt>
                <c:pt idx="394">
                  <c:v>0.468508589909156</c:v>
                </c:pt>
                <c:pt idx="395">
                  <c:v>0.88603008010497697</c:v>
                </c:pt>
                <c:pt idx="396">
                  <c:v>0.66515077782874699</c:v>
                </c:pt>
                <c:pt idx="397">
                  <c:v>0.95437012291944101</c:v>
                </c:pt>
                <c:pt idx="398">
                  <c:v>0.71689480299799002</c:v>
                </c:pt>
                <c:pt idx="399">
                  <c:v>0.80438248810396396</c:v>
                </c:pt>
                <c:pt idx="400">
                  <c:v>0.628041287305104</c:v>
                </c:pt>
                <c:pt idx="401">
                  <c:v>0.38789510872604499</c:v>
                </c:pt>
                <c:pt idx="402">
                  <c:v>0.79642483245486195</c:v>
                </c:pt>
                <c:pt idx="403">
                  <c:v>0.81296635436966103</c:v>
                </c:pt>
                <c:pt idx="404">
                  <c:v>0.88370294028688601</c:v>
                </c:pt>
                <c:pt idx="405">
                  <c:v>0.63014907319837199</c:v>
                </c:pt>
                <c:pt idx="406">
                  <c:v>0.72130814617563299</c:v>
                </c:pt>
                <c:pt idx="407">
                  <c:v>0.65364039050304601</c:v>
                </c:pt>
                <c:pt idx="408">
                  <c:v>0.81267461953138598</c:v>
                </c:pt>
                <c:pt idx="409">
                  <c:v>0.68616956022393105</c:v>
                </c:pt>
                <c:pt idx="410">
                  <c:v>0.82411070221454197</c:v>
                </c:pt>
                <c:pt idx="411">
                  <c:v>0.80406895171829995</c:v>
                </c:pt>
                <c:pt idx="412">
                  <c:v>0.815532424142973</c:v>
                </c:pt>
                <c:pt idx="413">
                  <c:v>0.54887919423796805</c:v>
                </c:pt>
                <c:pt idx="414">
                  <c:v>0.74651457254193998</c:v>
                </c:pt>
                <c:pt idx="415">
                  <c:v>0.59689931884747605</c:v>
                </c:pt>
                <c:pt idx="416">
                  <c:v>0.66665493000501697</c:v>
                </c:pt>
                <c:pt idx="417">
                  <c:v>0.87612288072460998</c:v>
                </c:pt>
                <c:pt idx="418">
                  <c:v>0.41697231095720499</c:v>
                </c:pt>
                <c:pt idx="419">
                  <c:v>0.60880145972542099</c:v>
                </c:pt>
                <c:pt idx="420">
                  <c:v>0.53538518444668204</c:v>
                </c:pt>
                <c:pt idx="421">
                  <c:v>0.62251251771577398</c:v>
                </c:pt>
                <c:pt idx="422">
                  <c:v>0.908173436856061</c:v>
                </c:pt>
                <c:pt idx="423">
                  <c:v>0.69577653242250304</c:v>
                </c:pt>
                <c:pt idx="424">
                  <c:v>0.75051221380788602</c:v>
                </c:pt>
                <c:pt idx="425">
                  <c:v>0.400874940821148</c:v>
                </c:pt>
                <c:pt idx="426">
                  <c:v>0.696409440897929</c:v>
                </c:pt>
                <c:pt idx="427">
                  <c:v>0.535162626843252</c:v>
                </c:pt>
                <c:pt idx="428">
                  <c:v>0.74954449944381196</c:v>
                </c:pt>
                <c:pt idx="429">
                  <c:v>0.89817483488419703</c:v>
                </c:pt>
                <c:pt idx="430">
                  <c:v>0.49261060733832202</c:v>
                </c:pt>
                <c:pt idx="431">
                  <c:v>0.88053041206441396</c:v>
                </c:pt>
                <c:pt idx="432">
                  <c:v>0.83070671702598897</c:v>
                </c:pt>
                <c:pt idx="433">
                  <c:v>0.61629488952618605</c:v>
                </c:pt>
                <c:pt idx="434">
                  <c:v>0.57796926044600105</c:v>
                </c:pt>
                <c:pt idx="435">
                  <c:v>0.523356651670012</c:v>
                </c:pt>
                <c:pt idx="436">
                  <c:v>0.90180273810013001</c:v>
                </c:pt>
                <c:pt idx="437">
                  <c:v>0.45139627350609601</c:v>
                </c:pt>
                <c:pt idx="438">
                  <c:v>0.77780488315429497</c:v>
                </c:pt>
                <c:pt idx="439">
                  <c:v>0.774962671836955</c:v>
                </c:pt>
                <c:pt idx="440">
                  <c:v>0.85319496540379003</c:v>
                </c:pt>
                <c:pt idx="441">
                  <c:v>0.62775044772088395</c:v>
                </c:pt>
                <c:pt idx="442">
                  <c:v>0.64854813048882298</c:v>
                </c:pt>
                <c:pt idx="443">
                  <c:v>0.91070928483212898</c:v>
                </c:pt>
                <c:pt idx="444">
                  <c:v>0.48754479280741397</c:v>
                </c:pt>
                <c:pt idx="445">
                  <c:v>0.952219184421631</c:v>
                </c:pt>
                <c:pt idx="446">
                  <c:v>0.80743321481142605</c:v>
                </c:pt>
                <c:pt idx="447">
                  <c:v>0.73326182482767099</c:v>
                </c:pt>
                <c:pt idx="448">
                  <c:v>0.63308465939041902</c:v>
                </c:pt>
                <c:pt idx="449">
                  <c:v>0.86388332264739098</c:v>
                </c:pt>
                <c:pt idx="450">
                  <c:v>0.80427024979405404</c:v>
                </c:pt>
                <c:pt idx="451">
                  <c:v>0.61455257944446295</c:v>
                </c:pt>
                <c:pt idx="452">
                  <c:v>0.83378118901526299</c:v>
                </c:pt>
                <c:pt idx="453">
                  <c:v>0.42578000075883299</c:v>
                </c:pt>
                <c:pt idx="454">
                  <c:v>0.76748956910358002</c:v>
                </c:pt>
                <c:pt idx="455">
                  <c:v>0.59077512502543805</c:v>
                </c:pt>
                <c:pt idx="456">
                  <c:v>0.754324314323775</c:v>
                </c:pt>
                <c:pt idx="457">
                  <c:v>0.78122767747766098</c:v>
                </c:pt>
                <c:pt idx="458">
                  <c:v>0.78123298170621602</c:v>
                </c:pt>
                <c:pt idx="459">
                  <c:v>0.93235616332399096</c:v>
                </c:pt>
                <c:pt idx="460">
                  <c:v>0.63399044547948402</c:v>
                </c:pt>
                <c:pt idx="461">
                  <c:v>0.63333998326508301</c:v>
                </c:pt>
                <c:pt idx="462">
                  <c:v>0.70772862505523104</c:v>
                </c:pt>
                <c:pt idx="463">
                  <c:v>0.77300564812227701</c:v>
                </c:pt>
                <c:pt idx="464">
                  <c:v>0.69585475264677199</c:v>
                </c:pt>
                <c:pt idx="465">
                  <c:v>0.62542223849309597</c:v>
                </c:pt>
                <c:pt idx="466">
                  <c:v>0.72735432901236696</c:v>
                </c:pt>
                <c:pt idx="467">
                  <c:v>0.84348980193129797</c:v>
                </c:pt>
                <c:pt idx="468">
                  <c:v>0.52938375800493898</c:v>
                </c:pt>
                <c:pt idx="469">
                  <c:v>0.75835564558912705</c:v>
                </c:pt>
                <c:pt idx="470">
                  <c:v>0.60819564279576599</c:v>
                </c:pt>
                <c:pt idx="471">
                  <c:v>0.50251210107463895</c:v>
                </c:pt>
                <c:pt idx="472">
                  <c:v>0.55594248193744</c:v>
                </c:pt>
                <c:pt idx="473">
                  <c:v>0.61546295914592197</c:v>
                </c:pt>
                <c:pt idx="474">
                  <c:v>0.55004961583883505</c:v>
                </c:pt>
                <c:pt idx="475">
                  <c:v>0.34528921779361599</c:v>
                </c:pt>
                <c:pt idx="476">
                  <c:v>0.66380870063892905</c:v>
                </c:pt>
                <c:pt idx="477">
                  <c:v>0.46427897305493798</c:v>
                </c:pt>
                <c:pt idx="478">
                  <c:v>0.460700001048157</c:v>
                </c:pt>
                <c:pt idx="479">
                  <c:v>0.84090374850219396</c:v>
                </c:pt>
                <c:pt idx="480">
                  <c:v>0.61420871770031105</c:v>
                </c:pt>
                <c:pt idx="481">
                  <c:v>0.900346004282496</c:v>
                </c:pt>
                <c:pt idx="482">
                  <c:v>0.93121160096644495</c:v>
                </c:pt>
                <c:pt idx="483">
                  <c:v>0.61469719767308195</c:v>
                </c:pt>
                <c:pt idx="484">
                  <c:v>0.721107765237466</c:v>
                </c:pt>
                <c:pt idx="485">
                  <c:v>0.73257334724934697</c:v>
                </c:pt>
                <c:pt idx="486">
                  <c:v>0.80196716268190305</c:v>
                </c:pt>
                <c:pt idx="487">
                  <c:v>0.76181392638339895</c:v>
                </c:pt>
                <c:pt idx="488">
                  <c:v>0.77367932171179599</c:v>
                </c:pt>
                <c:pt idx="489">
                  <c:v>0.78630848488960803</c:v>
                </c:pt>
                <c:pt idx="490">
                  <c:v>0.95637710628495898</c:v>
                </c:pt>
                <c:pt idx="491">
                  <c:v>0.48425711557705903</c:v>
                </c:pt>
                <c:pt idx="492">
                  <c:v>0.94073219287824195</c:v>
                </c:pt>
                <c:pt idx="493">
                  <c:v>0.397552084273745</c:v>
                </c:pt>
                <c:pt idx="494">
                  <c:v>0.86859646427787596</c:v>
                </c:pt>
                <c:pt idx="495">
                  <c:v>0.58810589090939203</c:v>
                </c:pt>
                <c:pt idx="496">
                  <c:v>0.87069685697801602</c:v>
                </c:pt>
                <c:pt idx="497">
                  <c:v>0.39253908313423502</c:v>
                </c:pt>
                <c:pt idx="498">
                  <c:v>0.49088871211259999</c:v>
                </c:pt>
                <c:pt idx="499">
                  <c:v>0.59917337150309202</c:v>
                </c:pt>
                <c:pt idx="500">
                  <c:v>0.62855636088719502</c:v>
                </c:pt>
                <c:pt idx="501">
                  <c:v>0.57228092316536106</c:v>
                </c:pt>
                <c:pt idx="502">
                  <c:v>0.72418636075974596</c:v>
                </c:pt>
                <c:pt idx="503">
                  <c:v>0.66734155062658396</c:v>
                </c:pt>
                <c:pt idx="504">
                  <c:v>0.91958412801129596</c:v>
                </c:pt>
                <c:pt idx="505">
                  <c:v>0.85599754721255195</c:v>
                </c:pt>
                <c:pt idx="506">
                  <c:v>0.767175512910928</c:v>
                </c:pt>
                <c:pt idx="507">
                  <c:v>0.68362486818232404</c:v>
                </c:pt>
                <c:pt idx="508">
                  <c:v>0.72031812926604599</c:v>
                </c:pt>
                <c:pt idx="509">
                  <c:v>0.74611743286778298</c:v>
                </c:pt>
                <c:pt idx="510">
                  <c:v>0.737460628339626</c:v>
                </c:pt>
                <c:pt idx="511">
                  <c:v>0.58352360136289405</c:v>
                </c:pt>
                <c:pt idx="512">
                  <c:v>0.685318877988498</c:v>
                </c:pt>
                <c:pt idx="513">
                  <c:v>0.69889068089552198</c:v>
                </c:pt>
                <c:pt idx="514">
                  <c:v>0.88562390882891595</c:v>
                </c:pt>
                <c:pt idx="515">
                  <c:v>0.87304171473154701</c:v>
                </c:pt>
                <c:pt idx="516">
                  <c:v>0.64536844275537997</c:v>
                </c:pt>
                <c:pt idx="517">
                  <c:v>0.71888862347339499</c:v>
                </c:pt>
                <c:pt idx="518">
                  <c:v>0.54659596402092403</c:v>
                </c:pt>
                <c:pt idx="519">
                  <c:v>0.89845374480099105</c:v>
                </c:pt>
                <c:pt idx="520">
                  <c:v>0.41075661652455298</c:v>
                </c:pt>
                <c:pt idx="521">
                  <c:v>0.79141878527623899</c:v>
                </c:pt>
                <c:pt idx="522">
                  <c:v>0.46892597547766601</c:v>
                </c:pt>
                <c:pt idx="523">
                  <c:v>0.42398201010980202</c:v>
                </c:pt>
                <c:pt idx="524">
                  <c:v>0.64135989184224396</c:v>
                </c:pt>
                <c:pt idx="525">
                  <c:v>0.89369885816412498</c:v>
                </c:pt>
                <c:pt idx="526">
                  <c:v>0.86427460473112006</c:v>
                </c:pt>
                <c:pt idx="527">
                  <c:v>0.70824040598009497</c:v>
                </c:pt>
                <c:pt idx="528">
                  <c:v>0.82511646447285103</c:v>
                </c:pt>
                <c:pt idx="529">
                  <c:v>0.77441028165473003</c:v>
                </c:pt>
                <c:pt idx="530">
                  <c:v>0.83516429081062804</c:v>
                </c:pt>
                <c:pt idx="531">
                  <c:v>0.62623864229311799</c:v>
                </c:pt>
                <c:pt idx="532">
                  <c:v>0.80555146300309299</c:v>
                </c:pt>
                <c:pt idx="533">
                  <c:v>0.82340280100722896</c:v>
                </c:pt>
                <c:pt idx="534">
                  <c:v>0.61670754921224702</c:v>
                </c:pt>
                <c:pt idx="535">
                  <c:v>0.81669645416242798</c:v>
                </c:pt>
                <c:pt idx="536">
                  <c:v>0.663546216261239</c:v>
                </c:pt>
                <c:pt idx="537">
                  <c:v>0.71419094895181001</c:v>
                </c:pt>
                <c:pt idx="538">
                  <c:v>0.88548110532525404</c:v>
                </c:pt>
                <c:pt idx="539">
                  <c:v>0.711788255949654</c:v>
                </c:pt>
                <c:pt idx="540">
                  <c:v>0.708364746360157</c:v>
                </c:pt>
                <c:pt idx="541">
                  <c:v>0.43754076221432497</c:v>
                </c:pt>
                <c:pt idx="542">
                  <c:v>0.68801895374724598</c:v>
                </c:pt>
                <c:pt idx="543">
                  <c:v>0.88803972980531798</c:v>
                </c:pt>
                <c:pt idx="544">
                  <c:v>0.45815613248984399</c:v>
                </c:pt>
                <c:pt idx="545">
                  <c:v>0.60375837647433706</c:v>
                </c:pt>
                <c:pt idx="546">
                  <c:v>0.97059812313777405</c:v>
                </c:pt>
                <c:pt idx="547">
                  <c:v>0.85575650050792496</c:v>
                </c:pt>
                <c:pt idx="548">
                  <c:v>0.65559230134802204</c:v>
                </c:pt>
                <c:pt idx="549">
                  <c:v>0.65330322956598597</c:v>
                </c:pt>
                <c:pt idx="550">
                  <c:v>0.53569017629941396</c:v>
                </c:pt>
                <c:pt idx="551">
                  <c:v>0.52869452095620395</c:v>
                </c:pt>
                <c:pt idx="552">
                  <c:v>0.86850721138693099</c:v>
                </c:pt>
                <c:pt idx="553">
                  <c:v>0.93880391978427902</c:v>
                </c:pt>
                <c:pt idx="554">
                  <c:v>0.95711885003343899</c:v>
                </c:pt>
                <c:pt idx="555">
                  <c:v>0.71014099932081298</c:v>
                </c:pt>
                <c:pt idx="556">
                  <c:v>0.94656010945690705</c:v>
                </c:pt>
                <c:pt idx="557">
                  <c:v>0.76979485768825495</c:v>
                </c:pt>
                <c:pt idx="558">
                  <c:v>0.85084366686915502</c:v>
                </c:pt>
                <c:pt idx="559">
                  <c:v>0.71336806605485104</c:v>
                </c:pt>
                <c:pt idx="560">
                  <c:v>0.87140510324022102</c:v>
                </c:pt>
                <c:pt idx="561">
                  <c:v>0.84997848886459604</c:v>
                </c:pt>
                <c:pt idx="562">
                  <c:v>0.29235775847591999</c:v>
                </c:pt>
                <c:pt idx="563">
                  <c:v>0.68773614625294099</c:v>
                </c:pt>
                <c:pt idx="564">
                  <c:v>0.69500989898754495</c:v>
                </c:pt>
                <c:pt idx="565">
                  <c:v>0.71029563266248996</c:v>
                </c:pt>
                <c:pt idx="566">
                  <c:v>0.59698977818047205</c:v>
                </c:pt>
                <c:pt idx="567">
                  <c:v>0.73641611908092697</c:v>
                </c:pt>
                <c:pt idx="568">
                  <c:v>0.86969412466850304</c:v>
                </c:pt>
                <c:pt idx="569">
                  <c:v>0.54283927396740606</c:v>
                </c:pt>
                <c:pt idx="570">
                  <c:v>0.65792483345225705</c:v>
                </c:pt>
                <c:pt idx="571">
                  <c:v>0.70174965915080301</c:v>
                </c:pt>
                <c:pt idx="572">
                  <c:v>0.70619243630539097</c:v>
                </c:pt>
                <c:pt idx="573">
                  <c:v>0.86819997222407996</c:v>
                </c:pt>
                <c:pt idx="574">
                  <c:v>0.71610490044611796</c:v>
                </c:pt>
                <c:pt idx="575">
                  <c:v>0.66284735569745801</c:v>
                </c:pt>
                <c:pt idx="576">
                  <c:v>0.96236036725328999</c:v>
                </c:pt>
                <c:pt idx="577">
                  <c:v>0.622867982654013</c:v>
                </c:pt>
                <c:pt idx="578">
                  <c:v>0.95120374449586798</c:v>
                </c:pt>
                <c:pt idx="579">
                  <c:v>0.75245326142495506</c:v>
                </c:pt>
                <c:pt idx="580">
                  <c:v>0.49355538230470197</c:v>
                </c:pt>
                <c:pt idx="581">
                  <c:v>0.70483136242701205</c:v>
                </c:pt>
                <c:pt idx="582">
                  <c:v>0.82620561138901005</c:v>
                </c:pt>
                <c:pt idx="583">
                  <c:v>0.84848621531824597</c:v>
                </c:pt>
                <c:pt idx="584">
                  <c:v>0.54173813256652203</c:v>
                </c:pt>
                <c:pt idx="585">
                  <c:v>0.84639108254950701</c:v>
                </c:pt>
                <c:pt idx="586">
                  <c:v>0.85620046272421502</c:v>
                </c:pt>
                <c:pt idx="587">
                  <c:v>0.76304381853102898</c:v>
                </c:pt>
                <c:pt idx="588">
                  <c:v>0.47758231512636801</c:v>
                </c:pt>
                <c:pt idx="589">
                  <c:v>0.30397664350995202</c:v>
                </c:pt>
                <c:pt idx="590">
                  <c:v>0.94715670460234802</c:v>
                </c:pt>
                <c:pt idx="591">
                  <c:v>0.77763678313767604</c:v>
                </c:pt>
                <c:pt idx="592">
                  <c:v>0.80367741013482197</c:v>
                </c:pt>
                <c:pt idx="593">
                  <c:v>0.76447255718319396</c:v>
                </c:pt>
                <c:pt idx="594">
                  <c:v>0.51421474980947601</c:v>
                </c:pt>
                <c:pt idx="595">
                  <c:v>0.87619153876099798</c:v>
                </c:pt>
                <c:pt idx="596">
                  <c:v>0.34266986952286999</c:v>
                </c:pt>
                <c:pt idx="597">
                  <c:v>0.77298597828298898</c:v>
                </c:pt>
                <c:pt idx="598">
                  <c:v>0.83538600079879699</c:v>
                </c:pt>
                <c:pt idx="599">
                  <c:v>0.79264341870336896</c:v>
                </c:pt>
                <c:pt idx="600">
                  <c:v>0.79744422115490399</c:v>
                </c:pt>
                <c:pt idx="601">
                  <c:v>0.67723557290487402</c:v>
                </c:pt>
                <c:pt idx="602">
                  <c:v>0.806047567308387</c:v>
                </c:pt>
                <c:pt idx="603">
                  <c:v>0.56426758413643396</c:v>
                </c:pt>
                <c:pt idx="604">
                  <c:v>0.77970542772999996</c:v>
                </c:pt>
                <c:pt idx="605">
                  <c:v>0.72438326175429701</c:v>
                </c:pt>
                <c:pt idx="606">
                  <c:v>0.69336937981687696</c:v>
                </c:pt>
                <c:pt idx="607">
                  <c:v>0.83588801383294997</c:v>
                </c:pt>
                <c:pt idx="608">
                  <c:v>0.83470954651492502</c:v>
                </c:pt>
                <c:pt idx="609">
                  <c:v>0.63241353892241403</c:v>
                </c:pt>
                <c:pt idx="610">
                  <c:v>0.370917426349544</c:v>
                </c:pt>
                <c:pt idx="611">
                  <c:v>0.46605730595638001</c:v>
                </c:pt>
                <c:pt idx="612">
                  <c:v>0.78345590463089698</c:v>
                </c:pt>
                <c:pt idx="613">
                  <c:v>0.864626468926179</c:v>
                </c:pt>
                <c:pt idx="614">
                  <c:v>0.71804724394761199</c:v>
                </c:pt>
                <c:pt idx="615">
                  <c:v>0.42657760167026998</c:v>
                </c:pt>
                <c:pt idx="616">
                  <c:v>0.35539748989499598</c:v>
                </c:pt>
                <c:pt idx="617">
                  <c:v>0.95535062129555803</c:v>
                </c:pt>
                <c:pt idx="618">
                  <c:v>0.77012893987503706</c:v>
                </c:pt>
                <c:pt idx="619">
                  <c:v>0.83804167377286998</c:v>
                </c:pt>
                <c:pt idx="620">
                  <c:v>0.795535997039441</c:v>
                </c:pt>
                <c:pt idx="621">
                  <c:v>0.57113840601681898</c:v>
                </c:pt>
                <c:pt idx="622">
                  <c:v>0.66375980362655895</c:v>
                </c:pt>
                <c:pt idx="623">
                  <c:v>0.64886891032320304</c:v>
                </c:pt>
                <c:pt idx="624">
                  <c:v>0.30170338698839499</c:v>
                </c:pt>
                <c:pt idx="625">
                  <c:v>0.47900849371440501</c:v>
                </c:pt>
                <c:pt idx="626">
                  <c:v>0.454759155105248</c:v>
                </c:pt>
                <c:pt idx="627">
                  <c:v>0.584991218493077</c:v>
                </c:pt>
                <c:pt idx="628">
                  <c:v>0.69879055295680803</c:v>
                </c:pt>
                <c:pt idx="629">
                  <c:v>0.53931698232357395</c:v>
                </c:pt>
                <c:pt idx="630">
                  <c:v>0.67607038410335596</c:v>
                </c:pt>
                <c:pt idx="631">
                  <c:v>0.80411370923155601</c:v>
                </c:pt>
                <c:pt idx="632">
                  <c:v>0.71296960241126495</c:v>
                </c:pt>
                <c:pt idx="633">
                  <c:v>0.63083901052963398</c:v>
                </c:pt>
                <c:pt idx="634">
                  <c:v>0.87989010014811897</c:v>
                </c:pt>
                <c:pt idx="635">
                  <c:v>0.64719563326077001</c:v>
                </c:pt>
                <c:pt idx="636">
                  <c:v>0.74048011482222198</c:v>
                </c:pt>
                <c:pt idx="637">
                  <c:v>0.69782229451347899</c:v>
                </c:pt>
                <c:pt idx="638">
                  <c:v>0.98480567139974995</c:v>
                </c:pt>
                <c:pt idx="639">
                  <c:v>0.87301614004382699</c:v>
                </c:pt>
                <c:pt idx="640">
                  <c:v>0.69869553486320601</c:v>
                </c:pt>
                <c:pt idx="641">
                  <c:v>0.73090005686102599</c:v>
                </c:pt>
                <c:pt idx="642">
                  <c:v>0.59665168295390103</c:v>
                </c:pt>
                <c:pt idx="643">
                  <c:v>0.848884347199235</c:v>
                </c:pt>
                <c:pt idx="644">
                  <c:v>0.71890969673232596</c:v>
                </c:pt>
                <c:pt idx="645">
                  <c:v>0.339690074867258</c:v>
                </c:pt>
                <c:pt idx="646">
                  <c:v>0.70298429051364397</c:v>
                </c:pt>
                <c:pt idx="647">
                  <c:v>0.83619239872393503</c:v>
                </c:pt>
                <c:pt idx="648">
                  <c:v>0.74981331946454399</c:v>
                </c:pt>
                <c:pt idx="649">
                  <c:v>0.758452405494628</c:v>
                </c:pt>
                <c:pt idx="650">
                  <c:v>0.51365125570132897</c:v>
                </c:pt>
                <c:pt idx="651">
                  <c:v>0.75403489854579897</c:v>
                </c:pt>
                <c:pt idx="652">
                  <c:v>0.73821143334394301</c:v>
                </c:pt>
                <c:pt idx="653">
                  <c:v>0.355237724348266</c:v>
                </c:pt>
                <c:pt idx="654">
                  <c:v>0.86202897605749396</c:v>
                </c:pt>
                <c:pt idx="655">
                  <c:v>0.83605066847670895</c:v>
                </c:pt>
                <c:pt idx="656">
                  <c:v>0.74053854259697505</c:v>
                </c:pt>
                <c:pt idx="657">
                  <c:v>0.77376228211037301</c:v>
                </c:pt>
                <c:pt idx="658">
                  <c:v>0.71005434984361404</c:v>
                </c:pt>
                <c:pt idx="659">
                  <c:v>0.59323115474052002</c:v>
                </c:pt>
                <c:pt idx="660">
                  <c:v>0.62300938107167103</c:v>
                </c:pt>
                <c:pt idx="661">
                  <c:v>0.87044752731434705</c:v>
                </c:pt>
                <c:pt idx="662">
                  <c:v>0.73317442711330705</c:v>
                </c:pt>
                <c:pt idx="663">
                  <c:v>0.78855369576976098</c:v>
                </c:pt>
                <c:pt idx="664">
                  <c:v>0.65786939348387896</c:v>
                </c:pt>
                <c:pt idx="665">
                  <c:v>0.58300723434637003</c:v>
                </c:pt>
                <c:pt idx="666">
                  <c:v>0.44135450902675899</c:v>
                </c:pt>
                <c:pt idx="667">
                  <c:v>0.37002969140993103</c:v>
                </c:pt>
                <c:pt idx="668">
                  <c:v>0.85771197447595104</c:v>
                </c:pt>
                <c:pt idx="669">
                  <c:v>0.66541611809995604</c:v>
                </c:pt>
                <c:pt idx="670">
                  <c:v>0.66370177561431198</c:v>
                </c:pt>
                <c:pt idx="671">
                  <c:v>0.49754889494061599</c:v>
                </c:pt>
                <c:pt idx="672">
                  <c:v>0.71644538803124802</c:v>
                </c:pt>
                <c:pt idx="673">
                  <c:v>0.342740100884451</c:v>
                </c:pt>
                <c:pt idx="674">
                  <c:v>0.58605664753493403</c:v>
                </c:pt>
                <c:pt idx="675">
                  <c:v>0.73180700498533202</c:v>
                </c:pt>
                <c:pt idx="676">
                  <c:v>0.96828304541578003</c:v>
                </c:pt>
                <c:pt idx="677">
                  <c:v>0.92853011482187298</c:v>
                </c:pt>
                <c:pt idx="678">
                  <c:v>0.75173182656895199</c:v>
                </c:pt>
                <c:pt idx="679">
                  <c:v>0.78853107153700996</c:v>
                </c:pt>
                <c:pt idx="680">
                  <c:v>0.76718284594115504</c:v>
                </c:pt>
                <c:pt idx="681">
                  <c:v>0.93275131465599004</c:v>
                </c:pt>
                <c:pt idx="682">
                  <c:v>0.62942995124471302</c:v>
                </c:pt>
                <c:pt idx="683">
                  <c:v>0.77501657037540095</c:v>
                </c:pt>
                <c:pt idx="684">
                  <c:v>0.70797838861207496</c:v>
                </c:pt>
                <c:pt idx="685">
                  <c:v>0.78588351918928401</c:v>
                </c:pt>
                <c:pt idx="686">
                  <c:v>0.377838411192363</c:v>
                </c:pt>
                <c:pt idx="687">
                  <c:v>0.63918432826117599</c:v>
                </c:pt>
                <c:pt idx="688">
                  <c:v>0.628646166079603</c:v>
                </c:pt>
                <c:pt idx="689">
                  <c:v>0.74637064388463203</c:v>
                </c:pt>
                <c:pt idx="690">
                  <c:v>0.609039989274751</c:v>
                </c:pt>
                <c:pt idx="691">
                  <c:v>0.83694193107317105</c:v>
                </c:pt>
                <c:pt idx="692">
                  <c:v>0.92515662154644795</c:v>
                </c:pt>
                <c:pt idx="693">
                  <c:v>0.62002091564920503</c:v>
                </c:pt>
                <c:pt idx="694">
                  <c:v>0.68790843575296701</c:v>
                </c:pt>
                <c:pt idx="695">
                  <c:v>0.94378268460630099</c:v>
                </c:pt>
                <c:pt idx="696">
                  <c:v>0.43127594166876199</c:v>
                </c:pt>
                <c:pt idx="697">
                  <c:v>0.38762043434558702</c:v>
                </c:pt>
                <c:pt idx="698">
                  <c:v>0.77290868653241696</c:v>
                </c:pt>
                <c:pt idx="699">
                  <c:v>0.86570154799326404</c:v>
                </c:pt>
                <c:pt idx="700">
                  <c:v>0.48874956776832801</c:v>
                </c:pt>
                <c:pt idx="701">
                  <c:v>0.82797113223284602</c:v>
                </c:pt>
                <c:pt idx="702">
                  <c:v>0.728305006678166</c:v>
                </c:pt>
                <c:pt idx="703">
                  <c:v>0.62563117939979096</c:v>
                </c:pt>
                <c:pt idx="704">
                  <c:v>0.96011146358389599</c:v>
                </c:pt>
                <c:pt idx="705">
                  <c:v>0.35965641436753099</c:v>
                </c:pt>
                <c:pt idx="706">
                  <c:v>0.61091503624822396</c:v>
                </c:pt>
                <c:pt idx="707">
                  <c:v>0.67269253062138601</c:v>
                </c:pt>
                <c:pt idx="708">
                  <c:v>0.95614050866203903</c:v>
                </c:pt>
                <c:pt idx="709">
                  <c:v>0.72175904036615601</c:v>
                </c:pt>
                <c:pt idx="710">
                  <c:v>0.92516381472398401</c:v>
                </c:pt>
                <c:pt idx="711">
                  <c:v>0.77457407142480295</c:v>
                </c:pt>
                <c:pt idx="712">
                  <c:v>0.90186427930297697</c:v>
                </c:pt>
                <c:pt idx="713">
                  <c:v>0.83345392983192501</c:v>
                </c:pt>
                <c:pt idx="714">
                  <c:v>0.46546316944683302</c:v>
                </c:pt>
                <c:pt idx="715">
                  <c:v>0.800714008197426</c:v>
                </c:pt>
                <c:pt idx="716">
                  <c:v>0.71015126268534701</c:v>
                </c:pt>
                <c:pt idx="717">
                  <c:v>0.78601254707072499</c:v>
                </c:pt>
                <c:pt idx="718">
                  <c:v>0.81774738499370903</c:v>
                </c:pt>
                <c:pt idx="719">
                  <c:v>0.84504233950417496</c:v>
                </c:pt>
                <c:pt idx="720">
                  <c:v>0.83936179280308998</c:v>
                </c:pt>
                <c:pt idx="721">
                  <c:v>0.71273681506881104</c:v>
                </c:pt>
                <c:pt idx="722">
                  <c:v>0.823751545439386</c:v>
                </c:pt>
                <c:pt idx="723">
                  <c:v>0.56111832172570197</c:v>
                </c:pt>
                <c:pt idx="724">
                  <c:v>0.90539372098875104</c:v>
                </c:pt>
                <c:pt idx="725">
                  <c:v>0.813448349188161</c:v>
                </c:pt>
                <c:pt idx="726">
                  <c:v>0.97441861252298301</c:v>
                </c:pt>
                <c:pt idx="727">
                  <c:v>0.69805321593043501</c:v>
                </c:pt>
                <c:pt idx="728">
                  <c:v>0.83273665839098998</c:v>
                </c:pt>
                <c:pt idx="729">
                  <c:v>0.89236605755853304</c:v>
                </c:pt>
                <c:pt idx="730">
                  <c:v>0.57809966588137796</c:v>
                </c:pt>
                <c:pt idx="731">
                  <c:v>0.55308443494882098</c:v>
                </c:pt>
                <c:pt idx="732">
                  <c:v>0.78944930091103005</c:v>
                </c:pt>
                <c:pt idx="733">
                  <c:v>0.92135788628510795</c:v>
                </c:pt>
                <c:pt idx="734">
                  <c:v>0.27807095008208099</c:v>
                </c:pt>
                <c:pt idx="735">
                  <c:v>0.72541369595524496</c:v>
                </c:pt>
                <c:pt idx="736">
                  <c:v>0.97749107422488302</c:v>
                </c:pt>
                <c:pt idx="737">
                  <c:v>0.68461381811778899</c:v>
                </c:pt>
                <c:pt idx="738">
                  <c:v>0.87414547406796295</c:v>
                </c:pt>
                <c:pt idx="739">
                  <c:v>0.78995245729096897</c:v>
                </c:pt>
                <c:pt idx="740">
                  <c:v>0.60570779070940695</c:v>
                </c:pt>
                <c:pt idx="741">
                  <c:v>0.63584179121554196</c:v>
                </c:pt>
                <c:pt idx="742">
                  <c:v>0.57765093660101496</c:v>
                </c:pt>
                <c:pt idx="743">
                  <c:v>0.66643874334911501</c:v>
                </c:pt>
                <c:pt idx="744">
                  <c:v>0.75762438882821903</c:v>
                </c:pt>
                <c:pt idx="745">
                  <c:v>0.77887824155739505</c:v>
                </c:pt>
                <c:pt idx="746">
                  <c:v>0.615506457895447</c:v>
                </c:pt>
                <c:pt idx="747">
                  <c:v>0.62280663741179898</c:v>
                </c:pt>
                <c:pt idx="748">
                  <c:v>0.77259765081989495</c:v>
                </c:pt>
                <c:pt idx="749">
                  <c:v>0.92427595631628301</c:v>
                </c:pt>
                <c:pt idx="750">
                  <c:v>0.81756177434819</c:v>
                </c:pt>
                <c:pt idx="751">
                  <c:v>0.31304053459449499</c:v>
                </c:pt>
                <c:pt idx="752">
                  <c:v>0.72361619334485205</c:v>
                </c:pt>
                <c:pt idx="753">
                  <c:v>0.67316165431147001</c:v>
                </c:pt>
                <c:pt idx="754">
                  <c:v>0.85973247144117304</c:v>
                </c:pt>
                <c:pt idx="755">
                  <c:v>0.91150589972732898</c:v>
                </c:pt>
                <c:pt idx="756">
                  <c:v>0.67920165926970799</c:v>
                </c:pt>
                <c:pt idx="757">
                  <c:v>0.80206091420061998</c:v>
                </c:pt>
                <c:pt idx="758">
                  <c:v>0.57225777678408196</c:v>
                </c:pt>
                <c:pt idx="759">
                  <c:v>0.83343343311693796</c:v>
                </c:pt>
                <c:pt idx="760">
                  <c:v>0.96300654113998296</c:v>
                </c:pt>
                <c:pt idx="761">
                  <c:v>0.65758491309126799</c:v>
                </c:pt>
                <c:pt idx="762">
                  <c:v>0.61279979190745903</c:v>
                </c:pt>
                <c:pt idx="763">
                  <c:v>0.85995477782978502</c:v>
                </c:pt>
                <c:pt idx="764">
                  <c:v>0.62825324742498301</c:v>
                </c:pt>
                <c:pt idx="765">
                  <c:v>0.64439563508217701</c:v>
                </c:pt>
                <c:pt idx="766">
                  <c:v>0.76585886967031602</c:v>
                </c:pt>
                <c:pt idx="767">
                  <c:v>0.92069713743383097</c:v>
                </c:pt>
                <c:pt idx="768">
                  <c:v>0.71026623510147702</c:v>
                </c:pt>
                <c:pt idx="769">
                  <c:v>0.75539677913695602</c:v>
                </c:pt>
                <c:pt idx="770">
                  <c:v>0.86349661955123602</c:v>
                </c:pt>
                <c:pt idx="771">
                  <c:v>0.74386539031472099</c:v>
                </c:pt>
                <c:pt idx="772">
                  <c:v>0.79492459576237695</c:v>
                </c:pt>
                <c:pt idx="773">
                  <c:v>0.86170960231217097</c:v>
                </c:pt>
                <c:pt idx="774">
                  <c:v>0.69564385643262405</c:v>
                </c:pt>
                <c:pt idx="775">
                  <c:v>0.81357852305559497</c:v>
                </c:pt>
                <c:pt idx="776">
                  <c:v>0.84866472079472799</c:v>
                </c:pt>
                <c:pt idx="777">
                  <c:v>0.80063522059012704</c:v>
                </c:pt>
                <c:pt idx="778">
                  <c:v>0.72507407146226899</c:v>
                </c:pt>
                <c:pt idx="779">
                  <c:v>0.71803416730153102</c:v>
                </c:pt>
                <c:pt idx="780">
                  <c:v>0.86326994735575102</c:v>
                </c:pt>
                <c:pt idx="781">
                  <c:v>0.79744437982794503</c:v>
                </c:pt>
                <c:pt idx="782">
                  <c:v>0.71070438908752098</c:v>
                </c:pt>
                <c:pt idx="783">
                  <c:v>0.79247095967398895</c:v>
                </c:pt>
                <c:pt idx="784">
                  <c:v>0.57787250403305301</c:v>
                </c:pt>
                <c:pt idx="785">
                  <c:v>0.41483392572495498</c:v>
                </c:pt>
                <c:pt idx="786">
                  <c:v>0.59052533988273903</c:v>
                </c:pt>
                <c:pt idx="787">
                  <c:v>0.578584831336178</c:v>
                </c:pt>
                <c:pt idx="788">
                  <c:v>0.81223892151508004</c:v>
                </c:pt>
                <c:pt idx="789">
                  <c:v>0.72149104597074099</c:v>
                </c:pt>
                <c:pt idx="790">
                  <c:v>0.686027376644886</c:v>
                </c:pt>
                <c:pt idx="791">
                  <c:v>0.97430840329352397</c:v>
                </c:pt>
                <c:pt idx="792">
                  <c:v>0.92712193531752596</c:v>
                </c:pt>
                <c:pt idx="793">
                  <c:v>0.88684332548238998</c:v>
                </c:pt>
                <c:pt idx="794">
                  <c:v>0.89116828397834302</c:v>
                </c:pt>
                <c:pt idx="795">
                  <c:v>0.63121937748498402</c:v>
                </c:pt>
                <c:pt idx="796">
                  <c:v>0.84273917980805801</c:v>
                </c:pt>
                <c:pt idx="797">
                  <c:v>0.90388251265597397</c:v>
                </c:pt>
                <c:pt idx="798">
                  <c:v>0.86349691570689902</c:v>
                </c:pt>
                <c:pt idx="799">
                  <c:v>0.48630122677542598</c:v>
                </c:pt>
                <c:pt idx="800">
                  <c:v>0.73738695071320903</c:v>
                </c:pt>
                <c:pt idx="801">
                  <c:v>0.86150684863643501</c:v>
                </c:pt>
                <c:pt idx="802">
                  <c:v>0.87027873655791399</c:v>
                </c:pt>
                <c:pt idx="803">
                  <c:v>0.691370803733106</c:v>
                </c:pt>
                <c:pt idx="804">
                  <c:v>0.77706557299718504</c:v>
                </c:pt>
                <c:pt idx="805">
                  <c:v>0.50034007739788999</c:v>
                </c:pt>
                <c:pt idx="806">
                  <c:v>0.49909790863919001</c:v>
                </c:pt>
                <c:pt idx="807">
                  <c:v>0.77409666641091901</c:v>
                </c:pt>
                <c:pt idx="808">
                  <c:v>0.85774836984987002</c:v>
                </c:pt>
                <c:pt idx="809">
                  <c:v>0.720871365860144</c:v>
                </c:pt>
                <c:pt idx="810">
                  <c:v>0.30088271146893403</c:v>
                </c:pt>
                <c:pt idx="811">
                  <c:v>0.60655015104576904</c:v>
                </c:pt>
                <c:pt idx="812">
                  <c:v>0.67582221671520504</c:v>
                </c:pt>
                <c:pt idx="813">
                  <c:v>0.91425418473736497</c:v>
                </c:pt>
                <c:pt idx="814">
                  <c:v>0.79728275595143605</c:v>
                </c:pt>
                <c:pt idx="815">
                  <c:v>0.73628420769706904</c:v>
                </c:pt>
                <c:pt idx="816">
                  <c:v>0.60398017536446202</c:v>
                </c:pt>
                <c:pt idx="817">
                  <c:v>0.74261715108669901</c:v>
                </c:pt>
                <c:pt idx="818">
                  <c:v>0.63858349569028205</c:v>
                </c:pt>
                <c:pt idx="819">
                  <c:v>0.570594169848889</c:v>
                </c:pt>
                <c:pt idx="820">
                  <c:v>0.75818519712065302</c:v>
                </c:pt>
                <c:pt idx="821">
                  <c:v>0.68588769997329901</c:v>
                </c:pt>
                <c:pt idx="822">
                  <c:v>0.86097029649819601</c:v>
                </c:pt>
                <c:pt idx="823">
                  <c:v>0.64165824688115403</c:v>
                </c:pt>
                <c:pt idx="824">
                  <c:v>0.721077347416482</c:v>
                </c:pt>
                <c:pt idx="825">
                  <c:v>0.57766628698109102</c:v>
                </c:pt>
                <c:pt idx="826">
                  <c:v>0.83610296422736696</c:v>
                </c:pt>
                <c:pt idx="827">
                  <c:v>0.35187075952624502</c:v>
                </c:pt>
                <c:pt idx="828">
                  <c:v>0.69888707750366597</c:v>
                </c:pt>
                <c:pt idx="829">
                  <c:v>0.78367972940085395</c:v>
                </c:pt>
                <c:pt idx="830">
                  <c:v>0.60351309176163703</c:v>
                </c:pt>
                <c:pt idx="831">
                  <c:v>0.921019553064931</c:v>
                </c:pt>
                <c:pt idx="832">
                  <c:v>0.73647813665950301</c:v>
                </c:pt>
                <c:pt idx="833">
                  <c:v>0.49029741111748099</c:v>
                </c:pt>
                <c:pt idx="834">
                  <c:v>0.957489064642702</c:v>
                </c:pt>
                <c:pt idx="835">
                  <c:v>0.78713425522158997</c:v>
                </c:pt>
                <c:pt idx="836">
                  <c:v>0.56754327163797202</c:v>
                </c:pt>
                <c:pt idx="837">
                  <c:v>0.72177508177543803</c:v>
                </c:pt>
                <c:pt idx="838">
                  <c:v>0.88469669144903995</c:v>
                </c:pt>
                <c:pt idx="839">
                  <c:v>0.92002199957317798</c:v>
                </c:pt>
                <c:pt idx="840">
                  <c:v>0.52666883343217996</c:v>
                </c:pt>
                <c:pt idx="841">
                  <c:v>0.69787295931017801</c:v>
                </c:pt>
                <c:pt idx="842">
                  <c:v>0.53753330382571496</c:v>
                </c:pt>
                <c:pt idx="843">
                  <c:v>0.60868481503058702</c:v>
                </c:pt>
                <c:pt idx="844">
                  <c:v>0.598000279988668</c:v>
                </c:pt>
                <c:pt idx="845">
                  <c:v>0.52440591787104895</c:v>
                </c:pt>
                <c:pt idx="846">
                  <c:v>0.76626506323951704</c:v>
                </c:pt>
                <c:pt idx="847">
                  <c:v>0.81482866388049902</c:v>
                </c:pt>
                <c:pt idx="848">
                  <c:v>0.63198693895415303</c:v>
                </c:pt>
                <c:pt idx="849">
                  <c:v>0.57920372536200604</c:v>
                </c:pt>
                <c:pt idx="850">
                  <c:v>0.73218924717491896</c:v>
                </c:pt>
                <c:pt idx="851">
                  <c:v>0.58425676746825095</c:v>
                </c:pt>
                <c:pt idx="852">
                  <c:v>0.55936152593150301</c:v>
                </c:pt>
                <c:pt idx="853">
                  <c:v>0.79394377136828997</c:v>
                </c:pt>
                <c:pt idx="854">
                  <c:v>0.56225343504111602</c:v>
                </c:pt>
                <c:pt idx="855">
                  <c:v>0.90975069592361102</c:v>
                </c:pt>
                <c:pt idx="856">
                  <c:v>0.82540055178997396</c:v>
                </c:pt>
                <c:pt idx="857">
                  <c:v>0.69399489135221903</c:v>
                </c:pt>
                <c:pt idx="858">
                  <c:v>0.88354666396902404</c:v>
                </c:pt>
                <c:pt idx="859">
                  <c:v>0.62494581564506102</c:v>
                </c:pt>
                <c:pt idx="860">
                  <c:v>0.69639016909154805</c:v>
                </c:pt>
                <c:pt idx="861">
                  <c:v>0.65944822009953996</c:v>
                </c:pt>
                <c:pt idx="862">
                  <c:v>0.89209707376446001</c:v>
                </c:pt>
                <c:pt idx="863">
                  <c:v>0.32852675069010701</c:v>
                </c:pt>
                <c:pt idx="864">
                  <c:v>0.77526148173498399</c:v>
                </c:pt>
                <c:pt idx="865">
                  <c:v>0.74566628265693702</c:v>
                </c:pt>
                <c:pt idx="866">
                  <c:v>0.54636409616625403</c:v>
                </c:pt>
                <c:pt idx="867">
                  <c:v>0.74168499826511902</c:v>
                </c:pt>
                <c:pt idx="868">
                  <c:v>0.80465554995476496</c:v>
                </c:pt>
                <c:pt idx="869">
                  <c:v>0.97269187060963103</c:v>
                </c:pt>
                <c:pt idx="870">
                  <c:v>0.90349817995369996</c:v>
                </c:pt>
                <c:pt idx="871">
                  <c:v>0.71952020593305599</c:v>
                </c:pt>
                <c:pt idx="872">
                  <c:v>0.85613773012654204</c:v>
                </c:pt>
                <c:pt idx="873">
                  <c:v>0.90535563186706303</c:v>
                </c:pt>
                <c:pt idx="874">
                  <c:v>0.53708597890873799</c:v>
                </c:pt>
                <c:pt idx="875">
                  <c:v>0.80530934665814302</c:v>
                </c:pt>
                <c:pt idx="876">
                  <c:v>0.65860807344556904</c:v>
                </c:pt>
                <c:pt idx="877">
                  <c:v>0.19934233530714801</c:v>
                </c:pt>
                <c:pt idx="878">
                  <c:v>0.67460402899177696</c:v>
                </c:pt>
                <c:pt idx="879">
                  <c:v>0.547777653477314</c:v>
                </c:pt>
                <c:pt idx="880">
                  <c:v>0.71795038876091299</c:v>
                </c:pt>
                <c:pt idx="881">
                  <c:v>0.44819823158703398</c:v>
                </c:pt>
                <c:pt idx="882">
                  <c:v>0.84781132665932302</c:v>
                </c:pt>
                <c:pt idx="883">
                  <c:v>0.57925216891186004</c:v>
                </c:pt>
                <c:pt idx="884">
                  <c:v>0.71788324558238104</c:v>
                </c:pt>
                <c:pt idx="885">
                  <c:v>0.85297468362793805</c:v>
                </c:pt>
                <c:pt idx="886">
                  <c:v>0.93485114113395495</c:v>
                </c:pt>
                <c:pt idx="887">
                  <c:v>0.85274324407940605</c:v>
                </c:pt>
                <c:pt idx="888">
                  <c:v>0.70316941550878598</c:v>
                </c:pt>
                <c:pt idx="889">
                  <c:v>0.772863548650362</c:v>
                </c:pt>
                <c:pt idx="890">
                  <c:v>0.77286594529737995</c:v>
                </c:pt>
                <c:pt idx="891">
                  <c:v>0.721162943547488</c:v>
                </c:pt>
                <c:pt idx="892">
                  <c:v>0.76449728396983097</c:v>
                </c:pt>
                <c:pt idx="893">
                  <c:v>0.73557213039879299</c:v>
                </c:pt>
                <c:pt idx="894">
                  <c:v>0.65642936336995605</c:v>
                </c:pt>
                <c:pt idx="895">
                  <c:v>0.86815181129352603</c:v>
                </c:pt>
                <c:pt idx="896">
                  <c:v>0.77739130257419797</c:v>
                </c:pt>
                <c:pt idx="897">
                  <c:v>0.86203472860131602</c:v>
                </c:pt>
                <c:pt idx="898">
                  <c:v>0.775379609460636</c:v>
                </c:pt>
                <c:pt idx="899">
                  <c:v>0.79798944136764804</c:v>
                </c:pt>
                <c:pt idx="900">
                  <c:v>0.52366182526899197</c:v>
                </c:pt>
                <c:pt idx="901">
                  <c:v>0.79168110389416102</c:v>
                </c:pt>
                <c:pt idx="902">
                  <c:v>0.71185769413784294</c:v>
                </c:pt>
                <c:pt idx="903">
                  <c:v>0.92555142530122403</c:v>
                </c:pt>
                <c:pt idx="904">
                  <c:v>0.54746088367338597</c:v>
                </c:pt>
                <c:pt idx="905">
                  <c:v>0.79486690437848495</c:v>
                </c:pt>
                <c:pt idx="906">
                  <c:v>0.35628898970434802</c:v>
                </c:pt>
                <c:pt idx="907">
                  <c:v>0.45659888225941703</c:v>
                </c:pt>
                <c:pt idx="908">
                  <c:v>0.447977050163129</c:v>
                </c:pt>
                <c:pt idx="909">
                  <c:v>0.64232371457262405</c:v>
                </c:pt>
                <c:pt idx="910">
                  <c:v>0.81812267791053495</c:v>
                </c:pt>
                <c:pt idx="911">
                  <c:v>0.86808715558374405</c:v>
                </c:pt>
                <c:pt idx="912">
                  <c:v>0.739555161103984</c:v>
                </c:pt>
                <c:pt idx="913">
                  <c:v>0.65162757332711796</c:v>
                </c:pt>
                <c:pt idx="914">
                  <c:v>0.78544550340296704</c:v>
                </c:pt>
                <c:pt idx="915">
                  <c:v>0.68785854358551002</c:v>
                </c:pt>
                <c:pt idx="916">
                  <c:v>0.66110764246355602</c:v>
                </c:pt>
                <c:pt idx="917">
                  <c:v>0.76394446719671705</c:v>
                </c:pt>
                <c:pt idx="918">
                  <c:v>0.80174837065363502</c:v>
                </c:pt>
                <c:pt idx="919">
                  <c:v>0.24635141624613099</c:v>
                </c:pt>
                <c:pt idx="920">
                  <c:v>0.50816679100597295</c:v>
                </c:pt>
                <c:pt idx="921">
                  <c:v>0.72518506625567103</c:v>
                </c:pt>
                <c:pt idx="922">
                  <c:v>0.85830408227255806</c:v>
                </c:pt>
                <c:pt idx="923">
                  <c:v>0.56377528674838395</c:v>
                </c:pt>
                <c:pt idx="924">
                  <c:v>0.47167820127854498</c:v>
                </c:pt>
                <c:pt idx="925">
                  <c:v>0.63022265400460398</c:v>
                </c:pt>
                <c:pt idx="926">
                  <c:v>0.516400991647744</c:v>
                </c:pt>
                <c:pt idx="927">
                  <c:v>0.649165589824928</c:v>
                </c:pt>
                <c:pt idx="928">
                  <c:v>0.94039278945617899</c:v>
                </c:pt>
                <c:pt idx="929">
                  <c:v>0.88182105503494601</c:v>
                </c:pt>
                <c:pt idx="930">
                  <c:v>0.93097055465679501</c:v>
                </c:pt>
                <c:pt idx="931">
                  <c:v>0.87327311368393001</c:v>
                </c:pt>
                <c:pt idx="932">
                  <c:v>0.48151994247486302</c:v>
                </c:pt>
                <c:pt idx="933">
                  <c:v>0.73327981091137495</c:v>
                </c:pt>
                <c:pt idx="934">
                  <c:v>0.58836900148305804</c:v>
                </c:pt>
                <c:pt idx="935">
                  <c:v>0.88352128438628696</c:v>
                </c:pt>
                <c:pt idx="936">
                  <c:v>0.69766841317251904</c:v>
                </c:pt>
                <c:pt idx="937">
                  <c:v>0.77583507762113302</c:v>
                </c:pt>
                <c:pt idx="938">
                  <c:v>0.61101261288826203</c:v>
                </c:pt>
                <c:pt idx="939">
                  <c:v>0.50908829771664899</c:v>
                </c:pt>
                <c:pt idx="940">
                  <c:v>0.69457127947603303</c:v>
                </c:pt>
                <c:pt idx="941">
                  <c:v>0.54033298045383404</c:v>
                </c:pt>
                <c:pt idx="942">
                  <c:v>0.86047050055459995</c:v>
                </c:pt>
                <c:pt idx="943">
                  <c:v>0.87711530628173395</c:v>
                </c:pt>
                <c:pt idx="944">
                  <c:v>0.46030278568604399</c:v>
                </c:pt>
                <c:pt idx="945">
                  <c:v>0.82384922480356504</c:v>
                </c:pt>
                <c:pt idx="946">
                  <c:v>0.724496468204467</c:v>
                </c:pt>
                <c:pt idx="947">
                  <c:v>0.73283245435468902</c:v>
                </c:pt>
                <c:pt idx="948">
                  <c:v>0.65428088801709305</c:v>
                </c:pt>
                <c:pt idx="949">
                  <c:v>0.96798087000488697</c:v>
                </c:pt>
                <c:pt idx="950">
                  <c:v>0.79954610294379103</c:v>
                </c:pt>
                <c:pt idx="951">
                  <c:v>0.80551118018766599</c:v>
                </c:pt>
                <c:pt idx="952">
                  <c:v>0.85746331721977198</c:v>
                </c:pt>
                <c:pt idx="953">
                  <c:v>0.65148029957327502</c:v>
                </c:pt>
                <c:pt idx="954">
                  <c:v>0.84420436118582798</c:v>
                </c:pt>
                <c:pt idx="955">
                  <c:v>0.81483209096225995</c:v>
                </c:pt>
                <c:pt idx="956">
                  <c:v>0.55684144448554496</c:v>
                </c:pt>
                <c:pt idx="957">
                  <c:v>0.73023468785117596</c:v>
                </c:pt>
                <c:pt idx="958">
                  <c:v>0.716375643472001</c:v>
                </c:pt>
                <c:pt idx="959">
                  <c:v>0.80240046744725202</c:v>
                </c:pt>
                <c:pt idx="960">
                  <c:v>0.74836589646776297</c:v>
                </c:pt>
                <c:pt idx="961">
                  <c:v>0.84247297606251703</c:v>
                </c:pt>
                <c:pt idx="962">
                  <c:v>0.53217096911499895</c:v>
                </c:pt>
                <c:pt idx="963">
                  <c:v>0.89830106020529799</c:v>
                </c:pt>
                <c:pt idx="964">
                  <c:v>0.796148673404522</c:v>
                </c:pt>
                <c:pt idx="965">
                  <c:v>0.59942570991316801</c:v>
                </c:pt>
                <c:pt idx="966">
                  <c:v>0.54688330493397697</c:v>
                </c:pt>
                <c:pt idx="967">
                  <c:v>0.478905234467767</c:v>
                </c:pt>
                <c:pt idx="968">
                  <c:v>0.752226568496144</c:v>
                </c:pt>
                <c:pt idx="969">
                  <c:v>0.88938079788218705</c:v>
                </c:pt>
                <c:pt idx="970">
                  <c:v>0.74859449681851598</c:v>
                </c:pt>
                <c:pt idx="971">
                  <c:v>0.53924583888400002</c:v>
                </c:pt>
                <c:pt idx="972">
                  <c:v>0.75159113384987397</c:v>
                </c:pt>
                <c:pt idx="973">
                  <c:v>0.90182838478662197</c:v>
                </c:pt>
                <c:pt idx="974">
                  <c:v>0.69164074899209704</c:v>
                </c:pt>
                <c:pt idx="975">
                  <c:v>0.83464069583165101</c:v>
                </c:pt>
                <c:pt idx="976">
                  <c:v>0.66759031297257099</c:v>
                </c:pt>
                <c:pt idx="977">
                  <c:v>0.76082077277400795</c:v>
                </c:pt>
                <c:pt idx="978">
                  <c:v>0.72688957718465497</c:v>
                </c:pt>
                <c:pt idx="979">
                  <c:v>0.38739618351786298</c:v>
                </c:pt>
                <c:pt idx="980">
                  <c:v>0.80530454862606804</c:v>
                </c:pt>
                <c:pt idx="981">
                  <c:v>0.84404261229001798</c:v>
                </c:pt>
                <c:pt idx="982">
                  <c:v>0.79665409738388004</c:v>
                </c:pt>
                <c:pt idx="983">
                  <c:v>0.78532181498626097</c:v>
                </c:pt>
                <c:pt idx="984">
                  <c:v>0.42922992001093901</c:v>
                </c:pt>
                <c:pt idx="985">
                  <c:v>0.73086462385824902</c:v>
                </c:pt>
                <c:pt idx="986">
                  <c:v>0.89763870381092004</c:v>
                </c:pt>
                <c:pt idx="987">
                  <c:v>0.80976323796411398</c:v>
                </c:pt>
                <c:pt idx="988">
                  <c:v>0.80328649638525995</c:v>
                </c:pt>
                <c:pt idx="989">
                  <c:v>0.63954642417542096</c:v>
                </c:pt>
                <c:pt idx="990">
                  <c:v>0.75760608674297003</c:v>
                </c:pt>
                <c:pt idx="991">
                  <c:v>0.82642223272423798</c:v>
                </c:pt>
                <c:pt idx="992">
                  <c:v>0.71407634201011305</c:v>
                </c:pt>
                <c:pt idx="993">
                  <c:v>0.91990440186199196</c:v>
                </c:pt>
                <c:pt idx="994">
                  <c:v>0.80901678218727302</c:v>
                </c:pt>
                <c:pt idx="995">
                  <c:v>0.54812002957667205</c:v>
                </c:pt>
                <c:pt idx="996">
                  <c:v>0.62381426674250495</c:v>
                </c:pt>
                <c:pt idx="997">
                  <c:v>0.59792440915704104</c:v>
                </c:pt>
                <c:pt idx="998">
                  <c:v>0.69034313144168402</c:v>
                </c:pt>
                <c:pt idx="999">
                  <c:v>0.63277699296688505</c:v>
                </c:pt>
                <c:pt idx="1000">
                  <c:v>0.89445054251601697</c:v>
                </c:pt>
                <c:pt idx="1001">
                  <c:v>0.39419104349490502</c:v>
                </c:pt>
                <c:pt idx="1002">
                  <c:v>0.60825657964497803</c:v>
                </c:pt>
                <c:pt idx="1003">
                  <c:v>0.62214010158794697</c:v>
                </c:pt>
                <c:pt idx="1004">
                  <c:v>0.84544072542254101</c:v>
                </c:pt>
                <c:pt idx="1005">
                  <c:v>0.72243618229380502</c:v>
                </c:pt>
                <c:pt idx="1006">
                  <c:v>0.57656697454585604</c:v>
                </c:pt>
                <c:pt idx="1007">
                  <c:v>0.55965731332108204</c:v>
                </c:pt>
                <c:pt idx="1008">
                  <c:v>0.89957944405214196</c:v>
                </c:pt>
                <c:pt idx="1009">
                  <c:v>0.91153406810186299</c:v>
                </c:pt>
                <c:pt idx="1010">
                  <c:v>0.622048850410718</c:v>
                </c:pt>
                <c:pt idx="1011">
                  <c:v>0.73596401058085004</c:v>
                </c:pt>
                <c:pt idx="1012">
                  <c:v>0.76712548732809105</c:v>
                </c:pt>
                <c:pt idx="1013">
                  <c:v>0.42787994737506002</c:v>
                </c:pt>
                <c:pt idx="1014">
                  <c:v>0.78197735843014105</c:v>
                </c:pt>
                <c:pt idx="1015">
                  <c:v>0.65001593364591004</c:v>
                </c:pt>
                <c:pt idx="1016">
                  <c:v>0.52592856090566198</c:v>
                </c:pt>
                <c:pt idx="1017">
                  <c:v>0.66696852194390899</c:v>
                </c:pt>
                <c:pt idx="1018">
                  <c:v>0.34802626151814398</c:v>
                </c:pt>
                <c:pt idx="1019">
                  <c:v>0.754215927288027</c:v>
                </c:pt>
                <c:pt idx="1020">
                  <c:v>0.72078126224940797</c:v>
                </c:pt>
                <c:pt idx="1021">
                  <c:v>0.835533030312131</c:v>
                </c:pt>
                <c:pt idx="1022">
                  <c:v>0.79683301939899298</c:v>
                </c:pt>
                <c:pt idx="1023">
                  <c:v>0.36587980431807698</c:v>
                </c:pt>
                <c:pt idx="1024">
                  <c:v>0.87515532737425805</c:v>
                </c:pt>
                <c:pt idx="1025">
                  <c:v>0.75500353083298699</c:v>
                </c:pt>
                <c:pt idx="1026">
                  <c:v>0.72887643540522395</c:v>
                </c:pt>
                <c:pt idx="1027">
                  <c:v>0.91611209948278105</c:v>
                </c:pt>
                <c:pt idx="1028">
                  <c:v>0.37081262681756</c:v>
                </c:pt>
                <c:pt idx="1029">
                  <c:v>0.427532979223536</c:v>
                </c:pt>
                <c:pt idx="1030">
                  <c:v>0.83045022958716397</c:v>
                </c:pt>
                <c:pt idx="1031">
                  <c:v>0.78320712169465301</c:v>
                </c:pt>
                <c:pt idx="1032">
                  <c:v>0.58478705730112701</c:v>
                </c:pt>
                <c:pt idx="1033">
                  <c:v>0.55427234526216496</c:v>
                </c:pt>
                <c:pt idx="1034">
                  <c:v>0.74835915551765897</c:v>
                </c:pt>
                <c:pt idx="1035">
                  <c:v>0.88135264089536802</c:v>
                </c:pt>
                <c:pt idx="1036">
                  <c:v>0.6254268528111</c:v>
                </c:pt>
                <c:pt idx="1037">
                  <c:v>0.84392689547681599</c:v>
                </c:pt>
                <c:pt idx="1038">
                  <c:v>0.69538497752017003</c:v>
                </c:pt>
                <c:pt idx="1039">
                  <c:v>0.75830153511262199</c:v>
                </c:pt>
                <c:pt idx="1040">
                  <c:v>0.86086277656146104</c:v>
                </c:pt>
                <c:pt idx="1041">
                  <c:v>0.69483285802601202</c:v>
                </c:pt>
                <c:pt idx="1042">
                  <c:v>0.96668443926876801</c:v>
                </c:pt>
                <c:pt idx="1043">
                  <c:v>0.82182297234375801</c:v>
                </c:pt>
                <c:pt idx="1044">
                  <c:v>0.79555371481373105</c:v>
                </c:pt>
                <c:pt idx="1045">
                  <c:v>0.66889164476738905</c:v>
                </c:pt>
                <c:pt idx="1046">
                  <c:v>0.47658634618246998</c:v>
                </c:pt>
                <c:pt idx="1047">
                  <c:v>0.51489804681665297</c:v>
                </c:pt>
                <c:pt idx="1048">
                  <c:v>0.70561225769973102</c:v>
                </c:pt>
                <c:pt idx="1049">
                  <c:v>0.562133574216228</c:v>
                </c:pt>
                <c:pt idx="1050">
                  <c:v>0.75453966628856395</c:v>
                </c:pt>
                <c:pt idx="1051">
                  <c:v>0.66125689413854705</c:v>
                </c:pt>
                <c:pt idx="1052">
                  <c:v>0.69709106330364001</c:v>
                </c:pt>
                <c:pt idx="1053">
                  <c:v>0.76367912836327301</c:v>
                </c:pt>
                <c:pt idx="1054">
                  <c:v>0.76235950762511295</c:v>
                </c:pt>
                <c:pt idx="1055">
                  <c:v>0.68915618492764497</c:v>
                </c:pt>
                <c:pt idx="1056">
                  <c:v>0.51326012382934905</c:v>
                </c:pt>
                <c:pt idx="1057">
                  <c:v>0.59183393161854903</c:v>
                </c:pt>
                <c:pt idx="1058">
                  <c:v>0.63723939730895496</c:v>
                </c:pt>
                <c:pt idx="1059">
                  <c:v>0.68288067623912996</c:v>
                </c:pt>
                <c:pt idx="1060">
                  <c:v>0.87574593232430697</c:v>
                </c:pt>
                <c:pt idx="1061">
                  <c:v>0.59564487786026399</c:v>
                </c:pt>
                <c:pt idx="1062">
                  <c:v>0.79099468198820699</c:v>
                </c:pt>
                <c:pt idx="1063">
                  <c:v>0.49432167909679597</c:v>
                </c:pt>
                <c:pt idx="1064">
                  <c:v>0.83113675465148695</c:v>
                </c:pt>
                <c:pt idx="1065">
                  <c:v>0.95133003874725997</c:v>
                </c:pt>
                <c:pt idx="1066">
                  <c:v>0.72096861856077499</c:v>
                </c:pt>
                <c:pt idx="1067">
                  <c:v>0.759882479054383</c:v>
                </c:pt>
                <c:pt idx="1068">
                  <c:v>0.88986708142705795</c:v>
                </c:pt>
                <c:pt idx="1069">
                  <c:v>0.55000874188346405</c:v>
                </c:pt>
                <c:pt idx="1070">
                  <c:v>0.87877192728410602</c:v>
                </c:pt>
                <c:pt idx="1071">
                  <c:v>0.89219773419706305</c:v>
                </c:pt>
                <c:pt idx="1072">
                  <c:v>0.64860989166616301</c:v>
                </c:pt>
                <c:pt idx="1073">
                  <c:v>0.96417154616996603</c:v>
                </c:pt>
                <c:pt idx="1074">
                  <c:v>0.62505473992603799</c:v>
                </c:pt>
                <c:pt idx="1075">
                  <c:v>0.39249396795250002</c:v>
                </c:pt>
                <c:pt idx="1076">
                  <c:v>0.66772370124301195</c:v>
                </c:pt>
                <c:pt idx="1077">
                  <c:v>0.63180314279030703</c:v>
                </c:pt>
                <c:pt idx="1078">
                  <c:v>0.74460255626959604</c:v>
                </c:pt>
                <c:pt idx="1079">
                  <c:v>0.91555572095439897</c:v>
                </c:pt>
                <c:pt idx="1080">
                  <c:v>0.87074979254074902</c:v>
                </c:pt>
                <c:pt idx="1081">
                  <c:v>0.36958394540048001</c:v>
                </c:pt>
                <c:pt idx="1082">
                  <c:v>0.37784140724847698</c:v>
                </c:pt>
                <c:pt idx="1083">
                  <c:v>0.82703758825612905</c:v>
                </c:pt>
                <c:pt idx="1084">
                  <c:v>0.842648505445318</c:v>
                </c:pt>
                <c:pt idx="1085">
                  <c:v>0.71155932069233097</c:v>
                </c:pt>
                <c:pt idx="1086">
                  <c:v>0.42734806647905299</c:v>
                </c:pt>
                <c:pt idx="1087">
                  <c:v>0.80867807125553404</c:v>
                </c:pt>
                <c:pt idx="1088">
                  <c:v>0.68689235616931998</c:v>
                </c:pt>
                <c:pt idx="1089">
                  <c:v>0.77715507885762403</c:v>
                </c:pt>
                <c:pt idx="1090">
                  <c:v>0.81916021459365096</c:v>
                </c:pt>
                <c:pt idx="1091">
                  <c:v>0.882655205376498</c:v>
                </c:pt>
                <c:pt idx="1092">
                  <c:v>0.76518518863282603</c:v>
                </c:pt>
                <c:pt idx="1093">
                  <c:v>0.67680703779379103</c:v>
                </c:pt>
                <c:pt idx="1094">
                  <c:v>0.67856646481815097</c:v>
                </c:pt>
                <c:pt idx="1095">
                  <c:v>0.69686472123556398</c:v>
                </c:pt>
                <c:pt idx="1096">
                  <c:v>0.79020585880182004</c:v>
                </c:pt>
                <c:pt idx="1097">
                  <c:v>0.67294509719567797</c:v>
                </c:pt>
                <c:pt idx="1098">
                  <c:v>0.928609475884423</c:v>
                </c:pt>
                <c:pt idx="1099">
                  <c:v>0.61476859080433599</c:v>
                </c:pt>
                <c:pt idx="1100">
                  <c:v>0.593342753216899</c:v>
                </c:pt>
                <c:pt idx="1101">
                  <c:v>0.46807975223948001</c:v>
                </c:pt>
                <c:pt idx="1102">
                  <c:v>0.89969611819337503</c:v>
                </c:pt>
                <c:pt idx="1103">
                  <c:v>0.43789895957992903</c:v>
                </c:pt>
                <c:pt idx="1104">
                  <c:v>0.86665776229286196</c:v>
                </c:pt>
                <c:pt idx="1105">
                  <c:v>0.61226925605515803</c:v>
                </c:pt>
                <c:pt idx="1106">
                  <c:v>0.89137031965846303</c:v>
                </c:pt>
                <c:pt idx="1107">
                  <c:v>0.62955598451174499</c:v>
                </c:pt>
                <c:pt idx="1108">
                  <c:v>0.84407510098431004</c:v>
                </c:pt>
                <c:pt idx="1109">
                  <c:v>0.79798957819771299</c:v>
                </c:pt>
                <c:pt idx="1110">
                  <c:v>0.70242384124798696</c:v>
                </c:pt>
                <c:pt idx="1111">
                  <c:v>0.96095412761279697</c:v>
                </c:pt>
                <c:pt idx="1112">
                  <c:v>0.87633287388617298</c:v>
                </c:pt>
                <c:pt idx="1113">
                  <c:v>0.85459819454364905</c:v>
                </c:pt>
                <c:pt idx="1114">
                  <c:v>0.50021550955155802</c:v>
                </c:pt>
                <c:pt idx="1115">
                  <c:v>0.55718123916696904</c:v>
                </c:pt>
                <c:pt idx="1116">
                  <c:v>0.58520738009571704</c:v>
                </c:pt>
                <c:pt idx="1117">
                  <c:v>0.87342555488030604</c:v>
                </c:pt>
                <c:pt idx="1118">
                  <c:v>0.92627330462079704</c:v>
                </c:pt>
                <c:pt idx="1119">
                  <c:v>0.80249766609934603</c:v>
                </c:pt>
                <c:pt idx="1120">
                  <c:v>0.64371575195277497</c:v>
                </c:pt>
                <c:pt idx="1121">
                  <c:v>0.67978548046208198</c:v>
                </c:pt>
                <c:pt idx="1122">
                  <c:v>0.89737442094092401</c:v>
                </c:pt>
                <c:pt idx="1123">
                  <c:v>0.55716089911016597</c:v>
                </c:pt>
                <c:pt idx="1124">
                  <c:v>0.87664103412678795</c:v>
                </c:pt>
                <c:pt idx="1125">
                  <c:v>0.71644515574407197</c:v>
                </c:pt>
                <c:pt idx="1126">
                  <c:v>0.87251000705604997</c:v>
                </c:pt>
                <c:pt idx="1127">
                  <c:v>0.90202692819451002</c:v>
                </c:pt>
                <c:pt idx="1128">
                  <c:v>0.50611188139632002</c:v>
                </c:pt>
                <c:pt idx="1129">
                  <c:v>0.95119723758169505</c:v>
                </c:pt>
                <c:pt idx="1130">
                  <c:v>0.59918308519919405</c:v>
                </c:pt>
                <c:pt idx="1131">
                  <c:v>0.62535041358960497</c:v>
                </c:pt>
                <c:pt idx="1132">
                  <c:v>0.89286012847376295</c:v>
                </c:pt>
                <c:pt idx="1133">
                  <c:v>0.81040656216073503</c:v>
                </c:pt>
                <c:pt idx="1134">
                  <c:v>0.78566215003623197</c:v>
                </c:pt>
                <c:pt idx="1135">
                  <c:v>0.65368752132268904</c:v>
                </c:pt>
                <c:pt idx="1136">
                  <c:v>0.90207017802505896</c:v>
                </c:pt>
                <c:pt idx="1137">
                  <c:v>0.62045793485346701</c:v>
                </c:pt>
                <c:pt idx="1138">
                  <c:v>0.77099289747617195</c:v>
                </c:pt>
                <c:pt idx="1139">
                  <c:v>0.78745771487827698</c:v>
                </c:pt>
                <c:pt idx="1140">
                  <c:v>0.83900173005900602</c:v>
                </c:pt>
                <c:pt idx="1141">
                  <c:v>0.50344135481305197</c:v>
                </c:pt>
                <c:pt idx="1142">
                  <c:v>0.96657003553647902</c:v>
                </c:pt>
                <c:pt idx="1143">
                  <c:v>0.98117906303561098</c:v>
                </c:pt>
                <c:pt idx="1144">
                  <c:v>0.51967860980385305</c:v>
                </c:pt>
                <c:pt idx="1145">
                  <c:v>0.766952088976253</c:v>
                </c:pt>
                <c:pt idx="1146">
                  <c:v>0.83861048505336799</c:v>
                </c:pt>
                <c:pt idx="1147">
                  <c:v>0.69371221489318802</c:v>
                </c:pt>
                <c:pt idx="1148">
                  <c:v>0.77762895582004199</c:v>
                </c:pt>
                <c:pt idx="1149">
                  <c:v>0.64513501911540905</c:v>
                </c:pt>
                <c:pt idx="1150">
                  <c:v>0.63577714495041904</c:v>
                </c:pt>
                <c:pt idx="1151">
                  <c:v>0.93076209220034301</c:v>
                </c:pt>
                <c:pt idx="1152">
                  <c:v>0.91636086384068405</c:v>
                </c:pt>
                <c:pt idx="1153">
                  <c:v>0.73348592594605799</c:v>
                </c:pt>
                <c:pt idx="1154">
                  <c:v>0.73176208645918694</c:v>
                </c:pt>
                <c:pt idx="1155">
                  <c:v>0.89587090968069405</c:v>
                </c:pt>
                <c:pt idx="1156">
                  <c:v>0.67639302381267896</c:v>
                </c:pt>
                <c:pt idx="1157">
                  <c:v>0.33561367998677699</c:v>
                </c:pt>
                <c:pt idx="1158">
                  <c:v>0.89092994562404804</c:v>
                </c:pt>
                <c:pt idx="1159">
                  <c:v>0.92792946993879</c:v>
                </c:pt>
                <c:pt idx="1160">
                  <c:v>0.75669268727254602</c:v>
                </c:pt>
                <c:pt idx="1161">
                  <c:v>0.75941392817201203</c:v>
                </c:pt>
                <c:pt idx="1162">
                  <c:v>0.63416915625688697</c:v>
                </c:pt>
                <c:pt idx="1163">
                  <c:v>0.47295554026813202</c:v>
                </c:pt>
                <c:pt idx="1164">
                  <c:v>0.56396756166826001</c:v>
                </c:pt>
                <c:pt idx="1165">
                  <c:v>0.96118264995589597</c:v>
                </c:pt>
                <c:pt idx="1166">
                  <c:v>0.87918496632588505</c:v>
                </c:pt>
                <c:pt idx="1167">
                  <c:v>0.62385899014034396</c:v>
                </c:pt>
                <c:pt idx="1168">
                  <c:v>0.81849675748857698</c:v>
                </c:pt>
                <c:pt idx="1169">
                  <c:v>0.52756018264440097</c:v>
                </c:pt>
                <c:pt idx="1170">
                  <c:v>0.87106189952722901</c:v>
                </c:pt>
                <c:pt idx="1171">
                  <c:v>0.76002518558069299</c:v>
                </c:pt>
                <c:pt idx="1172">
                  <c:v>0.60243954502865205</c:v>
                </c:pt>
                <c:pt idx="1173">
                  <c:v>0.88564961334424097</c:v>
                </c:pt>
                <c:pt idx="1174">
                  <c:v>0.71020872522742395</c:v>
                </c:pt>
                <c:pt idx="1175">
                  <c:v>0.76166877457865301</c:v>
                </c:pt>
                <c:pt idx="1176">
                  <c:v>0.674503567752609</c:v>
                </c:pt>
                <c:pt idx="1177">
                  <c:v>0.66129313386986999</c:v>
                </c:pt>
                <c:pt idx="1178">
                  <c:v>0.69670293364129898</c:v>
                </c:pt>
                <c:pt idx="1179">
                  <c:v>0.943819839674922</c:v>
                </c:pt>
                <c:pt idx="1180">
                  <c:v>0.45618675590339303</c:v>
                </c:pt>
                <c:pt idx="1181">
                  <c:v>0.73880112199941395</c:v>
                </c:pt>
                <c:pt idx="1182">
                  <c:v>0.60536998564295497</c:v>
                </c:pt>
                <c:pt idx="1183">
                  <c:v>0.85814615870803501</c:v>
                </c:pt>
                <c:pt idx="1184">
                  <c:v>0.48785817637269702</c:v>
                </c:pt>
                <c:pt idx="1185">
                  <c:v>0.66042552432188895</c:v>
                </c:pt>
                <c:pt idx="1186">
                  <c:v>0.99586666080255004</c:v>
                </c:pt>
                <c:pt idx="1187">
                  <c:v>0.625437979474885</c:v>
                </c:pt>
                <c:pt idx="1188">
                  <c:v>0.50013424912887605</c:v>
                </c:pt>
                <c:pt idx="1189">
                  <c:v>0.93850076144440497</c:v>
                </c:pt>
                <c:pt idx="1190">
                  <c:v>0.92667870110877304</c:v>
                </c:pt>
                <c:pt idx="1191">
                  <c:v>0.62056864110445198</c:v>
                </c:pt>
                <c:pt idx="1192">
                  <c:v>0.85858528013448698</c:v>
                </c:pt>
                <c:pt idx="1193">
                  <c:v>0.64088104179198901</c:v>
                </c:pt>
                <c:pt idx="1194">
                  <c:v>0.47897813743775097</c:v>
                </c:pt>
                <c:pt idx="1195">
                  <c:v>0.76955204078042705</c:v>
                </c:pt>
                <c:pt idx="1196">
                  <c:v>0.84083605974089803</c:v>
                </c:pt>
                <c:pt idx="1197">
                  <c:v>0.88968967491145901</c:v>
                </c:pt>
                <c:pt idx="1198">
                  <c:v>0.86761857291224598</c:v>
                </c:pt>
                <c:pt idx="1199">
                  <c:v>0.49204630553975498</c:v>
                </c:pt>
                <c:pt idx="1200">
                  <c:v>0.92681664441821399</c:v>
                </c:pt>
                <c:pt idx="1201">
                  <c:v>0.59985637689978799</c:v>
                </c:pt>
                <c:pt idx="1202">
                  <c:v>0.81141992282537101</c:v>
                </c:pt>
                <c:pt idx="1203">
                  <c:v>0.75229816382965897</c:v>
                </c:pt>
                <c:pt idx="1204">
                  <c:v>0.92778221412827799</c:v>
                </c:pt>
                <c:pt idx="1205">
                  <c:v>0.73577989404638999</c:v>
                </c:pt>
                <c:pt idx="1206">
                  <c:v>0.54875108719243804</c:v>
                </c:pt>
                <c:pt idx="1207">
                  <c:v>0.68569939657380496</c:v>
                </c:pt>
                <c:pt idx="1208">
                  <c:v>0.54151665636656998</c:v>
                </c:pt>
                <c:pt idx="1209">
                  <c:v>0.95194847177478104</c:v>
                </c:pt>
                <c:pt idx="1210">
                  <c:v>0.68027162932679697</c:v>
                </c:pt>
                <c:pt idx="1211">
                  <c:v>0.69438112241244099</c:v>
                </c:pt>
                <c:pt idx="1212">
                  <c:v>0.75539466742635997</c:v>
                </c:pt>
                <c:pt idx="1213">
                  <c:v>0.60021211923379703</c:v>
                </c:pt>
                <c:pt idx="1214">
                  <c:v>0.81466327069462996</c:v>
                </c:pt>
                <c:pt idx="1215">
                  <c:v>0.64655541577543396</c:v>
                </c:pt>
                <c:pt idx="1216">
                  <c:v>0.86682139520520196</c:v>
                </c:pt>
                <c:pt idx="1217">
                  <c:v>0.67044065439991996</c:v>
                </c:pt>
                <c:pt idx="1218">
                  <c:v>0.60160083191469704</c:v>
                </c:pt>
                <c:pt idx="1219">
                  <c:v>0.77314187916259403</c:v>
                </c:pt>
                <c:pt idx="1220">
                  <c:v>0.86607603617218598</c:v>
                </c:pt>
                <c:pt idx="1221">
                  <c:v>0.84891692865169299</c:v>
                </c:pt>
                <c:pt idx="1222">
                  <c:v>0.56721965579544997</c:v>
                </c:pt>
                <c:pt idx="1223">
                  <c:v>0.85759946385746</c:v>
                </c:pt>
                <c:pt idx="1224">
                  <c:v>0.83994599309883899</c:v>
                </c:pt>
                <c:pt idx="1225">
                  <c:v>0.684309549573348</c:v>
                </c:pt>
                <c:pt idx="1226">
                  <c:v>0.48267094850077003</c:v>
                </c:pt>
                <c:pt idx="1227">
                  <c:v>0.65336319710853596</c:v>
                </c:pt>
                <c:pt idx="1228">
                  <c:v>0.74484150775231495</c:v>
                </c:pt>
                <c:pt idx="1229">
                  <c:v>0.93097727844173295</c:v>
                </c:pt>
                <c:pt idx="1230">
                  <c:v>0.77604262552227998</c:v>
                </c:pt>
                <c:pt idx="1231">
                  <c:v>0.72541049426230897</c:v>
                </c:pt>
                <c:pt idx="1232">
                  <c:v>0.84214433782670095</c:v>
                </c:pt>
                <c:pt idx="1233">
                  <c:v>0.88642552814841702</c:v>
                </c:pt>
                <c:pt idx="1234">
                  <c:v>0.93824795843101705</c:v>
                </c:pt>
                <c:pt idx="1235">
                  <c:v>0.62821118462652503</c:v>
                </c:pt>
                <c:pt idx="1236">
                  <c:v>0.67276208394204196</c:v>
                </c:pt>
                <c:pt idx="1237">
                  <c:v>0.95758656753233296</c:v>
                </c:pt>
                <c:pt idx="1238">
                  <c:v>0.898578354449033</c:v>
                </c:pt>
                <c:pt idx="1239">
                  <c:v>0.76133667887002099</c:v>
                </c:pt>
                <c:pt idx="1240">
                  <c:v>0.52424732679262798</c:v>
                </c:pt>
                <c:pt idx="1241">
                  <c:v>0.91192578875741404</c:v>
                </c:pt>
                <c:pt idx="1242">
                  <c:v>0.61588982736142095</c:v>
                </c:pt>
                <c:pt idx="1243">
                  <c:v>0.76343079884311205</c:v>
                </c:pt>
                <c:pt idx="1244">
                  <c:v>0.52009243612074696</c:v>
                </c:pt>
                <c:pt idx="1245">
                  <c:v>0.81634269586349295</c:v>
                </c:pt>
                <c:pt idx="1246">
                  <c:v>0.68767264440766696</c:v>
                </c:pt>
                <c:pt idx="1247">
                  <c:v>0.58824723417322</c:v>
                </c:pt>
                <c:pt idx="1248">
                  <c:v>0.71707918124998804</c:v>
                </c:pt>
                <c:pt idx="1249">
                  <c:v>0.561463847229976</c:v>
                </c:pt>
                <c:pt idx="1250">
                  <c:v>0.75154983441569201</c:v>
                </c:pt>
                <c:pt idx="1251">
                  <c:v>0.52472634398015705</c:v>
                </c:pt>
                <c:pt idx="1252">
                  <c:v>0.46546597798718398</c:v>
                </c:pt>
                <c:pt idx="1253">
                  <c:v>0.80724608124012298</c:v>
                </c:pt>
                <c:pt idx="1254">
                  <c:v>0.69720631879607897</c:v>
                </c:pt>
                <c:pt idx="1255">
                  <c:v>0.70436335780521597</c:v>
                </c:pt>
                <c:pt idx="1256">
                  <c:v>0.65077035919269699</c:v>
                </c:pt>
                <c:pt idx="1257">
                  <c:v>0.91693419889099503</c:v>
                </c:pt>
                <c:pt idx="1258">
                  <c:v>0.57144658722221897</c:v>
                </c:pt>
                <c:pt idx="1259">
                  <c:v>0.67949322736168405</c:v>
                </c:pt>
                <c:pt idx="1260">
                  <c:v>0.83904039455423896</c:v>
                </c:pt>
                <c:pt idx="1261">
                  <c:v>0.78418564288930204</c:v>
                </c:pt>
                <c:pt idx="1262">
                  <c:v>0.50666599335354001</c:v>
                </c:pt>
                <c:pt idx="1263">
                  <c:v>0.77421181252637306</c:v>
                </c:pt>
                <c:pt idx="1264">
                  <c:v>0.73457526599205802</c:v>
                </c:pt>
                <c:pt idx="1265">
                  <c:v>0.75183386480243897</c:v>
                </c:pt>
                <c:pt idx="1266">
                  <c:v>0.68502622807493596</c:v>
                </c:pt>
                <c:pt idx="1267">
                  <c:v>0.57871237830891398</c:v>
                </c:pt>
                <c:pt idx="1268">
                  <c:v>0.25470447985329803</c:v>
                </c:pt>
                <c:pt idx="1269">
                  <c:v>0.958457363692234</c:v>
                </c:pt>
                <c:pt idx="1270">
                  <c:v>0.65991125881796997</c:v>
                </c:pt>
                <c:pt idx="1271">
                  <c:v>0.69833321087271505</c:v>
                </c:pt>
                <c:pt idx="1272">
                  <c:v>0.79851699883205496</c:v>
                </c:pt>
                <c:pt idx="1273">
                  <c:v>0.90485865380049502</c:v>
                </c:pt>
                <c:pt idx="1274">
                  <c:v>0.671654206496479</c:v>
                </c:pt>
                <c:pt idx="1275">
                  <c:v>0.58579217752863799</c:v>
                </c:pt>
                <c:pt idx="1276">
                  <c:v>0.73100023405535297</c:v>
                </c:pt>
                <c:pt idx="1277">
                  <c:v>0.74532495060832604</c:v>
                </c:pt>
                <c:pt idx="1278">
                  <c:v>0.65678840294339402</c:v>
                </c:pt>
                <c:pt idx="1279">
                  <c:v>0.84163423720494801</c:v>
                </c:pt>
                <c:pt idx="1280">
                  <c:v>0.66565629336494303</c:v>
                </c:pt>
                <c:pt idx="1281">
                  <c:v>0.94820139572942097</c:v>
                </c:pt>
                <c:pt idx="1282">
                  <c:v>0.86623274974858999</c:v>
                </c:pt>
                <c:pt idx="1283">
                  <c:v>0.83330409658891902</c:v>
                </c:pt>
                <c:pt idx="1284">
                  <c:v>0.69977312856067797</c:v>
                </c:pt>
                <c:pt idx="1285">
                  <c:v>0.93760622147798001</c:v>
                </c:pt>
                <c:pt idx="1286">
                  <c:v>0.93487586795977196</c:v>
                </c:pt>
                <c:pt idx="1287">
                  <c:v>0.64850610809375198</c:v>
                </c:pt>
                <c:pt idx="1288">
                  <c:v>0.69057276744183005</c:v>
                </c:pt>
                <c:pt idx="1289">
                  <c:v>0.81335465598013401</c:v>
                </c:pt>
                <c:pt idx="1290">
                  <c:v>0.77579082840953395</c:v>
                </c:pt>
                <c:pt idx="1291">
                  <c:v>0.69243223442159596</c:v>
                </c:pt>
                <c:pt idx="1292">
                  <c:v>0.67691816278982897</c:v>
                </c:pt>
                <c:pt idx="1293">
                  <c:v>0.60358720352172501</c:v>
                </c:pt>
                <c:pt idx="1294">
                  <c:v>0.287782424960494</c:v>
                </c:pt>
                <c:pt idx="1295">
                  <c:v>0.54956147593401705</c:v>
                </c:pt>
                <c:pt idx="1296">
                  <c:v>0.82889919214979302</c:v>
                </c:pt>
                <c:pt idx="1297">
                  <c:v>0.60076332633114704</c:v>
                </c:pt>
                <c:pt idx="1298">
                  <c:v>0.71002245097367001</c:v>
                </c:pt>
                <c:pt idx="1299">
                  <c:v>0.94754266521269803</c:v>
                </c:pt>
                <c:pt idx="1300">
                  <c:v>0.82011624575412201</c:v>
                </c:pt>
                <c:pt idx="1301">
                  <c:v>0.74129913017992399</c:v>
                </c:pt>
                <c:pt idx="1302">
                  <c:v>0.76435768301534102</c:v>
                </c:pt>
                <c:pt idx="1303">
                  <c:v>0.71969522990527901</c:v>
                </c:pt>
                <c:pt idx="1304">
                  <c:v>0.87311850534619295</c:v>
                </c:pt>
                <c:pt idx="1305">
                  <c:v>0.56963263634531702</c:v>
                </c:pt>
                <c:pt idx="1306">
                  <c:v>0.61258887270513596</c:v>
                </c:pt>
                <c:pt idx="1307">
                  <c:v>0.86307743981962903</c:v>
                </c:pt>
                <c:pt idx="1308">
                  <c:v>0.83587763807583104</c:v>
                </c:pt>
                <c:pt idx="1309">
                  <c:v>0.53185159153120498</c:v>
                </c:pt>
                <c:pt idx="1310">
                  <c:v>0.72235035081545895</c:v>
                </c:pt>
                <c:pt idx="1311">
                  <c:v>0.84293497832733899</c:v>
                </c:pt>
                <c:pt idx="1312">
                  <c:v>0.85980952707887603</c:v>
                </c:pt>
                <c:pt idx="1313">
                  <c:v>0.64968475893408795</c:v>
                </c:pt>
                <c:pt idx="1314">
                  <c:v>0.76700604965722796</c:v>
                </c:pt>
                <c:pt idx="1315">
                  <c:v>0.52910111177171304</c:v>
                </c:pt>
                <c:pt idx="1316">
                  <c:v>0.75687351505011802</c:v>
                </c:pt>
                <c:pt idx="1317">
                  <c:v>0.285767029700353</c:v>
                </c:pt>
                <c:pt idx="1318">
                  <c:v>0.519101108874088</c:v>
                </c:pt>
                <c:pt idx="1319">
                  <c:v>0.41914560108287802</c:v>
                </c:pt>
                <c:pt idx="1320">
                  <c:v>0.66971154457589499</c:v>
                </c:pt>
                <c:pt idx="1321">
                  <c:v>0.51947657998118302</c:v>
                </c:pt>
                <c:pt idx="1322">
                  <c:v>0.70800129534907796</c:v>
                </c:pt>
                <c:pt idx="1323">
                  <c:v>0.84498442890063596</c:v>
                </c:pt>
                <c:pt idx="1324">
                  <c:v>0.741653860403237</c:v>
                </c:pt>
                <c:pt idx="1325">
                  <c:v>0.85312563928541096</c:v>
                </c:pt>
                <c:pt idx="1326">
                  <c:v>0.35868078397243902</c:v>
                </c:pt>
                <c:pt idx="1327">
                  <c:v>0.62887013619758003</c:v>
                </c:pt>
                <c:pt idx="1328">
                  <c:v>0.80456374752151905</c:v>
                </c:pt>
                <c:pt idx="1329">
                  <c:v>0.465692653175029</c:v>
                </c:pt>
                <c:pt idx="1330">
                  <c:v>0.78568492069515405</c:v>
                </c:pt>
                <c:pt idx="1331">
                  <c:v>0.79085888661192705</c:v>
                </c:pt>
                <c:pt idx="1332">
                  <c:v>0.89395304769068795</c:v>
                </c:pt>
                <c:pt idx="1333">
                  <c:v>0.57774783083152503</c:v>
                </c:pt>
                <c:pt idx="1334">
                  <c:v>0.80550524941882895</c:v>
                </c:pt>
                <c:pt idx="1335">
                  <c:v>0.65228937167201495</c:v>
                </c:pt>
                <c:pt idx="1336">
                  <c:v>0.72722986533340706</c:v>
                </c:pt>
                <c:pt idx="1337">
                  <c:v>0.70958830732635403</c:v>
                </c:pt>
                <c:pt idx="1338">
                  <c:v>0.83781631620090002</c:v>
                </c:pt>
                <c:pt idx="1339">
                  <c:v>0.76443737167603798</c:v>
                </c:pt>
                <c:pt idx="1340">
                  <c:v>0.90890817579858896</c:v>
                </c:pt>
                <c:pt idx="1341">
                  <c:v>0.551957807456535</c:v>
                </c:pt>
                <c:pt idx="1342">
                  <c:v>0.65541105918251696</c:v>
                </c:pt>
                <c:pt idx="1343">
                  <c:v>0.73586828761331002</c:v>
                </c:pt>
                <c:pt idx="1344">
                  <c:v>0.80466701662498297</c:v>
                </c:pt>
                <c:pt idx="1345">
                  <c:v>0.784820170799712</c:v>
                </c:pt>
                <c:pt idx="1346">
                  <c:v>0.51426147037708902</c:v>
                </c:pt>
                <c:pt idx="1347">
                  <c:v>0.53395520368619498</c:v>
                </c:pt>
                <c:pt idx="1348">
                  <c:v>0.63568094800975306</c:v>
                </c:pt>
                <c:pt idx="1349">
                  <c:v>0.43781102136302202</c:v>
                </c:pt>
                <c:pt idx="1350">
                  <c:v>0.54040025628921196</c:v>
                </c:pt>
                <c:pt idx="1351">
                  <c:v>0.43826762645564799</c:v>
                </c:pt>
                <c:pt idx="1352">
                  <c:v>0.79985249279159099</c:v>
                </c:pt>
                <c:pt idx="1353">
                  <c:v>0.72161145347658395</c:v>
                </c:pt>
                <c:pt idx="1354">
                  <c:v>0.92647902292111395</c:v>
                </c:pt>
                <c:pt idx="1355">
                  <c:v>0.88042005787748701</c:v>
                </c:pt>
                <c:pt idx="1356">
                  <c:v>0.85937459377812198</c:v>
                </c:pt>
                <c:pt idx="1357">
                  <c:v>0.66126399564727401</c:v>
                </c:pt>
                <c:pt idx="1358">
                  <c:v>0.78534756051179899</c:v>
                </c:pt>
                <c:pt idx="1359">
                  <c:v>0.48963271653143697</c:v>
                </c:pt>
                <c:pt idx="1360">
                  <c:v>0.51066415799556897</c:v>
                </c:pt>
                <c:pt idx="1361">
                  <c:v>0.66952801512992699</c:v>
                </c:pt>
                <c:pt idx="1362">
                  <c:v>0.85864756135152898</c:v>
                </c:pt>
                <c:pt idx="1363">
                  <c:v>0.66688983545721003</c:v>
                </c:pt>
                <c:pt idx="1364">
                  <c:v>0.35816042652622399</c:v>
                </c:pt>
                <c:pt idx="1365">
                  <c:v>0.61639689180051105</c:v>
                </c:pt>
                <c:pt idx="1366">
                  <c:v>0.74142655522863499</c:v>
                </c:pt>
                <c:pt idx="1367">
                  <c:v>0.77511947516447299</c:v>
                </c:pt>
                <c:pt idx="1368">
                  <c:v>0.64794065292983005</c:v>
                </c:pt>
                <c:pt idx="1369">
                  <c:v>0.83667194179904203</c:v>
                </c:pt>
                <c:pt idx="1370">
                  <c:v>0.70728435058238104</c:v>
                </c:pt>
                <c:pt idx="1371">
                  <c:v>0.60965914986584302</c:v>
                </c:pt>
                <c:pt idx="1372">
                  <c:v>0.83811545850355396</c:v>
                </c:pt>
                <c:pt idx="1373">
                  <c:v>0.60544778608035899</c:v>
                </c:pt>
                <c:pt idx="1374">
                  <c:v>0.75134866391912902</c:v>
                </c:pt>
                <c:pt idx="1375">
                  <c:v>0.67350885364998403</c:v>
                </c:pt>
                <c:pt idx="1376">
                  <c:v>0.71674345911543602</c:v>
                </c:pt>
                <c:pt idx="1377">
                  <c:v>0.51401202569903603</c:v>
                </c:pt>
                <c:pt idx="1378">
                  <c:v>0.44463637543329498</c:v>
                </c:pt>
                <c:pt idx="1379">
                  <c:v>0.70408780504930901</c:v>
                </c:pt>
                <c:pt idx="1380">
                  <c:v>0.78116267227921699</c:v>
                </c:pt>
                <c:pt idx="1381">
                  <c:v>0.650154269481513</c:v>
                </c:pt>
                <c:pt idx="1382">
                  <c:v>0.67073333346688302</c:v>
                </c:pt>
                <c:pt idx="1383">
                  <c:v>0.52902109172145995</c:v>
                </c:pt>
                <c:pt idx="1384">
                  <c:v>0.59328015714886395</c:v>
                </c:pt>
                <c:pt idx="1385">
                  <c:v>0.52556337406806897</c:v>
                </c:pt>
                <c:pt idx="1386">
                  <c:v>0.82747127554198696</c:v>
                </c:pt>
                <c:pt idx="1387">
                  <c:v>0.59868544248752997</c:v>
                </c:pt>
                <c:pt idx="1388">
                  <c:v>0.91375514891230702</c:v>
                </c:pt>
                <c:pt idx="1389">
                  <c:v>0.78894990893394401</c:v>
                </c:pt>
                <c:pt idx="1390">
                  <c:v>0.89802466373445</c:v>
                </c:pt>
                <c:pt idx="1391">
                  <c:v>0.79005614537646596</c:v>
                </c:pt>
                <c:pt idx="1392">
                  <c:v>0.87625584709000404</c:v>
                </c:pt>
                <c:pt idx="1393">
                  <c:v>0.79670103622263699</c:v>
                </c:pt>
                <c:pt idx="1394">
                  <c:v>0.843772728124354</c:v>
                </c:pt>
                <c:pt idx="1395">
                  <c:v>0.67657314720763995</c:v>
                </c:pt>
                <c:pt idx="1396">
                  <c:v>0.60412350161241901</c:v>
                </c:pt>
                <c:pt idx="1397">
                  <c:v>0.76922154530027098</c:v>
                </c:pt>
                <c:pt idx="1398">
                  <c:v>0.56106099523984898</c:v>
                </c:pt>
                <c:pt idx="1399">
                  <c:v>0.84710305435434297</c:v>
                </c:pt>
                <c:pt idx="1400">
                  <c:v>0.52708582928553005</c:v>
                </c:pt>
                <c:pt idx="1401">
                  <c:v>0.86627857217111803</c:v>
                </c:pt>
                <c:pt idx="1402">
                  <c:v>0.88521693139050805</c:v>
                </c:pt>
                <c:pt idx="1403">
                  <c:v>0.81899899739013204</c:v>
                </c:pt>
                <c:pt idx="1404">
                  <c:v>0.57436651974529696</c:v>
                </c:pt>
                <c:pt idx="1405">
                  <c:v>0.81065206767723397</c:v>
                </c:pt>
                <c:pt idx="1406">
                  <c:v>0.69138480389874701</c:v>
                </c:pt>
                <c:pt idx="1407">
                  <c:v>0.86588684552151296</c:v>
                </c:pt>
                <c:pt idx="1408">
                  <c:v>0.79956769799268701</c:v>
                </c:pt>
                <c:pt idx="1409">
                  <c:v>0.85416771706787697</c:v>
                </c:pt>
                <c:pt idx="1410">
                  <c:v>0.69495264391978395</c:v>
                </c:pt>
                <c:pt idx="1411">
                  <c:v>0.98898728492521404</c:v>
                </c:pt>
                <c:pt idx="1412">
                  <c:v>0.92087791525027896</c:v>
                </c:pt>
                <c:pt idx="1413">
                  <c:v>0.82752306435921497</c:v>
                </c:pt>
                <c:pt idx="1414">
                  <c:v>0.82003402637039202</c:v>
                </c:pt>
                <c:pt idx="1415">
                  <c:v>0.88468279872208599</c:v>
                </c:pt>
                <c:pt idx="1416">
                  <c:v>0.92021145033023399</c:v>
                </c:pt>
                <c:pt idx="1417">
                  <c:v>0.72987375164661805</c:v>
                </c:pt>
                <c:pt idx="1418">
                  <c:v>0.90982398230401096</c:v>
                </c:pt>
                <c:pt idx="1419">
                  <c:v>0.68988770122141596</c:v>
                </c:pt>
                <c:pt idx="1420">
                  <c:v>0.52191872303044595</c:v>
                </c:pt>
                <c:pt idx="1421">
                  <c:v>0.65943705041758405</c:v>
                </c:pt>
                <c:pt idx="1422">
                  <c:v>0.79466944993370103</c:v>
                </c:pt>
                <c:pt idx="1423">
                  <c:v>0.71079264827446997</c:v>
                </c:pt>
                <c:pt idx="1424">
                  <c:v>0.59631985798462295</c:v>
                </c:pt>
                <c:pt idx="1425">
                  <c:v>0.59192858607537402</c:v>
                </c:pt>
                <c:pt idx="1426">
                  <c:v>0.88941228739997402</c:v>
                </c:pt>
                <c:pt idx="1427">
                  <c:v>0.80805563758560595</c:v>
                </c:pt>
                <c:pt idx="1428">
                  <c:v>0.66711579424055401</c:v>
                </c:pt>
                <c:pt idx="1429">
                  <c:v>0.90372619946518196</c:v>
                </c:pt>
                <c:pt idx="1430">
                  <c:v>0.62116489286055498</c:v>
                </c:pt>
                <c:pt idx="1431">
                  <c:v>0.77596054137569703</c:v>
                </c:pt>
                <c:pt idx="1432">
                  <c:v>0.85546102467572205</c:v>
                </c:pt>
                <c:pt idx="1433">
                  <c:v>0.70211395227080098</c:v>
                </c:pt>
                <c:pt idx="1434">
                  <c:v>0.94914537220633599</c:v>
                </c:pt>
                <c:pt idx="1435">
                  <c:v>0.72520153894887396</c:v>
                </c:pt>
                <c:pt idx="1436">
                  <c:v>0.70122647643561298</c:v>
                </c:pt>
                <c:pt idx="1437">
                  <c:v>0.53858363856011504</c:v>
                </c:pt>
                <c:pt idx="1438">
                  <c:v>0.98216334776834102</c:v>
                </c:pt>
                <c:pt idx="1439">
                  <c:v>0.74045030583945004</c:v>
                </c:pt>
                <c:pt idx="1440">
                  <c:v>0.65607416930889595</c:v>
                </c:pt>
                <c:pt idx="1441">
                  <c:v>0.58954338066675405</c:v>
                </c:pt>
                <c:pt idx="1442">
                  <c:v>0.715141886112453</c:v>
                </c:pt>
                <c:pt idx="1443">
                  <c:v>0.85841486882518603</c:v>
                </c:pt>
                <c:pt idx="1444">
                  <c:v>0.63775613676249598</c:v>
                </c:pt>
                <c:pt idx="1445">
                  <c:v>0.80356530520660596</c:v>
                </c:pt>
                <c:pt idx="1446">
                  <c:v>0.36398265329046697</c:v>
                </c:pt>
                <c:pt idx="1447">
                  <c:v>0.74090079875906301</c:v>
                </c:pt>
                <c:pt idx="1448">
                  <c:v>0.72149307800982498</c:v>
                </c:pt>
                <c:pt idx="1449">
                  <c:v>0.73400663393626397</c:v>
                </c:pt>
                <c:pt idx="1450">
                  <c:v>0.86174903589573304</c:v>
                </c:pt>
                <c:pt idx="1451">
                  <c:v>0.28460634198658002</c:v>
                </c:pt>
                <c:pt idx="1452">
                  <c:v>0.61126433808602199</c:v>
                </c:pt>
                <c:pt idx="1453">
                  <c:v>0.706155482300176</c:v>
                </c:pt>
                <c:pt idx="1454">
                  <c:v>0.66847848612652505</c:v>
                </c:pt>
                <c:pt idx="1455">
                  <c:v>0.82771437654505398</c:v>
                </c:pt>
                <c:pt idx="1456">
                  <c:v>0.947529865172556</c:v>
                </c:pt>
                <c:pt idx="1457">
                  <c:v>0.73382690222681701</c:v>
                </c:pt>
                <c:pt idx="1458">
                  <c:v>0.64362749068164404</c:v>
                </c:pt>
                <c:pt idx="1459">
                  <c:v>0.62868161009386003</c:v>
                </c:pt>
                <c:pt idx="1460">
                  <c:v>0.75417800348359698</c:v>
                </c:pt>
                <c:pt idx="1461">
                  <c:v>0.90539813777220701</c:v>
                </c:pt>
                <c:pt idx="1462">
                  <c:v>0.85879339079581296</c:v>
                </c:pt>
                <c:pt idx="1463">
                  <c:v>0.42169323795824798</c:v>
                </c:pt>
                <c:pt idx="1464">
                  <c:v>0.60230136839516202</c:v>
                </c:pt>
                <c:pt idx="1465">
                  <c:v>0.52216338260577799</c:v>
                </c:pt>
                <c:pt idx="1466">
                  <c:v>0.82899156153785802</c:v>
                </c:pt>
                <c:pt idx="1467">
                  <c:v>0.88682872269667001</c:v>
                </c:pt>
                <c:pt idx="1468">
                  <c:v>0.89957607053968902</c:v>
                </c:pt>
                <c:pt idx="1469">
                  <c:v>0.89281435434315803</c:v>
                </c:pt>
                <c:pt idx="1470">
                  <c:v>0.90483140699072995</c:v>
                </c:pt>
                <c:pt idx="1471">
                  <c:v>0.69613467020132802</c:v>
                </c:pt>
                <c:pt idx="1472">
                  <c:v>0.71172708593727196</c:v>
                </c:pt>
                <c:pt idx="1473">
                  <c:v>0.96074182014073894</c:v>
                </c:pt>
                <c:pt idx="1474">
                  <c:v>0.623426852663307</c:v>
                </c:pt>
                <c:pt idx="1475">
                  <c:v>0.75827339050162601</c:v>
                </c:pt>
                <c:pt idx="1476">
                  <c:v>0.84031269325052005</c:v>
                </c:pt>
                <c:pt idx="1477">
                  <c:v>0.60569594497233503</c:v>
                </c:pt>
                <c:pt idx="1478">
                  <c:v>0.52298478776111001</c:v>
                </c:pt>
                <c:pt idx="1479">
                  <c:v>0.82340998315037905</c:v>
                </c:pt>
                <c:pt idx="1480">
                  <c:v>0.394703003052638</c:v>
                </c:pt>
                <c:pt idx="1481">
                  <c:v>0.800946013644254</c:v>
                </c:pt>
                <c:pt idx="1482">
                  <c:v>0.77847889823667304</c:v>
                </c:pt>
                <c:pt idx="1483">
                  <c:v>0.67345078690879401</c:v>
                </c:pt>
                <c:pt idx="1484">
                  <c:v>0.53990327627367796</c:v>
                </c:pt>
                <c:pt idx="1485">
                  <c:v>0.70229116317219098</c:v>
                </c:pt>
                <c:pt idx="1486">
                  <c:v>0.75221859211314002</c:v>
                </c:pt>
                <c:pt idx="1487">
                  <c:v>0.84623185662203104</c:v>
                </c:pt>
                <c:pt idx="1488">
                  <c:v>0.59475877730647897</c:v>
                </c:pt>
                <c:pt idx="1489">
                  <c:v>0.83440136911467599</c:v>
                </c:pt>
                <c:pt idx="1490">
                  <c:v>0.73551163319153001</c:v>
                </c:pt>
                <c:pt idx="1491">
                  <c:v>0.73970870046800397</c:v>
                </c:pt>
                <c:pt idx="1492">
                  <c:v>0.93906821044535604</c:v>
                </c:pt>
                <c:pt idx="1493">
                  <c:v>0.50639062795380396</c:v>
                </c:pt>
                <c:pt idx="1494">
                  <c:v>0.94625991782652596</c:v>
                </c:pt>
                <c:pt idx="1495">
                  <c:v>0.77270790854527305</c:v>
                </c:pt>
                <c:pt idx="1496">
                  <c:v>0.63546635066031798</c:v>
                </c:pt>
                <c:pt idx="1497">
                  <c:v>0.820205690956893</c:v>
                </c:pt>
                <c:pt idx="1498">
                  <c:v>0.78455827087002705</c:v>
                </c:pt>
                <c:pt idx="1499">
                  <c:v>0.79580342066502996</c:v>
                </c:pt>
                <c:pt idx="1500">
                  <c:v>0.779949491279887</c:v>
                </c:pt>
                <c:pt idx="1501">
                  <c:v>0.89376713293097498</c:v>
                </c:pt>
                <c:pt idx="1502">
                  <c:v>0.49450626754343702</c:v>
                </c:pt>
                <c:pt idx="1503">
                  <c:v>0.85258428526903496</c:v>
                </c:pt>
                <c:pt idx="1504">
                  <c:v>0.23320753013007001</c:v>
                </c:pt>
                <c:pt idx="1505">
                  <c:v>0.42470821048327501</c:v>
                </c:pt>
                <c:pt idx="1506">
                  <c:v>0.48793998914278702</c:v>
                </c:pt>
                <c:pt idx="1507">
                  <c:v>0.71009529231045798</c:v>
                </c:pt>
                <c:pt idx="1508">
                  <c:v>0.52388680372861796</c:v>
                </c:pt>
                <c:pt idx="1509">
                  <c:v>0.62809759796971998</c:v>
                </c:pt>
                <c:pt idx="1510">
                  <c:v>0.68869531296587705</c:v>
                </c:pt>
                <c:pt idx="1511">
                  <c:v>0.96173458447057603</c:v>
                </c:pt>
                <c:pt idx="1512">
                  <c:v>0.385886165133425</c:v>
                </c:pt>
                <c:pt idx="1513">
                  <c:v>0.82912940469543805</c:v>
                </c:pt>
                <c:pt idx="1514">
                  <c:v>0.882394658617493</c:v>
                </c:pt>
                <c:pt idx="1515">
                  <c:v>0.67623039237930205</c:v>
                </c:pt>
                <c:pt idx="1516">
                  <c:v>0.82685112021142804</c:v>
                </c:pt>
                <c:pt idx="1517">
                  <c:v>0.706136021416369</c:v>
                </c:pt>
                <c:pt idx="1518">
                  <c:v>0.69804956812640995</c:v>
                </c:pt>
                <c:pt idx="1519">
                  <c:v>0.80453748132450897</c:v>
                </c:pt>
                <c:pt idx="1520">
                  <c:v>0.66540685635765096</c:v>
                </c:pt>
                <c:pt idx="1521">
                  <c:v>0.557225395022933</c:v>
                </c:pt>
                <c:pt idx="1522">
                  <c:v>0.75459630888140505</c:v>
                </c:pt>
                <c:pt idx="1523">
                  <c:v>0.71320126049288202</c:v>
                </c:pt>
                <c:pt idx="1524">
                  <c:v>0.62901077195314503</c:v>
                </c:pt>
                <c:pt idx="1525">
                  <c:v>0.48506339505684898</c:v>
                </c:pt>
                <c:pt idx="1526">
                  <c:v>0.60456159185877001</c:v>
                </c:pt>
                <c:pt idx="1527">
                  <c:v>0.25362294819730602</c:v>
                </c:pt>
                <c:pt idx="1528">
                  <c:v>0.77492777425191695</c:v>
                </c:pt>
                <c:pt idx="1529">
                  <c:v>0.49314442303234501</c:v>
                </c:pt>
                <c:pt idx="1530">
                  <c:v>0.67310750136959097</c:v>
                </c:pt>
                <c:pt idx="1531">
                  <c:v>0.90756409879858502</c:v>
                </c:pt>
                <c:pt idx="1532">
                  <c:v>0.72030974169539996</c:v>
                </c:pt>
                <c:pt idx="1533">
                  <c:v>0.94073015076670097</c:v>
                </c:pt>
                <c:pt idx="1534">
                  <c:v>0.56876221494629198</c:v>
                </c:pt>
                <c:pt idx="1535">
                  <c:v>0.89725884629868802</c:v>
                </c:pt>
                <c:pt idx="1536">
                  <c:v>0.90339283303340101</c:v>
                </c:pt>
                <c:pt idx="1537">
                  <c:v>0.82908878517435602</c:v>
                </c:pt>
                <c:pt idx="1538">
                  <c:v>0.815547618171518</c:v>
                </c:pt>
                <c:pt idx="1539">
                  <c:v>0.67476641840254903</c:v>
                </c:pt>
                <c:pt idx="1540">
                  <c:v>0.86872322372349897</c:v>
                </c:pt>
                <c:pt idx="1541">
                  <c:v>0.72877345596961995</c:v>
                </c:pt>
                <c:pt idx="1542">
                  <c:v>0.52387058650479701</c:v>
                </c:pt>
                <c:pt idx="1543">
                  <c:v>0.63078599873531505</c:v>
                </c:pt>
                <c:pt idx="1544">
                  <c:v>0.80908529236272098</c:v>
                </c:pt>
                <c:pt idx="1545">
                  <c:v>0.70863747116169895</c:v>
                </c:pt>
                <c:pt idx="1546">
                  <c:v>0.91962581757922002</c:v>
                </c:pt>
                <c:pt idx="1547">
                  <c:v>0.98995772191769105</c:v>
                </c:pt>
                <c:pt idx="1548">
                  <c:v>0.77895851794641002</c:v>
                </c:pt>
                <c:pt idx="1549">
                  <c:v>0.75585645578483196</c:v>
                </c:pt>
                <c:pt idx="1550">
                  <c:v>0.49604204738534902</c:v>
                </c:pt>
                <c:pt idx="1551">
                  <c:v>0.67282118053463902</c:v>
                </c:pt>
                <c:pt idx="1552">
                  <c:v>0.58125891668817198</c:v>
                </c:pt>
                <c:pt idx="1553">
                  <c:v>0.59834354764588704</c:v>
                </c:pt>
                <c:pt idx="1554">
                  <c:v>0.668426276372035</c:v>
                </c:pt>
                <c:pt idx="1555">
                  <c:v>0.88245094396670798</c:v>
                </c:pt>
                <c:pt idx="1556">
                  <c:v>0.84572496049741097</c:v>
                </c:pt>
                <c:pt idx="1557">
                  <c:v>0.76444689561615498</c:v>
                </c:pt>
                <c:pt idx="1558">
                  <c:v>0.74227837569793897</c:v>
                </c:pt>
                <c:pt idx="1559">
                  <c:v>0.69587249790539596</c:v>
                </c:pt>
                <c:pt idx="1560">
                  <c:v>0.71484496466508296</c:v>
                </c:pt>
                <c:pt idx="1561">
                  <c:v>0.66914969185014805</c:v>
                </c:pt>
                <c:pt idx="1562">
                  <c:v>0.71217402484480496</c:v>
                </c:pt>
                <c:pt idx="1563">
                  <c:v>0.63218684593714902</c:v>
                </c:pt>
                <c:pt idx="1564">
                  <c:v>0.61983515999268401</c:v>
                </c:pt>
                <c:pt idx="1565">
                  <c:v>0.82517910382551096</c:v>
                </c:pt>
                <c:pt idx="1566">
                  <c:v>0.90929328112345298</c:v>
                </c:pt>
                <c:pt idx="1567">
                  <c:v>0.62625408647792202</c:v>
                </c:pt>
                <c:pt idx="1568">
                  <c:v>0.36754789988807002</c:v>
                </c:pt>
                <c:pt idx="1569">
                  <c:v>0.38015507233683599</c:v>
                </c:pt>
                <c:pt idx="1570">
                  <c:v>0.64436864945937899</c:v>
                </c:pt>
                <c:pt idx="1571">
                  <c:v>0.88248315224115703</c:v>
                </c:pt>
                <c:pt idx="1572">
                  <c:v>0.70709055454838998</c:v>
                </c:pt>
                <c:pt idx="1573">
                  <c:v>0.79344575815224505</c:v>
                </c:pt>
                <c:pt idx="1574">
                  <c:v>0.30300092747505197</c:v>
                </c:pt>
                <c:pt idx="1575">
                  <c:v>0.64358766913070198</c:v>
                </c:pt>
                <c:pt idx="1576">
                  <c:v>0.70284743132334504</c:v>
                </c:pt>
                <c:pt idx="1577">
                  <c:v>0.96052923716205196</c:v>
                </c:pt>
                <c:pt idx="1578">
                  <c:v>0.76539702544400501</c:v>
                </c:pt>
                <c:pt idx="1579">
                  <c:v>0.71273651320171705</c:v>
                </c:pt>
                <c:pt idx="1580">
                  <c:v>0.52454829615070597</c:v>
                </c:pt>
                <c:pt idx="1581">
                  <c:v>0.86406515614994095</c:v>
                </c:pt>
                <c:pt idx="1582">
                  <c:v>0.62431377187653703</c:v>
                </c:pt>
                <c:pt idx="1583">
                  <c:v>0.69257743698321605</c:v>
                </c:pt>
                <c:pt idx="1584">
                  <c:v>0.70826535435729299</c:v>
                </c:pt>
                <c:pt idx="1585">
                  <c:v>0.662011251189631</c:v>
                </c:pt>
                <c:pt idx="1586">
                  <c:v>0.72613659217279203</c:v>
                </c:pt>
                <c:pt idx="1587">
                  <c:v>0.70550052027374499</c:v>
                </c:pt>
                <c:pt idx="1588">
                  <c:v>0.60826777068342697</c:v>
                </c:pt>
                <c:pt idx="1589">
                  <c:v>0.89285864331798304</c:v>
                </c:pt>
                <c:pt idx="1590">
                  <c:v>0.81196306249459604</c:v>
                </c:pt>
                <c:pt idx="1591">
                  <c:v>0.57202512106643699</c:v>
                </c:pt>
                <c:pt idx="1592">
                  <c:v>0.65934708614360305</c:v>
                </c:pt>
                <c:pt idx="1593">
                  <c:v>0.68901752020787299</c:v>
                </c:pt>
                <c:pt idx="1594">
                  <c:v>0.87232407623970598</c:v>
                </c:pt>
                <c:pt idx="1595">
                  <c:v>0.62528241180528299</c:v>
                </c:pt>
                <c:pt idx="1596">
                  <c:v>0.83611204338468403</c:v>
                </c:pt>
                <c:pt idx="1597">
                  <c:v>0.68824130792125504</c:v>
                </c:pt>
                <c:pt idx="1598">
                  <c:v>0.52591105728484999</c:v>
                </c:pt>
                <c:pt idx="1599">
                  <c:v>0.42845641958346298</c:v>
                </c:pt>
                <c:pt idx="1600">
                  <c:v>0.79757459850127999</c:v>
                </c:pt>
                <c:pt idx="1601">
                  <c:v>0.36049362747591301</c:v>
                </c:pt>
                <c:pt idx="1602">
                  <c:v>0.76653869806026897</c:v>
                </c:pt>
                <c:pt idx="1603">
                  <c:v>0.84598344191817998</c:v>
                </c:pt>
                <c:pt idx="1604">
                  <c:v>0.51135690786616195</c:v>
                </c:pt>
                <c:pt idx="1605">
                  <c:v>0.78640817331964596</c:v>
                </c:pt>
                <c:pt idx="1606">
                  <c:v>0.90773843666061005</c:v>
                </c:pt>
                <c:pt idx="1607">
                  <c:v>0.596455238848419</c:v>
                </c:pt>
                <c:pt idx="1608">
                  <c:v>0.714777242747344</c:v>
                </c:pt>
                <c:pt idx="1609">
                  <c:v>0.68793949461936799</c:v>
                </c:pt>
                <c:pt idx="1610">
                  <c:v>0.76638453717224597</c:v>
                </c:pt>
                <c:pt idx="1611">
                  <c:v>0.84942618283361004</c:v>
                </c:pt>
                <c:pt idx="1612">
                  <c:v>0.73714632021224902</c:v>
                </c:pt>
                <c:pt idx="1613">
                  <c:v>0.59719754821665805</c:v>
                </c:pt>
                <c:pt idx="1614">
                  <c:v>0.65240106069458403</c:v>
                </c:pt>
                <c:pt idx="1615">
                  <c:v>0.60829128389602705</c:v>
                </c:pt>
                <c:pt idx="1616">
                  <c:v>0.65484938065200804</c:v>
                </c:pt>
                <c:pt idx="1617">
                  <c:v>0.66467902748734697</c:v>
                </c:pt>
                <c:pt idx="1618">
                  <c:v>0.88092479053074602</c:v>
                </c:pt>
                <c:pt idx="1619">
                  <c:v>0.81206164231801004</c:v>
                </c:pt>
                <c:pt idx="1620">
                  <c:v>0.80802001510890697</c:v>
                </c:pt>
                <c:pt idx="1621">
                  <c:v>0.76967939745609903</c:v>
                </c:pt>
                <c:pt idx="1622">
                  <c:v>0.59217860796201804</c:v>
                </c:pt>
                <c:pt idx="1623">
                  <c:v>0.86349921287751996</c:v>
                </c:pt>
                <c:pt idx="1624">
                  <c:v>0.93605958907340603</c:v>
                </c:pt>
                <c:pt idx="1625">
                  <c:v>0.87116371589240504</c:v>
                </c:pt>
                <c:pt idx="1626">
                  <c:v>0.57460649312003997</c:v>
                </c:pt>
                <c:pt idx="1627">
                  <c:v>0.65847299688611005</c:v>
                </c:pt>
                <c:pt idx="1628">
                  <c:v>0.89339573708852404</c:v>
                </c:pt>
                <c:pt idx="1629">
                  <c:v>0.61867988721709599</c:v>
                </c:pt>
                <c:pt idx="1630">
                  <c:v>0.68218503166654998</c:v>
                </c:pt>
                <c:pt idx="1631">
                  <c:v>0.71779147496889095</c:v>
                </c:pt>
                <c:pt idx="1632">
                  <c:v>0.65418709952602205</c:v>
                </c:pt>
                <c:pt idx="1633">
                  <c:v>0.62589405223147698</c:v>
                </c:pt>
                <c:pt idx="1634">
                  <c:v>0.66938537761449701</c:v>
                </c:pt>
                <c:pt idx="1635">
                  <c:v>0.73909410440303103</c:v>
                </c:pt>
                <c:pt idx="1636">
                  <c:v>0.84824258071431802</c:v>
                </c:pt>
                <c:pt idx="1637">
                  <c:v>0.84641103200034296</c:v>
                </c:pt>
                <c:pt idx="1638">
                  <c:v>0.38976251011403201</c:v>
                </c:pt>
                <c:pt idx="1639">
                  <c:v>0.78853306555858005</c:v>
                </c:pt>
                <c:pt idx="1640">
                  <c:v>0.91058943436803996</c:v>
                </c:pt>
                <c:pt idx="1641">
                  <c:v>0.58219129127213198</c:v>
                </c:pt>
                <c:pt idx="1642">
                  <c:v>0.982632934893237</c:v>
                </c:pt>
                <c:pt idx="1643">
                  <c:v>0.58740966324201205</c:v>
                </c:pt>
                <c:pt idx="1644">
                  <c:v>0.75394010172813897</c:v>
                </c:pt>
                <c:pt idx="1645">
                  <c:v>0.68288471478556401</c:v>
                </c:pt>
                <c:pt idx="1646">
                  <c:v>0.57092783887258602</c:v>
                </c:pt>
                <c:pt idx="1647">
                  <c:v>0.862152127047907</c:v>
                </c:pt>
                <c:pt idx="1648">
                  <c:v>0.53993119560899205</c:v>
                </c:pt>
                <c:pt idx="1649">
                  <c:v>0.84763374630077803</c:v>
                </c:pt>
                <c:pt idx="1650">
                  <c:v>0.681009645045349</c:v>
                </c:pt>
                <c:pt idx="1651">
                  <c:v>0.56361047458072799</c:v>
                </c:pt>
                <c:pt idx="1652">
                  <c:v>0.46091243214101302</c:v>
                </c:pt>
                <c:pt idx="1653">
                  <c:v>0.48378623178805902</c:v>
                </c:pt>
                <c:pt idx="1654">
                  <c:v>0.51806757253311497</c:v>
                </c:pt>
                <c:pt idx="1655">
                  <c:v>0.76107237278265305</c:v>
                </c:pt>
                <c:pt idx="1656">
                  <c:v>0.73402954841774504</c:v>
                </c:pt>
                <c:pt idx="1657">
                  <c:v>0.62412607068065196</c:v>
                </c:pt>
                <c:pt idx="1658">
                  <c:v>0.59318333134018597</c:v>
                </c:pt>
                <c:pt idx="1659">
                  <c:v>0.45402843894178302</c:v>
                </c:pt>
                <c:pt idx="1660">
                  <c:v>0.77702983032310302</c:v>
                </c:pt>
                <c:pt idx="1661">
                  <c:v>0.72124423118286896</c:v>
                </c:pt>
                <c:pt idx="1662">
                  <c:v>0.52676832906778304</c:v>
                </c:pt>
                <c:pt idx="1663">
                  <c:v>0.67469818248154301</c:v>
                </c:pt>
                <c:pt idx="1664">
                  <c:v>0.84306073120938396</c:v>
                </c:pt>
                <c:pt idx="1665">
                  <c:v>0.70792272916078602</c:v>
                </c:pt>
                <c:pt idx="1666">
                  <c:v>0.50753109877646696</c:v>
                </c:pt>
                <c:pt idx="1667">
                  <c:v>0.77153196083041597</c:v>
                </c:pt>
                <c:pt idx="1668">
                  <c:v>0.30937720493472598</c:v>
                </c:pt>
                <c:pt idx="1669">
                  <c:v>0.75737549230054002</c:v>
                </c:pt>
                <c:pt idx="1670">
                  <c:v>0.52261591391834294</c:v>
                </c:pt>
                <c:pt idx="1671">
                  <c:v>0.31352774061146499</c:v>
                </c:pt>
                <c:pt idx="1672">
                  <c:v>0.54110874894894601</c:v>
                </c:pt>
                <c:pt idx="1673">
                  <c:v>0.37607497615456797</c:v>
                </c:pt>
                <c:pt idx="1674">
                  <c:v>0.83647595751120296</c:v>
                </c:pt>
                <c:pt idx="1675">
                  <c:v>0.94159263730667297</c:v>
                </c:pt>
                <c:pt idx="1676">
                  <c:v>0.61394264415738697</c:v>
                </c:pt>
                <c:pt idx="1677">
                  <c:v>0.82193797256437995</c:v>
                </c:pt>
                <c:pt idx="1678">
                  <c:v>0.57297354867481498</c:v>
                </c:pt>
                <c:pt idx="1679">
                  <c:v>0.87670206274004103</c:v>
                </c:pt>
                <c:pt idx="1680">
                  <c:v>0.89005879769992502</c:v>
                </c:pt>
                <c:pt idx="1681">
                  <c:v>0.50007395654261</c:v>
                </c:pt>
                <c:pt idx="1682">
                  <c:v>0.52367443562982896</c:v>
                </c:pt>
                <c:pt idx="1683">
                  <c:v>0.92736866389704697</c:v>
                </c:pt>
                <c:pt idx="1684">
                  <c:v>0.38025235678150998</c:v>
                </c:pt>
                <c:pt idx="1685">
                  <c:v>0.84647292984059797</c:v>
                </c:pt>
                <c:pt idx="1686">
                  <c:v>0.83182928515267096</c:v>
                </c:pt>
                <c:pt idx="1687">
                  <c:v>0.82471764945959902</c:v>
                </c:pt>
                <c:pt idx="1688">
                  <c:v>0.76035781547182302</c:v>
                </c:pt>
                <c:pt idx="1689">
                  <c:v>0.82925413683663596</c:v>
                </c:pt>
                <c:pt idx="1690">
                  <c:v>0.62939884083688502</c:v>
                </c:pt>
                <c:pt idx="1691">
                  <c:v>0.572127095858048</c:v>
                </c:pt>
                <c:pt idx="1692">
                  <c:v>0.30607652496848298</c:v>
                </c:pt>
                <c:pt idx="1693">
                  <c:v>0.24388947744694001</c:v>
                </c:pt>
                <c:pt idx="1694">
                  <c:v>0.53087979766544002</c:v>
                </c:pt>
                <c:pt idx="1695">
                  <c:v>0.81757370788714001</c:v>
                </c:pt>
                <c:pt idx="1696">
                  <c:v>0.72501458052262302</c:v>
                </c:pt>
                <c:pt idx="1697">
                  <c:v>0.83250597661662196</c:v>
                </c:pt>
                <c:pt idx="1698">
                  <c:v>0.75086911508426502</c:v>
                </c:pt>
                <c:pt idx="1699">
                  <c:v>0.81901819243599505</c:v>
                </c:pt>
                <c:pt idx="1700">
                  <c:v>0.74200385813249303</c:v>
                </c:pt>
                <c:pt idx="1701">
                  <c:v>0.71331171301190299</c:v>
                </c:pt>
                <c:pt idx="1702">
                  <c:v>0.764299786933332</c:v>
                </c:pt>
                <c:pt idx="1703">
                  <c:v>0.864836163527264</c:v>
                </c:pt>
                <c:pt idx="1704">
                  <c:v>0.74329055360182394</c:v>
                </c:pt>
                <c:pt idx="1705">
                  <c:v>0.51154812111832904</c:v>
                </c:pt>
                <c:pt idx="1706">
                  <c:v>0.79375615115275799</c:v>
                </c:pt>
                <c:pt idx="1707">
                  <c:v>0.86759075679155395</c:v>
                </c:pt>
                <c:pt idx="1708">
                  <c:v>0.83886000395434501</c:v>
                </c:pt>
                <c:pt idx="1709">
                  <c:v>0.85894100464230305</c:v>
                </c:pt>
                <c:pt idx="1710">
                  <c:v>0.72975563831102797</c:v>
                </c:pt>
                <c:pt idx="1711">
                  <c:v>0.71106647735353601</c:v>
                </c:pt>
                <c:pt idx="1712">
                  <c:v>0.73205570865998204</c:v>
                </c:pt>
                <c:pt idx="1713">
                  <c:v>0.87073697604040801</c:v>
                </c:pt>
                <c:pt idx="1714">
                  <c:v>0.94668846030429299</c:v>
                </c:pt>
                <c:pt idx="1715">
                  <c:v>0.70605596374556401</c:v>
                </c:pt>
                <c:pt idx="1716">
                  <c:v>0.88756156997671598</c:v>
                </c:pt>
                <c:pt idx="1717">
                  <c:v>0.87786881942509698</c:v>
                </c:pt>
                <c:pt idx="1718">
                  <c:v>0.93245010489267199</c:v>
                </c:pt>
                <c:pt idx="1719">
                  <c:v>0.88650721445662894</c:v>
                </c:pt>
                <c:pt idx="1720">
                  <c:v>0.58693709179437803</c:v>
                </c:pt>
                <c:pt idx="1721">
                  <c:v>0.59689119762725895</c:v>
                </c:pt>
                <c:pt idx="1722">
                  <c:v>0.52727363041196995</c:v>
                </c:pt>
                <c:pt idx="1723">
                  <c:v>0.57748240383011995</c:v>
                </c:pt>
                <c:pt idx="1724">
                  <c:v>0.84516010786250695</c:v>
                </c:pt>
                <c:pt idx="1725">
                  <c:v>0.62811951792196197</c:v>
                </c:pt>
                <c:pt idx="1726">
                  <c:v>0.95296607635888797</c:v>
                </c:pt>
                <c:pt idx="1727">
                  <c:v>0.84104300821928701</c:v>
                </c:pt>
                <c:pt idx="1728">
                  <c:v>0.70715037062616204</c:v>
                </c:pt>
                <c:pt idx="1729">
                  <c:v>0.65680081929922696</c:v>
                </c:pt>
                <c:pt idx="1730">
                  <c:v>0.36467224474969301</c:v>
                </c:pt>
                <c:pt idx="1731">
                  <c:v>0.48184607363969101</c:v>
                </c:pt>
                <c:pt idx="1732">
                  <c:v>0.57243023842071405</c:v>
                </c:pt>
                <c:pt idx="1733">
                  <c:v>0.78652201748457395</c:v>
                </c:pt>
                <c:pt idx="1734">
                  <c:v>0.92577306846117202</c:v>
                </c:pt>
                <c:pt idx="1735">
                  <c:v>0.64005481755624405</c:v>
                </c:pt>
                <c:pt idx="1736">
                  <c:v>0.90223677338452901</c:v>
                </c:pt>
                <c:pt idx="1737">
                  <c:v>0.93199051140884404</c:v>
                </c:pt>
                <c:pt idx="1738">
                  <c:v>0.58084642398046304</c:v>
                </c:pt>
                <c:pt idx="1739">
                  <c:v>0.71085188425414203</c:v>
                </c:pt>
                <c:pt idx="1740">
                  <c:v>0.78293641424974203</c:v>
                </c:pt>
                <c:pt idx="1741">
                  <c:v>0.69415267471362097</c:v>
                </c:pt>
                <c:pt idx="1742">
                  <c:v>0.84855619979050301</c:v>
                </c:pt>
                <c:pt idx="1743">
                  <c:v>0.497488806483738</c:v>
                </c:pt>
                <c:pt idx="1744">
                  <c:v>0.86924713769901096</c:v>
                </c:pt>
                <c:pt idx="1745">
                  <c:v>0.83726820940232805</c:v>
                </c:pt>
                <c:pt idx="1746">
                  <c:v>0.41136116362460901</c:v>
                </c:pt>
                <c:pt idx="1747">
                  <c:v>0.78934647347224096</c:v>
                </c:pt>
                <c:pt idx="1748">
                  <c:v>0.80388720518992796</c:v>
                </c:pt>
                <c:pt idx="1749">
                  <c:v>0.69406749811393398</c:v>
                </c:pt>
                <c:pt idx="1750">
                  <c:v>0.78039616996179795</c:v>
                </c:pt>
                <c:pt idx="1751">
                  <c:v>0.96725008839135496</c:v>
                </c:pt>
                <c:pt idx="1752">
                  <c:v>0.89955277257601995</c:v>
                </c:pt>
                <c:pt idx="1753">
                  <c:v>0.93688697202335303</c:v>
                </c:pt>
                <c:pt idx="1754">
                  <c:v>0.81022488926869196</c:v>
                </c:pt>
                <c:pt idx="1755">
                  <c:v>0.65544070450731295</c:v>
                </c:pt>
                <c:pt idx="1756">
                  <c:v>0.94694049788281498</c:v>
                </c:pt>
                <c:pt idx="1757">
                  <c:v>0.67105842749693101</c:v>
                </c:pt>
                <c:pt idx="1758">
                  <c:v>0.738173949832299</c:v>
                </c:pt>
                <c:pt idx="1759">
                  <c:v>0.82647816448095202</c:v>
                </c:pt>
                <c:pt idx="1760">
                  <c:v>0.349509660979408</c:v>
                </c:pt>
                <c:pt idx="1761">
                  <c:v>0.90735132635948901</c:v>
                </c:pt>
                <c:pt idx="1762">
                  <c:v>0.94615357754913798</c:v>
                </c:pt>
                <c:pt idx="1763">
                  <c:v>0.83340927955116295</c:v>
                </c:pt>
                <c:pt idx="1764">
                  <c:v>0.73248552119143095</c:v>
                </c:pt>
                <c:pt idx="1765">
                  <c:v>0.76341462355426903</c:v>
                </c:pt>
                <c:pt idx="1766">
                  <c:v>0.45781173053872198</c:v>
                </c:pt>
                <c:pt idx="1767">
                  <c:v>0.50967669657945003</c:v>
                </c:pt>
                <c:pt idx="1768">
                  <c:v>0.29028571018933502</c:v>
                </c:pt>
                <c:pt idx="1769">
                  <c:v>0.76859792072534505</c:v>
                </c:pt>
                <c:pt idx="1770">
                  <c:v>0.66497784038910901</c:v>
                </c:pt>
                <c:pt idx="1771">
                  <c:v>0.651962392651108</c:v>
                </c:pt>
                <c:pt idx="1772">
                  <c:v>0.52379507459046304</c:v>
                </c:pt>
                <c:pt idx="1773">
                  <c:v>0.69028871161001804</c:v>
                </c:pt>
                <c:pt idx="1774">
                  <c:v>0.69420579440899799</c:v>
                </c:pt>
                <c:pt idx="1775">
                  <c:v>0.41343632178987699</c:v>
                </c:pt>
                <c:pt idx="1776">
                  <c:v>0.85327992264100905</c:v>
                </c:pt>
                <c:pt idx="1777">
                  <c:v>0.93586752605037204</c:v>
                </c:pt>
                <c:pt idx="1778">
                  <c:v>0.86785448133718301</c:v>
                </c:pt>
                <c:pt idx="1779">
                  <c:v>0.86398938977169104</c:v>
                </c:pt>
                <c:pt idx="1780">
                  <c:v>0.92303941597879902</c:v>
                </c:pt>
                <c:pt idx="1781">
                  <c:v>0.63142936512113501</c:v>
                </c:pt>
                <c:pt idx="1782">
                  <c:v>0.55444868358163502</c:v>
                </c:pt>
                <c:pt idx="1783">
                  <c:v>0.64172319974387504</c:v>
                </c:pt>
                <c:pt idx="1784">
                  <c:v>0.97843774655665805</c:v>
                </c:pt>
                <c:pt idx="1785">
                  <c:v>0.69235744473980099</c:v>
                </c:pt>
                <c:pt idx="1786">
                  <c:v>0.61251767625336395</c:v>
                </c:pt>
                <c:pt idx="1787">
                  <c:v>0.498526741102091</c:v>
                </c:pt>
                <c:pt idx="1788">
                  <c:v>0.63359581351281402</c:v>
                </c:pt>
                <c:pt idx="1789">
                  <c:v>0.90604629696704198</c:v>
                </c:pt>
                <c:pt idx="1790">
                  <c:v>0.70239916037508998</c:v>
                </c:pt>
                <c:pt idx="1791">
                  <c:v>0.81589914940742503</c:v>
                </c:pt>
                <c:pt idx="1792">
                  <c:v>0.44428633829938002</c:v>
                </c:pt>
                <c:pt idx="1793">
                  <c:v>0.395049908375396</c:v>
                </c:pt>
                <c:pt idx="1794">
                  <c:v>0.81897084879804904</c:v>
                </c:pt>
                <c:pt idx="1795">
                  <c:v>0.61052462923070405</c:v>
                </c:pt>
                <c:pt idx="1796">
                  <c:v>0.92488652860530896</c:v>
                </c:pt>
                <c:pt idx="1797">
                  <c:v>0.64219588973655395</c:v>
                </c:pt>
                <c:pt idx="1798">
                  <c:v>0.484065110406383</c:v>
                </c:pt>
                <c:pt idx="1799">
                  <c:v>0.73877452532418897</c:v>
                </c:pt>
                <c:pt idx="1800">
                  <c:v>0.77242289679820197</c:v>
                </c:pt>
                <c:pt idx="1801">
                  <c:v>0.86808851517589702</c:v>
                </c:pt>
                <c:pt idx="1802">
                  <c:v>0.74913578955424798</c:v>
                </c:pt>
                <c:pt idx="1803">
                  <c:v>0.95254812627454399</c:v>
                </c:pt>
                <c:pt idx="1804">
                  <c:v>0.63851112452632097</c:v>
                </c:pt>
                <c:pt idx="1805">
                  <c:v>0.56715151756843696</c:v>
                </c:pt>
                <c:pt idx="1806">
                  <c:v>0.94415394930207497</c:v>
                </c:pt>
                <c:pt idx="1807">
                  <c:v>0.72218683910264003</c:v>
                </c:pt>
                <c:pt idx="1808">
                  <c:v>0.83959888425136897</c:v>
                </c:pt>
                <c:pt idx="1809">
                  <c:v>0.54154919847803096</c:v>
                </c:pt>
                <c:pt idx="1810">
                  <c:v>0.89412651313509794</c:v>
                </c:pt>
                <c:pt idx="1811">
                  <c:v>0.84425470871001196</c:v>
                </c:pt>
                <c:pt idx="1812">
                  <c:v>0.92066176388467402</c:v>
                </c:pt>
                <c:pt idx="1813">
                  <c:v>0.544060556361185</c:v>
                </c:pt>
                <c:pt idx="1814">
                  <c:v>0.89345426339992895</c:v>
                </c:pt>
                <c:pt idx="1815">
                  <c:v>0.61151730547741301</c:v>
                </c:pt>
                <c:pt idx="1816">
                  <c:v>0.63328715217093701</c:v>
                </c:pt>
                <c:pt idx="1817">
                  <c:v>0.82182834870832899</c:v>
                </c:pt>
                <c:pt idx="1818">
                  <c:v>0.65953539398630101</c:v>
                </c:pt>
                <c:pt idx="1819">
                  <c:v>0.83267791207792297</c:v>
                </c:pt>
                <c:pt idx="1820">
                  <c:v>0.97257777833131298</c:v>
                </c:pt>
                <c:pt idx="1821">
                  <c:v>0.78285039449293403</c:v>
                </c:pt>
                <c:pt idx="1822">
                  <c:v>0.78234302109823595</c:v>
                </c:pt>
                <c:pt idx="1823">
                  <c:v>0.86200309518566098</c:v>
                </c:pt>
                <c:pt idx="1824">
                  <c:v>0.55748135937051202</c:v>
                </c:pt>
                <c:pt idx="1825">
                  <c:v>0.75013355701004703</c:v>
                </c:pt>
                <c:pt idx="1826">
                  <c:v>0.77012648497937697</c:v>
                </c:pt>
                <c:pt idx="1827">
                  <c:v>0.84643158640289495</c:v>
                </c:pt>
                <c:pt idx="1828">
                  <c:v>0.82061413160657104</c:v>
                </c:pt>
                <c:pt idx="1829">
                  <c:v>0.90675191199659899</c:v>
                </c:pt>
                <c:pt idx="1830">
                  <c:v>0.819630246104192</c:v>
                </c:pt>
                <c:pt idx="1831">
                  <c:v>0.82330114216427996</c:v>
                </c:pt>
                <c:pt idx="1832">
                  <c:v>0.61423295427473901</c:v>
                </c:pt>
                <c:pt idx="1833">
                  <c:v>0.57150928401377799</c:v>
                </c:pt>
                <c:pt idx="1834">
                  <c:v>0.67102498835787605</c:v>
                </c:pt>
                <c:pt idx="1835">
                  <c:v>0.89900795137350098</c:v>
                </c:pt>
                <c:pt idx="1836">
                  <c:v>0.88472950770370495</c:v>
                </c:pt>
                <c:pt idx="1837">
                  <c:v>0.79514460296836498</c:v>
                </c:pt>
                <c:pt idx="1838">
                  <c:v>0.41019643471273298</c:v>
                </c:pt>
                <c:pt idx="1839">
                  <c:v>0.69530975192979605</c:v>
                </c:pt>
                <c:pt idx="1840">
                  <c:v>0.75269689046852595</c:v>
                </c:pt>
                <c:pt idx="1841">
                  <c:v>0.92995971211545803</c:v>
                </c:pt>
                <c:pt idx="1842">
                  <c:v>0.85154558220458498</c:v>
                </c:pt>
                <c:pt idx="1843">
                  <c:v>0.91755564367012499</c:v>
                </c:pt>
                <c:pt idx="1844">
                  <c:v>0.49970193287887299</c:v>
                </c:pt>
                <c:pt idx="1845">
                  <c:v>0.77323336867085202</c:v>
                </c:pt>
                <c:pt idx="1846">
                  <c:v>0.75501213092399999</c:v>
                </c:pt>
                <c:pt idx="1847">
                  <c:v>0.65516190339352498</c:v>
                </c:pt>
                <c:pt idx="1848">
                  <c:v>0.47586366120761298</c:v>
                </c:pt>
                <c:pt idx="1849">
                  <c:v>0.87564766818778506</c:v>
                </c:pt>
                <c:pt idx="1850">
                  <c:v>0.81169070667799703</c:v>
                </c:pt>
                <c:pt idx="1851">
                  <c:v>0.98835114529526102</c:v>
                </c:pt>
                <c:pt idx="1852">
                  <c:v>0.96788568850678403</c:v>
                </c:pt>
                <c:pt idx="1853">
                  <c:v>0.60709536847773005</c:v>
                </c:pt>
                <c:pt idx="1854">
                  <c:v>0.23133257909096899</c:v>
                </c:pt>
                <c:pt idx="1855">
                  <c:v>0.56955050116501904</c:v>
                </c:pt>
                <c:pt idx="1856">
                  <c:v>0.64655371115334304</c:v>
                </c:pt>
                <c:pt idx="1857">
                  <c:v>0.87433515466842204</c:v>
                </c:pt>
                <c:pt idx="1858">
                  <c:v>0.91759877945521995</c:v>
                </c:pt>
                <c:pt idx="1859">
                  <c:v>0.68449186341657298</c:v>
                </c:pt>
                <c:pt idx="1860">
                  <c:v>0.93599366912573601</c:v>
                </c:pt>
                <c:pt idx="1861">
                  <c:v>0.72246492977561705</c:v>
                </c:pt>
                <c:pt idx="1862">
                  <c:v>0.77568958857333103</c:v>
                </c:pt>
                <c:pt idx="1863">
                  <c:v>0.61412802712076098</c:v>
                </c:pt>
                <c:pt idx="1864">
                  <c:v>0.84382921366971497</c:v>
                </c:pt>
                <c:pt idx="1865">
                  <c:v>0.873325571861857</c:v>
                </c:pt>
                <c:pt idx="1866">
                  <c:v>0.74913609616593702</c:v>
                </c:pt>
                <c:pt idx="1867">
                  <c:v>0.63350239190322599</c:v>
                </c:pt>
                <c:pt idx="1868">
                  <c:v>0.87558182769603898</c:v>
                </c:pt>
                <c:pt idx="1869">
                  <c:v>0.42511325841088299</c:v>
                </c:pt>
                <c:pt idx="1870">
                  <c:v>0.80259416810284401</c:v>
                </c:pt>
                <c:pt idx="1871">
                  <c:v>0.805899662108716</c:v>
                </c:pt>
                <c:pt idx="1872">
                  <c:v>0.68915087811311604</c:v>
                </c:pt>
                <c:pt idx="1873">
                  <c:v>0.28313227711261801</c:v>
                </c:pt>
                <c:pt idx="1874">
                  <c:v>0.76371310395088499</c:v>
                </c:pt>
                <c:pt idx="1875">
                  <c:v>0.52975143016104198</c:v>
                </c:pt>
                <c:pt idx="1876">
                  <c:v>0.77444543643534303</c:v>
                </c:pt>
                <c:pt idx="1877">
                  <c:v>0.66326880822865197</c:v>
                </c:pt>
                <c:pt idx="1878">
                  <c:v>0.59545349989480201</c:v>
                </c:pt>
                <c:pt idx="1879">
                  <c:v>0.587013650571099</c:v>
                </c:pt>
                <c:pt idx="1880">
                  <c:v>0.498856771875476</c:v>
                </c:pt>
                <c:pt idx="1881">
                  <c:v>0.77464187869685697</c:v>
                </c:pt>
                <c:pt idx="1882">
                  <c:v>0.83488479091863899</c:v>
                </c:pt>
                <c:pt idx="1883">
                  <c:v>0.82668819415003303</c:v>
                </c:pt>
                <c:pt idx="1884">
                  <c:v>0.784168132707733</c:v>
                </c:pt>
                <c:pt idx="1885">
                  <c:v>0.91640693153484998</c:v>
                </c:pt>
                <c:pt idx="1886">
                  <c:v>0.34914348491366698</c:v>
                </c:pt>
                <c:pt idx="1887">
                  <c:v>0.64309330743384496</c:v>
                </c:pt>
                <c:pt idx="1888">
                  <c:v>0.48828669776733302</c:v>
                </c:pt>
                <c:pt idx="1889">
                  <c:v>0.88584663076335501</c:v>
                </c:pt>
                <c:pt idx="1890">
                  <c:v>0.92761456388368801</c:v>
                </c:pt>
                <c:pt idx="1891">
                  <c:v>0.76350610716587097</c:v>
                </c:pt>
                <c:pt idx="1892">
                  <c:v>0.77034037279408496</c:v>
                </c:pt>
                <c:pt idx="1893">
                  <c:v>0.76771289679745203</c:v>
                </c:pt>
                <c:pt idx="1894">
                  <c:v>0.972107671915307</c:v>
                </c:pt>
                <c:pt idx="1895">
                  <c:v>0.64486362132583097</c:v>
                </c:pt>
                <c:pt idx="1896">
                  <c:v>0.67424949848853599</c:v>
                </c:pt>
                <c:pt idx="1897">
                  <c:v>0.74580410100391903</c:v>
                </c:pt>
                <c:pt idx="1898">
                  <c:v>0.78992544251535501</c:v>
                </c:pt>
                <c:pt idx="1899">
                  <c:v>0.69675185128081196</c:v>
                </c:pt>
                <c:pt idx="1900">
                  <c:v>0.73927292285296098</c:v>
                </c:pt>
                <c:pt idx="1901">
                  <c:v>0.72355250633438295</c:v>
                </c:pt>
                <c:pt idx="1902">
                  <c:v>0.54763350475725903</c:v>
                </c:pt>
                <c:pt idx="1903">
                  <c:v>0.69518771749247199</c:v>
                </c:pt>
                <c:pt idx="1904">
                  <c:v>0.66770716480834302</c:v>
                </c:pt>
                <c:pt idx="1905">
                  <c:v>0.317820210146046</c:v>
                </c:pt>
                <c:pt idx="1906">
                  <c:v>0.55477297905093503</c:v>
                </c:pt>
                <c:pt idx="1907">
                  <c:v>0.65857795571472599</c:v>
                </c:pt>
                <c:pt idx="1908">
                  <c:v>0.85134875954007605</c:v>
                </c:pt>
                <c:pt idx="1909">
                  <c:v>0.46266326612611902</c:v>
                </c:pt>
                <c:pt idx="1910">
                  <c:v>0.90542622940673501</c:v>
                </c:pt>
                <c:pt idx="1911">
                  <c:v>0.68055324059113098</c:v>
                </c:pt>
                <c:pt idx="1912">
                  <c:v>0.76627667205849503</c:v>
                </c:pt>
                <c:pt idx="1913">
                  <c:v>0.61843081043991699</c:v>
                </c:pt>
                <c:pt idx="1914">
                  <c:v>0.71159698781250502</c:v>
                </c:pt>
                <c:pt idx="1915">
                  <c:v>0.83606440624431799</c:v>
                </c:pt>
                <c:pt idx="1916">
                  <c:v>0.89638460569494605</c:v>
                </c:pt>
                <c:pt idx="1917">
                  <c:v>0.52501136079689004</c:v>
                </c:pt>
                <c:pt idx="1918">
                  <c:v>0.49331517751279602</c:v>
                </c:pt>
                <c:pt idx="1919">
                  <c:v>0.52603549649576997</c:v>
                </c:pt>
                <c:pt idx="1920">
                  <c:v>0.74682640172487003</c:v>
                </c:pt>
                <c:pt idx="1921">
                  <c:v>0.628734397180717</c:v>
                </c:pt>
                <c:pt idx="1922">
                  <c:v>0.77246648949156205</c:v>
                </c:pt>
                <c:pt idx="1923">
                  <c:v>0.56212856156511304</c:v>
                </c:pt>
                <c:pt idx="1924">
                  <c:v>0.94506805202826405</c:v>
                </c:pt>
                <c:pt idx="1925">
                  <c:v>0.40388970747427899</c:v>
                </c:pt>
                <c:pt idx="1926">
                  <c:v>0.69640300007163203</c:v>
                </c:pt>
                <c:pt idx="1927">
                  <c:v>0.46700180806417302</c:v>
                </c:pt>
                <c:pt idx="1928">
                  <c:v>0.265944418756761</c:v>
                </c:pt>
                <c:pt idx="1929">
                  <c:v>0.71813731267201997</c:v>
                </c:pt>
                <c:pt idx="1930">
                  <c:v>0.51477247137913196</c:v>
                </c:pt>
                <c:pt idx="1931">
                  <c:v>0.84449980012603798</c:v>
                </c:pt>
                <c:pt idx="1932">
                  <c:v>0.67417031773964298</c:v>
                </c:pt>
                <c:pt idx="1933">
                  <c:v>0.78399316589073897</c:v>
                </c:pt>
                <c:pt idx="1934">
                  <c:v>0.93753726319524799</c:v>
                </c:pt>
                <c:pt idx="1935">
                  <c:v>0.95243840511793998</c:v>
                </c:pt>
                <c:pt idx="1936">
                  <c:v>0.73078694466764005</c:v>
                </c:pt>
                <c:pt idx="1937">
                  <c:v>0.73124492363053795</c:v>
                </c:pt>
                <c:pt idx="1938">
                  <c:v>0.50136753225236397</c:v>
                </c:pt>
                <c:pt idx="1939">
                  <c:v>0.64700020583411399</c:v>
                </c:pt>
                <c:pt idx="1940">
                  <c:v>0.50486747857737102</c:v>
                </c:pt>
                <c:pt idx="1941">
                  <c:v>0.68345178169112997</c:v>
                </c:pt>
                <c:pt idx="1942">
                  <c:v>0.48693672299719098</c:v>
                </c:pt>
                <c:pt idx="1943">
                  <c:v>0.68246252007786701</c:v>
                </c:pt>
                <c:pt idx="1944">
                  <c:v>0.92689575270814395</c:v>
                </c:pt>
                <c:pt idx="1945">
                  <c:v>0.39065766701610999</c:v>
                </c:pt>
                <c:pt idx="1946">
                  <c:v>0.63534610561751703</c:v>
                </c:pt>
                <c:pt idx="1947">
                  <c:v>0.96228435348890295</c:v>
                </c:pt>
                <c:pt idx="1948">
                  <c:v>0.87410474182247699</c:v>
                </c:pt>
                <c:pt idx="1949">
                  <c:v>0.49500506329399402</c:v>
                </c:pt>
                <c:pt idx="1950">
                  <c:v>0.64364496336542198</c:v>
                </c:pt>
                <c:pt idx="1951">
                  <c:v>0.40614107954137701</c:v>
                </c:pt>
                <c:pt idx="1952">
                  <c:v>0.47641134318971801</c:v>
                </c:pt>
                <c:pt idx="1953">
                  <c:v>0.55917363156228295</c:v>
                </c:pt>
                <c:pt idx="1954">
                  <c:v>0.73341884965055004</c:v>
                </c:pt>
                <c:pt idx="1955">
                  <c:v>0.37443521399465002</c:v>
                </c:pt>
                <c:pt idx="1956">
                  <c:v>0.78829372730852298</c:v>
                </c:pt>
                <c:pt idx="1957">
                  <c:v>0.67237588101183199</c:v>
                </c:pt>
                <c:pt idx="1958">
                  <c:v>0.90334015910505305</c:v>
                </c:pt>
                <c:pt idx="1959">
                  <c:v>0.69207707434591503</c:v>
                </c:pt>
                <c:pt idx="1960">
                  <c:v>0.46981737158248199</c:v>
                </c:pt>
                <c:pt idx="1961">
                  <c:v>0.44539199833141502</c:v>
                </c:pt>
                <c:pt idx="1962">
                  <c:v>0.70672874676518904</c:v>
                </c:pt>
                <c:pt idx="1963">
                  <c:v>0.64712259611093603</c:v>
                </c:pt>
                <c:pt idx="1964">
                  <c:v>0.85322230423130596</c:v>
                </c:pt>
                <c:pt idx="1965">
                  <c:v>0.812710426408355</c:v>
                </c:pt>
                <c:pt idx="1966">
                  <c:v>0.690205268729018</c:v>
                </c:pt>
                <c:pt idx="1967">
                  <c:v>0.93667557052879602</c:v>
                </c:pt>
                <c:pt idx="1968">
                  <c:v>0.59453301645758005</c:v>
                </c:pt>
                <c:pt idx="1969">
                  <c:v>0.61293724486076295</c:v>
                </c:pt>
                <c:pt idx="1970">
                  <c:v>0.74952700704984399</c:v>
                </c:pt>
                <c:pt idx="1971">
                  <c:v>0.77001807561245705</c:v>
                </c:pt>
                <c:pt idx="1972">
                  <c:v>0.64998158001894801</c:v>
                </c:pt>
                <c:pt idx="1973">
                  <c:v>0.84537409694774202</c:v>
                </c:pt>
                <c:pt idx="1974">
                  <c:v>0.88183191484770296</c:v>
                </c:pt>
                <c:pt idx="1975">
                  <c:v>0.77954534145254895</c:v>
                </c:pt>
                <c:pt idx="1976">
                  <c:v>0.96869012618373496</c:v>
                </c:pt>
                <c:pt idx="1977">
                  <c:v>0.45153887327079201</c:v>
                </c:pt>
                <c:pt idx="1978">
                  <c:v>0.75480002111664701</c:v>
                </c:pt>
                <c:pt idx="1979">
                  <c:v>0.76752006356718205</c:v>
                </c:pt>
                <c:pt idx="1980">
                  <c:v>0.33813853631641899</c:v>
                </c:pt>
                <c:pt idx="1981">
                  <c:v>0.87209494743165294</c:v>
                </c:pt>
                <c:pt idx="1982">
                  <c:v>0.54348269709960595</c:v>
                </c:pt>
                <c:pt idx="1983">
                  <c:v>0.71565391626030705</c:v>
                </c:pt>
                <c:pt idx="1984">
                  <c:v>0.63755011328435496</c:v>
                </c:pt>
                <c:pt idx="1985">
                  <c:v>0.95193234959859396</c:v>
                </c:pt>
                <c:pt idx="1986">
                  <c:v>0.92881435125549405</c:v>
                </c:pt>
                <c:pt idx="1987">
                  <c:v>0.77825148403186095</c:v>
                </c:pt>
                <c:pt idx="1988">
                  <c:v>0.92176476736236901</c:v>
                </c:pt>
                <c:pt idx="1989">
                  <c:v>0.87372942913949903</c:v>
                </c:pt>
                <c:pt idx="1990">
                  <c:v>0.81876687337739895</c:v>
                </c:pt>
                <c:pt idx="1991">
                  <c:v>0.61707921932791199</c:v>
                </c:pt>
                <c:pt idx="1992">
                  <c:v>0.50225750365156696</c:v>
                </c:pt>
                <c:pt idx="1993">
                  <c:v>0.77790662010425704</c:v>
                </c:pt>
                <c:pt idx="1994">
                  <c:v>0.38692389596319599</c:v>
                </c:pt>
                <c:pt idx="1995">
                  <c:v>0.53049689287388302</c:v>
                </c:pt>
                <c:pt idx="1996">
                  <c:v>0.69498319563524302</c:v>
                </c:pt>
                <c:pt idx="1997">
                  <c:v>0.60304079637428198</c:v>
                </c:pt>
                <c:pt idx="1998">
                  <c:v>0.72002500127897995</c:v>
                </c:pt>
                <c:pt idx="1999">
                  <c:v>0.87921343195880497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5B-46BE-86A2-10AE0C858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299519"/>
        <c:axId val="219302879"/>
      </c:scatterChart>
      <c:valAx>
        <c:axId val="21929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302879"/>
        <c:crosses val="autoZero"/>
        <c:crossBetween val="midCat"/>
      </c:valAx>
      <c:valAx>
        <c:axId val="21930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29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4E700539-E2DA-41A0-A8A8-029089E9373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0</xdr:row>
      <xdr:rowOff>83820</xdr:rowOff>
    </xdr:from>
    <xdr:to>
      <xdr:col>41</xdr:col>
      <xdr:colOff>304800</xdr:colOff>
      <xdr:row>15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A3A959F8-E31A-4050-8F1C-E7C61CF1C1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76380" y="838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32</xdr:row>
      <xdr:rowOff>167640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EB69FEB-EF29-49F1-B680-46E2C0D63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35</xdr:row>
      <xdr:rowOff>0</xdr:rowOff>
    </xdr:from>
    <xdr:to>
      <xdr:col>41</xdr:col>
      <xdr:colOff>304800</xdr:colOff>
      <xdr:row>50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E3C2F80-97E4-4A3A-81EC-F10C5B3A4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92C1-7FA1-46FC-9CC5-4A8E4518949D}">
  <dimension ref="A1:AG2001"/>
  <sheetViews>
    <sheetView tabSelected="1" topLeftCell="T1" workbookViewId="0">
      <pane ySplit="1" topLeftCell="A4" activePane="bottomLeft" state="frozen"/>
      <selection activeCell="I1" sqref="I1"/>
      <selection pane="bottomLeft" activeCell="AN20" sqref="AN20"/>
    </sheetView>
  </sheetViews>
  <sheetFormatPr defaultRowHeight="14.4" x14ac:dyDescent="0.3"/>
  <cols>
    <col min="17" max="17" width="0" hidden="1" customWidth="1"/>
    <col min="19" max="19" width="16" customWidth="1"/>
    <col min="21" max="21" width="16.33203125" customWidth="1"/>
    <col min="23" max="23" width="11.5546875" bestFit="1" customWidth="1"/>
    <col min="24" max="24" width="0" hidden="1" customWidth="1"/>
    <col min="25" max="25" width="12" hidden="1" customWidth="1"/>
    <col min="26" max="27" width="12" customWidth="1"/>
    <col min="30" max="30" width="14.109375" customWidth="1"/>
    <col min="31" max="31" width="14.88671875" customWidth="1"/>
  </cols>
  <sheetData>
    <row r="1" spans="1:32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9</v>
      </c>
      <c r="K1" s="9" t="s">
        <v>46</v>
      </c>
      <c r="L1" s="9" t="s">
        <v>47</v>
      </c>
      <c r="M1" s="9" t="s">
        <v>29</v>
      </c>
      <c r="N1" s="9" t="s">
        <v>30</v>
      </c>
      <c r="O1" s="9" t="s">
        <v>31</v>
      </c>
      <c r="P1" s="9" t="s">
        <v>32</v>
      </c>
      <c r="Q1" s="1" t="s">
        <v>25</v>
      </c>
      <c r="R1" s="9" t="s">
        <v>19</v>
      </c>
      <c r="S1" s="9" t="s">
        <v>20</v>
      </c>
      <c r="T1" s="9" t="s">
        <v>21</v>
      </c>
      <c r="U1" s="9" t="s">
        <v>14</v>
      </c>
      <c r="V1" s="9" t="s">
        <v>15</v>
      </c>
      <c r="W1" s="9" t="s">
        <v>16</v>
      </c>
      <c r="X1" s="1" t="s">
        <v>17</v>
      </c>
      <c r="Y1" s="1" t="s">
        <v>18</v>
      </c>
      <c r="Z1" s="9" t="s">
        <v>48</v>
      </c>
      <c r="AA1" s="9" t="s">
        <v>49</v>
      </c>
    </row>
    <row r="2" spans="1:32" x14ac:dyDescent="0.3">
      <c r="A2">
        <v>1</v>
      </c>
      <c r="B2">
        <v>1408114.9119158301</v>
      </c>
      <c r="C2">
        <v>0.202635577668661</v>
      </c>
      <c r="D2">
        <v>-0.19291728775763001</v>
      </c>
      <c r="E2">
        <v>8.9935568270841301E-2</v>
      </c>
      <c r="F2">
        <v>1</v>
      </c>
      <c r="G2" t="s">
        <v>10</v>
      </c>
      <c r="H2">
        <v>0</v>
      </c>
      <c r="I2">
        <v>126639.614793795</v>
      </c>
      <c r="J2">
        <v>0.91006443172915796</v>
      </c>
      <c r="K2" t="str">
        <f>IF(OR(J2&lt;0,J2&gt;1),"Error","OK")</f>
        <v>OK</v>
      </c>
      <c r="L2" t="str">
        <f>IF(I2&gt;B2,"Error","OK")</f>
        <v>OK</v>
      </c>
      <c r="M2" t="str">
        <f>IF(OR(B2&lt;$AE$20,B2&gt;$AF$20),"Outlier","OK")</f>
        <v>OK</v>
      </c>
      <c r="N2" t="str">
        <f>IF(OR(J2&lt;$AE$21,J2&gt;$AF$21),"Outlier","OK")</f>
        <v>OK</v>
      </c>
      <c r="O2" t="str">
        <f>IF(OR(C2&lt;0,C2&gt;1),"Outlier","OK")</f>
        <v>OK</v>
      </c>
      <c r="P2" t="str">
        <f>IF(OR(D2&lt;0,D2&gt;1),"Outlier","OK")</f>
        <v>Outlier</v>
      </c>
      <c r="Q2" t="str">
        <f>IF(J2&lt;=0.2,"0-20%",
 IF(J2&lt;=0.4,"20-40%",
 IF(J2&lt;=0.6,"40-60%",
 IF(J2&lt;=0.8,"60-80%","80-100%"))))</f>
        <v>80-100%</v>
      </c>
      <c r="R2" t="str">
        <f>IF(B2="","Missing","OK")</f>
        <v>OK</v>
      </c>
      <c r="S2" t="str">
        <f>IF(E2="","Missing","OK")</f>
        <v>OK</v>
      </c>
      <c r="T2" t="str">
        <f>IF(J2="","Missing","OK")</f>
        <v>OK</v>
      </c>
      <c r="U2">
        <f>COUNTIF($A:$A,A2)</f>
        <v>1</v>
      </c>
      <c r="V2" t="str">
        <f>IF(OR(J2&lt;0,J2&gt;1),"ERROR","OK")</f>
        <v>OK</v>
      </c>
      <c r="W2" t="str">
        <f>IF(I2&gt;B2,"ERROR","OK")</f>
        <v>OK</v>
      </c>
      <c r="X2">
        <f>(B2-I2)/B2</f>
        <v>0.9100644317291593</v>
      </c>
      <c r="Y2" s="2">
        <f>ABS(J2-X2)</f>
        <v>1.3322676295501878E-15</v>
      </c>
      <c r="Z2" s="2" t="str">
        <f>IF(OR(B2="",I2="",J2=""),"Missing","OK")</f>
        <v>OK</v>
      </c>
      <c r="AA2" t="str">
        <f>IF(COUNTIF($A:$A,A2)&gt;1,"Duplicate","Unique")</f>
        <v>Unique</v>
      </c>
      <c r="AD2" s="10" t="s">
        <v>39</v>
      </c>
      <c r="AE2" s="10">
        <v>2000</v>
      </c>
    </row>
    <row r="3" spans="1:32" x14ac:dyDescent="0.3">
      <c r="A3">
        <v>2</v>
      </c>
      <c r="B3">
        <v>607971.70315323898</v>
      </c>
      <c r="C3">
        <v>0.168582613485594</v>
      </c>
      <c r="D3">
        <v>9.7747475585253096E-2</v>
      </c>
      <c r="E3">
        <v>0.35674590165131898</v>
      </c>
      <c r="F3">
        <v>1</v>
      </c>
      <c r="G3" t="s">
        <v>10</v>
      </c>
      <c r="H3">
        <v>0</v>
      </c>
      <c r="I3">
        <v>216891.413419891</v>
      </c>
      <c r="J3">
        <v>0.64325409834867997</v>
      </c>
      <c r="K3" t="str">
        <f t="shared" ref="K3:K66" si="0">IF(OR(J3&lt;0,J3&gt;1),"Error","OK")</f>
        <v>OK</v>
      </c>
      <c r="L3" t="str">
        <f t="shared" ref="L3:L66" si="1">IF(I3&gt;B3,"Error","OK")</f>
        <v>OK</v>
      </c>
      <c r="M3" t="str">
        <f>IF(OR(B3&lt;$AE$20,B3&gt;$AF$20),"Outlier","OK")</f>
        <v>OK</v>
      </c>
      <c r="N3" t="str">
        <f>IF(OR(J3&lt;$AE$21,J3&gt;$AF$21),"Outlier","OK")</f>
        <v>OK</v>
      </c>
      <c r="O3" t="str">
        <f>IF(OR(C3&lt;0,C3&gt;1),"Outlier","OK")</f>
        <v>OK</v>
      </c>
      <c r="P3" t="str">
        <f>IF(OR(D3&lt;0,D3&gt;1),"Outlier","OK")</f>
        <v>OK</v>
      </c>
      <c r="Q3" t="str">
        <f t="shared" ref="Q3:Q66" si="2">IF(J3&lt;=0.2,"0-20%",
 IF(J3&lt;=0.4,"20-40%",
 IF(J3&lt;=0.6,"40-60%",
 IF(J3&lt;=0.8,"60-80%","80-100%"))))</f>
        <v>60-80%</v>
      </c>
      <c r="R3" t="str">
        <f>IF(B3="","Missing","OK")</f>
        <v>OK</v>
      </c>
      <c r="S3" t="str">
        <f>IF(E3="","Missing","OK")</f>
        <v>OK</v>
      </c>
      <c r="T3" t="str">
        <f t="shared" ref="T3:T66" si="3">IF(J3="","Missing","OK")</f>
        <v>OK</v>
      </c>
      <c r="U3">
        <f>COUNTIF($A:$A,A3)</f>
        <v>1</v>
      </c>
      <c r="V3" t="str">
        <f t="shared" ref="V3:V66" si="4">IF(OR(J3&lt;0,J3&gt;1),"ERROR","OK")</f>
        <v>OK</v>
      </c>
      <c r="W3" t="str">
        <f>IF(I3&gt;B3,"ERROR","OK")</f>
        <v>OK</v>
      </c>
      <c r="X3">
        <f>(B3-I3)/B3</f>
        <v>0.64325409834867975</v>
      </c>
      <c r="Y3" s="2">
        <f t="shared" ref="Y3:Y66" si="5">ABS(J3-X3)</f>
        <v>2.2204460492503131E-16</v>
      </c>
      <c r="Z3" s="2" t="str">
        <f t="shared" ref="Z3:Z66" si="6">IF(OR(B3="",I3="",J3=""),"Missing","OK")</f>
        <v>OK</v>
      </c>
      <c r="AA3" t="str">
        <f t="shared" ref="AA3:AA66" si="7">IF(COUNTIF($A:$A,A3)&gt;1,"Duplicate","Unique")</f>
        <v>Unique</v>
      </c>
      <c r="AD3" s="10" t="s">
        <v>40</v>
      </c>
      <c r="AE3" s="10">
        <f>COUNTIF(X:X,"Missing")</f>
        <v>0</v>
      </c>
    </row>
    <row r="4" spans="1:32" x14ac:dyDescent="0.3">
      <c r="A4">
        <v>3</v>
      </c>
      <c r="B4">
        <v>492360.33445019601</v>
      </c>
      <c r="C4">
        <v>0.50814585451470595</v>
      </c>
      <c r="D4">
        <v>-0.117982771050439</v>
      </c>
      <c r="E4">
        <v>0.11596626069518801</v>
      </c>
      <c r="F4">
        <v>1</v>
      </c>
      <c r="G4" t="s">
        <v>11</v>
      </c>
      <c r="H4">
        <v>1</v>
      </c>
      <c r="I4">
        <v>57097.186900821398</v>
      </c>
      <c r="J4">
        <v>0.88403373930481199</v>
      </c>
      <c r="K4" t="str">
        <f t="shared" si="0"/>
        <v>OK</v>
      </c>
      <c r="L4" t="str">
        <f t="shared" si="1"/>
        <v>OK</v>
      </c>
      <c r="M4" t="str">
        <f>IF(OR(B4&lt;$AE$20,B4&gt;$AF$20),"Outlier","OK")</f>
        <v>OK</v>
      </c>
      <c r="N4" t="str">
        <f>IF(OR(J4&lt;$AE$21,J4&gt;$AF$21),"Outlier","OK")</f>
        <v>OK</v>
      </c>
      <c r="O4" t="str">
        <f>IF(OR(C4&lt;0,C4&gt;1),"Outlier","OK")</f>
        <v>OK</v>
      </c>
      <c r="P4" t="str">
        <f>IF(OR(D4&lt;0,D4&gt;1),"Outlier","OK")</f>
        <v>Outlier</v>
      </c>
      <c r="Q4" t="str">
        <f t="shared" si="2"/>
        <v>80-100%</v>
      </c>
      <c r="R4" t="str">
        <f>IF(B4="","Missing","OK")</f>
        <v>OK</v>
      </c>
      <c r="S4" t="str">
        <f>IF(E4="","Missing","OK")</f>
        <v>OK</v>
      </c>
      <c r="T4" t="str">
        <f t="shared" si="3"/>
        <v>OK</v>
      </c>
      <c r="U4">
        <f>COUNTIF($A:$A,A4)</f>
        <v>1</v>
      </c>
      <c r="V4" t="str">
        <f t="shared" si="4"/>
        <v>OK</v>
      </c>
      <c r="W4" t="str">
        <f>IF(I4&gt;B4,"ERROR","OK")</f>
        <v>OK</v>
      </c>
      <c r="X4">
        <f>(B4-I4)/B4</f>
        <v>0.88403373930481199</v>
      </c>
      <c r="Y4" s="2">
        <f t="shared" si="5"/>
        <v>0</v>
      </c>
      <c r="Z4" s="2" t="str">
        <f t="shared" si="6"/>
        <v>OK</v>
      </c>
      <c r="AA4" t="str">
        <f t="shared" si="7"/>
        <v>Unique</v>
      </c>
      <c r="AD4" s="10" t="s">
        <v>41</v>
      </c>
      <c r="AE4" s="10">
        <f>COUNTIF(AA:AA,"Duplicate")</f>
        <v>0</v>
      </c>
    </row>
    <row r="5" spans="1:32" x14ac:dyDescent="0.3">
      <c r="A5">
        <v>4</v>
      </c>
      <c r="B5">
        <v>1125063.79971163</v>
      </c>
      <c r="C5">
        <v>0.41327184722492</v>
      </c>
      <c r="D5">
        <v>-9.4934677541019197E-2</v>
      </c>
      <c r="E5">
        <v>0.28246690718858097</v>
      </c>
      <c r="F5">
        <v>1</v>
      </c>
      <c r="G5" t="s">
        <v>10</v>
      </c>
      <c r="H5">
        <v>0</v>
      </c>
      <c r="I5">
        <v>317793.29189437901</v>
      </c>
      <c r="J5">
        <v>0.71753309281141797</v>
      </c>
      <c r="K5" t="str">
        <f t="shared" si="0"/>
        <v>OK</v>
      </c>
      <c r="L5" t="str">
        <f t="shared" si="1"/>
        <v>OK</v>
      </c>
      <c r="M5" t="str">
        <f>IF(OR(B5&lt;$AE$20,B5&gt;$AF$20),"Outlier","OK")</f>
        <v>OK</v>
      </c>
      <c r="N5" t="str">
        <f>IF(OR(J5&lt;$AE$21,J5&gt;$AF$21),"Outlier","OK")</f>
        <v>OK</v>
      </c>
      <c r="O5" t="str">
        <f>IF(OR(C5&lt;0,C5&gt;1),"Outlier","OK")</f>
        <v>OK</v>
      </c>
      <c r="P5" t="str">
        <f>IF(OR(D5&lt;0,D5&gt;1),"Outlier","OK")</f>
        <v>Outlier</v>
      </c>
      <c r="Q5" t="str">
        <f t="shared" si="2"/>
        <v>60-80%</v>
      </c>
      <c r="R5" t="str">
        <f>IF(B5="","Missing","OK")</f>
        <v>OK</v>
      </c>
      <c r="S5" t="str">
        <f>IF(E5="","Missing","OK")</f>
        <v>OK</v>
      </c>
      <c r="T5" t="str">
        <f t="shared" si="3"/>
        <v>OK</v>
      </c>
      <c r="U5">
        <f>COUNTIF($A:$A,A5)</f>
        <v>1</v>
      </c>
      <c r="V5" t="str">
        <f t="shared" si="4"/>
        <v>OK</v>
      </c>
      <c r="W5" t="str">
        <f>IF(I5&gt;B5,"ERROR","OK")</f>
        <v>OK</v>
      </c>
      <c r="X5">
        <f>(B5-I5)/B5</f>
        <v>0.71753309281141742</v>
      </c>
      <c r="Y5" s="2">
        <f t="shared" si="5"/>
        <v>5.5511151231257827E-16</v>
      </c>
      <c r="Z5" s="2" t="str">
        <f t="shared" si="6"/>
        <v>OK</v>
      </c>
      <c r="AA5" t="str">
        <f t="shared" si="7"/>
        <v>Unique</v>
      </c>
      <c r="AD5" s="10" t="s">
        <v>42</v>
      </c>
      <c r="AE5" s="10">
        <f>COUNTIF(K:K,"Error")</f>
        <v>0</v>
      </c>
    </row>
    <row r="6" spans="1:32" x14ac:dyDescent="0.3">
      <c r="A6">
        <v>5</v>
      </c>
      <c r="B6">
        <v>1452964.4910818399</v>
      </c>
      <c r="C6">
        <v>0.54744364898045805</v>
      </c>
      <c r="D6">
        <v>1.54355430146941E-2</v>
      </c>
      <c r="E6">
        <v>0.213243584928762</v>
      </c>
      <c r="F6">
        <v>1</v>
      </c>
      <c r="G6" t="s">
        <v>12</v>
      </c>
      <c r="H6">
        <v>1</v>
      </c>
      <c r="I6">
        <v>309835.35685248702</v>
      </c>
      <c r="J6">
        <v>0.78675641507123795</v>
      </c>
      <c r="K6" t="str">
        <f t="shared" si="0"/>
        <v>OK</v>
      </c>
      <c r="L6" t="str">
        <f t="shared" si="1"/>
        <v>OK</v>
      </c>
      <c r="M6" t="str">
        <f>IF(OR(B6&lt;$AE$20,B6&gt;$AF$20),"Outlier","OK")</f>
        <v>OK</v>
      </c>
      <c r="N6" t="str">
        <f>IF(OR(J6&lt;$AE$21,J6&gt;$AF$21),"Outlier","OK")</f>
        <v>OK</v>
      </c>
      <c r="O6" t="str">
        <f>IF(OR(C6&lt;0,C6&gt;1),"Outlier","OK")</f>
        <v>OK</v>
      </c>
      <c r="P6" t="str">
        <f>IF(OR(D6&lt;0,D6&gt;1),"Outlier","OK")</f>
        <v>OK</v>
      </c>
      <c r="Q6" t="str">
        <f t="shared" si="2"/>
        <v>60-80%</v>
      </c>
      <c r="R6" t="str">
        <f>IF(B6="","Missing","OK")</f>
        <v>OK</v>
      </c>
      <c r="S6" t="str">
        <f>IF(E6="","Missing","OK")</f>
        <v>OK</v>
      </c>
      <c r="T6" t="str">
        <f t="shared" si="3"/>
        <v>OK</v>
      </c>
      <c r="U6">
        <f>COUNTIF($A:$A,A6)</f>
        <v>1</v>
      </c>
      <c r="V6" t="str">
        <f t="shared" si="4"/>
        <v>OK</v>
      </c>
      <c r="W6" t="str">
        <f>IF(I6&gt;B6,"ERROR","OK")</f>
        <v>OK</v>
      </c>
      <c r="X6">
        <f>(B6-I6)/B6</f>
        <v>0.78675641507123717</v>
      </c>
      <c r="Y6" s="2">
        <f t="shared" si="5"/>
        <v>7.7715611723760958E-16</v>
      </c>
      <c r="Z6" s="2" t="str">
        <f t="shared" si="6"/>
        <v>OK</v>
      </c>
      <c r="AA6" t="str">
        <f t="shared" si="7"/>
        <v>Unique</v>
      </c>
      <c r="AD6" s="10" t="s">
        <v>43</v>
      </c>
      <c r="AE6" s="10">
        <f>COUNTIF(L:L,"Error")</f>
        <v>0</v>
      </c>
    </row>
    <row r="7" spans="1:32" x14ac:dyDescent="0.3">
      <c r="A7">
        <v>6</v>
      </c>
      <c r="B7">
        <v>875057.59724269796</v>
      </c>
      <c r="C7">
        <v>0.80125343115010905</v>
      </c>
      <c r="D7">
        <v>0.17618794581943201</v>
      </c>
      <c r="E7">
        <v>0.41589516534121401</v>
      </c>
      <c r="F7">
        <v>1</v>
      </c>
      <c r="G7" t="s">
        <v>12</v>
      </c>
      <c r="H7">
        <v>1</v>
      </c>
      <c r="I7">
        <v>363932.22408833797</v>
      </c>
      <c r="J7">
        <v>0.58410483465878504</v>
      </c>
      <c r="K7" t="str">
        <f t="shared" si="0"/>
        <v>OK</v>
      </c>
      <c r="L7" t="str">
        <f t="shared" si="1"/>
        <v>OK</v>
      </c>
      <c r="M7" t="str">
        <f>IF(OR(B7&lt;$AE$20,B7&gt;$AF$20),"Outlier","OK")</f>
        <v>OK</v>
      </c>
      <c r="N7" t="str">
        <f>IF(OR(J7&lt;$AE$21,J7&gt;$AF$21),"Outlier","OK")</f>
        <v>OK</v>
      </c>
      <c r="O7" t="str">
        <f>IF(OR(C7&lt;0,C7&gt;1),"Outlier","OK")</f>
        <v>OK</v>
      </c>
      <c r="P7" t="str">
        <f>IF(OR(D7&lt;0,D7&gt;1),"Outlier","OK")</f>
        <v>OK</v>
      </c>
      <c r="Q7" t="str">
        <f t="shared" si="2"/>
        <v>40-60%</v>
      </c>
      <c r="R7" t="str">
        <f>IF(B7="","Missing","OK")</f>
        <v>OK</v>
      </c>
      <c r="S7" t="str">
        <f>IF(E7="","Missing","OK")</f>
        <v>OK</v>
      </c>
      <c r="T7" t="str">
        <f t="shared" si="3"/>
        <v>OK</v>
      </c>
      <c r="U7">
        <f>COUNTIF($A:$A,A7)</f>
        <v>1</v>
      </c>
      <c r="V7" t="str">
        <f t="shared" si="4"/>
        <v>OK</v>
      </c>
      <c r="W7" t="str">
        <f>IF(I7&gt;B7,"ERROR","OK")</f>
        <v>OK</v>
      </c>
      <c r="X7">
        <f>(B7-I7)/B7</f>
        <v>0.58410483465878527</v>
      </c>
      <c r="Y7" s="2">
        <f t="shared" si="5"/>
        <v>2.2204460492503131E-16</v>
      </c>
      <c r="Z7" s="2" t="str">
        <f t="shared" si="6"/>
        <v>OK</v>
      </c>
      <c r="AA7" t="str">
        <f t="shared" si="7"/>
        <v>Unique</v>
      </c>
      <c r="AD7" s="10" t="s">
        <v>44</v>
      </c>
      <c r="AE7" s="10">
        <f>COUNTIF(M:M,"Outlier")</f>
        <v>40</v>
      </c>
    </row>
    <row r="8" spans="1:32" x14ac:dyDescent="0.3">
      <c r="A8">
        <v>7</v>
      </c>
      <c r="B8">
        <v>1962490.1868499999</v>
      </c>
      <c r="C8">
        <v>0.80632235848197098</v>
      </c>
      <c r="D8">
        <v>-0.10675329813687599</v>
      </c>
      <c r="E8">
        <v>0.43547489792482202</v>
      </c>
      <c r="F8">
        <v>1</v>
      </c>
      <c r="G8" t="s">
        <v>12</v>
      </c>
      <c r="H8">
        <v>1</v>
      </c>
      <c r="I8">
        <v>854615.21379696904</v>
      </c>
      <c r="J8">
        <v>0.56452510207517703</v>
      </c>
      <c r="K8" t="str">
        <f t="shared" si="0"/>
        <v>OK</v>
      </c>
      <c r="L8" t="str">
        <f t="shared" si="1"/>
        <v>OK</v>
      </c>
      <c r="M8" t="str">
        <f>IF(OR(B8&lt;$AE$20,B8&gt;$AF$20),"Outlier","OK")</f>
        <v>OK</v>
      </c>
      <c r="N8" t="str">
        <f>IF(OR(J8&lt;$AE$21,J8&gt;$AF$21),"Outlier","OK")</f>
        <v>OK</v>
      </c>
      <c r="O8" t="str">
        <f>IF(OR(C8&lt;0,C8&gt;1),"Outlier","OK")</f>
        <v>OK</v>
      </c>
      <c r="P8" t="str">
        <f>IF(OR(D8&lt;0,D8&gt;1),"Outlier","OK")</f>
        <v>Outlier</v>
      </c>
      <c r="Q8" t="str">
        <f t="shared" si="2"/>
        <v>40-60%</v>
      </c>
      <c r="R8" t="str">
        <f>IF(B8="","Missing","OK")</f>
        <v>OK</v>
      </c>
      <c r="S8" t="str">
        <f>IF(E8="","Missing","OK")</f>
        <v>OK</v>
      </c>
      <c r="T8" t="str">
        <f t="shared" si="3"/>
        <v>OK</v>
      </c>
      <c r="U8">
        <f>COUNTIF($A:$A,A8)</f>
        <v>1</v>
      </c>
      <c r="V8" t="str">
        <f t="shared" si="4"/>
        <v>OK</v>
      </c>
      <c r="W8" t="str">
        <f>IF(I8&gt;B8,"ERROR","OK")</f>
        <v>OK</v>
      </c>
      <c r="X8">
        <f>(B8-I8)/B8</f>
        <v>0.56452510207517781</v>
      </c>
      <c r="Y8" s="2">
        <f t="shared" si="5"/>
        <v>7.7715611723760958E-16</v>
      </c>
      <c r="Z8" s="2" t="str">
        <f t="shared" si="6"/>
        <v>OK</v>
      </c>
      <c r="AA8" t="str">
        <f t="shared" si="7"/>
        <v>Unique</v>
      </c>
      <c r="AD8" s="10" t="s">
        <v>45</v>
      </c>
      <c r="AE8" s="10">
        <f>COUNTIF(N:N,"Outlier")</f>
        <v>40</v>
      </c>
    </row>
    <row r="9" spans="1:32" x14ac:dyDescent="0.3">
      <c r="A9">
        <v>8</v>
      </c>
      <c r="B9">
        <v>1385417.9902404801</v>
      </c>
      <c r="C9">
        <v>0.56981767112486803</v>
      </c>
      <c r="D9">
        <v>-0.181077851446975</v>
      </c>
      <c r="E9">
        <v>0.142461029815558</v>
      </c>
      <c r="F9">
        <v>1</v>
      </c>
      <c r="G9" t="s">
        <v>11</v>
      </c>
      <c r="H9">
        <v>0</v>
      </c>
      <c r="I9">
        <v>197368.07361466001</v>
      </c>
      <c r="J9">
        <v>0.85753897018444103</v>
      </c>
      <c r="K9" t="str">
        <f t="shared" si="0"/>
        <v>OK</v>
      </c>
      <c r="L9" t="str">
        <f t="shared" si="1"/>
        <v>OK</v>
      </c>
      <c r="M9" t="str">
        <f>IF(OR(B9&lt;$AE$20,B9&gt;$AF$20),"Outlier","OK")</f>
        <v>OK</v>
      </c>
      <c r="N9" t="str">
        <f>IF(OR(J9&lt;$AE$21,J9&gt;$AF$21),"Outlier","OK")</f>
        <v>OK</v>
      </c>
      <c r="O9" t="str">
        <f>IF(OR(C9&lt;0,C9&gt;1),"Outlier","OK")</f>
        <v>OK</v>
      </c>
      <c r="P9" t="str">
        <f>IF(OR(D9&lt;0,D9&gt;1),"Outlier","OK")</f>
        <v>Outlier</v>
      </c>
      <c r="Q9" t="str">
        <f t="shared" si="2"/>
        <v>80-100%</v>
      </c>
      <c r="R9" t="str">
        <f>IF(B9="","Missing","OK")</f>
        <v>OK</v>
      </c>
      <c r="S9" t="str">
        <f>IF(E9="","Missing","OK")</f>
        <v>OK</v>
      </c>
      <c r="T9" t="str">
        <f t="shared" si="3"/>
        <v>OK</v>
      </c>
      <c r="U9">
        <f>COUNTIF($A:$A,A9)</f>
        <v>1</v>
      </c>
      <c r="V9" t="str">
        <f t="shared" si="4"/>
        <v>OK</v>
      </c>
      <c r="W9" t="str">
        <f>IF(I9&gt;B9,"ERROR","OK")</f>
        <v>OK</v>
      </c>
      <c r="X9">
        <f>(B9-I9)/B9</f>
        <v>0.8575389701844417</v>
      </c>
      <c r="Y9" s="2">
        <f t="shared" si="5"/>
        <v>6.6613381477509392E-16</v>
      </c>
      <c r="Z9" s="2" t="str">
        <f t="shared" si="6"/>
        <v>OK</v>
      </c>
      <c r="AA9" t="str">
        <f t="shared" si="7"/>
        <v>Unique</v>
      </c>
      <c r="AD9" s="10" t="s">
        <v>24</v>
      </c>
      <c r="AE9" s="10">
        <f>AVERAGEIFS(J:J, F:F, 1)</f>
        <v>0.70999534286716337</v>
      </c>
    </row>
    <row r="10" spans="1:32" x14ac:dyDescent="0.3">
      <c r="A10">
        <v>9</v>
      </c>
      <c r="B10">
        <v>987817.20789450302</v>
      </c>
      <c r="C10">
        <v>0.53150869995039596</v>
      </c>
      <c r="D10">
        <v>0.110580821477895</v>
      </c>
      <c r="E10">
        <v>0.41562745752559099</v>
      </c>
      <c r="F10">
        <v>1</v>
      </c>
      <c r="G10" t="s">
        <v>10</v>
      </c>
      <c r="H10">
        <v>1</v>
      </c>
      <c r="I10">
        <v>410563.95461722102</v>
      </c>
      <c r="J10">
        <v>0.58437254247440795</v>
      </c>
      <c r="K10" t="str">
        <f t="shared" si="0"/>
        <v>OK</v>
      </c>
      <c r="L10" t="str">
        <f t="shared" si="1"/>
        <v>OK</v>
      </c>
      <c r="M10" t="str">
        <f>IF(OR(B10&lt;$AE$20,B10&gt;$AF$20),"Outlier","OK")</f>
        <v>OK</v>
      </c>
      <c r="N10" t="str">
        <f>IF(OR(J10&lt;$AE$21,J10&gt;$AF$21),"Outlier","OK")</f>
        <v>OK</v>
      </c>
      <c r="O10" t="str">
        <f>IF(OR(C10&lt;0,C10&gt;1),"Outlier","OK")</f>
        <v>OK</v>
      </c>
      <c r="P10" t="str">
        <f>IF(OR(D10&lt;0,D10&gt;1),"Outlier","OK")</f>
        <v>OK</v>
      </c>
      <c r="Q10" t="str">
        <f t="shared" si="2"/>
        <v>40-60%</v>
      </c>
      <c r="R10" t="str">
        <f>IF(B10="","Missing","OK")</f>
        <v>OK</v>
      </c>
      <c r="S10" t="str">
        <f>IF(E10="","Missing","OK")</f>
        <v>OK</v>
      </c>
      <c r="T10" t="str">
        <f t="shared" si="3"/>
        <v>OK</v>
      </c>
      <c r="U10">
        <f>COUNTIF($A:$A,A10)</f>
        <v>1</v>
      </c>
      <c r="V10" t="str">
        <f t="shared" si="4"/>
        <v>OK</v>
      </c>
      <c r="W10" t="str">
        <f>IF(I10&gt;B10,"ERROR","OK")</f>
        <v>OK</v>
      </c>
      <c r="X10">
        <f>(B10-I10)/B10</f>
        <v>0.5843725424744084</v>
      </c>
      <c r="Y10" s="2">
        <f t="shared" si="5"/>
        <v>4.4408920985006262E-16</v>
      </c>
      <c r="Z10" s="2" t="str">
        <f t="shared" si="6"/>
        <v>OK</v>
      </c>
      <c r="AA10" t="str">
        <f t="shared" si="7"/>
        <v>Unique</v>
      </c>
      <c r="AD10" s="10" t="s">
        <v>22</v>
      </c>
      <c r="AE10" s="10">
        <f>MIN(J:J)</f>
        <v>0.19934233530714801</v>
      </c>
    </row>
    <row r="11" spans="1:32" x14ac:dyDescent="0.3">
      <c r="A11">
        <v>10</v>
      </c>
      <c r="B11">
        <v>814629.16047859297</v>
      </c>
      <c r="C11">
        <v>0.14947560149473901</v>
      </c>
      <c r="D11">
        <v>3.1771823993175501E-3</v>
      </c>
      <c r="E11">
        <v>0.46051358588325297</v>
      </c>
      <c r="F11">
        <v>1</v>
      </c>
      <c r="G11" t="s">
        <v>13</v>
      </c>
      <c r="H11">
        <v>0</v>
      </c>
      <c r="I11">
        <v>375147.79585706099</v>
      </c>
      <c r="J11">
        <v>0.53948641411674603</v>
      </c>
      <c r="K11" t="str">
        <f t="shared" si="0"/>
        <v>OK</v>
      </c>
      <c r="L11" t="str">
        <f t="shared" si="1"/>
        <v>OK</v>
      </c>
      <c r="M11" t="str">
        <f>IF(OR(B11&lt;$AE$20,B11&gt;$AF$20),"Outlier","OK")</f>
        <v>OK</v>
      </c>
      <c r="N11" t="str">
        <f>IF(OR(J11&lt;$AE$21,J11&gt;$AF$21),"Outlier","OK")</f>
        <v>OK</v>
      </c>
      <c r="O11" t="str">
        <f>IF(OR(C11&lt;0,C11&gt;1),"Outlier","OK")</f>
        <v>OK</v>
      </c>
      <c r="P11" t="str">
        <f>IF(OR(D11&lt;0,D11&gt;1),"Outlier","OK")</f>
        <v>OK</v>
      </c>
      <c r="Q11" t="str">
        <f t="shared" si="2"/>
        <v>40-60%</v>
      </c>
      <c r="R11" t="str">
        <f>IF(B11="","Missing","OK")</f>
        <v>OK</v>
      </c>
      <c r="S11" t="str">
        <f>IF(E11="","Missing","OK")</f>
        <v>OK</v>
      </c>
      <c r="T11" t="str">
        <f t="shared" si="3"/>
        <v>OK</v>
      </c>
      <c r="U11">
        <f>COUNTIF($A:$A,A11)</f>
        <v>1</v>
      </c>
      <c r="V11" t="str">
        <f t="shared" si="4"/>
        <v>OK</v>
      </c>
      <c r="W11" t="str">
        <f>IF(I11&gt;B11,"ERROR","OK")</f>
        <v>OK</v>
      </c>
      <c r="X11">
        <f>(B11-I11)/B11</f>
        <v>0.5394864141167468</v>
      </c>
      <c r="Y11" s="2">
        <f t="shared" si="5"/>
        <v>7.7715611723760958E-16</v>
      </c>
      <c r="Z11" s="2" t="str">
        <f t="shared" si="6"/>
        <v>OK</v>
      </c>
      <c r="AA11" t="str">
        <f t="shared" si="7"/>
        <v>Unique</v>
      </c>
      <c r="AD11" s="10" t="s">
        <v>23</v>
      </c>
      <c r="AE11" s="3">
        <f>MAX(J:J)</f>
        <v>0.99586666080255004</v>
      </c>
    </row>
    <row r="12" spans="1:32" x14ac:dyDescent="0.3">
      <c r="A12">
        <v>11</v>
      </c>
      <c r="B12">
        <v>719197.13149419497</v>
      </c>
      <c r="C12">
        <v>0.65095485941660103</v>
      </c>
      <c r="D12">
        <v>2.37241395392155E-2</v>
      </c>
      <c r="E12">
        <v>0.39530500549650399</v>
      </c>
      <c r="F12">
        <v>1</v>
      </c>
      <c r="G12" t="s">
        <v>10</v>
      </c>
      <c r="H12">
        <v>0</v>
      </c>
      <c r="I12">
        <v>284302.226018382</v>
      </c>
      <c r="J12">
        <v>0.60469499450349495</v>
      </c>
      <c r="K12" t="str">
        <f t="shared" si="0"/>
        <v>OK</v>
      </c>
      <c r="L12" t="str">
        <f t="shared" si="1"/>
        <v>OK</v>
      </c>
      <c r="M12" t="str">
        <f>IF(OR(B12&lt;$AE$20,B12&gt;$AF$20),"Outlier","OK")</f>
        <v>OK</v>
      </c>
      <c r="N12" t="str">
        <f>IF(OR(J12&lt;$AE$21,J12&gt;$AF$21),"Outlier","OK")</f>
        <v>OK</v>
      </c>
      <c r="O12" t="str">
        <f>IF(OR(C12&lt;0,C12&gt;1),"Outlier","OK")</f>
        <v>OK</v>
      </c>
      <c r="P12" t="str">
        <f>IF(OR(D12&lt;0,D12&gt;1),"Outlier","OK")</f>
        <v>OK</v>
      </c>
      <c r="Q12" t="str">
        <f t="shared" si="2"/>
        <v>60-80%</v>
      </c>
      <c r="R12" t="str">
        <f>IF(B12="","Missing","OK")</f>
        <v>OK</v>
      </c>
      <c r="S12" t="str">
        <f>IF(E12="","Missing","OK")</f>
        <v>OK</v>
      </c>
      <c r="T12" t="str">
        <f t="shared" si="3"/>
        <v>OK</v>
      </c>
      <c r="U12">
        <f>COUNTIF($A:$A,A12)</f>
        <v>1</v>
      </c>
      <c r="V12" t="str">
        <f t="shared" si="4"/>
        <v>OK</v>
      </c>
      <c r="W12" t="str">
        <f>IF(I12&gt;B12,"ERROR","OK")</f>
        <v>OK</v>
      </c>
      <c r="X12">
        <f>(B12-I12)/B12</f>
        <v>0.60469499450349695</v>
      </c>
      <c r="Y12" s="2">
        <f t="shared" si="5"/>
        <v>1.9984014443252818E-15</v>
      </c>
      <c r="Z12" s="2" t="str">
        <f t="shared" si="6"/>
        <v>OK</v>
      </c>
      <c r="AA12" t="str">
        <f t="shared" si="7"/>
        <v>Unique</v>
      </c>
    </row>
    <row r="13" spans="1:32" x14ac:dyDescent="0.3">
      <c r="A13">
        <v>12</v>
      </c>
      <c r="B13">
        <v>1471646.9293988801</v>
      </c>
      <c r="C13">
        <v>0.119143286427914</v>
      </c>
      <c r="D13">
        <v>-0.13479372969341799</v>
      </c>
      <c r="E13">
        <v>0.46873345256103999</v>
      </c>
      <c r="F13">
        <v>1</v>
      </c>
      <c r="G13" t="s">
        <v>12</v>
      </c>
      <c r="H13">
        <v>0</v>
      </c>
      <c r="I13">
        <v>689810.14616799005</v>
      </c>
      <c r="J13">
        <v>0.53126654743895996</v>
      </c>
      <c r="K13" t="str">
        <f t="shared" si="0"/>
        <v>OK</v>
      </c>
      <c r="L13" t="str">
        <f t="shared" si="1"/>
        <v>OK</v>
      </c>
      <c r="M13" t="str">
        <f>IF(OR(B13&lt;$AE$20,B13&gt;$AF$20),"Outlier","OK")</f>
        <v>OK</v>
      </c>
      <c r="N13" t="str">
        <f>IF(OR(J13&lt;$AE$21,J13&gt;$AF$21),"Outlier","OK")</f>
        <v>OK</v>
      </c>
      <c r="O13" t="str">
        <f>IF(OR(C13&lt;0,C13&gt;1),"Outlier","OK")</f>
        <v>OK</v>
      </c>
      <c r="P13" t="str">
        <f>IF(OR(D13&lt;0,D13&gt;1),"Outlier","OK")</f>
        <v>Outlier</v>
      </c>
      <c r="Q13" t="str">
        <f t="shared" si="2"/>
        <v>40-60%</v>
      </c>
      <c r="R13" t="str">
        <f>IF(B13="","Missing","OK")</f>
        <v>OK</v>
      </c>
      <c r="S13" t="str">
        <f>IF(E13="","Missing","OK")</f>
        <v>OK</v>
      </c>
      <c r="T13" t="str">
        <f t="shared" si="3"/>
        <v>OK</v>
      </c>
      <c r="U13">
        <f>COUNTIF($A:$A,A13)</f>
        <v>1</v>
      </c>
      <c r="V13" t="str">
        <f t="shared" si="4"/>
        <v>OK</v>
      </c>
      <c r="W13" t="str">
        <f>IF(I13&gt;B13,"ERROR","OK")</f>
        <v>OK</v>
      </c>
      <c r="X13">
        <f>(B13-I13)/B13</f>
        <v>0.53126654743896007</v>
      </c>
      <c r="Y13" s="2">
        <f t="shared" si="5"/>
        <v>1.1102230246251565E-16</v>
      </c>
      <c r="Z13" s="2" t="str">
        <f t="shared" si="6"/>
        <v>OK</v>
      </c>
      <c r="AA13" t="str">
        <f t="shared" si="7"/>
        <v>Unique</v>
      </c>
      <c r="AD13" s="8" t="s">
        <v>36</v>
      </c>
      <c r="AE13" s="8" t="s">
        <v>38</v>
      </c>
      <c r="AF13" s="8" t="s">
        <v>37</v>
      </c>
    </row>
    <row r="14" spans="1:32" x14ac:dyDescent="0.3">
      <c r="A14">
        <v>13</v>
      </c>
      <c r="B14">
        <v>905215.87712526706</v>
      </c>
      <c r="C14">
        <v>0.61689333628736998</v>
      </c>
      <c r="D14">
        <v>-0.17484073791459201</v>
      </c>
      <c r="E14">
        <v>0.12486127991142899</v>
      </c>
      <c r="F14">
        <v>1</v>
      </c>
      <c r="G14" t="s">
        <v>10</v>
      </c>
      <c r="H14">
        <v>1</v>
      </c>
      <c r="I14">
        <v>113026.41301400799</v>
      </c>
      <c r="J14">
        <v>0.87513872008856997</v>
      </c>
      <c r="K14" t="str">
        <f t="shared" si="0"/>
        <v>OK</v>
      </c>
      <c r="L14" t="str">
        <f t="shared" si="1"/>
        <v>OK</v>
      </c>
      <c r="M14" t="str">
        <f>IF(OR(B14&lt;$AE$20,B14&gt;$AF$20),"Outlier","OK")</f>
        <v>OK</v>
      </c>
      <c r="N14" t="str">
        <f>IF(OR(J14&lt;$AE$21,J14&gt;$AF$21),"Outlier","OK")</f>
        <v>OK</v>
      </c>
      <c r="O14" t="str">
        <f>IF(OR(C14&lt;0,C14&gt;1),"Outlier","OK")</f>
        <v>OK</v>
      </c>
      <c r="P14" t="str">
        <f>IF(OR(D14&lt;0,D14&gt;1),"Outlier","OK")</f>
        <v>Outlier</v>
      </c>
      <c r="Q14" t="str">
        <f t="shared" si="2"/>
        <v>80-100%</v>
      </c>
      <c r="R14" t="str">
        <f>IF(B14="","Missing","OK")</f>
        <v>OK</v>
      </c>
      <c r="S14" t="str">
        <f>IF(E14="","Missing","OK")</f>
        <v>OK</v>
      </c>
      <c r="T14" t="str">
        <f t="shared" si="3"/>
        <v>OK</v>
      </c>
      <c r="U14">
        <f>COUNTIF($A:$A,A14)</f>
        <v>1</v>
      </c>
      <c r="V14" t="str">
        <f t="shared" si="4"/>
        <v>OK</v>
      </c>
      <c r="W14" t="str">
        <f>IF(I14&gt;B14,"ERROR","OK")</f>
        <v>OK</v>
      </c>
      <c r="X14">
        <f>(B14-I14)/B14</f>
        <v>0.87513872008857074</v>
      </c>
      <c r="Y14" s="2">
        <f t="shared" si="5"/>
        <v>7.7715611723760958E-16</v>
      </c>
      <c r="Z14" s="2" t="str">
        <f t="shared" si="6"/>
        <v>OK</v>
      </c>
      <c r="AA14" t="str">
        <f t="shared" si="7"/>
        <v>Unique</v>
      </c>
      <c r="AD14" s="3" t="s">
        <v>13</v>
      </c>
      <c r="AE14" s="3">
        <f>AVERAGEIFS(J:J, G:G, AD14)</f>
        <v>0.70842293449703475</v>
      </c>
      <c r="AF14" s="3">
        <f>COUNTIFS(G:G, AD14)</f>
        <v>492</v>
      </c>
    </row>
    <row r="15" spans="1:32" x14ac:dyDescent="0.3">
      <c r="A15">
        <v>14</v>
      </c>
      <c r="B15">
        <v>166371.89838865801</v>
      </c>
      <c r="C15">
        <v>0.65683370176007605</v>
      </c>
      <c r="D15">
        <v>0.195950802331635</v>
      </c>
      <c r="E15">
        <v>0.56613635867947298</v>
      </c>
      <c r="F15">
        <v>1</v>
      </c>
      <c r="G15" t="s">
        <v>10</v>
      </c>
      <c r="H15">
        <v>0</v>
      </c>
      <c r="I15">
        <v>94189.180740346404</v>
      </c>
      <c r="J15">
        <v>0.43386364132052602</v>
      </c>
      <c r="K15" t="str">
        <f t="shared" si="0"/>
        <v>OK</v>
      </c>
      <c r="L15" t="str">
        <f t="shared" si="1"/>
        <v>OK</v>
      </c>
      <c r="M15" t="str">
        <f>IF(OR(B15&lt;$AE$20,B15&gt;$AF$20),"Outlier","OK")</f>
        <v>OK</v>
      </c>
      <c r="N15" t="str">
        <f>IF(OR(J15&lt;$AE$21,J15&gt;$AF$21),"Outlier","OK")</f>
        <v>OK</v>
      </c>
      <c r="O15" t="str">
        <f>IF(OR(C15&lt;0,C15&gt;1),"Outlier","OK")</f>
        <v>OK</v>
      </c>
      <c r="P15" t="str">
        <f>IF(OR(D15&lt;0,D15&gt;1),"Outlier","OK")</f>
        <v>OK</v>
      </c>
      <c r="Q15" t="str">
        <f t="shared" si="2"/>
        <v>40-60%</v>
      </c>
      <c r="R15" t="str">
        <f>IF(B15="","Missing","OK")</f>
        <v>OK</v>
      </c>
      <c r="S15" t="str">
        <f>IF(E15="","Missing","OK")</f>
        <v>OK</v>
      </c>
      <c r="T15" t="str">
        <f t="shared" si="3"/>
        <v>OK</v>
      </c>
      <c r="U15">
        <f>COUNTIF($A:$A,A15)</f>
        <v>1</v>
      </c>
      <c r="V15" t="str">
        <f t="shared" si="4"/>
        <v>OK</v>
      </c>
      <c r="W15" t="str">
        <f>IF(I15&gt;B15,"ERROR","OK")</f>
        <v>OK</v>
      </c>
      <c r="X15">
        <f>(B15-I15)/B15</f>
        <v>0.43386364132052535</v>
      </c>
      <c r="Y15" s="2">
        <f t="shared" si="5"/>
        <v>6.6613381477509392E-16</v>
      </c>
      <c r="Z15" s="2" t="str">
        <f t="shared" si="6"/>
        <v>OK</v>
      </c>
      <c r="AA15" t="str">
        <f t="shared" si="7"/>
        <v>Unique</v>
      </c>
      <c r="AD15" s="3" t="s">
        <v>11</v>
      </c>
      <c r="AE15" s="3">
        <f>AVERAGEIFS(J:J, G:G, AD15)</f>
        <v>0.71019912711719513</v>
      </c>
      <c r="AF15" s="3">
        <f>COUNTIFS(G:G, AD15)</f>
        <v>469</v>
      </c>
    </row>
    <row r="16" spans="1:32" x14ac:dyDescent="0.3">
      <c r="A16">
        <v>15</v>
      </c>
      <c r="B16">
        <v>826186.29789434106</v>
      </c>
      <c r="C16">
        <v>0.84096233025308498</v>
      </c>
      <c r="D16">
        <v>9.9083011899270101E-2</v>
      </c>
      <c r="E16">
        <v>9.0576849314972799E-2</v>
      </c>
      <c r="F16">
        <v>1</v>
      </c>
      <c r="G16" t="s">
        <v>13</v>
      </c>
      <c r="H16">
        <v>0</v>
      </c>
      <c r="I16">
        <v>74833.351810470995</v>
      </c>
      <c r="J16">
        <v>0.90942315068502699</v>
      </c>
      <c r="K16" t="str">
        <f t="shared" si="0"/>
        <v>OK</v>
      </c>
      <c r="L16" t="str">
        <f t="shared" si="1"/>
        <v>OK</v>
      </c>
      <c r="M16" t="str">
        <f>IF(OR(B16&lt;$AE$20,B16&gt;$AF$20),"Outlier","OK")</f>
        <v>OK</v>
      </c>
      <c r="N16" t="str">
        <f>IF(OR(J16&lt;$AE$21,J16&gt;$AF$21),"Outlier","OK")</f>
        <v>OK</v>
      </c>
      <c r="O16" t="str">
        <f>IF(OR(C16&lt;0,C16&gt;1),"Outlier","OK")</f>
        <v>OK</v>
      </c>
      <c r="P16" t="str">
        <f>IF(OR(D16&lt;0,D16&gt;1),"Outlier","OK")</f>
        <v>OK</v>
      </c>
      <c r="Q16" t="str">
        <f t="shared" si="2"/>
        <v>80-100%</v>
      </c>
      <c r="R16" t="str">
        <f>IF(B16="","Missing","OK")</f>
        <v>OK</v>
      </c>
      <c r="S16" t="str">
        <f>IF(E16="","Missing","OK")</f>
        <v>OK</v>
      </c>
      <c r="T16" t="str">
        <f t="shared" si="3"/>
        <v>OK</v>
      </c>
      <c r="U16">
        <f>COUNTIF($A:$A,A16)</f>
        <v>1</v>
      </c>
      <c r="V16" t="str">
        <f t="shared" si="4"/>
        <v>OK</v>
      </c>
      <c r="W16" t="str">
        <f>IF(I16&gt;B16,"ERROR","OK")</f>
        <v>OK</v>
      </c>
      <c r="X16">
        <f>(B16-I16)/B16</f>
        <v>0.9094231506850271</v>
      </c>
      <c r="Y16" s="2">
        <f t="shared" si="5"/>
        <v>1.1102230246251565E-16</v>
      </c>
      <c r="Z16" s="2" t="str">
        <f t="shared" si="6"/>
        <v>OK</v>
      </c>
      <c r="AA16" t="str">
        <f t="shared" si="7"/>
        <v>Unique</v>
      </c>
      <c r="AD16" s="3" t="s">
        <v>10</v>
      </c>
      <c r="AE16" s="3">
        <f>AVERAGEIFS(J:J, G:G, AD16)</f>
        <v>0.70471439032804495</v>
      </c>
      <c r="AF16" s="3">
        <f>COUNTIFS(G:G, AD16)</f>
        <v>546</v>
      </c>
    </row>
    <row r="17" spans="1:33" x14ac:dyDescent="0.3">
      <c r="A17">
        <v>16</v>
      </c>
      <c r="B17">
        <v>1489091.04117746</v>
      </c>
      <c r="C17">
        <v>0.71920217240404705</v>
      </c>
      <c r="D17">
        <v>-0.14993516398436499</v>
      </c>
      <c r="E17">
        <v>0.50426024262450297</v>
      </c>
      <c r="F17">
        <v>1</v>
      </c>
      <c r="G17" t="s">
        <v>10</v>
      </c>
      <c r="H17">
        <v>1</v>
      </c>
      <c r="I17">
        <v>750889.40971412498</v>
      </c>
      <c r="J17">
        <v>0.49573975737549603</v>
      </c>
      <c r="K17" t="str">
        <f t="shared" si="0"/>
        <v>OK</v>
      </c>
      <c r="L17" t="str">
        <f t="shared" si="1"/>
        <v>OK</v>
      </c>
      <c r="M17" t="str">
        <f>IF(OR(B17&lt;$AE$20,B17&gt;$AF$20),"Outlier","OK")</f>
        <v>OK</v>
      </c>
      <c r="N17" t="str">
        <f>IF(OR(J17&lt;$AE$21,J17&gt;$AF$21),"Outlier","OK")</f>
        <v>OK</v>
      </c>
      <c r="O17" t="str">
        <f>IF(OR(C17&lt;0,C17&gt;1),"Outlier","OK")</f>
        <v>OK</v>
      </c>
      <c r="P17" t="str">
        <f>IF(OR(D17&lt;0,D17&gt;1),"Outlier","OK")</f>
        <v>Outlier</v>
      </c>
      <c r="Q17" t="str">
        <f t="shared" si="2"/>
        <v>40-60%</v>
      </c>
      <c r="R17" t="str">
        <f>IF(B17="","Missing","OK")</f>
        <v>OK</v>
      </c>
      <c r="S17" t="str">
        <f>IF(E17="","Missing","OK")</f>
        <v>OK</v>
      </c>
      <c r="T17" t="str">
        <f t="shared" si="3"/>
        <v>OK</v>
      </c>
      <c r="U17">
        <f>COUNTIF($A:$A,A17)</f>
        <v>1</v>
      </c>
      <c r="V17" t="str">
        <f t="shared" si="4"/>
        <v>OK</v>
      </c>
      <c r="W17" t="str">
        <f>IF(I17&gt;B17,"ERROR","OK")</f>
        <v>OK</v>
      </c>
      <c r="X17">
        <f>(B17-I17)/B17</f>
        <v>0.49573975737549347</v>
      </c>
      <c r="Y17" s="2">
        <f t="shared" si="5"/>
        <v>2.55351295663786E-15</v>
      </c>
      <c r="Z17" s="2" t="str">
        <f t="shared" si="6"/>
        <v>OK</v>
      </c>
      <c r="AA17" t="str">
        <f t="shared" si="7"/>
        <v>Unique</v>
      </c>
      <c r="AD17" s="3" t="s">
        <v>12</v>
      </c>
      <c r="AE17" s="3">
        <f>AVERAGEIFS(J:J, G:G, AD17)</f>
        <v>0.71721937976614325</v>
      </c>
      <c r="AF17" s="3">
        <f>COUNTIFS(G:G, AD17)</f>
        <v>493</v>
      </c>
    </row>
    <row r="18" spans="1:33" x14ac:dyDescent="0.3">
      <c r="A18">
        <v>17</v>
      </c>
      <c r="B18">
        <v>405858.87438432401</v>
      </c>
      <c r="C18">
        <v>0.30496278087342898</v>
      </c>
      <c r="D18">
        <v>-0.13131726310355099</v>
      </c>
      <c r="E18">
        <v>0.49337779445952801</v>
      </c>
      <c r="F18">
        <v>1</v>
      </c>
      <c r="G18" t="s">
        <v>11</v>
      </c>
      <c r="H18">
        <v>1</v>
      </c>
      <c r="I18">
        <v>200241.75630556399</v>
      </c>
      <c r="J18">
        <v>0.50662220554047099</v>
      </c>
      <c r="K18" t="str">
        <f t="shared" si="0"/>
        <v>OK</v>
      </c>
      <c r="L18" t="str">
        <f t="shared" si="1"/>
        <v>OK</v>
      </c>
      <c r="M18" t="str">
        <f>IF(OR(B18&lt;$AE$20,B18&gt;$AF$20),"Outlier","OK")</f>
        <v>OK</v>
      </c>
      <c r="N18" t="str">
        <f>IF(OR(J18&lt;$AE$21,J18&gt;$AF$21),"Outlier","OK")</f>
        <v>OK</v>
      </c>
      <c r="O18" t="str">
        <f>IF(OR(C18&lt;0,C18&gt;1),"Outlier","OK")</f>
        <v>OK</v>
      </c>
      <c r="P18" t="str">
        <f>IF(OR(D18&lt;0,D18&gt;1),"Outlier","OK")</f>
        <v>Outlier</v>
      </c>
      <c r="Q18" t="str">
        <f t="shared" si="2"/>
        <v>40-60%</v>
      </c>
      <c r="R18" t="str">
        <f>IF(B18="","Missing","OK")</f>
        <v>OK</v>
      </c>
      <c r="S18" t="str">
        <f>IF(E18="","Missing","OK")</f>
        <v>OK</v>
      </c>
      <c r="T18" t="str">
        <f t="shared" si="3"/>
        <v>OK</v>
      </c>
      <c r="U18">
        <f>COUNTIF($A:$A,A18)</f>
        <v>1</v>
      </c>
      <c r="V18" t="str">
        <f t="shared" si="4"/>
        <v>OK</v>
      </c>
      <c r="W18" t="str">
        <f>IF(I18&gt;B18,"ERROR","OK")</f>
        <v>OK</v>
      </c>
      <c r="X18">
        <f>(B18-I18)/B18</f>
        <v>0.50662220554047299</v>
      </c>
      <c r="Y18" s="2">
        <f t="shared" si="5"/>
        <v>1.9984014443252818E-15</v>
      </c>
      <c r="Z18" s="2" t="str">
        <f t="shared" si="6"/>
        <v>OK</v>
      </c>
      <c r="AA18" t="str">
        <f t="shared" si="7"/>
        <v>Unique</v>
      </c>
    </row>
    <row r="19" spans="1:33" x14ac:dyDescent="0.3">
      <c r="A19">
        <v>18</v>
      </c>
      <c r="B19">
        <v>392130.92448761</v>
      </c>
      <c r="C19">
        <v>0.47976552439571801</v>
      </c>
      <c r="D19">
        <v>-0.144702830875301</v>
      </c>
      <c r="E19">
        <v>0.20192315887134099</v>
      </c>
      <c r="F19">
        <v>1</v>
      </c>
      <c r="G19" t="s">
        <v>13</v>
      </c>
      <c r="H19">
        <v>0</v>
      </c>
      <c r="I19">
        <v>79180.314963677898</v>
      </c>
      <c r="J19">
        <v>0.79807684112865795</v>
      </c>
      <c r="K19" t="str">
        <f t="shared" si="0"/>
        <v>OK</v>
      </c>
      <c r="L19" t="str">
        <f t="shared" si="1"/>
        <v>OK</v>
      </c>
      <c r="M19" t="str">
        <f>IF(OR(B19&lt;$AE$20,B19&gt;$AF$20),"Outlier","OK")</f>
        <v>OK</v>
      </c>
      <c r="N19" t="str">
        <f>IF(OR(J19&lt;$AE$21,J19&gt;$AF$21),"Outlier","OK")</f>
        <v>OK</v>
      </c>
      <c r="O19" t="str">
        <f>IF(OR(C19&lt;0,C19&gt;1),"Outlier","OK")</f>
        <v>OK</v>
      </c>
      <c r="P19" t="str">
        <f>IF(OR(D19&lt;0,D19&gt;1),"Outlier","OK")</f>
        <v>Outlier</v>
      </c>
      <c r="Q19" t="str">
        <f t="shared" si="2"/>
        <v>60-80%</v>
      </c>
      <c r="R19" t="str">
        <f>IF(B19="","Missing","OK")</f>
        <v>OK</v>
      </c>
      <c r="S19" t="str">
        <f>IF(E19="","Missing","OK")</f>
        <v>OK</v>
      </c>
      <c r="T19" t="str">
        <f t="shared" si="3"/>
        <v>OK</v>
      </c>
      <c r="U19">
        <f>COUNTIF($A:$A,A19)</f>
        <v>1</v>
      </c>
      <c r="V19" t="str">
        <f t="shared" si="4"/>
        <v>OK</v>
      </c>
      <c r="W19" t="str">
        <f>IF(I19&gt;B19,"ERROR","OK")</f>
        <v>OK</v>
      </c>
      <c r="X19">
        <f>(B19-I19)/B19</f>
        <v>0.79807684112865795</v>
      </c>
      <c r="Y19" s="2">
        <f t="shared" si="5"/>
        <v>0</v>
      </c>
      <c r="Z19" s="2" t="str">
        <f t="shared" si="6"/>
        <v>OK</v>
      </c>
      <c r="AA19" t="str">
        <f t="shared" si="7"/>
        <v>Unique</v>
      </c>
      <c r="AD19" s="4" t="s">
        <v>28</v>
      </c>
      <c r="AE19" s="4"/>
      <c r="AF19" s="4"/>
    </row>
    <row r="20" spans="1:33" x14ac:dyDescent="0.3">
      <c r="A20">
        <v>19</v>
      </c>
      <c r="B20">
        <v>1086525.1789915799</v>
      </c>
      <c r="C20">
        <v>0.178355301615814</v>
      </c>
      <c r="D20">
        <v>-0.15920913404749801</v>
      </c>
      <c r="E20">
        <v>0.60918381235515795</v>
      </c>
      <c r="F20">
        <v>1</v>
      </c>
      <c r="G20" t="s">
        <v>13</v>
      </c>
      <c r="H20">
        <v>0</v>
      </c>
      <c r="I20">
        <v>661893.55075796403</v>
      </c>
      <c r="J20">
        <v>0.390816187644841</v>
      </c>
      <c r="K20" t="str">
        <f t="shared" si="0"/>
        <v>OK</v>
      </c>
      <c r="L20" t="str">
        <f t="shared" si="1"/>
        <v>OK</v>
      </c>
      <c r="M20" t="str">
        <f>IF(OR(B20&lt;$AE$20,B20&gt;$AF$20),"Outlier","OK")</f>
        <v>OK</v>
      </c>
      <c r="N20" t="str">
        <f>IF(OR(J20&lt;$AE$21,J20&gt;$AF$21),"Outlier","OK")</f>
        <v>OK</v>
      </c>
      <c r="O20" t="str">
        <f>IF(OR(C20&lt;0,C20&gt;1),"Outlier","OK")</f>
        <v>OK</v>
      </c>
      <c r="P20" t="str">
        <f>IF(OR(D20&lt;0,D20&gt;1),"Outlier","OK")</f>
        <v>Outlier</v>
      </c>
      <c r="Q20" t="str">
        <f t="shared" si="2"/>
        <v>20-40%</v>
      </c>
      <c r="R20" t="str">
        <f>IF(B20="","Missing","OK")</f>
        <v>OK</v>
      </c>
      <c r="S20" t="str">
        <f>IF(E20="","Missing","OK")</f>
        <v>OK</v>
      </c>
      <c r="T20" t="str">
        <f t="shared" si="3"/>
        <v>OK</v>
      </c>
      <c r="U20">
        <f>COUNTIF($A:$A,A20)</f>
        <v>1</v>
      </c>
      <c r="V20" t="str">
        <f t="shared" si="4"/>
        <v>OK</v>
      </c>
      <c r="W20" t="str">
        <f>IF(I20&gt;B20,"ERROR","OK")</f>
        <v>OK</v>
      </c>
      <c r="X20">
        <f>(B20-I20)/B20</f>
        <v>0.39081618764483927</v>
      </c>
      <c r="Y20" s="2">
        <f t="shared" si="5"/>
        <v>1.7208456881689926E-15</v>
      </c>
      <c r="Z20" s="2" t="str">
        <f t="shared" si="6"/>
        <v>OK</v>
      </c>
      <c r="AA20" t="str">
        <f t="shared" si="7"/>
        <v>Unique</v>
      </c>
      <c r="AD20" t="s">
        <v>1</v>
      </c>
      <c r="AE20">
        <f>PERCENTILE($B:$B,0.01)</f>
        <v>65069.68669030309</v>
      </c>
      <c r="AF20">
        <f>PERCENTILE($B:$B,0.99)</f>
        <v>1983878.6483517929</v>
      </c>
    </row>
    <row r="21" spans="1:33" x14ac:dyDescent="0.3">
      <c r="A21">
        <v>20</v>
      </c>
      <c r="B21">
        <v>1087063.79483888</v>
      </c>
      <c r="C21">
        <v>0.883055045104019</v>
      </c>
      <c r="D21">
        <v>0.187448705424859</v>
      </c>
      <c r="E21">
        <v>0.22632025637657199</v>
      </c>
      <c r="F21">
        <v>1</v>
      </c>
      <c r="G21" t="s">
        <v>13</v>
      </c>
      <c r="H21">
        <v>0</v>
      </c>
      <c r="I21">
        <v>246024.55674562699</v>
      </c>
      <c r="J21">
        <v>0.77367974362342695</v>
      </c>
      <c r="K21" t="str">
        <f t="shared" si="0"/>
        <v>OK</v>
      </c>
      <c r="L21" t="str">
        <f t="shared" si="1"/>
        <v>OK</v>
      </c>
      <c r="M21" t="str">
        <f>IF(OR(B21&lt;$AE$20,B21&gt;$AF$20),"Outlier","OK")</f>
        <v>OK</v>
      </c>
      <c r="N21" t="str">
        <f>IF(OR(J21&lt;$AE$21,J21&gt;$AF$21),"Outlier","OK")</f>
        <v>OK</v>
      </c>
      <c r="O21" t="str">
        <f>IF(OR(C21&lt;0,C21&gt;1),"Outlier","OK")</f>
        <v>OK</v>
      </c>
      <c r="P21" t="str">
        <f>IF(OR(D21&lt;0,D21&gt;1),"Outlier","OK")</f>
        <v>OK</v>
      </c>
      <c r="Q21" t="str">
        <f t="shared" si="2"/>
        <v>60-80%</v>
      </c>
      <c r="R21" t="str">
        <f>IF(B21="","Missing","OK")</f>
        <v>OK</v>
      </c>
      <c r="S21" t="str">
        <f>IF(E21="","Missing","OK")</f>
        <v>OK</v>
      </c>
      <c r="T21" t="str">
        <f t="shared" si="3"/>
        <v>OK</v>
      </c>
      <c r="U21">
        <f>COUNTIF($A:$A,A21)</f>
        <v>1</v>
      </c>
      <c r="V21" t="str">
        <f t="shared" si="4"/>
        <v>OK</v>
      </c>
      <c r="W21" t="str">
        <f>IF(I21&gt;B21,"ERROR","OK")</f>
        <v>OK</v>
      </c>
      <c r="X21">
        <f>(B21-I21)/B21</f>
        <v>0.77367974362342584</v>
      </c>
      <c r="Y21" s="2">
        <f t="shared" si="5"/>
        <v>1.1102230246251565E-15</v>
      </c>
      <c r="Z21" s="2" t="str">
        <f t="shared" si="6"/>
        <v>OK</v>
      </c>
      <c r="AA21" t="str">
        <f t="shared" si="7"/>
        <v>Unique</v>
      </c>
      <c r="AD21" t="s">
        <v>9</v>
      </c>
      <c r="AE21">
        <f>PERCENTILE($J:$J,0.01)</f>
        <v>0.30169518023320041</v>
      </c>
      <c r="AF21">
        <f>PERCENTILE($J:$J,0.99)</f>
        <v>0.96828711622345953</v>
      </c>
    </row>
    <row r="22" spans="1:33" x14ac:dyDescent="0.3">
      <c r="A22">
        <v>21</v>
      </c>
      <c r="B22">
        <v>1287081.86917507</v>
      </c>
      <c r="C22">
        <v>0.30194424166238498</v>
      </c>
      <c r="D22">
        <v>9.9721227101548501E-2</v>
      </c>
      <c r="E22">
        <v>0.14763989354597901</v>
      </c>
      <c r="F22">
        <v>1</v>
      </c>
      <c r="G22" t="s">
        <v>10</v>
      </c>
      <c r="H22">
        <v>0</v>
      </c>
      <c r="I22">
        <v>190024.630149968</v>
      </c>
      <c r="J22">
        <v>0.85236010645402005</v>
      </c>
      <c r="K22" t="str">
        <f t="shared" si="0"/>
        <v>OK</v>
      </c>
      <c r="L22" t="str">
        <f t="shared" si="1"/>
        <v>OK</v>
      </c>
      <c r="M22" t="str">
        <f>IF(OR(B22&lt;$AE$20,B22&gt;$AF$20),"Outlier","OK")</f>
        <v>OK</v>
      </c>
      <c r="N22" t="str">
        <f>IF(OR(J22&lt;$AE$21,J22&gt;$AF$21),"Outlier","OK")</f>
        <v>OK</v>
      </c>
      <c r="O22" t="str">
        <f>IF(OR(C22&lt;0,C22&gt;1),"Outlier","OK")</f>
        <v>OK</v>
      </c>
      <c r="P22" t="str">
        <f>IF(OR(D22&lt;0,D22&gt;1),"Outlier","OK")</f>
        <v>OK</v>
      </c>
      <c r="Q22" t="str">
        <f t="shared" si="2"/>
        <v>80-100%</v>
      </c>
      <c r="R22" t="str">
        <f>IF(B22="","Missing","OK")</f>
        <v>OK</v>
      </c>
      <c r="S22" t="str">
        <f>IF(E22="","Missing","OK")</f>
        <v>OK</v>
      </c>
      <c r="T22" t="str">
        <f t="shared" si="3"/>
        <v>OK</v>
      </c>
      <c r="U22">
        <f>COUNTIF($A:$A,A22)</f>
        <v>1</v>
      </c>
      <c r="V22" t="str">
        <f t="shared" si="4"/>
        <v>OK</v>
      </c>
      <c r="W22" t="str">
        <f>IF(I22&gt;B22,"ERROR","OK")</f>
        <v>OK</v>
      </c>
      <c r="X22">
        <f>(B22-I22)/B22</f>
        <v>0.85236010645402027</v>
      </c>
      <c r="Y22" s="2">
        <f t="shared" si="5"/>
        <v>2.2204460492503131E-16</v>
      </c>
      <c r="Z22" s="2" t="str">
        <f t="shared" si="6"/>
        <v>OK</v>
      </c>
      <c r="AA22" t="str">
        <f t="shared" si="7"/>
        <v>Unique</v>
      </c>
    </row>
    <row r="23" spans="1:33" x14ac:dyDescent="0.3">
      <c r="A23">
        <v>22</v>
      </c>
      <c r="B23">
        <v>1706391.9984516799</v>
      </c>
      <c r="C23">
        <v>0.71573659450254201</v>
      </c>
      <c r="D23">
        <v>6.6882233159783394E-2</v>
      </c>
      <c r="E23">
        <v>0.48083220078424899</v>
      </c>
      <c r="F23">
        <v>1</v>
      </c>
      <c r="G23" t="s">
        <v>12</v>
      </c>
      <c r="H23">
        <v>0</v>
      </c>
      <c r="I23">
        <v>820488.220016159</v>
      </c>
      <c r="J23">
        <v>0.51916779921574996</v>
      </c>
      <c r="K23" t="str">
        <f t="shared" si="0"/>
        <v>OK</v>
      </c>
      <c r="L23" t="str">
        <f t="shared" si="1"/>
        <v>OK</v>
      </c>
      <c r="M23" t="str">
        <f>IF(OR(B23&lt;$AE$20,B23&gt;$AF$20),"Outlier","OK")</f>
        <v>OK</v>
      </c>
      <c r="N23" t="str">
        <f>IF(OR(J23&lt;$AE$21,J23&gt;$AF$21),"Outlier","OK")</f>
        <v>OK</v>
      </c>
      <c r="O23" t="str">
        <f>IF(OR(C23&lt;0,C23&gt;1),"Outlier","OK")</f>
        <v>OK</v>
      </c>
      <c r="P23" t="str">
        <f>IF(OR(D23&lt;0,D23&gt;1),"Outlier","OK")</f>
        <v>OK</v>
      </c>
      <c r="Q23" t="str">
        <f t="shared" si="2"/>
        <v>40-60%</v>
      </c>
      <c r="R23" t="str">
        <f>IF(B23="","Missing","OK")</f>
        <v>OK</v>
      </c>
      <c r="S23" t="str">
        <f>IF(E23="","Missing","OK")</f>
        <v>OK</v>
      </c>
      <c r="T23" t="str">
        <f t="shared" si="3"/>
        <v>OK</v>
      </c>
      <c r="U23">
        <f>COUNTIF($A:$A,A23)</f>
        <v>1</v>
      </c>
      <c r="V23" t="str">
        <f t="shared" si="4"/>
        <v>OK</v>
      </c>
      <c r="W23" t="str">
        <f>IF(I23&gt;B23,"ERROR","OK")</f>
        <v>OK</v>
      </c>
      <c r="X23">
        <f>(B23-I23)/B23</f>
        <v>0.51916779921574807</v>
      </c>
      <c r="Y23" s="2">
        <f t="shared" si="5"/>
        <v>1.8873791418627661E-15</v>
      </c>
      <c r="Z23" s="2" t="str">
        <f t="shared" si="6"/>
        <v>OK</v>
      </c>
      <c r="AA23" t="str">
        <f t="shared" si="7"/>
        <v>Unique</v>
      </c>
      <c r="AD23" t="s">
        <v>26</v>
      </c>
      <c r="AE23">
        <f>COUNTIF(J:J,0)</f>
        <v>0</v>
      </c>
    </row>
    <row r="24" spans="1:33" x14ac:dyDescent="0.3">
      <c r="A24">
        <v>23</v>
      </c>
      <c r="B24">
        <v>1462687.8834782301</v>
      </c>
      <c r="C24">
        <v>0.61742760746046499</v>
      </c>
      <c r="D24">
        <v>1.49661229033609E-2</v>
      </c>
      <c r="E24">
        <v>0.52490985280952995</v>
      </c>
      <c r="F24">
        <v>1</v>
      </c>
      <c r="G24" t="s">
        <v>11</v>
      </c>
      <c r="H24">
        <v>1</v>
      </c>
      <c r="I24">
        <v>767779.28162284498</v>
      </c>
      <c r="J24">
        <v>0.47509014719046899</v>
      </c>
      <c r="K24" t="str">
        <f t="shared" si="0"/>
        <v>OK</v>
      </c>
      <c r="L24" t="str">
        <f t="shared" si="1"/>
        <v>OK</v>
      </c>
      <c r="M24" t="str">
        <f>IF(OR(B24&lt;$AE$20,B24&gt;$AF$20),"Outlier","OK")</f>
        <v>OK</v>
      </c>
      <c r="N24" t="str">
        <f>IF(OR(J24&lt;$AE$21,J24&gt;$AF$21),"Outlier","OK")</f>
        <v>OK</v>
      </c>
      <c r="O24" t="str">
        <f>IF(OR(C24&lt;0,C24&gt;1),"Outlier","OK")</f>
        <v>OK</v>
      </c>
      <c r="P24" t="str">
        <f>IF(OR(D24&lt;0,D24&gt;1),"Outlier","OK")</f>
        <v>OK</v>
      </c>
      <c r="Q24" t="str">
        <f t="shared" si="2"/>
        <v>40-60%</v>
      </c>
      <c r="R24" t="str">
        <f>IF(B24="","Missing","OK")</f>
        <v>OK</v>
      </c>
      <c r="S24" t="str">
        <f>IF(E24="","Missing","OK")</f>
        <v>OK</v>
      </c>
      <c r="T24" t="str">
        <f t="shared" si="3"/>
        <v>OK</v>
      </c>
      <c r="U24">
        <f>COUNTIF($A:$A,A24)</f>
        <v>1</v>
      </c>
      <c r="V24" t="str">
        <f t="shared" si="4"/>
        <v>OK</v>
      </c>
      <c r="W24" t="str">
        <f>IF(I24&gt;B24,"ERROR","OK")</f>
        <v>OK</v>
      </c>
      <c r="X24">
        <f>(B24-I24)/B24</f>
        <v>0.4750901471904671</v>
      </c>
      <c r="Y24" s="2">
        <f t="shared" si="5"/>
        <v>1.8873791418627661E-15</v>
      </c>
      <c r="Z24" s="2" t="str">
        <f t="shared" si="6"/>
        <v>OK</v>
      </c>
      <c r="AA24" t="str">
        <f t="shared" si="7"/>
        <v>Unique</v>
      </c>
      <c r="AD24" t="s">
        <v>27</v>
      </c>
      <c r="AE24">
        <f>COUNTIF(J:J,1)</f>
        <v>0</v>
      </c>
    </row>
    <row r="25" spans="1:33" ht="15" thickBot="1" x14ac:dyDescent="0.35">
      <c r="A25">
        <v>24</v>
      </c>
      <c r="B25">
        <v>1241495.84582128</v>
      </c>
      <c r="C25">
        <v>0.703651981195347</v>
      </c>
      <c r="D25">
        <v>0.12788792777629501</v>
      </c>
      <c r="E25">
        <v>0.12892324845047801</v>
      </c>
      <c r="F25">
        <v>1</v>
      </c>
      <c r="G25" t="s">
        <v>13</v>
      </c>
      <c r="H25">
        <v>0</v>
      </c>
      <c r="I25">
        <v>160057.677381054</v>
      </c>
      <c r="J25">
        <v>0.87107675154952102</v>
      </c>
      <c r="K25" t="str">
        <f t="shared" si="0"/>
        <v>OK</v>
      </c>
      <c r="L25" t="str">
        <f t="shared" si="1"/>
        <v>OK</v>
      </c>
      <c r="M25" t="str">
        <f>IF(OR(B25&lt;$AE$20,B25&gt;$AF$20),"Outlier","OK")</f>
        <v>OK</v>
      </c>
      <c r="N25" t="str">
        <f>IF(OR(J25&lt;$AE$21,J25&gt;$AF$21),"Outlier","OK")</f>
        <v>OK</v>
      </c>
      <c r="O25" t="str">
        <f>IF(OR(C25&lt;0,C25&gt;1),"Outlier","OK")</f>
        <v>OK</v>
      </c>
      <c r="P25" t="str">
        <f>IF(OR(D25&lt;0,D25&gt;1),"Outlier","OK")</f>
        <v>OK</v>
      </c>
      <c r="Q25" t="str">
        <f t="shared" si="2"/>
        <v>80-100%</v>
      </c>
      <c r="R25" t="str">
        <f>IF(B25="","Missing","OK")</f>
        <v>OK</v>
      </c>
      <c r="S25" t="str">
        <f>IF(E25="","Missing","OK")</f>
        <v>OK</v>
      </c>
      <c r="T25" t="str">
        <f t="shared" si="3"/>
        <v>OK</v>
      </c>
      <c r="U25">
        <f>COUNTIF($A:$A,A25)</f>
        <v>1</v>
      </c>
      <c r="V25" t="str">
        <f t="shared" si="4"/>
        <v>OK</v>
      </c>
      <c r="W25" t="str">
        <f>IF(I25&gt;B25,"ERROR","OK")</f>
        <v>OK</v>
      </c>
      <c r="X25">
        <f>(B25-I25)/B25</f>
        <v>0.87107675154952136</v>
      </c>
      <c r="Y25" s="2">
        <f t="shared" si="5"/>
        <v>3.3306690738754696E-16</v>
      </c>
      <c r="Z25" s="2" t="str">
        <f t="shared" si="6"/>
        <v>OK</v>
      </c>
      <c r="AA25" t="str">
        <f t="shared" si="7"/>
        <v>Unique</v>
      </c>
    </row>
    <row r="26" spans="1:33" x14ac:dyDescent="0.3">
      <c r="A26">
        <v>25</v>
      </c>
      <c r="B26">
        <v>1458764.5960119299</v>
      </c>
      <c r="C26">
        <v>0.88591746879320599</v>
      </c>
      <c r="D26">
        <v>3.8439155809084101E-2</v>
      </c>
      <c r="E26">
        <v>1.3969134218567899E-2</v>
      </c>
      <c r="F26">
        <v>1</v>
      </c>
      <c r="G26" t="s">
        <v>10</v>
      </c>
      <c r="H26">
        <v>0</v>
      </c>
      <c r="I26">
        <v>20377.678434985701</v>
      </c>
      <c r="J26">
        <v>0.98603086578143195</v>
      </c>
      <c r="K26" t="str">
        <f t="shared" si="0"/>
        <v>OK</v>
      </c>
      <c r="L26" t="str">
        <f t="shared" si="1"/>
        <v>OK</v>
      </c>
      <c r="M26" t="str">
        <f>IF(OR(B26&lt;$AE$20,B26&gt;$AF$20),"Outlier","OK")</f>
        <v>OK</v>
      </c>
      <c r="N26" t="str">
        <f>IF(OR(J26&lt;$AE$21,J26&gt;$AF$21),"Outlier","OK")</f>
        <v>Outlier</v>
      </c>
      <c r="O26" t="str">
        <f>IF(OR(C26&lt;0,C26&gt;1),"Outlier","OK")</f>
        <v>OK</v>
      </c>
      <c r="P26" t="str">
        <f>IF(OR(D26&lt;0,D26&gt;1),"Outlier","OK")</f>
        <v>OK</v>
      </c>
      <c r="Q26" t="str">
        <f t="shared" si="2"/>
        <v>80-100%</v>
      </c>
      <c r="R26" t="str">
        <f>IF(B26="","Missing","OK")</f>
        <v>OK</v>
      </c>
      <c r="S26" t="str">
        <f>IF(E26="","Missing","OK")</f>
        <v>OK</v>
      </c>
      <c r="T26" t="str">
        <f t="shared" si="3"/>
        <v>OK</v>
      </c>
      <c r="U26">
        <f>COUNTIF($A:$A,A26)</f>
        <v>1</v>
      </c>
      <c r="V26" t="str">
        <f t="shared" si="4"/>
        <v>OK</v>
      </c>
      <c r="W26" t="str">
        <f>IF(I26&gt;B26,"ERROR","OK")</f>
        <v>OK</v>
      </c>
      <c r="X26">
        <f>(B26-I26)/B26</f>
        <v>0.98603086578143206</v>
      </c>
      <c r="Y26" s="2">
        <f t="shared" si="5"/>
        <v>1.1102230246251565E-16</v>
      </c>
      <c r="Z26" s="2" t="str">
        <f t="shared" si="6"/>
        <v>OK</v>
      </c>
      <c r="AA26" t="str">
        <f t="shared" si="7"/>
        <v>Unique</v>
      </c>
      <c r="AD26" s="7"/>
      <c r="AE26" s="7" t="s">
        <v>33</v>
      </c>
      <c r="AF26" s="7" t="s">
        <v>34</v>
      </c>
      <c r="AG26" s="7" t="s">
        <v>35</v>
      </c>
    </row>
    <row r="27" spans="1:33" x14ac:dyDescent="0.3">
      <c r="A27">
        <v>26</v>
      </c>
      <c r="B27">
        <v>679769.88201369694</v>
      </c>
      <c r="C27">
        <v>0.82515644453202797</v>
      </c>
      <c r="D27">
        <v>0.171263158863137</v>
      </c>
      <c r="E27">
        <v>0.17402184107164001</v>
      </c>
      <c r="F27">
        <v>1</v>
      </c>
      <c r="G27" t="s">
        <v>12</v>
      </c>
      <c r="H27">
        <v>0</v>
      </c>
      <c r="I27">
        <v>118294.806373075</v>
      </c>
      <c r="J27">
        <v>0.82597815892835902</v>
      </c>
      <c r="K27" t="str">
        <f t="shared" si="0"/>
        <v>OK</v>
      </c>
      <c r="L27" t="str">
        <f t="shared" si="1"/>
        <v>OK</v>
      </c>
      <c r="M27" t="str">
        <f>IF(OR(B27&lt;$AE$20,B27&gt;$AF$20),"Outlier","OK")</f>
        <v>OK</v>
      </c>
      <c r="N27" t="str">
        <f>IF(OR(J27&lt;$AE$21,J27&gt;$AF$21),"Outlier","OK")</f>
        <v>OK</v>
      </c>
      <c r="O27" t="str">
        <f>IF(OR(C27&lt;0,C27&gt;1),"Outlier","OK")</f>
        <v>OK</v>
      </c>
      <c r="P27" t="str">
        <f>IF(OR(D27&lt;0,D27&gt;1),"Outlier","OK")</f>
        <v>OK</v>
      </c>
      <c r="Q27" t="str">
        <f t="shared" si="2"/>
        <v>80-100%</v>
      </c>
      <c r="R27" t="str">
        <f>IF(B27="","Missing","OK")</f>
        <v>OK</v>
      </c>
      <c r="S27" t="str">
        <f>IF(E27="","Missing","OK")</f>
        <v>OK</v>
      </c>
      <c r="T27" t="str">
        <f t="shared" si="3"/>
        <v>OK</v>
      </c>
      <c r="U27">
        <f>COUNTIF($A:$A,A27)</f>
        <v>1</v>
      </c>
      <c r="V27" t="str">
        <f t="shared" si="4"/>
        <v>OK</v>
      </c>
      <c r="W27" t="str">
        <f>IF(I27&gt;B27,"ERROR","OK")</f>
        <v>OK</v>
      </c>
      <c r="X27">
        <f>(B27-I27)/B27</f>
        <v>0.82597815892836002</v>
      </c>
      <c r="Y27" s="2">
        <f t="shared" si="5"/>
        <v>9.9920072216264089E-16</v>
      </c>
      <c r="Z27" s="2" t="str">
        <f t="shared" si="6"/>
        <v>OK</v>
      </c>
      <c r="AA27" t="str">
        <f t="shared" si="7"/>
        <v>Unique</v>
      </c>
      <c r="AD27" s="5" t="s">
        <v>33</v>
      </c>
      <c r="AE27" s="5">
        <v>1</v>
      </c>
      <c r="AF27" s="5"/>
      <c r="AG27" s="5"/>
    </row>
    <row r="28" spans="1:33" x14ac:dyDescent="0.3">
      <c r="A28">
        <v>27</v>
      </c>
      <c r="B28">
        <v>755487.87846351205</v>
      </c>
      <c r="C28">
        <v>0.50737373395916396</v>
      </c>
      <c r="D28">
        <v>0.18419895678836401</v>
      </c>
      <c r="E28">
        <v>0.36644435247114099</v>
      </c>
      <c r="F28">
        <v>1</v>
      </c>
      <c r="G28" t="s">
        <v>10</v>
      </c>
      <c r="H28">
        <v>0</v>
      </c>
      <c r="I28">
        <v>276844.266423358</v>
      </c>
      <c r="J28">
        <v>0.63355564752885796</v>
      </c>
      <c r="K28" t="str">
        <f t="shared" si="0"/>
        <v>OK</v>
      </c>
      <c r="L28" t="str">
        <f t="shared" si="1"/>
        <v>OK</v>
      </c>
      <c r="M28" t="str">
        <f>IF(OR(B28&lt;$AE$20,B28&gt;$AF$20),"Outlier","OK")</f>
        <v>OK</v>
      </c>
      <c r="N28" t="str">
        <f>IF(OR(J28&lt;$AE$21,J28&gt;$AF$21),"Outlier","OK")</f>
        <v>OK</v>
      </c>
      <c r="O28" t="str">
        <f>IF(OR(C28&lt;0,C28&gt;1),"Outlier","OK")</f>
        <v>OK</v>
      </c>
      <c r="P28" t="str">
        <f>IF(OR(D28&lt;0,D28&gt;1),"Outlier","OK")</f>
        <v>OK</v>
      </c>
      <c r="Q28" t="str">
        <f t="shared" si="2"/>
        <v>60-80%</v>
      </c>
      <c r="R28" t="str">
        <f>IF(B28="","Missing","OK")</f>
        <v>OK</v>
      </c>
      <c r="S28" t="str">
        <f>IF(E28="","Missing","OK")</f>
        <v>OK</v>
      </c>
      <c r="T28" t="str">
        <f t="shared" si="3"/>
        <v>OK</v>
      </c>
      <c r="U28">
        <f>COUNTIF($A:$A,A28)</f>
        <v>1</v>
      </c>
      <c r="V28" t="str">
        <f t="shared" si="4"/>
        <v>OK</v>
      </c>
      <c r="W28" t="str">
        <f>IF(I28&gt;B28,"ERROR","OK")</f>
        <v>OK</v>
      </c>
      <c r="X28">
        <f>(B28-I28)/B28</f>
        <v>0.63355564752885862</v>
      </c>
      <c r="Y28" s="2">
        <f t="shared" si="5"/>
        <v>6.6613381477509392E-16</v>
      </c>
      <c r="Z28" s="2" t="str">
        <f t="shared" si="6"/>
        <v>OK</v>
      </c>
      <c r="AA28" t="str">
        <f t="shared" si="7"/>
        <v>Unique</v>
      </c>
      <c r="AD28" s="5" t="s">
        <v>34</v>
      </c>
      <c r="AE28" s="5">
        <v>3.4964726143050504E-2</v>
      </c>
      <c r="AF28" s="5">
        <v>1</v>
      </c>
      <c r="AG28" s="5"/>
    </row>
    <row r="29" spans="1:33" ht="15" thickBot="1" x14ac:dyDescent="0.35">
      <c r="A29">
        <v>28</v>
      </c>
      <c r="B29">
        <v>495113.30021396303</v>
      </c>
      <c r="C29">
        <v>0.83418439149524404</v>
      </c>
      <c r="D29">
        <v>-0.189146679163958</v>
      </c>
      <c r="E29">
        <v>0.37836626442780003</v>
      </c>
      <c r="F29">
        <v>1</v>
      </c>
      <c r="G29" t="s">
        <v>13</v>
      </c>
      <c r="H29">
        <v>0</v>
      </c>
      <c r="I29">
        <v>187334.169870477</v>
      </c>
      <c r="J29">
        <v>0.62163373557219903</v>
      </c>
      <c r="K29" t="str">
        <f t="shared" si="0"/>
        <v>OK</v>
      </c>
      <c r="L29" t="str">
        <f t="shared" si="1"/>
        <v>OK</v>
      </c>
      <c r="M29" t="str">
        <f>IF(OR(B29&lt;$AE$20,B29&gt;$AF$20),"Outlier","OK")</f>
        <v>OK</v>
      </c>
      <c r="N29" t="str">
        <f>IF(OR(J29&lt;$AE$21,J29&gt;$AF$21),"Outlier","OK")</f>
        <v>OK</v>
      </c>
      <c r="O29" t="str">
        <f>IF(OR(C29&lt;0,C29&gt;1),"Outlier","OK")</f>
        <v>OK</v>
      </c>
      <c r="P29" t="str">
        <f>IF(OR(D29&lt;0,D29&gt;1),"Outlier","OK")</f>
        <v>Outlier</v>
      </c>
      <c r="Q29" t="str">
        <f t="shared" si="2"/>
        <v>60-80%</v>
      </c>
      <c r="R29" t="str">
        <f>IF(B29="","Missing","OK")</f>
        <v>OK</v>
      </c>
      <c r="S29" t="str">
        <f>IF(E29="","Missing","OK")</f>
        <v>OK</v>
      </c>
      <c r="T29" t="str">
        <f t="shared" si="3"/>
        <v>OK</v>
      </c>
      <c r="U29">
        <f>COUNTIF($A:$A,A29)</f>
        <v>1</v>
      </c>
      <c r="V29" t="str">
        <f t="shared" si="4"/>
        <v>OK</v>
      </c>
      <c r="W29" t="str">
        <f>IF(I29&gt;B29,"ERROR","OK")</f>
        <v>OK</v>
      </c>
      <c r="X29">
        <f>(B29-I29)/B29</f>
        <v>0.62163373557220014</v>
      </c>
      <c r="Y29" s="2">
        <f t="shared" si="5"/>
        <v>1.1102230246251565E-15</v>
      </c>
      <c r="Z29" s="2" t="str">
        <f t="shared" si="6"/>
        <v>OK</v>
      </c>
      <c r="AA29" t="str">
        <f t="shared" si="7"/>
        <v>Unique</v>
      </c>
      <c r="AD29" s="6" t="s">
        <v>35</v>
      </c>
      <c r="AE29" s="6">
        <v>4.8298016580683993E-2</v>
      </c>
      <c r="AF29" s="6">
        <v>9.6435985190063828E-3</v>
      </c>
      <c r="AG29" s="6">
        <v>1</v>
      </c>
    </row>
    <row r="30" spans="1:33" x14ac:dyDescent="0.3">
      <c r="A30">
        <v>29</v>
      </c>
      <c r="B30">
        <v>622742.39045821701</v>
      </c>
      <c r="C30">
        <v>0.42631995106572801</v>
      </c>
      <c r="D30">
        <v>8.7015798206230899E-2</v>
      </c>
      <c r="E30">
        <v>4.7913512067757701E-2</v>
      </c>
      <c r="F30">
        <v>1</v>
      </c>
      <c r="G30" t="s">
        <v>11</v>
      </c>
      <c r="H30">
        <v>0</v>
      </c>
      <c r="I30">
        <v>29837.775040323999</v>
      </c>
      <c r="J30">
        <v>0.95208648793224204</v>
      </c>
      <c r="K30" t="str">
        <f t="shared" si="0"/>
        <v>OK</v>
      </c>
      <c r="L30" t="str">
        <f t="shared" si="1"/>
        <v>OK</v>
      </c>
      <c r="M30" t="str">
        <f>IF(OR(B30&lt;$AE$20,B30&gt;$AF$20),"Outlier","OK")</f>
        <v>OK</v>
      </c>
      <c r="N30" t="str">
        <f>IF(OR(J30&lt;$AE$21,J30&gt;$AF$21),"Outlier","OK")</f>
        <v>OK</v>
      </c>
      <c r="O30" t="str">
        <f>IF(OR(C30&lt;0,C30&gt;1),"Outlier","OK")</f>
        <v>OK</v>
      </c>
      <c r="P30" t="str">
        <f>IF(OR(D30&lt;0,D30&gt;1),"Outlier","OK")</f>
        <v>OK</v>
      </c>
      <c r="Q30" t="str">
        <f t="shared" si="2"/>
        <v>80-100%</v>
      </c>
      <c r="R30" t="str">
        <f>IF(B30="","Missing","OK")</f>
        <v>OK</v>
      </c>
      <c r="S30" t="str">
        <f>IF(E30="","Missing","OK")</f>
        <v>OK</v>
      </c>
      <c r="T30" t="str">
        <f t="shared" si="3"/>
        <v>OK</v>
      </c>
      <c r="U30">
        <f>COUNTIF($A:$A,A30)</f>
        <v>1</v>
      </c>
      <c r="V30" t="str">
        <f t="shared" si="4"/>
        <v>OK</v>
      </c>
      <c r="W30" t="str">
        <f>IF(I30&gt;B30,"ERROR","OK")</f>
        <v>OK</v>
      </c>
      <c r="X30">
        <f>(B30-I30)/B30</f>
        <v>0.95208648793224249</v>
      </c>
      <c r="Y30" s="2">
        <f t="shared" si="5"/>
        <v>4.4408920985006262E-16</v>
      </c>
      <c r="Z30" s="2" t="str">
        <f t="shared" si="6"/>
        <v>OK</v>
      </c>
      <c r="AA30" t="str">
        <f t="shared" si="7"/>
        <v>Unique</v>
      </c>
    </row>
    <row r="31" spans="1:33" x14ac:dyDescent="0.3">
      <c r="A31">
        <v>30</v>
      </c>
      <c r="B31">
        <v>1280403.4415162499</v>
      </c>
      <c r="C31">
        <v>0.80891450483501803</v>
      </c>
      <c r="D31">
        <v>5.6137175246818799E-2</v>
      </c>
      <c r="E31">
        <v>0.22406475730855799</v>
      </c>
      <c r="F31">
        <v>1</v>
      </c>
      <c r="G31" t="s">
        <v>13</v>
      </c>
      <c r="H31">
        <v>0</v>
      </c>
      <c r="I31">
        <v>286893.28638038202</v>
      </c>
      <c r="J31">
        <v>0.77593524269144099</v>
      </c>
      <c r="K31" t="str">
        <f t="shared" si="0"/>
        <v>OK</v>
      </c>
      <c r="L31" t="str">
        <f t="shared" si="1"/>
        <v>OK</v>
      </c>
      <c r="M31" t="str">
        <f>IF(OR(B31&lt;$AE$20,B31&gt;$AF$20),"Outlier","OK")</f>
        <v>OK</v>
      </c>
      <c r="N31" t="str">
        <f>IF(OR(J31&lt;$AE$21,J31&gt;$AF$21),"Outlier","OK")</f>
        <v>OK</v>
      </c>
      <c r="O31" t="str">
        <f>IF(OR(C31&lt;0,C31&gt;1),"Outlier","OK")</f>
        <v>OK</v>
      </c>
      <c r="P31" t="str">
        <f>IF(OR(D31&lt;0,D31&gt;1),"Outlier","OK")</f>
        <v>OK</v>
      </c>
      <c r="Q31" t="str">
        <f t="shared" si="2"/>
        <v>60-80%</v>
      </c>
      <c r="R31" t="str">
        <f>IF(B31="","Missing","OK")</f>
        <v>OK</v>
      </c>
      <c r="S31" t="str">
        <f>IF(E31="","Missing","OK")</f>
        <v>OK</v>
      </c>
      <c r="T31" t="str">
        <f t="shared" si="3"/>
        <v>OK</v>
      </c>
      <c r="U31">
        <f>COUNTIF($A:$A,A31)</f>
        <v>1</v>
      </c>
      <c r="V31" t="str">
        <f t="shared" si="4"/>
        <v>OK</v>
      </c>
      <c r="W31" t="str">
        <f>IF(I31&gt;B31,"ERROR","OK")</f>
        <v>OK</v>
      </c>
      <c r="X31">
        <f>(B31-I31)/B31</f>
        <v>0.77593524269144121</v>
      </c>
      <c r="Y31" s="2">
        <f t="shared" si="5"/>
        <v>2.2204460492503131E-16</v>
      </c>
      <c r="Z31" s="2" t="str">
        <f t="shared" si="6"/>
        <v>OK</v>
      </c>
      <c r="AA31" t="str">
        <f t="shared" si="7"/>
        <v>Unique</v>
      </c>
      <c r="AD31" s="8" t="s">
        <v>50</v>
      </c>
      <c r="AE31" s="8" t="s">
        <v>51</v>
      </c>
      <c r="AF31" s="8" t="s">
        <v>37</v>
      </c>
    </row>
    <row r="32" spans="1:33" x14ac:dyDescent="0.3">
      <c r="A32">
        <v>31</v>
      </c>
      <c r="B32">
        <v>229604.63289289601</v>
      </c>
      <c r="C32">
        <v>0.64966023630277203</v>
      </c>
      <c r="D32">
        <v>-1.49684627546578E-3</v>
      </c>
      <c r="E32">
        <v>0.50856951989194699</v>
      </c>
      <c r="F32">
        <v>1</v>
      </c>
      <c r="G32" t="s">
        <v>10</v>
      </c>
      <c r="H32">
        <v>1</v>
      </c>
      <c r="I32">
        <v>116769.917915307</v>
      </c>
      <c r="J32">
        <v>0.49143048010805301</v>
      </c>
      <c r="K32" t="str">
        <f t="shared" si="0"/>
        <v>OK</v>
      </c>
      <c r="L32" t="str">
        <f t="shared" si="1"/>
        <v>OK</v>
      </c>
      <c r="M32" t="str">
        <f>IF(OR(B32&lt;$AE$20,B32&gt;$AF$20),"Outlier","OK")</f>
        <v>OK</v>
      </c>
      <c r="N32" t="str">
        <f>IF(OR(J32&lt;$AE$21,J32&gt;$AF$21),"Outlier","OK")</f>
        <v>OK</v>
      </c>
      <c r="O32" t="str">
        <f>IF(OR(C32&lt;0,C32&gt;1),"Outlier","OK")</f>
        <v>OK</v>
      </c>
      <c r="P32" t="str">
        <f>IF(OR(D32&lt;0,D32&gt;1),"Outlier","OK")</f>
        <v>Outlier</v>
      </c>
      <c r="Q32" t="str">
        <f t="shared" si="2"/>
        <v>40-60%</v>
      </c>
      <c r="R32" t="str">
        <f>IF(B32="","Missing","OK")</f>
        <v>OK</v>
      </c>
      <c r="S32" t="str">
        <f>IF(E32="","Missing","OK")</f>
        <v>OK</v>
      </c>
      <c r="T32" t="str">
        <f t="shared" si="3"/>
        <v>OK</v>
      </c>
      <c r="U32">
        <f>COUNTIF($A:$A,A32)</f>
        <v>1</v>
      </c>
      <c r="V32" t="str">
        <f t="shared" si="4"/>
        <v>OK</v>
      </c>
      <c r="W32" t="str">
        <f>IF(I32&gt;B32,"ERROR","OK")</f>
        <v>OK</v>
      </c>
      <c r="X32">
        <f>(B32-I32)/B32</f>
        <v>0.4914304801080524</v>
      </c>
      <c r="Y32" s="2">
        <f t="shared" si="5"/>
        <v>6.106226635438361E-16</v>
      </c>
      <c r="Z32" s="2" t="str">
        <f t="shared" si="6"/>
        <v>OK</v>
      </c>
      <c r="AA32" t="str">
        <f t="shared" si="7"/>
        <v>Unique</v>
      </c>
      <c r="AD32" s="3" t="s">
        <v>52</v>
      </c>
      <c r="AE32" s="3">
        <f>AVERAGEIFS(J:J, F:F, 1)</f>
        <v>0.70999534286716337</v>
      </c>
      <c r="AF32" s="3">
        <f>COUNTIFS(F:F, 1)</f>
        <v>2000</v>
      </c>
    </row>
    <row r="33" spans="1:32" x14ac:dyDescent="0.3">
      <c r="A33">
        <v>32</v>
      </c>
      <c r="B33">
        <v>895717.28672507999</v>
      </c>
      <c r="C33">
        <v>0.68119826778150505</v>
      </c>
      <c r="D33">
        <v>1.3413173877432001E-2</v>
      </c>
      <c r="E33">
        <v>0.32256414939766098</v>
      </c>
      <c r="F33">
        <v>1</v>
      </c>
      <c r="G33" t="s">
        <v>13</v>
      </c>
      <c r="H33">
        <v>1</v>
      </c>
      <c r="I33">
        <v>288926.28469325602</v>
      </c>
      <c r="J33">
        <v>0.67743585060233802</v>
      </c>
      <c r="K33" t="str">
        <f t="shared" si="0"/>
        <v>OK</v>
      </c>
      <c r="L33" t="str">
        <f t="shared" si="1"/>
        <v>OK</v>
      </c>
      <c r="M33" t="str">
        <f>IF(OR(B33&lt;$AE$20,B33&gt;$AF$20),"Outlier","OK")</f>
        <v>OK</v>
      </c>
      <c r="N33" t="str">
        <f>IF(OR(J33&lt;$AE$21,J33&gt;$AF$21),"Outlier","OK")</f>
        <v>OK</v>
      </c>
      <c r="O33" t="str">
        <f>IF(OR(C33&lt;0,C33&gt;1),"Outlier","OK")</f>
        <v>OK</v>
      </c>
      <c r="P33" t="str">
        <f>IF(OR(D33&lt;0,D33&gt;1),"Outlier","OK")</f>
        <v>OK</v>
      </c>
      <c r="Q33" t="str">
        <f t="shared" si="2"/>
        <v>60-80%</v>
      </c>
      <c r="R33" t="str">
        <f>IF(B33="","Missing","OK")</f>
        <v>OK</v>
      </c>
      <c r="S33" t="str">
        <f>IF(E33="","Missing","OK")</f>
        <v>OK</v>
      </c>
      <c r="T33" t="str">
        <f t="shared" si="3"/>
        <v>OK</v>
      </c>
      <c r="U33">
        <f>COUNTIF($A:$A,A33)</f>
        <v>1</v>
      </c>
      <c r="V33" t="str">
        <f t="shared" si="4"/>
        <v>OK</v>
      </c>
      <c r="W33" t="str">
        <f>IF(I33&gt;B33,"ERROR","OK")</f>
        <v>OK</v>
      </c>
      <c r="X33">
        <f>(B33-I33)/B33</f>
        <v>0.67743585060233924</v>
      </c>
      <c r="Y33" s="2">
        <f t="shared" si="5"/>
        <v>1.2212453270876722E-15</v>
      </c>
      <c r="Z33" s="2" t="str">
        <f t="shared" si="6"/>
        <v>OK</v>
      </c>
      <c r="AA33" t="str">
        <f t="shared" si="7"/>
        <v>Unique</v>
      </c>
      <c r="AD33" s="3" t="s">
        <v>53</v>
      </c>
      <c r="AE33" s="3" t="e">
        <f>AVERAGEIFS(J:J, F:F, 0)</f>
        <v>#DIV/0!</v>
      </c>
      <c r="AF33" s="3">
        <f>COUNTIFS(F:F, 0)</f>
        <v>0</v>
      </c>
    </row>
    <row r="34" spans="1:32" x14ac:dyDescent="0.3">
      <c r="A34">
        <v>33</v>
      </c>
      <c r="B34">
        <v>890182.38849280495</v>
      </c>
      <c r="C34">
        <v>0.75904401608085403</v>
      </c>
      <c r="D34">
        <v>-5.9019511229896904E-3</v>
      </c>
      <c r="E34">
        <v>0.17087070436356</v>
      </c>
      <c r="F34">
        <v>1</v>
      </c>
      <c r="G34" t="s">
        <v>13</v>
      </c>
      <c r="H34">
        <v>0</v>
      </c>
      <c r="I34">
        <v>152106.091733801</v>
      </c>
      <c r="J34">
        <v>0.829129295636439</v>
      </c>
      <c r="K34" t="str">
        <f t="shared" si="0"/>
        <v>OK</v>
      </c>
      <c r="L34" t="str">
        <f t="shared" si="1"/>
        <v>OK</v>
      </c>
      <c r="M34" t="str">
        <f>IF(OR(B34&lt;$AE$20,B34&gt;$AF$20),"Outlier","OK")</f>
        <v>OK</v>
      </c>
      <c r="N34" t="str">
        <f>IF(OR(J34&lt;$AE$21,J34&gt;$AF$21),"Outlier","OK")</f>
        <v>OK</v>
      </c>
      <c r="O34" t="str">
        <f>IF(OR(C34&lt;0,C34&gt;1),"Outlier","OK")</f>
        <v>OK</v>
      </c>
      <c r="P34" t="str">
        <f>IF(OR(D34&lt;0,D34&gt;1),"Outlier","OK")</f>
        <v>Outlier</v>
      </c>
      <c r="Q34" t="str">
        <f t="shared" si="2"/>
        <v>80-100%</v>
      </c>
      <c r="R34" t="str">
        <f>IF(B34="","Missing","OK")</f>
        <v>OK</v>
      </c>
      <c r="S34" t="str">
        <f>IF(E34="","Missing","OK")</f>
        <v>OK</v>
      </c>
      <c r="T34" t="str">
        <f t="shared" si="3"/>
        <v>OK</v>
      </c>
      <c r="U34">
        <f>COUNTIF($A:$A,A34)</f>
        <v>1</v>
      </c>
      <c r="V34" t="str">
        <f t="shared" si="4"/>
        <v>OK</v>
      </c>
      <c r="W34" t="str">
        <f>IF(I34&gt;B34,"ERROR","OK")</f>
        <v>OK</v>
      </c>
      <c r="X34">
        <f>(B34-I34)/B34</f>
        <v>0.829129295636441</v>
      </c>
      <c r="Y34" s="2">
        <f t="shared" si="5"/>
        <v>1.9984014443252818E-15</v>
      </c>
      <c r="Z34" s="2" t="str">
        <f t="shared" si="6"/>
        <v>OK</v>
      </c>
      <c r="AA34" t="str">
        <f t="shared" si="7"/>
        <v>Unique</v>
      </c>
      <c r="AD34" s="3"/>
      <c r="AE34" s="3"/>
      <c r="AF34" s="3"/>
    </row>
    <row r="35" spans="1:32" x14ac:dyDescent="0.3">
      <c r="A35">
        <v>34</v>
      </c>
      <c r="B35">
        <v>1012685.94041809</v>
      </c>
      <c r="C35">
        <v>0.20594066861764301</v>
      </c>
      <c r="D35">
        <v>-0.16895271524872801</v>
      </c>
      <c r="E35">
        <v>0.149018113504923</v>
      </c>
      <c r="F35">
        <v>1</v>
      </c>
      <c r="G35" t="s">
        <v>13</v>
      </c>
      <c r="H35">
        <v>1</v>
      </c>
      <c r="I35">
        <v>150908.54841406399</v>
      </c>
      <c r="J35">
        <v>0.850981886495076</v>
      </c>
      <c r="K35" t="str">
        <f t="shared" si="0"/>
        <v>OK</v>
      </c>
      <c r="L35" t="str">
        <f t="shared" si="1"/>
        <v>OK</v>
      </c>
      <c r="M35" t="str">
        <f>IF(OR(B35&lt;$AE$20,B35&gt;$AF$20),"Outlier","OK")</f>
        <v>OK</v>
      </c>
      <c r="N35" t="str">
        <f>IF(OR(J35&lt;$AE$21,J35&gt;$AF$21),"Outlier","OK")</f>
        <v>OK</v>
      </c>
      <c r="O35" t="str">
        <f>IF(OR(C35&lt;0,C35&gt;1),"Outlier","OK")</f>
        <v>OK</v>
      </c>
      <c r="P35" t="str">
        <f>IF(OR(D35&lt;0,D35&gt;1),"Outlier","OK")</f>
        <v>Outlier</v>
      </c>
      <c r="Q35" t="str">
        <f t="shared" si="2"/>
        <v>80-100%</v>
      </c>
      <c r="R35" t="str">
        <f>IF(B35="","Missing","OK")</f>
        <v>OK</v>
      </c>
      <c r="S35" t="str">
        <f>IF(E35="","Missing","OK")</f>
        <v>OK</v>
      </c>
      <c r="T35" t="str">
        <f t="shared" si="3"/>
        <v>OK</v>
      </c>
      <c r="U35">
        <f>COUNTIF($A:$A,A35)</f>
        <v>1</v>
      </c>
      <c r="V35" t="str">
        <f t="shared" si="4"/>
        <v>OK</v>
      </c>
      <c r="W35" t="str">
        <f>IF(I35&gt;B35,"ERROR","OK")</f>
        <v>OK</v>
      </c>
      <c r="X35">
        <f>(B35-I35)/B35</f>
        <v>0.85098188649507567</v>
      </c>
      <c r="Y35" s="2">
        <f t="shared" si="5"/>
        <v>3.3306690738754696E-16</v>
      </c>
      <c r="Z35" s="2" t="str">
        <f t="shared" si="6"/>
        <v>OK</v>
      </c>
      <c r="AA35" t="str">
        <f t="shared" si="7"/>
        <v>Unique</v>
      </c>
      <c r="AD35" s="3"/>
      <c r="AE35" s="3"/>
      <c r="AF35" s="3"/>
    </row>
    <row r="36" spans="1:32" x14ac:dyDescent="0.3">
      <c r="A36">
        <v>35</v>
      </c>
      <c r="B36">
        <v>880369.06607686402</v>
      </c>
      <c r="C36">
        <v>0.83649652162136001</v>
      </c>
      <c r="D36">
        <v>7.0240670387400894E-2</v>
      </c>
      <c r="E36">
        <v>0.23401223170083599</v>
      </c>
      <c r="F36">
        <v>1</v>
      </c>
      <c r="G36" t="s">
        <v>13</v>
      </c>
      <c r="H36">
        <v>0</v>
      </c>
      <c r="I36">
        <v>206017.129873028</v>
      </c>
      <c r="J36">
        <v>0.76598776829916304</v>
      </c>
      <c r="K36" t="str">
        <f t="shared" si="0"/>
        <v>OK</v>
      </c>
      <c r="L36" t="str">
        <f t="shared" si="1"/>
        <v>OK</v>
      </c>
      <c r="M36" t="str">
        <f>IF(OR(B36&lt;$AE$20,B36&gt;$AF$20),"Outlier","OK")</f>
        <v>OK</v>
      </c>
      <c r="N36" t="str">
        <f>IF(OR(J36&lt;$AE$21,J36&gt;$AF$21),"Outlier","OK")</f>
        <v>OK</v>
      </c>
      <c r="O36" t="str">
        <f>IF(OR(C36&lt;0,C36&gt;1),"Outlier","OK")</f>
        <v>OK</v>
      </c>
      <c r="P36" t="str">
        <f>IF(OR(D36&lt;0,D36&gt;1),"Outlier","OK")</f>
        <v>OK</v>
      </c>
      <c r="Q36" t="str">
        <f t="shared" si="2"/>
        <v>60-80%</v>
      </c>
      <c r="R36" t="str">
        <f>IF(B36="","Missing","OK")</f>
        <v>OK</v>
      </c>
      <c r="S36" t="str">
        <f>IF(E36="","Missing","OK")</f>
        <v>OK</v>
      </c>
      <c r="T36" t="str">
        <f t="shared" si="3"/>
        <v>OK</v>
      </c>
      <c r="U36">
        <f>COUNTIF($A:$A,A36)</f>
        <v>1</v>
      </c>
      <c r="V36" t="str">
        <f t="shared" si="4"/>
        <v>OK</v>
      </c>
      <c r="W36" t="str">
        <f>IF(I36&gt;B36,"ERROR","OK")</f>
        <v>OK</v>
      </c>
      <c r="X36">
        <f>(B36-I36)/B36</f>
        <v>0.7659877682991636</v>
      </c>
      <c r="Y36" s="2">
        <f t="shared" si="5"/>
        <v>5.5511151231257827E-16</v>
      </c>
      <c r="Z36" s="2" t="str">
        <f t="shared" si="6"/>
        <v>OK</v>
      </c>
      <c r="AA36" t="str">
        <f t="shared" si="7"/>
        <v>Unique</v>
      </c>
    </row>
    <row r="37" spans="1:32" x14ac:dyDescent="0.3">
      <c r="A37">
        <v>36</v>
      </c>
      <c r="B37">
        <v>658909.38479630696</v>
      </c>
      <c r="C37">
        <v>0.27028903746564398</v>
      </c>
      <c r="D37">
        <v>0.15988110256236299</v>
      </c>
      <c r="E37">
        <v>0.26916555538390502</v>
      </c>
      <c r="F37">
        <v>1</v>
      </c>
      <c r="G37" t="s">
        <v>12</v>
      </c>
      <c r="H37">
        <v>0</v>
      </c>
      <c r="I37">
        <v>177355.71050636499</v>
      </c>
      <c r="J37">
        <v>0.73083444461609504</v>
      </c>
      <c r="K37" t="str">
        <f t="shared" si="0"/>
        <v>OK</v>
      </c>
      <c r="L37" t="str">
        <f t="shared" si="1"/>
        <v>OK</v>
      </c>
      <c r="M37" t="str">
        <f>IF(OR(B37&lt;$AE$20,B37&gt;$AF$20),"Outlier","OK")</f>
        <v>OK</v>
      </c>
      <c r="N37" t="str">
        <f>IF(OR(J37&lt;$AE$21,J37&gt;$AF$21),"Outlier","OK")</f>
        <v>OK</v>
      </c>
      <c r="O37" t="str">
        <f>IF(OR(C37&lt;0,C37&gt;1),"Outlier","OK")</f>
        <v>OK</v>
      </c>
      <c r="P37" t="str">
        <f>IF(OR(D37&lt;0,D37&gt;1),"Outlier","OK")</f>
        <v>OK</v>
      </c>
      <c r="Q37" t="str">
        <f t="shared" si="2"/>
        <v>60-80%</v>
      </c>
      <c r="R37" t="str">
        <f>IF(B37="","Missing","OK")</f>
        <v>OK</v>
      </c>
      <c r="S37" t="str">
        <f>IF(E37="","Missing","OK")</f>
        <v>OK</v>
      </c>
      <c r="T37" t="str">
        <f t="shared" si="3"/>
        <v>OK</v>
      </c>
      <c r="U37">
        <f>COUNTIF($A:$A,A37)</f>
        <v>1</v>
      </c>
      <c r="V37" t="str">
        <f t="shared" si="4"/>
        <v>OK</v>
      </c>
      <c r="W37" t="str">
        <f>IF(I37&gt;B37,"ERROR","OK")</f>
        <v>OK</v>
      </c>
      <c r="X37">
        <f>(B37-I37)/B37</f>
        <v>0.73083444461609526</v>
      </c>
      <c r="Y37" s="2">
        <f t="shared" si="5"/>
        <v>2.2204460492503131E-16</v>
      </c>
      <c r="Z37" s="2" t="str">
        <f t="shared" si="6"/>
        <v>OK</v>
      </c>
      <c r="AA37" t="str">
        <f t="shared" si="7"/>
        <v>Unique</v>
      </c>
    </row>
    <row r="38" spans="1:32" x14ac:dyDescent="0.3">
      <c r="A38">
        <v>37</v>
      </c>
      <c r="B38">
        <v>881385.04857747594</v>
      </c>
      <c r="C38">
        <v>0.28854335863383102</v>
      </c>
      <c r="D38">
        <v>-9.6477655166275503E-2</v>
      </c>
      <c r="E38">
        <v>0.25063876980157301</v>
      </c>
      <c r="F38">
        <v>1</v>
      </c>
      <c r="G38" t="s">
        <v>12</v>
      </c>
      <c r="H38">
        <v>1</v>
      </c>
      <c r="I38">
        <v>220909.26429695799</v>
      </c>
      <c r="J38">
        <v>0.74936123019842604</v>
      </c>
      <c r="K38" t="str">
        <f t="shared" si="0"/>
        <v>OK</v>
      </c>
      <c r="L38" t="str">
        <f t="shared" si="1"/>
        <v>OK</v>
      </c>
      <c r="M38" t="str">
        <f>IF(OR(B38&lt;$AE$20,B38&gt;$AF$20),"Outlier","OK")</f>
        <v>OK</v>
      </c>
      <c r="N38" t="str">
        <f>IF(OR(J38&lt;$AE$21,J38&gt;$AF$21),"Outlier","OK")</f>
        <v>OK</v>
      </c>
      <c r="O38" t="str">
        <f>IF(OR(C38&lt;0,C38&gt;1),"Outlier","OK")</f>
        <v>OK</v>
      </c>
      <c r="P38" t="str">
        <f>IF(OR(D38&lt;0,D38&gt;1),"Outlier","OK")</f>
        <v>Outlier</v>
      </c>
      <c r="Q38" t="str">
        <f t="shared" si="2"/>
        <v>60-80%</v>
      </c>
      <c r="R38" t="str">
        <f>IF(B38="","Missing","OK")</f>
        <v>OK</v>
      </c>
      <c r="S38" t="str">
        <f>IF(E38="","Missing","OK")</f>
        <v>OK</v>
      </c>
      <c r="T38" t="str">
        <f t="shared" si="3"/>
        <v>OK</v>
      </c>
      <c r="U38">
        <f>COUNTIF($A:$A,A38)</f>
        <v>1</v>
      </c>
      <c r="V38" t="str">
        <f t="shared" si="4"/>
        <v>OK</v>
      </c>
      <c r="W38" t="str">
        <f>IF(I38&gt;B38,"ERROR","OK")</f>
        <v>OK</v>
      </c>
      <c r="X38">
        <f>(B38-I38)/B38</f>
        <v>0.74936123019842726</v>
      </c>
      <c r="Y38" s="2">
        <f t="shared" si="5"/>
        <v>1.2212453270876722E-15</v>
      </c>
      <c r="Z38" s="2" t="str">
        <f t="shared" si="6"/>
        <v>OK</v>
      </c>
      <c r="AA38" t="str">
        <f t="shared" si="7"/>
        <v>Unique</v>
      </c>
    </row>
    <row r="39" spans="1:32" x14ac:dyDescent="0.3">
      <c r="A39">
        <v>38</v>
      </c>
      <c r="B39">
        <v>1792108.8680784099</v>
      </c>
      <c r="C39">
        <v>0.16702860831654001</v>
      </c>
      <c r="D39">
        <v>-8.9670626199581296E-3</v>
      </c>
      <c r="E39">
        <v>0.58801194204283302</v>
      </c>
      <c r="F39">
        <v>1</v>
      </c>
      <c r="G39" t="s">
        <v>10</v>
      </c>
      <c r="H39">
        <v>0</v>
      </c>
      <c r="I39">
        <v>1053781.4158709701</v>
      </c>
      <c r="J39">
        <v>0.41198805795716598</v>
      </c>
      <c r="K39" t="str">
        <f t="shared" si="0"/>
        <v>OK</v>
      </c>
      <c r="L39" t="str">
        <f t="shared" si="1"/>
        <v>OK</v>
      </c>
      <c r="M39" t="str">
        <f>IF(OR(B39&lt;$AE$20,B39&gt;$AF$20),"Outlier","OK")</f>
        <v>OK</v>
      </c>
      <c r="N39" t="str">
        <f>IF(OR(J39&lt;$AE$21,J39&gt;$AF$21),"Outlier","OK")</f>
        <v>OK</v>
      </c>
      <c r="O39" t="str">
        <f>IF(OR(C39&lt;0,C39&gt;1),"Outlier","OK")</f>
        <v>OK</v>
      </c>
      <c r="P39" t="str">
        <f>IF(OR(D39&lt;0,D39&gt;1),"Outlier","OK")</f>
        <v>Outlier</v>
      </c>
      <c r="Q39" t="str">
        <f t="shared" si="2"/>
        <v>40-60%</v>
      </c>
      <c r="R39" t="str">
        <f>IF(B39="","Missing","OK")</f>
        <v>OK</v>
      </c>
      <c r="S39" t="str">
        <f>IF(E39="","Missing","OK")</f>
        <v>OK</v>
      </c>
      <c r="T39" t="str">
        <f t="shared" si="3"/>
        <v>OK</v>
      </c>
      <c r="U39">
        <f>COUNTIF($A:$A,A39)</f>
        <v>1</v>
      </c>
      <c r="V39" t="str">
        <f t="shared" si="4"/>
        <v>OK</v>
      </c>
      <c r="W39" t="str">
        <f>IF(I39&gt;B39,"ERROR","OK")</f>
        <v>OK</v>
      </c>
      <c r="X39">
        <f>(B39-I39)/B39</f>
        <v>0.41198805795716642</v>
      </c>
      <c r="Y39" s="2">
        <f t="shared" si="5"/>
        <v>4.4408920985006262E-16</v>
      </c>
      <c r="Z39" s="2" t="str">
        <f t="shared" si="6"/>
        <v>OK</v>
      </c>
      <c r="AA39" t="str">
        <f t="shared" si="7"/>
        <v>Unique</v>
      </c>
    </row>
    <row r="40" spans="1:32" x14ac:dyDescent="0.3">
      <c r="A40">
        <v>39</v>
      </c>
      <c r="B40">
        <v>1891112.0354975599</v>
      </c>
      <c r="C40">
        <v>0.45228394654794801</v>
      </c>
      <c r="D40">
        <v>0.150918805302556</v>
      </c>
      <c r="E40">
        <v>0.44650333780509399</v>
      </c>
      <c r="F40">
        <v>1</v>
      </c>
      <c r="G40" t="s">
        <v>13</v>
      </c>
      <c r="H40">
        <v>0</v>
      </c>
      <c r="I40">
        <v>844387.836013049</v>
      </c>
      <c r="J40">
        <v>0.55349666219490501</v>
      </c>
      <c r="K40" t="str">
        <f t="shared" si="0"/>
        <v>OK</v>
      </c>
      <c r="L40" t="str">
        <f t="shared" si="1"/>
        <v>OK</v>
      </c>
      <c r="M40" t="str">
        <f>IF(OR(B40&lt;$AE$20,B40&gt;$AF$20),"Outlier","OK")</f>
        <v>OK</v>
      </c>
      <c r="N40" t="str">
        <f>IF(OR(J40&lt;$AE$21,J40&gt;$AF$21),"Outlier","OK")</f>
        <v>OK</v>
      </c>
      <c r="O40" t="str">
        <f>IF(OR(C40&lt;0,C40&gt;1),"Outlier","OK")</f>
        <v>OK</v>
      </c>
      <c r="P40" t="str">
        <f>IF(OR(D40&lt;0,D40&gt;1),"Outlier","OK")</f>
        <v>OK</v>
      </c>
      <c r="Q40" t="str">
        <f t="shared" si="2"/>
        <v>40-60%</v>
      </c>
      <c r="R40" t="str">
        <f>IF(B40="","Missing","OK")</f>
        <v>OK</v>
      </c>
      <c r="S40" t="str">
        <f>IF(E40="","Missing","OK")</f>
        <v>OK</v>
      </c>
      <c r="T40" t="str">
        <f t="shared" si="3"/>
        <v>OK</v>
      </c>
      <c r="U40">
        <f>COUNTIF($A:$A,A40)</f>
        <v>1</v>
      </c>
      <c r="V40" t="str">
        <f t="shared" si="4"/>
        <v>OK</v>
      </c>
      <c r="W40" t="str">
        <f>IF(I40&gt;B40,"ERROR","OK")</f>
        <v>OK</v>
      </c>
      <c r="X40">
        <f>(B40-I40)/B40</f>
        <v>0.55349666219490434</v>
      </c>
      <c r="Y40" s="2">
        <f t="shared" si="5"/>
        <v>6.6613381477509392E-16</v>
      </c>
      <c r="Z40" s="2" t="str">
        <f t="shared" si="6"/>
        <v>OK</v>
      </c>
      <c r="AA40" t="str">
        <f t="shared" si="7"/>
        <v>Unique</v>
      </c>
    </row>
    <row r="41" spans="1:32" x14ac:dyDescent="0.3">
      <c r="A41">
        <v>40</v>
      </c>
      <c r="B41">
        <v>1028581.51797445</v>
      </c>
      <c r="C41">
        <v>0.46207285831328798</v>
      </c>
      <c r="D41">
        <v>0.136697829340303</v>
      </c>
      <c r="E41">
        <v>0.39983016082416201</v>
      </c>
      <c r="F41">
        <v>1</v>
      </c>
      <c r="G41" t="s">
        <v>11</v>
      </c>
      <c r="H41">
        <v>0</v>
      </c>
      <c r="I41">
        <v>411257.91375248699</v>
      </c>
      <c r="J41">
        <v>0.60016983917583699</v>
      </c>
      <c r="K41" t="str">
        <f t="shared" si="0"/>
        <v>OK</v>
      </c>
      <c r="L41" t="str">
        <f t="shared" si="1"/>
        <v>OK</v>
      </c>
      <c r="M41" t="str">
        <f>IF(OR(B41&lt;$AE$20,B41&gt;$AF$20),"Outlier","OK")</f>
        <v>OK</v>
      </c>
      <c r="N41" t="str">
        <f>IF(OR(J41&lt;$AE$21,J41&gt;$AF$21),"Outlier","OK")</f>
        <v>OK</v>
      </c>
      <c r="O41" t="str">
        <f>IF(OR(C41&lt;0,C41&gt;1),"Outlier","OK")</f>
        <v>OK</v>
      </c>
      <c r="P41" t="str">
        <f>IF(OR(D41&lt;0,D41&gt;1),"Outlier","OK")</f>
        <v>OK</v>
      </c>
      <c r="Q41" t="str">
        <f t="shared" si="2"/>
        <v>60-80%</v>
      </c>
      <c r="R41" t="str">
        <f>IF(B41="","Missing","OK")</f>
        <v>OK</v>
      </c>
      <c r="S41" t="str">
        <f>IF(E41="","Missing","OK")</f>
        <v>OK</v>
      </c>
      <c r="T41" t="str">
        <f t="shared" si="3"/>
        <v>OK</v>
      </c>
      <c r="U41">
        <f>COUNTIF($A:$A,A41)</f>
        <v>1</v>
      </c>
      <c r="V41" t="str">
        <f t="shared" si="4"/>
        <v>OK</v>
      </c>
      <c r="W41" t="str">
        <f>IF(I41&gt;B41,"ERROR","OK")</f>
        <v>OK</v>
      </c>
      <c r="X41">
        <f>(B41-I41)/B41</f>
        <v>0.60016983917583611</v>
      </c>
      <c r="Y41" s="2">
        <f t="shared" si="5"/>
        <v>8.8817841970012523E-16</v>
      </c>
      <c r="Z41" s="2" t="str">
        <f t="shared" si="6"/>
        <v>OK</v>
      </c>
      <c r="AA41" t="str">
        <f t="shared" si="7"/>
        <v>Unique</v>
      </c>
    </row>
    <row r="42" spans="1:32" x14ac:dyDescent="0.3">
      <c r="A42">
        <v>41</v>
      </c>
      <c r="B42">
        <v>1266708.25599461</v>
      </c>
      <c r="C42">
        <v>0.62973177966148197</v>
      </c>
      <c r="D42">
        <v>-5.9170467247651104E-3</v>
      </c>
      <c r="E42">
        <v>0.22401448148400899</v>
      </c>
      <c r="F42">
        <v>1</v>
      </c>
      <c r="G42" t="s">
        <v>10</v>
      </c>
      <c r="H42">
        <v>1</v>
      </c>
      <c r="I42">
        <v>283760.99315814802</v>
      </c>
      <c r="J42">
        <v>0.77598551851598996</v>
      </c>
      <c r="K42" t="str">
        <f t="shared" si="0"/>
        <v>OK</v>
      </c>
      <c r="L42" t="str">
        <f t="shared" si="1"/>
        <v>OK</v>
      </c>
      <c r="M42" t="str">
        <f>IF(OR(B42&lt;$AE$20,B42&gt;$AF$20),"Outlier","OK")</f>
        <v>OK</v>
      </c>
      <c r="N42" t="str">
        <f>IF(OR(J42&lt;$AE$21,J42&gt;$AF$21),"Outlier","OK")</f>
        <v>OK</v>
      </c>
      <c r="O42" t="str">
        <f>IF(OR(C42&lt;0,C42&gt;1),"Outlier","OK")</f>
        <v>OK</v>
      </c>
      <c r="P42" t="str">
        <f>IF(OR(D42&lt;0,D42&gt;1),"Outlier","OK")</f>
        <v>Outlier</v>
      </c>
      <c r="Q42" t="str">
        <f t="shared" si="2"/>
        <v>60-80%</v>
      </c>
      <c r="R42" t="str">
        <f>IF(B42="","Missing","OK")</f>
        <v>OK</v>
      </c>
      <c r="S42" t="str">
        <f>IF(E42="","Missing","OK")</f>
        <v>OK</v>
      </c>
      <c r="T42" t="str">
        <f t="shared" si="3"/>
        <v>OK</v>
      </c>
      <c r="U42">
        <f>COUNTIF($A:$A,A42)</f>
        <v>1</v>
      </c>
      <c r="V42" t="str">
        <f t="shared" si="4"/>
        <v>OK</v>
      </c>
      <c r="W42" t="str">
        <f>IF(I42&gt;B42,"ERROR","OK")</f>
        <v>OK</v>
      </c>
      <c r="X42">
        <f>(B42-I42)/B42</f>
        <v>0.77598551851598929</v>
      </c>
      <c r="Y42" s="2">
        <f t="shared" si="5"/>
        <v>6.6613381477509392E-16</v>
      </c>
      <c r="Z42" s="2" t="str">
        <f t="shared" si="6"/>
        <v>OK</v>
      </c>
      <c r="AA42" t="str">
        <f t="shared" si="7"/>
        <v>Unique</v>
      </c>
    </row>
    <row r="43" spans="1:32" x14ac:dyDescent="0.3">
      <c r="A43">
        <v>42</v>
      </c>
      <c r="B43">
        <v>275455.87040462601</v>
      </c>
      <c r="C43">
        <v>0.78954105736101898</v>
      </c>
      <c r="D43">
        <v>9.5237293846854101E-2</v>
      </c>
      <c r="E43">
        <v>0.48352490531344</v>
      </c>
      <c r="F43">
        <v>1</v>
      </c>
      <c r="G43" t="s">
        <v>13</v>
      </c>
      <c r="H43">
        <v>0</v>
      </c>
      <c r="I43">
        <v>133189.773655428</v>
      </c>
      <c r="J43">
        <v>0.51647509468655906</v>
      </c>
      <c r="K43" t="str">
        <f t="shared" si="0"/>
        <v>OK</v>
      </c>
      <c r="L43" t="str">
        <f t="shared" si="1"/>
        <v>OK</v>
      </c>
      <c r="M43" t="str">
        <f>IF(OR(B43&lt;$AE$20,B43&gt;$AF$20),"Outlier","OK")</f>
        <v>OK</v>
      </c>
      <c r="N43" t="str">
        <f>IF(OR(J43&lt;$AE$21,J43&gt;$AF$21),"Outlier","OK")</f>
        <v>OK</v>
      </c>
      <c r="O43" t="str">
        <f>IF(OR(C43&lt;0,C43&gt;1),"Outlier","OK")</f>
        <v>OK</v>
      </c>
      <c r="P43" t="str">
        <f>IF(OR(D43&lt;0,D43&gt;1),"Outlier","OK")</f>
        <v>OK</v>
      </c>
      <c r="Q43" t="str">
        <f t="shared" si="2"/>
        <v>40-60%</v>
      </c>
      <c r="R43" t="str">
        <f>IF(B43="","Missing","OK")</f>
        <v>OK</v>
      </c>
      <c r="S43" t="str">
        <f>IF(E43="","Missing","OK")</f>
        <v>OK</v>
      </c>
      <c r="T43" t="str">
        <f t="shared" si="3"/>
        <v>OK</v>
      </c>
      <c r="U43">
        <f>COUNTIF($A:$A,A43)</f>
        <v>1</v>
      </c>
      <c r="V43" t="str">
        <f t="shared" si="4"/>
        <v>OK</v>
      </c>
      <c r="W43" t="str">
        <f>IF(I43&gt;B43,"ERROR","OK")</f>
        <v>OK</v>
      </c>
      <c r="X43">
        <f>(B43-I43)/B43</f>
        <v>0.51647509468655994</v>
      </c>
      <c r="Y43" s="2">
        <f t="shared" si="5"/>
        <v>8.8817841970012523E-16</v>
      </c>
      <c r="Z43" s="2" t="str">
        <f t="shared" si="6"/>
        <v>OK</v>
      </c>
      <c r="AA43" t="str">
        <f t="shared" si="7"/>
        <v>Unique</v>
      </c>
    </row>
    <row r="44" spans="1:32" x14ac:dyDescent="0.3">
      <c r="A44">
        <v>43</v>
      </c>
      <c r="B44">
        <v>668706.68954962504</v>
      </c>
      <c r="C44">
        <v>0.248401661043572</v>
      </c>
      <c r="D44">
        <v>-1.3066139484698E-2</v>
      </c>
      <c r="E44">
        <v>0.49917545854402401</v>
      </c>
      <c r="F44">
        <v>1</v>
      </c>
      <c r="G44" t="s">
        <v>13</v>
      </c>
      <c r="H44">
        <v>0</v>
      </c>
      <c r="I44">
        <v>333801.96838739002</v>
      </c>
      <c r="J44">
        <v>0.50082454145597499</v>
      </c>
      <c r="K44" t="str">
        <f t="shared" si="0"/>
        <v>OK</v>
      </c>
      <c r="L44" t="str">
        <f t="shared" si="1"/>
        <v>OK</v>
      </c>
      <c r="M44" t="str">
        <f>IF(OR(B44&lt;$AE$20,B44&gt;$AF$20),"Outlier","OK")</f>
        <v>OK</v>
      </c>
      <c r="N44" t="str">
        <f>IF(OR(J44&lt;$AE$21,J44&gt;$AF$21),"Outlier","OK")</f>
        <v>OK</v>
      </c>
      <c r="O44" t="str">
        <f>IF(OR(C44&lt;0,C44&gt;1),"Outlier","OK")</f>
        <v>OK</v>
      </c>
      <c r="P44" t="str">
        <f>IF(OR(D44&lt;0,D44&gt;1),"Outlier","OK")</f>
        <v>Outlier</v>
      </c>
      <c r="Q44" t="str">
        <f t="shared" si="2"/>
        <v>40-60%</v>
      </c>
      <c r="R44" t="str">
        <f>IF(B44="","Missing","OK")</f>
        <v>OK</v>
      </c>
      <c r="S44" t="str">
        <f>IF(E44="","Missing","OK")</f>
        <v>OK</v>
      </c>
      <c r="T44" t="str">
        <f t="shared" si="3"/>
        <v>OK</v>
      </c>
      <c r="U44">
        <f>COUNTIF($A:$A,A44)</f>
        <v>1</v>
      </c>
      <c r="V44" t="str">
        <f t="shared" si="4"/>
        <v>OK</v>
      </c>
      <c r="W44" t="str">
        <f>IF(I44&gt;B44,"ERROR","OK")</f>
        <v>OK</v>
      </c>
      <c r="X44">
        <f>(B44-I44)/B44</f>
        <v>0.50082454145597655</v>
      </c>
      <c r="Y44" s="2">
        <f t="shared" si="5"/>
        <v>1.5543122344752192E-15</v>
      </c>
      <c r="Z44" s="2" t="str">
        <f t="shared" si="6"/>
        <v>OK</v>
      </c>
      <c r="AA44" t="str">
        <f t="shared" si="7"/>
        <v>Unique</v>
      </c>
    </row>
    <row r="45" spans="1:32" x14ac:dyDescent="0.3">
      <c r="A45">
        <v>44</v>
      </c>
      <c r="B45">
        <v>858911.113309582</v>
      </c>
      <c r="C45">
        <v>0.26617614827936498</v>
      </c>
      <c r="D45">
        <v>0.120436324404827</v>
      </c>
      <c r="E45">
        <v>0.22954829082966499</v>
      </c>
      <c r="F45">
        <v>1</v>
      </c>
      <c r="G45" t="s">
        <v>11</v>
      </c>
      <c r="H45">
        <v>1</v>
      </c>
      <c r="I45">
        <v>197161.57803482001</v>
      </c>
      <c r="J45">
        <v>0.77045170917033401</v>
      </c>
      <c r="K45" t="str">
        <f t="shared" si="0"/>
        <v>OK</v>
      </c>
      <c r="L45" t="str">
        <f t="shared" si="1"/>
        <v>OK</v>
      </c>
      <c r="M45" t="str">
        <f>IF(OR(B45&lt;$AE$20,B45&gt;$AF$20),"Outlier","OK")</f>
        <v>OK</v>
      </c>
      <c r="N45" t="str">
        <f>IF(OR(J45&lt;$AE$21,J45&gt;$AF$21),"Outlier","OK")</f>
        <v>OK</v>
      </c>
      <c r="O45" t="str">
        <f>IF(OR(C45&lt;0,C45&gt;1),"Outlier","OK")</f>
        <v>OK</v>
      </c>
      <c r="P45" t="str">
        <f>IF(OR(D45&lt;0,D45&gt;1),"Outlier","OK")</f>
        <v>OK</v>
      </c>
      <c r="Q45" t="str">
        <f t="shared" si="2"/>
        <v>60-80%</v>
      </c>
      <c r="R45" t="str">
        <f>IF(B45="","Missing","OK")</f>
        <v>OK</v>
      </c>
      <c r="S45" t="str">
        <f>IF(E45="","Missing","OK")</f>
        <v>OK</v>
      </c>
      <c r="T45" t="str">
        <f t="shared" si="3"/>
        <v>OK</v>
      </c>
      <c r="U45">
        <f>COUNTIF($A:$A,A45)</f>
        <v>1</v>
      </c>
      <c r="V45" t="str">
        <f t="shared" si="4"/>
        <v>OK</v>
      </c>
      <c r="W45" t="str">
        <f>IF(I45&gt;B45,"ERROR","OK")</f>
        <v>OK</v>
      </c>
      <c r="X45">
        <f>(B45-I45)/B45</f>
        <v>0.77045170917033412</v>
      </c>
      <c r="Y45" s="2">
        <f t="shared" si="5"/>
        <v>1.1102230246251565E-16</v>
      </c>
      <c r="Z45" s="2" t="str">
        <f t="shared" si="6"/>
        <v>OK</v>
      </c>
      <c r="AA45" t="str">
        <f t="shared" si="7"/>
        <v>Unique</v>
      </c>
    </row>
    <row r="46" spans="1:32" x14ac:dyDescent="0.3">
      <c r="A46">
        <v>45</v>
      </c>
      <c r="B46">
        <v>1739302.8578725599</v>
      </c>
      <c r="C46">
        <v>0.358324818706173</v>
      </c>
      <c r="D46">
        <v>-6.3776416618885903E-2</v>
      </c>
      <c r="E46">
        <v>6.6454679509218795E-2</v>
      </c>
      <c r="F46">
        <v>1</v>
      </c>
      <c r="G46" t="s">
        <v>12</v>
      </c>
      <c r="H46">
        <v>1</v>
      </c>
      <c r="I46">
        <v>115584.813989389</v>
      </c>
      <c r="J46">
        <v>0.93354532049078098</v>
      </c>
      <c r="K46" t="str">
        <f t="shared" si="0"/>
        <v>OK</v>
      </c>
      <c r="L46" t="str">
        <f t="shared" si="1"/>
        <v>OK</v>
      </c>
      <c r="M46" t="str">
        <f>IF(OR(B46&lt;$AE$20,B46&gt;$AF$20),"Outlier","OK")</f>
        <v>OK</v>
      </c>
      <c r="N46" t="str">
        <f>IF(OR(J46&lt;$AE$21,J46&gt;$AF$21),"Outlier","OK")</f>
        <v>OK</v>
      </c>
      <c r="O46" t="str">
        <f>IF(OR(C46&lt;0,C46&gt;1),"Outlier","OK")</f>
        <v>OK</v>
      </c>
      <c r="P46" t="str">
        <f>IF(OR(D46&lt;0,D46&gt;1),"Outlier","OK")</f>
        <v>Outlier</v>
      </c>
      <c r="Q46" t="str">
        <f t="shared" si="2"/>
        <v>80-100%</v>
      </c>
      <c r="R46" t="str">
        <f>IF(B46="","Missing","OK")</f>
        <v>OK</v>
      </c>
      <c r="S46" t="str">
        <f>IF(E46="","Missing","OK")</f>
        <v>OK</v>
      </c>
      <c r="T46" t="str">
        <f t="shared" si="3"/>
        <v>OK</v>
      </c>
      <c r="U46">
        <f>COUNTIF($A:$A,A46)</f>
        <v>1</v>
      </c>
      <c r="V46" t="str">
        <f t="shared" si="4"/>
        <v>OK</v>
      </c>
      <c r="W46" t="str">
        <f>IF(I46&gt;B46,"ERROR","OK")</f>
        <v>OK</v>
      </c>
      <c r="X46">
        <f>(B46-I46)/B46</f>
        <v>0.93354532049078143</v>
      </c>
      <c r="Y46" s="2">
        <f t="shared" si="5"/>
        <v>4.4408920985006262E-16</v>
      </c>
      <c r="Z46" s="2" t="str">
        <f t="shared" si="6"/>
        <v>OK</v>
      </c>
      <c r="AA46" t="str">
        <f t="shared" si="7"/>
        <v>Unique</v>
      </c>
    </row>
    <row r="47" spans="1:32" x14ac:dyDescent="0.3">
      <c r="A47">
        <v>46</v>
      </c>
      <c r="B47">
        <v>538387.96252318798</v>
      </c>
      <c r="C47">
        <v>0.537504563026315</v>
      </c>
      <c r="D47">
        <v>0.15050386952726799</v>
      </c>
      <c r="E47">
        <v>5.3078872841775003E-2</v>
      </c>
      <c r="F47">
        <v>1</v>
      </c>
      <c r="G47" t="s">
        <v>11</v>
      </c>
      <c r="H47">
        <v>1</v>
      </c>
      <c r="I47">
        <v>28577.026202310601</v>
      </c>
      <c r="J47">
        <v>0.94692112715822496</v>
      </c>
      <c r="K47" t="str">
        <f t="shared" si="0"/>
        <v>OK</v>
      </c>
      <c r="L47" t="str">
        <f t="shared" si="1"/>
        <v>OK</v>
      </c>
      <c r="M47" t="str">
        <f>IF(OR(B47&lt;$AE$20,B47&gt;$AF$20),"Outlier","OK")</f>
        <v>OK</v>
      </c>
      <c r="N47" t="str">
        <f>IF(OR(J47&lt;$AE$21,J47&gt;$AF$21),"Outlier","OK")</f>
        <v>OK</v>
      </c>
      <c r="O47" t="str">
        <f>IF(OR(C47&lt;0,C47&gt;1),"Outlier","OK")</f>
        <v>OK</v>
      </c>
      <c r="P47" t="str">
        <f>IF(OR(D47&lt;0,D47&gt;1),"Outlier","OK")</f>
        <v>OK</v>
      </c>
      <c r="Q47" t="str">
        <f t="shared" si="2"/>
        <v>80-100%</v>
      </c>
      <c r="R47" t="str">
        <f>IF(B47="","Missing","OK")</f>
        <v>OK</v>
      </c>
      <c r="S47" t="str">
        <f>IF(E47="","Missing","OK")</f>
        <v>OK</v>
      </c>
      <c r="T47" t="str">
        <f t="shared" si="3"/>
        <v>OK</v>
      </c>
      <c r="U47">
        <f>COUNTIF($A:$A,A47)</f>
        <v>1</v>
      </c>
      <c r="V47" t="str">
        <f t="shared" si="4"/>
        <v>OK</v>
      </c>
      <c r="W47" t="str">
        <f>IF(I47&gt;B47,"ERROR","OK")</f>
        <v>OK</v>
      </c>
      <c r="X47">
        <f>(B47-I47)/B47</f>
        <v>0.94692112715822507</v>
      </c>
      <c r="Y47" s="2">
        <f t="shared" si="5"/>
        <v>1.1102230246251565E-16</v>
      </c>
      <c r="Z47" s="2" t="str">
        <f t="shared" si="6"/>
        <v>OK</v>
      </c>
      <c r="AA47" t="str">
        <f t="shared" si="7"/>
        <v>Unique</v>
      </c>
    </row>
    <row r="48" spans="1:32" x14ac:dyDescent="0.3">
      <c r="A48">
        <v>47</v>
      </c>
      <c r="B48">
        <v>991916.81531227299</v>
      </c>
      <c r="C48">
        <v>0.88225945500940794</v>
      </c>
      <c r="D48">
        <v>7.8148107211865103E-2</v>
      </c>
      <c r="E48">
        <v>0.43195394427957801</v>
      </c>
      <c r="F48">
        <v>1</v>
      </c>
      <c r="G48" t="s">
        <v>12</v>
      </c>
      <c r="H48">
        <v>0</v>
      </c>
      <c r="I48">
        <v>428462.38077137398</v>
      </c>
      <c r="J48">
        <v>0.56804605572042099</v>
      </c>
      <c r="K48" t="str">
        <f t="shared" si="0"/>
        <v>OK</v>
      </c>
      <c r="L48" t="str">
        <f t="shared" si="1"/>
        <v>OK</v>
      </c>
      <c r="M48" t="str">
        <f>IF(OR(B48&lt;$AE$20,B48&gt;$AF$20),"Outlier","OK")</f>
        <v>OK</v>
      </c>
      <c r="N48" t="str">
        <f>IF(OR(J48&lt;$AE$21,J48&gt;$AF$21),"Outlier","OK")</f>
        <v>OK</v>
      </c>
      <c r="O48" t="str">
        <f>IF(OR(C48&lt;0,C48&gt;1),"Outlier","OK")</f>
        <v>OK</v>
      </c>
      <c r="P48" t="str">
        <f>IF(OR(D48&lt;0,D48&gt;1),"Outlier","OK")</f>
        <v>OK</v>
      </c>
      <c r="Q48" t="str">
        <f t="shared" si="2"/>
        <v>40-60%</v>
      </c>
      <c r="R48" t="str">
        <f>IF(B48="","Missing","OK")</f>
        <v>OK</v>
      </c>
      <c r="S48" t="str">
        <f>IF(E48="","Missing","OK")</f>
        <v>OK</v>
      </c>
      <c r="T48" t="str">
        <f t="shared" si="3"/>
        <v>OK</v>
      </c>
      <c r="U48">
        <f>COUNTIF($A:$A,A48)</f>
        <v>1</v>
      </c>
      <c r="V48" t="str">
        <f t="shared" si="4"/>
        <v>OK</v>
      </c>
      <c r="W48" t="str">
        <f>IF(I48&gt;B48,"ERROR","OK")</f>
        <v>OK</v>
      </c>
      <c r="X48">
        <f>(B48-I48)/B48</f>
        <v>0.56804605572042199</v>
      </c>
      <c r="Y48" s="2">
        <f t="shared" si="5"/>
        <v>9.9920072216264089E-16</v>
      </c>
      <c r="Z48" s="2" t="str">
        <f t="shared" si="6"/>
        <v>OK</v>
      </c>
      <c r="AA48" t="str">
        <f t="shared" si="7"/>
        <v>Unique</v>
      </c>
    </row>
    <row r="49" spans="1:27" x14ac:dyDescent="0.3">
      <c r="A49">
        <v>48</v>
      </c>
      <c r="B49">
        <v>1971841.58194087</v>
      </c>
      <c r="C49">
        <v>0.68839038238179395</v>
      </c>
      <c r="D49">
        <v>-6.9406381209150799E-3</v>
      </c>
      <c r="E49">
        <v>0.67392582195306905</v>
      </c>
      <c r="F49">
        <v>1</v>
      </c>
      <c r="G49" t="s">
        <v>13</v>
      </c>
      <c r="H49">
        <v>1</v>
      </c>
      <c r="I49">
        <v>1328874.9588707399</v>
      </c>
      <c r="J49">
        <v>0.32607417804693001</v>
      </c>
      <c r="K49" t="str">
        <f t="shared" si="0"/>
        <v>OK</v>
      </c>
      <c r="L49" t="str">
        <f t="shared" si="1"/>
        <v>OK</v>
      </c>
      <c r="M49" t="str">
        <f>IF(OR(B49&lt;$AE$20,B49&gt;$AF$20),"Outlier","OK")</f>
        <v>OK</v>
      </c>
      <c r="N49" t="str">
        <f>IF(OR(J49&lt;$AE$21,J49&gt;$AF$21),"Outlier","OK")</f>
        <v>OK</v>
      </c>
      <c r="O49" t="str">
        <f>IF(OR(C49&lt;0,C49&gt;1),"Outlier","OK")</f>
        <v>OK</v>
      </c>
      <c r="P49" t="str">
        <f>IF(OR(D49&lt;0,D49&gt;1),"Outlier","OK")</f>
        <v>Outlier</v>
      </c>
      <c r="Q49" t="str">
        <f t="shared" si="2"/>
        <v>20-40%</v>
      </c>
      <c r="R49" t="str">
        <f>IF(B49="","Missing","OK")</f>
        <v>OK</v>
      </c>
      <c r="S49" t="str">
        <f>IF(E49="","Missing","OK")</f>
        <v>OK</v>
      </c>
      <c r="T49" t="str">
        <f t="shared" si="3"/>
        <v>OK</v>
      </c>
      <c r="U49">
        <f>COUNTIF($A:$A,A49)</f>
        <v>1</v>
      </c>
      <c r="V49" t="str">
        <f t="shared" si="4"/>
        <v>OK</v>
      </c>
      <c r="W49" t="str">
        <f>IF(I49&gt;B49,"ERROR","OK")</f>
        <v>OK</v>
      </c>
      <c r="X49">
        <f>(B49-I49)/B49</f>
        <v>0.3260741780469314</v>
      </c>
      <c r="Y49" s="2">
        <f t="shared" si="5"/>
        <v>1.3877787807814457E-15</v>
      </c>
      <c r="Z49" s="2" t="str">
        <f t="shared" si="6"/>
        <v>OK</v>
      </c>
      <c r="AA49" t="str">
        <f t="shared" si="7"/>
        <v>Unique</v>
      </c>
    </row>
    <row r="50" spans="1:27" x14ac:dyDescent="0.3">
      <c r="A50">
        <v>49</v>
      </c>
      <c r="B50">
        <v>1062995.9825566199</v>
      </c>
      <c r="C50">
        <v>0.77760372995479798</v>
      </c>
      <c r="D50">
        <v>1.7400194760990102E-2</v>
      </c>
      <c r="E50">
        <v>0.65322447954587504</v>
      </c>
      <c r="F50">
        <v>1</v>
      </c>
      <c r="G50" t="s">
        <v>13</v>
      </c>
      <c r="H50">
        <v>0</v>
      </c>
      <c r="I50">
        <v>694374.99746490899</v>
      </c>
      <c r="J50">
        <v>0.34677552045412402</v>
      </c>
      <c r="K50" t="str">
        <f t="shared" si="0"/>
        <v>OK</v>
      </c>
      <c r="L50" t="str">
        <f t="shared" si="1"/>
        <v>OK</v>
      </c>
      <c r="M50" t="str">
        <f>IF(OR(B50&lt;$AE$20,B50&gt;$AF$20),"Outlier","OK")</f>
        <v>OK</v>
      </c>
      <c r="N50" t="str">
        <f>IF(OR(J50&lt;$AE$21,J50&gt;$AF$21),"Outlier","OK")</f>
        <v>OK</v>
      </c>
      <c r="O50" t="str">
        <f>IF(OR(C50&lt;0,C50&gt;1),"Outlier","OK")</f>
        <v>OK</v>
      </c>
      <c r="P50" t="str">
        <f>IF(OR(D50&lt;0,D50&gt;1),"Outlier","OK")</f>
        <v>OK</v>
      </c>
      <c r="Q50" t="str">
        <f t="shared" si="2"/>
        <v>20-40%</v>
      </c>
      <c r="R50" t="str">
        <f>IF(B50="","Missing","OK")</f>
        <v>OK</v>
      </c>
      <c r="S50" t="str">
        <f>IF(E50="","Missing","OK")</f>
        <v>OK</v>
      </c>
      <c r="T50" t="str">
        <f t="shared" si="3"/>
        <v>OK</v>
      </c>
      <c r="U50">
        <f>COUNTIF($A:$A,A50)</f>
        <v>1</v>
      </c>
      <c r="V50" t="str">
        <f t="shared" si="4"/>
        <v>OK</v>
      </c>
      <c r="W50" t="str">
        <f>IF(I50&gt;B50,"ERROR","OK")</f>
        <v>OK</v>
      </c>
      <c r="X50">
        <f>(B50-I50)/B50</f>
        <v>0.34677552045412036</v>
      </c>
      <c r="Y50" s="2">
        <f t="shared" si="5"/>
        <v>3.6637359812630166E-15</v>
      </c>
      <c r="Z50" s="2" t="str">
        <f t="shared" si="6"/>
        <v>OK</v>
      </c>
      <c r="AA50" t="str">
        <f t="shared" si="7"/>
        <v>Unique</v>
      </c>
    </row>
    <row r="51" spans="1:27" x14ac:dyDescent="0.3">
      <c r="A51">
        <v>50</v>
      </c>
      <c r="B51">
        <v>1245144.3252377801</v>
      </c>
      <c r="C51">
        <v>0.52263941270847702</v>
      </c>
      <c r="D51">
        <v>0.120282064411442</v>
      </c>
      <c r="E51">
        <v>0.103622885831224</v>
      </c>
      <c r="F51">
        <v>1</v>
      </c>
      <c r="G51" t="s">
        <v>10</v>
      </c>
      <c r="H51">
        <v>1</v>
      </c>
      <c r="I51">
        <v>129025.44825751201</v>
      </c>
      <c r="J51">
        <v>0.89637711416877497</v>
      </c>
      <c r="K51" t="str">
        <f t="shared" si="0"/>
        <v>OK</v>
      </c>
      <c r="L51" t="str">
        <f t="shared" si="1"/>
        <v>OK</v>
      </c>
      <c r="M51" t="str">
        <f>IF(OR(B51&lt;$AE$20,B51&gt;$AF$20),"Outlier","OK")</f>
        <v>OK</v>
      </c>
      <c r="N51" t="str">
        <f>IF(OR(J51&lt;$AE$21,J51&gt;$AF$21),"Outlier","OK")</f>
        <v>OK</v>
      </c>
      <c r="O51" t="str">
        <f>IF(OR(C51&lt;0,C51&gt;1),"Outlier","OK")</f>
        <v>OK</v>
      </c>
      <c r="P51" t="str">
        <f>IF(OR(D51&lt;0,D51&gt;1),"Outlier","OK")</f>
        <v>OK</v>
      </c>
      <c r="Q51" t="str">
        <f t="shared" si="2"/>
        <v>80-100%</v>
      </c>
      <c r="R51" t="str">
        <f>IF(B51="","Missing","OK")</f>
        <v>OK</v>
      </c>
      <c r="S51" t="str">
        <f>IF(E51="","Missing","OK")</f>
        <v>OK</v>
      </c>
      <c r="T51" t="str">
        <f t="shared" si="3"/>
        <v>OK</v>
      </c>
      <c r="U51">
        <f>COUNTIF($A:$A,A51)</f>
        <v>1</v>
      </c>
      <c r="V51" t="str">
        <f t="shared" si="4"/>
        <v>OK</v>
      </c>
      <c r="W51" t="str">
        <f>IF(I51&gt;B51,"ERROR","OK")</f>
        <v>OK</v>
      </c>
      <c r="X51">
        <f>(B51-I51)/B51</f>
        <v>0.89637711416877519</v>
      </c>
      <c r="Y51" s="2">
        <f t="shared" si="5"/>
        <v>2.2204460492503131E-16</v>
      </c>
      <c r="Z51" s="2" t="str">
        <f t="shared" si="6"/>
        <v>OK</v>
      </c>
      <c r="AA51" t="str">
        <f t="shared" si="7"/>
        <v>Unique</v>
      </c>
    </row>
    <row r="52" spans="1:27" x14ac:dyDescent="0.3">
      <c r="A52">
        <v>51</v>
      </c>
      <c r="B52">
        <v>285225.89868113102</v>
      </c>
      <c r="C52">
        <v>0.60392978201575997</v>
      </c>
      <c r="D52">
        <v>-0.16397822938591999</v>
      </c>
      <c r="E52">
        <v>0.175758203730636</v>
      </c>
      <c r="F52">
        <v>1</v>
      </c>
      <c r="G52" t="s">
        <v>11</v>
      </c>
      <c r="H52">
        <v>0</v>
      </c>
      <c r="I52">
        <v>50130.791609651998</v>
      </c>
      <c r="J52">
        <v>0.824241796269363</v>
      </c>
      <c r="K52" t="str">
        <f t="shared" si="0"/>
        <v>OK</v>
      </c>
      <c r="L52" t="str">
        <f t="shared" si="1"/>
        <v>OK</v>
      </c>
      <c r="M52" t="str">
        <f>IF(OR(B52&lt;$AE$20,B52&gt;$AF$20),"Outlier","OK")</f>
        <v>OK</v>
      </c>
      <c r="N52" t="str">
        <f>IF(OR(J52&lt;$AE$21,J52&gt;$AF$21),"Outlier","OK")</f>
        <v>OK</v>
      </c>
      <c r="O52" t="str">
        <f>IF(OR(C52&lt;0,C52&gt;1),"Outlier","OK")</f>
        <v>OK</v>
      </c>
      <c r="P52" t="str">
        <f>IF(OR(D52&lt;0,D52&gt;1),"Outlier","OK")</f>
        <v>Outlier</v>
      </c>
      <c r="Q52" t="str">
        <f t="shared" si="2"/>
        <v>80-100%</v>
      </c>
      <c r="R52" t="str">
        <f>IF(B52="","Missing","OK")</f>
        <v>OK</v>
      </c>
      <c r="S52" t="str">
        <f>IF(E52="","Missing","OK")</f>
        <v>OK</v>
      </c>
      <c r="T52" t="str">
        <f t="shared" si="3"/>
        <v>OK</v>
      </c>
      <c r="U52">
        <f>COUNTIF($A:$A,A52)</f>
        <v>1</v>
      </c>
      <c r="V52" t="str">
        <f t="shared" si="4"/>
        <v>OK</v>
      </c>
      <c r="W52" t="str">
        <f>IF(I52&gt;B52,"ERROR","OK")</f>
        <v>OK</v>
      </c>
      <c r="X52">
        <f>(B52-I52)/B52</f>
        <v>0.82424179626936389</v>
      </c>
      <c r="Y52" s="2">
        <f t="shared" si="5"/>
        <v>8.8817841970012523E-16</v>
      </c>
      <c r="Z52" s="2" t="str">
        <f t="shared" si="6"/>
        <v>OK</v>
      </c>
      <c r="AA52" t="str">
        <f t="shared" si="7"/>
        <v>Unique</v>
      </c>
    </row>
    <row r="53" spans="1:27" x14ac:dyDescent="0.3">
      <c r="A53">
        <v>52</v>
      </c>
      <c r="B53">
        <v>1661364.56098832</v>
      </c>
      <c r="C53">
        <v>0.470825113002869</v>
      </c>
      <c r="D53">
        <v>-0.17951188777704</v>
      </c>
      <c r="E53">
        <v>0.502016140258147</v>
      </c>
      <c r="F53">
        <v>1</v>
      </c>
      <c r="G53" t="s">
        <v>11</v>
      </c>
      <c r="H53">
        <v>0</v>
      </c>
      <c r="I53">
        <v>834031.82446903002</v>
      </c>
      <c r="J53">
        <v>0.497983859741852</v>
      </c>
      <c r="K53" t="str">
        <f t="shared" si="0"/>
        <v>OK</v>
      </c>
      <c r="L53" t="str">
        <f t="shared" si="1"/>
        <v>OK</v>
      </c>
      <c r="M53" t="str">
        <f>IF(OR(B53&lt;$AE$20,B53&gt;$AF$20),"Outlier","OK")</f>
        <v>OK</v>
      </c>
      <c r="N53" t="str">
        <f>IF(OR(J53&lt;$AE$21,J53&gt;$AF$21),"Outlier","OK")</f>
        <v>OK</v>
      </c>
      <c r="O53" t="str">
        <f>IF(OR(C53&lt;0,C53&gt;1),"Outlier","OK")</f>
        <v>OK</v>
      </c>
      <c r="P53" t="str">
        <f>IF(OR(D53&lt;0,D53&gt;1),"Outlier","OK")</f>
        <v>Outlier</v>
      </c>
      <c r="Q53" t="str">
        <f t="shared" si="2"/>
        <v>40-60%</v>
      </c>
      <c r="R53" t="str">
        <f>IF(B53="","Missing","OK")</f>
        <v>OK</v>
      </c>
      <c r="S53" t="str">
        <f>IF(E53="","Missing","OK")</f>
        <v>OK</v>
      </c>
      <c r="T53" t="str">
        <f t="shared" si="3"/>
        <v>OK</v>
      </c>
      <c r="U53">
        <f>COUNTIF($A:$A,A53)</f>
        <v>1</v>
      </c>
      <c r="V53" t="str">
        <f t="shared" si="4"/>
        <v>OK</v>
      </c>
      <c r="W53" t="str">
        <f>IF(I53&gt;B53,"ERROR","OK")</f>
        <v>OK</v>
      </c>
      <c r="X53">
        <f>(B53-I53)/B53</f>
        <v>0.49798385974185133</v>
      </c>
      <c r="Y53" s="2">
        <f t="shared" si="5"/>
        <v>6.6613381477509392E-16</v>
      </c>
      <c r="Z53" s="2" t="str">
        <f t="shared" si="6"/>
        <v>OK</v>
      </c>
      <c r="AA53" t="str">
        <f t="shared" si="7"/>
        <v>Unique</v>
      </c>
    </row>
    <row r="54" spans="1:27" x14ac:dyDescent="0.3">
      <c r="A54">
        <v>53</v>
      </c>
      <c r="B54">
        <v>1225967.2504012999</v>
      </c>
      <c r="C54">
        <v>0.282753170339063</v>
      </c>
      <c r="D54">
        <v>-2.5074576674500498E-2</v>
      </c>
      <c r="E54">
        <v>0.22011557942858601</v>
      </c>
      <c r="F54">
        <v>1</v>
      </c>
      <c r="G54" t="s">
        <v>10</v>
      </c>
      <c r="H54">
        <v>0</v>
      </c>
      <c r="I54">
        <v>269854.49168255401</v>
      </c>
      <c r="J54">
        <v>0.77988442057141305</v>
      </c>
      <c r="K54" t="str">
        <f t="shared" si="0"/>
        <v>OK</v>
      </c>
      <c r="L54" t="str">
        <f t="shared" si="1"/>
        <v>OK</v>
      </c>
      <c r="M54" t="str">
        <f>IF(OR(B54&lt;$AE$20,B54&gt;$AF$20),"Outlier","OK")</f>
        <v>OK</v>
      </c>
      <c r="N54" t="str">
        <f>IF(OR(J54&lt;$AE$21,J54&gt;$AF$21),"Outlier","OK")</f>
        <v>OK</v>
      </c>
      <c r="O54" t="str">
        <f>IF(OR(C54&lt;0,C54&gt;1),"Outlier","OK")</f>
        <v>OK</v>
      </c>
      <c r="P54" t="str">
        <f>IF(OR(D54&lt;0,D54&gt;1),"Outlier","OK")</f>
        <v>Outlier</v>
      </c>
      <c r="Q54" t="str">
        <f t="shared" si="2"/>
        <v>60-80%</v>
      </c>
      <c r="R54" t="str">
        <f>IF(B54="","Missing","OK")</f>
        <v>OK</v>
      </c>
      <c r="S54" t="str">
        <f>IF(E54="","Missing","OK")</f>
        <v>OK</v>
      </c>
      <c r="T54" t="str">
        <f t="shared" si="3"/>
        <v>OK</v>
      </c>
      <c r="U54">
        <f>COUNTIF($A:$A,A54)</f>
        <v>1</v>
      </c>
      <c r="V54" t="str">
        <f t="shared" si="4"/>
        <v>OK</v>
      </c>
      <c r="W54" t="str">
        <f>IF(I54&gt;B54,"ERROR","OK")</f>
        <v>OK</v>
      </c>
      <c r="X54">
        <f>(B54-I54)/B54</f>
        <v>0.77988442057141283</v>
      </c>
      <c r="Y54" s="2">
        <f t="shared" si="5"/>
        <v>2.2204460492503131E-16</v>
      </c>
      <c r="Z54" s="2" t="str">
        <f t="shared" si="6"/>
        <v>OK</v>
      </c>
      <c r="AA54" t="str">
        <f t="shared" si="7"/>
        <v>Unique</v>
      </c>
    </row>
    <row r="55" spans="1:27" x14ac:dyDescent="0.3">
      <c r="A55">
        <v>54</v>
      </c>
      <c r="B55">
        <v>1112882.6126095999</v>
      </c>
      <c r="C55">
        <v>0.63801357938497505</v>
      </c>
      <c r="D55">
        <v>8.7216977537831697E-2</v>
      </c>
      <c r="E55">
        <v>0.234032461780766</v>
      </c>
      <c r="F55">
        <v>1</v>
      </c>
      <c r="G55" t="s">
        <v>13</v>
      </c>
      <c r="H55">
        <v>1</v>
      </c>
      <c r="I55">
        <v>260450.65750203701</v>
      </c>
      <c r="J55">
        <v>0.76596753821923302</v>
      </c>
      <c r="K55" t="str">
        <f t="shared" si="0"/>
        <v>OK</v>
      </c>
      <c r="L55" t="str">
        <f t="shared" si="1"/>
        <v>OK</v>
      </c>
      <c r="M55" t="str">
        <f>IF(OR(B55&lt;$AE$20,B55&gt;$AF$20),"Outlier","OK")</f>
        <v>OK</v>
      </c>
      <c r="N55" t="str">
        <f>IF(OR(J55&lt;$AE$21,J55&gt;$AF$21),"Outlier","OK")</f>
        <v>OK</v>
      </c>
      <c r="O55" t="str">
        <f>IF(OR(C55&lt;0,C55&gt;1),"Outlier","OK")</f>
        <v>OK</v>
      </c>
      <c r="P55" t="str">
        <f>IF(OR(D55&lt;0,D55&gt;1),"Outlier","OK")</f>
        <v>OK</v>
      </c>
      <c r="Q55" t="str">
        <f t="shared" si="2"/>
        <v>60-80%</v>
      </c>
      <c r="R55" t="str">
        <f>IF(B55="","Missing","OK")</f>
        <v>OK</v>
      </c>
      <c r="S55" t="str">
        <f>IF(E55="","Missing","OK")</f>
        <v>OK</v>
      </c>
      <c r="T55" t="str">
        <f t="shared" si="3"/>
        <v>OK</v>
      </c>
      <c r="U55">
        <f>COUNTIF($A:$A,A55)</f>
        <v>1</v>
      </c>
      <c r="V55" t="str">
        <f t="shared" si="4"/>
        <v>OK</v>
      </c>
      <c r="W55" t="str">
        <f>IF(I55&gt;B55,"ERROR","OK")</f>
        <v>OK</v>
      </c>
      <c r="X55">
        <f>(B55-I55)/B55</f>
        <v>0.76596753821923236</v>
      </c>
      <c r="Y55" s="2">
        <f t="shared" si="5"/>
        <v>6.6613381477509392E-16</v>
      </c>
      <c r="Z55" s="2" t="str">
        <f t="shared" si="6"/>
        <v>OK</v>
      </c>
      <c r="AA55" t="str">
        <f t="shared" si="7"/>
        <v>Unique</v>
      </c>
    </row>
    <row r="56" spans="1:27" x14ac:dyDescent="0.3">
      <c r="A56">
        <v>55</v>
      </c>
      <c r="B56">
        <v>718389.47585990105</v>
      </c>
      <c r="C56">
        <v>0.81204360704418199</v>
      </c>
      <c r="D56">
        <v>0.13761973358372001</v>
      </c>
      <c r="E56">
        <v>7.0852476193553393E-2</v>
      </c>
      <c r="F56">
        <v>1</v>
      </c>
      <c r="G56" t="s">
        <v>12</v>
      </c>
      <c r="H56">
        <v>0</v>
      </c>
      <c r="I56">
        <v>50899.673236062903</v>
      </c>
      <c r="J56">
        <v>0.92914752380644605</v>
      </c>
      <c r="K56" t="str">
        <f t="shared" si="0"/>
        <v>OK</v>
      </c>
      <c r="L56" t="str">
        <f t="shared" si="1"/>
        <v>OK</v>
      </c>
      <c r="M56" t="str">
        <f>IF(OR(B56&lt;$AE$20,B56&gt;$AF$20),"Outlier","OK")</f>
        <v>OK</v>
      </c>
      <c r="N56" t="str">
        <f>IF(OR(J56&lt;$AE$21,J56&gt;$AF$21),"Outlier","OK")</f>
        <v>OK</v>
      </c>
      <c r="O56" t="str">
        <f>IF(OR(C56&lt;0,C56&gt;1),"Outlier","OK")</f>
        <v>OK</v>
      </c>
      <c r="P56" t="str">
        <f>IF(OR(D56&lt;0,D56&gt;1),"Outlier","OK")</f>
        <v>OK</v>
      </c>
      <c r="Q56" t="str">
        <f t="shared" si="2"/>
        <v>80-100%</v>
      </c>
      <c r="R56" t="str">
        <f>IF(B56="","Missing","OK")</f>
        <v>OK</v>
      </c>
      <c r="S56" t="str">
        <f>IF(E56="","Missing","OK")</f>
        <v>OK</v>
      </c>
      <c r="T56" t="str">
        <f t="shared" si="3"/>
        <v>OK</v>
      </c>
      <c r="U56">
        <f>COUNTIF($A:$A,A56)</f>
        <v>1</v>
      </c>
      <c r="V56" t="str">
        <f t="shared" si="4"/>
        <v>OK</v>
      </c>
      <c r="W56" t="str">
        <f>IF(I56&gt;B56,"ERROR","OK")</f>
        <v>OK</v>
      </c>
      <c r="X56">
        <f>(B56-I56)/B56</f>
        <v>0.92914752380644672</v>
      </c>
      <c r="Y56" s="2">
        <f t="shared" si="5"/>
        <v>6.6613381477509392E-16</v>
      </c>
      <c r="Z56" s="2" t="str">
        <f t="shared" si="6"/>
        <v>OK</v>
      </c>
      <c r="AA56" t="str">
        <f t="shared" si="7"/>
        <v>Unique</v>
      </c>
    </row>
    <row r="57" spans="1:27" x14ac:dyDescent="0.3">
      <c r="A57">
        <v>56</v>
      </c>
      <c r="B57">
        <v>643035.53860300896</v>
      </c>
      <c r="C57">
        <v>0.34483174613684697</v>
      </c>
      <c r="D57">
        <v>-9.1130135113439703E-2</v>
      </c>
      <c r="E57">
        <v>0.40786271764489901</v>
      </c>
      <c r="F57">
        <v>1</v>
      </c>
      <c r="G57" t="s">
        <v>12</v>
      </c>
      <c r="H57">
        <v>1</v>
      </c>
      <c r="I57">
        <v>262270.22231687402</v>
      </c>
      <c r="J57">
        <v>0.59213728235509999</v>
      </c>
      <c r="K57" t="str">
        <f t="shared" si="0"/>
        <v>OK</v>
      </c>
      <c r="L57" t="str">
        <f t="shared" si="1"/>
        <v>OK</v>
      </c>
      <c r="M57" t="str">
        <f>IF(OR(B57&lt;$AE$20,B57&gt;$AF$20),"Outlier","OK")</f>
        <v>OK</v>
      </c>
      <c r="N57" t="str">
        <f>IF(OR(J57&lt;$AE$21,J57&gt;$AF$21),"Outlier","OK")</f>
        <v>OK</v>
      </c>
      <c r="O57" t="str">
        <f>IF(OR(C57&lt;0,C57&gt;1),"Outlier","OK")</f>
        <v>OK</v>
      </c>
      <c r="P57" t="str">
        <f>IF(OR(D57&lt;0,D57&gt;1),"Outlier","OK")</f>
        <v>Outlier</v>
      </c>
      <c r="Q57" t="str">
        <f t="shared" si="2"/>
        <v>40-60%</v>
      </c>
      <c r="R57" t="str">
        <f>IF(B57="","Missing","OK")</f>
        <v>OK</v>
      </c>
      <c r="S57" t="str">
        <f>IF(E57="","Missing","OK")</f>
        <v>OK</v>
      </c>
      <c r="T57" t="str">
        <f t="shared" si="3"/>
        <v>OK</v>
      </c>
      <c r="U57">
        <f>COUNTIF($A:$A,A57)</f>
        <v>1</v>
      </c>
      <c r="V57" t="str">
        <f t="shared" si="4"/>
        <v>OK</v>
      </c>
      <c r="W57" t="str">
        <f>IF(I57&gt;B57,"ERROR","OK")</f>
        <v>OK</v>
      </c>
      <c r="X57">
        <f>(B57-I57)/B57</f>
        <v>0.59213728235510188</v>
      </c>
      <c r="Y57" s="2">
        <f t="shared" si="5"/>
        <v>1.8873791418627661E-15</v>
      </c>
      <c r="Z57" s="2" t="str">
        <f t="shared" si="6"/>
        <v>OK</v>
      </c>
      <c r="AA57" t="str">
        <f t="shared" si="7"/>
        <v>Unique</v>
      </c>
    </row>
    <row r="58" spans="1:27" x14ac:dyDescent="0.3">
      <c r="A58">
        <v>57</v>
      </c>
      <c r="B58">
        <v>863193.31149816804</v>
      </c>
      <c r="C58">
        <v>0.48936260067295201</v>
      </c>
      <c r="D58">
        <v>-7.52798208655856E-2</v>
      </c>
      <c r="E58">
        <v>0.16169516640103801</v>
      </c>
      <c r="F58">
        <v>1</v>
      </c>
      <c r="G58" t="s">
        <v>10</v>
      </c>
      <c r="H58">
        <v>0</v>
      </c>
      <c r="I58">
        <v>139574.18613896001</v>
      </c>
      <c r="J58">
        <v>0.83830483359896102</v>
      </c>
      <c r="K58" t="str">
        <f t="shared" si="0"/>
        <v>OK</v>
      </c>
      <c r="L58" t="str">
        <f t="shared" si="1"/>
        <v>OK</v>
      </c>
      <c r="M58" t="str">
        <f>IF(OR(B58&lt;$AE$20,B58&gt;$AF$20),"Outlier","OK")</f>
        <v>OK</v>
      </c>
      <c r="N58" t="str">
        <f>IF(OR(J58&lt;$AE$21,J58&gt;$AF$21),"Outlier","OK")</f>
        <v>OK</v>
      </c>
      <c r="O58" t="str">
        <f>IF(OR(C58&lt;0,C58&gt;1),"Outlier","OK")</f>
        <v>OK</v>
      </c>
      <c r="P58" t="str">
        <f>IF(OR(D58&lt;0,D58&gt;1),"Outlier","OK")</f>
        <v>Outlier</v>
      </c>
      <c r="Q58" t="str">
        <f t="shared" si="2"/>
        <v>80-100%</v>
      </c>
      <c r="R58" t="str">
        <f>IF(B58="","Missing","OK")</f>
        <v>OK</v>
      </c>
      <c r="S58" t="str">
        <f>IF(E58="","Missing","OK")</f>
        <v>OK</v>
      </c>
      <c r="T58" t="str">
        <f t="shared" si="3"/>
        <v>OK</v>
      </c>
      <c r="U58">
        <f>COUNTIF($A:$A,A58)</f>
        <v>1</v>
      </c>
      <c r="V58" t="str">
        <f t="shared" si="4"/>
        <v>OK</v>
      </c>
      <c r="W58" t="str">
        <f>IF(I58&gt;B58,"ERROR","OK")</f>
        <v>OK</v>
      </c>
      <c r="X58">
        <f>(B58-I58)/B58</f>
        <v>0.83830483359896124</v>
      </c>
      <c r="Y58" s="2">
        <f t="shared" si="5"/>
        <v>2.2204460492503131E-16</v>
      </c>
      <c r="Z58" s="2" t="str">
        <f t="shared" si="6"/>
        <v>OK</v>
      </c>
      <c r="AA58" t="str">
        <f t="shared" si="7"/>
        <v>Unique</v>
      </c>
    </row>
    <row r="59" spans="1:27" x14ac:dyDescent="0.3">
      <c r="A59">
        <v>58</v>
      </c>
      <c r="B59">
        <v>1378536.4932959499</v>
      </c>
      <c r="C59">
        <v>0.83410105028025805</v>
      </c>
      <c r="D59">
        <v>-0.19587945706158599</v>
      </c>
      <c r="E59">
        <v>0.42047479294280199</v>
      </c>
      <c r="F59">
        <v>1</v>
      </c>
      <c r="G59" t="s">
        <v>13</v>
      </c>
      <c r="H59">
        <v>0</v>
      </c>
      <c r="I59">
        <v>579639.84658271202</v>
      </c>
      <c r="J59">
        <v>0.57952520705719701</v>
      </c>
      <c r="K59" t="str">
        <f t="shared" si="0"/>
        <v>OK</v>
      </c>
      <c r="L59" t="str">
        <f t="shared" si="1"/>
        <v>OK</v>
      </c>
      <c r="M59" t="str">
        <f>IF(OR(B59&lt;$AE$20,B59&gt;$AF$20),"Outlier","OK")</f>
        <v>OK</v>
      </c>
      <c r="N59" t="str">
        <f>IF(OR(J59&lt;$AE$21,J59&gt;$AF$21),"Outlier","OK")</f>
        <v>OK</v>
      </c>
      <c r="O59" t="str">
        <f>IF(OR(C59&lt;0,C59&gt;1),"Outlier","OK")</f>
        <v>OK</v>
      </c>
      <c r="P59" t="str">
        <f>IF(OR(D59&lt;0,D59&gt;1),"Outlier","OK")</f>
        <v>Outlier</v>
      </c>
      <c r="Q59" t="str">
        <f t="shared" si="2"/>
        <v>40-60%</v>
      </c>
      <c r="R59" t="str">
        <f>IF(B59="","Missing","OK")</f>
        <v>OK</v>
      </c>
      <c r="S59" t="str">
        <f>IF(E59="","Missing","OK")</f>
        <v>OK</v>
      </c>
      <c r="T59" t="str">
        <f t="shared" si="3"/>
        <v>OK</v>
      </c>
      <c r="U59">
        <f>COUNTIF($A:$A,A59)</f>
        <v>1</v>
      </c>
      <c r="V59" t="str">
        <f t="shared" si="4"/>
        <v>OK</v>
      </c>
      <c r="W59" t="str">
        <f>IF(I59&gt;B59,"ERROR","OK")</f>
        <v>OK</v>
      </c>
      <c r="X59">
        <f>(B59-I59)/B59</f>
        <v>0.57952520705719712</v>
      </c>
      <c r="Y59" s="2">
        <f t="shared" si="5"/>
        <v>1.1102230246251565E-16</v>
      </c>
      <c r="Z59" s="2" t="str">
        <f t="shared" si="6"/>
        <v>OK</v>
      </c>
      <c r="AA59" t="str">
        <f t="shared" si="7"/>
        <v>Unique</v>
      </c>
    </row>
    <row r="60" spans="1:27" x14ac:dyDescent="0.3">
      <c r="A60">
        <v>59</v>
      </c>
      <c r="B60">
        <v>1757140.8415005901</v>
      </c>
      <c r="C60">
        <v>0.49813400992019802</v>
      </c>
      <c r="D60">
        <v>-0.135912248012591</v>
      </c>
      <c r="E60">
        <v>0.38704467080956301</v>
      </c>
      <c r="F60">
        <v>1</v>
      </c>
      <c r="G60" t="s">
        <v>13</v>
      </c>
      <c r="H60">
        <v>0</v>
      </c>
      <c r="I60">
        <v>680091.99856463401</v>
      </c>
      <c r="J60">
        <v>0.61295532919043605</v>
      </c>
      <c r="K60" t="str">
        <f t="shared" si="0"/>
        <v>OK</v>
      </c>
      <c r="L60" t="str">
        <f t="shared" si="1"/>
        <v>OK</v>
      </c>
      <c r="M60" t="str">
        <f>IF(OR(B60&lt;$AE$20,B60&gt;$AF$20),"Outlier","OK")</f>
        <v>OK</v>
      </c>
      <c r="N60" t="str">
        <f>IF(OR(J60&lt;$AE$21,J60&gt;$AF$21),"Outlier","OK")</f>
        <v>OK</v>
      </c>
      <c r="O60" t="str">
        <f>IF(OR(C60&lt;0,C60&gt;1),"Outlier","OK")</f>
        <v>OK</v>
      </c>
      <c r="P60" t="str">
        <f>IF(OR(D60&lt;0,D60&gt;1),"Outlier","OK")</f>
        <v>Outlier</v>
      </c>
      <c r="Q60" t="str">
        <f t="shared" si="2"/>
        <v>60-80%</v>
      </c>
      <c r="R60" t="str">
        <f>IF(B60="","Missing","OK")</f>
        <v>OK</v>
      </c>
      <c r="S60" t="str">
        <f>IF(E60="","Missing","OK")</f>
        <v>OK</v>
      </c>
      <c r="T60" t="str">
        <f t="shared" si="3"/>
        <v>OK</v>
      </c>
      <c r="U60">
        <f>COUNTIF($A:$A,A60)</f>
        <v>1</v>
      </c>
      <c r="V60" t="str">
        <f t="shared" si="4"/>
        <v>OK</v>
      </c>
      <c r="W60" t="str">
        <f>IF(I60&gt;B60,"ERROR","OK")</f>
        <v>OK</v>
      </c>
      <c r="X60">
        <f>(B60-I60)/B60</f>
        <v>0.61295532919043727</v>
      </c>
      <c r="Y60" s="2">
        <f t="shared" si="5"/>
        <v>1.2212453270876722E-15</v>
      </c>
      <c r="Z60" s="2" t="str">
        <f t="shared" si="6"/>
        <v>OK</v>
      </c>
      <c r="AA60" t="str">
        <f t="shared" si="7"/>
        <v>Unique</v>
      </c>
    </row>
    <row r="61" spans="1:27" x14ac:dyDescent="0.3">
      <c r="A61">
        <v>60</v>
      </c>
      <c r="B61">
        <v>1045323.55808212</v>
      </c>
      <c r="C61">
        <v>0.36340053485590001</v>
      </c>
      <c r="D61">
        <v>0.10266456803415699</v>
      </c>
      <c r="E61">
        <v>0.26309439374032001</v>
      </c>
      <c r="F61">
        <v>1</v>
      </c>
      <c r="G61" t="s">
        <v>10</v>
      </c>
      <c r="H61">
        <v>1</v>
      </c>
      <c r="I61">
        <v>275018.76777609001</v>
      </c>
      <c r="J61">
        <v>0.73690560625967905</v>
      </c>
      <c r="K61" t="str">
        <f t="shared" si="0"/>
        <v>OK</v>
      </c>
      <c r="L61" t="str">
        <f t="shared" si="1"/>
        <v>OK</v>
      </c>
      <c r="M61" t="str">
        <f>IF(OR(B61&lt;$AE$20,B61&gt;$AF$20),"Outlier","OK")</f>
        <v>OK</v>
      </c>
      <c r="N61" t="str">
        <f>IF(OR(J61&lt;$AE$21,J61&gt;$AF$21),"Outlier","OK")</f>
        <v>OK</v>
      </c>
      <c r="O61" t="str">
        <f>IF(OR(C61&lt;0,C61&gt;1),"Outlier","OK")</f>
        <v>OK</v>
      </c>
      <c r="P61" t="str">
        <f>IF(OR(D61&lt;0,D61&gt;1),"Outlier","OK")</f>
        <v>OK</v>
      </c>
      <c r="Q61" t="str">
        <f t="shared" si="2"/>
        <v>60-80%</v>
      </c>
      <c r="R61" t="str">
        <f>IF(B61="","Missing","OK")</f>
        <v>OK</v>
      </c>
      <c r="S61" t="str">
        <f>IF(E61="","Missing","OK")</f>
        <v>OK</v>
      </c>
      <c r="T61" t="str">
        <f t="shared" si="3"/>
        <v>OK</v>
      </c>
      <c r="U61">
        <f>COUNTIF($A:$A,A61)</f>
        <v>1</v>
      </c>
      <c r="V61" t="str">
        <f t="shared" si="4"/>
        <v>OK</v>
      </c>
      <c r="W61" t="str">
        <f>IF(I61&gt;B61,"ERROR","OK")</f>
        <v>OK</v>
      </c>
      <c r="X61">
        <f>(B61-I61)/B61</f>
        <v>0.7369056062596796</v>
      </c>
      <c r="Y61" s="2">
        <f t="shared" si="5"/>
        <v>5.5511151231257827E-16</v>
      </c>
      <c r="Z61" s="2" t="str">
        <f t="shared" si="6"/>
        <v>OK</v>
      </c>
      <c r="AA61" t="str">
        <f t="shared" si="7"/>
        <v>Unique</v>
      </c>
    </row>
    <row r="62" spans="1:27" x14ac:dyDescent="0.3">
      <c r="A62">
        <v>61</v>
      </c>
      <c r="B62">
        <v>1355161.8767764301</v>
      </c>
      <c r="C62">
        <v>0.74537026908786097</v>
      </c>
      <c r="D62">
        <v>0.13566843510108101</v>
      </c>
      <c r="E62">
        <v>0.32954849514129603</v>
      </c>
      <c r="F62">
        <v>1</v>
      </c>
      <c r="G62" t="s">
        <v>12</v>
      </c>
      <c r="H62">
        <v>0</v>
      </c>
      <c r="I62">
        <v>446591.55716452701</v>
      </c>
      <c r="J62">
        <v>0.67045150485870297</v>
      </c>
      <c r="K62" t="str">
        <f t="shared" si="0"/>
        <v>OK</v>
      </c>
      <c r="L62" t="str">
        <f t="shared" si="1"/>
        <v>OK</v>
      </c>
      <c r="M62" t="str">
        <f>IF(OR(B62&lt;$AE$20,B62&gt;$AF$20),"Outlier","OK")</f>
        <v>OK</v>
      </c>
      <c r="N62" t="str">
        <f>IF(OR(J62&lt;$AE$21,J62&gt;$AF$21),"Outlier","OK")</f>
        <v>OK</v>
      </c>
      <c r="O62" t="str">
        <f>IF(OR(C62&lt;0,C62&gt;1),"Outlier","OK")</f>
        <v>OK</v>
      </c>
      <c r="P62" t="str">
        <f>IF(OR(D62&lt;0,D62&gt;1),"Outlier","OK")</f>
        <v>OK</v>
      </c>
      <c r="Q62" t="str">
        <f t="shared" si="2"/>
        <v>60-80%</v>
      </c>
      <c r="R62" t="str">
        <f>IF(B62="","Missing","OK")</f>
        <v>OK</v>
      </c>
      <c r="S62" t="str">
        <f>IF(E62="","Missing","OK")</f>
        <v>OK</v>
      </c>
      <c r="T62" t="str">
        <f t="shared" si="3"/>
        <v>OK</v>
      </c>
      <c r="U62">
        <f>COUNTIF($A:$A,A62)</f>
        <v>1</v>
      </c>
      <c r="V62" t="str">
        <f t="shared" si="4"/>
        <v>OK</v>
      </c>
      <c r="W62" t="str">
        <f>IF(I62&gt;B62,"ERROR","OK")</f>
        <v>OK</v>
      </c>
      <c r="X62">
        <f>(B62-I62)/B62</f>
        <v>0.67045150485870397</v>
      </c>
      <c r="Y62" s="2">
        <f t="shared" si="5"/>
        <v>9.9920072216264089E-16</v>
      </c>
      <c r="Z62" s="2" t="str">
        <f t="shared" si="6"/>
        <v>OK</v>
      </c>
      <c r="AA62" t="str">
        <f t="shared" si="7"/>
        <v>Unique</v>
      </c>
    </row>
    <row r="63" spans="1:27" x14ac:dyDescent="0.3">
      <c r="A63">
        <v>62</v>
      </c>
      <c r="B63">
        <v>1192576.27749631</v>
      </c>
      <c r="C63">
        <v>0.51513770454427699</v>
      </c>
      <c r="D63">
        <v>3.5424116667246097E-2</v>
      </c>
      <c r="E63">
        <v>6.2206914969409097E-2</v>
      </c>
      <c r="F63">
        <v>1</v>
      </c>
      <c r="G63" t="s">
        <v>10</v>
      </c>
      <c r="H63">
        <v>1</v>
      </c>
      <c r="I63">
        <v>74186.491088747702</v>
      </c>
      <c r="J63">
        <v>0.93779308503059</v>
      </c>
      <c r="K63" t="str">
        <f t="shared" si="0"/>
        <v>OK</v>
      </c>
      <c r="L63" t="str">
        <f t="shared" si="1"/>
        <v>OK</v>
      </c>
      <c r="M63" t="str">
        <f>IF(OR(B63&lt;$AE$20,B63&gt;$AF$20),"Outlier","OK")</f>
        <v>OK</v>
      </c>
      <c r="N63" t="str">
        <f>IF(OR(J63&lt;$AE$21,J63&gt;$AF$21),"Outlier","OK")</f>
        <v>OK</v>
      </c>
      <c r="O63" t="str">
        <f>IF(OR(C63&lt;0,C63&gt;1),"Outlier","OK")</f>
        <v>OK</v>
      </c>
      <c r="P63" t="str">
        <f>IF(OR(D63&lt;0,D63&gt;1),"Outlier","OK")</f>
        <v>OK</v>
      </c>
      <c r="Q63" t="str">
        <f t="shared" si="2"/>
        <v>80-100%</v>
      </c>
      <c r="R63" t="str">
        <f>IF(B63="","Missing","OK")</f>
        <v>OK</v>
      </c>
      <c r="S63" t="str">
        <f>IF(E63="","Missing","OK")</f>
        <v>OK</v>
      </c>
      <c r="T63" t="str">
        <f t="shared" si="3"/>
        <v>OK</v>
      </c>
      <c r="U63">
        <f>COUNTIF($A:$A,A63)</f>
        <v>1</v>
      </c>
      <c r="V63" t="str">
        <f t="shared" si="4"/>
        <v>OK</v>
      </c>
      <c r="W63" t="str">
        <f>IF(I63&gt;B63,"ERROR","OK")</f>
        <v>OK</v>
      </c>
      <c r="X63">
        <f>(B63-I63)/B63</f>
        <v>0.93779308503059056</v>
      </c>
      <c r="Y63" s="2">
        <f t="shared" si="5"/>
        <v>5.5511151231257827E-16</v>
      </c>
      <c r="Z63" s="2" t="str">
        <f t="shared" si="6"/>
        <v>OK</v>
      </c>
      <c r="AA63" t="str">
        <f t="shared" si="7"/>
        <v>Unique</v>
      </c>
    </row>
    <row r="64" spans="1:27" x14ac:dyDescent="0.3">
      <c r="A64">
        <v>63</v>
      </c>
      <c r="B64">
        <v>1268561.8290864101</v>
      </c>
      <c r="C64">
        <v>0.74235582114486998</v>
      </c>
      <c r="D64">
        <v>-7.96509395636191E-2</v>
      </c>
      <c r="E64">
        <v>0.171183826945808</v>
      </c>
      <c r="F64">
        <v>1</v>
      </c>
      <c r="G64" t="s">
        <v>13</v>
      </c>
      <c r="H64">
        <v>0</v>
      </c>
      <c r="I64">
        <v>217157.268620388</v>
      </c>
      <c r="J64">
        <v>0.82881617305419097</v>
      </c>
      <c r="K64" t="str">
        <f t="shared" si="0"/>
        <v>OK</v>
      </c>
      <c r="L64" t="str">
        <f t="shared" si="1"/>
        <v>OK</v>
      </c>
      <c r="M64" t="str">
        <f>IF(OR(B64&lt;$AE$20,B64&gt;$AF$20),"Outlier","OK")</f>
        <v>OK</v>
      </c>
      <c r="N64" t="str">
        <f>IF(OR(J64&lt;$AE$21,J64&gt;$AF$21),"Outlier","OK")</f>
        <v>OK</v>
      </c>
      <c r="O64" t="str">
        <f>IF(OR(C64&lt;0,C64&gt;1),"Outlier","OK")</f>
        <v>OK</v>
      </c>
      <c r="P64" t="str">
        <f>IF(OR(D64&lt;0,D64&gt;1),"Outlier","OK")</f>
        <v>Outlier</v>
      </c>
      <c r="Q64" t="str">
        <f t="shared" si="2"/>
        <v>80-100%</v>
      </c>
      <c r="R64" t="str">
        <f>IF(B64="","Missing","OK")</f>
        <v>OK</v>
      </c>
      <c r="S64" t="str">
        <f>IF(E64="","Missing","OK")</f>
        <v>OK</v>
      </c>
      <c r="T64" t="str">
        <f t="shared" si="3"/>
        <v>OK</v>
      </c>
      <c r="U64">
        <f>COUNTIF($A:$A,A64)</f>
        <v>1</v>
      </c>
      <c r="V64" t="str">
        <f t="shared" si="4"/>
        <v>OK</v>
      </c>
      <c r="W64" t="str">
        <f>IF(I64&gt;B64,"ERROR","OK")</f>
        <v>OK</v>
      </c>
      <c r="X64">
        <f>(B64-I64)/B64</f>
        <v>0.82881617305419031</v>
      </c>
      <c r="Y64" s="2">
        <f t="shared" si="5"/>
        <v>6.6613381477509392E-16</v>
      </c>
      <c r="Z64" s="2" t="str">
        <f t="shared" si="6"/>
        <v>OK</v>
      </c>
      <c r="AA64" t="str">
        <f t="shared" si="7"/>
        <v>Unique</v>
      </c>
    </row>
    <row r="65" spans="1:27" x14ac:dyDescent="0.3">
      <c r="A65">
        <v>64</v>
      </c>
      <c r="B65">
        <v>1365643.64942625</v>
      </c>
      <c r="C65">
        <v>0.76353109918652395</v>
      </c>
      <c r="D65">
        <v>8.7897672674538005E-2</v>
      </c>
      <c r="E65">
        <v>0.33737346762496301</v>
      </c>
      <c r="F65">
        <v>1</v>
      </c>
      <c r="G65" t="s">
        <v>13</v>
      </c>
      <c r="H65">
        <v>0</v>
      </c>
      <c r="I65">
        <v>460731.93354694598</v>
      </c>
      <c r="J65">
        <v>0.66262653237503599</v>
      </c>
      <c r="K65" t="str">
        <f t="shared" si="0"/>
        <v>OK</v>
      </c>
      <c r="L65" t="str">
        <f t="shared" si="1"/>
        <v>OK</v>
      </c>
      <c r="M65" t="str">
        <f>IF(OR(B65&lt;$AE$20,B65&gt;$AF$20),"Outlier","OK")</f>
        <v>OK</v>
      </c>
      <c r="N65" t="str">
        <f>IF(OR(J65&lt;$AE$21,J65&gt;$AF$21),"Outlier","OK")</f>
        <v>OK</v>
      </c>
      <c r="O65" t="str">
        <f>IF(OR(C65&lt;0,C65&gt;1),"Outlier","OK")</f>
        <v>OK</v>
      </c>
      <c r="P65" t="str">
        <f>IF(OR(D65&lt;0,D65&gt;1),"Outlier","OK")</f>
        <v>OK</v>
      </c>
      <c r="Q65" t="str">
        <f t="shared" si="2"/>
        <v>60-80%</v>
      </c>
      <c r="R65" t="str">
        <f>IF(B65="","Missing","OK")</f>
        <v>OK</v>
      </c>
      <c r="S65" t="str">
        <f>IF(E65="","Missing","OK")</f>
        <v>OK</v>
      </c>
      <c r="T65" t="str">
        <f t="shared" si="3"/>
        <v>OK</v>
      </c>
      <c r="U65">
        <f>COUNTIF($A:$A,A65)</f>
        <v>1</v>
      </c>
      <c r="V65" t="str">
        <f t="shared" si="4"/>
        <v>OK</v>
      </c>
      <c r="W65" t="str">
        <f>IF(I65&gt;B65,"ERROR","OK")</f>
        <v>OK</v>
      </c>
      <c r="X65">
        <f>(B65-I65)/B65</f>
        <v>0.6626265323750351</v>
      </c>
      <c r="Y65" s="2">
        <f t="shared" si="5"/>
        <v>8.8817841970012523E-16</v>
      </c>
      <c r="Z65" s="2" t="str">
        <f t="shared" si="6"/>
        <v>OK</v>
      </c>
      <c r="AA65" t="str">
        <f t="shared" si="7"/>
        <v>Unique</v>
      </c>
    </row>
    <row r="66" spans="1:27" x14ac:dyDescent="0.3">
      <c r="A66">
        <v>65</v>
      </c>
      <c r="B66">
        <v>1692567.7533595001</v>
      </c>
      <c r="C66">
        <v>0.78528123961629503</v>
      </c>
      <c r="D66">
        <v>0.187946825504024</v>
      </c>
      <c r="E66">
        <v>0.18161382032234599</v>
      </c>
      <c r="F66">
        <v>1</v>
      </c>
      <c r="G66" t="s">
        <v>12</v>
      </c>
      <c r="H66">
        <v>1</v>
      </c>
      <c r="I66">
        <v>307393.69584202999</v>
      </c>
      <c r="J66">
        <v>0.81838617967765304</v>
      </c>
      <c r="K66" t="str">
        <f t="shared" si="0"/>
        <v>OK</v>
      </c>
      <c r="L66" t="str">
        <f t="shared" si="1"/>
        <v>OK</v>
      </c>
      <c r="M66" t="str">
        <f>IF(OR(B66&lt;$AE$20,B66&gt;$AF$20),"Outlier","OK")</f>
        <v>OK</v>
      </c>
      <c r="N66" t="str">
        <f>IF(OR(J66&lt;$AE$21,J66&gt;$AF$21),"Outlier","OK")</f>
        <v>OK</v>
      </c>
      <c r="O66" t="str">
        <f>IF(OR(C66&lt;0,C66&gt;1),"Outlier","OK")</f>
        <v>OK</v>
      </c>
      <c r="P66" t="str">
        <f>IF(OR(D66&lt;0,D66&gt;1),"Outlier","OK")</f>
        <v>OK</v>
      </c>
      <c r="Q66" t="str">
        <f t="shared" si="2"/>
        <v>80-100%</v>
      </c>
      <c r="R66" t="str">
        <f>IF(B66="","Missing","OK")</f>
        <v>OK</v>
      </c>
      <c r="S66" t="str">
        <f>IF(E66="","Missing","OK")</f>
        <v>OK</v>
      </c>
      <c r="T66" t="str">
        <f t="shared" si="3"/>
        <v>OK</v>
      </c>
      <c r="U66">
        <f>COUNTIF($A:$A,A66)</f>
        <v>1</v>
      </c>
      <c r="V66" t="str">
        <f t="shared" si="4"/>
        <v>OK</v>
      </c>
      <c r="W66" t="str">
        <f>IF(I66&gt;B66,"ERROR","OK")</f>
        <v>OK</v>
      </c>
      <c r="X66">
        <f>(B66-I66)/B66</f>
        <v>0.81838617967765348</v>
      </c>
      <c r="Y66" s="2">
        <f t="shared" si="5"/>
        <v>4.4408920985006262E-16</v>
      </c>
      <c r="Z66" s="2" t="str">
        <f t="shared" si="6"/>
        <v>OK</v>
      </c>
      <c r="AA66" t="str">
        <f t="shared" si="7"/>
        <v>Unique</v>
      </c>
    </row>
    <row r="67" spans="1:27" x14ac:dyDescent="0.3">
      <c r="A67">
        <v>66</v>
      </c>
      <c r="B67">
        <v>212230.22724825499</v>
      </c>
      <c r="C67">
        <v>0.224426345654826</v>
      </c>
      <c r="D67">
        <v>0.18866035050711799</v>
      </c>
      <c r="E67">
        <v>0.59844222934216496</v>
      </c>
      <c r="F67">
        <v>1</v>
      </c>
      <c r="G67" t="s">
        <v>13</v>
      </c>
      <c r="H67">
        <v>0</v>
      </c>
      <c r="I67">
        <v>127007.53032824</v>
      </c>
      <c r="J67">
        <v>0.40155777065783399</v>
      </c>
      <c r="K67" t="str">
        <f t="shared" ref="K67:K130" si="8">IF(OR(J67&lt;0,J67&gt;1),"Error","OK")</f>
        <v>OK</v>
      </c>
      <c r="L67" t="str">
        <f t="shared" ref="L67:L130" si="9">IF(I67&gt;B67,"Error","OK")</f>
        <v>OK</v>
      </c>
      <c r="M67" t="str">
        <f>IF(OR(B67&lt;$AE$20,B67&gt;$AF$20),"Outlier","OK")</f>
        <v>OK</v>
      </c>
      <c r="N67" t="str">
        <f>IF(OR(J67&lt;$AE$21,J67&gt;$AF$21),"Outlier","OK")</f>
        <v>OK</v>
      </c>
      <c r="O67" t="str">
        <f>IF(OR(C67&lt;0,C67&gt;1),"Outlier","OK")</f>
        <v>OK</v>
      </c>
      <c r="P67" t="str">
        <f>IF(OR(D67&lt;0,D67&gt;1),"Outlier","OK")</f>
        <v>OK</v>
      </c>
      <c r="Q67" t="str">
        <f t="shared" ref="Q67:Q130" si="10">IF(J67&lt;=0.2,"0-20%",
 IF(J67&lt;=0.4,"20-40%",
 IF(J67&lt;=0.6,"40-60%",
 IF(J67&lt;=0.8,"60-80%","80-100%"))))</f>
        <v>40-60%</v>
      </c>
      <c r="R67" t="str">
        <f>IF(B67="","Missing","OK")</f>
        <v>OK</v>
      </c>
      <c r="S67" t="str">
        <f>IF(E67="","Missing","OK")</f>
        <v>OK</v>
      </c>
      <c r="T67" t="str">
        <f t="shared" ref="T67:T130" si="11">IF(J67="","Missing","OK")</f>
        <v>OK</v>
      </c>
      <c r="U67">
        <f>COUNTIF($A:$A,A67)</f>
        <v>1</v>
      </c>
      <c r="V67" t="str">
        <f t="shared" ref="V67:V130" si="12">IF(OR(J67&lt;0,J67&gt;1),"ERROR","OK")</f>
        <v>OK</v>
      </c>
      <c r="W67" t="str">
        <f>IF(I67&gt;B67,"ERROR","OK")</f>
        <v>OK</v>
      </c>
      <c r="X67">
        <f>(B67-I67)/B67</f>
        <v>0.40155777065783504</v>
      </c>
      <c r="Y67" s="2">
        <f t="shared" ref="Y67:Y130" si="13">ABS(J67-X67)</f>
        <v>1.0547118733938987E-15</v>
      </c>
      <c r="Z67" s="2" t="str">
        <f t="shared" ref="Z67:Z130" si="14">IF(OR(B67="",I67="",J67=""),"Missing","OK")</f>
        <v>OK</v>
      </c>
      <c r="AA67" t="str">
        <f t="shared" ref="AA67:AA130" si="15">IF(COUNTIF($A:$A,A67)&gt;1,"Duplicate","Unique")</f>
        <v>Unique</v>
      </c>
    </row>
    <row r="68" spans="1:27" x14ac:dyDescent="0.3">
      <c r="A68">
        <v>67</v>
      </c>
      <c r="B68">
        <v>1539181.5408145001</v>
      </c>
      <c r="C68">
        <v>0.48637444161023102</v>
      </c>
      <c r="D68">
        <v>-0.165040880553843</v>
      </c>
      <c r="E68">
        <v>0.202065438479062</v>
      </c>
      <c r="F68">
        <v>1</v>
      </c>
      <c r="G68" t="s">
        <v>11</v>
      </c>
      <c r="H68">
        <v>1</v>
      </c>
      <c r="I68">
        <v>311015.39294356201</v>
      </c>
      <c r="J68">
        <v>0.797934561520937</v>
      </c>
      <c r="K68" t="str">
        <f t="shared" si="8"/>
        <v>OK</v>
      </c>
      <c r="L68" t="str">
        <f t="shared" si="9"/>
        <v>OK</v>
      </c>
      <c r="M68" t="str">
        <f>IF(OR(B68&lt;$AE$20,B68&gt;$AF$20),"Outlier","OK")</f>
        <v>OK</v>
      </c>
      <c r="N68" t="str">
        <f>IF(OR(J68&lt;$AE$21,J68&gt;$AF$21),"Outlier","OK")</f>
        <v>OK</v>
      </c>
      <c r="O68" t="str">
        <f>IF(OR(C68&lt;0,C68&gt;1),"Outlier","OK")</f>
        <v>OK</v>
      </c>
      <c r="P68" t="str">
        <f>IF(OR(D68&lt;0,D68&gt;1),"Outlier","OK")</f>
        <v>Outlier</v>
      </c>
      <c r="Q68" t="str">
        <f t="shared" si="10"/>
        <v>60-80%</v>
      </c>
      <c r="R68" t="str">
        <f>IF(B68="","Missing","OK")</f>
        <v>OK</v>
      </c>
      <c r="S68" t="str">
        <f>IF(E68="","Missing","OK")</f>
        <v>OK</v>
      </c>
      <c r="T68" t="str">
        <f t="shared" si="11"/>
        <v>OK</v>
      </c>
      <c r="U68">
        <f>COUNTIF($A:$A,A68)</f>
        <v>1</v>
      </c>
      <c r="V68" t="str">
        <f t="shared" si="12"/>
        <v>OK</v>
      </c>
      <c r="W68" t="str">
        <f>IF(I68&gt;B68,"ERROR","OK")</f>
        <v>OK</v>
      </c>
      <c r="X68">
        <f>(B68-I68)/B68</f>
        <v>0.79793456152093689</v>
      </c>
      <c r="Y68" s="2">
        <f t="shared" si="13"/>
        <v>1.1102230246251565E-16</v>
      </c>
      <c r="Z68" s="2" t="str">
        <f t="shared" si="14"/>
        <v>OK</v>
      </c>
      <c r="AA68" t="str">
        <f t="shared" si="15"/>
        <v>Unique</v>
      </c>
    </row>
    <row r="69" spans="1:27" x14ac:dyDescent="0.3">
      <c r="A69">
        <v>68</v>
      </c>
      <c r="B69">
        <v>525149.43034690397</v>
      </c>
      <c r="C69">
        <v>0.30551131522310199</v>
      </c>
      <c r="D69">
        <v>7.1902754802728994E-2</v>
      </c>
      <c r="E69">
        <v>0.445271994411856</v>
      </c>
      <c r="F69">
        <v>1</v>
      </c>
      <c r="G69" t="s">
        <v>13</v>
      </c>
      <c r="H69">
        <v>0</v>
      </c>
      <c r="I69">
        <v>233834.33421481599</v>
      </c>
      <c r="J69">
        <v>0.55472800558814295</v>
      </c>
      <c r="K69" t="str">
        <f t="shared" si="8"/>
        <v>OK</v>
      </c>
      <c r="L69" t="str">
        <f t="shared" si="9"/>
        <v>OK</v>
      </c>
      <c r="M69" t="str">
        <f>IF(OR(B69&lt;$AE$20,B69&gt;$AF$20),"Outlier","OK")</f>
        <v>OK</v>
      </c>
      <c r="N69" t="str">
        <f>IF(OR(J69&lt;$AE$21,J69&gt;$AF$21),"Outlier","OK")</f>
        <v>OK</v>
      </c>
      <c r="O69" t="str">
        <f>IF(OR(C69&lt;0,C69&gt;1),"Outlier","OK")</f>
        <v>OK</v>
      </c>
      <c r="P69" t="str">
        <f>IF(OR(D69&lt;0,D69&gt;1),"Outlier","OK")</f>
        <v>OK</v>
      </c>
      <c r="Q69" t="str">
        <f t="shared" si="10"/>
        <v>40-60%</v>
      </c>
      <c r="R69" t="str">
        <f>IF(B69="","Missing","OK")</f>
        <v>OK</v>
      </c>
      <c r="S69" t="str">
        <f>IF(E69="","Missing","OK")</f>
        <v>OK</v>
      </c>
      <c r="T69" t="str">
        <f t="shared" si="11"/>
        <v>OK</v>
      </c>
      <c r="U69">
        <f>COUNTIF($A:$A,A69)</f>
        <v>1</v>
      </c>
      <c r="V69" t="str">
        <f t="shared" si="12"/>
        <v>OK</v>
      </c>
      <c r="W69" t="str">
        <f>IF(I69&gt;B69,"ERROR","OK")</f>
        <v>OK</v>
      </c>
      <c r="X69">
        <f>(B69-I69)/B69</f>
        <v>0.55472800558814406</v>
      </c>
      <c r="Y69" s="2">
        <f t="shared" si="13"/>
        <v>1.1102230246251565E-15</v>
      </c>
      <c r="Z69" s="2" t="str">
        <f t="shared" si="14"/>
        <v>OK</v>
      </c>
      <c r="AA69" t="str">
        <f t="shared" si="15"/>
        <v>Unique</v>
      </c>
    </row>
    <row r="70" spans="1:27" x14ac:dyDescent="0.3">
      <c r="A70">
        <v>69</v>
      </c>
      <c r="B70">
        <v>428734.773128603</v>
      </c>
      <c r="C70">
        <v>0.34421988005459703</v>
      </c>
      <c r="D70">
        <v>0.17351112472859401</v>
      </c>
      <c r="E70">
        <v>0.463460693134639</v>
      </c>
      <c r="F70">
        <v>1</v>
      </c>
      <c r="G70" t="s">
        <v>13</v>
      </c>
      <c r="H70">
        <v>0</v>
      </c>
      <c r="I70">
        <v>198701.715125104</v>
      </c>
      <c r="J70">
        <v>0.536539306865361</v>
      </c>
      <c r="K70" t="str">
        <f t="shared" si="8"/>
        <v>OK</v>
      </c>
      <c r="L70" t="str">
        <f t="shared" si="9"/>
        <v>OK</v>
      </c>
      <c r="M70" t="str">
        <f>IF(OR(B70&lt;$AE$20,B70&gt;$AF$20),"Outlier","OK")</f>
        <v>OK</v>
      </c>
      <c r="N70" t="str">
        <f>IF(OR(J70&lt;$AE$21,J70&gt;$AF$21),"Outlier","OK")</f>
        <v>OK</v>
      </c>
      <c r="O70" t="str">
        <f>IF(OR(C70&lt;0,C70&gt;1),"Outlier","OK")</f>
        <v>OK</v>
      </c>
      <c r="P70" t="str">
        <f>IF(OR(D70&lt;0,D70&gt;1),"Outlier","OK")</f>
        <v>OK</v>
      </c>
      <c r="Q70" t="str">
        <f t="shared" si="10"/>
        <v>40-60%</v>
      </c>
      <c r="R70" t="str">
        <f>IF(B70="","Missing","OK")</f>
        <v>OK</v>
      </c>
      <c r="S70" t="str">
        <f>IF(E70="","Missing","OK")</f>
        <v>OK</v>
      </c>
      <c r="T70" t="str">
        <f t="shared" si="11"/>
        <v>OK</v>
      </c>
      <c r="U70">
        <f>COUNTIF($A:$A,A70)</f>
        <v>1</v>
      </c>
      <c r="V70" t="str">
        <f t="shared" si="12"/>
        <v>OK</v>
      </c>
      <c r="W70" t="str">
        <f>IF(I70&gt;B70,"ERROR","OK")</f>
        <v>OK</v>
      </c>
      <c r="X70">
        <f>(B70-I70)/B70</f>
        <v>0.53653930686536222</v>
      </c>
      <c r="Y70" s="2">
        <f t="shared" si="13"/>
        <v>1.2212453270876722E-15</v>
      </c>
      <c r="Z70" s="2" t="str">
        <f t="shared" si="14"/>
        <v>OK</v>
      </c>
      <c r="AA70" t="str">
        <f t="shared" si="15"/>
        <v>Unique</v>
      </c>
    </row>
    <row r="71" spans="1:27" x14ac:dyDescent="0.3">
      <c r="A71">
        <v>70</v>
      </c>
      <c r="B71">
        <v>1166291.0671083699</v>
      </c>
      <c r="C71">
        <v>0.744696951215436</v>
      </c>
      <c r="D71">
        <v>-0.18126679689393499</v>
      </c>
      <c r="E71">
        <v>0.51728245354648805</v>
      </c>
      <c r="F71">
        <v>1</v>
      </c>
      <c r="G71" t="s">
        <v>11</v>
      </c>
      <c r="H71">
        <v>0</v>
      </c>
      <c r="I71">
        <v>603301.90474317095</v>
      </c>
      <c r="J71">
        <v>0.482717546453511</v>
      </c>
      <c r="K71" t="str">
        <f t="shared" si="8"/>
        <v>OK</v>
      </c>
      <c r="L71" t="str">
        <f t="shared" si="9"/>
        <v>OK</v>
      </c>
      <c r="M71" t="str">
        <f>IF(OR(B71&lt;$AE$20,B71&gt;$AF$20),"Outlier","OK")</f>
        <v>OK</v>
      </c>
      <c r="N71" t="str">
        <f>IF(OR(J71&lt;$AE$21,J71&gt;$AF$21),"Outlier","OK")</f>
        <v>OK</v>
      </c>
      <c r="O71" t="str">
        <f>IF(OR(C71&lt;0,C71&gt;1),"Outlier","OK")</f>
        <v>OK</v>
      </c>
      <c r="P71" t="str">
        <f>IF(OR(D71&lt;0,D71&gt;1),"Outlier","OK")</f>
        <v>Outlier</v>
      </c>
      <c r="Q71" t="str">
        <f t="shared" si="10"/>
        <v>40-60%</v>
      </c>
      <c r="R71" t="str">
        <f>IF(B71="","Missing","OK")</f>
        <v>OK</v>
      </c>
      <c r="S71" t="str">
        <f>IF(E71="","Missing","OK")</f>
        <v>OK</v>
      </c>
      <c r="T71" t="str">
        <f t="shared" si="11"/>
        <v>OK</v>
      </c>
      <c r="U71">
        <f>COUNTIF($A:$A,A71)</f>
        <v>1</v>
      </c>
      <c r="V71" t="str">
        <f t="shared" si="12"/>
        <v>OK</v>
      </c>
      <c r="W71" t="str">
        <f>IF(I71&gt;B71,"ERROR","OK")</f>
        <v>OK</v>
      </c>
      <c r="X71">
        <f>(B71-I71)/B71</f>
        <v>0.48271754645351056</v>
      </c>
      <c r="Y71" s="2">
        <f t="shared" si="13"/>
        <v>4.4408920985006262E-16</v>
      </c>
      <c r="Z71" s="2" t="str">
        <f t="shared" si="14"/>
        <v>OK</v>
      </c>
      <c r="AA71" t="str">
        <f t="shared" si="15"/>
        <v>Unique</v>
      </c>
    </row>
    <row r="72" spans="1:27" x14ac:dyDescent="0.3">
      <c r="A72">
        <v>71</v>
      </c>
      <c r="B72">
        <v>236639.407394154</v>
      </c>
      <c r="C72">
        <v>0.22684155532531</v>
      </c>
      <c r="D72">
        <v>0.11823703744722899</v>
      </c>
      <c r="E72">
        <v>0.21593141914981501</v>
      </c>
      <c r="F72">
        <v>1</v>
      </c>
      <c r="G72" t="s">
        <v>11</v>
      </c>
      <c r="H72">
        <v>1</v>
      </c>
      <c r="I72">
        <v>51097.883065391201</v>
      </c>
      <c r="J72">
        <v>0.78406858085018405</v>
      </c>
      <c r="K72" t="str">
        <f t="shared" si="8"/>
        <v>OK</v>
      </c>
      <c r="L72" t="str">
        <f t="shared" si="9"/>
        <v>OK</v>
      </c>
      <c r="M72" t="str">
        <f>IF(OR(B72&lt;$AE$20,B72&gt;$AF$20),"Outlier","OK")</f>
        <v>OK</v>
      </c>
      <c r="N72" t="str">
        <f>IF(OR(J72&lt;$AE$21,J72&gt;$AF$21),"Outlier","OK")</f>
        <v>OK</v>
      </c>
      <c r="O72" t="str">
        <f>IF(OR(C72&lt;0,C72&gt;1),"Outlier","OK")</f>
        <v>OK</v>
      </c>
      <c r="P72" t="str">
        <f>IF(OR(D72&lt;0,D72&gt;1),"Outlier","OK")</f>
        <v>OK</v>
      </c>
      <c r="Q72" t="str">
        <f t="shared" si="10"/>
        <v>60-80%</v>
      </c>
      <c r="R72" t="str">
        <f>IF(B72="","Missing","OK")</f>
        <v>OK</v>
      </c>
      <c r="S72" t="str">
        <f>IF(E72="","Missing","OK")</f>
        <v>OK</v>
      </c>
      <c r="T72" t="str">
        <f t="shared" si="11"/>
        <v>OK</v>
      </c>
      <c r="U72">
        <f>COUNTIF($A:$A,A72)</f>
        <v>1</v>
      </c>
      <c r="V72" t="str">
        <f t="shared" si="12"/>
        <v>OK</v>
      </c>
      <c r="W72" t="str">
        <f>IF(I72&gt;B72,"ERROR","OK")</f>
        <v>OK</v>
      </c>
      <c r="X72">
        <f>(B72-I72)/B72</f>
        <v>0.78406858085018361</v>
      </c>
      <c r="Y72" s="2">
        <f t="shared" si="13"/>
        <v>4.4408920985006262E-16</v>
      </c>
      <c r="Z72" s="2" t="str">
        <f t="shared" si="14"/>
        <v>OK</v>
      </c>
      <c r="AA72" t="str">
        <f t="shared" si="15"/>
        <v>Unique</v>
      </c>
    </row>
    <row r="73" spans="1:27" x14ac:dyDescent="0.3">
      <c r="A73">
        <v>72</v>
      </c>
      <c r="B73">
        <v>1776387.3112365201</v>
      </c>
      <c r="C73">
        <v>0.36667493702850301</v>
      </c>
      <c r="D73">
        <v>-0.19118595085298601</v>
      </c>
      <c r="E73">
        <v>0.45425121271897501</v>
      </c>
      <c r="F73">
        <v>1</v>
      </c>
      <c r="G73" t="s">
        <v>10</v>
      </c>
      <c r="H73">
        <v>1</v>
      </c>
      <c r="I73">
        <v>806926.09038779</v>
      </c>
      <c r="J73">
        <v>0.54574878728102405</v>
      </c>
      <c r="K73" t="str">
        <f t="shared" si="8"/>
        <v>OK</v>
      </c>
      <c r="L73" t="str">
        <f t="shared" si="9"/>
        <v>OK</v>
      </c>
      <c r="M73" t="str">
        <f>IF(OR(B73&lt;$AE$20,B73&gt;$AF$20),"Outlier","OK")</f>
        <v>OK</v>
      </c>
      <c r="N73" t="str">
        <f>IF(OR(J73&lt;$AE$21,J73&gt;$AF$21),"Outlier","OK")</f>
        <v>OK</v>
      </c>
      <c r="O73" t="str">
        <f>IF(OR(C73&lt;0,C73&gt;1),"Outlier","OK")</f>
        <v>OK</v>
      </c>
      <c r="P73" t="str">
        <f>IF(OR(D73&lt;0,D73&gt;1),"Outlier","OK")</f>
        <v>Outlier</v>
      </c>
      <c r="Q73" t="str">
        <f t="shared" si="10"/>
        <v>40-60%</v>
      </c>
      <c r="R73" t="str">
        <f>IF(B73="","Missing","OK")</f>
        <v>OK</v>
      </c>
      <c r="S73" t="str">
        <f>IF(E73="","Missing","OK")</f>
        <v>OK</v>
      </c>
      <c r="T73" t="str">
        <f t="shared" si="11"/>
        <v>OK</v>
      </c>
      <c r="U73">
        <f>COUNTIF($A:$A,A73)</f>
        <v>1</v>
      </c>
      <c r="V73" t="str">
        <f t="shared" si="12"/>
        <v>OK</v>
      </c>
      <c r="W73" t="str">
        <f>IF(I73&gt;B73,"ERROR","OK")</f>
        <v>OK</v>
      </c>
      <c r="X73">
        <f>(B73-I73)/B73</f>
        <v>0.54574878728102416</v>
      </c>
      <c r="Y73" s="2">
        <f t="shared" si="13"/>
        <v>1.1102230246251565E-16</v>
      </c>
      <c r="Z73" s="2" t="str">
        <f t="shared" si="14"/>
        <v>OK</v>
      </c>
      <c r="AA73" t="str">
        <f t="shared" si="15"/>
        <v>Unique</v>
      </c>
    </row>
    <row r="74" spans="1:27" x14ac:dyDescent="0.3">
      <c r="A74">
        <v>73</v>
      </c>
      <c r="B74">
        <v>1273135.4954999699</v>
      </c>
      <c r="C74">
        <v>0.56665858368171795</v>
      </c>
      <c r="D74">
        <v>-3.9925063348191597E-2</v>
      </c>
      <c r="E74">
        <v>0.39758624983186402</v>
      </c>
      <c r="F74">
        <v>1</v>
      </c>
      <c r="G74" t="s">
        <v>10</v>
      </c>
      <c r="H74">
        <v>1</v>
      </c>
      <c r="I74">
        <v>506181.16718366701</v>
      </c>
      <c r="J74">
        <v>0.60241375016813503</v>
      </c>
      <c r="K74" t="str">
        <f t="shared" si="8"/>
        <v>OK</v>
      </c>
      <c r="L74" t="str">
        <f t="shared" si="9"/>
        <v>OK</v>
      </c>
      <c r="M74" t="str">
        <f>IF(OR(B74&lt;$AE$20,B74&gt;$AF$20),"Outlier","OK")</f>
        <v>OK</v>
      </c>
      <c r="N74" t="str">
        <f>IF(OR(J74&lt;$AE$21,J74&gt;$AF$21),"Outlier","OK")</f>
        <v>OK</v>
      </c>
      <c r="O74" t="str">
        <f>IF(OR(C74&lt;0,C74&gt;1),"Outlier","OK")</f>
        <v>OK</v>
      </c>
      <c r="P74" t="str">
        <f>IF(OR(D74&lt;0,D74&gt;1),"Outlier","OK")</f>
        <v>Outlier</v>
      </c>
      <c r="Q74" t="str">
        <f t="shared" si="10"/>
        <v>60-80%</v>
      </c>
      <c r="R74" t="str">
        <f>IF(B74="","Missing","OK")</f>
        <v>OK</v>
      </c>
      <c r="S74" t="str">
        <f>IF(E74="","Missing","OK")</f>
        <v>OK</v>
      </c>
      <c r="T74" t="str">
        <f t="shared" si="11"/>
        <v>OK</v>
      </c>
      <c r="U74">
        <f>COUNTIF($A:$A,A74)</f>
        <v>1</v>
      </c>
      <c r="V74" t="str">
        <f t="shared" si="12"/>
        <v>OK</v>
      </c>
      <c r="W74" t="str">
        <f>IF(I74&gt;B74,"ERROR","OK")</f>
        <v>OK</v>
      </c>
      <c r="X74">
        <f>(B74-I74)/B74</f>
        <v>0.60241375016813448</v>
      </c>
      <c r="Y74" s="2">
        <f t="shared" si="13"/>
        <v>5.5511151231257827E-16</v>
      </c>
      <c r="Z74" s="2" t="str">
        <f t="shared" si="14"/>
        <v>OK</v>
      </c>
      <c r="AA74" t="str">
        <f t="shared" si="15"/>
        <v>Unique</v>
      </c>
    </row>
    <row r="75" spans="1:27" x14ac:dyDescent="0.3">
      <c r="A75">
        <v>74</v>
      </c>
      <c r="B75">
        <v>1460661.8984704099</v>
      </c>
      <c r="C75">
        <v>0.52989364802859495</v>
      </c>
      <c r="D75">
        <v>5.0546685358744098E-2</v>
      </c>
      <c r="E75">
        <v>0.152577654508331</v>
      </c>
      <c r="F75">
        <v>1</v>
      </c>
      <c r="G75" t="s">
        <v>11</v>
      </c>
      <c r="H75">
        <v>0</v>
      </c>
      <c r="I75">
        <v>222864.36649830101</v>
      </c>
      <c r="J75">
        <v>0.84742234549166895</v>
      </c>
      <c r="K75" t="str">
        <f t="shared" si="8"/>
        <v>OK</v>
      </c>
      <c r="L75" t="str">
        <f t="shared" si="9"/>
        <v>OK</v>
      </c>
      <c r="M75" t="str">
        <f>IF(OR(B75&lt;$AE$20,B75&gt;$AF$20),"Outlier","OK")</f>
        <v>OK</v>
      </c>
      <c r="N75" t="str">
        <f>IF(OR(J75&lt;$AE$21,J75&gt;$AF$21),"Outlier","OK")</f>
        <v>OK</v>
      </c>
      <c r="O75" t="str">
        <f>IF(OR(C75&lt;0,C75&gt;1),"Outlier","OK")</f>
        <v>OK</v>
      </c>
      <c r="P75" t="str">
        <f>IF(OR(D75&lt;0,D75&gt;1),"Outlier","OK")</f>
        <v>OK</v>
      </c>
      <c r="Q75" t="str">
        <f t="shared" si="10"/>
        <v>80-100%</v>
      </c>
      <c r="R75" t="str">
        <f>IF(B75="","Missing","OK")</f>
        <v>OK</v>
      </c>
      <c r="S75" t="str">
        <f>IF(E75="","Missing","OK")</f>
        <v>OK</v>
      </c>
      <c r="T75" t="str">
        <f t="shared" si="11"/>
        <v>OK</v>
      </c>
      <c r="U75">
        <f>COUNTIF($A:$A,A75)</f>
        <v>1</v>
      </c>
      <c r="V75" t="str">
        <f t="shared" si="12"/>
        <v>OK</v>
      </c>
      <c r="W75" t="str">
        <f>IF(I75&gt;B75,"ERROR","OK")</f>
        <v>OK</v>
      </c>
      <c r="X75">
        <f>(B75-I75)/B75</f>
        <v>0.84742234549166906</v>
      </c>
      <c r="Y75" s="2">
        <f t="shared" si="13"/>
        <v>1.1102230246251565E-16</v>
      </c>
      <c r="Z75" s="2" t="str">
        <f t="shared" si="14"/>
        <v>OK</v>
      </c>
      <c r="AA75" t="str">
        <f t="shared" si="15"/>
        <v>Unique</v>
      </c>
    </row>
    <row r="76" spans="1:27" x14ac:dyDescent="0.3">
      <c r="A76">
        <v>75</v>
      </c>
      <c r="B76">
        <v>81451.953055282793</v>
      </c>
      <c r="C76">
        <v>0.31116930414648297</v>
      </c>
      <c r="D76">
        <v>-0.155210898892787</v>
      </c>
      <c r="E76">
        <v>0.224707909044466</v>
      </c>
      <c r="F76">
        <v>1</v>
      </c>
      <c r="G76" t="s">
        <v>12</v>
      </c>
      <c r="H76">
        <v>0</v>
      </c>
      <c r="I76">
        <v>18302.8980586406</v>
      </c>
      <c r="J76">
        <v>0.77529209095553298</v>
      </c>
      <c r="K76" t="str">
        <f t="shared" si="8"/>
        <v>OK</v>
      </c>
      <c r="L76" t="str">
        <f t="shared" si="9"/>
        <v>OK</v>
      </c>
      <c r="M76" t="str">
        <f>IF(OR(B76&lt;$AE$20,B76&gt;$AF$20),"Outlier","OK")</f>
        <v>OK</v>
      </c>
      <c r="N76" t="str">
        <f>IF(OR(J76&lt;$AE$21,J76&gt;$AF$21),"Outlier","OK")</f>
        <v>OK</v>
      </c>
      <c r="O76" t="str">
        <f>IF(OR(C76&lt;0,C76&gt;1),"Outlier","OK")</f>
        <v>OK</v>
      </c>
      <c r="P76" t="str">
        <f>IF(OR(D76&lt;0,D76&gt;1),"Outlier","OK")</f>
        <v>Outlier</v>
      </c>
      <c r="Q76" t="str">
        <f t="shared" si="10"/>
        <v>60-80%</v>
      </c>
      <c r="R76" t="str">
        <f>IF(B76="","Missing","OK")</f>
        <v>OK</v>
      </c>
      <c r="S76" t="str">
        <f>IF(E76="","Missing","OK")</f>
        <v>OK</v>
      </c>
      <c r="T76" t="str">
        <f t="shared" si="11"/>
        <v>OK</v>
      </c>
      <c r="U76">
        <f>COUNTIF($A:$A,A76)</f>
        <v>1</v>
      </c>
      <c r="V76" t="str">
        <f t="shared" si="12"/>
        <v>OK</v>
      </c>
      <c r="W76" t="str">
        <f>IF(I76&gt;B76,"ERROR","OK")</f>
        <v>OK</v>
      </c>
      <c r="X76">
        <f>(B76-I76)/B76</f>
        <v>0.77529209095553409</v>
      </c>
      <c r="Y76" s="2">
        <f t="shared" si="13"/>
        <v>1.1102230246251565E-15</v>
      </c>
      <c r="Z76" s="2" t="str">
        <f t="shared" si="14"/>
        <v>OK</v>
      </c>
      <c r="AA76" t="str">
        <f t="shared" si="15"/>
        <v>Unique</v>
      </c>
    </row>
    <row r="77" spans="1:27" x14ac:dyDescent="0.3">
      <c r="A77">
        <v>76</v>
      </c>
      <c r="B77">
        <v>1209142.1649178299</v>
      </c>
      <c r="C77">
        <v>0.40702587527398998</v>
      </c>
      <c r="D77">
        <v>-3.6253176743681198E-2</v>
      </c>
      <c r="E77">
        <v>0.31236404607718699</v>
      </c>
      <c r="F77">
        <v>1</v>
      </c>
      <c r="G77" t="s">
        <v>10</v>
      </c>
      <c r="H77">
        <v>0</v>
      </c>
      <c r="I77">
        <v>377692.53891626402</v>
      </c>
      <c r="J77">
        <v>0.68763595392281196</v>
      </c>
      <c r="K77" t="str">
        <f t="shared" si="8"/>
        <v>OK</v>
      </c>
      <c r="L77" t="str">
        <f t="shared" si="9"/>
        <v>OK</v>
      </c>
      <c r="M77" t="str">
        <f>IF(OR(B77&lt;$AE$20,B77&gt;$AF$20),"Outlier","OK")</f>
        <v>OK</v>
      </c>
      <c r="N77" t="str">
        <f>IF(OR(J77&lt;$AE$21,J77&gt;$AF$21),"Outlier","OK")</f>
        <v>OK</v>
      </c>
      <c r="O77" t="str">
        <f>IF(OR(C77&lt;0,C77&gt;1),"Outlier","OK")</f>
        <v>OK</v>
      </c>
      <c r="P77" t="str">
        <f>IF(OR(D77&lt;0,D77&gt;1),"Outlier","OK")</f>
        <v>Outlier</v>
      </c>
      <c r="Q77" t="str">
        <f t="shared" si="10"/>
        <v>60-80%</v>
      </c>
      <c r="R77" t="str">
        <f>IF(B77="","Missing","OK")</f>
        <v>OK</v>
      </c>
      <c r="S77" t="str">
        <f>IF(E77="","Missing","OK")</f>
        <v>OK</v>
      </c>
      <c r="T77" t="str">
        <f t="shared" si="11"/>
        <v>OK</v>
      </c>
      <c r="U77">
        <f>COUNTIF($A:$A,A77)</f>
        <v>1</v>
      </c>
      <c r="V77" t="str">
        <f t="shared" si="12"/>
        <v>OK</v>
      </c>
      <c r="W77" t="str">
        <f>IF(I77&gt;B77,"ERROR","OK")</f>
        <v>OK</v>
      </c>
      <c r="X77">
        <f>(B77-I77)/B77</f>
        <v>0.68763595392281196</v>
      </c>
      <c r="Y77" s="2">
        <f t="shared" si="13"/>
        <v>0</v>
      </c>
      <c r="Z77" s="2" t="str">
        <f t="shared" si="14"/>
        <v>OK</v>
      </c>
      <c r="AA77" t="str">
        <f t="shared" si="15"/>
        <v>Unique</v>
      </c>
    </row>
    <row r="78" spans="1:27" x14ac:dyDescent="0.3">
      <c r="A78">
        <v>77</v>
      </c>
      <c r="B78">
        <v>1135731.12516886</v>
      </c>
      <c r="C78">
        <v>0.82783604361936303</v>
      </c>
      <c r="D78">
        <v>7.6342585275152499E-3</v>
      </c>
      <c r="E78">
        <v>0.216337074788918</v>
      </c>
      <c r="F78">
        <v>1</v>
      </c>
      <c r="G78" t="s">
        <v>13</v>
      </c>
      <c r="H78">
        <v>0</v>
      </c>
      <c r="I78">
        <v>245700.74936575801</v>
      </c>
      <c r="J78">
        <v>0.78366292521108105</v>
      </c>
      <c r="K78" t="str">
        <f t="shared" si="8"/>
        <v>OK</v>
      </c>
      <c r="L78" t="str">
        <f t="shared" si="9"/>
        <v>OK</v>
      </c>
      <c r="M78" t="str">
        <f>IF(OR(B78&lt;$AE$20,B78&gt;$AF$20),"Outlier","OK")</f>
        <v>OK</v>
      </c>
      <c r="N78" t="str">
        <f>IF(OR(J78&lt;$AE$21,J78&gt;$AF$21),"Outlier","OK")</f>
        <v>OK</v>
      </c>
      <c r="O78" t="str">
        <f>IF(OR(C78&lt;0,C78&gt;1),"Outlier","OK")</f>
        <v>OK</v>
      </c>
      <c r="P78" t="str">
        <f>IF(OR(D78&lt;0,D78&gt;1),"Outlier","OK")</f>
        <v>OK</v>
      </c>
      <c r="Q78" t="str">
        <f t="shared" si="10"/>
        <v>60-80%</v>
      </c>
      <c r="R78" t="str">
        <f>IF(B78="","Missing","OK")</f>
        <v>OK</v>
      </c>
      <c r="S78" t="str">
        <f>IF(E78="","Missing","OK")</f>
        <v>OK</v>
      </c>
      <c r="T78" t="str">
        <f t="shared" si="11"/>
        <v>OK</v>
      </c>
      <c r="U78">
        <f>COUNTIF($A:$A,A78)</f>
        <v>1</v>
      </c>
      <c r="V78" t="str">
        <f t="shared" si="12"/>
        <v>OK</v>
      </c>
      <c r="W78" t="str">
        <f>IF(I78&gt;B78,"ERROR","OK")</f>
        <v>OK</v>
      </c>
      <c r="X78">
        <f>(B78-I78)/B78</f>
        <v>0.78366292521108161</v>
      </c>
      <c r="Y78" s="2">
        <f t="shared" si="13"/>
        <v>5.5511151231257827E-16</v>
      </c>
      <c r="Z78" s="2" t="str">
        <f t="shared" si="14"/>
        <v>OK</v>
      </c>
      <c r="AA78" t="str">
        <f t="shared" si="15"/>
        <v>Unique</v>
      </c>
    </row>
    <row r="79" spans="1:27" x14ac:dyDescent="0.3">
      <c r="A79">
        <v>78</v>
      </c>
      <c r="B79">
        <v>359971.30608220899</v>
      </c>
      <c r="C79">
        <v>0.35727033170303901</v>
      </c>
      <c r="D79">
        <v>0.11030608286591601</v>
      </c>
      <c r="E79">
        <v>0.12792283289821901</v>
      </c>
      <c r="F79">
        <v>1</v>
      </c>
      <c r="G79" t="s">
        <v>13</v>
      </c>
      <c r="H79">
        <v>0</v>
      </c>
      <c r="I79">
        <v>46048.549236108403</v>
      </c>
      <c r="J79">
        <v>0.87207716710177996</v>
      </c>
      <c r="K79" t="str">
        <f t="shared" si="8"/>
        <v>OK</v>
      </c>
      <c r="L79" t="str">
        <f t="shared" si="9"/>
        <v>OK</v>
      </c>
      <c r="M79" t="str">
        <f>IF(OR(B79&lt;$AE$20,B79&gt;$AF$20),"Outlier","OK")</f>
        <v>OK</v>
      </c>
      <c r="N79" t="str">
        <f>IF(OR(J79&lt;$AE$21,J79&gt;$AF$21),"Outlier","OK")</f>
        <v>OK</v>
      </c>
      <c r="O79" t="str">
        <f>IF(OR(C79&lt;0,C79&gt;1),"Outlier","OK")</f>
        <v>OK</v>
      </c>
      <c r="P79" t="str">
        <f>IF(OR(D79&lt;0,D79&gt;1),"Outlier","OK")</f>
        <v>OK</v>
      </c>
      <c r="Q79" t="str">
        <f t="shared" si="10"/>
        <v>80-100%</v>
      </c>
      <c r="R79" t="str">
        <f>IF(B79="","Missing","OK")</f>
        <v>OK</v>
      </c>
      <c r="S79" t="str">
        <f>IF(E79="","Missing","OK")</f>
        <v>OK</v>
      </c>
      <c r="T79" t="str">
        <f t="shared" si="11"/>
        <v>OK</v>
      </c>
      <c r="U79">
        <f>COUNTIF($A:$A,A79)</f>
        <v>1</v>
      </c>
      <c r="V79" t="str">
        <f t="shared" si="12"/>
        <v>OK</v>
      </c>
      <c r="W79" t="str">
        <f>IF(I79&gt;B79,"ERROR","OK")</f>
        <v>OK</v>
      </c>
      <c r="X79">
        <f>(B79-I79)/B79</f>
        <v>0.87207716710177996</v>
      </c>
      <c r="Y79" s="2">
        <f t="shared" si="13"/>
        <v>0</v>
      </c>
      <c r="Z79" s="2" t="str">
        <f t="shared" si="14"/>
        <v>OK</v>
      </c>
      <c r="AA79" t="str">
        <f t="shared" si="15"/>
        <v>Unique</v>
      </c>
    </row>
    <row r="80" spans="1:27" x14ac:dyDescent="0.3">
      <c r="A80">
        <v>79</v>
      </c>
      <c r="B80">
        <v>348487.50449330697</v>
      </c>
      <c r="C80">
        <v>0.33083662305433298</v>
      </c>
      <c r="D80">
        <v>-9.1944548232183801E-2</v>
      </c>
      <c r="E80">
        <v>0.111365157324749</v>
      </c>
      <c r="F80">
        <v>1</v>
      </c>
      <c r="G80" t="s">
        <v>12</v>
      </c>
      <c r="H80">
        <v>1</v>
      </c>
      <c r="I80">
        <v>38809.365763606504</v>
      </c>
      <c r="J80">
        <v>0.88863484267524995</v>
      </c>
      <c r="K80" t="str">
        <f t="shared" si="8"/>
        <v>OK</v>
      </c>
      <c r="L80" t="str">
        <f t="shared" si="9"/>
        <v>OK</v>
      </c>
      <c r="M80" t="str">
        <f>IF(OR(B80&lt;$AE$20,B80&gt;$AF$20),"Outlier","OK")</f>
        <v>OK</v>
      </c>
      <c r="N80" t="str">
        <f>IF(OR(J80&lt;$AE$21,J80&gt;$AF$21),"Outlier","OK")</f>
        <v>OK</v>
      </c>
      <c r="O80" t="str">
        <f>IF(OR(C80&lt;0,C80&gt;1),"Outlier","OK")</f>
        <v>OK</v>
      </c>
      <c r="P80" t="str">
        <f>IF(OR(D80&lt;0,D80&gt;1),"Outlier","OK")</f>
        <v>Outlier</v>
      </c>
      <c r="Q80" t="str">
        <f t="shared" si="10"/>
        <v>80-100%</v>
      </c>
      <c r="R80" t="str">
        <f>IF(B80="","Missing","OK")</f>
        <v>OK</v>
      </c>
      <c r="S80" t="str">
        <f>IF(E80="","Missing","OK")</f>
        <v>OK</v>
      </c>
      <c r="T80" t="str">
        <f t="shared" si="11"/>
        <v>OK</v>
      </c>
      <c r="U80">
        <f>COUNTIF($A:$A,A80)</f>
        <v>1</v>
      </c>
      <c r="V80" t="str">
        <f t="shared" si="12"/>
        <v>OK</v>
      </c>
      <c r="W80" t="str">
        <f>IF(I80&gt;B80,"ERROR","OK")</f>
        <v>OK</v>
      </c>
      <c r="X80">
        <f>(B80-I80)/B80</f>
        <v>0.88863484267525039</v>
      </c>
      <c r="Y80" s="2">
        <f t="shared" si="13"/>
        <v>4.4408920985006262E-16</v>
      </c>
      <c r="Z80" s="2" t="str">
        <f t="shared" si="14"/>
        <v>OK</v>
      </c>
      <c r="AA80" t="str">
        <f t="shared" si="15"/>
        <v>Unique</v>
      </c>
    </row>
    <row r="81" spans="1:27" x14ac:dyDescent="0.3">
      <c r="A81">
        <v>80</v>
      </c>
      <c r="B81">
        <v>1406282.5811032699</v>
      </c>
      <c r="C81">
        <v>0.321488586461604</v>
      </c>
      <c r="D81">
        <v>-9.2393774686879399E-2</v>
      </c>
      <c r="E81">
        <v>0.36943055740400099</v>
      </c>
      <c r="F81">
        <v>1</v>
      </c>
      <c r="G81" t="s">
        <v>10</v>
      </c>
      <c r="H81">
        <v>0</v>
      </c>
      <c r="I81">
        <v>519523.75780452101</v>
      </c>
      <c r="J81">
        <v>0.63056944259599801</v>
      </c>
      <c r="K81" t="str">
        <f t="shared" si="8"/>
        <v>OK</v>
      </c>
      <c r="L81" t="str">
        <f t="shared" si="9"/>
        <v>OK</v>
      </c>
      <c r="M81" t="str">
        <f>IF(OR(B81&lt;$AE$20,B81&gt;$AF$20),"Outlier","OK")</f>
        <v>OK</v>
      </c>
      <c r="N81" t="str">
        <f>IF(OR(J81&lt;$AE$21,J81&gt;$AF$21),"Outlier","OK")</f>
        <v>OK</v>
      </c>
      <c r="O81" t="str">
        <f>IF(OR(C81&lt;0,C81&gt;1),"Outlier","OK")</f>
        <v>OK</v>
      </c>
      <c r="P81" t="str">
        <f>IF(OR(D81&lt;0,D81&gt;1),"Outlier","OK")</f>
        <v>Outlier</v>
      </c>
      <c r="Q81" t="str">
        <f t="shared" si="10"/>
        <v>60-80%</v>
      </c>
      <c r="R81" t="str">
        <f>IF(B81="","Missing","OK")</f>
        <v>OK</v>
      </c>
      <c r="S81" t="str">
        <f>IF(E81="","Missing","OK")</f>
        <v>OK</v>
      </c>
      <c r="T81" t="str">
        <f t="shared" si="11"/>
        <v>OK</v>
      </c>
      <c r="U81">
        <f>COUNTIF($A:$A,A81)</f>
        <v>1</v>
      </c>
      <c r="V81" t="str">
        <f t="shared" si="12"/>
        <v>OK</v>
      </c>
      <c r="W81" t="str">
        <f>IF(I81&gt;B81,"ERROR","OK")</f>
        <v>OK</v>
      </c>
      <c r="X81">
        <f>(B81-I81)/B81</f>
        <v>0.63056944259599701</v>
      </c>
      <c r="Y81" s="2">
        <f t="shared" si="13"/>
        <v>9.9920072216264089E-16</v>
      </c>
      <c r="Z81" s="2" t="str">
        <f t="shared" si="14"/>
        <v>OK</v>
      </c>
      <c r="AA81" t="str">
        <f t="shared" si="15"/>
        <v>Unique</v>
      </c>
    </row>
    <row r="82" spans="1:27" x14ac:dyDescent="0.3">
      <c r="A82">
        <v>81</v>
      </c>
      <c r="B82">
        <v>671594.53144465794</v>
      </c>
      <c r="C82">
        <v>0.26764307718345998</v>
      </c>
      <c r="D82">
        <v>0.10261365649069699</v>
      </c>
      <c r="E82">
        <v>0.38308191413279702</v>
      </c>
      <c r="F82">
        <v>1</v>
      </c>
      <c r="G82" t="s">
        <v>11</v>
      </c>
      <c r="H82">
        <v>0</v>
      </c>
      <c r="I82">
        <v>257275.71862693899</v>
      </c>
      <c r="J82">
        <v>0.61691808586720198</v>
      </c>
      <c r="K82" t="str">
        <f t="shared" si="8"/>
        <v>OK</v>
      </c>
      <c r="L82" t="str">
        <f t="shared" si="9"/>
        <v>OK</v>
      </c>
      <c r="M82" t="str">
        <f>IF(OR(B82&lt;$AE$20,B82&gt;$AF$20),"Outlier","OK")</f>
        <v>OK</v>
      </c>
      <c r="N82" t="str">
        <f>IF(OR(J82&lt;$AE$21,J82&gt;$AF$21),"Outlier","OK")</f>
        <v>OK</v>
      </c>
      <c r="O82" t="str">
        <f>IF(OR(C82&lt;0,C82&gt;1),"Outlier","OK")</f>
        <v>OK</v>
      </c>
      <c r="P82" t="str">
        <f>IF(OR(D82&lt;0,D82&gt;1),"Outlier","OK")</f>
        <v>OK</v>
      </c>
      <c r="Q82" t="str">
        <f t="shared" si="10"/>
        <v>60-80%</v>
      </c>
      <c r="R82" t="str">
        <f>IF(B82="","Missing","OK")</f>
        <v>OK</v>
      </c>
      <c r="S82" t="str">
        <f>IF(E82="","Missing","OK")</f>
        <v>OK</v>
      </c>
      <c r="T82" t="str">
        <f t="shared" si="11"/>
        <v>OK</v>
      </c>
      <c r="U82">
        <f>COUNTIF($A:$A,A82)</f>
        <v>1</v>
      </c>
      <c r="V82" t="str">
        <f t="shared" si="12"/>
        <v>OK</v>
      </c>
      <c r="W82" t="str">
        <f>IF(I82&gt;B82,"ERROR","OK")</f>
        <v>OK</v>
      </c>
      <c r="X82">
        <f>(B82-I82)/B82</f>
        <v>0.6169180858672022</v>
      </c>
      <c r="Y82" s="2">
        <f t="shared" si="13"/>
        <v>2.2204460492503131E-16</v>
      </c>
      <c r="Z82" s="2" t="str">
        <f t="shared" si="14"/>
        <v>OK</v>
      </c>
      <c r="AA82" t="str">
        <f t="shared" si="15"/>
        <v>Unique</v>
      </c>
    </row>
    <row r="83" spans="1:27" x14ac:dyDescent="0.3">
      <c r="A83">
        <v>82</v>
      </c>
      <c r="B83">
        <v>1399342.07628704</v>
      </c>
      <c r="C83">
        <v>0.50783674519006305</v>
      </c>
      <c r="D83">
        <v>-0.10920450894217699</v>
      </c>
      <c r="E83">
        <v>0.31665954192490098</v>
      </c>
      <c r="F83">
        <v>1</v>
      </c>
      <c r="G83" t="s">
        <v>13</v>
      </c>
      <c r="H83">
        <v>1</v>
      </c>
      <c r="I83">
        <v>443115.02087329701</v>
      </c>
      <c r="J83">
        <v>0.68334045807509802</v>
      </c>
      <c r="K83" t="str">
        <f t="shared" si="8"/>
        <v>OK</v>
      </c>
      <c r="L83" t="str">
        <f t="shared" si="9"/>
        <v>OK</v>
      </c>
      <c r="M83" t="str">
        <f>IF(OR(B83&lt;$AE$20,B83&gt;$AF$20),"Outlier","OK")</f>
        <v>OK</v>
      </c>
      <c r="N83" t="str">
        <f>IF(OR(J83&lt;$AE$21,J83&gt;$AF$21),"Outlier","OK")</f>
        <v>OK</v>
      </c>
      <c r="O83" t="str">
        <f>IF(OR(C83&lt;0,C83&gt;1),"Outlier","OK")</f>
        <v>OK</v>
      </c>
      <c r="P83" t="str">
        <f>IF(OR(D83&lt;0,D83&gt;1),"Outlier","OK")</f>
        <v>Outlier</v>
      </c>
      <c r="Q83" t="str">
        <f t="shared" si="10"/>
        <v>60-80%</v>
      </c>
      <c r="R83" t="str">
        <f>IF(B83="","Missing","OK")</f>
        <v>OK</v>
      </c>
      <c r="S83" t="str">
        <f>IF(E83="","Missing","OK")</f>
        <v>OK</v>
      </c>
      <c r="T83" t="str">
        <f t="shared" si="11"/>
        <v>OK</v>
      </c>
      <c r="U83">
        <f>COUNTIF($A:$A,A83)</f>
        <v>1</v>
      </c>
      <c r="V83" t="str">
        <f t="shared" si="12"/>
        <v>OK</v>
      </c>
      <c r="W83" t="str">
        <f>IF(I83&gt;B83,"ERROR","OK")</f>
        <v>OK</v>
      </c>
      <c r="X83">
        <f>(B83-I83)/B83</f>
        <v>0.6833404580750968</v>
      </c>
      <c r="Y83" s="2">
        <f t="shared" si="13"/>
        <v>1.2212453270876722E-15</v>
      </c>
      <c r="Z83" s="2" t="str">
        <f t="shared" si="14"/>
        <v>OK</v>
      </c>
      <c r="AA83" t="str">
        <f t="shared" si="15"/>
        <v>Unique</v>
      </c>
    </row>
    <row r="84" spans="1:27" x14ac:dyDescent="0.3">
      <c r="A84">
        <v>83</v>
      </c>
      <c r="B84">
        <v>1131047.33694965</v>
      </c>
      <c r="C84">
        <v>0.69194743675009296</v>
      </c>
      <c r="D84">
        <v>-0.129349905908169</v>
      </c>
      <c r="E84">
        <v>0.42551903401042501</v>
      </c>
      <c r="F84">
        <v>1</v>
      </c>
      <c r="G84" t="s">
        <v>11</v>
      </c>
      <c r="H84">
        <v>0</v>
      </c>
      <c r="I84">
        <v>481282.17023888201</v>
      </c>
      <c r="J84">
        <v>0.57448096598957399</v>
      </c>
      <c r="K84" t="str">
        <f t="shared" si="8"/>
        <v>OK</v>
      </c>
      <c r="L84" t="str">
        <f t="shared" si="9"/>
        <v>OK</v>
      </c>
      <c r="M84" t="str">
        <f>IF(OR(B84&lt;$AE$20,B84&gt;$AF$20),"Outlier","OK")</f>
        <v>OK</v>
      </c>
      <c r="N84" t="str">
        <f>IF(OR(J84&lt;$AE$21,J84&gt;$AF$21),"Outlier","OK")</f>
        <v>OK</v>
      </c>
      <c r="O84" t="str">
        <f>IF(OR(C84&lt;0,C84&gt;1),"Outlier","OK")</f>
        <v>OK</v>
      </c>
      <c r="P84" t="str">
        <f>IF(OR(D84&lt;0,D84&gt;1),"Outlier","OK")</f>
        <v>Outlier</v>
      </c>
      <c r="Q84" t="str">
        <f t="shared" si="10"/>
        <v>40-60%</v>
      </c>
      <c r="R84" t="str">
        <f>IF(B84="","Missing","OK")</f>
        <v>OK</v>
      </c>
      <c r="S84" t="str">
        <f>IF(E84="","Missing","OK")</f>
        <v>OK</v>
      </c>
      <c r="T84" t="str">
        <f t="shared" si="11"/>
        <v>OK</v>
      </c>
      <c r="U84">
        <f>COUNTIF($A:$A,A84)</f>
        <v>1</v>
      </c>
      <c r="V84" t="str">
        <f t="shared" si="12"/>
        <v>OK</v>
      </c>
      <c r="W84" t="str">
        <f>IF(I84&gt;B84,"ERROR","OK")</f>
        <v>OK</v>
      </c>
      <c r="X84">
        <f>(B84-I84)/B84</f>
        <v>0.57448096598957199</v>
      </c>
      <c r="Y84" s="2">
        <f t="shared" si="13"/>
        <v>1.9984014443252818E-15</v>
      </c>
      <c r="Z84" s="2" t="str">
        <f t="shared" si="14"/>
        <v>OK</v>
      </c>
      <c r="AA84" t="str">
        <f t="shared" si="15"/>
        <v>Unique</v>
      </c>
    </row>
    <row r="85" spans="1:27" x14ac:dyDescent="0.3">
      <c r="A85">
        <v>84</v>
      </c>
      <c r="B85">
        <v>808453.619540132</v>
      </c>
      <c r="C85">
        <v>0.62364589675622595</v>
      </c>
      <c r="D85">
        <v>-0.12749912513628001</v>
      </c>
      <c r="E85">
        <v>0.175140237723689</v>
      </c>
      <c r="F85">
        <v>1</v>
      </c>
      <c r="G85" t="s">
        <v>11</v>
      </c>
      <c r="H85">
        <v>1</v>
      </c>
      <c r="I85">
        <v>141592.759114835</v>
      </c>
      <c r="J85">
        <v>0.82485976227630997</v>
      </c>
      <c r="K85" t="str">
        <f t="shared" si="8"/>
        <v>OK</v>
      </c>
      <c r="L85" t="str">
        <f t="shared" si="9"/>
        <v>OK</v>
      </c>
      <c r="M85" t="str">
        <f>IF(OR(B85&lt;$AE$20,B85&gt;$AF$20),"Outlier","OK")</f>
        <v>OK</v>
      </c>
      <c r="N85" t="str">
        <f>IF(OR(J85&lt;$AE$21,J85&gt;$AF$21),"Outlier","OK")</f>
        <v>OK</v>
      </c>
      <c r="O85" t="str">
        <f>IF(OR(C85&lt;0,C85&gt;1),"Outlier","OK")</f>
        <v>OK</v>
      </c>
      <c r="P85" t="str">
        <f>IF(OR(D85&lt;0,D85&gt;1),"Outlier","OK")</f>
        <v>Outlier</v>
      </c>
      <c r="Q85" t="str">
        <f t="shared" si="10"/>
        <v>80-100%</v>
      </c>
      <c r="R85" t="str">
        <f>IF(B85="","Missing","OK")</f>
        <v>OK</v>
      </c>
      <c r="S85" t="str">
        <f>IF(E85="","Missing","OK")</f>
        <v>OK</v>
      </c>
      <c r="T85" t="str">
        <f t="shared" si="11"/>
        <v>OK</v>
      </c>
      <c r="U85">
        <f>COUNTIF($A:$A,A85)</f>
        <v>1</v>
      </c>
      <c r="V85" t="str">
        <f t="shared" si="12"/>
        <v>OK</v>
      </c>
      <c r="W85" t="str">
        <f>IF(I85&gt;B85,"ERROR","OK")</f>
        <v>OK</v>
      </c>
      <c r="X85">
        <f>(B85-I85)/B85</f>
        <v>0.82485976227631164</v>
      </c>
      <c r="Y85" s="2">
        <f t="shared" si="13"/>
        <v>1.6653345369377348E-15</v>
      </c>
      <c r="Z85" s="2" t="str">
        <f t="shared" si="14"/>
        <v>OK</v>
      </c>
      <c r="AA85" t="str">
        <f t="shared" si="15"/>
        <v>Unique</v>
      </c>
    </row>
    <row r="86" spans="1:27" x14ac:dyDescent="0.3">
      <c r="A86">
        <v>85</v>
      </c>
      <c r="B86">
        <v>1854008.35474727</v>
      </c>
      <c r="C86">
        <v>0.88629513265433701</v>
      </c>
      <c r="D86">
        <v>0.110911113093249</v>
      </c>
      <c r="E86">
        <v>0.15573358723918501</v>
      </c>
      <c r="F86">
        <v>1</v>
      </c>
      <c r="G86" t="s">
        <v>12</v>
      </c>
      <c r="H86">
        <v>1</v>
      </c>
      <c r="I86">
        <v>288731.37185621302</v>
      </c>
      <c r="J86">
        <v>0.84426641276081404</v>
      </c>
      <c r="K86" t="str">
        <f t="shared" si="8"/>
        <v>OK</v>
      </c>
      <c r="L86" t="str">
        <f t="shared" si="9"/>
        <v>OK</v>
      </c>
      <c r="M86" t="str">
        <f>IF(OR(B86&lt;$AE$20,B86&gt;$AF$20),"Outlier","OK")</f>
        <v>OK</v>
      </c>
      <c r="N86" t="str">
        <f>IF(OR(J86&lt;$AE$21,J86&gt;$AF$21),"Outlier","OK")</f>
        <v>OK</v>
      </c>
      <c r="O86" t="str">
        <f>IF(OR(C86&lt;0,C86&gt;1),"Outlier","OK")</f>
        <v>OK</v>
      </c>
      <c r="P86" t="str">
        <f>IF(OR(D86&lt;0,D86&gt;1),"Outlier","OK")</f>
        <v>OK</v>
      </c>
      <c r="Q86" t="str">
        <f t="shared" si="10"/>
        <v>80-100%</v>
      </c>
      <c r="R86" t="str">
        <f>IF(B86="","Missing","OK")</f>
        <v>OK</v>
      </c>
      <c r="S86" t="str">
        <f>IF(E86="","Missing","OK")</f>
        <v>OK</v>
      </c>
      <c r="T86" t="str">
        <f t="shared" si="11"/>
        <v>OK</v>
      </c>
      <c r="U86">
        <f>COUNTIF($A:$A,A86)</f>
        <v>1</v>
      </c>
      <c r="V86" t="str">
        <f t="shared" si="12"/>
        <v>OK</v>
      </c>
      <c r="W86" t="str">
        <f>IF(I86&gt;B86,"ERROR","OK")</f>
        <v>OK</v>
      </c>
      <c r="X86">
        <f>(B86-I86)/B86</f>
        <v>0.84426641276081427</v>
      </c>
      <c r="Y86" s="2">
        <f t="shared" si="13"/>
        <v>2.2204460492503131E-16</v>
      </c>
      <c r="Z86" s="2" t="str">
        <f t="shared" si="14"/>
        <v>OK</v>
      </c>
      <c r="AA86" t="str">
        <f t="shared" si="15"/>
        <v>Unique</v>
      </c>
    </row>
    <row r="87" spans="1:27" x14ac:dyDescent="0.3">
      <c r="A87">
        <v>86</v>
      </c>
      <c r="B87">
        <v>1691256.49397979</v>
      </c>
      <c r="C87">
        <v>0.22601886918273101</v>
      </c>
      <c r="D87">
        <v>0.12243571939103901</v>
      </c>
      <c r="E87">
        <v>0.39173486519863998</v>
      </c>
      <c r="F87">
        <v>1</v>
      </c>
      <c r="G87" t="s">
        <v>12</v>
      </c>
      <c r="H87">
        <v>1</v>
      </c>
      <c r="I87">
        <v>662524.13468549994</v>
      </c>
      <c r="J87">
        <v>0.60826513480135902</v>
      </c>
      <c r="K87" t="str">
        <f t="shared" si="8"/>
        <v>OK</v>
      </c>
      <c r="L87" t="str">
        <f t="shared" si="9"/>
        <v>OK</v>
      </c>
      <c r="M87" t="str">
        <f>IF(OR(B87&lt;$AE$20,B87&gt;$AF$20),"Outlier","OK")</f>
        <v>OK</v>
      </c>
      <c r="N87" t="str">
        <f>IF(OR(J87&lt;$AE$21,J87&gt;$AF$21),"Outlier","OK")</f>
        <v>OK</v>
      </c>
      <c r="O87" t="str">
        <f>IF(OR(C87&lt;0,C87&gt;1),"Outlier","OK")</f>
        <v>OK</v>
      </c>
      <c r="P87" t="str">
        <f>IF(OR(D87&lt;0,D87&gt;1),"Outlier","OK")</f>
        <v>OK</v>
      </c>
      <c r="Q87" t="str">
        <f t="shared" si="10"/>
        <v>60-80%</v>
      </c>
      <c r="R87" t="str">
        <f>IF(B87="","Missing","OK")</f>
        <v>OK</v>
      </c>
      <c r="S87" t="str">
        <f>IF(E87="","Missing","OK")</f>
        <v>OK</v>
      </c>
      <c r="T87" t="str">
        <f t="shared" si="11"/>
        <v>OK</v>
      </c>
      <c r="U87">
        <f>COUNTIF($A:$A,A87)</f>
        <v>1</v>
      </c>
      <c r="V87" t="str">
        <f t="shared" si="12"/>
        <v>OK</v>
      </c>
      <c r="W87" t="str">
        <f>IF(I87&gt;B87,"ERROR","OK")</f>
        <v>OK</v>
      </c>
      <c r="X87">
        <f>(B87-I87)/B87</f>
        <v>0.60826513480135858</v>
      </c>
      <c r="Y87" s="2">
        <f t="shared" si="13"/>
        <v>4.4408920985006262E-16</v>
      </c>
      <c r="Z87" s="2" t="str">
        <f t="shared" si="14"/>
        <v>OK</v>
      </c>
      <c r="AA87" t="str">
        <f t="shared" si="15"/>
        <v>Unique</v>
      </c>
    </row>
    <row r="88" spans="1:27" x14ac:dyDescent="0.3">
      <c r="A88">
        <v>87</v>
      </c>
      <c r="B88">
        <v>746925.25503219303</v>
      </c>
      <c r="C88">
        <v>0.56454818257198203</v>
      </c>
      <c r="D88">
        <v>-4.2238803926258998E-2</v>
      </c>
      <c r="E88">
        <v>0.117753024340863</v>
      </c>
      <c r="F88">
        <v>1</v>
      </c>
      <c r="G88" t="s">
        <v>13</v>
      </c>
      <c r="H88">
        <v>1</v>
      </c>
      <c r="I88">
        <v>87952.707736611294</v>
      </c>
      <c r="J88">
        <v>0.88224697565913601</v>
      </c>
      <c r="K88" t="str">
        <f t="shared" si="8"/>
        <v>OK</v>
      </c>
      <c r="L88" t="str">
        <f t="shared" si="9"/>
        <v>OK</v>
      </c>
      <c r="M88" t="str">
        <f>IF(OR(B88&lt;$AE$20,B88&gt;$AF$20),"Outlier","OK")</f>
        <v>OK</v>
      </c>
      <c r="N88" t="str">
        <f>IF(OR(J88&lt;$AE$21,J88&gt;$AF$21),"Outlier","OK")</f>
        <v>OK</v>
      </c>
      <c r="O88" t="str">
        <f>IF(OR(C88&lt;0,C88&gt;1),"Outlier","OK")</f>
        <v>OK</v>
      </c>
      <c r="P88" t="str">
        <f>IF(OR(D88&lt;0,D88&gt;1),"Outlier","OK")</f>
        <v>Outlier</v>
      </c>
      <c r="Q88" t="str">
        <f t="shared" si="10"/>
        <v>80-100%</v>
      </c>
      <c r="R88" t="str">
        <f>IF(B88="","Missing","OK")</f>
        <v>OK</v>
      </c>
      <c r="S88" t="str">
        <f>IF(E88="","Missing","OK")</f>
        <v>OK</v>
      </c>
      <c r="T88" t="str">
        <f t="shared" si="11"/>
        <v>OK</v>
      </c>
      <c r="U88">
        <f>COUNTIF($A:$A,A88)</f>
        <v>1</v>
      </c>
      <c r="V88" t="str">
        <f t="shared" si="12"/>
        <v>OK</v>
      </c>
      <c r="W88" t="str">
        <f>IF(I88&gt;B88,"ERROR","OK")</f>
        <v>OK</v>
      </c>
      <c r="X88">
        <f>(B88-I88)/B88</f>
        <v>0.88224697565913679</v>
      </c>
      <c r="Y88" s="2">
        <f t="shared" si="13"/>
        <v>7.7715611723760958E-16</v>
      </c>
      <c r="Z88" s="2" t="str">
        <f t="shared" si="14"/>
        <v>OK</v>
      </c>
      <c r="AA88" t="str">
        <f t="shared" si="15"/>
        <v>Unique</v>
      </c>
    </row>
    <row r="89" spans="1:27" x14ac:dyDescent="0.3">
      <c r="A89">
        <v>88</v>
      </c>
      <c r="B89">
        <v>135003.354408129</v>
      </c>
      <c r="C89">
        <v>0.41512846809113402</v>
      </c>
      <c r="D89">
        <v>-0.139851702041944</v>
      </c>
      <c r="E89">
        <v>0.50196701763088702</v>
      </c>
      <c r="F89">
        <v>1</v>
      </c>
      <c r="G89" t="s">
        <v>13</v>
      </c>
      <c r="H89">
        <v>1</v>
      </c>
      <c r="I89">
        <v>67767.231182414296</v>
      </c>
      <c r="J89">
        <v>0.49803298236911198</v>
      </c>
      <c r="K89" t="str">
        <f t="shared" si="8"/>
        <v>OK</v>
      </c>
      <c r="L89" t="str">
        <f t="shared" si="9"/>
        <v>OK</v>
      </c>
      <c r="M89" t="str">
        <f>IF(OR(B89&lt;$AE$20,B89&gt;$AF$20),"Outlier","OK")</f>
        <v>OK</v>
      </c>
      <c r="N89" t="str">
        <f>IF(OR(J89&lt;$AE$21,J89&gt;$AF$21),"Outlier","OK")</f>
        <v>OK</v>
      </c>
      <c r="O89" t="str">
        <f>IF(OR(C89&lt;0,C89&gt;1),"Outlier","OK")</f>
        <v>OK</v>
      </c>
      <c r="P89" t="str">
        <f>IF(OR(D89&lt;0,D89&gt;1),"Outlier","OK")</f>
        <v>Outlier</v>
      </c>
      <c r="Q89" t="str">
        <f t="shared" si="10"/>
        <v>40-60%</v>
      </c>
      <c r="R89" t="str">
        <f>IF(B89="","Missing","OK")</f>
        <v>OK</v>
      </c>
      <c r="S89" t="str">
        <f>IF(E89="","Missing","OK")</f>
        <v>OK</v>
      </c>
      <c r="T89" t="str">
        <f t="shared" si="11"/>
        <v>OK</v>
      </c>
      <c r="U89">
        <f>COUNTIF($A:$A,A89)</f>
        <v>1</v>
      </c>
      <c r="V89" t="str">
        <f t="shared" si="12"/>
        <v>OK</v>
      </c>
      <c r="W89" t="str">
        <f>IF(I89&gt;B89,"ERROR","OK")</f>
        <v>OK</v>
      </c>
      <c r="X89">
        <f>(B89-I89)/B89</f>
        <v>0.49803298236911214</v>
      </c>
      <c r="Y89" s="2">
        <f t="shared" si="13"/>
        <v>1.6653345369377348E-16</v>
      </c>
      <c r="Z89" s="2" t="str">
        <f t="shared" si="14"/>
        <v>OK</v>
      </c>
      <c r="AA89" t="str">
        <f t="shared" si="15"/>
        <v>Unique</v>
      </c>
    </row>
    <row r="90" spans="1:27" x14ac:dyDescent="0.3">
      <c r="A90">
        <v>89</v>
      </c>
      <c r="B90">
        <v>644297.74315164005</v>
      </c>
      <c r="C90">
        <v>0.80533685024885304</v>
      </c>
      <c r="D90">
        <v>-9.1635569460759694E-2</v>
      </c>
      <c r="E90">
        <v>0.180182876201158</v>
      </c>
      <c r="F90">
        <v>1</v>
      </c>
      <c r="G90" t="s">
        <v>10</v>
      </c>
      <c r="H90">
        <v>0</v>
      </c>
      <c r="I90">
        <v>116091.42049097701</v>
      </c>
      <c r="J90">
        <v>0.81981712379884097</v>
      </c>
      <c r="K90" t="str">
        <f t="shared" si="8"/>
        <v>OK</v>
      </c>
      <c r="L90" t="str">
        <f t="shared" si="9"/>
        <v>OK</v>
      </c>
      <c r="M90" t="str">
        <f>IF(OR(B90&lt;$AE$20,B90&gt;$AF$20),"Outlier","OK")</f>
        <v>OK</v>
      </c>
      <c r="N90" t="str">
        <f>IF(OR(J90&lt;$AE$21,J90&gt;$AF$21),"Outlier","OK")</f>
        <v>OK</v>
      </c>
      <c r="O90" t="str">
        <f>IF(OR(C90&lt;0,C90&gt;1),"Outlier","OK")</f>
        <v>OK</v>
      </c>
      <c r="P90" t="str">
        <f>IF(OR(D90&lt;0,D90&gt;1),"Outlier","OK")</f>
        <v>Outlier</v>
      </c>
      <c r="Q90" t="str">
        <f t="shared" si="10"/>
        <v>80-100%</v>
      </c>
      <c r="R90" t="str">
        <f>IF(B90="","Missing","OK")</f>
        <v>OK</v>
      </c>
      <c r="S90" t="str">
        <f>IF(E90="","Missing","OK")</f>
        <v>OK</v>
      </c>
      <c r="T90" t="str">
        <f t="shared" si="11"/>
        <v>OK</v>
      </c>
      <c r="U90">
        <f>COUNTIF($A:$A,A90)</f>
        <v>1</v>
      </c>
      <c r="V90" t="str">
        <f t="shared" si="12"/>
        <v>OK</v>
      </c>
      <c r="W90" t="str">
        <f>IF(I90&gt;B90,"ERROR","OK")</f>
        <v>OK</v>
      </c>
      <c r="X90">
        <f>(B90-I90)/B90</f>
        <v>0.81981712379884275</v>
      </c>
      <c r="Y90" s="2">
        <f t="shared" si="13"/>
        <v>1.7763568394002505E-15</v>
      </c>
      <c r="Z90" s="2" t="str">
        <f t="shared" si="14"/>
        <v>OK</v>
      </c>
      <c r="AA90" t="str">
        <f t="shared" si="15"/>
        <v>Unique</v>
      </c>
    </row>
    <row r="91" spans="1:27" x14ac:dyDescent="0.3">
      <c r="A91">
        <v>90</v>
      </c>
      <c r="B91">
        <v>826462.07974006201</v>
      </c>
      <c r="C91">
        <v>0.46203135764160402</v>
      </c>
      <c r="D91">
        <v>0.13078589088416201</v>
      </c>
      <c r="E91">
        <v>0.227401551450614</v>
      </c>
      <c r="F91">
        <v>1</v>
      </c>
      <c r="G91" t="s">
        <v>11</v>
      </c>
      <c r="H91">
        <v>0</v>
      </c>
      <c r="I91">
        <v>187938.75914799099</v>
      </c>
      <c r="J91">
        <v>0.77259844854938498</v>
      </c>
      <c r="K91" t="str">
        <f t="shared" si="8"/>
        <v>OK</v>
      </c>
      <c r="L91" t="str">
        <f t="shared" si="9"/>
        <v>OK</v>
      </c>
      <c r="M91" t="str">
        <f>IF(OR(B91&lt;$AE$20,B91&gt;$AF$20),"Outlier","OK")</f>
        <v>OK</v>
      </c>
      <c r="N91" t="str">
        <f>IF(OR(J91&lt;$AE$21,J91&gt;$AF$21),"Outlier","OK")</f>
        <v>OK</v>
      </c>
      <c r="O91" t="str">
        <f>IF(OR(C91&lt;0,C91&gt;1),"Outlier","OK")</f>
        <v>OK</v>
      </c>
      <c r="P91" t="str">
        <f>IF(OR(D91&lt;0,D91&gt;1),"Outlier","OK")</f>
        <v>OK</v>
      </c>
      <c r="Q91" t="str">
        <f t="shared" si="10"/>
        <v>60-80%</v>
      </c>
      <c r="R91" t="str">
        <f>IF(B91="","Missing","OK")</f>
        <v>OK</v>
      </c>
      <c r="S91" t="str">
        <f>IF(E91="","Missing","OK")</f>
        <v>OK</v>
      </c>
      <c r="T91" t="str">
        <f t="shared" si="11"/>
        <v>OK</v>
      </c>
      <c r="U91">
        <f>COUNTIF($A:$A,A91)</f>
        <v>1</v>
      </c>
      <c r="V91" t="str">
        <f t="shared" si="12"/>
        <v>OK</v>
      </c>
      <c r="W91" t="str">
        <f>IF(I91&gt;B91,"ERROR","OK")</f>
        <v>OK</v>
      </c>
      <c r="X91">
        <f>(B91-I91)/B91</f>
        <v>0.7725984485493862</v>
      </c>
      <c r="Y91" s="2">
        <f t="shared" si="13"/>
        <v>1.2212453270876722E-15</v>
      </c>
      <c r="Z91" s="2" t="str">
        <f t="shared" si="14"/>
        <v>OK</v>
      </c>
      <c r="AA91" t="str">
        <f t="shared" si="15"/>
        <v>Unique</v>
      </c>
    </row>
    <row r="92" spans="1:27" x14ac:dyDescent="0.3">
      <c r="A92">
        <v>91</v>
      </c>
      <c r="B92">
        <v>1424669.7193801501</v>
      </c>
      <c r="C92">
        <v>0.89317006192319803</v>
      </c>
      <c r="D92">
        <v>-4.1646833010546398E-2</v>
      </c>
      <c r="E92">
        <v>0.24122465740975799</v>
      </c>
      <c r="F92">
        <v>1</v>
      </c>
      <c r="G92" t="s">
        <v>13</v>
      </c>
      <c r="H92">
        <v>0</v>
      </c>
      <c r="I92">
        <v>343665.46497953398</v>
      </c>
      <c r="J92">
        <v>0.75877534259024104</v>
      </c>
      <c r="K92" t="str">
        <f t="shared" si="8"/>
        <v>OK</v>
      </c>
      <c r="L92" t="str">
        <f t="shared" si="9"/>
        <v>OK</v>
      </c>
      <c r="M92" t="str">
        <f>IF(OR(B92&lt;$AE$20,B92&gt;$AF$20),"Outlier","OK")</f>
        <v>OK</v>
      </c>
      <c r="N92" t="str">
        <f>IF(OR(J92&lt;$AE$21,J92&gt;$AF$21),"Outlier","OK")</f>
        <v>OK</v>
      </c>
      <c r="O92" t="str">
        <f>IF(OR(C92&lt;0,C92&gt;1),"Outlier","OK")</f>
        <v>OK</v>
      </c>
      <c r="P92" t="str">
        <f>IF(OR(D92&lt;0,D92&gt;1),"Outlier","OK")</f>
        <v>Outlier</v>
      </c>
      <c r="Q92" t="str">
        <f t="shared" si="10"/>
        <v>60-80%</v>
      </c>
      <c r="R92" t="str">
        <f>IF(B92="","Missing","OK")</f>
        <v>OK</v>
      </c>
      <c r="S92" t="str">
        <f>IF(E92="","Missing","OK")</f>
        <v>OK</v>
      </c>
      <c r="T92" t="str">
        <f t="shared" si="11"/>
        <v>OK</v>
      </c>
      <c r="U92">
        <f>COUNTIF($A:$A,A92)</f>
        <v>1</v>
      </c>
      <c r="V92" t="str">
        <f t="shared" si="12"/>
        <v>OK</v>
      </c>
      <c r="W92" t="str">
        <f>IF(I92&gt;B92,"ERROR","OK")</f>
        <v>OK</v>
      </c>
      <c r="X92">
        <f>(B92-I92)/B92</f>
        <v>0.75877534259024115</v>
      </c>
      <c r="Y92" s="2">
        <f t="shared" si="13"/>
        <v>1.1102230246251565E-16</v>
      </c>
      <c r="Z92" s="2" t="str">
        <f t="shared" si="14"/>
        <v>OK</v>
      </c>
      <c r="AA92" t="str">
        <f t="shared" si="15"/>
        <v>Unique</v>
      </c>
    </row>
    <row r="93" spans="1:27" x14ac:dyDescent="0.3">
      <c r="A93">
        <v>92</v>
      </c>
      <c r="B93">
        <v>1990949.0399663299</v>
      </c>
      <c r="C93">
        <v>0.45967779766364902</v>
      </c>
      <c r="D93">
        <v>-6.7421388491220605E-2</v>
      </c>
      <c r="E93">
        <v>0.135876849469794</v>
      </c>
      <c r="F93">
        <v>1</v>
      </c>
      <c r="G93" t="s">
        <v>11</v>
      </c>
      <c r="H93">
        <v>0</v>
      </c>
      <c r="I93">
        <v>270523.88300553802</v>
      </c>
      <c r="J93">
        <v>0.86412315053020505</v>
      </c>
      <c r="K93" t="str">
        <f t="shared" si="8"/>
        <v>OK</v>
      </c>
      <c r="L93" t="str">
        <f t="shared" si="9"/>
        <v>OK</v>
      </c>
      <c r="M93" t="str">
        <f>IF(OR(B93&lt;$AE$20,B93&gt;$AF$20),"Outlier","OK")</f>
        <v>Outlier</v>
      </c>
      <c r="N93" t="str">
        <f>IF(OR(J93&lt;$AE$21,J93&gt;$AF$21),"Outlier","OK")</f>
        <v>OK</v>
      </c>
      <c r="O93" t="str">
        <f>IF(OR(C93&lt;0,C93&gt;1),"Outlier","OK")</f>
        <v>OK</v>
      </c>
      <c r="P93" t="str">
        <f>IF(OR(D93&lt;0,D93&gt;1),"Outlier","OK")</f>
        <v>Outlier</v>
      </c>
      <c r="Q93" t="str">
        <f t="shared" si="10"/>
        <v>80-100%</v>
      </c>
      <c r="R93" t="str">
        <f>IF(B93="","Missing","OK")</f>
        <v>OK</v>
      </c>
      <c r="S93" t="str">
        <f>IF(E93="","Missing","OK")</f>
        <v>OK</v>
      </c>
      <c r="T93" t="str">
        <f t="shared" si="11"/>
        <v>OK</v>
      </c>
      <c r="U93">
        <f>COUNTIF($A:$A,A93)</f>
        <v>1</v>
      </c>
      <c r="V93" t="str">
        <f t="shared" si="12"/>
        <v>OK</v>
      </c>
      <c r="W93" t="str">
        <f>IF(I93&gt;B93,"ERROR","OK")</f>
        <v>OK</v>
      </c>
      <c r="X93">
        <f>(B93-I93)/B93</f>
        <v>0.86412315053020494</v>
      </c>
      <c r="Y93" s="2">
        <f t="shared" si="13"/>
        <v>1.1102230246251565E-16</v>
      </c>
      <c r="Z93" s="2" t="str">
        <f t="shared" si="14"/>
        <v>OK</v>
      </c>
      <c r="AA93" t="str">
        <f t="shared" si="15"/>
        <v>Unique</v>
      </c>
    </row>
    <row r="94" spans="1:27" x14ac:dyDescent="0.3">
      <c r="A94">
        <v>93</v>
      </c>
      <c r="B94">
        <v>744033.98814904597</v>
      </c>
      <c r="C94">
        <v>0.15434340903317201</v>
      </c>
      <c r="D94">
        <v>-0.160301669861694</v>
      </c>
      <c r="E94">
        <v>0.476918104196353</v>
      </c>
      <c r="F94">
        <v>1</v>
      </c>
      <c r="G94" t="s">
        <v>10</v>
      </c>
      <c r="H94">
        <v>0</v>
      </c>
      <c r="I94">
        <v>354843.27908569499</v>
      </c>
      <c r="J94">
        <v>0.52308189580364595</v>
      </c>
      <c r="K94" t="str">
        <f t="shared" si="8"/>
        <v>OK</v>
      </c>
      <c r="L94" t="str">
        <f t="shared" si="9"/>
        <v>OK</v>
      </c>
      <c r="M94" t="str">
        <f>IF(OR(B94&lt;$AE$20,B94&gt;$AF$20),"Outlier","OK")</f>
        <v>OK</v>
      </c>
      <c r="N94" t="str">
        <f>IF(OR(J94&lt;$AE$21,J94&gt;$AF$21),"Outlier","OK")</f>
        <v>OK</v>
      </c>
      <c r="O94" t="str">
        <f>IF(OR(C94&lt;0,C94&gt;1),"Outlier","OK")</f>
        <v>OK</v>
      </c>
      <c r="P94" t="str">
        <f>IF(OR(D94&lt;0,D94&gt;1),"Outlier","OK")</f>
        <v>Outlier</v>
      </c>
      <c r="Q94" t="str">
        <f t="shared" si="10"/>
        <v>40-60%</v>
      </c>
      <c r="R94" t="str">
        <f>IF(B94="","Missing","OK")</f>
        <v>OK</v>
      </c>
      <c r="S94" t="str">
        <f>IF(E94="","Missing","OK")</f>
        <v>OK</v>
      </c>
      <c r="T94" t="str">
        <f t="shared" si="11"/>
        <v>OK</v>
      </c>
      <c r="U94">
        <f>COUNTIF($A:$A,A94)</f>
        <v>1</v>
      </c>
      <c r="V94" t="str">
        <f t="shared" si="12"/>
        <v>OK</v>
      </c>
      <c r="W94" t="str">
        <f>IF(I94&gt;B94,"ERROR","OK")</f>
        <v>OK</v>
      </c>
      <c r="X94">
        <f>(B94-I94)/B94</f>
        <v>0.52308189580364672</v>
      </c>
      <c r="Y94" s="2">
        <f t="shared" si="13"/>
        <v>7.7715611723760958E-16</v>
      </c>
      <c r="Z94" s="2" t="str">
        <f t="shared" si="14"/>
        <v>OK</v>
      </c>
      <c r="AA94" t="str">
        <f t="shared" si="15"/>
        <v>Unique</v>
      </c>
    </row>
    <row r="95" spans="1:27" x14ac:dyDescent="0.3">
      <c r="A95">
        <v>94</v>
      </c>
      <c r="B95">
        <v>1536968.23688159</v>
      </c>
      <c r="C95">
        <v>0.35785459424593402</v>
      </c>
      <c r="D95">
        <v>-6.9987230307935605E-2</v>
      </c>
      <c r="E95">
        <v>9.0690667008584802E-2</v>
      </c>
      <c r="F95">
        <v>1</v>
      </c>
      <c r="G95" t="s">
        <v>12</v>
      </c>
      <c r="H95">
        <v>1</v>
      </c>
      <c r="I95">
        <v>139388.6745738</v>
      </c>
      <c r="J95">
        <v>0.90930933299141503</v>
      </c>
      <c r="K95" t="str">
        <f t="shared" si="8"/>
        <v>OK</v>
      </c>
      <c r="L95" t="str">
        <f t="shared" si="9"/>
        <v>OK</v>
      </c>
      <c r="M95" t="str">
        <f>IF(OR(B95&lt;$AE$20,B95&gt;$AF$20),"Outlier","OK")</f>
        <v>OK</v>
      </c>
      <c r="N95" t="str">
        <f>IF(OR(J95&lt;$AE$21,J95&gt;$AF$21),"Outlier","OK")</f>
        <v>OK</v>
      </c>
      <c r="O95" t="str">
        <f>IF(OR(C95&lt;0,C95&gt;1),"Outlier","OK")</f>
        <v>OK</v>
      </c>
      <c r="P95" t="str">
        <f>IF(OR(D95&lt;0,D95&gt;1),"Outlier","OK")</f>
        <v>Outlier</v>
      </c>
      <c r="Q95" t="str">
        <f t="shared" si="10"/>
        <v>80-100%</v>
      </c>
      <c r="R95" t="str">
        <f>IF(B95="","Missing","OK")</f>
        <v>OK</v>
      </c>
      <c r="S95" t="str">
        <f>IF(E95="","Missing","OK")</f>
        <v>OK</v>
      </c>
      <c r="T95" t="str">
        <f t="shared" si="11"/>
        <v>OK</v>
      </c>
      <c r="U95">
        <f>COUNTIF($A:$A,A95)</f>
        <v>1</v>
      </c>
      <c r="V95" t="str">
        <f t="shared" si="12"/>
        <v>OK</v>
      </c>
      <c r="W95" t="str">
        <f>IF(I95&gt;B95,"ERROR","OK")</f>
        <v>OK</v>
      </c>
      <c r="X95">
        <f>(B95-I95)/B95</f>
        <v>0.90930933299141514</v>
      </c>
      <c r="Y95" s="2">
        <f t="shared" si="13"/>
        <v>1.1102230246251565E-16</v>
      </c>
      <c r="Z95" s="2" t="str">
        <f t="shared" si="14"/>
        <v>OK</v>
      </c>
      <c r="AA95" t="str">
        <f t="shared" si="15"/>
        <v>Unique</v>
      </c>
    </row>
    <row r="96" spans="1:27" x14ac:dyDescent="0.3">
      <c r="A96">
        <v>95</v>
      </c>
      <c r="B96">
        <v>1206694.98729633</v>
      </c>
      <c r="C96">
        <v>0.518800965210932</v>
      </c>
      <c r="D96">
        <v>0.111611240345901</v>
      </c>
      <c r="E96">
        <v>0.57736678001289099</v>
      </c>
      <c r="F96">
        <v>1</v>
      </c>
      <c r="G96" t="s">
        <v>10</v>
      </c>
      <c r="H96">
        <v>0</v>
      </c>
      <c r="I96">
        <v>696705.59927297896</v>
      </c>
      <c r="J96">
        <v>0.42263321998710801</v>
      </c>
      <c r="K96" t="str">
        <f t="shared" si="8"/>
        <v>OK</v>
      </c>
      <c r="L96" t="str">
        <f t="shared" si="9"/>
        <v>OK</v>
      </c>
      <c r="M96" t="str">
        <f>IF(OR(B96&lt;$AE$20,B96&gt;$AF$20),"Outlier","OK")</f>
        <v>OK</v>
      </c>
      <c r="N96" t="str">
        <f>IF(OR(J96&lt;$AE$21,J96&gt;$AF$21),"Outlier","OK")</f>
        <v>OK</v>
      </c>
      <c r="O96" t="str">
        <f>IF(OR(C96&lt;0,C96&gt;1),"Outlier","OK")</f>
        <v>OK</v>
      </c>
      <c r="P96" t="str">
        <f>IF(OR(D96&lt;0,D96&gt;1),"Outlier","OK")</f>
        <v>OK</v>
      </c>
      <c r="Q96" t="str">
        <f t="shared" si="10"/>
        <v>40-60%</v>
      </c>
      <c r="R96" t="str">
        <f>IF(B96="","Missing","OK")</f>
        <v>OK</v>
      </c>
      <c r="S96" t="str">
        <f>IF(E96="","Missing","OK")</f>
        <v>OK</v>
      </c>
      <c r="T96" t="str">
        <f t="shared" si="11"/>
        <v>OK</v>
      </c>
      <c r="U96">
        <f>COUNTIF($A:$A,A96)</f>
        <v>1</v>
      </c>
      <c r="V96" t="str">
        <f t="shared" si="12"/>
        <v>OK</v>
      </c>
      <c r="W96" t="str">
        <f>IF(I96&gt;B96,"ERROR","OK")</f>
        <v>OK</v>
      </c>
      <c r="X96">
        <f>(B96-I96)/B96</f>
        <v>0.42263321998710862</v>
      </c>
      <c r="Y96" s="2">
        <f t="shared" si="13"/>
        <v>6.106226635438361E-16</v>
      </c>
      <c r="Z96" s="2" t="str">
        <f t="shared" si="14"/>
        <v>OK</v>
      </c>
      <c r="AA96" t="str">
        <f t="shared" si="15"/>
        <v>Unique</v>
      </c>
    </row>
    <row r="97" spans="1:27" x14ac:dyDescent="0.3">
      <c r="A97">
        <v>96</v>
      </c>
      <c r="B97">
        <v>1398818.50746534</v>
      </c>
      <c r="C97">
        <v>0.87059069113301102</v>
      </c>
      <c r="D97">
        <v>-0.136503140637694</v>
      </c>
      <c r="E97">
        <v>0.26876012182805298</v>
      </c>
      <c r="F97">
        <v>1</v>
      </c>
      <c r="G97" t="s">
        <v>12</v>
      </c>
      <c r="H97">
        <v>1</v>
      </c>
      <c r="I97">
        <v>375946.63248172199</v>
      </c>
      <c r="J97">
        <v>0.73123987817194602</v>
      </c>
      <c r="K97" t="str">
        <f t="shared" si="8"/>
        <v>OK</v>
      </c>
      <c r="L97" t="str">
        <f t="shared" si="9"/>
        <v>OK</v>
      </c>
      <c r="M97" t="str">
        <f>IF(OR(B97&lt;$AE$20,B97&gt;$AF$20),"Outlier","OK")</f>
        <v>OK</v>
      </c>
      <c r="N97" t="str">
        <f>IF(OR(J97&lt;$AE$21,J97&gt;$AF$21),"Outlier","OK")</f>
        <v>OK</v>
      </c>
      <c r="O97" t="str">
        <f>IF(OR(C97&lt;0,C97&gt;1),"Outlier","OK")</f>
        <v>OK</v>
      </c>
      <c r="P97" t="str">
        <f>IF(OR(D97&lt;0,D97&gt;1),"Outlier","OK")</f>
        <v>Outlier</v>
      </c>
      <c r="Q97" t="str">
        <f t="shared" si="10"/>
        <v>60-80%</v>
      </c>
      <c r="R97" t="str">
        <f>IF(B97="","Missing","OK")</f>
        <v>OK</v>
      </c>
      <c r="S97" t="str">
        <f>IF(E97="","Missing","OK")</f>
        <v>OK</v>
      </c>
      <c r="T97" t="str">
        <f t="shared" si="11"/>
        <v>OK</v>
      </c>
      <c r="U97">
        <f>COUNTIF($A:$A,A97)</f>
        <v>1</v>
      </c>
      <c r="V97" t="str">
        <f t="shared" si="12"/>
        <v>OK</v>
      </c>
      <c r="W97" t="str">
        <f>IF(I97&gt;B97,"ERROR","OK")</f>
        <v>OK</v>
      </c>
      <c r="X97">
        <f>(B97-I97)/B97</f>
        <v>0.73123987817194569</v>
      </c>
      <c r="Y97" s="2">
        <f t="shared" si="13"/>
        <v>3.3306690738754696E-16</v>
      </c>
      <c r="Z97" s="2" t="str">
        <f t="shared" si="14"/>
        <v>OK</v>
      </c>
      <c r="AA97" t="str">
        <f t="shared" si="15"/>
        <v>Unique</v>
      </c>
    </row>
    <row r="98" spans="1:27" x14ac:dyDescent="0.3">
      <c r="A98">
        <v>97</v>
      </c>
      <c r="B98">
        <v>344698.53207875602</v>
      </c>
      <c r="C98">
        <v>0.76256739501663195</v>
      </c>
      <c r="D98">
        <v>0.12861626158594899</v>
      </c>
      <c r="E98">
        <v>0.32736751578702</v>
      </c>
      <c r="F98">
        <v>1</v>
      </c>
      <c r="G98" t="s">
        <v>10</v>
      </c>
      <c r="H98">
        <v>0</v>
      </c>
      <c r="I98">
        <v>112843.102142055</v>
      </c>
      <c r="J98">
        <v>0.67263248421297905</v>
      </c>
      <c r="K98" t="str">
        <f t="shared" si="8"/>
        <v>OK</v>
      </c>
      <c r="L98" t="str">
        <f t="shared" si="9"/>
        <v>OK</v>
      </c>
      <c r="M98" t="str">
        <f>IF(OR(B98&lt;$AE$20,B98&gt;$AF$20),"Outlier","OK")</f>
        <v>OK</v>
      </c>
      <c r="N98" t="str">
        <f>IF(OR(J98&lt;$AE$21,J98&gt;$AF$21),"Outlier","OK")</f>
        <v>OK</v>
      </c>
      <c r="O98" t="str">
        <f>IF(OR(C98&lt;0,C98&gt;1),"Outlier","OK")</f>
        <v>OK</v>
      </c>
      <c r="P98" t="str">
        <f>IF(OR(D98&lt;0,D98&gt;1),"Outlier","OK")</f>
        <v>OK</v>
      </c>
      <c r="Q98" t="str">
        <f t="shared" si="10"/>
        <v>60-80%</v>
      </c>
      <c r="R98" t="str">
        <f>IF(B98="","Missing","OK")</f>
        <v>OK</v>
      </c>
      <c r="S98" t="str">
        <f>IF(E98="","Missing","OK")</f>
        <v>OK</v>
      </c>
      <c r="T98" t="str">
        <f t="shared" si="11"/>
        <v>OK</v>
      </c>
      <c r="U98">
        <f>COUNTIF($A:$A,A98)</f>
        <v>1</v>
      </c>
      <c r="V98" t="str">
        <f t="shared" si="12"/>
        <v>OK</v>
      </c>
      <c r="W98" t="str">
        <f>IF(I98&gt;B98,"ERROR","OK")</f>
        <v>OK</v>
      </c>
      <c r="X98">
        <f>(B98-I98)/B98</f>
        <v>0.67263248421297939</v>
      </c>
      <c r="Y98" s="2">
        <f t="shared" si="13"/>
        <v>3.3306690738754696E-16</v>
      </c>
      <c r="Z98" s="2" t="str">
        <f t="shared" si="14"/>
        <v>OK</v>
      </c>
      <c r="AA98" t="str">
        <f t="shared" si="15"/>
        <v>Unique</v>
      </c>
    </row>
    <row r="99" spans="1:27" x14ac:dyDescent="0.3">
      <c r="A99">
        <v>98</v>
      </c>
      <c r="B99">
        <v>827808.77081600495</v>
      </c>
      <c r="C99">
        <v>0.231608958150547</v>
      </c>
      <c r="D99">
        <v>-0.115862823814607</v>
      </c>
      <c r="E99">
        <v>0.33000252526146701</v>
      </c>
      <c r="F99">
        <v>1</v>
      </c>
      <c r="G99" t="s">
        <v>10</v>
      </c>
      <c r="H99">
        <v>1</v>
      </c>
      <c r="I99">
        <v>273178.98480287299</v>
      </c>
      <c r="J99">
        <v>0.669997474738532</v>
      </c>
      <c r="K99" t="str">
        <f t="shared" si="8"/>
        <v>OK</v>
      </c>
      <c r="L99" t="str">
        <f t="shared" si="9"/>
        <v>OK</v>
      </c>
      <c r="M99" t="str">
        <f>IF(OR(B99&lt;$AE$20,B99&gt;$AF$20),"Outlier","OK")</f>
        <v>OK</v>
      </c>
      <c r="N99" t="str">
        <f>IF(OR(J99&lt;$AE$21,J99&gt;$AF$21),"Outlier","OK")</f>
        <v>OK</v>
      </c>
      <c r="O99" t="str">
        <f>IF(OR(C99&lt;0,C99&gt;1),"Outlier","OK")</f>
        <v>OK</v>
      </c>
      <c r="P99" t="str">
        <f>IF(OR(D99&lt;0,D99&gt;1),"Outlier","OK")</f>
        <v>Outlier</v>
      </c>
      <c r="Q99" t="str">
        <f t="shared" si="10"/>
        <v>60-80%</v>
      </c>
      <c r="R99" t="str">
        <f>IF(B99="","Missing","OK")</f>
        <v>OK</v>
      </c>
      <c r="S99" t="str">
        <f>IF(E99="","Missing","OK")</f>
        <v>OK</v>
      </c>
      <c r="T99" t="str">
        <f t="shared" si="11"/>
        <v>OK</v>
      </c>
      <c r="U99">
        <f>COUNTIF($A:$A,A99)</f>
        <v>1</v>
      </c>
      <c r="V99" t="str">
        <f t="shared" si="12"/>
        <v>OK</v>
      </c>
      <c r="W99" t="str">
        <f>IF(I99&gt;B99,"ERROR","OK")</f>
        <v>OK</v>
      </c>
      <c r="X99">
        <f>(B99-I99)/B99</f>
        <v>0.66999747473853255</v>
      </c>
      <c r="Y99" s="2">
        <f t="shared" si="13"/>
        <v>5.5511151231257827E-16</v>
      </c>
      <c r="Z99" s="2" t="str">
        <f t="shared" si="14"/>
        <v>OK</v>
      </c>
      <c r="AA99" t="str">
        <f t="shared" si="15"/>
        <v>Unique</v>
      </c>
    </row>
    <row r="100" spans="1:27" x14ac:dyDescent="0.3">
      <c r="A100">
        <v>99</v>
      </c>
      <c r="B100">
        <v>519669.00056106702</v>
      </c>
      <c r="C100">
        <v>0.30447447518604798</v>
      </c>
      <c r="D100">
        <v>-6.5228752441358201E-2</v>
      </c>
      <c r="E100">
        <v>0.149446382188552</v>
      </c>
      <c r="F100">
        <v>1</v>
      </c>
      <c r="G100" t="s">
        <v>10</v>
      </c>
      <c r="H100">
        <v>1</v>
      </c>
      <c r="I100">
        <v>77662.652069392207</v>
      </c>
      <c r="J100">
        <v>0.850553617811447</v>
      </c>
      <c r="K100" t="str">
        <f t="shared" si="8"/>
        <v>OK</v>
      </c>
      <c r="L100" t="str">
        <f t="shared" si="9"/>
        <v>OK</v>
      </c>
      <c r="M100" t="str">
        <f>IF(OR(B100&lt;$AE$20,B100&gt;$AF$20),"Outlier","OK")</f>
        <v>OK</v>
      </c>
      <c r="N100" t="str">
        <f>IF(OR(J100&lt;$AE$21,J100&gt;$AF$21),"Outlier","OK")</f>
        <v>OK</v>
      </c>
      <c r="O100" t="str">
        <f>IF(OR(C100&lt;0,C100&gt;1),"Outlier","OK")</f>
        <v>OK</v>
      </c>
      <c r="P100" t="str">
        <f>IF(OR(D100&lt;0,D100&gt;1),"Outlier","OK")</f>
        <v>Outlier</v>
      </c>
      <c r="Q100" t="str">
        <f t="shared" si="10"/>
        <v>80-100%</v>
      </c>
      <c r="R100" t="str">
        <f>IF(B100="","Missing","OK")</f>
        <v>OK</v>
      </c>
      <c r="S100" t="str">
        <f>IF(E100="","Missing","OK")</f>
        <v>OK</v>
      </c>
      <c r="T100" t="str">
        <f t="shared" si="11"/>
        <v>OK</v>
      </c>
      <c r="U100">
        <f>COUNTIF($A:$A,A100)</f>
        <v>1</v>
      </c>
      <c r="V100" t="str">
        <f t="shared" si="12"/>
        <v>OK</v>
      </c>
      <c r="W100" t="str">
        <f>IF(I100&gt;B100,"ERROR","OK")</f>
        <v>OK</v>
      </c>
      <c r="X100">
        <f>(B100-I100)/B100</f>
        <v>0.85055361781144778</v>
      </c>
      <c r="Y100" s="2">
        <f t="shared" si="13"/>
        <v>7.7715611723760958E-16</v>
      </c>
      <c r="Z100" s="2" t="str">
        <f t="shared" si="14"/>
        <v>OK</v>
      </c>
      <c r="AA100" t="str">
        <f t="shared" si="15"/>
        <v>Unique</v>
      </c>
    </row>
    <row r="101" spans="1:27" x14ac:dyDescent="0.3">
      <c r="A101">
        <v>100</v>
      </c>
      <c r="B101">
        <v>719739.22739423299</v>
      </c>
      <c r="C101">
        <v>0.81444550165610596</v>
      </c>
      <c r="D101">
        <v>2.8607174919383201E-2</v>
      </c>
      <c r="E101">
        <v>0.23534231562087701</v>
      </c>
      <c r="F101">
        <v>1</v>
      </c>
      <c r="G101" t="s">
        <v>10</v>
      </c>
      <c r="H101">
        <v>1</v>
      </c>
      <c r="I101">
        <v>169385.09641813999</v>
      </c>
      <c r="J101">
        <v>0.76465768437912196</v>
      </c>
      <c r="K101" t="str">
        <f t="shared" si="8"/>
        <v>OK</v>
      </c>
      <c r="L101" t="str">
        <f t="shared" si="9"/>
        <v>OK</v>
      </c>
      <c r="M101" t="str">
        <f>IF(OR(B101&lt;$AE$20,B101&gt;$AF$20),"Outlier","OK")</f>
        <v>OK</v>
      </c>
      <c r="N101" t="str">
        <f>IF(OR(J101&lt;$AE$21,J101&gt;$AF$21),"Outlier","OK")</f>
        <v>OK</v>
      </c>
      <c r="O101" t="str">
        <f>IF(OR(C101&lt;0,C101&gt;1),"Outlier","OK")</f>
        <v>OK</v>
      </c>
      <c r="P101" t="str">
        <f>IF(OR(D101&lt;0,D101&gt;1),"Outlier","OK")</f>
        <v>OK</v>
      </c>
      <c r="Q101" t="str">
        <f t="shared" si="10"/>
        <v>60-80%</v>
      </c>
      <c r="R101" t="str">
        <f>IF(B101="","Missing","OK")</f>
        <v>OK</v>
      </c>
      <c r="S101" t="str">
        <f>IF(E101="","Missing","OK")</f>
        <v>OK</v>
      </c>
      <c r="T101" t="str">
        <f t="shared" si="11"/>
        <v>OK</v>
      </c>
      <c r="U101">
        <f>COUNTIF($A:$A,A101)</f>
        <v>1</v>
      </c>
      <c r="V101" t="str">
        <f t="shared" si="12"/>
        <v>OK</v>
      </c>
      <c r="W101" t="str">
        <f>IF(I101&gt;B101,"ERROR","OK")</f>
        <v>OK</v>
      </c>
      <c r="X101">
        <f>(B101-I101)/B101</f>
        <v>0.76465768437912263</v>
      </c>
      <c r="Y101" s="2">
        <f t="shared" si="13"/>
        <v>6.6613381477509392E-16</v>
      </c>
      <c r="Z101" s="2" t="str">
        <f t="shared" si="14"/>
        <v>OK</v>
      </c>
      <c r="AA101" t="str">
        <f t="shared" si="15"/>
        <v>Unique</v>
      </c>
    </row>
    <row r="102" spans="1:27" x14ac:dyDescent="0.3">
      <c r="A102">
        <v>101</v>
      </c>
      <c r="B102">
        <v>1050599.9006880501</v>
      </c>
      <c r="C102">
        <v>0.76498501730151902</v>
      </c>
      <c r="D102">
        <v>-0.109636408324261</v>
      </c>
      <c r="E102">
        <v>0.37816460193551199</v>
      </c>
      <c r="F102">
        <v>1</v>
      </c>
      <c r="G102" t="s">
        <v>11</v>
      </c>
      <c r="H102">
        <v>1</v>
      </c>
      <c r="I102">
        <v>397299.69323718699</v>
      </c>
      <c r="J102">
        <v>0.62183539806448695</v>
      </c>
      <c r="K102" t="str">
        <f t="shared" si="8"/>
        <v>OK</v>
      </c>
      <c r="L102" t="str">
        <f t="shared" si="9"/>
        <v>OK</v>
      </c>
      <c r="M102" t="str">
        <f>IF(OR(B102&lt;$AE$20,B102&gt;$AF$20),"Outlier","OK")</f>
        <v>OK</v>
      </c>
      <c r="N102" t="str">
        <f>IF(OR(J102&lt;$AE$21,J102&gt;$AF$21),"Outlier","OK")</f>
        <v>OK</v>
      </c>
      <c r="O102" t="str">
        <f>IF(OR(C102&lt;0,C102&gt;1),"Outlier","OK")</f>
        <v>OK</v>
      </c>
      <c r="P102" t="str">
        <f>IF(OR(D102&lt;0,D102&gt;1),"Outlier","OK")</f>
        <v>Outlier</v>
      </c>
      <c r="Q102" t="str">
        <f t="shared" si="10"/>
        <v>60-80%</v>
      </c>
      <c r="R102" t="str">
        <f>IF(B102="","Missing","OK")</f>
        <v>OK</v>
      </c>
      <c r="S102" t="str">
        <f>IF(E102="","Missing","OK")</f>
        <v>OK</v>
      </c>
      <c r="T102" t="str">
        <f t="shared" si="11"/>
        <v>OK</v>
      </c>
      <c r="U102">
        <f>COUNTIF($A:$A,A102)</f>
        <v>1</v>
      </c>
      <c r="V102" t="str">
        <f t="shared" si="12"/>
        <v>OK</v>
      </c>
      <c r="W102" t="str">
        <f>IF(I102&gt;B102,"ERROR","OK")</f>
        <v>OK</v>
      </c>
      <c r="X102">
        <f>(B102-I102)/B102</f>
        <v>0.62183539806448596</v>
      </c>
      <c r="Y102" s="2">
        <f t="shared" si="13"/>
        <v>9.9920072216264089E-16</v>
      </c>
      <c r="Z102" s="2" t="str">
        <f t="shared" si="14"/>
        <v>OK</v>
      </c>
      <c r="AA102" t="str">
        <f t="shared" si="15"/>
        <v>Unique</v>
      </c>
    </row>
    <row r="103" spans="1:27" x14ac:dyDescent="0.3">
      <c r="A103">
        <v>102</v>
      </c>
      <c r="B103">
        <v>1349917.8728199301</v>
      </c>
      <c r="C103">
        <v>0.61676858950842905</v>
      </c>
      <c r="D103">
        <v>-2.5147750216884701E-2</v>
      </c>
      <c r="E103">
        <v>0.71630525317989902</v>
      </c>
      <c r="F103">
        <v>1</v>
      </c>
      <c r="G103" t="s">
        <v>11</v>
      </c>
      <c r="H103">
        <v>1</v>
      </c>
      <c r="I103">
        <v>966953.26366235805</v>
      </c>
      <c r="J103">
        <v>0.28369474682009999</v>
      </c>
      <c r="K103" t="str">
        <f t="shared" si="8"/>
        <v>OK</v>
      </c>
      <c r="L103" t="str">
        <f t="shared" si="9"/>
        <v>OK</v>
      </c>
      <c r="M103" t="str">
        <f>IF(OR(B103&lt;$AE$20,B103&gt;$AF$20),"Outlier","OK")</f>
        <v>OK</v>
      </c>
      <c r="N103" t="str">
        <f>IF(OR(J103&lt;$AE$21,J103&gt;$AF$21),"Outlier","OK")</f>
        <v>Outlier</v>
      </c>
      <c r="O103" t="str">
        <f>IF(OR(C103&lt;0,C103&gt;1),"Outlier","OK")</f>
        <v>OK</v>
      </c>
      <c r="P103" t="str">
        <f>IF(OR(D103&lt;0,D103&gt;1),"Outlier","OK")</f>
        <v>Outlier</v>
      </c>
      <c r="Q103" t="str">
        <f t="shared" si="10"/>
        <v>20-40%</v>
      </c>
      <c r="R103" t="str">
        <f>IF(B103="","Missing","OK")</f>
        <v>OK</v>
      </c>
      <c r="S103" t="str">
        <f>IF(E103="","Missing","OK")</f>
        <v>OK</v>
      </c>
      <c r="T103" t="str">
        <f t="shared" si="11"/>
        <v>OK</v>
      </c>
      <c r="U103">
        <f>COUNTIF($A:$A,A103)</f>
        <v>1</v>
      </c>
      <c r="V103" t="str">
        <f t="shared" si="12"/>
        <v>OK</v>
      </c>
      <c r="W103" t="str">
        <f>IF(I103&gt;B103,"ERROR","OK")</f>
        <v>OK</v>
      </c>
      <c r="X103">
        <f>(B103-I103)/B103</f>
        <v>0.28369474682009554</v>
      </c>
      <c r="Y103" s="2">
        <f t="shared" si="13"/>
        <v>4.4408920985006262E-15</v>
      </c>
      <c r="Z103" s="2" t="str">
        <f t="shared" si="14"/>
        <v>OK</v>
      </c>
      <c r="AA103" t="str">
        <f t="shared" si="15"/>
        <v>Unique</v>
      </c>
    </row>
    <row r="104" spans="1:27" x14ac:dyDescent="0.3">
      <c r="A104">
        <v>103</v>
      </c>
      <c r="B104">
        <v>256521.54586078599</v>
      </c>
      <c r="C104">
        <v>0.17203293287656901</v>
      </c>
      <c r="D104">
        <v>8.1441565731556996E-3</v>
      </c>
      <c r="E104">
        <v>1.08319048850963E-2</v>
      </c>
      <c r="F104">
        <v>1</v>
      </c>
      <c r="G104" t="s">
        <v>10</v>
      </c>
      <c r="H104">
        <v>0</v>
      </c>
      <c r="I104">
        <v>2778.61698574191</v>
      </c>
      <c r="J104">
        <v>0.989168095114903</v>
      </c>
      <c r="K104" t="str">
        <f t="shared" si="8"/>
        <v>OK</v>
      </c>
      <c r="L104" t="str">
        <f t="shared" si="9"/>
        <v>OK</v>
      </c>
      <c r="M104" t="str">
        <f>IF(OR(B104&lt;$AE$20,B104&gt;$AF$20),"Outlier","OK")</f>
        <v>OK</v>
      </c>
      <c r="N104" t="str">
        <f>IF(OR(J104&lt;$AE$21,J104&gt;$AF$21),"Outlier","OK")</f>
        <v>Outlier</v>
      </c>
      <c r="O104" t="str">
        <f>IF(OR(C104&lt;0,C104&gt;1),"Outlier","OK")</f>
        <v>OK</v>
      </c>
      <c r="P104" t="str">
        <f>IF(OR(D104&lt;0,D104&gt;1),"Outlier","OK")</f>
        <v>OK</v>
      </c>
      <c r="Q104" t="str">
        <f t="shared" si="10"/>
        <v>80-100%</v>
      </c>
      <c r="R104" t="str">
        <f>IF(B104="","Missing","OK")</f>
        <v>OK</v>
      </c>
      <c r="S104" t="str">
        <f>IF(E104="","Missing","OK")</f>
        <v>OK</v>
      </c>
      <c r="T104" t="str">
        <f t="shared" si="11"/>
        <v>OK</v>
      </c>
      <c r="U104">
        <f>COUNTIF($A:$A,A104)</f>
        <v>1</v>
      </c>
      <c r="V104" t="str">
        <f t="shared" si="12"/>
        <v>OK</v>
      </c>
      <c r="W104" t="str">
        <f>IF(I104&gt;B104,"ERROR","OK")</f>
        <v>OK</v>
      </c>
      <c r="X104">
        <f>(B104-I104)/B104</f>
        <v>0.98916809511490367</v>
      </c>
      <c r="Y104" s="2">
        <f t="shared" si="13"/>
        <v>6.6613381477509392E-16</v>
      </c>
      <c r="Z104" s="2" t="str">
        <f t="shared" si="14"/>
        <v>OK</v>
      </c>
      <c r="AA104" t="str">
        <f t="shared" si="15"/>
        <v>Unique</v>
      </c>
    </row>
    <row r="105" spans="1:27" x14ac:dyDescent="0.3">
      <c r="A105">
        <v>104</v>
      </c>
      <c r="B105">
        <v>305245.15379495698</v>
      </c>
      <c r="C105">
        <v>0.43846835530420197</v>
      </c>
      <c r="D105">
        <v>-0.118703754859255</v>
      </c>
      <c r="E105">
        <v>0.22010128374778301</v>
      </c>
      <c r="F105">
        <v>1</v>
      </c>
      <c r="G105" t="s">
        <v>13</v>
      </c>
      <c r="H105">
        <v>0</v>
      </c>
      <c r="I105">
        <v>67184.850208059797</v>
      </c>
      <c r="J105">
        <v>0.77989871625221596</v>
      </c>
      <c r="K105" t="str">
        <f t="shared" si="8"/>
        <v>OK</v>
      </c>
      <c r="L105" t="str">
        <f t="shared" si="9"/>
        <v>OK</v>
      </c>
      <c r="M105" t="str">
        <f>IF(OR(B105&lt;$AE$20,B105&gt;$AF$20),"Outlier","OK")</f>
        <v>OK</v>
      </c>
      <c r="N105" t="str">
        <f>IF(OR(J105&lt;$AE$21,J105&gt;$AF$21),"Outlier","OK")</f>
        <v>OK</v>
      </c>
      <c r="O105" t="str">
        <f>IF(OR(C105&lt;0,C105&gt;1),"Outlier","OK")</f>
        <v>OK</v>
      </c>
      <c r="P105" t="str">
        <f>IF(OR(D105&lt;0,D105&gt;1),"Outlier","OK")</f>
        <v>Outlier</v>
      </c>
      <c r="Q105" t="str">
        <f t="shared" si="10"/>
        <v>60-80%</v>
      </c>
      <c r="R105" t="str">
        <f>IF(B105="","Missing","OK")</f>
        <v>OK</v>
      </c>
      <c r="S105" t="str">
        <f>IF(E105="","Missing","OK")</f>
        <v>OK</v>
      </c>
      <c r="T105" t="str">
        <f t="shared" si="11"/>
        <v>OK</v>
      </c>
      <c r="U105">
        <f>COUNTIF($A:$A,A105)</f>
        <v>1</v>
      </c>
      <c r="V105" t="str">
        <f t="shared" si="12"/>
        <v>OK</v>
      </c>
      <c r="W105" t="str">
        <f>IF(I105&gt;B105,"ERROR","OK")</f>
        <v>OK</v>
      </c>
      <c r="X105">
        <f>(B105-I105)/B105</f>
        <v>0.77989871625221596</v>
      </c>
      <c r="Y105" s="2">
        <f t="shared" si="13"/>
        <v>0</v>
      </c>
      <c r="Z105" s="2" t="str">
        <f t="shared" si="14"/>
        <v>OK</v>
      </c>
      <c r="AA105" t="str">
        <f t="shared" si="15"/>
        <v>Unique</v>
      </c>
    </row>
    <row r="106" spans="1:27" x14ac:dyDescent="0.3">
      <c r="A106">
        <v>105</v>
      </c>
      <c r="B106">
        <v>677862.18261320004</v>
      </c>
      <c r="C106">
        <v>0.21882532941843399</v>
      </c>
      <c r="D106">
        <v>-0.18801537446071301</v>
      </c>
      <c r="E106">
        <v>0.15801617911836999</v>
      </c>
      <c r="F106">
        <v>1</v>
      </c>
      <c r="G106" t="s">
        <v>10</v>
      </c>
      <c r="H106">
        <v>0</v>
      </c>
      <c r="I106">
        <v>107113.192065376</v>
      </c>
      <c r="J106">
        <v>0.84198382088162904</v>
      </c>
      <c r="K106" t="str">
        <f t="shared" si="8"/>
        <v>OK</v>
      </c>
      <c r="L106" t="str">
        <f t="shared" si="9"/>
        <v>OK</v>
      </c>
      <c r="M106" t="str">
        <f>IF(OR(B106&lt;$AE$20,B106&gt;$AF$20),"Outlier","OK")</f>
        <v>OK</v>
      </c>
      <c r="N106" t="str">
        <f>IF(OR(J106&lt;$AE$21,J106&gt;$AF$21),"Outlier","OK")</f>
        <v>OK</v>
      </c>
      <c r="O106" t="str">
        <f>IF(OR(C106&lt;0,C106&gt;1),"Outlier","OK")</f>
        <v>OK</v>
      </c>
      <c r="P106" t="str">
        <f>IF(OR(D106&lt;0,D106&gt;1),"Outlier","OK")</f>
        <v>Outlier</v>
      </c>
      <c r="Q106" t="str">
        <f t="shared" si="10"/>
        <v>80-100%</v>
      </c>
      <c r="R106" t="str">
        <f>IF(B106="","Missing","OK")</f>
        <v>OK</v>
      </c>
      <c r="S106" t="str">
        <f>IF(E106="","Missing","OK")</f>
        <v>OK</v>
      </c>
      <c r="T106" t="str">
        <f t="shared" si="11"/>
        <v>OK</v>
      </c>
      <c r="U106">
        <f>COUNTIF($A:$A,A106)</f>
        <v>1</v>
      </c>
      <c r="V106" t="str">
        <f t="shared" si="12"/>
        <v>OK</v>
      </c>
      <c r="W106" t="str">
        <f>IF(I106&gt;B106,"ERROR","OK")</f>
        <v>OK</v>
      </c>
      <c r="X106">
        <f>(B106-I106)/B106</f>
        <v>0.84198382088163104</v>
      </c>
      <c r="Y106" s="2">
        <f t="shared" si="13"/>
        <v>1.9984014443252818E-15</v>
      </c>
      <c r="Z106" s="2" t="str">
        <f t="shared" si="14"/>
        <v>OK</v>
      </c>
      <c r="AA106" t="str">
        <f t="shared" si="15"/>
        <v>Unique</v>
      </c>
    </row>
    <row r="107" spans="1:27" x14ac:dyDescent="0.3">
      <c r="A107">
        <v>106</v>
      </c>
      <c r="B107">
        <v>1340050.45649917</v>
      </c>
      <c r="C107">
        <v>0.69626620284530605</v>
      </c>
      <c r="D107">
        <v>-8.5286506191231092E-3</v>
      </c>
      <c r="E107">
        <v>7.6041605540417903E-2</v>
      </c>
      <c r="F107">
        <v>1</v>
      </c>
      <c r="G107" t="s">
        <v>11</v>
      </c>
      <c r="H107">
        <v>1</v>
      </c>
      <c r="I107">
        <v>101899.588217367</v>
      </c>
      <c r="J107">
        <v>0.92395839445958206</v>
      </c>
      <c r="K107" t="str">
        <f t="shared" si="8"/>
        <v>OK</v>
      </c>
      <c r="L107" t="str">
        <f t="shared" si="9"/>
        <v>OK</v>
      </c>
      <c r="M107" t="str">
        <f>IF(OR(B107&lt;$AE$20,B107&gt;$AF$20),"Outlier","OK")</f>
        <v>OK</v>
      </c>
      <c r="N107" t="str">
        <f>IF(OR(J107&lt;$AE$21,J107&gt;$AF$21),"Outlier","OK")</f>
        <v>OK</v>
      </c>
      <c r="O107" t="str">
        <f>IF(OR(C107&lt;0,C107&gt;1),"Outlier","OK")</f>
        <v>OK</v>
      </c>
      <c r="P107" t="str">
        <f>IF(OR(D107&lt;0,D107&gt;1),"Outlier","OK")</f>
        <v>Outlier</v>
      </c>
      <c r="Q107" t="str">
        <f t="shared" si="10"/>
        <v>80-100%</v>
      </c>
      <c r="R107" t="str">
        <f>IF(B107="","Missing","OK")</f>
        <v>OK</v>
      </c>
      <c r="S107" t="str">
        <f>IF(E107="","Missing","OK")</f>
        <v>OK</v>
      </c>
      <c r="T107" t="str">
        <f t="shared" si="11"/>
        <v>OK</v>
      </c>
      <c r="U107">
        <f>COUNTIF($A:$A,A107)</f>
        <v>1</v>
      </c>
      <c r="V107" t="str">
        <f t="shared" si="12"/>
        <v>OK</v>
      </c>
      <c r="W107" t="str">
        <f>IF(I107&gt;B107,"ERROR","OK")</f>
        <v>OK</v>
      </c>
      <c r="X107">
        <f>(B107-I107)/B107</f>
        <v>0.92395839445958206</v>
      </c>
      <c r="Y107" s="2">
        <f t="shared" si="13"/>
        <v>0</v>
      </c>
      <c r="Z107" s="2" t="str">
        <f t="shared" si="14"/>
        <v>OK</v>
      </c>
      <c r="AA107" t="str">
        <f t="shared" si="15"/>
        <v>Unique</v>
      </c>
    </row>
    <row r="108" spans="1:27" x14ac:dyDescent="0.3">
      <c r="A108">
        <v>107</v>
      </c>
      <c r="B108">
        <v>1700687.1392779001</v>
      </c>
      <c r="C108">
        <v>0.169552350602336</v>
      </c>
      <c r="D108">
        <v>7.8572413999465601E-2</v>
      </c>
      <c r="E108">
        <v>0.30140254632212599</v>
      </c>
      <c r="F108">
        <v>1</v>
      </c>
      <c r="G108" t="s">
        <v>10</v>
      </c>
      <c r="H108">
        <v>0</v>
      </c>
      <c r="I108">
        <v>512591.43427565298</v>
      </c>
      <c r="J108">
        <v>0.69859745367787296</v>
      </c>
      <c r="K108" t="str">
        <f t="shared" si="8"/>
        <v>OK</v>
      </c>
      <c r="L108" t="str">
        <f t="shared" si="9"/>
        <v>OK</v>
      </c>
      <c r="M108" t="str">
        <f>IF(OR(B108&lt;$AE$20,B108&gt;$AF$20),"Outlier","OK")</f>
        <v>OK</v>
      </c>
      <c r="N108" t="str">
        <f>IF(OR(J108&lt;$AE$21,J108&gt;$AF$21),"Outlier","OK")</f>
        <v>OK</v>
      </c>
      <c r="O108" t="str">
        <f>IF(OR(C108&lt;0,C108&gt;1),"Outlier","OK")</f>
        <v>OK</v>
      </c>
      <c r="P108" t="str">
        <f>IF(OR(D108&lt;0,D108&gt;1),"Outlier","OK")</f>
        <v>OK</v>
      </c>
      <c r="Q108" t="str">
        <f t="shared" si="10"/>
        <v>60-80%</v>
      </c>
      <c r="R108" t="str">
        <f>IF(B108="","Missing","OK")</f>
        <v>OK</v>
      </c>
      <c r="S108" t="str">
        <f>IF(E108="","Missing","OK")</f>
        <v>OK</v>
      </c>
      <c r="T108" t="str">
        <f t="shared" si="11"/>
        <v>OK</v>
      </c>
      <c r="U108">
        <f>COUNTIF($A:$A,A108)</f>
        <v>1</v>
      </c>
      <c r="V108" t="str">
        <f t="shared" si="12"/>
        <v>OK</v>
      </c>
      <c r="W108" t="str">
        <f>IF(I108&gt;B108,"ERROR","OK")</f>
        <v>OK</v>
      </c>
      <c r="X108">
        <f>(B108-I108)/B108</f>
        <v>0.69859745367787296</v>
      </c>
      <c r="Y108" s="2">
        <f t="shared" si="13"/>
        <v>0</v>
      </c>
      <c r="Z108" s="2" t="str">
        <f t="shared" si="14"/>
        <v>OK</v>
      </c>
      <c r="AA108" t="str">
        <f t="shared" si="15"/>
        <v>Unique</v>
      </c>
    </row>
    <row r="109" spans="1:27" x14ac:dyDescent="0.3">
      <c r="A109">
        <v>108</v>
      </c>
      <c r="B109">
        <v>1128851.82235359</v>
      </c>
      <c r="C109">
        <v>0.50446707658650103</v>
      </c>
      <c r="D109">
        <v>-3.8437325502433603E-2</v>
      </c>
      <c r="E109">
        <v>8.8954669301463396E-2</v>
      </c>
      <c r="F109">
        <v>1</v>
      </c>
      <c r="G109" t="s">
        <v>13</v>
      </c>
      <c r="H109">
        <v>0</v>
      </c>
      <c r="I109">
        <v>100416.64054781799</v>
      </c>
      <c r="J109">
        <v>0.91104533069853599</v>
      </c>
      <c r="K109" t="str">
        <f t="shared" si="8"/>
        <v>OK</v>
      </c>
      <c r="L109" t="str">
        <f t="shared" si="9"/>
        <v>OK</v>
      </c>
      <c r="M109" t="str">
        <f>IF(OR(B109&lt;$AE$20,B109&gt;$AF$20),"Outlier","OK")</f>
        <v>OK</v>
      </c>
      <c r="N109" t="str">
        <f>IF(OR(J109&lt;$AE$21,J109&gt;$AF$21),"Outlier","OK")</f>
        <v>OK</v>
      </c>
      <c r="O109" t="str">
        <f>IF(OR(C109&lt;0,C109&gt;1),"Outlier","OK")</f>
        <v>OK</v>
      </c>
      <c r="P109" t="str">
        <f>IF(OR(D109&lt;0,D109&gt;1),"Outlier","OK")</f>
        <v>Outlier</v>
      </c>
      <c r="Q109" t="str">
        <f t="shared" si="10"/>
        <v>80-100%</v>
      </c>
      <c r="R109" t="str">
        <f>IF(B109="","Missing","OK")</f>
        <v>OK</v>
      </c>
      <c r="S109" t="str">
        <f>IF(E109="","Missing","OK")</f>
        <v>OK</v>
      </c>
      <c r="T109" t="str">
        <f t="shared" si="11"/>
        <v>OK</v>
      </c>
      <c r="U109">
        <f>COUNTIF($A:$A,A109)</f>
        <v>1</v>
      </c>
      <c r="V109" t="str">
        <f t="shared" si="12"/>
        <v>OK</v>
      </c>
      <c r="W109" t="str">
        <f>IF(I109&gt;B109,"ERROR","OK")</f>
        <v>OK</v>
      </c>
      <c r="X109">
        <f>(B109-I109)/B109</f>
        <v>0.91104533069853644</v>
      </c>
      <c r="Y109" s="2">
        <f t="shared" si="13"/>
        <v>4.4408920985006262E-16</v>
      </c>
      <c r="Z109" s="2" t="str">
        <f t="shared" si="14"/>
        <v>OK</v>
      </c>
      <c r="AA109" t="str">
        <f t="shared" si="15"/>
        <v>Unique</v>
      </c>
    </row>
    <row r="110" spans="1:27" x14ac:dyDescent="0.3">
      <c r="A110">
        <v>109</v>
      </c>
      <c r="B110">
        <v>1716182.3506727801</v>
      </c>
      <c r="C110">
        <v>0.58106334852401897</v>
      </c>
      <c r="D110">
        <v>0.18438339088324801</v>
      </c>
      <c r="E110">
        <v>0.38105412138794298</v>
      </c>
      <c r="F110">
        <v>1</v>
      </c>
      <c r="G110" t="s">
        <v>12</v>
      </c>
      <c r="H110">
        <v>1</v>
      </c>
      <c r="I110">
        <v>653958.35777711205</v>
      </c>
      <c r="J110">
        <v>0.61894587861205697</v>
      </c>
      <c r="K110" t="str">
        <f t="shared" si="8"/>
        <v>OK</v>
      </c>
      <c r="L110" t="str">
        <f t="shared" si="9"/>
        <v>OK</v>
      </c>
      <c r="M110" t="str">
        <f>IF(OR(B110&lt;$AE$20,B110&gt;$AF$20),"Outlier","OK")</f>
        <v>OK</v>
      </c>
      <c r="N110" t="str">
        <f>IF(OR(J110&lt;$AE$21,J110&gt;$AF$21),"Outlier","OK")</f>
        <v>OK</v>
      </c>
      <c r="O110" t="str">
        <f>IF(OR(C110&lt;0,C110&gt;1),"Outlier","OK")</f>
        <v>OK</v>
      </c>
      <c r="P110" t="str">
        <f>IF(OR(D110&lt;0,D110&gt;1),"Outlier","OK")</f>
        <v>OK</v>
      </c>
      <c r="Q110" t="str">
        <f t="shared" si="10"/>
        <v>60-80%</v>
      </c>
      <c r="R110" t="str">
        <f>IF(B110="","Missing","OK")</f>
        <v>OK</v>
      </c>
      <c r="S110" t="str">
        <f>IF(E110="","Missing","OK")</f>
        <v>OK</v>
      </c>
      <c r="T110" t="str">
        <f t="shared" si="11"/>
        <v>OK</v>
      </c>
      <c r="U110">
        <f>COUNTIF($A:$A,A110)</f>
        <v>1</v>
      </c>
      <c r="V110" t="str">
        <f t="shared" si="12"/>
        <v>OK</v>
      </c>
      <c r="W110" t="str">
        <f>IF(I110&gt;B110,"ERROR","OK")</f>
        <v>OK</v>
      </c>
      <c r="X110">
        <f>(B110-I110)/B110</f>
        <v>0.6189458786120563</v>
      </c>
      <c r="Y110" s="2">
        <f t="shared" si="13"/>
        <v>6.6613381477509392E-16</v>
      </c>
      <c r="Z110" s="2" t="str">
        <f t="shared" si="14"/>
        <v>OK</v>
      </c>
      <c r="AA110" t="str">
        <f t="shared" si="15"/>
        <v>Unique</v>
      </c>
    </row>
    <row r="111" spans="1:27" x14ac:dyDescent="0.3">
      <c r="A111">
        <v>110</v>
      </c>
      <c r="B111">
        <v>800433.73198773398</v>
      </c>
      <c r="C111">
        <v>0.62275183453173899</v>
      </c>
      <c r="D111">
        <v>-0.112091321842826</v>
      </c>
      <c r="E111">
        <v>0.28035574680266201</v>
      </c>
      <c r="F111">
        <v>1</v>
      </c>
      <c r="G111" t="s">
        <v>10</v>
      </c>
      <c r="H111">
        <v>0</v>
      </c>
      <c r="I111">
        <v>224406.19669746299</v>
      </c>
      <c r="J111">
        <v>0.71964425319733705</v>
      </c>
      <c r="K111" t="str">
        <f t="shared" si="8"/>
        <v>OK</v>
      </c>
      <c r="L111" t="str">
        <f t="shared" si="9"/>
        <v>OK</v>
      </c>
      <c r="M111" t="str">
        <f>IF(OR(B111&lt;$AE$20,B111&gt;$AF$20),"Outlier","OK")</f>
        <v>OK</v>
      </c>
      <c r="N111" t="str">
        <f>IF(OR(J111&lt;$AE$21,J111&gt;$AF$21),"Outlier","OK")</f>
        <v>OK</v>
      </c>
      <c r="O111" t="str">
        <f>IF(OR(C111&lt;0,C111&gt;1),"Outlier","OK")</f>
        <v>OK</v>
      </c>
      <c r="P111" t="str">
        <f>IF(OR(D111&lt;0,D111&gt;1),"Outlier","OK")</f>
        <v>Outlier</v>
      </c>
      <c r="Q111" t="str">
        <f t="shared" si="10"/>
        <v>60-80%</v>
      </c>
      <c r="R111" t="str">
        <f>IF(B111="","Missing","OK")</f>
        <v>OK</v>
      </c>
      <c r="S111" t="str">
        <f>IF(E111="","Missing","OK")</f>
        <v>OK</v>
      </c>
      <c r="T111" t="str">
        <f t="shared" si="11"/>
        <v>OK</v>
      </c>
      <c r="U111">
        <f>COUNTIF($A:$A,A111)</f>
        <v>1</v>
      </c>
      <c r="V111" t="str">
        <f t="shared" si="12"/>
        <v>OK</v>
      </c>
      <c r="W111" t="str">
        <f>IF(I111&gt;B111,"ERROR","OK")</f>
        <v>OK</v>
      </c>
      <c r="X111">
        <f>(B111-I111)/B111</f>
        <v>0.71964425319733805</v>
      </c>
      <c r="Y111" s="2">
        <f t="shared" si="13"/>
        <v>9.9920072216264089E-16</v>
      </c>
      <c r="Z111" s="2" t="str">
        <f t="shared" si="14"/>
        <v>OK</v>
      </c>
      <c r="AA111" t="str">
        <f t="shared" si="15"/>
        <v>Unique</v>
      </c>
    </row>
    <row r="112" spans="1:27" x14ac:dyDescent="0.3">
      <c r="A112">
        <v>111</v>
      </c>
      <c r="B112">
        <v>667736.39938084001</v>
      </c>
      <c r="C112">
        <v>0.57756416036893798</v>
      </c>
      <c r="D112">
        <v>4.89922436827879E-2</v>
      </c>
      <c r="E112">
        <v>8.7959406657875105E-2</v>
      </c>
      <c r="F112">
        <v>1</v>
      </c>
      <c r="G112" t="s">
        <v>10</v>
      </c>
      <c r="H112">
        <v>1</v>
      </c>
      <c r="I112">
        <v>58733.697493404601</v>
      </c>
      <c r="J112">
        <v>0.91204059334212395</v>
      </c>
      <c r="K112" t="str">
        <f t="shared" si="8"/>
        <v>OK</v>
      </c>
      <c r="L112" t="str">
        <f t="shared" si="9"/>
        <v>OK</v>
      </c>
      <c r="M112" t="str">
        <f>IF(OR(B112&lt;$AE$20,B112&gt;$AF$20),"Outlier","OK")</f>
        <v>OK</v>
      </c>
      <c r="N112" t="str">
        <f>IF(OR(J112&lt;$AE$21,J112&gt;$AF$21),"Outlier","OK")</f>
        <v>OK</v>
      </c>
      <c r="O112" t="str">
        <f>IF(OR(C112&lt;0,C112&gt;1),"Outlier","OK")</f>
        <v>OK</v>
      </c>
      <c r="P112" t="str">
        <f>IF(OR(D112&lt;0,D112&gt;1),"Outlier","OK")</f>
        <v>OK</v>
      </c>
      <c r="Q112" t="str">
        <f t="shared" si="10"/>
        <v>80-100%</v>
      </c>
      <c r="R112" t="str">
        <f>IF(B112="","Missing","OK")</f>
        <v>OK</v>
      </c>
      <c r="S112" t="str">
        <f>IF(E112="","Missing","OK")</f>
        <v>OK</v>
      </c>
      <c r="T112" t="str">
        <f t="shared" si="11"/>
        <v>OK</v>
      </c>
      <c r="U112">
        <f>COUNTIF($A:$A,A112)</f>
        <v>1</v>
      </c>
      <c r="V112" t="str">
        <f t="shared" si="12"/>
        <v>OK</v>
      </c>
      <c r="W112" t="str">
        <f>IF(I112&gt;B112,"ERROR","OK")</f>
        <v>OK</v>
      </c>
      <c r="X112">
        <f>(B112-I112)/B112</f>
        <v>0.91204059334212484</v>
      </c>
      <c r="Y112" s="2">
        <f t="shared" si="13"/>
        <v>8.8817841970012523E-16</v>
      </c>
      <c r="Z112" s="2" t="str">
        <f t="shared" si="14"/>
        <v>OK</v>
      </c>
      <c r="AA112" t="str">
        <f t="shared" si="15"/>
        <v>Unique</v>
      </c>
    </row>
    <row r="113" spans="1:27" x14ac:dyDescent="0.3">
      <c r="A113">
        <v>112</v>
      </c>
      <c r="B113">
        <v>740816.11740377301</v>
      </c>
      <c r="C113">
        <v>0.52638857572916498</v>
      </c>
      <c r="D113">
        <v>-0.12664846660955301</v>
      </c>
      <c r="E113">
        <v>0.15372676095451299</v>
      </c>
      <c r="F113">
        <v>1</v>
      </c>
      <c r="G113" t="s">
        <v>12</v>
      </c>
      <c r="H113">
        <v>0</v>
      </c>
      <c r="I113">
        <v>113883.26219138</v>
      </c>
      <c r="J113">
        <v>0.84627323904548701</v>
      </c>
      <c r="K113" t="str">
        <f t="shared" si="8"/>
        <v>OK</v>
      </c>
      <c r="L113" t="str">
        <f t="shared" si="9"/>
        <v>OK</v>
      </c>
      <c r="M113" t="str">
        <f>IF(OR(B113&lt;$AE$20,B113&gt;$AF$20),"Outlier","OK")</f>
        <v>OK</v>
      </c>
      <c r="N113" t="str">
        <f>IF(OR(J113&lt;$AE$21,J113&gt;$AF$21),"Outlier","OK")</f>
        <v>OK</v>
      </c>
      <c r="O113" t="str">
        <f>IF(OR(C113&lt;0,C113&gt;1),"Outlier","OK")</f>
        <v>OK</v>
      </c>
      <c r="P113" t="str">
        <f>IF(OR(D113&lt;0,D113&gt;1),"Outlier","OK")</f>
        <v>Outlier</v>
      </c>
      <c r="Q113" t="str">
        <f t="shared" si="10"/>
        <v>80-100%</v>
      </c>
      <c r="R113" t="str">
        <f>IF(B113="","Missing","OK")</f>
        <v>OK</v>
      </c>
      <c r="S113" t="str">
        <f>IF(E113="","Missing","OK")</f>
        <v>OK</v>
      </c>
      <c r="T113" t="str">
        <f t="shared" si="11"/>
        <v>OK</v>
      </c>
      <c r="U113">
        <f>COUNTIF($A:$A,A113)</f>
        <v>1</v>
      </c>
      <c r="V113" t="str">
        <f t="shared" si="12"/>
        <v>OK</v>
      </c>
      <c r="W113" t="str">
        <f>IF(I113&gt;B113,"ERROR","OK")</f>
        <v>OK</v>
      </c>
      <c r="X113">
        <f>(B113-I113)/B113</f>
        <v>0.84627323904548735</v>
      </c>
      <c r="Y113" s="2">
        <f t="shared" si="13"/>
        <v>3.3306690738754696E-16</v>
      </c>
      <c r="Z113" s="2" t="str">
        <f t="shared" si="14"/>
        <v>OK</v>
      </c>
      <c r="AA113" t="str">
        <f t="shared" si="15"/>
        <v>Unique</v>
      </c>
    </row>
    <row r="114" spans="1:27" x14ac:dyDescent="0.3">
      <c r="A114">
        <v>113</v>
      </c>
      <c r="B114">
        <v>383609.56694994302</v>
      </c>
      <c r="C114">
        <v>0.28636773215746097</v>
      </c>
      <c r="D114">
        <v>-9.9598906321824096E-2</v>
      </c>
      <c r="E114">
        <v>7.9193214256083999E-2</v>
      </c>
      <c r="F114">
        <v>1</v>
      </c>
      <c r="G114" t="s">
        <v>12</v>
      </c>
      <c r="H114">
        <v>0</v>
      </c>
      <c r="I114">
        <v>30379.2746261504</v>
      </c>
      <c r="J114">
        <v>0.92080678574391595</v>
      </c>
      <c r="K114" t="str">
        <f t="shared" si="8"/>
        <v>OK</v>
      </c>
      <c r="L114" t="str">
        <f t="shared" si="9"/>
        <v>OK</v>
      </c>
      <c r="M114" t="str">
        <f>IF(OR(B114&lt;$AE$20,B114&gt;$AF$20),"Outlier","OK")</f>
        <v>OK</v>
      </c>
      <c r="N114" t="str">
        <f>IF(OR(J114&lt;$AE$21,J114&gt;$AF$21),"Outlier","OK")</f>
        <v>OK</v>
      </c>
      <c r="O114" t="str">
        <f>IF(OR(C114&lt;0,C114&gt;1),"Outlier","OK")</f>
        <v>OK</v>
      </c>
      <c r="P114" t="str">
        <f>IF(OR(D114&lt;0,D114&gt;1),"Outlier","OK")</f>
        <v>Outlier</v>
      </c>
      <c r="Q114" t="str">
        <f t="shared" si="10"/>
        <v>80-100%</v>
      </c>
      <c r="R114" t="str">
        <f>IF(B114="","Missing","OK")</f>
        <v>OK</v>
      </c>
      <c r="S114" t="str">
        <f>IF(E114="","Missing","OK")</f>
        <v>OK</v>
      </c>
      <c r="T114" t="str">
        <f t="shared" si="11"/>
        <v>OK</v>
      </c>
      <c r="U114">
        <f>COUNTIF($A:$A,A114)</f>
        <v>1</v>
      </c>
      <c r="V114" t="str">
        <f t="shared" si="12"/>
        <v>OK</v>
      </c>
      <c r="W114" t="str">
        <f>IF(I114&gt;B114,"ERROR","OK")</f>
        <v>OK</v>
      </c>
      <c r="X114">
        <f>(B114-I114)/B114</f>
        <v>0.92080678574391617</v>
      </c>
      <c r="Y114" s="2">
        <f t="shared" si="13"/>
        <v>2.2204460492503131E-16</v>
      </c>
      <c r="Z114" s="2" t="str">
        <f t="shared" si="14"/>
        <v>OK</v>
      </c>
      <c r="AA114" t="str">
        <f t="shared" si="15"/>
        <v>Unique</v>
      </c>
    </row>
    <row r="115" spans="1:27" x14ac:dyDescent="0.3">
      <c r="A115">
        <v>114</v>
      </c>
      <c r="B115">
        <v>1666769.63727868</v>
      </c>
      <c r="C115">
        <v>0.229256699370708</v>
      </c>
      <c r="D115">
        <v>-1.56044659349824E-2</v>
      </c>
      <c r="E115">
        <v>0.289742479526719</v>
      </c>
      <c r="F115">
        <v>1</v>
      </c>
      <c r="G115" t="s">
        <v>13</v>
      </c>
      <c r="H115">
        <v>1</v>
      </c>
      <c r="I115">
        <v>482933.96750497702</v>
      </c>
      <c r="J115">
        <v>0.71025752047327995</v>
      </c>
      <c r="K115" t="str">
        <f t="shared" si="8"/>
        <v>OK</v>
      </c>
      <c r="L115" t="str">
        <f t="shared" si="9"/>
        <v>OK</v>
      </c>
      <c r="M115" t="str">
        <f>IF(OR(B115&lt;$AE$20,B115&gt;$AF$20),"Outlier","OK")</f>
        <v>OK</v>
      </c>
      <c r="N115" t="str">
        <f>IF(OR(J115&lt;$AE$21,J115&gt;$AF$21),"Outlier","OK")</f>
        <v>OK</v>
      </c>
      <c r="O115" t="str">
        <f>IF(OR(C115&lt;0,C115&gt;1),"Outlier","OK")</f>
        <v>OK</v>
      </c>
      <c r="P115" t="str">
        <f>IF(OR(D115&lt;0,D115&gt;1),"Outlier","OK")</f>
        <v>Outlier</v>
      </c>
      <c r="Q115" t="str">
        <f t="shared" si="10"/>
        <v>60-80%</v>
      </c>
      <c r="R115" t="str">
        <f>IF(B115="","Missing","OK")</f>
        <v>OK</v>
      </c>
      <c r="S115" t="str">
        <f>IF(E115="","Missing","OK")</f>
        <v>OK</v>
      </c>
      <c r="T115" t="str">
        <f t="shared" si="11"/>
        <v>OK</v>
      </c>
      <c r="U115">
        <f>COUNTIF($A:$A,A115)</f>
        <v>1</v>
      </c>
      <c r="V115" t="str">
        <f t="shared" si="12"/>
        <v>OK</v>
      </c>
      <c r="W115" t="str">
        <f>IF(I115&gt;B115,"ERROR","OK")</f>
        <v>OK</v>
      </c>
      <c r="X115">
        <f>(B115-I115)/B115</f>
        <v>0.71025752047327961</v>
      </c>
      <c r="Y115" s="2">
        <f t="shared" si="13"/>
        <v>3.3306690738754696E-16</v>
      </c>
      <c r="Z115" s="2" t="str">
        <f t="shared" si="14"/>
        <v>OK</v>
      </c>
      <c r="AA115" t="str">
        <f t="shared" si="15"/>
        <v>Unique</v>
      </c>
    </row>
    <row r="116" spans="1:27" x14ac:dyDescent="0.3">
      <c r="A116">
        <v>115</v>
      </c>
      <c r="B116">
        <v>710408.14953293605</v>
      </c>
      <c r="C116">
        <v>0.48767232557803197</v>
      </c>
      <c r="D116">
        <v>-0.167965395151147</v>
      </c>
      <c r="E116">
        <v>0.23787266895880199</v>
      </c>
      <c r="F116">
        <v>1</v>
      </c>
      <c r="G116" t="s">
        <v>10</v>
      </c>
      <c r="H116">
        <v>0</v>
      </c>
      <c r="I116">
        <v>168986.68257948299</v>
      </c>
      <c r="J116">
        <v>0.76212733104119701</v>
      </c>
      <c r="K116" t="str">
        <f t="shared" si="8"/>
        <v>OK</v>
      </c>
      <c r="L116" t="str">
        <f t="shared" si="9"/>
        <v>OK</v>
      </c>
      <c r="M116" t="str">
        <f>IF(OR(B116&lt;$AE$20,B116&gt;$AF$20),"Outlier","OK")</f>
        <v>OK</v>
      </c>
      <c r="N116" t="str">
        <f>IF(OR(J116&lt;$AE$21,J116&gt;$AF$21),"Outlier","OK")</f>
        <v>OK</v>
      </c>
      <c r="O116" t="str">
        <f>IF(OR(C116&lt;0,C116&gt;1),"Outlier","OK")</f>
        <v>OK</v>
      </c>
      <c r="P116" t="str">
        <f>IF(OR(D116&lt;0,D116&gt;1),"Outlier","OK")</f>
        <v>Outlier</v>
      </c>
      <c r="Q116" t="str">
        <f t="shared" si="10"/>
        <v>60-80%</v>
      </c>
      <c r="R116" t="str">
        <f>IF(B116="","Missing","OK")</f>
        <v>OK</v>
      </c>
      <c r="S116" t="str">
        <f>IF(E116="","Missing","OK")</f>
        <v>OK</v>
      </c>
      <c r="T116" t="str">
        <f t="shared" si="11"/>
        <v>OK</v>
      </c>
      <c r="U116">
        <f>COUNTIF($A:$A,A116)</f>
        <v>1</v>
      </c>
      <c r="V116" t="str">
        <f t="shared" si="12"/>
        <v>OK</v>
      </c>
      <c r="W116" t="str">
        <f>IF(I116&gt;B116,"ERROR","OK")</f>
        <v>OK</v>
      </c>
      <c r="X116">
        <f>(B116-I116)/B116</f>
        <v>0.76212733104119823</v>
      </c>
      <c r="Y116" s="2">
        <f t="shared" si="13"/>
        <v>1.2212453270876722E-15</v>
      </c>
      <c r="Z116" s="2" t="str">
        <f t="shared" si="14"/>
        <v>OK</v>
      </c>
      <c r="AA116" t="str">
        <f t="shared" si="15"/>
        <v>Unique</v>
      </c>
    </row>
    <row r="117" spans="1:27" x14ac:dyDescent="0.3">
      <c r="A117">
        <v>116</v>
      </c>
      <c r="B117">
        <v>1127121.64682344</v>
      </c>
      <c r="C117">
        <v>0.82801672490165501</v>
      </c>
      <c r="D117">
        <v>6.4445629533435494E-2</v>
      </c>
      <c r="E117">
        <v>0.22012634127317601</v>
      </c>
      <c r="F117">
        <v>1</v>
      </c>
      <c r="G117" t="s">
        <v>13</v>
      </c>
      <c r="H117">
        <v>0</v>
      </c>
      <c r="I117">
        <v>248109.16428504101</v>
      </c>
      <c r="J117">
        <v>0.77987365872682302</v>
      </c>
      <c r="K117" t="str">
        <f t="shared" si="8"/>
        <v>OK</v>
      </c>
      <c r="L117" t="str">
        <f t="shared" si="9"/>
        <v>OK</v>
      </c>
      <c r="M117" t="str">
        <f>IF(OR(B117&lt;$AE$20,B117&gt;$AF$20),"Outlier","OK")</f>
        <v>OK</v>
      </c>
      <c r="N117" t="str">
        <f>IF(OR(J117&lt;$AE$21,J117&gt;$AF$21),"Outlier","OK")</f>
        <v>OK</v>
      </c>
      <c r="O117" t="str">
        <f>IF(OR(C117&lt;0,C117&gt;1),"Outlier","OK")</f>
        <v>OK</v>
      </c>
      <c r="P117" t="str">
        <f>IF(OR(D117&lt;0,D117&gt;1),"Outlier","OK")</f>
        <v>OK</v>
      </c>
      <c r="Q117" t="str">
        <f t="shared" si="10"/>
        <v>60-80%</v>
      </c>
      <c r="R117" t="str">
        <f>IF(B117="","Missing","OK")</f>
        <v>OK</v>
      </c>
      <c r="S117" t="str">
        <f>IF(E117="","Missing","OK")</f>
        <v>OK</v>
      </c>
      <c r="T117" t="str">
        <f t="shared" si="11"/>
        <v>OK</v>
      </c>
      <c r="U117">
        <f>COUNTIF($A:$A,A117)</f>
        <v>1</v>
      </c>
      <c r="V117" t="str">
        <f t="shared" si="12"/>
        <v>OK</v>
      </c>
      <c r="W117" t="str">
        <f>IF(I117&gt;B117,"ERROR","OK")</f>
        <v>OK</v>
      </c>
      <c r="X117">
        <f>(B117-I117)/B117</f>
        <v>0.77987365872682368</v>
      </c>
      <c r="Y117" s="2">
        <f t="shared" si="13"/>
        <v>6.6613381477509392E-16</v>
      </c>
      <c r="Z117" s="2" t="str">
        <f t="shared" si="14"/>
        <v>OK</v>
      </c>
      <c r="AA117" t="str">
        <f t="shared" si="15"/>
        <v>Unique</v>
      </c>
    </row>
    <row r="118" spans="1:27" x14ac:dyDescent="0.3">
      <c r="A118">
        <v>117</v>
      </c>
      <c r="B118">
        <v>1178175.3628122199</v>
      </c>
      <c r="C118">
        <v>0.87650524785662498</v>
      </c>
      <c r="D118">
        <v>6.4951647474883301E-2</v>
      </c>
      <c r="E118">
        <v>0.47076882194671799</v>
      </c>
      <c r="F118">
        <v>1</v>
      </c>
      <c r="G118" t="s">
        <v>11</v>
      </c>
      <c r="H118">
        <v>1</v>
      </c>
      <c r="I118">
        <v>554648.22759775806</v>
      </c>
      <c r="J118">
        <v>0.52923117805328102</v>
      </c>
      <c r="K118" t="str">
        <f t="shared" si="8"/>
        <v>OK</v>
      </c>
      <c r="L118" t="str">
        <f t="shared" si="9"/>
        <v>OK</v>
      </c>
      <c r="M118" t="str">
        <f>IF(OR(B118&lt;$AE$20,B118&gt;$AF$20),"Outlier","OK")</f>
        <v>OK</v>
      </c>
      <c r="N118" t="str">
        <f>IF(OR(J118&lt;$AE$21,J118&gt;$AF$21),"Outlier","OK")</f>
        <v>OK</v>
      </c>
      <c r="O118" t="str">
        <f>IF(OR(C118&lt;0,C118&gt;1),"Outlier","OK")</f>
        <v>OK</v>
      </c>
      <c r="P118" t="str">
        <f>IF(OR(D118&lt;0,D118&gt;1),"Outlier","OK")</f>
        <v>OK</v>
      </c>
      <c r="Q118" t="str">
        <f t="shared" si="10"/>
        <v>40-60%</v>
      </c>
      <c r="R118" t="str">
        <f>IF(B118="","Missing","OK")</f>
        <v>OK</v>
      </c>
      <c r="S118" t="str">
        <f>IF(E118="","Missing","OK")</f>
        <v>OK</v>
      </c>
      <c r="T118" t="str">
        <f t="shared" si="11"/>
        <v>OK</v>
      </c>
      <c r="U118">
        <f>COUNTIF($A:$A,A118)</f>
        <v>1</v>
      </c>
      <c r="V118" t="str">
        <f t="shared" si="12"/>
        <v>OK</v>
      </c>
      <c r="W118" t="str">
        <f>IF(I118&gt;B118,"ERROR","OK")</f>
        <v>OK</v>
      </c>
      <c r="X118">
        <f>(B118-I118)/B118</f>
        <v>0.52923117805328013</v>
      </c>
      <c r="Y118" s="2">
        <f t="shared" si="13"/>
        <v>8.8817841970012523E-16</v>
      </c>
      <c r="Z118" s="2" t="str">
        <f t="shared" si="14"/>
        <v>OK</v>
      </c>
      <c r="AA118" t="str">
        <f t="shared" si="15"/>
        <v>Unique</v>
      </c>
    </row>
    <row r="119" spans="1:27" x14ac:dyDescent="0.3">
      <c r="A119">
        <v>118</v>
      </c>
      <c r="B119">
        <v>1066989.4658247901</v>
      </c>
      <c r="C119">
        <v>0.76488093664609502</v>
      </c>
      <c r="D119">
        <v>-0.172006499748279</v>
      </c>
      <c r="E119">
        <v>8.9869235851141899E-2</v>
      </c>
      <c r="F119">
        <v>1</v>
      </c>
      <c r="G119" t="s">
        <v>11</v>
      </c>
      <c r="H119">
        <v>0</v>
      </c>
      <c r="I119">
        <v>95889.527954892706</v>
      </c>
      <c r="J119">
        <v>0.91013076414885796</v>
      </c>
      <c r="K119" t="str">
        <f t="shared" si="8"/>
        <v>OK</v>
      </c>
      <c r="L119" t="str">
        <f t="shared" si="9"/>
        <v>OK</v>
      </c>
      <c r="M119" t="str">
        <f>IF(OR(B119&lt;$AE$20,B119&gt;$AF$20),"Outlier","OK")</f>
        <v>OK</v>
      </c>
      <c r="N119" t="str">
        <f>IF(OR(J119&lt;$AE$21,J119&gt;$AF$21),"Outlier","OK")</f>
        <v>OK</v>
      </c>
      <c r="O119" t="str">
        <f>IF(OR(C119&lt;0,C119&gt;1),"Outlier","OK")</f>
        <v>OK</v>
      </c>
      <c r="P119" t="str">
        <f>IF(OR(D119&lt;0,D119&gt;1),"Outlier","OK")</f>
        <v>Outlier</v>
      </c>
      <c r="Q119" t="str">
        <f t="shared" si="10"/>
        <v>80-100%</v>
      </c>
      <c r="R119" t="str">
        <f>IF(B119="","Missing","OK")</f>
        <v>OK</v>
      </c>
      <c r="S119" t="str">
        <f>IF(E119="","Missing","OK")</f>
        <v>OK</v>
      </c>
      <c r="T119" t="str">
        <f t="shared" si="11"/>
        <v>OK</v>
      </c>
      <c r="U119">
        <f>COUNTIF($A:$A,A119)</f>
        <v>1</v>
      </c>
      <c r="V119" t="str">
        <f t="shared" si="12"/>
        <v>OK</v>
      </c>
      <c r="W119" t="str">
        <f>IF(I119&gt;B119,"ERROR","OK")</f>
        <v>OK</v>
      </c>
      <c r="X119">
        <f>(B119-I119)/B119</f>
        <v>0.91013076414885741</v>
      </c>
      <c r="Y119" s="2">
        <f t="shared" si="13"/>
        <v>5.5511151231257827E-16</v>
      </c>
      <c r="Z119" s="2" t="str">
        <f t="shared" si="14"/>
        <v>OK</v>
      </c>
      <c r="AA119" t="str">
        <f t="shared" si="15"/>
        <v>Unique</v>
      </c>
    </row>
    <row r="120" spans="1:27" x14ac:dyDescent="0.3">
      <c r="A120">
        <v>119</v>
      </c>
      <c r="B120">
        <v>55241.725919925302</v>
      </c>
      <c r="C120">
        <v>0.117102284450426</v>
      </c>
      <c r="D120">
        <v>1.1988478462798E-2</v>
      </c>
      <c r="E120">
        <v>0.51152801288626903</v>
      </c>
      <c r="F120">
        <v>1</v>
      </c>
      <c r="G120" t="s">
        <v>10</v>
      </c>
      <c r="H120">
        <v>0</v>
      </c>
      <c r="I120">
        <v>28257.690288227299</v>
      </c>
      <c r="J120">
        <v>0.48847198711373002</v>
      </c>
      <c r="K120" t="str">
        <f t="shared" si="8"/>
        <v>OK</v>
      </c>
      <c r="L120" t="str">
        <f t="shared" si="9"/>
        <v>OK</v>
      </c>
      <c r="M120" t="str">
        <f>IF(OR(B120&lt;$AE$20,B120&gt;$AF$20),"Outlier","OK")</f>
        <v>Outlier</v>
      </c>
      <c r="N120" t="str">
        <f>IF(OR(J120&lt;$AE$21,J120&gt;$AF$21),"Outlier","OK")</f>
        <v>OK</v>
      </c>
      <c r="O120" t="str">
        <f>IF(OR(C120&lt;0,C120&gt;1),"Outlier","OK")</f>
        <v>OK</v>
      </c>
      <c r="P120" t="str">
        <f>IF(OR(D120&lt;0,D120&gt;1),"Outlier","OK")</f>
        <v>OK</v>
      </c>
      <c r="Q120" t="str">
        <f t="shared" si="10"/>
        <v>40-60%</v>
      </c>
      <c r="R120" t="str">
        <f>IF(B120="","Missing","OK")</f>
        <v>OK</v>
      </c>
      <c r="S120" t="str">
        <f>IF(E120="","Missing","OK")</f>
        <v>OK</v>
      </c>
      <c r="T120" t="str">
        <f t="shared" si="11"/>
        <v>OK</v>
      </c>
      <c r="U120">
        <f>COUNTIF($A:$A,A120)</f>
        <v>1</v>
      </c>
      <c r="V120" t="str">
        <f t="shared" si="12"/>
        <v>OK</v>
      </c>
      <c r="W120" t="str">
        <f>IF(I120&gt;B120,"ERROR","OK")</f>
        <v>OK</v>
      </c>
      <c r="X120">
        <f>(B120-I120)/B120</f>
        <v>0.48847198711373085</v>
      </c>
      <c r="Y120" s="2">
        <f t="shared" si="13"/>
        <v>8.3266726846886741E-16</v>
      </c>
      <c r="Z120" s="2" t="str">
        <f t="shared" si="14"/>
        <v>OK</v>
      </c>
      <c r="AA120" t="str">
        <f t="shared" si="15"/>
        <v>Unique</v>
      </c>
    </row>
    <row r="121" spans="1:27" x14ac:dyDescent="0.3">
      <c r="A121">
        <v>120</v>
      </c>
      <c r="B121">
        <v>1977273.5676014901</v>
      </c>
      <c r="C121">
        <v>0.41609030600892799</v>
      </c>
      <c r="D121">
        <v>3.4480154373411301E-2</v>
      </c>
      <c r="E121">
        <v>0.27824501471964302</v>
      </c>
      <c r="F121">
        <v>1</v>
      </c>
      <c r="G121" t="s">
        <v>11</v>
      </c>
      <c r="H121">
        <v>0</v>
      </c>
      <c r="I121">
        <v>550166.512922041</v>
      </c>
      <c r="J121">
        <v>0.72175498528035598</v>
      </c>
      <c r="K121" t="str">
        <f t="shared" si="8"/>
        <v>OK</v>
      </c>
      <c r="L121" t="str">
        <f t="shared" si="9"/>
        <v>OK</v>
      </c>
      <c r="M121" t="str">
        <f>IF(OR(B121&lt;$AE$20,B121&gt;$AF$20),"Outlier","OK")</f>
        <v>OK</v>
      </c>
      <c r="N121" t="str">
        <f>IF(OR(J121&lt;$AE$21,J121&gt;$AF$21),"Outlier","OK")</f>
        <v>OK</v>
      </c>
      <c r="O121" t="str">
        <f>IF(OR(C121&lt;0,C121&gt;1),"Outlier","OK")</f>
        <v>OK</v>
      </c>
      <c r="P121" t="str">
        <f>IF(OR(D121&lt;0,D121&gt;1),"Outlier","OK")</f>
        <v>OK</v>
      </c>
      <c r="Q121" t="str">
        <f t="shared" si="10"/>
        <v>60-80%</v>
      </c>
      <c r="R121" t="str">
        <f>IF(B121="","Missing","OK")</f>
        <v>OK</v>
      </c>
      <c r="S121" t="str">
        <f>IF(E121="","Missing","OK")</f>
        <v>OK</v>
      </c>
      <c r="T121" t="str">
        <f t="shared" si="11"/>
        <v>OK</v>
      </c>
      <c r="U121">
        <f>COUNTIF($A:$A,A121)</f>
        <v>1</v>
      </c>
      <c r="V121" t="str">
        <f t="shared" si="12"/>
        <v>OK</v>
      </c>
      <c r="W121" t="str">
        <f>IF(I121&gt;B121,"ERROR","OK")</f>
        <v>OK</v>
      </c>
      <c r="X121">
        <f>(B121-I121)/B121</f>
        <v>0.72175498528035531</v>
      </c>
      <c r="Y121" s="2">
        <f t="shared" si="13"/>
        <v>6.6613381477509392E-16</v>
      </c>
      <c r="Z121" s="2" t="str">
        <f t="shared" si="14"/>
        <v>OK</v>
      </c>
      <c r="AA121" t="str">
        <f t="shared" si="15"/>
        <v>Unique</v>
      </c>
    </row>
    <row r="122" spans="1:27" x14ac:dyDescent="0.3">
      <c r="A122">
        <v>121</v>
      </c>
      <c r="B122">
        <v>1815416.07254013</v>
      </c>
      <c r="C122">
        <v>0.87654211434334595</v>
      </c>
      <c r="D122">
        <v>0.193198831759328</v>
      </c>
      <c r="E122">
        <v>0.53088950656303602</v>
      </c>
      <c r="F122">
        <v>1</v>
      </c>
      <c r="G122" t="s">
        <v>11</v>
      </c>
      <c r="H122">
        <v>0</v>
      </c>
      <c r="I122">
        <v>963785.34295743995</v>
      </c>
      <c r="J122">
        <v>0.46911049343696298</v>
      </c>
      <c r="K122" t="str">
        <f t="shared" si="8"/>
        <v>OK</v>
      </c>
      <c r="L122" t="str">
        <f t="shared" si="9"/>
        <v>OK</v>
      </c>
      <c r="M122" t="str">
        <f>IF(OR(B122&lt;$AE$20,B122&gt;$AF$20),"Outlier","OK")</f>
        <v>OK</v>
      </c>
      <c r="N122" t="str">
        <f>IF(OR(J122&lt;$AE$21,J122&gt;$AF$21),"Outlier","OK")</f>
        <v>OK</v>
      </c>
      <c r="O122" t="str">
        <f>IF(OR(C122&lt;0,C122&gt;1),"Outlier","OK")</f>
        <v>OK</v>
      </c>
      <c r="P122" t="str">
        <f>IF(OR(D122&lt;0,D122&gt;1),"Outlier","OK")</f>
        <v>OK</v>
      </c>
      <c r="Q122" t="str">
        <f t="shared" si="10"/>
        <v>40-60%</v>
      </c>
      <c r="R122" t="str">
        <f>IF(B122="","Missing","OK")</f>
        <v>OK</v>
      </c>
      <c r="S122" t="str">
        <f>IF(E122="","Missing","OK")</f>
        <v>OK</v>
      </c>
      <c r="T122" t="str">
        <f t="shared" si="11"/>
        <v>OK</v>
      </c>
      <c r="U122">
        <f>COUNTIF($A:$A,A122)</f>
        <v>1</v>
      </c>
      <c r="V122" t="str">
        <f t="shared" si="12"/>
        <v>OK</v>
      </c>
      <c r="W122" t="str">
        <f>IF(I122&gt;B122,"ERROR","OK")</f>
        <v>OK</v>
      </c>
      <c r="X122">
        <f>(B122-I122)/B122</f>
        <v>0.46911049343696093</v>
      </c>
      <c r="Y122" s="2">
        <f t="shared" si="13"/>
        <v>2.0539125955565396E-15</v>
      </c>
      <c r="Z122" s="2" t="str">
        <f t="shared" si="14"/>
        <v>OK</v>
      </c>
      <c r="AA122" t="str">
        <f t="shared" si="15"/>
        <v>Unique</v>
      </c>
    </row>
    <row r="123" spans="1:27" x14ac:dyDescent="0.3">
      <c r="A123">
        <v>122</v>
      </c>
      <c r="B123">
        <v>454889.92933283199</v>
      </c>
      <c r="C123">
        <v>0.56123079933366904</v>
      </c>
      <c r="D123">
        <v>-6.5494275387252707E-2</v>
      </c>
      <c r="E123">
        <v>0.41907533370295103</v>
      </c>
      <c r="F123">
        <v>1</v>
      </c>
      <c r="G123" t="s">
        <v>11</v>
      </c>
      <c r="H123">
        <v>0</v>
      </c>
      <c r="I123">
        <v>190633.14893326801</v>
      </c>
      <c r="J123">
        <v>0.58092466629704798</v>
      </c>
      <c r="K123" t="str">
        <f t="shared" si="8"/>
        <v>OK</v>
      </c>
      <c r="L123" t="str">
        <f t="shared" si="9"/>
        <v>OK</v>
      </c>
      <c r="M123" t="str">
        <f>IF(OR(B123&lt;$AE$20,B123&gt;$AF$20),"Outlier","OK")</f>
        <v>OK</v>
      </c>
      <c r="N123" t="str">
        <f>IF(OR(J123&lt;$AE$21,J123&gt;$AF$21),"Outlier","OK")</f>
        <v>OK</v>
      </c>
      <c r="O123" t="str">
        <f>IF(OR(C123&lt;0,C123&gt;1),"Outlier","OK")</f>
        <v>OK</v>
      </c>
      <c r="P123" t="str">
        <f>IF(OR(D123&lt;0,D123&gt;1),"Outlier","OK")</f>
        <v>Outlier</v>
      </c>
      <c r="Q123" t="str">
        <f t="shared" si="10"/>
        <v>40-60%</v>
      </c>
      <c r="R123" t="str">
        <f>IF(B123="","Missing","OK")</f>
        <v>OK</v>
      </c>
      <c r="S123" t="str">
        <f>IF(E123="","Missing","OK")</f>
        <v>OK</v>
      </c>
      <c r="T123" t="str">
        <f t="shared" si="11"/>
        <v>OK</v>
      </c>
      <c r="U123">
        <f>COUNTIF($A:$A,A123)</f>
        <v>1</v>
      </c>
      <c r="V123" t="str">
        <f t="shared" si="12"/>
        <v>OK</v>
      </c>
      <c r="W123" t="str">
        <f>IF(I123&gt;B123,"ERROR","OK")</f>
        <v>OK</v>
      </c>
      <c r="X123">
        <f>(B123-I123)/B123</f>
        <v>0.58092466629704975</v>
      </c>
      <c r="Y123" s="2">
        <f t="shared" si="13"/>
        <v>1.7763568394002505E-15</v>
      </c>
      <c r="Z123" s="2" t="str">
        <f t="shared" si="14"/>
        <v>OK</v>
      </c>
      <c r="AA123" t="str">
        <f t="shared" si="15"/>
        <v>Unique</v>
      </c>
    </row>
    <row r="124" spans="1:27" x14ac:dyDescent="0.3">
      <c r="A124">
        <v>123</v>
      </c>
      <c r="B124">
        <v>620354.35494522797</v>
      </c>
      <c r="C124">
        <v>0.42112471268804202</v>
      </c>
      <c r="D124">
        <v>-0.162500424815233</v>
      </c>
      <c r="E124">
        <v>0.33170606709543499</v>
      </c>
      <c r="F124">
        <v>1</v>
      </c>
      <c r="G124" t="s">
        <v>12</v>
      </c>
      <c r="H124">
        <v>0</v>
      </c>
      <c r="I124">
        <v>205775.30328440701</v>
      </c>
      <c r="J124">
        <v>0.66829393290456496</v>
      </c>
      <c r="K124" t="str">
        <f t="shared" si="8"/>
        <v>OK</v>
      </c>
      <c r="L124" t="str">
        <f t="shared" si="9"/>
        <v>OK</v>
      </c>
      <c r="M124" t="str">
        <f>IF(OR(B124&lt;$AE$20,B124&gt;$AF$20),"Outlier","OK")</f>
        <v>OK</v>
      </c>
      <c r="N124" t="str">
        <f>IF(OR(J124&lt;$AE$21,J124&gt;$AF$21),"Outlier","OK")</f>
        <v>OK</v>
      </c>
      <c r="O124" t="str">
        <f>IF(OR(C124&lt;0,C124&gt;1),"Outlier","OK")</f>
        <v>OK</v>
      </c>
      <c r="P124" t="str">
        <f>IF(OR(D124&lt;0,D124&gt;1),"Outlier","OK")</f>
        <v>Outlier</v>
      </c>
      <c r="Q124" t="str">
        <f t="shared" si="10"/>
        <v>60-80%</v>
      </c>
      <c r="R124" t="str">
        <f>IF(B124="","Missing","OK")</f>
        <v>OK</v>
      </c>
      <c r="S124" t="str">
        <f>IF(E124="","Missing","OK")</f>
        <v>OK</v>
      </c>
      <c r="T124" t="str">
        <f t="shared" si="11"/>
        <v>OK</v>
      </c>
      <c r="U124">
        <f>COUNTIF($A:$A,A124)</f>
        <v>1</v>
      </c>
      <c r="V124" t="str">
        <f t="shared" si="12"/>
        <v>OK</v>
      </c>
      <c r="W124" t="str">
        <f>IF(I124&gt;B124,"ERROR","OK")</f>
        <v>OK</v>
      </c>
      <c r="X124">
        <f>(B124-I124)/B124</f>
        <v>0.66829393290456507</v>
      </c>
      <c r="Y124" s="2">
        <f t="shared" si="13"/>
        <v>1.1102230246251565E-16</v>
      </c>
      <c r="Z124" s="2" t="str">
        <f t="shared" si="14"/>
        <v>OK</v>
      </c>
      <c r="AA124" t="str">
        <f t="shared" si="15"/>
        <v>Unique</v>
      </c>
    </row>
    <row r="125" spans="1:27" x14ac:dyDescent="0.3">
      <c r="A125">
        <v>124</v>
      </c>
      <c r="B125">
        <v>1064019.7984913399</v>
      </c>
      <c r="C125">
        <v>0.72847003156674495</v>
      </c>
      <c r="D125">
        <v>-0.131831952529534</v>
      </c>
      <c r="E125">
        <v>0.21685765193354001</v>
      </c>
      <c r="F125">
        <v>1</v>
      </c>
      <c r="G125" t="s">
        <v>11</v>
      </c>
      <c r="H125">
        <v>1</v>
      </c>
      <c r="I125">
        <v>230740.83511163099</v>
      </c>
      <c r="J125">
        <v>0.78314234806645899</v>
      </c>
      <c r="K125" t="str">
        <f t="shared" si="8"/>
        <v>OK</v>
      </c>
      <c r="L125" t="str">
        <f t="shared" si="9"/>
        <v>OK</v>
      </c>
      <c r="M125" t="str">
        <f>IF(OR(B125&lt;$AE$20,B125&gt;$AF$20),"Outlier","OK")</f>
        <v>OK</v>
      </c>
      <c r="N125" t="str">
        <f>IF(OR(J125&lt;$AE$21,J125&gt;$AF$21),"Outlier","OK")</f>
        <v>OK</v>
      </c>
      <c r="O125" t="str">
        <f>IF(OR(C125&lt;0,C125&gt;1),"Outlier","OK")</f>
        <v>OK</v>
      </c>
      <c r="P125" t="str">
        <f>IF(OR(D125&lt;0,D125&gt;1),"Outlier","OK")</f>
        <v>Outlier</v>
      </c>
      <c r="Q125" t="str">
        <f t="shared" si="10"/>
        <v>60-80%</v>
      </c>
      <c r="R125" t="str">
        <f>IF(B125="","Missing","OK")</f>
        <v>OK</v>
      </c>
      <c r="S125" t="str">
        <f>IF(E125="","Missing","OK")</f>
        <v>OK</v>
      </c>
      <c r="T125" t="str">
        <f t="shared" si="11"/>
        <v>OK</v>
      </c>
      <c r="U125">
        <f>COUNTIF($A:$A,A125)</f>
        <v>1</v>
      </c>
      <c r="V125" t="str">
        <f t="shared" si="12"/>
        <v>OK</v>
      </c>
      <c r="W125" t="str">
        <f>IF(I125&gt;B125,"ERROR","OK")</f>
        <v>OK</v>
      </c>
      <c r="X125">
        <f>(B125-I125)/B125</f>
        <v>0.78314234806645944</v>
      </c>
      <c r="Y125" s="2">
        <f t="shared" si="13"/>
        <v>4.4408920985006262E-16</v>
      </c>
      <c r="Z125" s="2" t="str">
        <f t="shared" si="14"/>
        <v>OK</v>
      </c>
      <c r="AA125" t="str">
        <f t="shared" si="15"/>
        <v>Unique</v>
      </c>
    </row>
    <row r="126" spans="1:27" x14ac:dyDescent="0.3">
      <c r="A126">
        <v>125</v>
      </c>
      <c r="B126">
        <v>1808727.1766883</v>
      </c>
      <c r="C126">
        <v>0.78279175484373997</v>
      </c>
      <c r="D126">
        <v>0.16580198115997599</v>
      </c>
      <c r="E126">
        <v>0.53296463659928395</v>
      </c>
      <c r="F126">
        <v>1</v>
      </c>
      <c r="G126" t="s">
        <v>10</v>
      </c>
      <c r="H126">
        <v>0</v>
      </c>
      <c r="I126">
        <v>963987.62243093399</v>
      </c>
      <c r="J126">
        <v>0.467035363400715</v>
      </c>
      <c r="K126" t="str">
        <f t="shared" si="8"/>
        <v>OK</v>
      </c>
      <c r="L126" t="str">
        <f t="shared" si="9"/>
        <v>OK</v>
      </c>
      <c r="M126" t="str">
        <f>IF(OR(B126&lt;$AE$20,B126&gt;$AF$20),"Outlier","OK")</f>
        <v>OK</v>
      </c>
      <c r="N126" t="str">
        <f>IF(OR(J126&lt;$AE$21,J126&gt;$AF$21),"Outlier","OK")</f>
        <v>OK</v>
      </c>
      <c r="O126" t="str">
        <f>IF(OR(C126&lt;0,C126&gt;1),"Outlier","OK")</f>
        <v>OK</v>
      </c>
      <c r="P126" t="str">
        <f>IF(OR(D126&lt;0,D126&gt;1),"Outlier","OK")</f>
        <v>OK</v>
      </c>
      <c r="Q126" t="str">
        <f t="shared" si="10"/>
        <v>40-60%</v>
      </c>
      <c r="R126" t="str">
        <f>IF(B126="","Missing","OK")</f>
        <v>OK</v>
      </c>
      <c r="S126" t="str">
        <f>IF(E126="","Missing","OK")</f>
        <v>OK</v>
      </c>
      <c r="T126" t="str">
        <f t="shared" si="11"/>
        <v>OK</v>
      </c>
      <c r="U126">
        <f>COUNTIF($A:$A,A126)</f>
        <v>1</v>
      </c>
      <c r="V126" t="str">
        <f t="shared" si="12"/>
        <v>OK</v>
      </c>
      <c r="W126" t="str">
        <f>IF(I126&gt;B126,"ERROR","OK")</f>
        <v>OK</v>
      </c>
      <c r="X126">
        <f>(B126-I126)/B126</f>
        <v>0.46703536340071311</v>
      </c>
      <c r="Y126" s="2">
        <f t="shared" si="13"/>
        <v>1.8873791418627661E-15</v>
      </c>
      <c r="Z126" s="2" t="str">
        <f t="shared" si="14"/>
        <v>OK</v>
      </c>
      <c r="AA126" t="str">
        <f t="shared" si="15"/>
        <v>Unique</v>
      </c>
    </row>
    <row r="127" spans="1:27" x14ac:dyDescent="0.3">
      <c r="A127">
        <v>126</v>
      </c>
      <c r="B127">
        <v>1968080.2255778599</v>
      </c>
      <c r="C127">
        <v>0.234250684122115</v>
      </c>
      <c r="D127">
        <v>0.18628559496392499</v>
      </c>
      <c r="E127">
        <v>0.41046646003582199</v>
      </c>
      <c r="F127">
        <v>1</v>
      </c>
      <c r="G127" t="s">
        <v>11</v>
      </c>
      <c r="H127">
        <v>1</v>
      </c>
      <c r="I127">
        <v>807830.92325944605</v>
      </c>
      <c r="J127">
        <v>0.58953353996417701</v>
      </c>
      <c r="K127" t="str">
        <f t="shared" si="8"/>
        <v>OK</v>
      </c>
      <c r="L127" t="str">
        <f t="shared" si="9"/>
        <v>OK</v>
      </c>
      <c r="M127" t="str">
        <f>IF(OR(B127&lt;$AE$20,B127&gt;$AF$20),"Outlier","OK")</f>
        <v>OK</v>
      </c>
      <c r="N127" t="str">
        <f>IF(OR(J127&lt;$AE$21,J127&gt;$AF$21),"Outlier","OK")</f>
        <v>OK</v>
      </c>
      <c r="O127" t="str">
        <f>IF(OR(C127&lt;0,C127&gt;1),"Outlier","OK")</f>
        <v>OK</v>
      </c>
      <c r="P127" t="str">
        <f>IF(OR(D127&lt;0,D127&gt;1),"Outlier","OK")</f>
        <v>OK</v>
      </c>
      <c r="Q127" t="str">
        <f t="shared" si="10"/>
        <v>40-60%</v>
      </c>
      <c r="R127" t="str">
        <f>IF(B127="","Missing","OK")</f>
        <v>OK</v>
      </c>
      <c r="S127" t="str">
        <f>IF(E127="","Missing","OK")</f>
        <v>OK</v>
      </c>
      <c r="T127" t="str">
        <f t="shared" si="11"/>
        <v>OK</v>
      </c>
      <c r="U127">
        <f>COUNTIF($A:$A,A127)</f>
        <v>1</v>
      </c>
      <c r="V127" t="str">
        <f t="shared" si="12"/>
        <v>OK</v>
      </c>
      <c r="W127" t="str">
        <f>IF(I127&gt;B127,"ERROR","OK")</f>
        <v>OK</v>
      </c>
      <c r="X127">
        <f>(B127-I127)/B127</f>
        <v>0.58953353996417801</v>
      </c>
      <c r="Y127" s="2">
        <f t="shared" si="13"/>
        <v>9.9920072216264089E-16</v>
      </c>
      <c r="Z127" s="2" t="str">
        <f t="shared" si="14"/>
        <v>OK</v>
      </c>
      <c r="AA127" t="str">
        <f t="shared" si="15"/>
        <v>Unique</v>
      </c>
    </row>
    <row r="128" spans="1:27" x14ac:dyDescent="0.3">
      <c r="A128">
        <v>127</v>
      </c>
      <c r="B128">
        <v>552207.02510046202</v>
      </c>
      <c r="C128">
        <v>0.67724424601840905</v>
      </c>
      <c r="D128">
        <v>3.48125112799667E-2</v>
      </c>
      <c r="E128">
        <v>0.20724804102709499</v>
      </c>
      <c r="F128">
        <v>1</v>
      </c>
      <c r="G128" t="s">
        <v>13</v>
      </c>
      <c r="H128">
        <v>1</v>
      </c>
      <c r="I128">
        <v>114443.82419347001</v>
      </c>
      <c r="J128">
        <v>0.79275195897290396</v>
      </c>
      <c r="K128" t="str">
        <f t="shared" si="8"/>
        <v>OK</v>
      </c>
      <c r="L128" t="str">
        <f t="shared" si="9"/>
        <v>OK</v>
      </c>
      <c r="M128" t="str">
        <f>IF(OR(B128&lt;$AE$20,B128&gt;$AF$20),"Outlier","OK")</f>
        <v>OK</v>
      </c>
      <c r="N128" t="str">
        <f>IF(OR(J128&lt;$AE$21,J128&gt;$AF$21),"Outlier","OK")</f>
        <v>OK</v>
      </c>
      <c r="O128" t="str">
        <f>IF(OR(C128&lt;0,C128&gt;1),"Outlier","OK")</f>
        <v>OK</v>
      </c>
      <c r="P128" t="str">
        <f>IF(OR(D128&lt;0,D128&gt;1),"Outlier","OK")</f>
        <v>OK</v>
      </c>
      <c r="Q128" t="str">
        <f t="shared" si="10"/>
        <v>60-80%</v>
      </c>
      <c r="R128" t="str">
        <f>IF(B128="","Missing","OK")</f>
        <v>OK</v>
      </c>
      <c r="S128" t="str">
        <f>IF(E128="","Missing","OK")</f>
        <v>OK</v>
      </c>
      <c r="T128" t="str">
        <f t="shared" si="11"/>
        <v>OK</v>
      </c>
      <c r="U128">
        <f>COUNTIF($A:$A,A128)</f>
        <v>1</v>
      </c>
      <c r="V128" t="str">
        <f t="shared" si="12"/>
        <v>OK</v>
      </c>
      <c r="W128" t="str">
        <f>IF(I128&gt;B128,"ERROR","OK")</f>
        <v>OK</v>
      </c>
      <c r="X128">
        <f>(B128-I128)/B128</f>
        <v>0.79275195897290618</v>
      </c>
      <c r="Y128" s="2">
        <f t="shared" si="13"/>
        <v>2.2204460492503131E-15</v>
      </c>
      <c r="Z128" s="2" t="str">
        <f t="shared" si="14"/>
        <v>OK</v>
      </c>
      <c r="AA128" t="str">
        <f t="shared" si="15"/>
        <v>Unique</v>
      </c>
    </row>
    <row r="129" spans="1:27" x14ac:dyDescent="0.3">
      <c r="A129">
        <v>128</v>
      </c>
      <c r="B129">
        <v>1150500.1337033201</v>
      </c>
      <c r="C129">
        <v>0.44803595946961999</v>
      </c>
      <c r="D129">
        <v>-3.74115052485453E-2</v>
      </c>
      <c r="E129">
        <v>0.37038725467765399</v>
      </c>
      <c r="F129">
        <v>1</v>
      </c>
      <c r="G129" t="s">
        <v>11</v>
      </c>
      <c r="H129">
        <v>1</v>
      </c>
      <c r="I129">
        <v>426130.58602864802</v>
      </c>
      <c r="J129">
        <v>0.62961274532234501</v>
      </c>
      <c r="K129" t="str">
        <f t="shared" si="8"/>
        <v>OK</v>
      </c>
      <c r="L129" t="str">
        <f t="shared" si="9"/>
        <v>OK</v>
      </c>
      <c r="M129" t="str">
        <f>IF(OR(B129&lt;$AE$20,B129&gt;$AF$20),"Outlier","OK")</f>
        <v>OK</v>
      </c>
      <c r="N129" t="str">
        <f>IF(OR(J129&lt;$AE$21,J129&gt;$AF$21),"Outlier","OK")</f>
        <v>OK</v>
      </c>
      <c r="O129" t="str">
        <f>IF(OR(C129&lt;0,C129&gt;1),"Outlier","OK")</f>
        <v>OK</v>
      </c>
      <c r="P129" t="str">
        <f>IF(OR(D129&lt;0,D129&gt;1),"Outlier","OK")</f>
        <v>Outlier</v>
      </c>
      <c r="Q129" t="str">
        <f t="shared" si="10"/>
        <v>60-80%</v>
      </c>
      <c r="R129" t="str">
        <f>IF(B129="","Missing","OK")</f>
        <v>OK</v>
      </c>
      <c r="S129" t="str">
        <f>IF(E129="","Missing","OK")</f>
        <v>OK</v>
      </c>
      <c r="T129" t="str">
        <f t="shared" si="11"/>
        <v>OK</v>
      </c>
      <c r="U129">
        <f>COUNTIF($A:$A,A129)</f>
        <v>1</v>
      </c>
      <c r="V129" t="str">
        <f t="shared" si="12"/>
        <v>OK</v>
      </c>
      <c r="W129" t="str">
        <f>IF(I129&gt;B129,"ERROR","OK")</f>
        <v>OK</v>
      </c>
      <c r="X129">
        <f>(B129-I129)/B129</f>
        <v>0.62961274532234468</v>
      </c>
      <c r="Y129" s="2">
        <f t="shared" si="13"/>
        <v>3.3306690738754696E-16</v>
      </c>
      <c r="Z129" s="2" t="str">
        <f t="shared" si="14"/>
        <v>OK</v>
      </c>
      <c r="AA129" t="str">
        <f t="shared" si="15"/>
        <v>Unique</v>
      </c>
    </row>
    <row r="130" spans="1:27" x14ac:dyDescent="0.3">
      <c r="A130">
        <v>129</v>
      </c>
      <c r="B130">
        <v>1623588.93406749</v>
      </c>
      <c r="C130">
        <v>0.74550265368872504</v>
      </c>
      <c r="D130">
        <v>-0.103986940641597</v>
      </c>
      <c r="E130">
        <v>0.32288112368601102</v>
      </c>
      <c r="F130">
        <v>1</v>
      </c>
      <c r="G130" t="s">
        <v>10</v>
      </c>
      <c r="H130">
        <v>1</v>
      </c>
      <c r="I130">
        <v>524226.219435887</v>
      </c>
      <c r="J130">
        <v>0.67711887631398804</v>
      </c>
      <c r="K130" t="str">
        <f t="shared" si="8"/>
        <v>OK</v>
      </c>
      <c r="L130" t="str">
        <f t="shared" si="9"/>
        <v>OK</v>
      </c>
      <c r="M130" t="str">
        <f>IF(OR(B130&lt;$AE$20,B130&gt;$AF$20),"Outlier","OK")</f>
        <v>OK</v>
      </c>
      <c r="N130" t="str">
        <f>IF(OR(J130&lt;$AE$21,J130&gt;$AF$21),"Outlier","OK")</f>
        <v>OK</v>
      </c>
      <c r="O130" t="str">
        <f>IF(OR(C130&lt;0,C130&gt;1),"Outlier","OK")</f>
        <v>OK</v>
      </c>
      <c r="P130" t="str">
        <f>IF(OR(D130&lt;0,D130&gt;1),"Outlier","OK")</f>
        <v>Outlier</v>
      </c>
      <c r="Q130" t="str">
        <f t="shared" si="10"/>
        <v>60-80%</v>
      </c>
      <c r="R130" t="str">
        <f>IF(B130="","Missing","OK")</f>
        <v>OK</v>
      </c>
      <c r="S130" t="str">
        <f>IF(E130="","Missing","OK")</f>
        <v>OK</v>
      </c>
      <c r="T130" t="str">
        <f t="shared" si="11"/>
        <v>OK</v>
      </c>
      <c r="U130">
        <f>COUNTIF($A:$A,A130)</f>
        <v>1</v>
      </c>
      <c r="V130" t="str">
        <f t="shared" si="12"/>
        <v>OK</v>
      </c>
      <c r="W130" t="str">
        <f>IF(I130&gt;B130,"ERROR","OK")</f>
        <v>OK</v>
      </c>
      <c r="X130">
        <f>(B130-I130)/B130</f>
        <v>0.67711887631398715</v>
      </c>
      <c r="Y130" s="2">
        <f t="shared" si="13"/>
        <v>8.8817841970012523E-16</v>
      </c>
      <c r="Z130" s="2" t="str">
        <f t="shared" si="14"/>
        <v>OK</v>
      </c>
      <c r="AA130" t="str">
        <f t="shared" si="15"/>
        <v>Unique</v>
      </c>
    </row>
    <row r="131" spans="1:27" x14ac:dyDescent="0.3">
      <c r="A131">
        <v>130</v>
      </c>
      <c r="B131">
        <v>819021.60520790995</v>
      </c>
      <c r="C131">
        <v>0.30083048466089302</v>
      </c>
      <c r="D131">
        <v>-2.1999300480620401E-3</v>
      </c>
      <c r="E131">
        <v>0.40491322456154999</v>
      </c>
      <c r="F131">
        <v>1</v>
      </c>
      <c r="G131" t="s">
        <v>11</v>
      </c>
      <c r="H131">
        <v>0</v>
      </c>
      <c r="I131">
        <v>331632.67915031197</v>
      </c>
      <c r="J131">
        <v>0.59508677543844901</v>
      </c>
      <c r="K131" t="str">
        <f t="shared" ref="K131:K194" si="16">IF(OR(J131&lt;0,J131&gt;1),"Error","OK")</f>
        <v>OK</v>
      </c>
      <c r="L131" t="str">
        <f t="shared" ref="L131:L194" si="17">IF(I131&gt;B131,"Error","OK")</f>
        <v>OK</v>
      </c>
      <c r="M131" t="str">
        <f>IF(OR(B131&lt;$AE$20,B131&gt;$AF$20),"Outlier","OK")</f>
        <v>OK</v>
      </c>
      <c r="N131" t="str">
        <f>IF(OR(J131&lt;$AE$21,J131&gt;$AF$21),"Outlier","OK")</f>
        <v>OK</v>
      </c>
      <c r="O131" t="str">
        <f>IF(OR(C131&lt;0,C131&gt;1),"Outlier","OK")</f>
        <v>OK</v>
      </c>
      <c r="P131" t="str">
        <f>IF(OR(D131&lt;0,D131&gt;1),"Outlier","OK")</f>
        <v>Outlier</v>
      </c>
      <c r="Q131" t="str">
        <f t="shared" ref="Q131:Q194" si="18">IF(J131&lt;=0.2,"0-20%",
 IF(J131&lt;=0.4,"20-40%",
 IF(J131&lt;=0.6,"40-60%",
 IF(J131&lt;=0.8,"60-80%","80-100%"))))</f>
        <v>40-60%</v>
      </c>
      <c r="R131" t="str">
        <f>IF(B131="","Missing","OK")</f>
        <v>OK</v>
      </c>
      <c r="S131" t="str">
        <f>IF(E131="","Missing","OK")</f>
        <v>OK</v>
      </c>
      <c r="T131" t="str">
        <f t="shared" ref="T131:T194" si="19">IF(J131="","Missing","OK")</f>
        <v>OK</v>
      </c>
      <c r="U131">
        <f>COUNTIF($A:$A,A131)</f>
        <v>1</v>
      </c>
      <c r="V131" t="str">
        <f t="shared" ref="V131:V194" si="20">IF(OR(J131&lt;0,J131&gt;1),"ERROR","OK")</f>
        <v>OK</v>
      </c>
      <c r="W131" t="str">
        <f>IF(I131&gt;B131,"ERROR","OK")</f>
        <v>OK</v>
      </c>
      <c r="X131">
        <f>(B131-I131)/B131</f>
        <v>0.59508677543844957</v>
      </c>
      <c r="Y131" s="2">
        <f t="shared" ref="Y131:Y194" si="21">ABS(J131-X131)</f>
        <v>5.5511151231257827E-16</v>
      </c>
      <c r="Z131" s="2" t="str">
        <f t="shared" ref="Z131:Z194" si="22">IF(OR(B131="",I131="",J131=""),"Missing","OK")</f>
        <v>OK</v>
      </c>
      <c r="AA131" t="str">
        <f t="shared" ref="AA131:AA194" si="23">IF(COUNTIF($A:$A,A131)&gt;1,"Duplicate","Unique")</f>
        <v>Unique</v>
      </c>
    </row>
    <row r="132" spans="1:27" x14ac:dyDescent="0.3">
      <c r="A132">
        <v>131</v>
      </c>
      <c r="B132">
        <v>1475592.4198968799</v>
      </c>
      <c r="C132">
        <v>0.62923604435587699</v>
      </c>
      <c r="D132">
        <v>2.7883211104330199E-2</v>
      </c>
      <c r="E132">
        <v>0.23005182138809299</v>
      </c>
      <c r="F132">
        <v>1</v>
      </c>
      <c r="G132" t="s">
        <v>10</v>
      </c>
      <c r="H132">
        <v>1</v>
      </c>
      <c r="I132">
        <v>339462.723823743</v>
      </c>
      <c r="J132">
        <v>0.76994817861190601</v>
      </c>
      <c r="K132" t="str">
        <f t="shared" si="16"/>
        <v>OK</v>
      </c>
      <c r="L132" t="str">
        <f t="shared" si="17"/>
        <v>OK</v>
      </c>
      <c r="M132" t="str">
        <f>IF(OR(B132&lt;$AE$20,B132&gt;$AF$20),"Outlier","OK")</f>
        <v>OK</v>
      </c>
      <c r="N132" t="str">
        <f>IF(OR(J132&lt;$AE$21,J132&gt;$AF$21),"Outlier","OK")</f>
        <v>OK</v>
      </c>
      <c r="O132" t="str">
        <f>IF(OR(C132&lt;0,C132&gt;1),"Outlier","OK")</f>
        <v>OK</v>
      </c>
      <c r="P132" t="str">
        <f>IF(OR(D132&lt;0,D132&gt;1),"Outlier","OK")</f>
        <v>OK</v>
      </c>
      <c r="Q132" t="str">
        <f t="shared" si="18"/>
        <v>60-80%</v>
      </c>
      <c r="R132" t="str">
        <f>IF(B132="","Missing","OK")</f>
        <v>OK</v>
      </c>
      <c r="S132" t="str">
        <f>IF(E132="","Missing","OK")</f>
        <v>OK</v>
      </c>
      <c r="T132" t="str">
        <f t="shared" si="19"/>
        <v>OK</v>
      </c>
      <c r="U132">
        <f>COUNTIF($A:$A,A132)</f>
        <v>1</v>
      </c>
      <c r="V132" t="str">
        <f t="shared" si="20"/>
        <v>OK</v>
      </c>
      <c r="W132" t="str">
        <f>IF(I132&gt;B132,"ERROR","OK")</f>
        <v>OK</v>
      </c>
      <c r="X132">
        <f>(B132-I132)/B132</f>
        <v>0.76994817861190568</v>
      </c>
      <c r="Y132" s="2">
        <f t="shared" si="21"/>
        <v>3.3306690738754696E-16</v>
      </c>
      <c r="Z132" s="2" t="str">
        <f t="shared" si="22"/>
        <v>OK</v>
      </c>
      <c r="AA132" t="str">
        <f t="shared" si="23"/>
        <v>Unique</v>
      </c>
    </row>
    <row r="133" spans="1:27" x14ac:dyDescent="0.3">
      <c r="A133">
        <v>132</v>
      </c>
      <c r="B133">
        <v>364084.57813696802</v>
      </c>
      <c r="C133">
        <v>0.37523735634565503</v>
      </c>
      <c r="D133">
        <v>-0.15502765202745999</v>
      </c>
      <c r="E133">
        <v>0.149565502688498</v>
      </c>
      <c r="F133">
        <v>1</v>
      </c>
      <c r="G133" t="s">
        <v>11</v>
      </c>
      <c r="H133">
        <v>0</v>
      </c>
      <c r="I133">
        <v>54454.492950185602</v>
      </c>
      <c r="J133">
        <v>0.850434497311501</v>
      </c>
      <c r="K133" t="str">
        <f t="shared" si="16"/>
        <v>OK</v>
      </c>
      <c r="L133" t="str">
        <f t="shared" si="17"/>
        <v>OK</v>
      </c>
      <c r="M133" t="str">
        <f>IF(OR(B133&lt;$AE$20,B133&gt;$AF$20),"Outlier","OK")</f>
        <v>OK</v>
      </c>
      <c r="N133" t="str">
        <f>IF(OR(J133&lt;$AE$21,J133&gt;$AF$21),"Outlier","OK")</f>
        <v>OK</v>
      </c>
      <c r="O133" t="str">
        <f>IF(OR(C133&lt;0,C133&gt;1),"Outlier","OK")</f>
        <v>OK</v>
      </c>
      <c r="P133" t="str">
        <f>IF(OR(D133&lt;0,D133&gt;1),"Outlier","OK")</f>
        <v>Outlier</v>
      </c>
      <c r="Q133" t="str">
        <f t="shared" si="18"/>
        <v>80-100%</v>
      </c>
      <c r="R133" t="str">
        <f>IF(B133="","Missing","OK")</f>
        <v>OK</v>
      </c>
      <c r="S133" t="str">
        <f>IF(E133="","Missing","OK")</f>
        <v>OK</v>
      </c>
      <c r="T133" t="str">
        <f t="shared" si="19"/>
        <v>OK</v>
      </c>
      <c r="U133">
        <f>COUNTIF($A:$A,A133)</f>
        <v>1</v>
      </c>
      <c r="V133" t="str">
        <f t="shared" si="20"/>
        <v>OK</v>
      </c>
      <c r="W133" t="str">
        <f>IF(I133&gt;B133,"ERROR","OK")</f>
        <v>OK</v>
      </c>
      <c r="X133">
        <f>(B133-I133)/B133</f>
        <v>0.85043449731150134</v>
      </c>
      <c r="Y133" s="2">
        <f t="shared" si="21"/>
        <v>3.3306690738754696E-16</v>
      </c>
      <c r="Z133" s="2" t="str">
        <f t="shared" si="22"/>
        <v>OK</v>
      </c>
      <c r="AA133" t="str">
        <f t="shared" si="23"/>
        <v>Unique</v>
      </c>
    </row>
    <row r="134" spans="1:27" x14ac:dyDescent="0.3">
      <c r="A134">
        <v>133</v>
      </c>
      <c r="B134">
        <v>1221362.2072755001</v>
      </c>
      <c r="C134">
        <v>0.70832907023675495</v>
      </c>
      <c r="D134">
        <v>0.12549818059734699</v>
      </c>
      <c r="E134">
        <v>0.35647631602305702</v>
      </c>
      <c r="F134">
        <v>1</v>
      </c>
      <c r="G134" t="s">
        <v>12</v>
      </c>
      <c r="H134">
        <v>1</v>
      </c>
      <c r="I134">
        <v>435386.70017935999</v>
      </c>
      <c r="J134">
        <v>0.64352368397694204</v>
      </c>
      <c r="K134" t="str">
        <f t="shared" si="16"/>
        <v>OK</v>
      </c>
      <c r="L134" t="str">
        <f t="shared" si="17"/>
        <v>OK</v>
      </c>
      <c r="M134" t="str">
        <f>IF(OR(B134&lt;$AE$20,B134&gt;$AF$20),"Outlier","OK")</f>
        <v>OK</v>
      </c>
      <c r="N134" t="str">
        <f>IF(OR(J134&lt;$AE$21,J134&gt;$AF$21),"Outlier","OK")</f>
        <v>OK</v>
      </c>
      <c r="O134" t="str">
        <f>IF(OR(C134&lt;0,C134&gt;1),"Outlier","OK")</f>
        <v>OK</v>
      </c>
      <c r="P134" t="str">
        <f>IF(OR(D134&lt;0,D134&gt;1),"Outlier","OK")</f>
        <v>OK</v>
      </c>
      <c r="Q134" t="str">
        <f t="shared" si="18"/>
        <v>60-80%</v>
      </c>
      <c r="R134" t="str">
        <f>IF(B134="","Missing","OK")</f>
        <v>OK</v>
      </c>
      <c r="S134" t="str">
        <f>IF(E134="","Missing","OK")</f>
        <v>OK</v>
      </c>
      <c r="T134" t="str">
        <f t="shared" si="19"/>
        <v>OK</v>
      </c>
      <c r="U134">
        <f>COUNTIF($A:$A,A134)</f>
        <v>1</v>
      </c>
      <c r="V134" t="str">
        <f t="shared" si="20"/>
        <v>OK</v>
      </c>
      <c r="W134" t="str">
        <f>IF(I134&gt;B134,"ERROR","OK")</f>
        <v>OK</v>
      </c>
      <c r="X134">
        <f>(B134-I134)/B134</f>
        <v>0.64352368397694271</v>
      </c>
      <c r="Y134" s="2">
        <f t="shared" si="21"/>
        <v>6.6613381477509392E-16</v>
      </c>
      <c r="Z134" s="2" t="str">
        <f t="shared" si="22"/>
        <v>OK</v>
      </c>
      <c r="AA134" t="str">
        <f t="shared" si="23"/>
        <v>Unique</v>
      </c>
    </row>
    <row r="135" spans="1:27" x14ac:dyDescent="0.3">
      <c r="A135">
        <v>134</v>
      </c>
      <c r="B135">
        <v>1738435.6936913601</v>
      </c>
      <c r="C135">
        <v>0.887684005320729</v>
      </c>
      <c r="D135">
        <v>-0.16484431395705501</v>
      </c>
      <c r="E135">
        <v>0.50002947365690598</v>
      </c>
      <c r="F135">
        <v>1</v>
      </c>
      <c r="G135" t="s">
        <v>11</v>
      </c>
      <c r="H135">
        <v>0</v>
      </c>
      <c r="I135">
        <v>869269.08490287198</v>
      </c>
      <c r="J135">
        <v>0.49997052634309302</v>
      </c>
      <c r="K135" t="str">
        <f t="shared" si="16"/>
        <v>OK</v>
      </c>
      <c r="L135" t="str">
        <f t="shared" si="17"/>
        <v>OK</v>
      </c>
      <c r="M135" t="str">
        <f>IF(OR(B135&lt;$AE$20,B135&gt;$AF$20),"Outlier","OK")</f>
        <v>OK</v>
      </c>
      <c r="N135" t="str">
        <f>IF(OR(J135&lt;$AE$21,J135&gt;$AF$21),"Outlier","OK")</f>
        <v>OK</v>
      </c>
      <c r="O135" t="str">
        <f>IF(OR(C135&lt;0,C135&gt;1),"Outlier","OK")</f>
        <v>OK</v>
      </c>
      <c r="P135" t="str">
        <f>IF(OR(D135&lt;0,D135&gt;1),"Outlier","OK")</f>
        <v>Outlier</v>
      </c>
      <c r="Q135" t="str">
        <f t="shared" si="18"/>
        <v>40-60%</v>
      </c>
      <c r="R135" t="str">
        <f>IF(B135="","Missing","OK")</f>
        <v>OK</v>
      </c>
      <c r="S135" t="str">
        <f>IF(E135="","Missing","OK")</f>
        <v>OK</v>
      </c>
      <c r="T135" t="str">
        <f t="shared" si="19"/>
        <v>OK</v>
      </c>
      <c r="U135">
        <f>COUNTIF($A:$A,A135)</f>
        <v>1</v>
      </c>
      <c r="V135" t="str">
        <f t="shared" si="20"/>
        <v>OK</v>
      </c>
      <c r="W135" t="str">
        <f>IF(I135&gt;B135,"ERROR","OK")</f>
        <v>OK</v>
      </c>
      <c r="X135">
        <f>(B135-I135)/B135</f>
        <v>0.4999705263430923</v>
      </c>
      <c r="Y135" s="2">
        <f t="shared" si="21"/>
        <v>7.2164496600635175E-16</v>
      </c>
      <c r="Z135" s="2" t="str">
        <f t="shared" si="22"/>
        <v>OK</v>
      </c>
      <c r="AA135" t="str">
        <f t="shared" si="23"/>
        <v>Unique</v>
      </c>
    </row>
    <row r="136" spans="1:27" x14ac:dyDescent="0.3">
      <c r="A136">
        <v>135</v>
      </c>
      <c r="B136">
        <v>1967867.13794693</v>
      </c>
      <c r="C136">
        <v>0.59414463580278598</v>
      </c>
      <c r="D136">
        <v>0.19076005969409399</v>
      </c>
      <c r="E136">
        <v>0.29434488498116301</v>
      </c>
      <c r="F136">
        <v>1</v>
      </c>
      <c r="G136" t="s">
        <v>10</v>
      </c>
      <c r="H136">
        <v>0</v>
      </c>
      <c r="I136">
        <v>579231.62637720199</v>
      </c>
      <c r="J136">
        <v>0.70565511501883604</v>
      </c>
      <c r="K136" t="str">
        <f t="shared" si="16"/>
        <v>OK</v>
      </c>
      <c r="L136" t="str">
        <f t="shared" si="17"/>
        <v>OK</v>
      </c>
      <c r="M136" t="str">
        <f>IF(OR(B136&lt;$AE$20,B136&gt;$AF$20),"Outlier","OK")</f>
        <v>OK</v>
      </c>
      <c r="N136" t="str">
        <f>IF(OR(J136&lt;$AE$21,J136&gt;$AF$21),"Outlier","OK")</f>
        <v>OK</v>
      </c>
      <c r="O136" t="str">
        <f>IF(OR(C136&lt;0,C136&gt;1),"Outlier","OK")</f>
        <v>OK</v>
      </c>
      <c r="P136" t="str">
        <f>IF(OR(D136&lt;0,D136&gt;1),"Outlier","OK")</f>
        <v>OK</v>
      </c>
      <c r="Q136" t="str">
        <f t="shared" si="18"/>
        <v>60-80%</v>
      </c>
      <c r="R136" t="str">
        <f>IF(B136="","Missing","OK")</f>
        <v>OK</v>
      </c>
      <c r="S136" t="str">
        <f>IF(E136="","Missing","OK")</f>
        <v>OK</v>
      </c>
      <c r="T136" t="str">
        <f t="shared" si="19"/>
        <v>OK</v>
      </c>
      <c r="U136">
        <f>COUNTIF($A:$A,A136)</f>
        <v>1</v>
      </c>
      <c r="V136" t="str">
        <f t="shared" si="20"/>
        <v>OK</v>
      </c>
      <c r="W136" t="str">
        <f>IF(I136&gt;B136,"ERROR","OK")</f>
        <v>OK</v>
      </c>
      <c r="X136">
        <f>(B136-I136)/B136</f>
        <v>0.70565511501883582</v>
      </c>
      <c r="Y136" s="2">
        <f t="shared" si="21"/>
        <v>2.2204460492503131E-16</v>
      </c>
      <c r="Z136" s="2" t="str">
        <f t="shared" si="22"/>
        <v>OK</v>
      </c>
      <c r="AA136" t="str">
        <f t="shared" si="23"/>
        <v>Unique</v>
      </c>
    </row>
    <row r="137" spans="1:27" x14ac:dyDescent="0.3">
      <c r="A137">
        <v>136</v>
      </c>
      <c r="B137">
        <v>204763.29123713</v>
      </c>
      <c r="C137">
        <v>0.88827027721289697</v>
      </c>
      <c r="D137">
        <v>-8.1390260727541297E-2</v>
      </c>
      <c r="E137">
        <v>0.63267661047008605</v>
      </c>
      <c r="F137">
        <v>1</v>
      </c>
      <c r="G137" t="s">
        <v>11</v>
      </c>
      <c r="H137">
        <v>1</v>
      </c>
      <c r="I137">
        <v>129548.945048607</v>
      </c>
      <c r="J137">
        <v>0.367323389529913</v>
      </c>
      <c r="K137" t="str">
        <f t="shared" si="16"/>
        <v>OK</v>
      </c>
      <c r="L137" t="str">
        <f t="shared" si="17"/>
        <v>OK</v>
      </c>
      <c r="M137" t="str">
        <f>IF(OR(B137&lt;$AE$20,B137&gt;$AF$20),"Outlier","OK")</f>
        <v>OK</v>
      </c>
      <c r="N137" t="str">
        <f>IF(OR(J137&lt;$AE$21,J137&gt;$AF$21),"Outlier","OK")</f>
        <v>OK</v>
      </c>
      <c r="O137" t="str">
        <f>IF(OR(C137&lt;0,C137&gt;1),"Outlier","OK")</f>
        <v>OK</v>
      </c>
      <c r="P137" t="str">
        <f>IF(OR(D137&lt;0,D137&gt;1),"Outlier","OK")</f>
        <v>Outlier</v>
      </c>
      <c r="Q137" t="str">
        <f t="shared" si="18"/>
        <v>20-40%</v>
      </c>
      <c r="R137" t="str">
        <f>IF(B137="","Missing","OK")</f>
        <v>OK</v>
      </c>
      <c r="S137" t="str">
        <f>IF(E137="","Missing","OK")</f>
        <v>OK</v>
      </c>
      <c r="T137" t="str">
        <f t="shared" si="19"/>
        <v>OK</v>
      </c>
      <c r="U137">
        <f>COUNTIF($A:$A,A137)</f>
        <v>1</v>
      </c>
      <c r="V137" t="str">
        <f t="shared" si="20"/>
        <v>OK</v>
      </c>
      <c r="W137" t="str">
        <f>IF(I137&gt;B137,"ERROR","OK")</f>
        <v>OK</v>
      </c>
      <c r="X137">
        <f>(B137-I137)/B137</f>
        <v>0.36732338952991145</v>
      </c>
      <c r="Y137" s="2">
        <f t="shared" si="21"/>
        <v>1.5543122344752192E-15</v>
      </c>
      <c r="Z137" s="2" t="str">
        <f t="shared" si="22"/>
        <v>OK</v>
      </c>
      <c r="AA137" t="str">
        <f t="shared" si="23"/>
        <v>Unique</v>
      </c>
    </row>
    <row r="138" spans="1:27" x14ac:dyDescent="0.3">
      <c r="A138">
        <v>137</v>
      </c>
      <c r="B138">
        <v>885277.185666851</v>
      </c>
      <c r="C138">
        <v>0.602280154782739</v>
      </c>
      <c r="D138">
        <v>0.102414280376175</v>
      </c>
      <c r="E138">
        <v>0.78199581377841898</v>
      </c>
      <c r="F138">
        <v>1</v>
      </c>
      <c r="G138" t="s">
        <v>12</v>
      </c>
      <c r="H138">
        <v>1</v>
      </c>
      <c r="I138">
        <v>692283.05322501704</v>
      </c>
      <c r="J138">
        <v>0.21800418622157999</v>
      </c>
      <c r="K138" t="str">
        <f t="shared" si="16"/>
        <v>OK</v>
      </c>
      <c r="L138" t="str">
        <f t="shared" si="17"/>
        <v>OK</v>
      </c>
      <c r="M138" t="str">
        <f>IF(OR(B138&lt;$AE$20,B138&gt;$AF$20),"Outlier","OK")</f>
        <v>OK</v>
      </c>
      <c r="N138" t="str">
        <f>IF(OR(J138&lt;$AE$21,J138&gt;$AF$21),"Outlier","OK")</f>
        <v>Outlier</v>
      </c>
      <c r="O138" t="str">
        <f>IF(OR(C138&lt;0,C138&gt;1),"Outlier","OK")</f>
        <v>OK</v>
      </c>
      <c r="P138" t="str">
        <f>IF(OR(D138&lt;0,D138&gt;1),"Outlier","OK")</f>
        <v>OK</v>
      </c>
      <c r="Q138" t="str">
        <f t="shared" si="18"/>
        <v>20-40%</v>
      </c>
      <c r="R138" t="str">
        <f>IF(B138="","Missing","OK")</f>
        <v>OK</v>
      </c>
      <c r="S138" t="str">
        <f>IF(E138="","Missing","OK")</f>
        <v>OK</v>
      </c>
      <c r="T138" t="str">
        <f t="shared" si="19"/>
        <v>OK</v>
      </c>
      <c r="U138">
        <f>COUNTIF($A:$A,A138)</f>
        <v>1</v>
      </c>
      <c r="V138" t="str">
        <f t="shared" si="20"/>
        <v>OK</v>
      </c>
      <c r="W138" t="str">
        <f>IF(I138&gt;B138,"ERROR","OK")</f>
        <v>OK</v>
      </c>
      <c r="X138">
        <f>(B138-I138)/B138</f>
        <v>0.21800418622158171</v>
      </c>
      <c r="Y138" s="2">
        <f t="shared" si="21"/>
        <v>1.7208456881689926E-15</v>
      </c>
      <c r="Z138" s="2" t="str">
        <f t="shared" si="22"/>
        <v>OK</v>
      </c>
      <c r="AA138" t="str">
        <f t="shared" si="23"/>
        <v>Unique</v>
      </c>
    </row>
    <row r="139" spans="1:27" x14ac:dyDescent="0.3">
      <c r="A139">
        <v>138</v>
      </c>
      <c r="B139">
        <v>448858.576115534</v>
      </c>
      <c r="C139">
        <v>0.44089840738432301</v>
      </c>
      <c r="D139">
        <v>6.0899522283914001E-2</v>
      </c>
      <c r="E139">
        <v>0.10464656819755699</v>
      </c>
      <c r="F139">
        <v>1</v>
      </c>
      <c r="G139" t="s">
        <v>11</v>
      </c>
      <c r="H139">
        <v>0</v>
      </c>
      <c r="I139">
        <v>46971.5095965328</v>
      </c>
      <c r="J139">
        <v>0.89535343180244198</v>
      </c>
      <c r="K139" t="str">
        <f t="shared" si="16"/>
        <v>OK</v>
      </c>
      <c r="L139" t="str">
        <f t="shared" si="17"/>
        <v>OK</v>
      </c>
      <c r="M139" t="str">
        <f>IF(OR(B139&lt;$AE$20,B139&gt;$AF$20),"Outlier","OK")</f>
        <v>OK</v>
      </c>
      <c r="N139" t="str">
        <f>IF(OR(J139&lt;$AE$21,J139&gt;$AF$21),"Outlier","OK")</f>
        <v>OK</v>
      </c>
      <c r="O139" t="str">
        <f>IF(OR(C139&lt;0,C139&gt;1),"Outlier","OK")</f>
        <v>OK</v>
      </c>
      <c r="P139" t="str">
        <f>IF(OR(D139&lt;0,D139&gt;1),"Outlier","OK")</f>
        <v>OK</v>
      </c>
      <c r="Q139" t="str">
        <f t="shared" si="18"/>
        <v>80-100%</v>
      </c>
      <c r="R139" t="str">
        <f>IF(B139="","Missing","OK")</f>
        <v>OK</v>
      </c>
      <c r="S139" t="str">
        <f>IF(E139="","Missing","OK")</f>
        <v>OK</v>
      </c>
      <c r="T139" t="str">
        <f t="shared" si="19"/>
        <v>OK</v>
      </c>
      <c r="U139">
        <f>COUNTIF($A:$A,A139)</f>
        <v>1</v>
      </c>
      <c r="V139" t="str">
        <f t="shared" si="20"/>
        <v>OK</v>
      </c>
      <c r="W139" t="str">
        <f>IF(I139&gt;B139,"ERROR","OK")</f>
        <v>OK</v>
      </c>
      <c r="X139">
        <f>(B139-I139)/B139</f>
        <v>0.89535343180244242</v>
      </c>
      <c r="Y139" s="2">
        <f t="shared" si="21"/>
        <v>4.4408920985006262E-16</v>
      </c>
      <c r="Z139" s="2" t="str">
        <f t="shared" si="22"/>
        <v>OK</v>
      </c>
      <c r="AA139" t="str">
        <f t="shared" si="23"/>
        <v>Unique</v>
      </c>
    </row>
    <row r="140" spans="1:27" x14ac:dyDescent="0.3">
      <c r="A140">
        <v>139</v>
      </c>
      <c r="B140">
        <v>928741.15651153203</v>
      </c>
      <c r="C140">
        <v>0.63353618493396902</v>
      </c>
      <c r="D140">
        <v>-0.123960496551854</v>
      </c>
      <c r="E140">
        <v>0.296482270109099</v>
      </c>
      <c r="F140">
        <v>1</v>
      </c>
      <c r="G140" t="s">
        <v>13</v>
      </c>
      <c r="H140">
        <v>0</v>
      </c>
      <c r="I140">
        <v>275355.28642628901</v>
      </c>
      <c r="J140">
        <v>0.7035177298909</v>
      </c>
      <c r="K140" t="str">
        <f t="shared" si="16"/>
        <v>OK</v>
      </c>
      <c r="L140" t="str">
        <f t="shared" si="17"/>
        <v>OK</v>
      </c>
      <c r="M140" t="str">
        <f>IF(OR(B140&lt;$AE$20,B140&gt;$AF$20),"Outlier","OK")</f>
        <v>OK</v>
      </c>
      <c r="N140" t="str">
        <f>IF(OR(J140&lt;$AE$21,J140&gt;$AF$21),"Outlier","OK")</f>
        <v>OK</v>
      </c>
      <c r="O140" t="str">
        <f>IF(OR(C140&lt;0,C140&gt;1),"Outlier","OK")</f>
        <v>OK</v>
      </c>
      <c r="P140" t="str">
        <f>IF(OR(D140&lt;0,D140&gt;1),"Outlier","OK")</f>
        <v>Outlier</v>
      </c>
      <c r="Q140" t="str">
        <f t="shared" si="18"/>
        <v>60-80%</v>
      </c>
      <c r="R140" t="str">
        <f>IF(B140="","Missing","OK")</f>
        <v>OK</v>
      </c>
      <c r="S140" t="str">
        <f>IF(E140="","Missing","OK")</f>
        <v>OK</v>
      </c>
      <c r="T140" t="str">
        <f t="shared" si="19"/>
        <v>OK</v>
      </c>
      <c r="U140">
        <f>COUNTIF($A:$A,A140)</f>
        <v>1</v>
      </c>
      <c r="V140" t="str">
        <f t="shared" si="20"/>
        <v>OK</v>
      </c>
      <c r="W140" t="str">
        <f>IF(I140&gt;B140,"ERROR","OK")</f>
        <v>OK</v>
      </c>
      <c r="X140">
        <f>(B140-I140)/B140</f>
        <v>0.703517729890901</v>
      </c>
      <c r="Y140" s="2">
        <f t="shared" si="21"/>
        <v>9.9920072216264089E-16</v>
      </c>
      <c r="Z140" s="2" t="str">
        <f t="shared" si="22"/>
        <v>OK</v>
      </c>
      <c r="AA140" t="str">
        <f t="shared" si="23"/>
        <v>Unique</v>
      </c>
    </row>
    <row r="141" spans="1:27" x14ac:dyDescent="0.3">
      <c r="A141">
        <v>140</v>
      </c>
      <c r="B141">
        <v>1118138.96662626</v>
      </c>
      <c r="C141">
        <v>0.878645372600797</v>
      </c>
      <c r="D141">
        <v>0.192590693640422</v>
      </c>
      <c r="E141">
        <v>0.17527988001227099</v>
      </c>
      <c r="F141">
        <v>1</v>
      </c>
      <c r="G141" t="s">
        <v>11</v>
      </c>
      <c r="H141">
        <v>1</v>
      </c>
      <c r="I141">
        <v>195987.26390729699</v>
      </c>
      <c r="J141">
        <v>0.82472011998772798</v>
      </c>
      <c r="K141" t="str">
        <f t="shared" si="16"/>
        <v>OK</v>
      </c>
      <c r="L141" t="str">
        <f t="shared" si="17"/>
        <v>OK</v>
      </c>
      <c r="M141" t="str">
        <f>IF(OR(B141&lt;$AE$20,B141&gt;$AF$20),"Outlier","OK")</f>
        <v>OK</v>
      </c>
      <c r="N141" t="str">
        <f>IF(OR(J141&lt;$AE$21,J141&gt;$AF$21),"Outlier","OK")</f>
        <v>OK</v>
      </c>
      <c r="O141" t="str">
        <f>IF(OR(C141&lt;0,C141&gt;1),"Outlier","OK")</f>
        <v>OK</v>
      </c>
      <c r="P141" t="str">
        <f>IF(OR(D141&lt;0,D141&gt;1),"Outlier","OK")</f>
        <v>OK</v>
      </c>
      <c r="Q141" t="str">
        <f t="shared" si="18"/>
        <v>80-100%</v>
      </c>
      <c r="R141" t="str">
        <f>IF(B141="","Missing","OK")</f>
        <v>OK</v>
      </c>
      <c r="S141" t="str">
        <f>IF(E141="","Missing","OK")</f>
        <v>OK</v>
      </c>
      <c r="T141" t="str">
        <f t="shared" si="19"/>
        <v>OK</v>
      </c>
      <c r="U141">
        <f>COUNTIF($A:$A,A141)</f>
        <v>1</v>
      </c>
      <c r="V141" t="str">
        <f t="shared" si="20"/>
        <v>OK</v>
      </c>
      <c r="W141" t="str">
        <f>IF(I141&gt;B141,"ERROR","OK")</f>
        <v>OK</v>
      </c>
      <c r="X141">
        <f>(B141-I141)/B141</f>
        <v>0.82472011998772765</v>
      </c>
      <c r="Y141" s="2">
        <f t="shared" si="21"/>
        <v>3.3306690738754696E-16</v>
      </c>
      <c r="Z141" s="2" t="str">
        <f t="shared" si="22"/>
        <v>OK</v>
      </c>
      <c r="AA141" t="str">
        <f t="shared" si="23"/>
        <v>Unique</v>
      </c>
    </row>
    <row r="142" spans="1:27" x14ac:dyDescent="0.3">
      <c r="A142">
        <v>141</v>
      </c>
      <c r="B142">
        <v>231987.08522114999</v>
      </c>
      <c r="C142">
        <v>0.31061353232976602</v>
      </c>
      <c r="D142">
        <v>1.9834139222836202E-2</v>
      </c>
      <c r="E142">
        <v>0.12686874205967999</v>
      </c>
      <c r="F142">
        <v>1</v>
      </c>
      <c r="G142" t="s">
        <v>10</v>
      </c>
      <c r="H142">
        <v>1</v>
      </c>
      <c r="I142">
        <v>29431.909676099302</v>
      </c>
      <c r="J142">
        <v>0.87313125794031898</v>
      </c>
      <c r="K142" t="str">
        <f t="shared" si="16"/>
        <v>OK</v>
      </c>
      <c r="L142" t="str">
        <f t="shared" si="17"/>
        <v>OK</v>
      </c>
      <c r="M142" t="str">
        <f>IF(OR(B142&lt;$AE$20,B142&gt;$AF$20),"Outlier","OK")</f>
        <v>OK</v>
      </c>
      <c r="N142" t="str">
        <f>IF(OR(J142&lt;$AE$21,J142&gt;$AF$21),"Outlier","OK")</f>
        <v>OK</v>
      </c>
      <c r="O142" t="str">
        <f>IF(OR(C142&lt;0,C142&gt;1),"Outlier","OK")</f>
        <v>OK</v>
      </c>
      <c r="P142" t="str">
        <f>IF(OR(D142&lt;0,D142&gt;1),"Outlier","OK")</f>
        <v>OK</v>
      </c>
      <c r="Q142" t="str">
        <f t="shared" si="18"/>
        <v>80-100%</v>
      </c>
      <c r="R142" t="str">
        <f>IF(B142="","Missing","OK")</f>
        <v>OK</v>
      </c>
      <c r="S142" t="str">
        <f>IF(E142="","Missing","OK")</f>
        <v>OK</v>
      </c>
      <c r="T142" t="str">
        <f t="shared" si="19"/>
        <v>OK</v>
      </c>
      <c r="U142">
        <f>COUNTIF($A:$A,A142)</f>
        <v>1</v>
      </c>
      <c r="V142" t="str">
        <f t="shared" si="20"/>
        <v>OK</v>
      </c>
      <c r="W142" t="str">
        <f>IF(I142&gt;B142,"ERROR","OK")</f>
        <v>OK</v>
      </c>
      <c r="X142">
        <f>(B142-I142)/B142</f>
        <v>0.87313125794031898</v>
      </c>
      <c r="Y142" s="2">
        <f t="shared" si="21"/>
        <v>0</v>
      </c>
      <c r="Z142" s="2" t="str">
        <f t="shared" si="22"/>
        <v>OK</v>
      </c>
      <c r="AA142" t="str">
        <f t="shared" si="23"/>
        <v>Unique</v>
      </c>
    </row>
    <row r="143" spans="1:27" x14ac:dyDescent="0.3">
      <c r="A143">
        <v>142</v>
      </c>
      <c r="B143">
        <v>628878.512187324</v>
      </c>
      <c r="C143">
        <v>0.225907447911876</v>
      </c>
      <c r="D143">
        <v>-0.16583707521893201</v>
      </c>
      <c r="E143">
        <v>0.2799696338621</v>
      </c>
      <c r="F143">
        <v>1</v>
      </c>
      <c r="G143" t="s">
        <v>12</v>
      </c>
      <c r="H143">
        <v>1</v>
      </c>
      <c r="I143">
        <v>176066.88680082699</v>
      </c>
      <c r="J143">
        <v>0.72003036613789995</v>
      </c>
      <c r="K143" t="str">
        <f t="shared" si="16"/>
        <v>OK</v>
      </c>
      <c r="L143" t="str">
        <f t="shared" si="17"/>
        <v>OK</v>
      </c>
      <c r="M143" t="str">
        <f>IF(OR(B143&lt;$AE$20,B143&gt;$AF$20),"Outlier","OK")</f>
        <v>OK</v>
      </c>
      <c r="N143" t="str">
        <f>IF(OR(J143&lt;$AE$21,J143&gt;$AF$21),"Outlier","OK")</f>
        <v>OK</v>
      </c>
      <c r="O143" t="str">
        <f>IF(OR(C143&lt;0,C143&gt;1),"Outlier","OK")</f>
        <v>OK</v>
      </c>
      <c r="P143" t="str">
        <f>IF(OR(D143&lt;0,D143&gt;1),"Outlier","OK")</f>
        <v>Outlier</v>
      </c>
      <c r="Q143" t="str">
        <f t="shared" si="18"/>
        <v>60-80%</v>
      </c>
      <c r="R143" t="str">
        <f>IF(B143="","Missing","OK")</f>
        <v>OK</v>
      </c>
      <c r="S143" t="str">
        <f>IF(E143="","Missing","OK")</f>
        <v>OK</v>
      </c>
      <c r="T143" t="str">
        <f t="shared" si="19"/>
        <v>OK</v>
      </c>
      <c r="U143">
        <f>COUNTIF($A:$A,A143)</f>
        <v>1</v>
      </c>
      <c r="V143" t="str">
        <f t="shared" si="20"/>
        <v>OK</v>
      </c>
      <c r="W143" t="str">
        <f>IF(I143&gt;B143,"ERROR","OK")</f>
        <v>OK</v>
      </c>
      <c r="X143">
        <f>(B143-I143)/B143</f>
        <v>0.7200303661379005</v>
      </c>
      <c r="Y143" s="2">
        <f t="shared" si="21"/>
        <v>5.5511151231257827E-16</v>
      </c>
      <c r="Z143" s="2" t="str">
        <f t="shared" si="22"/>
        <v>OK</v>
      </c>
      <c r="AA143" t="str">
        <f t="shared" si="23"/>
        <v>Unique</v>
      </c>
    </row>
    <row r="144" spans="1:27" x14ac:dyDescent="0.3">
      <c r="A144">
        <v>143</v>
      </c>
      <c r="B144">
        <v>1858789.2682966799</v>
      </c>
      <c r="C144">
        <v>0.71052677869594705</v>
      </c>
      <c r="D144">
        <v>0.127999127978597</v>
      </c>
      <c r="E144">
        <v>6.0342984356851703E-2</v>
      </c>
      <c r="F144">
        <v>1</v>
      </c>
      <c r="G144" t="s">
        <v>12</v>
      </c>
      <c r="H144">
        <v>1</v>
      </c>
      <c r="I144">
        <v>112164.89173951</v>
      </c>
      <c r="J144">
        <v>0.93965701564314796</v>
      </c>
      <c r="K144" t="str">
        <f t="shared" si="16"/>
        <v>OK</v>
      </c>
      <c r="L144" t="str">
        <f t="shared" si="17"/>
        <v>OK</v>
      </c>
      <c r="M144" t="str">
        <f>IF(OR(B144&lt;$AE$20,B144&gt;$AF$20),"Outlier","OK")</f>
        <v>OK</v>
      </c>
      <c r="N144" t="str">
        <f>IF(OR(J144&lt;$AE$21,J144&gt;$AF$21),"Outlier","OK")</f>
        <v>OK</v>
      </c>
      <c r="O144" t="str">
        <f>IF(OR(C144&lt;0,C144&gt;1),"Outlier","OK")</f>
        <v>OK</v>
      </c>
      <c r="P144" t="str">
        <f>IF(OR(D144&lt;0,D144&gt;1),"Outlier","OK")</f>
        <v>OK</v>
      </c>
      <c r="Q144" t="str">
        <f t="shared" si="18"/>
        <v>80-100%</v>
      </c>
      <c r="R144" t="str">
        <f>IF(B144="","Missing","OK")</f>
        <v>OK</v>
      </c>
      <c r="S144" t="str">
        <f>IF(E144="","Missing","OK")</f>
        <v>OK</v>
      </c>
      <c r="T144" t="str">
        <f t="shared" si="19"/>
        <v>OK</v>
      </c>
      <c r="U144">
        <f>COUNTIF($A:$A,A144)</f>
        <v>1</v>
      </c>
      <c r="V144" t="str">
        <f t="shared" si="20"/>
        <v>OK</v>
      </c>
      <c r="W144" t="str">
        <f>IF(I144&gt;B144,"ERROR","OK")</f>
        <v>OK</v>
      </c>
      <c r="X144">
        <f>(B144-I144)/B144</f>
        <v>0.93965701564314852</v>
      </c>
      <c r="Y144" s="2">
        <f t="shared" si="21"/>
        <v>5.5511151231257827E-16</v>
      </c>
      <c r="Z144" s="2" t="str">
        <f t="shared" si="22"/>
        <v>OK</v>
      </c>
      <c r="AA144" t="str">
        <f t="shared" si="23"/>
        <v>Unique</v>
      </c>
    </row>
    <row r="145" spans="1:27" x14ac:dyDescent="0.3">
      <c r="A145">
        <v>144</v>
      </c>
      <c r="B145">
        <v>1159557.27628888</v>
      </c>
      <c r="C145">
        <v>0.50884715684368598</v>
      </c>
      <c r="D145">
        <v>9.33903387601656E-2</v>
      </c>
      <c r="E145">
        <v>0.37513476486580599</v>
      </c>
      <c r="F145">
        <v>1</v>
      </c>
      <c r="G145" t="s">
        <v>12</v>
      </c>
      <c r="H145">
        <v>0</v>
      </c>
      <c r="I145">
        <v>434990.24618906301</v>
      </c>
      <c r="J145">
        <v>0.62486523513419401</v>
      </c>
      <c r="K145" t="str">
        <f t="shared" si="16"/>
        <v>OK</v>
      </c>
      <c r="L145" t="str">
        <f t="shared" si="17"/>
        <v>OK</v>
      </c>
      <c r="M145" t="str">
        <f>IF(OR(B145&lt;$AE$20,B145&gt;$AF$20),"Outlier","OK")</f>
        <v>OK</v>
      </c>
      <c r="N145" t="str">
        <f>IF(OR(J145&lt;$AE$21,J145&gt;$AF$21),"Outlier","OK")</f>
        <v>OK</v>
      </c>
      <c r="O145" t="str">
        <f>IF(OR(C145&lt;0,C145&gt;1),"Outlier","OK")</f>
        <v>OK</v>
      </c>
      <c r="P145" t="str">
        <f>IF(OR(D145&lt;0,D145&gt;1),"Outlier","OK")</f>
        <v>OK</v>
      </c>
      <c r="Q145" t="str">
        <f t="shared" si="18"/>
        <v>60-80%</v>
      </c>
      <c r="R145" t="str">
        <f>IF(B145="","Missing","OK")</f>
        <v>OK</v>
      </c>
      <c r="S145" t="str">
        <f>IF(E145="","Missing","OK")</f>
        <v>OK</v>
      </c>
      <c r="T145" t="str">
        <f t="shared" si="19"/>
        <v>OK</v>
      </c>
      <c r="U145">
        <f>COUNTIF($A:$A,A145)</f>
        <v>1</v>
      </c>
      <c r="V145" t="str">
        <f t="shared" si="20"/>
        <v>OK</v>
      </c>
      <c r="W145" t="str">
        <f>IF(I145&gt;B145,"ERROR","OK")</f>
        <v>OK</v>
      </c>
      <c r="X145">
        <f>(B145-I145)/B145</f>
        <v>0.62486523513419445</v>
      </c>
      <c r="Y145" s="2">
        <f t="shared" si="21"/>
        <v>4.4408920985006262E-16</v>
      </c>
      <c r="Z145" s="2" t="str">
        <f t="shared" si="22"/>
        <v>OK</v>
      </c>
      <c r="AA145" t="str">
        <f t="shared" si="23"/>
        <v>Unique</v>
      </c>
    </row>
    <row r="146" spans="1:27" x14ac:dyDescent="0.3">
      <c r="A146">
        <v>145</v>
      </c>
      <c r="B146">
        <v>941953.395171043</v>
      </c>
      <c r="C146">
        <v>0.60593647813347096</v>
      </c>
      <c r="D146">
        <v>-5.3142741511358699E-2</v>
      </c>
      <c r="E146">
        <v>8.0676030348868402E-2</v>
      </c>
      <c r="F146">
        <v>1</v>
      </c>
      <c r="G146" t="s">
        <v>10</v>
      </c>
      <c r="H146">
        <v>1</v>
      </c>
      <c r="I146">
        <v>75993.060696038796</v>
      </c>
      <c r="J146">
        <v>0.91932396965113095</v>
      </c>
      <c r="K146" t="str">
        <f t="shared" si="16"/>
        <v>OK</v>
      </c>
      <c r="L146" t="str">
        <f t="shared" si="17"/>
        <v>OK</v>
      </c>
      <c r="M146" t="str">
        <f>IF(OR(B146&lt;$AE$20,B146&gt;$AF$20),"Outlier","OK")</f>
        <v>OK</v>
      </c>
      <c r="N146" t="str">
        <f>IF(OR(J146&lt;$AE$21,J146&gt;$AF$21),"Outlier","OK")</f>
        <v>OK</v>
      </c>
      <c r="O146" t="str">
        <f>IF(OR(C146&lt;0,C146&gt;1),"Outlier","OK")</f>
        <v>OK</v>
      </c>
      <c r="P146" t="str">
        <f>IF(OR(D146&lt;0,D146&gt;1),"Outlier","OK")</f>
        <v>Outlier</v>
      </c>
      <c r="Q146" t="str">
        <f t="shared" si="18"/>
        <v>80-100%</v>
      </c>
      <c r="R146" t="str">
        <f>IF(B146="","Missing","OK")</f>
        <v>OK</v>
      </c>
      <c r="S146" t="str">
        <f>IF(E146="","Missing","OK")</f>
        <v>OK</v>
      </c>
      <c r="T146" t="str">
        <f t="shared" si="19"/>
        <v>OK</v>
      </c>
      <c r="U146">
        <f>COUNTIF($A:$A,A146)</f>
        <v>1</v>
      </c>
      <c r="V146" t="str">
        <f t="shared" si="20"/>
        <v>OK</v>
      </c>
      <c r="W146" t="str">
        <f>IF(I146&gt;B146,"ERROR","OK")</f>
        <v>OK</v>
      </c>
      <c r="X146">
        <f>(B146-I146)/B146</f>
        <v>0.9193239696511315</v>
      </c>
      <c r="Y146" s="2">
        <f t="shared" si="21"/>
        <v>5.5511151231257827E-16</v>
      </c>
      <c r="Z146" s="2" t="str">
        <f t="shared" si="22"/>
        <v>OK</v>
      </c>
      <c r="AA146" t="str">
        <f t="shared" si="23"/>
        <v>Unique</v>
      </c>
    </row>
    <row r="147" spans="1:27" x14ac:dyDescent="0.3">
      <c r="A147">
        <v>146</v>
      </c>
      <c r="B147">
        <v>1519375.6820563199</v>
      </c>
      <c r="C147">
        <v>0.54881533767188795</v>
      </c>
      <c r="D147">
        <v>8.2566707073428697E-2</v>
      </c>
      <c r="E147">
        <v>0.42077673415587502</v>
      </c>
      <c r="F147">
        <v>1</v>
      </c>
      <c r="G147" t="s">
        <v>13</v>
      </c>
      <c r="H147">
        <v>0</v>
      </c>
      <c r="I147">
        <v>639317.93745151605</v>
      </c>
      <c r="J147">
        <v>0.57922326584412398</v>
      </c>
      <c r="K147" t="str">
        <f t="shared" si="16"/>
        <v>OK</v>
      </c>
      <c r="L147" t="str">
        <f t="shared" si="17"/>
        <v>OK</v>
      </c>
      <c r="M147" t="str">
        <f>IF(OR(B147&lt;$AE$20,B147&gt;$AF$20),"Outlier","OK")</f>
        <v>OK</v>
      </c>
      <c r="N147" t="str">
        <f>IF(OR(J147&lt;$AE$21,J147&gt;$AF$21),"Outlier","OK")</f>
        <v>OK</v>
      </c>
      <c r="O147" t="str">
        <f>IF(OR(C147&lt;0,C147&gt;1),"Outlier","OK")</f>
        <v>OK</v>
      </c>
      <c r="P147" t="str">
        <f>IF(OR(D147&lt;0,D147&gt;1),"Outlier","OK")</f>
        <v>OK</v>
      </c>
      <c r="Q147" t="str">
        <f t="shared" si="18"/>
        <v>40-60%</v>
      </c>
      <c r="R147" t="str">
        <f>IF(B147="","Missing","OK")</f>
        <v>OK</v>
      </c>
      <c r="S147" t="str">
        <f>IF(E147="","Missing","OK")</f>
        <v>OK</v>
      </c>
      <c r="T147" t="str">
        <f t="shared" si="19"/>
        <v>OK</v>
      </c>
      <c r="U147">
        <f>COUNTIF($A:$A,A147)</f>
        <v>1</v>
      </c>
      <c r="V147" t="str">
        <f t="shared" si="20"/>
        <v>OK</v>
      </c>
      <c r="W147" t="str">
        <f>IF(I147&gt;B147,"ERROR","OK")</f>
        <v>OK</v>
      </c>
      <c r="X147">
        <f>(B147-I147)/B147</f>
        <v>0.5792232658441232</v>
      </c>
      <c r="Y147" s="2">
        <f t="shared" si="21"/>
        <v>7.7715611723760958E-16</v>
      </c>
      <c r="Z147" s="2" t="str">
        <f t="shared" si="22"/>
        <v>OK</v>
      </c>
      <c r="AA147" t="str">
        <f t="shared" si="23"/>
        <v>Unique</v>
      </c>
    </row>
    <row r="148" spans="1:27" x14ac:dyDescent="0.3">
      <c r="A148">
        <v>147</v>
      </c>
      <c r="B148">
        <v>1496631.19609197</v>
      </c>
      <c r="C148">
        <v>0.54037392822974295</v>
      </c>
      <c r="D148">
        <v>0.16219564578777401</v>
      </c>
      <c r="E148">
        <v>0.22173471933731001</v>
      </c>
      <c r="F148">
        <v>1</v>
      </c>
      <c r="G148" t="s">
        <v>13</v>
      </c>
      <c r="H148">
        <v>1</v>
      </c>
      <c r="I148">
        <v>331855.09821691702</v>
      </c>
      <c r="J148">
        <v>0.77826528066268896</v>
      </c>
      <c r="K148" t="str">
        <f t="shared" si="16"/>
        <v>OK</v>
      </c>
      <c r="L148" t="str">
        <f t="shared" si="17"/>
        <v>OK</v>
      </c>
      <c r="M148" t="str">
        <f>IF(OR(B148&lt;$AE$20,B148&gt;$AF$20),"Outlier","OK")</f>
        <v>OK</v>
      </c>
      <c r="N148" t="str">
        <f>IF(OR(J148&lt;$AE$21,J148&gt;$AF$21),"Outlier","OK")</f>
        <v>OK</v>
      </c>
      <c r="O148" t="str">
        <f>IF(OR(C148&lt;0,C148&gt;1),"Outlier","OK")</f>
        <v>OK</v>
      </c>
      <c r="P148" t="str">
        <f>IF(OR(D148&lt;0,D148&gt;1),"Outlier","OK")</f>
        <v>OK</v>
      </c>
      <c r="Q148" t="str">
        <f t="shared" si="18"/>
        <v>60-80%</v>
      </c>
      <c r="R148" t="str">
        <f>IF(B148="","Missing","OK")</f>
        <v>OK</v>
      </c>
      <c r="S148" t="str">
        <f>IF(E148="","Missing","OK")</f>
        <v>OK</v>
      </c>
      <c r="T148" t="str">
        <f t="shared" si="19"/>
        <v>OK</v>
      </c>
      <c r="U148">
        <f>COUNTIF($A:$A,A148)</f>
        <v>1</v>
      </c>
      <c r="V148" t="str">
        <f t="shared" si="20"/>
        <v>OK</v>
      </c>
      <c r="W148" t="str">
        <f>IF(I148&gt;B148,"ERROR","OK")</f>
        <v>OK</v>
      </c>
      <c r="X148">
        <f>(B148-I148)/B148</f>
        <v>0.77826528066268907</v>
      </c>
      <c r="Y148" s="2">
        <f t="shared" si="21"/>
        <v>1.1102230246251565E-16</v>
      </c>
      <c r="Z148" s="2" t="str">
        <f t="shared" si="22"/>
        <v>OK</v>
      </c>
      <c r="AA148" t="str">
        <f t="shared" si="23"/>
        <v>Unique</v>
      </c>
    </row>
    <row r="149" spans="1:27" x14ac:dyDescent="0.3">
      <c r="A149">
        <v>148</v>
      </c>
      <c r="B149">
        <v>144729.11404632399</v>
      </c>
      <c r="C149">
        <v>0.60244701052352301</v>
      </c>
      <c r="D149">
        <v>4.5664551413967497E-2</v>
      </c>
      <c r="E149">
        <v>0.202996605585062</v>
      </c>
      <c r="F149">
        <v>1</v>
      </c>
      <c r="G149" t="s">
        <v>12</v>
      </c>
      <c r="H149">
        <v>0</v>
      </c>
      <c r="I149">
        <v>29379.5188807372</v>
      </c>
      <c r="J149">
        <v>0.79700339441493695</v>
      </c>
      <c r="K149" t="str">
        <f t="shared" si="16"/>
        <v>OK</v>
      </c>
      <c r="L149" t="str">
        <f t="shared" si="17"/>
        <v>OK</v>
      </c>
      <c r="M149" t="str">
        <f>IF(OR(B149&lt;$AE$20,B149&gt;$AF$20),"Outlier","OK")</f>
        <v>OK</v>
      </c>
      <c r="N149" t="str">
        <f>IF(OR(J149&lt;$AE$21,J149&gt;$AF$21),"Outlier","OK")</f>
        <v>OK</v>
      </c>
      <c r="O149" t="str">
        <f>IF(OR(C149&lt;0,C149&gt;1),"Outlier","OK")</f>
        <v>OK</v>
      </c>
      <c r="P149" t="str">
        <f>IF(OR(D149&lt;0,D149&gt;1),"Outlier","OK")</f>
        <v>OK</v>
      </c>
      <c r="Q149" t="str">
        <f t="shared" si="18"/>
        <v>60-80%</v>
      </c>
      <c r="R149" t="str">
        <f>IF(B149="","Missing","OK")</f>
        <v>OK</v>
      </c>
      <c r="S149" t="str">
        <f>IF(E149="","Missing","OK")</f>
        <v>OK</v>
      </c>
      <c r="T149" t="str">
        <f t="shared" si="19"/>
        <v>OK</v>
      </c>
      <c r="U149">
        <f>COUNTIF($A:$A,A149)</f>
        <v>1</v>
      </c>
      <c r="V149" t="str">
        <f t="shared" si="20"/>
        <v>OK</v>
      </c>
      <c r="W149" t="str">
        <f>IF(I149&gt;B149,"ERROR","OK")</f>
        <v>OK</v>
      </c>
      <c r="X149">
        <f>(B149-I149)/B149</f>
        <v>0.79700339441493717</v>
      </c>
      <c r="Y149" s="2">
        <f t="shared" si="21"/>
        <v>2.2204460492503131E-16</v>
      </c>
      <c r="Z149" s="2" t="str">
        <f t="shared" si="22"/>
        <v>OK</v>
      </c>
      <c r="AA149" t="str">
        <f t="shared" si="23"/>
        <v>Unique</v>
      </c>
    </row>
    <row r="150" spans="1:27" x14ac:dyDescent="0.3">
      <c r="A150">
        <v>149</v>
      </c>
      <c r="B150">
        <v>1431959.92111335</v>
      </c>
      <c r="C150">
        <v>0.35194459132057998</v>
      </c>
      <c r="D150">
        <v>2.3029796264402901E-2</v>
      </c>
      <c r="E150">
        <v>8.1699088310691295E-2</v>
      </c>
      <c r="F150">
        <v>1</v>
      </c>
      <c r="G150" t="s">
        <v>11</v>
      </c>
      <c r="H150">
        <v>0</v>
      </c>
      <c r="I150">
        <v>116989.82005241</v>
      </c>
      <c r="J150">
        <v>0.91830091168930805</v>
      </c>
      <c r="K150" t="str">
        <f t="shared" si="16"/>
        <v>OK</v>
      </c>
      <c r="L150" t="str">
        <f t="shared" si="17"/>
        <v>OK</v>
      </c>
      <c r="M150" t="str">
        <f>IF(OR(B150&lt;$AE$20,B150&gt;$AF$20),"Outlier","OK")</f>
        <v>OK</v>
      </c>
      <c r="N150" t="str">
        <f>IF(OR(J150&lt;$AE$21,J150&gt;$AF$21),"Outlier","OK")</f>
        <v>OK</v>
      </c>
      <c r="O150" t="str">
        <f>IF(OR(C150&lt;0,C150&gt;1),"Outlier","OK")</f>
        <v>OK</v>
      </c>
      <c r="P150" t="str">
        <f>IF(OR(D150&lt;0,D150&gt;1),"Outlier","OK")</f>
        <v>OK</v>
      </c>
      <c r="Q150" t="str">
        <f t="shared" si="18"/>
        <v>80-100%</v>
      </c>
      <c r="R150" t="str">
        <f>IF(B150="","Missing","OK")</f>
        <v>OK</v>
      </c>
      <c r="S150" t="str">
        <f>IF(E150="","Missing","OK")</f>
        <v>OK</v>
      </c>
      <c r="T150" t="str">
        <f t="shared" si="19"/>
        <v>OK</v>
      </c>
      <c r="U150">
        <f>COUNTIF($A:$A,A150)</f>
        <v>1</v>
      </c>
      <c r="V150" t="str">
        <f t="shared" si="20"/>
        <v>OK</v>
      </c>
      <c r="W150" t="str">
        <f>IF(I150&gt;B150,"ERROR","OK")</f>
        <v>OK</v>
      </c>
      <c r="X150">
        <f>(B150-I150)/B150</f>
        <v>0.91830091168930883</v>
      </c>
      <c r="Y150" s="2">
        <f t="shared" si="21"/>
        <v>7.7715611723760958E-16</v>
      </c>
      <c r="Z150" s="2" t="str">
        <f t="shared" si="22"/>
        <v>OK</v>
      </c>
      <c r="AA150" t="str">
        <f t="shared" si="23"/>
        <v>Unique</v>
      </c>
    </row>
    <row r="151" spans="1:27" x14ac:dyDescent="0.3">
      <c r="A151">
        <v>150</v>
      </c>
      <c r="B151">
        <v>1686524.5282199101</v>
      </c>
      <c r="C151">
        <v>0.13484725173731801</v>
      </c>
      <c r="D151">
        <v>-2.0284415062146999E-2</v>
      </c>
      <c r="E151">
        <v>0.58014259149930103</v>
      </c>
      <c r="F151">
        <v>1</v>
      </c>
      <c r="G151" t="s">
        <v>11</v>
      </c>
      <c r="H151">
        <v>0</v>
      </c>
      <c r="I151">
        <v>978424.71042863699</v>
      </c>
      <c r="J151">
        <v>0.41985740850069803</v>
      </c>
      <c r="K151" t="str">
        <f t="shared" si="16"/>
        <v>OK</v>
      </c>
      <c r="L151" t="str">
        <f t="shared" si="17"/>
        <v>OK</v>
      </c>
      <c r="M151" t="str">
        <f>IF(OR(B151&lt;$AE$20,B151&gt;$AF$20),"Outlier","OK")</f>
        <v>OK</v>
      </c>
      <c r="N151" t="str">
        <f>IF(OR(J151&lt;$AE$21,J151&gt;$AF$21),"Outlier","OK")</f>
        <v>OK</v>
      </c>
      <c r="O151" t="str">
        <f>IF(OR(C151&lt;0,C151&gt;1),"Outlier","OK")</f>
        <v>OK</v>
      </c>
      <c r="P151" t="str">
        <f>IF(OR(D151&lt;0,D151&gt;1),"Outlier","OK")</f>
        <v>Outlier</v>
      </c>
      <c r="Q151" t="str">
        <f t="shared" si="18"/>
        <v>40-60%</v>
      </c>
      <c r="R151" t="str">
        <f>IF(B151="","Missing","OK")</f>
        <v>OK</v>
      </c>
      <c r="S151" t="str">
        <f>IF(E151="","Missing","OK")</f>
        <v>OK</v>
      </c>
      <c r="T151" t="str">
        <f t="shared" si="19"/>
        <v>OK</v>
      </c>
      <c r="U151">
        <f>COUNTIF($A:$A,A151)</f>
        <v>1</v>
      </c>
      <c r="V151" t="str">
        <f t="shared" si="20"/>
        <v>OK</v>
      </c>
      <c r="W151" t="str">
        <f>IF(I151&gt;B151,"ERROR","OK")</f>
        <v>OK</v>
      </c>
      <c r="X151">
        <f>(B151-I151)/B151</f>
        <v>0.41985740850069764</v>
      </c>
      <c r="Y151" s="2">
        <f t="shared" si="21"/>
        <v>3.8857805861880479E-16</v>
      </c>
      <c r="Z151" s="2" t="str">
        <f t="shared" si="22"/>
        <v>OK</v>
      </c>
      <c r="AA151" t="str">
        <f t="shared" si="23"/>
        <v>Unique</v>
      </c>
    </row>
    <row r="152" spans="1:27" x14ac:dyDescent="0.3">
      <c r="A152">
        <v>151</v>
      </c>
      <c r="B152">
        <v>373578.87420356</v>
      </c>
      <c r="C152">
        <v>0.56308739375626604</v>
      </c>
      <c r="D152">
        <v>4.5563389734045397E-2</v>
      </c>
      <c r="E152">
        <v>9.0405879880791004E-2</v>
      </c>
      <c r="F152">
        <v>1</v>
      </c>
      <c r="G152" t="s">
        <v>11</v>
      </c>
      <c r="H152">
        <v>0</v>
      </c>
      <c r="I152">
        <v>33773.726827248101</v>
      </c>
      <c r="J152">
        <v>0.90959412011920904</v>
      </c>
      <c r="K152" t="str">
        <f t="shared" si="16"/>
        <v>OK</v>
      </c>
      <c r="L152" t="str">
        <f t="shared" si="17"/>
        <v>OK</v>
      </c>
      <c r="M152" t="str">
        <f>IF(OR(B152&lt;$AE$20,B152&gt;$AF$20),"Outlier","OK")</f>
        <v>OK</v>
      </c>
      <c r="N152" t="str">
        <f>IF(OR(J152&lt;$AE$21,J152&gt;$AF$21),"Outlier","OK")</f>
        <v>OK</v>
      </c>
      <c r="O152" t="str">
        <f>IF(OR(C152&lt;0,C152&gt;1),"Outlier","OK")</f>
        <v>OK</v>
      </c>
      <c r="P152" t="str">
        <f>IF(OR(D152&lt;0,D152&gt;1),"Outlier","OK")</f>
        <v>OK</v>
      </c>
      <c r="Q152" t="str">
        <f t="shared" si="18"/>
        <v>80-100%</v>
      </c>
      <c r="R152" t="str">
        <f>IF(B152="","Missing","OK")</f>
        <v>OK</v>
      </c>
      <c r="S152" t="str">
        <f>IF(E152="","Missing","OK")</f>
        <v>OK</v>
      </c>
      <c r="T152" t="str">
        <f t="shared" si="19"/>
        <v>OK</v>
      </c>
      <c r="U152">
        <f>COUNTIF($A:$A,A152)</f>
        <v>1</v>
      </c>
      <c r="V152" t="str">
        <f t="shared" si="20"/>
        <v>OK</v>
      </c>
      <c r="W152" t="str">
        <f>IF(I152&gt;B152,"ERROR","OK")</f>
        <v>OK</v>
      </c>
      <c r="X152">
        <f>(B152-I152)/B152</f>
        <v>0.90959412011920915</v>
      </c>
      <c r="Y152" s="2">
        <f t="shared" si="21"/>
        <v>1.1102230246251565E-16</v>
      </c>
      <c r="Z152" s="2" t="str">
        <f t="shared" si="22"/>
        <v>OK</v>
      </c>
      <c r="AA152" t="str">
        <f t="shared" si="23"/>
        <v>Unique</v>
      </c>
    </row>
    <row r="153" spans="1:27" x14ac:dyDescent="0.3">
      <c r="A153">
        <v>152</v>
      </c>
      <c r="B153">
        <v>1572945.97909991</v>
      </c>
      <c r="C153">
        <v>0.38961004472017902</v>
      </c>
      <c r="D153">
        <v>0.166575586487513</v>
      </c>
      <c r="E153">
        <v>0.53068494238757602</v>
      </c>
      <c r="F153">
        <v>1</v>
      </c>
      <c r="G153" t="s">
        <v>13</v>
      </c>
      <c r="H153">
        <v>1</v>
      </c>
      <c r="I153">
        <v>834738.74629740894</v>
      </c>
      <c r="J153">
        <v>0.46931505761242298</v>
      </c>
      <c r="K153" t="str">
        <f t="shared" si="16"/>
        <v>OK</v>
      </c>
      <c r="L153" t="str">
        <f t="shared" si="17"/>
        <v>OK</v>
      </c>
      <c r="M153" t="str">
        <f>IF(OR(B153&lt;$AE$20,B153&gt;$AF$20),"Outlier","OK")</f>
        <v>OK</v>
      </c>
      <c r="N153" t="str">
        <f>IF(OR(J153&lt;$AE$21,J153&gt;$AF$21),"Outlier","OK")</f>
        <v>OK</v>
      </c>
      <c r="O153" t="str">
        <f>IF(OR(C153&lt;0,C153&gt;1),"Outlier","OK")</f>
        <v>OK</v>
      </c>
      <c r="P153" t="str">
        <f>IF(OR(D153&lt;0,D153&gt;1),"Outlier","OK")</f>
        <v>OK</v>
      </c>
      <c r="Q153" t="str">
        <f t="shared" si="18"/>
        <v>40-60%</v>
      </c>
      <c r="R153" t="str">
        <f>IF(B153="","Missing","OK")</f>
        <v>OK</v>
      </c>
      <c r="S153" t="str">
        <f>IF(E153="","Missing","OK")</f>
        <v>OK</v>
      </c>
      <c r="T153" t="str">
        <f t="shared" si="19"/>
        <v>OK</v>
      </c>
      <c r="U153">
        <f>COUNTIF($A:$A,A153)</f>
        <v>1</v>
      </c>
      <c r="V153" t="str">
        <f t="shared" si="20"/>
        <v>OK</v>
      </c>
      <c r="W153" t="str">
        <f>IF(I153&gt;B153,"ERROR","OK")</f>
        <v>OK</v>
      </c>
      <c r="X153">
        <f>(B153-I153)/B153</f>
        <v>0.46931505761242154</v>
      </c>
      <c r="Y153" s="2">
        <f t="shared" si="21"/>
        <v>1.4432899320127035E-15</v>
      </c>
      <c r="Z153" s="2" t="str">
        <f t="shared" si="22"/>
        <v>OK</v>
      </c>
      <c r="AA153" t="str">
        <f t="shared" si="23"/>
        <v>Unique</v>
      </c>
    </row>
    <row r="154" spans="1:27" x14ac:dyDescent="0.3">
      <c r="A154">
        <v>153</v>
      </c>
      <c r="B154">
        <v>608746.40262174804</v>
      </c>
      <c r="C154">
        <v>0.44065891612273</v>
      </c>
      <c r="D154">
        <v>-0.109373635990589</v>
      </c>
      <c r="E154">
        <v>0.18833742305387799</v>
      </c>
      <c r="F154">
        <v>1</v>
      </c>
      <c r="G154" t="s">
        <v>11</v>
      </c>
      <c r="H154">
        <v>0</v>
      </c>
      <c r="I154">
        <v>114649.728763099</v>
      </c>
      <c r="J154">
        <v>0.81166257694612098</v>
      </c>
      <c r="K154" t="str">
        <f t="shared" si="16"/>
        <v>OK</v>
      </c>
      <c r="L154" t="str">
        <f t="shared" si="17"/>
        <v>OK</v>
      </c>
      <c r="M154" t="str">
        <f>IF(OR(B154&lt;$AE$20,B154&gt;$AF$20),"Outlier","OK")</f>
        <v>OK</v>
      </c>
      <c r="N154" t="str">
        <f>IF(OR(J154&lt;$AE$21,J154&gt;$AF$21),"Outlier","OK")</f>
        <v>OK</v>
      </c>
      <c r="O154" t="str">
        <f>IF(OR(C154&lt;0,C154&gt;1),"Outlier","OK")</f>
        <v>OK</v>
      </c>
      <c r="P154" t="str">
        <f>IF(OR(D154&lt;0,D154&gt;1),"Outlier","OK")</f>
        <v>Outlier</v>
      </c>
      <c r="Q154" t="str">
        <f t="shared" si="18"/>
        <v>80-100%</v>
      </c>
      <c r="R154" t="str">
        <f>IF(B154="","Missing","OK")</f>
        <v>OK</v>
      </c>
      <c r="S154" t="str">
        <f>IF(E154="","Missing","OK")</f>
        <v>OK</v>
      </c>
      <c r="T154" t="str">
        <f t="shared" si="19"/>
        <v>OK</v>
      </c>
      <c r="U154">
        <f>COUNTIF($A:$A,A154)</f>
        <v>1</v>
      </c>
      <c r="V154" t="str">
        <f t="shared" si="20"/>
        <v>OK</v>
      </c>
      <c r="W154" t="str">
        <f>IF(I154&gt;B154,"ERROR","OK")</f>
        <v>OK</v>
      </c>
      <c r="X154">
        <f>(B154-I154)/B154</f>
        <v>0.81166257694612121</v>
      </c>
      <c r="Y154" s="2">
        <f t="shared" si="21"/>
        <v>2.2204460492503131E-16</v>
      </c>
      <c r="Z154" s="2" t="str">
        <f t="shared" si="22"/>
        <v>OK</v>
      </c>
      <c r="AA154" t="str">
        <f t="shared" si="23"/>
        <v>Unique</v>
      </c>
    </row>
    <row r="155" spans="1:27" x14ac:dyDescent="0.3">
      <c r="A155">
        <v>154</v>
      </c>
      <c r="B155">
        <v>647616.018992636</v>
      </c>
      <c r="C155">
        <v>0.10084925526857599</v>
      </c>
      <c r="D155">
        <v>0.170815733350826</v>
      </c>
      <c r="E155">
        <v>0.152167354700074</v>
      </c>
      <c r="F155">
        <v>1</v>
      </c>
      <c r="G155" t="s">
        <v>13</v>
      </c>
      <c r="H155">
        <v>0</v>
      </c>
      <c r="I155">
        <v>98546.016471502793</v>
      </c>
      <c r="J155">
        <v>0.84783264529992497</v>
      </c>
      <c r="K155" t="str">
        <f t="shared" si="16"/>
        <v>OK</v>
      </c>
      <c r="L155" t="str">
        <f t="shared" si="17"/>
        <v>OK</v>
      </c>
      <c r="M155" t="str">
        <f>IF(OR(B155&lt;$AE$20,B155&gt;$AF$20),"Outlier","OK")</f>
        <v>OK</v>
      </c>
      <c r="N155" t="str">
        <f>IF(OR(J155&lt;$AE$21,J155&gt;$AF$21),"Outlier","OK")</f>
        <v>OK</v>
      </c>
      <c r="O155" t="str">
        <f>IF(OR(C155&lt;0,C155&gt;1),"Outlier","OK")</f>
        <v>OK</v>
      </c>
      <c r="P155" t="str">
        <f>IF(OR(D155&lt;0,D155&gt;1),"Outlier","OK")</f>
        <v>OK</v>
      </c>
      <c r="Q155" t="str">
        <f t="shared" si="18"/>
        <v>80-100%</v>
      </c>
      <c r="R155" t="str">
        <f>IF(B155="","Missing","OK")</f>
        <v>OK</v>
      </c>
      <c r="S155" t="str">
        <f>IF(E155="","Missing","OK")</f>
        <v>OK</v>
      </c>
      <c r="T155" t="str">
        <f t="shared" si="19"/>
        <v>OK</v>
      </c>
      <c r="U155">
        <f>COUNTIF($A:$A,A155)</f>
        <v>1</v>
      </c>
      <c r="V155" t="str">
        <f t="shared" si="20"/>
        <v>OK</v>
      </c>
      <c r="W155" t="str">
        <f>IF(I155&gt;B155,"ERROR","OK")</f>
        <v>OK</v>
      </c>
      <c r="X155">
        <f>(B155-I155)/B155</f>
        <v>0.84783264529992519</v>
      </c>
      <c r="Y155" s="2">
        <f t="shared" si="21"/>
        <v>2.2204460492503131E-16</v>
      </c>
      <c r="Z155" s="2" t="str">
        <f t="shared" si="22"/>
        <v>OK</v>
      </c>
      <c r="AA155" t="str">
        <f t="shared" si="23"/>
        <v>Unique</v>
      </c>
    </row>
    <row r="156" spans="1:27" x14ac:dyDescent="0.3">
      <c r="A156">
        <v>155</v>
      </c>
      <c r="B156">
        <v>1347259.85743188</v>
      </c>
      <c r="C156">
        <v>0.88789122747795102</v>
      </c>
      <c r="D156">
        <v>9.0683142359056404E-2</v>
      </c>
      <c r="E156">
        <v>0.272201932951252</v>
      </c>
      <c r="F156">
        <v>1</v>
      </c>
      <c r="G156" t="s">
        <v>10</v>
      </c>
      <c r="H156">
        <v>0</v>
      </c>
      <c r="I156">
        <v>366726.73738058697</v>
      </c>
      <c r="J156">
        <v>0.72779806704874705</v>
      </c>
      <c r="K156" t="str">
        <f t="shared" si="16"/>
        <v>OK</v>
      </c>
      <c r="L156" t="str">
        <f t="shared" si="17"/>
        <v>OK</v>
      </c>
      <c r="M156" t="str">
        <f>IF(OR(B156&lt;$AE$20,B156&gt;$AF$20),"Outlier","OK")</f>
        <v>OK</v>
      </c>
      <c r="N156" t="str">
        <f>IF(OR(J156&lt;$AE$21,J156&gt;$AF$21),"Outlier","OK")</f>
        <v>OK</v>
      </c>
      <c r="O156" t="str">
        <f>IF(OR(C156&lt;0,C156&gt;1),"Outlier","OK")</f>
        <v>OK</v>
      </c>
      <c r="P156" t="str">
        <f>IF(OR(D156&lt;0,D156&gt;1),"Outlier","OK")</f>
        <v>OK</v>
      </c>
      <c r="Q156" t="str">
        <f t="shared" si="18"/>
        <v>60-80%</v>
      </c>
      <c r="R156" t="str">
        <f>IF(B156="","Missing","OK")</f>
        <v>OK</v>
      </c>
      <c r="S156" t="str">
        <f>IF(E156="","Missing","OK")</f>
        <v>OK</v>
      </c>
      <c r="T156" t="str">
        <f t="shared" si="19"/>
        <v>OK</v>
      </c>
      <c r="U156">
        <f>COUNTIF($A:$A,A156)</f>
        <v>1</v>
      </c>
      <c r="V156" t="str">
        <f t="shared" si="20"/>
        <v>OK</v>
      </c>
      <c r="W156" t="str">
        <f>IF(I156&gt;B156,"ERROR","OK")</f>
        <v>OK</v>
      </c>
      <c r="X156">
        <f>(B156-I156)/B156</f>
        <v>0.72779806704874717</v>
      </c>
      <c r="Y156" s="2">
        <f t="shared" si="21"/>
        <v>1.1102230246251565E-16</v>
      </c>
      <c r="Z156" s="2" t="str">
        <f t="shared" si="22"/>
        <v>OK</v>
      </c>
      <c r="AA156" t="str">
        <f t="shared" si="23"/>
        <v>Unique</v>
      </c>
    </row>
    <row r="157" spans="1:27" x14ac:dyDescent="0.3">
      <c r="A157">
        <v>156</v>
      </c>
      <c r="B157">
        <v>267214.734635045</v>
      </c>
      <c r="C157">
        <v>0.23023771701298801</v>
      </c>
      <c r="D157">
        <v>-5.9715850789862399E-2</v>
      </c>
      <c r="E157">
        <v>7.4344665029809104E-2</v>
      </c>
      <c r="F157">
        <v>1</v>
      </c>
      <c r="G157" t="s">
        <v>12</v>
      </c>
      <c r="H157">
        <v>0</v>
      </c>
      <c r="I157">
        <v>19865.989937471801</v>
      </c>
      <c r="J157">
        <v>0.92565533497019004</v>
      </c>
      <c r="K157" t="str">
        <f t="shared" si="16"/>
        <v>OK</v>
      </c>
      <c r="L157" t="str">
        <f t="shared" si="17"/>
        <v>OK</v>
      </c>
      <c r="M157" t="str">
        <f>IF(OR(B157&lt;$AE$20,B157&gt;$AF$20),"Outlier","OK")</f>
        <v>OK</v>
      </c>
      <c r="N157" t="str">
        <f>IF(OR(J157&lt;$AE$21,J157&gt;$AF$21),"Outlier","OK")</f>
        <v>OK</v>
      </c>
      <c r="O157" t="str">
        <f>IF(OR(C157&lt;0,C157&gt;1),"Outlier","OK")</f>
        <v>OK</v>
      </c>
      <c r="P157" t="str">
        <f>IF(OR(D157&lt;0,D157&gt;1),"Outlier","OK")</f>
        <v>Outlier</v>
      </c>
      <c r="Q157" t="str">
        <f t="shared" si="18"/>
        <v>80-100%</v>
      </c>
      <c r="R157" t="str">
        <f>IF(B157="","Missing","OK")</f>
        <v>OK</v>
      </c>
      <c r="S157" t="str">
        <f>IF(E157="","Missing","OK")</f>
        <v>OK</v>
      </c>
      <c r="T157" t="str">
        <f t="shared" si="19"/>
        <v>OK</v>
      </c>
      <c r="U157">
        <f>COUNTIF($A:$A,A157)</f>
        <v>1</v>
      </c>
      <c r="V157" t="str">
        <f t="shared" si="20"/>
        <v>OK</v>
      </c>
      <c r="W157" t="str">
        <f>IF(I157&gt;B157,"ERROR","OK")</f>
        <v>OK</v>
      </c>
      <c r="X157">
        <f>(B157-I157)/B157</f>
        <v>0.9256553349701907</v>
      </c>
      <c r="Y157" s="2">
        <f t="shared" si="21"/>
        <v>6.6613381477509392E-16</v>
      </c>
      <c r="Z157" s="2" t="str">
        <f t="shared" si="22"/>
        <v>OK</v>
      </c>
      <c r="AA157" t="str">
        <f t="shared" si="23"/>
        <v>Unique</v>
      </c>
    </row>
    <row r="158" spans="1:27" x14ac:dyDescent="0.3">
      <c r="A158">
        <v>157</v>
      </c>
      <c r="B158">
        <v>1346501.27516642</v>
      </c>
      <c r="C158">
        <v>0.17692748223261201</v>
      </c>
      <c r="D158">
        <v>0.118061582197583</v>
      </c>
      <c r="E158">
        <v>0.35933346642374703</v>
      </c>
      <c r="F158">
        <v>1</v>
      </c>
      <c r="G158" t="s">
        <v>12</v>
      </c>
      <c r="H158">
        <v>1</v>
      </c>
      <c r="I158">
        <v>483842.97074954701</v>
      </c>
      <c r="J158">
        <v>0.64066653357625203</v>
      </c>
      <c r="K158" t="str">
        <f t="shared" si="16"/>
        <v>OK</v>
      </c>
      <c r="L158" t="str">
        <f t="shared" si="17"/>
        <v>OK</v>
      </c>
      <c r="M158" t="str">
        <f>IF(OR(B158&lt;$AE$20,B158&gt;$AF$20),"Outlier","OK")</f>
        <v>OK</v>
      </c>
      <c r="N158" t="str">
        <f>IF(OR(J158&lt;$AE$21,J158&gt;$AF$21),"Outlier","OK")</f>
        <v>OK</v>
      </c>
      <c r="O158" t="str">
        <f>IF(OR(C158&lt;0,C158&gt;1),"Outlier","OK")</f>
        <v>OK</v>
      </c>
      <c r="P158" t="str">
        <f>IF(OR(D158&lt;0,D158&gt;1),"Outlier","OK")</f>
        <v>OK</v>
      </c>
      <c r="Q158" t="str">
        <f t="shared" si="18"/>
        <v>60-80%</v>
      </c>
      <c r="R158" t="str">
        <f>IF(B158="","Missing","OK")</f>
        <v>OK</v>
      </c>
      <c r="S158" t="str">
        <f>IF(E158="","Missing","OK")</f>
        <v>OK</v>
      </c>
      <c r="T158" t="str">
        <f t="shared" si="19"/>
        <v>OK</v>
      </c>
      <c r="U158">
        <f>COUNTIF($A:$A,A158)</f>
        <v>1</v>
      </c>
      <c r="V158" t="str">
        <f t="shared" si="20"/>
        <v>OK</v>
      </c>
      <c r="W158" t="str">
        <f>IF(I158&gt;B158,"ERROR","OK")</f>
        <v>OK</v>
      </c>
      <c r="X158">
        <f>(B158-I158)/B158</f>
        <v>0.6406665335762517</v>
      </c>
      <c r="Y158" s="2">
        <f t="shared" si="21"/>
        <v>3.3306690738754696E-16</v>
      </c>
      <c r="Z158" s="2" t="str">
        <f t="shared" si="22"/>
        <v>OK</v>
      </c>
      <c r="AA158" t="str">
        <f t="shared" si="23"/>
        <v>Unique</v>
      </c>
    </row>
    <row r="159" spans="1:27" x14ac:dyDescent="0.3">
      <c r="A159">
        <v>158</v>
      </c>
      <c r="B159">
        <v>1781320.74571863</v>
      </c>
      <c r="C159">
        <v>0.71950923294013103</v>
      </c>
      <c r="D159">
        <v>0.15089631745565599</v>
      </c>
      <c r="E159">
        <v>0.26498272044996801</v>
      </c>
      <c r="F159">
        <v>1</v>
      </c>
      <c r="G159" t="s">
        <v>13</v>
      </c>
      <c r="H159">
        <v>0</v>
      </c>
      <c r="I159">
        <v>472019.21719449002</v>
      </c>
      <c r="J159">
        <v>0.73501727955003104</v>
      </c>
      <c r="K159" t="str">
        <f t="shared" si="16"/>
        <v>OK</v>
      </c>
      <c r="L159" t="str">
        <f t="shared" si="17"/>
        <v>OK</v>
      </c>
      <c r="M159" t="str">
        <f>IF(OR(B159&lt;$AE$20,B159&gt;$AF$20),"Outlier","OK")</f>
        <v>OK</v>
      </c>
      <c r="N159" t="str">
        <f>IF(OR(J159&lt;$AE$21,J159&gt;$AF$21),"Outlier","OK")</f>
        <v>OK</v>
      </c>
      <c r="O159" t="str">
        <f>IF(OR(C159&lt;0,C159&gt;1),"Outlier","OK")</f>
        <v>OK</v>
      </c>
      <c r="P159" t="str">
        <f>IF(OR(D159&lt;0,D159&gt;1),"Outlier","OK")</f>
        <v>OK</v>
      </c>
      <c r="Q159" t="str">
        <f t="shared" si="18"/>
        <v>60-80%</v>
      </c>
      <c r="R159" t="str">
        <f>IF(B159="","Missing","OK")</f>
        <v>OK</v>
      </c>
      <c r="S159" t="str">
        <f>IF(E159="","Missing","OK")</f>
        <v>OK</v>
      </c>
      <c r="T159" t="str">
        <f t="shared" si="19"/>
        <v>OK</v>
      </c>
      <c r="U159">
        <f>COUNTIF($A:$A,A159)</f>
        <v>1</v>
      </c>
      <c r="V159" t="str">
        <f t="shared" si="20"/>
        <v>OK</v>
      </c>
      <c r="W159" t="str">
        <f>IF(I159&gt;B159,"ERROR","OK")</f>
        <v>OK</v>
      </c>
      <c r="X159">
        <f>(B159-I159)/B159</f>
        <v>0.73501727955003093</v>
      </c>
      <c r="Y159" s="2">
        <f t="shared" si="21"/>
        <v>1.1102230246251565E-16</v>
      </c>
      <c r="Z159" s="2" t="str">
        <f t="shared" si="22"/>
        <v>OK</v>
      </c>
      <c r="AA159" t="str">
        <f t="shared" si="23"/>
        <v>Unique</v>
      </c>
    </row>
    <row r="160" spans="1:27" x14ac:dyDescent="0.3">
      <c r="A160">
        <v>159</v>
      </c>
      <c r="B160">
        <v>1407806.97305904</v>
      </c>
      <c r="C160">
        <v>0.12923414906452299</v>
      </c>
      <c r="D160">
        <v>7.7410658547291705E-2</v>
      </c>
      <c r="E160">
        <v>0.31848501934257201</v>
      </c>
      <c r="F160">
        <v>1</v>
      </c>
      <c r="G160" t="s">
        <v>11</v>
      </c>
      <c r="H160">
        <v>1</v>
      </c>
      <c r="I160">
        <v>448365.43104531697</v>
      </c>
      <c r="J160">
        <v>0.68151498065742699</v>
      </c>
      <c r="K160" t="str">
        <f t="shared" si="16"/>
        <v>OK</v>
      </c>
      <c r="L160" t="str">
        <f t="shared" si="17"/>
        <v>OK</v>
      </c>
      <c r="M160" t="str">
        <f>IF(OR(B160&lt;$AE$20,B160&gt;$AF$20),"Outlier","OK")</f>
        <v>OK</v>
      </c>
      <c r="N160" t="str">
        <f>IF(OR(J160&lt;$AE$21,J160&gt;$AF$21),"Outlier","OK")</f>
        <v>OK</v>
      </c>
      <c r="O160" t="str">
        <f>IF(OR(C160&lt;0,C160&gt;1),"Outlier","OK")</f>
        <v>OK</v>
      </c>
      <c r="P160" t="str">
        <f>IF(OR(D160&lt;0,D160&gt;1),"Outlier","OK")</f>
        <v>OK</v>
      </c>
      <c r="Q160" t="str">
        <f t="shared" si="18"/>
        <v>60-80%</v>
      </c>
      <c r="R160" t="str">
        <f>IF(B160="","Missing","OK")</f>
        <v>OK</v>
      </c>
      <c r="S160" t="str">
        <f>IF(E160="","Missing","OK")</f>
        <v>OK</v>
      </c>
      <c r="T160" t="str">
        <f t="shared" si="19"/>
        <v>OK</v>
      </c>
      <c r="U160">
        <f>COUNTIF($A:$A,A160)</f>
        <v>1</v>
      </c>
      <c r="V160" t="str">
        <f t="shared" si="20"/>
        <v>OK</v>
      </c>
      <c r="W160" t="str">
        <f>IF(I160&gt;B160,"ERROR","OK")</f>
        <v>OK</v>
      </c>
      <c r="X160">
        <f>(B160-I160)/B160</f>
        <v>0.68151498065742733</v>
      </c>
      <c r="Y160" s="2">
        <f t="shared" si="21"/>
        <v>3.3306690738754696E-16</v>
      </c>
      <c r="Z160" s="2" t="str">
        <f t="shared" si="22"/>
        <v>OK</v>
      </c>
      <c r="AA160" t="str">
        <f t="shared" si="23"/>
        <v>Unique</v>
      </c>
    </row>
    <row r="161" spans="1:27" x14ac:dyDescent="0.3">
      <c r="A161">
        <v>160</v>
      </c>
      <c r="B161">
        <v>908639.35949754703</v>
      </c>
      <c r="C161">
        <v>0.16486460241259099</v>
      </c>
      <c r="D161">
        <v>-0.15516968489292499</v>
      </c>
      <c r="E161">
        <v>0.177797078993435</v>
      </c>
      <c r="F161">
        <v>1</v>
      </c>
      <c r="G161" t="s">
        <v>11</v>
      </c>
      <c r="H161">
        <v>0</v>
      </c>
      <c r="I161">
        <v>161553.42397712899</v>
      </c>
      <c r="J161">
        <v>0.822202921006564</v>
      </c>
      <c r="K161" t="str">
        <f t="shared" si="16"/>
        <v>OK</v>
      </c>
      <c r="L161" t="str">
        <f t="shared" si="17"/>
        <v>OK</v>
      </c>
      <c r="M161" t="str">
        <f>IF(OR(B161&lt;$AE$20,B161&gt;$AF$20),"Outlier","OK")</f>
        <v>OK</v>
      </c>
      <c r="N161" t="str">
        <f>IF(OR(J161&lt;$AE$21,J161&gt;$AF$21),"Outlier","OK")</f>
        <v>OK</v>
      </c>
      <c r="O161" t="str">
        <f>IF(OR(C161&lt;0,C161&gt;1),"Outlier","OK")</f>
        <v>OK</v>
      </c>
      <c r="P161" t="str">
        <f>IF(OR(D161&lt;0,D161&gt;1),"Outlier","OK")</f>
        <v>Outlier</v>
      </c>
      <c r="Q161" t="str">
        <f t="shared" si="18"/>
        <v>80-100%</v>
      </c>
      <c r="R161" t="str">
        <f>IF(B161="","Missing","OK")</f>
        <v>OK</v>
      </c>
      <c r="S161" t="str">
        <f>IF(E161="","Missing","OK")</f>
        <v>OK</v>
      </c>
      <c r="T161" t="str">
        <f t="shared" si="19"/>
        <v>OK</v>
      </c>
      <c r="U161">
        <f>COUNTIF($A:$A,A161)</f>
        <v>1</v>
      </c>
      <c r="V161" t="str">
        <f t="shared" si="20"/>
        <v>OK</v>
      </c>
      <c r="W161" t="str">
        <f>IF(I161&gt;B161,"ERROR","OK")</f>
        <v>OK</v>
      </c>
      <c r="X161">
        <f>(B161-I161)/B161</f>
        <v>0.82220292100656556</v>
      </c>
      <c r="Y161" s="2">
        <f t="shared" si="21"/>
        <v>1.5543122344752192E-15</v>
      </c>
      <c r="Z161" s="2" t="str">
        <f t="shared" si="22"/>
        <v>OK</v>
      </c>
      <c r="AA161" t="str">
        <f t="shared" si="23"/>
        <v>Unique</v>
      </c>
    </row>
    <row r="162" spans="1:27" x14ac:dyDescent="0.3">
      <c r="A162">
        <v>161</v>
      </c>
      <c r="B162">
        <v>904518.04953558801</v>
      </c>
      <c r="C162">
        <v>0.85646452744054702</v>
      </c>
      <c r="D162">
        <v>-1.34934954546292E-2</v>
      </c>
      <c r="E162">
        <v>0.49579736006403702</v>
      </c>
      <c r="F162">
        <v>1</v>
      </c>
      <c r="G162" t="s">
        <v>12</v>
      </c>
      <c r="H162">
        <v>1</v>
      </c>
      <c r="I162">
        <v>448457.66109001602</v>
      </c>
      <c r="J162">
        <v>0.50420263993596204</v>
      </c>
      <c r="K162" t="str">
        <f t="shared" si="16"/>
        <v>OK</v>
      </c>
      <c r="L162" t="str">
        <f t="shared" si="17"/>
        <v>OK</v>
      </c>
      <c r="M162" t="str">
        <f>IF(OR(B162&lt;$AE$20,B162&gt;$AF$20),"Outlier","OK")</f>
        <v>OK</v>
      </c>
      <c r="N162" t="str">
        <f>IF(OR(J162&lt;$AE$21,J162&gt;$AF$21),"Outlier","OK")</f>
        <v>OK</v>
      </c>
      <c r="O162" t="str">
        <f>IF(OR(C162&lt;0,C162&gt;1),"Outlier","OK")</f>
        <v>OK</v>
      </c>
      <c r="P162" t="str">
        <f>IF(OR(D162&lt;0,D162&gt;1),"Outlier","OK")</f>
        <v>Outlier</v>
      </c>
      <c r="Q162" t="str">
        <f t="shared" si="18"/>
        <v>40-60%</v>
      </c>
      <c r="R162" t="str">
        <f>IF(B162="","Missing","OK")</f>
        <v>OK</v>
      </c>
      <c r="S162" t="str">
        <f>IF(E162="","Missing","OK")</f>
        <v>OK</v>
      </c>
      <c r="T162" t="str">
        <f t="shared" si="19"/>
        <v>OK</v>
      </c>
      <c r="U162">
        <f>COUNTIF($A:$A,A162)</f>
        <v>1</v>
      </c>
      <c r="V162" t="str">
        <f t="shared" si="20"/>
        <v>OK</v>
      </c>
      <c r="W162" t="str">
        <f>IF(I162&gt;B162,"ERROR","OK")</f>
        <v>OK</v>
      </c>
      <c r="X162">
        <f>(B162-I162)/B162</f>
        <v>0.50420263993596337</v>
      </c>
      <c r="Y162" s="2">
        <f t="shared" si="21"/>
        <v>1.3322676295501878E-15</v>
      </c>
      <c r="Z162" s="2" t="str">
        <f t="shared" si="22"/>
        <v>OK</v>
      </c>
      <c r="AA162" t="str">
        <f t="shared" si="23"/>
        <v>Unique</v>
      </c>
    </row>
    <row r="163" spans="1:27" x14ac:dyDescent="0.3">
      <c r="A163">
        <v>162</v>
      </c>
      <c r="B163">
        <v>1541937.3857166399</v>
      </c>
      <c r="C163">
        <v>0.66650859453067302</v>
      </c>
      <c r="D163">
        <v>3.13242810111393E-2</v>
      </c>
      <c r="E163">
        <v>0.29064823267421602</v>
      </c>
      <c r="F163">
        <v>1</v>
      </c>
      <c r="G163" t="s">
        <v>13</v>
      </c>
      <c r="H163">
        <v>0</v>
      </c>
      <c r="I163">
        <v>448161.37605284603</v>
      </c>
      <c r="J163">
        <v>0.70935176732578298</v>
      </c>
      <c r="K163" t="str">
        <f t="shared" si="16"/>
        <v>OK</v>
      </c>
      <c r="L163" t="str">
        <f t="shared" si="17"/>
        <v>OK</v>
      </c>
      <c r="M163" t="str">
        <f>IF(OR(B163&lt;$AE$20,B163&gt;$AF$20),"Outlier","OK")</f>
        <v>OK</v>
      </c>
      <c r="N163" t="str">
        <f>IF(OR(J163&lt;$AE$21,J163&gt;$AF$21),"Outlier","OK")</f>
        <v>OK</v>
      </c>
      <c r="O163" t="str">
        <f>IF(OR(C163&lt;0,C163&gt;1),"Outlier","OK")</f>
        <v>OK</v>
      </c>
      <c r="P163" t="str">
        <f>IF(OR(D163&lt;0,D163&gt;1),"Outlier","OK")</f>
        <v>OK</v>
      </c>
      <c r="Q163" t="str">
        <f t="shared" si="18"/>
        <v>60-80%</v>
      </c>
      <c r="R163" t="str">
        <f>IF(B163="","Missing","OK")</f>
        <v>OK</v>
      </c>
      <c r="S163" t="str">
        <f>IF(E163="","Missing","OK")</f>
        <v>OK</v>
      </c>
      <c r="T163" t="str">
        <f t="shared" si="19"/>
        <v>OK</v>
      </c>
      <c r="U163">
        <f>COUNTIF($A:$A,A163)</f>
        <v>1</v>
      </c>
      <c r="V163" t="str">
        <f t="shared" si="20"/>
        <v>OK</v>
      </c>
      <c r="W163" t="str">
        <f>IF(I163&gt;B163,"ERROR","OK")</f>
        <v>OK</v>
      </c>
      <c r="X163">
        <f>(B163-I163)/B163</f>
        <v>0.70935176732578165</v>
      </c>
      <c r="Y163" s="2">
        <f t="shared" si="21"/>
        <v>1.3322676295501878E-15</v>
      </c>
      <c r="Z163" s="2" t="str">
        <f t="shared" si="22"/>
        <v>OK</v>
      </c>
      <c r="AA163" t="str">
        <f t="shared" si="23"/>
        <v>Unique</v>
      </c>
    </row>
    <row r="164" spans="1:27" x14ac:dyDescent="0.3">
      <c r="A164">
        <v>163</v>
      </c>
      <c r="B164">
        <v>1153001.90239047</v>
      </c>
      <c r="C164">
        <v>0.690682093011458</v>
      </c>
      <c r="D164">
        <v>-2.98379797873105E-3</v>
      </c>
      <c r="E164">
        <v>0.44893691212985898</v>
      </c>
      <c r="F164">
        <v>1</v>
      </c>
      <c r="G164" t="s">
        <v>11</v>
      </c>
      <c r="H164">
        <v>0</v>
      </c>
      <c r="I164">
        <v>517625.11373903201</v>
      </c>
      <c r="J164">
        <v>0.55106308787014002</v>
      </c>
      <c r="K164" t="str">
        <f t="shared" si="16"/>
        <v>OK</v>
      </c>
      <c r="L164" t="str">
        <f t="shared" si="17"/>
        <v>OK</v>
      </c>
      <c r="M164" t="str">
        <f>IF(OR(B164&lt;$AE$20,B164&gt;$AF$20),"Outlier","OK")</f>
        <v>OK</v>
      </c>
      <c r="N164" t="str">
        <f>IF(OR(J164&lt;$AE$21,J164&gt;$AF$21),"Outlier","OK")</f>
        <v>OK</v>
      </c>
      <c r="O164" t="str">
        <f>IF(OR(C164&lt;0,C164&gt;1),"Outlier","OK")</f>
        <v>OK</v>
      </c>
      <c r="P164" t="str">
        <f>IF(OR(D164&lt;0,D164&gt;1),"Outlier","OK")</f>
        <v>Outlier</v>
      </c>
      <c r="Q164" t="str">
        <f t="shared" si="18"/>
        <v>40-60%</v>
      </c>
      <c r="R164" t="str">
        <f>IF(B164="","Missing","OK")</f>
        <v>OK</v>
      </c>
      <c r="S164" t="str">
        <f>IF(E164="","Missing","OK")</f>
        <v>OK</v>
      </c>
      <c r="T164" t="str">
        <f t="shared" si="19"/>
        <v>OK</v>
      </c>
      <c r="U164">
        <f>COUNTIF($A:$A,A164)</f>
        <v>1</v>
      </c>
      <c r="V164" t="str">
        <f t="shared" si="20"/>
        <v>OK</v>
      </c>
      <c r="W164" t="str">
        <f>IF(I164&gt;B164,"ERROR","OK")</f>
        <v>OK</v>
      </c>
      <c r="X164">
        <f>(B164-I164)/B164</f>
        <v>0.5510630878701398</v>
      </c>
      <c r="Y164" s="2">
        <f t="shared" si="21"/>
        <v>2.2204460492503131E-16</v>
      </c>
      <c r="Z164" s="2" t="str">
        <f t="shared" si="22"/>
        <v>OK</v>
      </c>
      <c r="AA164" t="str">
        <f t="shared" si="23"/>
        <v>Unique</v>
      </c>
    </row>
    <row r="165" spans="1:27" x14ac:dyDescent="0.3">
      <c r="A165">
        <v>164</v>
      </c>
      <c r="B165">
        <v>215563.11822404401</v>
      </c>
      <c r="C165">
        <v>0.89075979383005499</v>
      </c>
      <c r="D165">
        <v>-1.42036719346646E-2</v>
      </c>
      <c r="E165">
        <v>0.303650716856321</v>
      </c>
      <c r="F165">
        <v>1</v>
      </c>
      <c r="G165" t="s">
        <v>10</v>
      </c>
      <c r="H165">
        <v>1</v>
      </c>
      <c r="I165">
        <v>65455.895376515102</v>
      </c>
      <c r="J165">
        <v>0.69634928314367806</v>
      </c>
      <c r="K165" t="str">
        <f t="shared" si="16"/>
        <v>OK</v>
      </c>
      <c r="L165" t="str">
        <f t="shared" si="17"/>
        <v>OK</v>
      </c>
      <c r="M165" t="str">
        <f>IF(OR(B165&lt;$AE$20,B165&gt;$AF$20),"Outlier","OK")</f>
        <v>OK</v>
      </c>
      <c r="N165" t="str">
        <f>IF(OR(J165&lt;$AE$21,J165&gt;$AF$21),"Outlier","OK")</f>
        <v>OK</v>
      </c>
      <c r="O165" t="str">
        <f>IF(OR(C165&lt;0,C165&gt;1),"Outlier","OK")</f>
        <v>OK</v>
      </c>
      <c r="P165" t="str">
        <f>IF(OR(D165&lt;0,D165&gt;1),"Outlier","OK")</f>
        <v>Outlier</v>
      </c>
      <c r="Q165" t="str">
        <f t="shared" si="18"/>
        <v>60-80%</v>
      </c>
      <c r="R165" t="str">
        <f>IF(B165="","Missing","OK")</f>
        <v>OK</v>
      </c>
      <c r="S165" t="str">
        <f>IF(E165="","Missing","OK")</f>
        <v>OK</v>
      </c>
      <c r="T165" t="str">
        <f t="shared" si="19"/>
        <v>OK</v>
      </c>
      <c r="U165">
        <f>COUNTIF($A:$A,A165)</f>
        <v>1</v>
      </c>
      <c r="V165" t="str">
        <f t="shared" si="20"/>
        <v>OK</v>
      </c>
      <c r="W165" t="str">
        <f>IF(I165&gt;B165,"ERROR","OK")</f>
        <v>OK</v>
      </c>
      <c r="X165">
        <f>(B165-I165)/B165</f>
        <v>0.69634928314367772</v>
      </c>
      <c r="Y165" s="2">
        <f t="shared" si="21"/>
        <v>3.3306690738754696E-16</v>
      </c>
      <c r="Z165" s="2" t="str">
        <f t="shared" si="22"/>
        <v>OK</v>
      </c>
      <c r="AA165" t="str">
        <f t="shared" si="23"/>
        <v>Unique</v>
      </c>
    </row>
    <row r="166" spans="1:27" x14ac:dyDescent="0.3">
      <c r="A166">
        <v>165</v>
      </c>
      <c r="B166">
        <v>1186208.6213297299</v>
      </c>
      <c r="C166">
        <v>0.139184225219354</v>
      </c>
      <c r="D166">
        <v>2.9834778711082199E-2</v>
      </c>
      <c r="E166">
        <v>0.38062927642146899</v>
      </c>
      <c r="F166">
        <v>1</v>
      </c>
      <c r="G166" t="s">
        <v>13</v>
      </c>
      <c r="H166">
        <v>0</v>
      </c>
      <c r="I166">
        <v>451505.72922164598</v>
      </c>
      <c r="J166">
        <v>0.61937072357853096</v>
      </c>
      <c r="K166" t="str">
        <f t="shared" si="16"/>
        <v>OK</v>
      </c>
      <c r="L166" t="str">
        <f t="shared" si="17"/>
        <v>OK</v>
      </c>
      <c r="M166" t="str">
        <f>IF(OR(B166&lt;$AE$20,B166&gt;$AF$20),"Outlier","OK")</f>
        <v>OK</v>
      </c>
      <c r="N166" t="str">
        <f>IF(OR(J166&lt;$AE$21,J166&gt;$AF$21),"Outlier","OK")</f>
        <v>OK</v>
      </c>
      <c r="O166" t="str">
        <f>IF(OR(C166&lt;0,C166&gt;1),"Outlier","OK")</f>
        <v>OK</v>
      </c>
      <c r="P166" t="str">
        <f>IF(OR(D166&lt;0,D166&gt;1),"Outlier","OK")</f>
        <v>OK</v>
      </c>
      <c r="Q166" t="str">
        <f t="shared" si="18"/>
        <v>60-80%</v>
      </c>
      <c r="R166" t="str">
        <f>IF(B166="","Missing","OK")</f>
        <v>OK</v>
      </c>
      <c r="S166" t="str">
        <f>IF(E166="","Missing","OK")</f>
        <v>OK</v>
      </c>
      <c r="T166" t="str">
        <f t="shared" si="19"/>
        <v>OK</v>
      </c>
      <c r="U166">
        <f>COUNTIF($A:$A,A166)</f>
        <v>1</v>
      </c>
      <c r="V166" t="str">
        <f t="shared" si="20"/>
        <v>OK</v>
      </c>
      <c r="W166" t="str">
        <f>IF(I166&gt;B166,"ERROR","OK")</f>
        <v>OK</v>
      </c>
      <c r="X166">
        <f>(B166-I166)/B166</f>
        <v>0.61937072357852885</v>
      </c>
      <c r="Y166" s="2">
        <f t="shared" si="21"/>
        <v>2.1094237467877974E-15</v>
      </c>
      <c r="Z166" s="2" t="str">
        <f t="shared" si="22"/>
        <v>OK</v>
      </c>
      <c r="AA166" t="str">
        <f t="shared" si="23"/>
        <v>Unique</v>
      </c>
    </row>
    <row r="167" spans="1:27" x14ac:dyDescent="0.3">
      <c r="A167">
        <v>166</v>
      </c>
      <c r="B167">
        <v>1638945.2206421399</v>
      </c>
      <c r="C167">
        <v>0.17328137830003501</v>
      </c>
      <c r="D167">
        <v>-0.16760882801117799</v>
      </c>
      <c r="E167">
        <v>0.24785294496747401</v>
      </c>
      <c r="F167">
        <v>1</v>
      </c>
      <c r="G167" t="s">
        <v>10</v>
      </c>
      <c r="H167">
        <v>0</v>
      </c>
      <c r="I167">
        <v>406217.39957652398</v>
      </c>
      <c r="J167">
        <v>0.75214705503252499</v>
      </c>
      <c r="K167" t="str">
        <f t="shared" si="16"/>
        <v>OK</v>
      </c>
      <c r="L167" t="str">
        <f t="shared" si="17"/>
        <v>OK</v>
      </c>
      <c r="M167" t="str">
        <f>IF(OR(B167&lt;$AE$20,B167&gt;$AF$20),"Outlier","OK")</f>
        <v>OK</v>
      </c>
      <c r="N167" t="str">
        <f>IF(OR(J167&lt;$AE$21,J167&gt;$AF$21),"Outlier","OK")</f>
        <v>OK</v>
      </c>
      <c r="O167" t="str">
        <f>IF(OR(C167&lt;0,C167&gt;1),"Outlier","OK")</f>
        <v>OK</v>
      </c>
      <c r="P167" t="str">
        <f>IF(OR(D167&lt;0,D167&gt;1),"Outlier","OK")</f>
        <v>Outlier</v>
      </c>
      <c r="Q167" t="str">
        <f t="shared" si="18"/>
        <v>60-80%</v>
      </c>
      <c r="R167" t="str">
        <f>IF(B167="","Missing","OK")</f>
        <v>OK</v>
      </c>
      <c r="S167" t="str">
        <f>IF(E167="","Missing","OK")</f>
        <v>OK</v>
      </c>
      <c r="T167" t="str">
        <f t="shared" si="19"/>
        <v>OK</v>
      </c>
      <c r="U167">
        <f>COUNTIF($A:$A,A167)</f>
        <v>1</v>
      </c>
      <c r="V167" t="str">
        <f t="shared" si="20"/>
        <v>OK</v>
      </c>
      <c r="W167" t="str">
        <f>IF(I167&gt;B167,"ERROR","OK")</f>
        <v>OK</v>
      </c>
      <c r="X167">
        <f>(B167-I167)/B167</f>
        <v>0.75214705503252399</v>
      </c>
      <c r="Y167" s="2">
        <f t="shared" si="21"/>
        <v>9.9920072216264089E-16</v>
      </c>
      <c r="Z167" s="2" t="str">
        <f t="shared" si="22"/>
        <v>OK</v>
      </c>
      <c r="AA167" t="str">
        <f t="shared" si="23"/>
        <v>Unique</v>
      </c>
    </row>
    <row r="168" spans="1:27" x14ac:dyDescent="0.3">
      <c r="A168">
        <v>167</v>
      </c>
      <c r="B168">
        <v>707279.44772283896</v>
      </c>
      <c r="C168">
        <v>0.85931433675208801</v>
      </c>
      <c r="D168">
        <v>0.1078998020103</v>
      </c>
      <c r="E168">
        <v>0.44948825174048701</v>
      </c>
      <c r="F168">
        <v>1</v>
      </c>
      <c r="G168" t="s">
        <v>13</v>
      </c>
      <c r="H168">
        <v>1</v>
      </c>
      <c r="I168">
        <v>317913.80244891602</v>
      </c>
      <c r="J168">
        <v>0.55051174825951199</v>
      </c>
      <c r="K168" t="str">
        <f t="shared" si="16"/>
        <v>OK</v>
      </c>
      <c r="L168" t="str">
        <f t="shared" si="17"/>
        <v>OK</v>
      </c>
      <c r="M168" t="str">
        <f>IF(OR(B168&lt;$AE$20,B168&gt;$AF$20),"Outlier","OK")</f>
        <v>OK</v>
      </c>
      <c r="N168" t="str">
        <f>IF(OR(J168&lt;$AE$21,J168&gt;$AF$21),"Outlier","OK")</f>
        <v>OK</v>
      </c>
      <c r="O168" t="str">
        <f>IF(OR(C168&lt;0,C168&gt;1),"Outlier","OK")</f>
        <v>OK</v>
      </c>
      <c r="P168" t="str">
        <f>IF(OR(D168&lt;0,D168&gt;1),"Outlier","OK")</f>
        <v>OK</v>
      </c>
      <c r="Q168" t="str">
        <f t="shared" si="18"/>
        <v>40-60%</v>
      </c>
      <c r="R168" t="str">
        <f>IF(B168="","Missing","OK")</f>
        <v>OK</v>
      </c>
      <c r="S168" t="str">
        <f>IF(E168="","Missing","OK")</f>
        <v>OK</v>
      </c>
      <c r="T168" t="str">
        <f t="shared" si="19"/>
        <v>OK</v>
      </c>
      <c r="U168">
        <f>COUNTIF($A:$A,A168)</f>
        <v>1</v>
      </c>
      <c r="V168" t="str">
        <f t="shared" si="20"/>
        <v>OK</v>
      </c>
      <c r="W168" t="str">
        <f>IF(I168&gt;B168,"ERROR","OK")</f>
        <v>OK</v>
      </c>
      <c r="X168">
        <f>(B168-I168)/B168</f>
        <v>0.5505117482595131</v>
      </c>
      <c r="Y168" s="2">
        <f t="shared" si="21"/>
        <v>1.1102230246251565E-15</v>
      </c>
      <c r="Z168" s="2" t="str">
        <f t="shared" si="22"/>
        <v>OK</v>
      </c>
      <c r="AA168" t="str">
        <f t="shared" si="23"/>
        <v>Unique</v>
      </c>
    </row>
    <row r="169" spans="1:27" x14ac:dyDescent="0.3">
      <c r="A169">
        <v>168</v>
      </c>
      <c r="B169">
        <v>1858774.330172</v>
      </c>
      <c r="C169">
        <v>0.17155004383174699</v>
      </c>
      <c r="D169">
        <v>-1.3516981342683599E-2</v>
      </c>
      <c r="E169">
        <v>0.141205613374074</v>
      </c>
      <c r="F169">
        <v>1</v>
      </c>
      <c r="G169" t="s">
        <v>13</v>
      </c>
      <c r="H169">
        <v>1</v>
      </c>
      <c r="I169">
        <v>262469.36941592302</v>
      </c>
      <c r="J169">
        <v>0.858794386625925</v>
      </c>
      <c r="K169" t="str">
        <f t="shared" si="16"/>
        <v>OK</v>
      </c>
      <c r="L169" t="str">
        <f t="shared" si="17"/>
        <v>OK</v>
      </c>
      <c r="M169" t="str">
        <f>IF(OR(B169&lt;$AE$20,B169&gt;$AF$20),"Outlier","OK")</f>
        <v>OK</v>
      </c>
      <c r="N169" t="str">
        <f>IF(OR(J169&lt;$AE$21,J169&gt;$AF$21),"Outlier","OK")</f>
        <v>OK</v>
      </c>
      <c r="O169" t="str">
        <f>IF(OR(C169&lt;0,C169&gt;1),"Outlier","OK")</f>
        <v>OK</v>
      </c>
      <c r="P169" t="str">
        <f>IF(OR(D169&lt;0,D169&gt;1),"Outlier","OK")</f>
        <v>Outlier</v>
      </c>
      <c r="Q169" t="str">
        <f t="shared" si="18"/>
        <v>80-100%</v>
      </c>
      <c r="R169" t="str">
        <f>IF(B169="","Missing","OK")</f>
        <v>OK</v>
      </c>
      <c r="S169" t="str">
        <f>IF(E169="","Missing","OK")</f>
        <v>OK</v>
      </c>
      <c r="T169" t="str">
        <f t="shared" si="19"/>
        <v>OK</v>
      </c>
      <c r="U169">
        <f>COUNTIF($A:$A,A169)</f>
        <v>1</v>
      </c>
      <c r="V169" t="str">
        <f t="shared" si="20"/>
        <v>OK</v>
      </c>
      <c r="W169" t="str">
        <f>IF(I169&gt;B169,"ERROR","OK")</f>
        <v>OK</v>
      </c>
      <c r="X169">
        <f>(B169-I169)/B169</f>
        <v>0.85879438662592478</v>
      </c>
      <c r="Y169" s="2">
        <f t="shared" si="21"/>
        <v>2.2204460492503131E-16</v>
      </c>
      <c r="Z169" s="2" t="str">
        <f t="shared" si="22"/>
        <v>OK</v>
      </c>
      <c r="AA169" t="str">
        <f t="shared" si="23"/>
        <v>Unique</v>
      </c>
    </row>
    <row r="170" spans="1:27" x14ac:dyDescent="0.3">
      <c r="A170">
        <v>169</v>
      </c>
      <c r="B170">
        <v>1513898.1506691701</v>
      </c>
      <c r="C170">
        <v>0.80118891986706697</v>
      </c>
      <c r="D170">
        <v>7.9098987106954094E-2</v>
      </c>
      <c r="E170">
        <v>0.13512771618837799</v>
      </c>
      <c r="F170">
        <v>1</v>
      </c>
      <c r="G170" t="s">
        <v>13</v>
      </c>
      <c r="H170">
        <v>1</v>
      </c>
      <c r="I170">
        <v>204569.599641735</v>
      </c>
      <c r="J170">
        <v>0.86487228381162096</v>
      </c>
      <c r="K170" t="str">
        <f t="shared" si="16"/>
        <v>OK</v>
      </c>
      <c r="L170" t="str">
        <f t="shared" si="17"/>
        <v>OK</v>
      </c>
      <c r="M170" t="str">
        <f>IF(OR(B170&lt;$AE$20,B170&gt;$AF$20),"Outlier","OK")</f>
        <v>OK</v>
      </c>
      <c r="N170" t="str">
        <f>IF(OR(J170&lt;$AE$21,J170&gt;$AF$21),"Outlier","OK")</f>
        <v>OK</v>
      </c>
      <c r="O170" t="str">
        <f>IF(OR(C170&lt;0,C170&gt;1),"Outlier","OK")</f>
        <v>OK</v>
      </c>
      <c r="P170" t="str">
        <f>IF(OR(D170&lt;0,D170&gt;1),"Outlier","OK")</f>
        <v>OK</v>
      </c>
      <c r="Q170" t="str">
        <f t="shared" si="18"/>
        <v>80-100%</v>
      </c>
      <c r="R170" t="str">
        <f>IF(B170="","Missing","OK")</f>
        <v>OK</v>
      </c>
      <c r="S170" t="str">
        <f>IF(E170="","Missing","OK")</f>
        <v>OK</v>
      </c>
      <c r="T170" t="str">
        <f t="shared" si="19"/>
        <v>OK</v>
      </c>
      <c r="U170">
        <f>COUNTIF($A:$A,A170)</f>
        <v>1</v>
      </c>
      <c r="V170" t="str">
        <f t="shared" si="20"/>
        <v>OK</v>
      </c>
      <c r="W170" t="str">
        <f>IF(I170&gt;B170,"ERROR","OK")</f>
        <v>OK</v>
      </c>
      <c r="X170">
        <f>(B170-I170)/B170</f>
        <v>0.86487228381162129</v>
      </c>
      <c r="Y170" s="2">
        <f t="shared" si="21"/>
        <v>3.3306690738754696E-16</v>
      </c>
      <c r="Z170" s="2" t="str">
        <f t="shared" si="22"/>
        <v>OK</v>
      </c>
      <c r="AA170" t="str">
        <f t="shared" si="23"/>
        <v>Unique</v>
      </c>
    </row>
    <row r="171" spans="1:27" x14ac:dyDescent="0.3">
      <c r="A171">
        <v>170</v>
      </c>
      <c r="B171">
        <v>1169424.4590424299</v>
      </c>
      <c r="C171">
        <v>0.201111689283546</v>
      </c>
      <c r="D171">
        <v>-0.14730226642334801</v>
      </c>
      <c r="E171">
        <v>0.427069446814836</v>
      </c>
      <c r="F171">
        <v>1</v>
      </c>
      <c r="G171" t="s">
        <v>13</v>
      </c>
      <c r="H171">
        <v>1</v>
      </c>
      <c r="I171">
        <v>499425.45681498997</v>
      </c>
      <c r="J171">
        <v>0.57293055318516295</v>
      </c>
      <c r="K171" t="str">
        <f t="shared" si="16"/>
        <v>OK</v>
      </c>
      <c r="L171" t="str">
        <f t="shared" si="17"/>
        <v>OK</v>
      </c>
      <c r="M171" t="str">
        <f>IF(OR(B171&lt;$AE$20,B171&gt;$AF$20),"Outlier","OK")</f>
        <v>OK</v>
      </c>
      <c r="N171" t="str">
        <f>IF(OR(J171&lt;$AE$21,J171&gt;$AF$21),"Outlier","OK")</f>
        <v>OK</v>
      </c>
      <c r="O171" t="str">
        <f>IF(OR(C171&lt;0,C171&gt;1),"Outlier","OK")</f>
        <v>OK</v>
      </c>
      <c r="P171" t="str">
        <f>IF(OR(D171&lt;0,D171&gt;1),"Outlier","OK")</f>
        <v>Outlier</v>
      </c>
      <c r="Q171" t="str">
        <f t="shared" si="18"/>
        <v>40-60%</v>
      </c>
      <c r="R171" t="str">
        <f>IF(B171="","Missing","OK")</f>
        <v>OK</v>
      </c>
      <c r="S171" t="str">
        <f>IF(E171="","Missing","OK")</f>
        <v>OK</v>
      </c>
      <c r="T171" t="str">
        <f t="shared" si="19"/>
        <v>OK</v>
      </c>
      <c r="U171">
        <f>COUNTIF($A:$A,A171)</f>
        <v>1</v>
      </c>
      <c r="V171" t="str">
        <f t="shared" si="20"/>
        <v>OK</v>
      </c>
      <c r="W171" t="str">
        <f>IF(I171&gt;B171,"ERROR","OK")</f>
        <v>OK</v>
      </c>
      <c r="X171">
        <f>(B171-I171)/B171</f>
        <v>0.5729305531851635</v>
      </c>
      <c r="Y171" s="2">
        <f t="shared" si="21"/>
        <v>5.5511151231257827E-16</v>
      </c>
      <c r="Z171" s="2" t="str">
        <f t="shared" si="22"/>
        <v>OK</v>
      </c>
      <c r="AA171" t="str">
        <f t="shared" si="23"/>
        <v>Unique</v>
      </c>
    </row>
    <row r="172" spans="1:27" x14ac:dyDescent="0.3">
      <c r="A172">
        <v>171</v>
      </c>
      <c r="B172">
        <v>1515705.7781461901</v>
      </c>
      <c r="C172">
        <v>0.66853376046002499</v>
      </c>
      <c r="D172">
        <v>7.4895608996672802E-2</v>
      </c>
      <c r="E172">
        <v>0.43425142752848001</v>
      </c>
      <c r="F172">
        <v>1</v>
      </c>
      <c r="G172" t="s">
        <v>13</v>
      </c>
      <c r="H172">
        <v>1</v>
      </c>
      <c r="I172">
        <v>658197.39787314902</v>
      </c>
      <c r="J172">
        <v>0.565748572471519</v>
      </c>
      <c r="K172" t="str">
        <f t="shared" si="16"/>
        <v>OK</v>
      </c>
      <c r="L172" t="str">
        <f t="shared" si="17"/>
        <v>OK</v>
      </c>
      <c r="M172" t="str">
        <f>IF(OR(B172&lt;$AE$20,B172&gt;$AF$20),"Outlier","OK")</f>
        <v>OK</v>
      </c>
      <c r="N172" t="str">
        <f>IF(OR(J172&lt;$AE$21,J172&gt;$AF$21),"Outlier","OK")</f>
        <v>OK</v>
      </c>
      <c r="O172" t="str">
        <f>IF(OR(C172&lt;0,C172&gt;1),"Outlier","OK")</f>
        <v>OK</v>
      </c>
      <c r="P172" t="str">
        <f>IF(OR(D172&lt;0,D172&gt;1),"Outlier","OK")</f>
        <v>OK</v>
      </c>
      <c r="Q172" t="str">
        <f t="shared" si="18"/>
        <v>40-60%</v>
      </c>
      <c r="R172" t="str">
        <f>IF(B172="","Missing","OK")</f>
        <v>OK</v>
      </c>
      <c r="S172" t="str">
        <f>IF(E172="","Missing","OK")</f>
        <v>OK</v>
      </c>
      <c r="T172" t="str">
        <f t="shared" si="19"/>
        <v>OK</v>
      </c>
      <c r="U172">
        <f>COUNTIF($A:$A,A172)</f>
        <v>1</v>
      </c>
      <c r="V172" t="str">
        <f t="shared" si="20"/>
        <v>OK</v>
      </c>
      <c r="W172" t="str">
        <f>IF(I172&gt;B172,"ERROR","OK")</f>
        <v>OK</v>
      </c>
      <c r="X172">
        <f>(B172-I172)/B172</f>
        <v>0.56574857247151977</v>
      </c>
      <c r="Y172" s="2">
        <f t="shared" si="21"/>
        <v>7.7715611723760958E-16</v>
      </c>
      <c r="Z172" s="2" t="str">
        <f t="shared" si="22"/>
        <v>OK</v>
      </c>
      <c r="AA172" t="str">
        <f t="shared" si="23"/>
        <v>Unique</v>
      </c>
    </row>
    <row r="173" spans="1:27" x14ac:dyDescent="0.3">
      <c r="A173">
        <v>172</v>
      </c>
      <c r="B173">
        <v>204340.4734395</v>
      </c>
      <c r="C173">
        <v>0.40797686279760798</v>
      </c>
      <c r="D173">
        <v>3.4810891423845199E-2</v>
      </c>
      <c r="E173">
        <v>9.0992996516747193E-2</v>
      </c>
      <c r="F173">
        <v>1</v>
      </c>
      <c r="G173" t="s">
        <v>12</v>
      </c>
      <c r="H173">
        <v>1</v>
      </c>
      <c r="I173">
        <v>18593.551987910902</v>
      </c>
      <c r="J173">
        <v>0.90900700348325203</v>
      </c>
      <c r="K173" t="str">
        <f t="shared" si="16"/>
        <v>OK</v>
      </c>
      <c r="L173" t="str">
        <f t="shared" si="17"/>
        <v>OK</v>
      </c>
      <c r="M173" t="str">
        <f>IF(OR(B173&lt;$AE$20,B173&gt;$AF$20),"Outlier","OK")</f>
        <v>OK</v>
      </c>
      <c r="N173" t="str">
        <f>IF(OR(J173&lt;$AE$21,J173&gt;$AF$21),"Outlier","OK")</f>
        <v>OK</v>
      </c>
      <c r="O173" t="str">
        <f>IF(OR(C173&lt;0,C173&gt;1),"Outlier","OK")</f>
        <v>OK</v>
      </c>
      <c r="P173" t="str">
        <f>IF(OR(D173&lt;0,D173&gt;1),"Outlier","OK")</f>
        <v>OK</v>
      </c>
      <c r="Q173" t="str">
        <f t="shared" si="18"/>
        <v>80-100%</v>
      </c>
      <c r="R173" t="str">
        <f>IF(B173="","Missing","OK")</f>
        <v>OK</v>
      </c>
      <c r="S173" t="str">
        <f>IF(E173="","Missing","OK")</f>
        <v>OK</v>
      </c>
      <c r="T173" t="str">
        <f t="shared" si="19"/>
        <v>OK</v>
      </c>
      <c r="U173">
        <f>COUNTIF($A:$A,A173)</f>
        <v>1</v>
      </c>
      <c r="V173" t="str">
        <f t="shared" si="20"/>
        <v>OK</v>
      </c>
      <c r="W173" t="str">
        <f>IF(I173&gt;B173,"ERROR","OK")</f>
        <v>OK</v>
      </c>
      <c r="X173">
        <f>(B173-I173)/B173</f>
        <v>0.90900700348325281</v>
      </c>
      <c r="Y173" s="2">
        <f t="shared" si="21"/>
        <v>7.7715611723760958E-16</v>
      </c>
      <c r="Z173" s="2" t="str">
        <f t="shared" si="22"/>
        <v>OK</v>
      </c>
      <c r="AA173" t="str">
        <f t="shared" si="23"/>
        <v>Unique</v>
      </c>
    </row>
    <row r="174" spans="1:27" x14ac:dyDescent="0.3">
      <c r="A174">
        <v>173</v>
      </c>
      <c r="B174">
        <v>1725808.6975771899</v>
      </c>
      <c r="C174">
        <v>0.26175045102497102</v>
      </c>
      <c r="D174">
        <v>0.190544538985365</v>
      </c>
      <c r="E174">
        <v>0.347678086631868</v>
      </c>
      <c r="F174">
        <v>1</v>
      </c>
      <c r="G174" t="s">
        <v>10</v>
      </c>
      <c r="H174">
        <v>1</v>
      </c>
      <c r="I174">
        <v>600025.86586627399</v>
      </c>
      <c r="J174">
        <v>0.65232191336813095</v>
      </c>
      <c r="K174" t="str">
        <f t="shared" si="16"/>
        <v>OK</v>
      </c>
      <c r="L174" t="str">
        <f t="shared" si="17"/>
        <v>OK</v>
      </c>
      <c r="M174" t="str">
        <f>IF(OR(B174&lt;$AE$20,B174&gt;$AF$20),"Outlier","OK")</f>
        <v>OK</v>
      </c>
      <c r="N174" t="str">
        <f>IF(OR(J174&lt;$AE$21,J174&gt;$AF$21),"Outlier","OK")</f>
        <v>OK</v>
      </c>
      <c r="O174" t="str">
        <f>IF(OR(C174&lt;0,C174&gt;1),"Outlier","OK")</f>
        <v>OK</v>
      </c>
      <c r="P174" t="str">
        <f>IF(OR(D174&lt;0,D174&gt;1),"Outlier","OK")</f>
        <v>OK</v>
      </c>
      <c r="Q174" t="str">
        <f t="shared" si="18"/>
        <v>60-80%</v>
      </c>
      <c r="R174" t="str">
        <f>IF(B174="","Missing","OK")</f>
        <v>OK</v>
      </c>
      <c r="S174" t="str">
        <f>IF(E174="","Missing","OK")</f>
        <v>OK</v>
      </c>
      <c r="T174" t="str">
        <f t="shared" si="19"/>
        <v>OK</v>
      </c>
      <c r="U174">
        <f>COUNTIF($A:$A,A174)</f>
        <v>1</v>
      </c>
      <c r="V174" t="str">
        <f t="shared" si="20"/>
        <v>OK</v>
      </c>
      <c r="W174" t="str">
        <f>IF(I174&gt;B174,"ERROR","OK")</f>
        <v>OK</v>
      </c>
      <c r="X174">
        <f>(B174-I174)/B174</f>
        <v>0.65232191336813183</v>
      </c>
      <c r="Y174" s="2">
        <f t="shared" si="21"/>
        <v>8.8817841970012523E-16</v>
      </c>
      <c r="Z174" s="2" t="str">
        <f t="shared" si="22"/>
        <v>OK</v>
      </c>
      <c r="AA174" t="str">
        <f t="shared" si="23"/>
        <v>Unique</v>
      </c>
    </row>
    <row r="175" spans="1:27" x14ac:dyDescent="0.3">
      <c r="A175">
        <v>174</v>
      </c>
      <c r="B175">
        <v>1651933.0207410799</v>
      </c>
      <c r="C175">
        <v>0.152600811301943</v>
      </c>
      <c r="D175">
        <v>-3.5884139440162797E-2</v>
      </c>
      <c r="E175">
        <v>0.105504147988234</v>
      </c>
      <c r="F175">
        <v>1</v>
      </c>
      <c r="G175" t="s">
        <v>11</v>
      </c>
      <c r="H175">
        <v>1</v>
      </c>
      <c r="I175">
        <v>174285.78588691901</v>
      </c>
      <c r="J175">
        <v>0.89449585201176496</v>
      </c>
      <c r="K175" t="str">
        <f t="shared" si="16"/>
        <v>OK</v>
      </c>
      <c r="L175" t="str">
        <f t="shared" si="17"/>
        <v>OK</v>
      </c>
      <c r="M175" t="str">
        <f>IF(OR(B175&lt;$AE$20,B175&gt;$AF$20),"Outlier","OK")</f>
        <v>OK</v>
      </c>
      <c r="N175" t="str">
        <f>IF(OR(J175&lt;$AE$21,J175&gt;$AF$21),"Outlier","OK")</f>
        <v>OK</v>
      </c>
      <c r="O175" t="str">
        <f>IF(OR(C175&lt;0,C175&gt;1),"Outlier","OK")</f>
        <v>OK</v>
      </c>
      <c r="P175" t="str">
        <f>IF(OR(D175&lt;0,D175&gt;1),"Outlier","OK")</f>
        <v>Outlier</v>
      </c>
      <c r="Q175" t="str">
        <f t="shared" si="18"/>
        <v>80-100%</v>
      </c>
      <c r="R175" t="str">
        <f>IF(B175="","Missing","OK")</f>
        <v>OK</v>
      </c>
      <c r="S175" t="str">
        <f>IF(E175="","Missing","OK")</f>
        <v>OK</v>
      </c>
      <c r="T175" t="str">
        <f t="shared" si="19"/>
        <v>OK</v>
      </c>
      <c r="U175">
        <f>COUNTIF($A:$A,A175)</f>
        <v>1</v>
      </c>
      <c r="V175" t="str">
        <f t="shared" si="20"/>
        <v>OK</v>
      </c>
      <c r="W175" t="str">
        <f>IF(I175&gt;B175,"ERROR","OK")</f>
        <v>OK</v>
      </c>
      <c r="X175">
        <f>(B175-I175)/B175</f>
        <v>0.89449585201176496</v>
      </c>
      <c r="Y175" s="2">
        <f t="shared" si="21"/>
        <v>0</v>
      </c>
      <c r="Z175" s="2" t="str">
        <f t="shared" si="22"/>
        <v>OK</v>
      </c>
      <c r="AA175" t="str">
        <f t="shared" si="23"/>
        <v>Unique</v>
      </c>
    </row>
    <row r="176" spans="1:27" x14ac:dyDescent="0.3">
      <c r="A176">
        <v>175</v>
      </c>
      <c r="B176">
        <v>1824249.7362399001</v>
      </c>
      <c r="C176">
        <v>0.13381765259077399</v>
      </c>
      <c r="D176">
        <v>0.122620033099187</v>
      </c>
      <c r="E176">
        <v>0.19683326489981201</v>
      </c>
      <c r="F176">
        <v>1</v>
      </c>
      <c r="G176" t="s">
        <v>12</v>
      </c>
      <c r="H176">
        <v>0</v>
      </c>
      <c r="I176">
        <v>359073.03157672199</v>
      </c>
      <c r="J176">
        <v>0.80316673510018699</v>
      </c>
      <c r="K176" t="str">
        <f t="shared" si="16"/>
        <v>OK</v>
      </c>
      <c r="L176" t="str">
        <f t="shared" si="17"/>
        <v>OK</v>
      </c>
      <c r="M176" t="str">
        <f>IF(OR(B176&lt;$AE$20,B176&gt;$AF$20),"Outlier","OK")</f>
        <v>OK</v>
      </c>
      <c r="N176" t="str">
        <f>IF(OR(J176&lt;$AE$21,J176&gt;$AF$21),"Outlier","OK")</f>
        <v>OK</v>
      </c>
      <c r="O176" t="str">
        <f>IF(OR(C176&lt;0,C176&gt;1),"Outlier","OK")</f>
        <v>OK</v>
      </c>
      <c r="P176" t="str">
        <f>IF(OR(D176&lt;0,D176&gt;1),"Outlier","OK")</f>
        <v>OK</v>
      </c>
      <c r="Q176" t="str">
        <f t="shared" si="18"/>
        <v>80-100%</v>
      </c>
      <c r="R176" t="str">
        <f>IF(B176="","Missing","OK")</f>
        <v>OK</v>
      </c>
      <c r="S176" t="str">
        <f>IF(E176="","Missing","OK")</f>
        <v>OK</v>
      </c>
      <c r="T176" t="str">
        <f t="shared" si="19"/>
        <v>OK</v>
      </c>
      <c r="U176">
        <f>COUNTIF($A:$A,A176)</f>
        <v>1</v>
      </c>
      <c r="V176" t="str">
        <f t="shared" si="20"/>
        <v>OK</v>
      </c>
      <c r="W176" t="str">
        <f>IF(I176&gt;B176,"ERROR","OK")</f>
        <v>OK</v>
      </c>
      <c r="X176">
        <f>(B176-I176)/B176</f>
        <v>0.80316673510018721</v>
      </c>
      <c r="Y176" s="2">
        <f t="shared" si="21"/>
        <v>2.2204460492503131E-16</v>
      </c>
      <c r="Z176" s="2" t="str">
        <f t="shared" si="22"/>
        <v>OK</v>
      </c>
      <c r="AA176" t="str">
        <f t="shared" si="23"/>
        <v>Unique</v>
      </c>
    </row>
    <row r="177" spans="1:27" x14ac:dyDescent="0.3">
      <c r="A177">
        <v>176</v>
      </c>
      <c r="B177">
        <v>300830.83514329098</v>
      </c>
      <c r="C177">
        <v>0.31024176032768902</v>
      </c>
      <c r="D177">
        <v>-9.3145420040976604E-2</v>
      </c>
      <c r="E177">
        <v>0.46750685257087898</v>
      </c>
      <c r="F177">
        <v>1</v>
      </c>
      <c r="G177" t="s">
        <v>13</v>
      </c>
      <c r="H177">
        <v>0</v>
      </c>
      <c r="I177">
        <v>140640.47689410899</v>
      </c>
      <c r="J177">
        <v>0.53249314742912002</v>
      </c>
      <c r="K177" t="str">
        <f t="shared" si="16"/>
        <v>OK</v>
      </c>
      <c r="L177" t="str">
        <f t="shared" si="17"/>
        <v>OK</v>
      </c>
      <c r="M177" t="str">
        <f>IF(OR(B177&lt;$AE$20,B177&gt;$AF$20),"Outlier","OK")</f>
        <v>OK</v>
      </c>
      <c r="N177" t="str">
        <f>IF(OR(J177&lt;$AE$21,J177&gt;$AF$21),"Outlier","OK")</f>
        <v>OK</v>
      </c>
      <c r="O177" t="str">
        <f>IF(OR(C177&lt;0,C177&gt;1),"Outlier","OK")</f>
        <v>OK</v>
      </c>
      <c r="P177" t="str">
        <f>IF(OR(D177&lt;0,D177&gt;1),"Outlier","OK")</f>
        <v>Outlier</v>
      </c>
      <c r="Q177" t="str">
        <f t="shared" si="18"/>
        <v>40-60%</v>
      </c>
      <c r="R177" t="str">
        <f>IF(B177="","Missing","OK")</f>
        <v>OK</v>
      </c>
      <c r="S177" t="str">
        <f>IF(E177="","Missing","OK")</f>
        <v>OK</v>
      </c>
      <c r="T177" t="str">
        <f t="shared" si="19"/>
        <v>OK</v>
      </c>
      <c r="U177">
        <f>COUNTIF($A:$A,A177)</f>
        <v>1</v>
      </c>
      <c r="V177" t="str">
        <f t="shared" si="20"/>
        <v>OK</v>
      </c>
      <c r="W177" t="str">
        <f>IF(I177&gt;B177,"ERROR","OK")</f>
        <v>OK</v>
      </c>
      <c r="X177">
        <f>(B177-I177)/B177</f>
        <v>0.53249314742912091</v>
      </c>
      <c r="Y177" s="2">
        <f t="shared" si="21"/>
        <v>8.8817841970012523E-16</v>
      </c>
      <c r="Z177" s="2" t="str">
        <f t="shared" si="22"/>
        <v>OK</v>
      </c>
      <c r="AA177" t="str">
        <f t="shared" si="23"/>
        <v>Unique</v>
      </c>
    </row>
    <row r="178" spans="1:27" x14ac:dyDescent="0.3">
      <c r="A178">
        <v>177</v>
      </c>
      <c r="B178">
        <v>209471.16983327101</v>
      </c>
      <c r="C178">
        <v>0.15268261115862999</v>
      </c>
      <c r="D178">
        <v>6.9390447182783296E-2</v>
      </c>
      <c r="E178">
        <v>0.14190972619023201</v>
      </c>
      <c r="F178">
        <v>1</v>
      </c>
      <c r="G178" t="s">
        <v>11</v>
      </c>
      <c r="H178">
        <v>0</v>
      </c>
      <c r="I178">
        <v>29725.9963557872</v>
      </c>
      <c r="J178">
        <v>0.85809027380976699</v>
      </c>
      <c r="K178" t="str">
        <f t="shared" si="16"/>
        <v>OK</v>
      </c>
      <c r="L178" t="str">
        <f t="shared" si="17"/>
        <v>OK</v>
      </c>
      <c r="M178" t="str">
        <f>IF(OR(B178&lt;$AE$20,B178&gt;$AF$20),"Outlier","OK")</f>
        <v>OK</v>
      </c>
      <c r="N178" t="str">
        <f>IF(OR(J178&lt;$AE$21,J178&gt;$AF$21),"Outlier","OK")</f>
        <v>OK</v>
      </c>
      <c r="O178" t="str">
        <f>IF(OR(C178&lt;0,C178&gt;1),"Outlier","OK")</f>
        <v>OK</v>
      </c>
      <c r="P178" t="str">
        <f>IF(OR(D178&lt;0,D178&gt;1),"Outlier","OK")</f>
        <v>OK</v>
      </c>
      <c r="Q178" t="str">
        <f t="shared" si="18"/>
        <v>80-100%</v>
      </c>
      <c r="R178" t="str">
        <f>IF(B178="","Missing","OK")</f>
        <v>OK</v>
      </c>
      <c r="S178" t="str">
        <f>IF(E178="","Missing","OK")</f>
        <v>OK</v>
      </c>
      <c r="T178" t="str">
        <f t="shared" si="19"/>
        <v>OK</v>
      </c>
      <c r="U178">
        <f>COUNTIF($A:$A,A178)</f>
        <v>1</v>
      </c>
      <c r="V178" t="str">
        <f t="shared" si="20"/>
        <v>OK</v>
      </c>
      <c r="W178" t="str">
        <f>IF(I178&gt;B178,"ERROR","OK")</f>
        <v>OK</v>
      </c>
      <c r="X178">
        <f>(B178-I178)/B178</f>
        <v>0.85809027380976732</v>
      </c>
      <c r="Y178" s="2">
        <f t="shared" si="21"/>
        <v>3.3306690738754696E-16</v>
      </c>
      <c r="Z178" s="2" t="str">
        <f t="shared" si="22"/>
        <v>OK</v>
      </c>
      <c r="AA178" t="str">
        <f t="shared" si="23"/>
        <v>Unique</v>
      </c>
    </row>
    <row r="179" spans="1:27" x14ac:dyDescent="0.3">
      <c r="A179">
        <v>178</v>
      </c>
      <c r="B179">
        <v>319910.36692409997</v>
      </c>
      <c r="C179">
        <v>0.62478652479082397</v>
      </c>
      <c r="D179">
        <v>0.11002787670571</v>
      </c>
      <c r="E179">
        <v>5.8598254335829401E-2</v>
      </c>
      <c r="F179">
        <v>1</v>
      </c>
      <c r="G179" t="s">
        <v>13</v>
      </c>
      <c r="H179">
        <v>0</v>
      </c>
      <c r="I179">
        <v>18746.1890456869</v>
      </c>
      <c r="J179">
        <v>0.94140174566417001</v>
      </c>
      <c r="K179" t="str">
        <f t="shared" si="16"/>
        <v>OK</v>
      </c>
      <c r="L179" t="str">
        <f t="shared" si="17"/>
        <v>OK</v>
      </c>
      <c r="M179" t="str">
        <f>IF(OR(B179&lt;$AE$20,B179&gt;$AF$20),"Outlier","OK")</f>
        <v>OK</v>
      </c>
      <c r="N179" t="str">
        <f>IF(OR(J179&lt;$AE$21,J179&gt;$AF$21),"Outlier","OK")</f>
        <v>OK</v>
      </c>
      <c r="O179" t="str">
        <f>IF(OR(C179&lt;0,C179&gt;1),"Outlier","OK")</f>
        <v>OK</v>
      </c>
      <c r="P179" t="str">
        <f>IF(OR(D179&lt;0,D179&gt;1),"Outlier","OK")</f>
        <v>OK</v>
      </c>
      <c r="Q179" t="str">
        <f t="shared" si="18"/>
        <v>80-100%</v>
      </c>
      <c r="R179" t="str">
        <f>IF(B179="","Missing","OK")</f>
        <v>OK</v>
      </c>
      <c r="S179" t="str">
        <f>IF(E179="","Missing","OK")</f>
        <v>OK</v>
      </c>
      <c r="T179" t="str">
        <f t="shared" si="19"/>
        <v>OK</v>
      </c>
      <c r="U179">
        <f>COUNTIF($A:$A,A179)</f>
        <v>1</v>
      </c>
      <c r="V179" t="str">
        <f t="shared" si="20"/>
        <v>OK</v>
      </c>
      <c r="W179" t="str">
        <f>IF(I179&gt;B179,"ERROR","OK")</f>
        <v>OK</v>
      </c>
      <c r="X179">
        <f>(B179-I179)/B179</f>
        <v>0.94140174566417056</v>
      </c>
      <c r="Y179" s="2">
        <f t="shared" si="21"/>
        <v>5.5511151231257827E-16</v>
      </c>
      <c r="Z179" s="2" t="str">
        <f t="shared" si="22"/>
        <v>OK</v>
      </c>
      <c r="AA179" t="str">
        <f t="shared" si="23"/>
        <v>Unique</v>
      </c>
    </row>
    <row r="180" spans="1:27" x14ac:dyDescent="0.3">
      <c r="A180">
        <v>179</v>
      </c>
      <c r="B180">
        <v>828788.48470045999</v>
      </c>
      <c r="C180">
        <v>0.52256892241697595</v>
      </c>
      <c r="D180">
        <v>-0.112522488278536</v>
      </c>
      <c r="E180">
        <v>0.29267051855185</v>
      </c>
      <c r="F180">
        <v>1</v>
      </c>
      <c r="G180" t="s">
        <v>11</v>
      </c>
      <c r="H180">
        <v>1</v>
      </c>
      <c r="I180">
        <v>242561.95558708601</v>
      </c>
      <c r="J180">
        <v>0.707329481448149</v>
      </c>
      <c r="K180" t="str">
        <f t="shared" si="16"/>
        <v>OK</v>
      </c>
      <c r="L180" t="str">
        <f t="shared" si="17"/>
        <v>OK</v>
      </c>
      <c r="M180" t="str">
        <f>IF(OR(B180&lt;$AE$20,B180&gt;$AF$20),"Outlier","OK")</f>
        <v>OK</v>
      </c>
      <c r="N180" t="str">
        <f>IF(OR(J180&lt;$AE$21,J180&gt;$AF$21),"Outlier","OK")</f>
        <v>OK</v>
      </c>
      <c r="O180" t="str">
        <f>IF(OR(C180&lt;0,C180&gt;1),"Outlier","OK")</f>
        <v>OK</v>
      </c>
      <c r="P180" t="str">
        <f>IF(OR(D180&lt;0,D180&gt;1),"Outlier","OK")</f>
        <v>Outlier</v>
      </c>
      <c r="Q180" t="str">
        <f t="shared" si="18"/>
        <v>60-80%</v>
      </c>
      <c r="R180" t="str">
        <f>IF(B180="","Missing","OK")</f>
        <v>OK</v>
      </c>
      <c r="S180" t="str">
        <f>IF(E180="","Missing","OK")</f>
        <v>OK</v>
      </c>
      <c r="T180" t="str">
        <f t="shared" si="19"/>
        <v>OK</v>
      </c>
      <c r="U180">
        <f>COUNTIF($A:$A,A180)</f>
        <v>1</v>
      </c>
      <c r="V180" t="str">
        <f t="shared" si="20"/>
        <v>OK</v>
      </c>
      <c r="W180" t="str">
        <f>IF(I180&gt;B180,"ERROR","OK")</f>
        <v>OK</v>
      </c>
      <c r="X180">
        <f>(B180-I180)/B180</f>
        <v>0.70732948144814956</v>
      </c>
      <c r="Y180" s="2">
        <f t="shared" si="21"/>
        <v>5.5511151231257827E-16</v>
      </c>
      <c r="Z180" s="2" t="str">
        <f t="shared" si="22"/>
        <v>OK</v>
      </c>
      <c r="AA180" t="str">
        <f t="shared" si="23"/>
        <v>Unique</v>
      </c>
    </row>
    <row r="181" spans="1:27" x14ac:dyDescent="0.3">
      <c r="A181">
        <v>180</v>
      </c>
      <c r="B181">
        <v>877398.37910793396</v>
      </c>
      <c r="C181">
        <v>0.374709342613747</v>
      </c>
      <c r="D181">
        <v>5.6099738546718098E-2</v>
      </c>
      <c r="E181">
        <v>0.431062280280472</v>
      </c>
      <c r="F181">
        <v>1</v>
      </c>
      <c r="G181" t="s">
        <v>11</v>
      </c>
      <c r="H181">
        <v>1</v>
      </c>
      <c r="I181">
        <v>378213.34601265599</v>
      </c>
      <c r="J181">
        <v>0.568937719719527</v>
      </c>
      <c r="K181" t="str">
        <f t="shared" si="16"/>
        <v>OK</v>
      </c>
      <c r="L181" t="str">
        <f t="shared" si="17"/>
        <v>OK</v>
      </c>
      <c r="M181" t="str">
        <f>IF(OR(B181&lt;$AE$20,B181&gt;$AF$20),"Outlier","OK")</f>
        <v>OK</v>
      </c>
      <c r="N181" t="str">
        <f>IF(OR(J181&lt;$AE$21,J181&gt;$AF$21),"Outlier","OK")</f>
        <v>OK</v>
      </c>
      <c r="O181" t="str">
        <f>IF(OR(C181&lt;0,C181&gt;1),"Outlier","OK")</f>
        <v>OK</v>
      </c>
      <c r="P181" t="str">
        <f>IF(OR(D181&lt;0,D181&gt;1),"Outlier","OK")</f>
        <v>OK</v>
      </c>
      <c r="Q181" t="str">
        <f t="shared" si="18"/>
        <v>40-60%</v>
      </c>
      <c r="R181" t="str">
        <f>IF(B181="","Missing","OK")</f>
        <v>OK</v>
      </c>
      <c r="S181" t="str">
        <f>IF(E181="","Missing","OK")</f>
        <v>OK</v>
      </c>
      <c r="T181" t="str">
        <f t="shared" si="19"/>
        <v>OK</v>
      </c>
      <c r="U181">
        <f>COUNTIF($A:$A,A181)</f>
        <v>1</v>
      </c>
      <c r="V181" t="str">
        <f t="shared" si="20"/>
        <v>OK</v>
      </c>
      <c r="W181" t="str">
        <f>IF(I181&gt;B181,"ERROR","OK")</f>
        <v>OK</v>
      </c>
      <c r="X181">
        <f>(B181-I181)/B181</f>
        <v>0.56893771971952811</v>
      </c>
      <c r="Y181" s="2">
        <f t="shared" si="21"/>
        <v>1.1102230246251565E-15</v>
      </c>
      <c r="Z181" s="2" t="str">
        <f t="shared" si="22"/>
        <v>OK</v>
      </c>
      <c r="AA181" t="str">
        <f t="shared" si="23"/>
        <v>Unique</v>
      </c>
    </row>
    <row r="182" spans="1:27" x14ac:dyDescent="0.3">
      <c r="A182">
        <v>181</v>
      </c>
      <c r="B182">
        <v>1146325.8385252601</v>
      </c>
      <c r="C182">
        <v>0.86548269445150205</v>
      </c>
      <c r="D182">
        <v>9.9289947477689794E-2</v>
      </c>
      <c r="E182">
        <v>0.366224092053759</v>
      </c>
      <c r="F182">
        <v>1</v>
      </c>
      <c r="G182" t="s">
        <v>12</v>
      </c>
      <c r="H182">
        <v>1</v>
      </c>
      <c r="I182">
        <v>419812.139411679</v>
      </c>
      <c r="J182">
        <v>0.63377590794623995</v>
      </c>
      <c r="K182" t="str">
        <f t="shared" si="16"/>
        <v>OK</v>
      </c>
      <c r="L182" t="str">
        <f t="shared" si="17"/>
        <v>OK</v>
      </c>
      <c r="M182" t="str">
        <f>IF(OR(B182&lt;$AE$20,B182&gt;$AF$20),"Outlier","OK")</f>
        <v>OK</v>
      </c>
      <c r="N182" t="str">
        <f>IF(OR(J182&lt;$AE$21,J182&gt;$AF$21),"Outlier","OK")</f>
        <v>OK</v>
      </c>
      <c r="O182" t="str">
        <f>IF(OR(C182&lt;0,C182&gt;1),"Outlier","OK")</f>
        <v>OK</v>
      </c>
      <c r="P182" t="str">
        <f>IF(OR(D182&lt;0,D182&gt;1),"Outlier","OK")</f>
        <v>OK</v>
      </c>
      <c r="Q182" t="str">
        <f t="shared" si="18"/>
        <v>60-80%</v>
      </c>
      <c r="R182" t="str">
        <f>IF(B182="","Missing","OK")</f>
        <v>OK</v>
      </c>
      <c r="S182" t="str">
        <f>IF(E182="","Missing","OK")</f>
        <v>OK</v>
      </c>
      <c r="T182" t="str">
        <f t="shared" si="19"/>
        <v>OK</v>
      </c>
      <c r="U182">
        <f>COUNTIF($A:$A,A182)</f>
        <v>1</v>
      </c>
      <c r="V182" t="str">
        <f t="shared" si="20"/>
        <v>OK</v>
      </c>
      <c r="W182" t="str">
        <f>IF(I182&gt;B182,"ERROR","OK")</f>
        <v>OK</v>
      </c>
      <c r="X182">
        <f>(B182-I182)/B182</f>
        <v>0.6337759079462395</v>
      </c>
      <c r="Y182" s="2">
        <f t="shared" si="21"/>
        <v>4.4408920985006262E-16</v>
      </c>
      <c r="Z182" s="2" t="str">
        <f t="shared" si="22"/>
        <v>OK</v>
      </c>
      <c r="AA182" t="str">
        <f t="shared" si="23"/>
        <v>Unique</v>
      </c>
    </row>
    <row r="183" spans="1:27" x14ac:dyDescent="0.3">
      <c r="A183">
        <v>182</v>
      </c>
      <c r="B183">
        <v>288374.92178338399</v>
      </c>
      <c r="C183">
        <v>0.77767356134697296</v>
      </c>
      <c r="D183">
        <v>-0.19768357390100699</v>
      </c>
      <c r="E183">
        <v>5.0495471383368601E-2</v>
      </c>
      <c r="F183">
        <v>1</v>
      </c>
      <c r="G183" t="s">
        <v>10</v>
      </c>
      <c r="H183">
        <v>0</v>
      </c>
      <c r="I183">
        <v>14561.627610594</v>
      </c>
      <c r="J183">
        <v>0.94950452861663104</v>
      </c>
      <c r="K183" t="str">
        <f t="shared" si="16"/>
        <v>OK</v>
      </c>
      <c r="L183" t="str">
        <f t="shared" si="17"/>
        <v>OK</v>
      </c>
      <c r="M183" t="str">
        <f>IF(OR(B183&lt;$AE$20,B183&gt;$AF$20),"Outlier","OK")</f>
        <v>OK</v>
      </c>
      <c r="N183" t="str">
        <f>IF(OR(J183&lt;$AE$21,J183&gt;$AF$21),"Outlier","OK")</f>
        <v>OK</v>
      </c>
      <c r="O183" t="str">
        <f>IF(OR(C183&lt;0,C183&gt;1),"Outlier","OK")</f>
        <v>OK</v>
      </c>
      <c r="P183" t="str">
        <f>IF(OR(D183&lt;0,D183&gt;1),"Outlier","OK")</f>
        <v>Outlier</v>
      </c>
      <c r="Q183" t="str">
        <f t="shared" si="18"/>
        <v>80-100%</v>
      </c>
      <c r="R183" t="str">
        <f>IF(B183="","Missing","OK")</f>
        <v>OK</v>
      </c>
      <c r="S183" t="str">
        <f>IF(E183="","Missing","OK")</f>
        <v>OK</v>
      </c>
      <c r="T183" t="str">
        <f t="shared" si="19"/>
        <v>OK</v>
      </c>
      <c r="U183">
        <f>COUNTIF($A:$A,A183)</f>
        <v>1</v>
      </c>
      <c r="V183" t="str">
        <f t="shared" si="20"/>
        <v>OK</v>
      </c>
      <c r="W183" t="str">
        <f>IF(I183&gt;B183,"ERROR","OK")</f>
        <v>OK</v>
      </c>
      <c r="X183">
        <f>(B183-I183)/B183</f>
        <v>0.94950452861663159</v>
      </c>
      <c r="Y183" s="2">
        <f t="shared" si="21"/>
        <v>5.5511151231257827E-16</v>
      </c>
      <c r="Z183" s="2" t="str">
        <f t="shared" si="22"/>
        <v>OK</v>
      </c>
      <c r="AA183" t="str">
        <f t="shared" si="23"/>
        <v>Unique</v>
      </c>
    </row>
    <row r="184" spans="1:27" x14ac:dyDescent="0.3">
      <c r="A184">
        <v>183</v>
      </c>
      <c r="B184">
        <v>442729.02769367298</v>
      </c>
      <c r="C184">
        <v>0.63570875804166005</v>
      </c>
      <c r="D184">
        <v>7.2373638728679801E-2</v>
      </c>
      <c r="E184">
        <v>0.21220875358324601</v>
      </c>
      <c r="F184">
        <v>1</v>
      </c>
      <c r="G184" t="s">
        <v>11</v>
      </c>
      <c r="H184">
        <v>0</v>
      </c>
      <c r="I184">
        <v>93950.975141996896</v>
      </c>
      <c r="J184">
        <v>0.78779124641675302</v>
      </c>
      <c r="K184" t="str">
        <f t="shared" si="16"/>
        <v>OK</v>
      </c>
      <c r="L184" t="str">
        <f t="shared" si="17"/>
        <v>OK</v>
      </c>
      <c r="M184" t="str">
        <f>IF(OR(B184&lt;$AE$20,B184&gt;$AF$20),"Outlier","OK")</f>
        <v>OK</v>
      </c>
      <c r="N184" t="str">
        <f>IF(OR(J184&lt;$AE$21,J184&gt;$AF$21),"Outlier","OK")</f>
        <v>OK</v>
      </c>
      <c r="O184" t="str">
        <f>IF(OR(C184&lt;0,C184&gt;1),"Outlier","OK")</f>
        <v>OK</v>
      </c>
      <c r="P184" t="str">
        <f>IF(OR(D184&lt;0,D184&gt;1),"Outlier","OK")</f>
        <v>OK</v>
      </c>
      <c r="Q184" t="str">
        <f t="shared" si="18"/>
        <v>60-80%</v>
      </c>
      <c r="R184" t="str">
        <f>IF(B184="","Missing","OK")</f>
        <v>OK</v>
      </c>
      <c r="S184" t="str">
        <f>IF(E184="","Missing","OK")</f>
        <v>OK</v>
      </c>
      <c r="T184" t="str">
        <f t="shared" si="19"/>
        <v>OK</v>
      </c>
      <c r="U184">
        <f>COUNTIF($A:$A,A184)</f>
        <v>1</v>
      </c>
      <c r="V184" t="str">
        <f t="shared" si="20"/>
        <v>OK</v>
      </c>
      <c r="W184" t="str">
        <f>IF(I184&gt;B184,"ERROR","OK")</f>
        <v>OK</v>
      </c>
      <c r="X184">
        <f>(B184-I184)/B184</f>
        <v>0.78779124641675358</v>
      </c>
      <c r="Y184" s="2">
        <f t="shared" si="21"/>
        <v>5.5511151231257827E-16</v>
      </c>
      <c r="Z184" s="2" t="str">
        <f t="shared" si="22"/>
        <v>OK</v>
      </c>
      <c r="AA184" t="str">
        <f t="shared" si="23"/>
        <v>Unique</v>
      </c>
    </row>
    <row r="185" spans="1:27" x14ac:dyDescent="0.3">
      <c r="A185">
        <v>184</v>
      </c>
      <c r="B185">
        <v>1632706.4791538401</v>
      </c>
      <c r="C185">
        <v>0.45122542174864999</v>
      </c>
      <c r="D185">
        <v>0.118782841531822</v>
      </c>
      <c r="E185">
        <v>0.17996597820967</v>
      </c>
      <c r="F185">
        <v>1</v>
      </c>
      <c r="G185" t="s">
        <v>11</v>
      </c>
      <c r="H185">
        <v>0</v>
      </c>
      <c r="I185">
        <v>293831.61865018797</v>
      </c>
      <c r="J185">
        <v>0.82003402179032903</v>
      </c>
      <c r="K185" t="str">
        <f t="shared" si="16"/>
        <v>OK</v>
      </c>
      <c r="L185" t="str">
        <f t="shared" si="17"/>
        <v>OK</v>
      </c>
      <c r="M185" t="str">
        <f>IF(OR(B185&lt;$AE$20,B185&gt;$AF$20),"Outlier","OK")</f>
        <v>OK</v>
      </c>
      <c r="N185" t="str">
        <f>IF(OR(J185&lt;$AE$21,J185&gt;$AF$21),"Outlier","OK")</f>
        <v>OK</v>
      </c>
      <c r="O185" t="str">
        <f>IF(OR(C185&lt;0,C185&gt;1),"Outlier","OK")</f>
        <v>OK</v>
      </c>
      <c r="P185" t="str">
        <f>IF(OR(D185&lt;0,D185&gt;1),"Outlier","OK")</f>
        <v>OK</v>
      </c>
      <c r="Q185" t="str">
        <f t="shared" si="18"/>
        <v>80-100%</v>
      </c>
      <c r="R185" t="str">
        <f>IF(B185="","Missing","OK")</f>
        <v>OK</v>
      </c>
      <c r="S185" t="str">
        <f>IF(E185="","Missing","OK")</f>
        <v>OK</v>
      </c>
      <c r="T185" t="str">
        <f t="shared" si="19"/>
        <v>OK</v>
      </c>
      <c r="U185">
        <f>COUNTIF($A:$A,A185)</f>
        <v>1</v>
      </c>
      <c r="V185" t="str">
        <f t="shared" si="20"/>
        <v>OK</v>
      </c>
      <c r="W185" t="str">
        <f>IF(I185&gt;B185,"ERROR","OK")</f>
        <v>OK</v>
      </c>
      <c r="X185">
        <f>(B185-I185)/B185</f>
        <v>0.82003402179032936</v>
      </c>
      <c r="Y185" s="2">
        <f t="shared" si="21"/>
        <v>3.3306690738754696E-16</v>
      </c>
      <c r="Z185" s="2" t="str">
        <f t="shared" si="22"/>
        <v>OK</v>
      </c>
      <c r="AA185" t="str">
        <f t="shared" si="23"/>
        <v>Unique</v>
      </c>
    </row>
    <row r="186" spans="1:27" x14ac:dyDescent="0.3">
      <c r="A186">
        <v>185</v>
      </c>
      <c r="B186">
        <v>962575.76941066096</v>
      </c>
      <c r="C186">
        <v>0.76502535575588504</v>
      </c>
      <c r="D186">
        <v>-2.4824289915917799E-2</v>
      </c>
      <c r="E186">
        <v>0.62098670826668201</v>
      </c>
      <c r="F186">
        <v>1</v>
      </c>
      <c r="G186" t="s">
        <v>10</v>
      </c>
      <c r="H186">
        <v>0</v>
      </c>
      <c r="I186">
        <v>597746.75850359502</v>
      </c>
      <c r="J186">
        <v>0.37901329173331699</v>
      </c>
      <c r="K186" t="str">
        <f t="shared" si="16"/>
        <v>OK</v>
      </c>
      <c r="L186" t="str">
        <f t="shared" si="17"/>
        <v>OK</v>
      </c>
      <c r="M186" t="str">
        <f>IF(OR(B186&lt;$AE$20,B186&gt;$AF$20),"Outlier","OK")</f>
        <v>OK</v>
      </c>
      <c r="N186" t="str">
        <f>IF(OR(J186&lt;$AE$21,J186&gt;$AF$21),"Outlier","OK")</f>
        <v>OK</v>
      </c>
      <c r="O186" t="str">
        <f>IF(OR(C186&lt;0,C186&gt;1),"Outlier","OK")</f>
        <v>OK</v>
      </c>
      <c r="P186" t="str">
        <f>IF(OR(D186&lt;0,D186&gt;1),"Outlier","OK")</f>
        <v>Outlier</v>
      </c>
      <c r="Q186" t="str">
        <f t="shared" si="18"/>
        <v>20-40%</v>
      </c>
      <c r="R186" t="str">
        <f>IF(B186="","Missing","OK")</f>
        <v>OK</v>
      </c>
      <c r="S186" t="str">
        <f>IF(E186="","Missing","OK")</f>
        <v>OK</v>
      </c>
      <c r="T186" t="str">
        <f t="shared" si="19"/>
        <v>OK</v>
      </c>
      <c r="U186">
        <f>COUNTIF($A:$A,A186)</f>
        <v>1</v>
      </c>
      <c r="V186" t="str">
        <f t="shared" si="20"/>
        <v>OK</v>
      </c>
      <c r="W186" t="str">
        <f>IF(I186&gt;B186,"ERROR","OK")</f>
        <v>OK</v>
      </c>
      <c r="X186">
        <f>(B186-I186)/B186</f>
        <v>0.37901329173331805</v>
      </c>
      <c r="Y186" s="2">
        <f t="shared" si="21"/>
        <v>1.0547118733938987E-15</v>
      </c>
      <c r="Z186" s="2" t="str">
        <f t="shared" si="22"/>
        <v>OK</v>
      </c>
      <c r="AA186" t="str">
        <f t="shared" si="23"/>
        <v>Unique</v>
      </c>
    </row>
    <row r="187" spans="1:27" x14ac:dyDescent="0.3">
      <c r="A187">
        <v>186</v>
      </c>
      <c r="B187">
        <v>1625479.50849303</v>
      </c>
      <c r="C187">
        <v>0.48240402948719902</v>
      </c>
      <c r="D187">
        <v>4.5952025572762699E-2</v>
      </c>
      <c r="E187">
        <v>0.15800129911789601</v>
      </c>
      <c r="F187">
        <v>1</v>
      </c>
      <c r="G187" t="s">
        <v>12</v>
      </c>
      <c r="H187">
        <v>0</v>
      </c>
      <c r="I187">
        <v>256827.87403141899</v>
      </c>
      <c r="J187">
        <v>0.84199870088210305</v>
      </c>
      <c r="K187" t="str">
        <f t="shared" si="16"/>
        <v>OK</v>
      </c>
      <c r="L187" t="str">
        <f t="shared" si="17"/>
        <v>OK</v>
      </c>
      <c r="M187" t="str">
        <f>IF(OR(B187&lt;$AE$20,B187&gt;$AF$20),"Outlier","OK")</f>
        <v>OK</v>
      </c>
      <c r="N187" t="str">
        <f>IF(OR(J187&lt;$AE$21,J187&gt;$AF$21),"Outlier","OK")</f>
        <v>OK</v>
      </c>
      <c r="O187" t="str">
        <f>IF(OR(C187&lt;0,C187&gt;1),"Outlier","OK")</f>
        <v>OK</v>
      </c>
      <c r="P187" t="str">
        <f>IF(OR(D187&lt;0,D187&gt;1),"Outlier","OK")</f>
        <v>OK</v>
      </c>
      <c r="Q187" t="str">
        <f t="shared" si="18"/>
        <v>80-100%</v>
      </c>
      <c r="R187" t="str">
        <f>IF(B187="","Missing","OK")</f>
        <v>OK</v>
      </c>
      <c r="S187" t="str">
        <f>IF(E187="","Missing","OK")</f>
        <v>OK</v>
      </c>
      <c r="T187" t="str">
        <f t="shared" si="19"/>
        <v>OK</v>
      </c>
      <c r="U187">
        <f>COUNTIF($A:$A,A187)</f>
        <v>1</v>
      </c>
      <c r="V187" t="str">
        <f t="shared" si="20"/>
        <v>OK</v>
      </c>
      <c r="W187" t="str">
        <f>IF(I187&gt;B187,"ERROR","OK")</f>
        <v>OK</v>
      </c>
      <c r="X187">
        <f>(B187-I187)/B187</f>
        <v>0.84199870088210327</v>
      </c>
      <c r="Y187" s="2">
        <f t="shared" si="21"/>
        <v>2.2204460492503131E-16</v>
      </c>
      <c r="Z187" s="2" t="str">
        <f t="shared" si="22"/>
        <v>OK</v>
      </c>
      <c r="AA187" t="str">
        <f t="shared" si="23"/>
        <v>Unique</v>
      </c>
    </row>
    <row r="188" spans="1:27" x14ac:dyDescent="0.3">
      <c r="A188">
        <v>187</v>
      </c>
      <c r="B188">
        <v>64481.4381619954</v>
      </c>
      <c r="C188">
        <v>0.29769633289935499</v>
      </c>
      <c r="D188">
        <v>0.159641033118924</v>
      </c>
      <c r="E188">
        <v>0.102773434189566</v>
      </c>
      <c r="F188">
        <v>1</v>
      </c>
      <c r="G188" t="s">
        <v>13</v>
      </c>
      <c r="H188">
        <v>1</v>
      </c>
      <c r="I188">
        <v>6626.9788413904398</v>
      </c>
      <c r="J188">
        <v>0.89722656581043303</v>
      </c>
      <c r="K188" t="str">
        <f t="shared" si="16"/>
        <v>OK</v>
      </c>
      <c r="L188" t="str">
        <f t="shared" si="17"/>
        <v>OK</v>
      </c>
      <c r="M188" t="str">
        <f>IF(OR(B188&lt;$AE$20,B188&gt;$AF$20),"Outlier","OK")</f>
        <v>Outlier</v>
      </c>
      <c r="N188" t="str">
        <f>IF(OR(J188&lt;$AE$21,J188&gt;$AF$21),"Outlier","OK")</f>
        <v>OK</v>
      </c>
      <c r="O188" t="str">
        <f>IF(OR(C188&lt;0,C188&gt;1),"Outlier","OK")</f>
        <v>OK</v>
      </c>
      <c r="P188" t="str">
        <f>IF(OR(D188&lt;0,D188&gt;1),"Outlier","OK")</f>
        <v>OK</v>
      </c>
      <c r="Q188" t="str">
        <f t="shared" si="18"/>
        <v>80-100%</v>
      </c>
      <c r="R188" t="str">
        <f>IF(B188="","Missing","OK")</f>
        <v>OK</v>
      </c>
      <c r="S188" t="str">
        <f>IF(E188="","Missing","OK")</f>
        <v>OK</v>
      </c>
      <c r="T188" t="str">
        <f t="shared" si="19"/>
        <v>OK</v>
      </c>
      <c r="U188">
        <f>COUNTIF($A:$A,A188)</f>
        <v>1</v>
      </c>
      <c r="V188" t="str">
        <f t="shared" si="20"/>
        <v>OK</v>
      </c>
      <c r="W188" t="str">
        <f>IF(I188&gt;B188,"ERROR","OK")</f>
        <v>OK</v>
      </c>
      <c r="X188">
        <f>(B188-I188)/B188</f>
        <v>0.89722656581043347</v>
      </c>
      <c r="Y188" s="2">
        <f t="shared" si="21"/>
        <v>4.4408920985006262E-16</v>
      </c>
      <c r="Z188" s="2" t="str">
        <f t="shared" si="22"/>
        <v>OK</v>
      </c>
      <c r="AA188" t="str">
        <f t="shared" si="23"/>
        <v>Unique</v>
      </c>
    </row>
    <row r="189" spans="1:27" x14ac:dyDescent="0.3">
      <c r="A189">
        <v>188</v>
      </c>
      <c r="B189">
        <v>1125605.81566569</v>
      </c>
      <c r="C189">
        <v>0.43943728108112401</v>
      </c>
      <c r="D189">
        <v>-7.8636805391380203E-3</v>
      </c>
      <c r="E189">
        <v>0.209170214421877</v>
      </c>
      <c r="F189">
        <v>1</v>
      </c>
      <c r="G189" t="s">
        <v>11</v>
      </c>
      <c r="H189">
        <v>1</v>
      </c>
      <c r="I189">
        <v>235443.209817305</v>
      </c>
      <c r="J189">
        <v>0.790829785578122</v>
      </c>
      <c r="K189" t="str">
        <f t="shared" si="16"/>
        <v>OK</v>
      </c>
      <c r="L189" t="str">
        <f t="shared" si="17"/>
        <v>OK</v>
      </c>
      <c r="M189" t="str">
        <f>IF(OR(B189&lt;$AE$20,B189&gt;$AF$20),"Outlier","OK")</f>
        <v>OK</v>
      </c>
      <c r="N189" t="str">
        <f>IF(OR(J189&lt;$AE$21,J189&gt;$AF$21),"Outlier","OK")</f>
        <v>OK</v>
      </c>
      <c r="O189" t="str">
        <f>IF(OR(C189&lt;0,C189&gt;1),"Outlier","OK")</f>
        <v>OK</v>
      </c>
      <c r="P189" t="str">
        <f>IF(OR(D189&lt;0,D189&gt;1),"Outlier","OK")</f>
        <v>Outlier</v>
      </c>
      <c r="Q189" t="str">
        <f t="shared" si="18"/>
        <v>60-80%</v>
      </c>
      <c r="R189" t="str">
        <f>IF(B189="","Missing","OK")</f>
        <v>OK</v>
      </c>
      <c r="S189" t="str">
        <f>IF(E189="","Missing","OK")</f>
        <v>OK</v>
      </c>
      <c r="T189" t="str">
        <f t="shared" si="19"/>
        <v>OK</v>
      </c>
      <c r="U189">
        <f>COUNTIF($A:$A,A189)</f>
        <v>1</v>
      </c>
      <c r="V189" t="str">
        <f t="shared" si="20"/>
        <v>OK</v>
      </c>
      <c r="W189" t="str">
        <f>IF(I189&gt;B189,"ERROR","OK")</f>
        <v>OK</v>
      </c>
      <c r="X189">
        <f>(B189-I189)/B189</f>
        <v>0.79082978557812222</v>
      </c>
      <c r="Y189" s="2">
        <f t="shared" si="21"/>
        <v>2.2204460492503131E-16</v>
      </c>
      <c r="Z189" s="2" t="str">
        <f t="shared" si="22"/>
        <v>OK</v>
      </c>
      <c r="AA189" t="str">
        <f t="shared" si="23"/>
        <v>Unique</v>
      </c>
    </row>
    <row r="190" spans="1:27" x14ac:dyDescent="0.3">
      <c r="A190">
        <v>189</v>
      </c>
      <c r="B190">
        <v>1867267.6887495201</v>
      </c>
      <c r="C190">
        <v>0.42270199338431802</v>
      </c>
      <c r="D190">
        <v>3.0819593124066E-2</v>
      </c>
      <c r="E190">
        <v>0.16303883530254301</v>
      </c>
      <c r="F190">
        <v>1</v>
      </c>
      <c r="G190" t="s">
        <v>12</v>
      </c>
      <c r="H190">
        <v>0</v>
      </c>
      <c r="I190">
        <v>304437.14917179302</v>
      </c>
      <c r="J190">
        <v>0.83696116469745596</v>
      </c>
      <c r="K190" t="str">
        <f t="shared" si="16"/>
        <v>OK</v>
      </c>
      <c r="L190" t="str">
        <f t="shared" si="17"/>
        <v>OK</v>
      </c>
      <c r="M190" t="str">
        <f>IF(OR(B190&lt;$AE$20,B190&gt;$AF$20),"Outlier","OK")</f>
        <v>OK</v>
      </c>
      <c r="N190" t="str">
        <f>IF(OR(J190&lt;$AE$21,J190&gt;$AF$21),"Outlier","OK")</f>
        <v>OK</v>
      </c>
      <c r="O190" t="str">
        <f>IF(OR(C190&lt;0,C190&gt;1),"Outlier","OK")</f>
        <v>OK</v>
      </c>
      <c r="P190" t="str">
        <f>IF(OR(D190&lt;0,D190&gt;1),"Outlier","OK")</f>
        <v>OK</v>
      </c>
      <c r="Q190" t="str">
        <f t="shared" si="18"/>
        <v>80-100%</v>
      </c>
      <c r="R190" t="str">
        <f>IF(B190="","Missing","OK")</f>
        <v>OK</v>
      </c>
      <c r="S190" t="str">
        <f>IF(E190="","Missing","OK")</f>
        <v>OK</v>
      </c>
      <c r="T190" t="str">
        <f t="shared" si="19"/>
        <v>OK</v>
      </c>
      <c r="U190">
        <f>COUNTIF($A:$A,A190)</f>
        <v>1</v>
      </c>
      <c r="V190" t="str">
        <f t="shared" si="20"/>
        <v>OK</v>
      </c>
      <c r="W190" t="str">
        <f>IF(I190&gt;B190,"ERROR","OK")</f>
        <v>OK</v>
      </c>
      <c r="X190">
        <f>(B190-I190)/B190</f>
        <v>0.83696116469745707</v>
      </c>
      <c r="Y190" s="2">
        <f t="shared" si="21"/>
        <v>1.1102230246251565E-15</v>
      </c>
      <c r="Z190" s="2" t="str">
        <f t="shared" si="22"/>
        <v>OK</v>
      </c>
      <c r="AA190" t="str">
        <f t="shared" si="23"/>
        <v>Unique</v>
      </c>
    </row>
    <row r="191" spans="1:27" x14ac:dyDescent="0.3">
      <c r="A191">
        <v>190</v>
      </c>
      <c r="B191">
        <v>1185242.1453344401</v>
      </c>
      <c r="C191">
        <v>0.23771634387965501</v>
      </c>
      <c r="D191">
        <v>-4.90495677066147E-2</v>
      </c>
      <c r="E191">
        <v>0.45285961969423999</v>
      </c>
      <c r="F191">
        <v>1</v>
      </c>
      <c r="G191" t="s">
        <v>10</v>
      </c>
      <c r="H191">
        <v>1</v>
      </c>
      <c r="I191">
        <v>536748.30718174297</v>
      </c>
      <c r="J191">
        <v>0.54714038030575896</v>
      </c>
      <c r="K191" t="str">
        <f t="shared" si="16"/>
        <v>OK</v>
      </c>
      <c r="L191" t="str">
        <f t="shared" si="17"/>
        <v>OK</v>
      </c>
      <c r="M191" t="str">
        <f>IF(OR(B191&lt;$AE$20,B191&gt;$AF$20),"Outlier","OK")</f>
        <v>OK</v>
      </c>
      <c r="N191" t="str">
        <f>IF(OR(J191&lt;$AE$21,J191&gt;$AF$21),"Outlier","OK")</f>
        <v>OK</v>
      </c>
      <c r="O191" t="str">
        <f>IF(OR(C191&lt;0,C191&gt;1),"Outlier","OK")</f>
        <v>OK</v>
      </c>
      <c r="P191" t="str">
        <f>IF(OR(D191&lt;0,D191&gt;1),"Outlier","OK")</f>
        <v>Outlier</v>
      </c>
      <c r="Q191" t="str">
        <f t="shared" si="18"/>
        <v>40-60%</v>
      </c>
      <c r="R191" t="str">
        <f>IF(B191="","Missing","OK")</f>
        <v>OK</v>
      </c>
      <c r="S191" t="str">
        <f>IF(E191="","Missing","OK")</f>
        <v>OK</v>
      </c>
      <c r="T191" t="str">
        <f t="shared" si="19"/>
        <v>OK</v>
      </c>
      <c r="U191">
        <f>COUNTIF($A:$A,A191)</f>
        <v>1</v>
      </c>
      <c r="V191" t="str">
        <f t="shared" si="20"/>
        <v>OK</v>
      </c>
      <c r="W191" t="str">
        <f>IF(I191&gt;B191,"ERROR","OK")</f>
        <v>OK</v>
      </c>
      <c r="X191">
        <f>(B191-I191)/B191</f>
        <v>0.54714038030575718</v>
      </c>
      <c r="Y191" s="2">
        <f t="shared" si="21"/>
        <v>1.7763568394002505E-15</v>
      </c>
      <c r="Z191" s="2" t="str">
        <f t="shared" si="22"/>
        <v>OK</v>
      </c>
      <c r="AA191" t="str">
        <f t="shared" si="23"/>
        <v>Unique</v>
      </c>
    </row>
    <row r="192" spans="1:27" x14ac:dyDescent="0.3">
      <c r="A192">
        <v>191</v>
      </c>
      <c r="B192">
        <v>451886.66851828399</v>
      </c>
      <c r="C192">
        <v>0.83270108068719995</v>
      </c>
      <c r="D192">
        <v>4.9912223223780701E-2</v>
      </c>
      <c r="E192">
        <v>0.33223562984787203</v>
      </c>
      <c r="F192">
        <v>1</v>
      </c>
      <c r="G192" t="s">
        <v>10</v>
      </c>
      <c r="H192">
        <v>0</v>
      </c>
      <c r="I192">
        <v>150132.851935029</v>
      </c>
      <c r="J192">
        <v>0.66776437015212697</v>
      </c>
      <c r="K192" t="str">
        <f t="shared" si="16"/>
        <v>OK</v>
      </c>
      <c r="L192" t="str">
        <f t="shared" si="17"/>
        <v>OK</v>
      </c>
      <c r="M192" t="str">
        <f>IF(OR(B192&lt;$AE$20,B192&gt;$AF$20),"Outlier","OK")</f>
        <v>OK</v>
      </c>
      <c r="N192" t="str">
        <f>IF(OR(J192&lt;$AE$21,J192&gt;$AF$21),"Outlier","OK")</f>
        <v>OK</v>
      </c>
      <c r="O192" t="str">
        <f>IF(OR(C192&lt;0,C192&gt;1),"Outlier","OK")</f>
        <v>OK</v>
      </c>
      <c r="P192" t="str">
        <f>IF(OR(D192&lt;0,D192&gt;1),"Outlier","OK")</f>
        <v>OK</v>
      </c>
      <c r="Q192" t="str">
        <f t="shared" si="18"/>
        <v>60-80%</v>
      </c>
      <c r="R192" t="str">
        <f>IF(B192="","Missing","OK")</f>
        <v>OK</v>
      </c>
      <c r="S192" t="str">
        <f>IF(E192="","Missing","OK")</f>
        <v>OK</v>
      </c>
      <c r="T192" t="str">
        <f t="shared" si="19"/>
        <v>OK</v>
      </c>
      <c r="U192">
        <f>COUNTIF($A:$A,A192)</f>
        <v>1</v>
      </c>
      <c r="V192" t="str">
        <f t="shared" si="20"/>
        <v>OK</v>
      </c>
      <c r="W192" t="str">
        <f>IF(I192&gt;B192,"ERROR","OK")</f>
        <v>OK</v>
      </c>
      <c r="X192">
        <f>(B192-I192)/B192</f>
        <v>0.66776437015212708</v>
      </c>
      <c r="Y192" s="2">
        <f t="shared" si="21"/>
        <v>1.1102230246251565E-16</v>
      </c>
      <c r="Z192" s="2" t="str">
        <f t="shared" si="22"/>
        <v>OK</v>
      </c>
      <c r="AA192" t="str">
        <f t="shared" si="23"/>
        <v>Unique</v>
      </c>
    </row>
    <row r="193" spans="1:27" x14ac:dyDescent="0.3">
      <c r="A193">
        <v>192</v>
      </c>
      <c r="B193">
        <v>1449627.2464451301</v>
      </c>
      <c r="C193">
        <v>0.63946085151504595</v>
      </c>
      <c r="D193">
        <v>0.17045903590793399</v>
      </c>
      <c r="E193">
        <v>7.9733044402009907E-3</v>
      </c>
      <c r="F193">
        <v>1</v>
      </c>
      <c r="G193" t="s">
        <v>11</v>
      </c>
      <c r="H193">
        <v>0</v>
      </c>
      <c r="I193">
        <v>11558.3193607173</v>
      </c>
      <c r="J193">
        <v>0.99202669555979905</v>
      </c>
      <c r="K193" t="str">
        <f t="shared" si="16"/>
        <v>OK</v>
      </c>
      <c r="L193" t="str">
        <f t="shared" si="17"/>
        <v>OK</v>
      </c>
      <c r="M193" t="str">
        <f>IF(OR(B193&lt;$AE$20,B193&gt;$AF$20),"Outlier","OK")</f>
        <v>OK</v>
      </c>
      <c r="N193" t="str">
        <f>IF(OR(J193&lt;$AE$21,J193&gt;$AF$21),"Outlier","OK")</f>
        <v>Outlier</v>
      </c>
      <c r="O193" t="str">
        <f>IF(OR(C193&lt;0,C193&gt;1),"Outlier","OK")</f>
        <v>OK</v>
      </c>
      <c r="P193" t="str">
        <f>IF(OR(D193&lt;0,D193&gt;1),"Outlier","OK")</f>
        <v>OK</v>
      </c>
      <c r="Q193" t="str">
        <f t="shared" si="18"/>
        <v>80-100%</v>
      </c>
      <c r="R193" t="str">
        <f>IF(B193="","Missing","OK")</f>
        <v>OK</v>
      </c>
      <c r="S193" t="str">
        <f>IF(E193="","Missing","OK")</f>
        <v>OK</v>
      </c>
      <c r="T193" t="str">
        <f t="shared" si="19"/>
        <v>OK</v>
      </c>
      <c r="U193">
        <f>COUNTIF($A:$A,A193)</f>
        <v>1</v>
      </c>
      <c r="V193" t="str">
        <f t="shared" si="20"/>
        <v>OK</v>
      </c>
      <c r="W193" t="str">
        <f>IF(I193&gt;B193,"ERROR","OK")</f>
        <v>OK</v>
      </c>
      <c r="X193">
        <f>(B193-I193)/B193</f>
        <v>0.99202669555979905</v>
      </c>
      <c r="Y193" s="2">
        <f t="shared" si="21"/>
        <v>0</v>
      </c>
      <c r="Z193" s="2" t="str">
        <f t="shared" si="22"/>
        <v>OK</v>
      </c>
      <c r="AA193" t="str">
        <f t="shared" si="23"/>
        <v>Unique</v>
      </c>
    </row>
    <row r="194" spans="1:27" x14ac:dyDescent="0.3">
      <c r="A194">
        <v>193</v>
      </c>
      <c r="B194">
        <v>789022.40691288898</v>
      </c>
      <c r="C194">
        <v>0.16519603777355699</v>
      </c>
      <c r="D194">
        <v>-0.13323687325994099</v>
      </c>
      <c r="E194">
        <v>0.37007386014596799</v>
      </c>
      <c r="F194">
        <v>1</v>
      </c>
      <c r="G194" t="s">
        <v>12</v>
      </c>
      <c r="H194">
        <v>0</v>
      </c>
      <c r="I194">
        <v>291996.56786791497</v>
      </c>
      <c r="J194">
        <v>0.62992613985403201</v>
      </c>
      <c r="K194" t="str">
        <f t="shared" si="16"/>
        <v>OK</v>
      </c>
      <c r="L194" t="str">
        <f t="shared" si="17"/>
        <v>OK</v>
      </c>
      <c r="M194" t="str">
        <f>IF(OR(B194&lt;$AE$20,B194&gt;$AF$20),"Outlier","OK")</f>
        <v>OK</v>
      </c>
      <c r="N194" t="str">
        <f>IF(OR(J194&lt;$AE$21,J194&gt;$AF$21),"Outlier","OK")</f>
        <v>OK</v>
      </c>
      <c r="O194" t="str">
        <f>IF(OR(C194&lt;0,C194&gt;1),"Outlier","OK")</f>
        <v>OK</v>
      </c>
      <c r="P194" t="str">
        <f>IF(OR(D194&lt;0,D194&gt;1),"Outlier","OK")</f>
        <v>Outlier</v>
      </c>
      <c r="Q194" t="str">
        <f t="shared" si="18"/>
        <v>60-80%</v>
      </c>
      <c r="R194" t="str">
        <f>IF(B194="","Missing","OK")</f>
        <v>OK</v>
      </c>
      <c r="S194" t="str">
        <f>IF(E194="","Missing","OK")</f>
        <v>OK</v>
      </c>
      <c r="T194" t="str">
        <f t="shared" si="19"/>
        <v>OK</v>
      </c>
      <c r="U194">
        <f>COUNTIF($A:$A,A194)</f>
        <v>1</v>
      </c>
      <c r="V194" t="str">
        <f t="shared" si="20"/>
        <v>OK</v>
      </c>
      <c r="W194" t="str">
        <f>IF(I194&gt;B194,"ERROR","OK")</f>
        <v>OK</v>
      </c>
      <c r="X194">
        <f>(B194-I194)/B194</f>
        <v>0.62992613985403267</v>
      </c>
      <c r="Y194" s="2">
        <f t="shared" si="21"/>
        <v>6.6613381477509392E-16</v>
      </c>
      <c r="Z194" s="2" t="str">
        <f t="shared" si="22"/>
        <v>OK</v>
      </c>
      <c r="AA194" t="str">
        <f t="shared" si="23"/>
        <v>Unique</v>
      </c>
    </row>
    <row r="195" spans="1:27" x14ac:dyDescent="0.3">
      <c r="A195">
        <v>194</v>
      </c>
      <c r="B195">
        <v>1353348.6971559401</v>
      </c>
      <c r="C195">
        <v>0.14570004713256601</v>
      </c>
      <c r="D195">
        <v>5.5118122691446498E-3</v>
      </c>
      <c r="E195">
        <v>0.45220987802006102</v>
      </c>
      <c r="F195">
        <v>1</v>
      </c>
      <c r="G195" t="s">
        <v>12</v>
      </c>
      <c r="H195">
        <v>0</v>
      </c>
      <c r="I195">
        <v>611997.64925949997</v>
      </c>
      <c r="J195">
        <v>0.54779012197993804</v>
      </c>
      <c r="K195" t="str">
        <f t="shared" ref="K195:K258" si="24">IF(OR(J195&lt;0,J195&gt;1),"Error","OK")</f>
        <v>OK</v>
      </c>
      <c r="L195" t="str">
        <f t="shared" ref="L195:L258" si="25">IF(I195&gt;B195,"Error","OK")</f>
        <v>OK</v>
      </c>
      <c r="M195" t="str">
        <f>IF(OR(B195&lt;$AE$20,B195&gt;$AF$20),"Outlier","OK")</f>
        <v>OK</v>
      </c>
      <c r="N195" t="str">
        <f>IF(OR(J195&lt;$AE$21,J195&gt;$AF$21),"Outlier","OK")</f>
        <v>OK</v>
      </c>
      <c r="O195" t="str">
        <f>IF(OR(C195&lt;0,C195&gt;1),"Outlier","OK")</f>
        <v>OK</v>
      </c>
      <c r="P195" t="str">
        <f>IF(OR(D195&lt;0,D195&gt;1),"Outlier","OK")</f>
        <v>OK</v>
      </c>
      <c r="Q195" t="str">
        <f t="shared" ref="Q195:Q258" si="26">IF(J195&lt;=0.2,"0-20%",
 IF(J195&lt;=0.4,"20-40%",
 IF(J195&lt;=0.6,"40-60%",
 IF(J195&lt;=0.8,"60-80%","80-100%"))))</f>
        <v>40-60%</v>
      </c>
      <c r="R195" t="str">
        <f>IF(B195="","Missing","OK")</f>
        <v>OK</v>
      </c>
      <c r="S195" t="str">
        <f>IF(E195="","Missing","OK")</f>
        <v>OK</v>
      </c>
      <c r="T195" t="str">
        <f t="shared" ref="T195:T258" si="27">IF(J195="","Missing","OK")</f>
        <v>OK</v>
      </c>
      <c r="U195">
        <f>COUNTIF($A:$A,A195)</f>
        <v>1</v>
      </c>
      <c r="V195" t="str">
        <f t="shared" ref="V195:V258" si="28">IF(OR(J195&lt;0,J195&gt;1),"ERROR","OK")</f>
        <v>OK</v>
      </c>
      <c r="W195" t="str">
        <f>IF(I195&gt;B195,"ERROR","OK")</f>
        <v>OK</v>
      </c>
      <c r="X195">
        <f>(B195-I195)/B195</f>
        <v>0.54779012197993615</v>
      </c>
      <c r="Y195" s="2">
        <f t="shared" ref="Y195:Y258" si="29">ABS(J195-X195)</f>
        <v>1.8873791418627661E-15</v>
      </c>
      <c r="Z195" s="2" t="str">
        <f t="shared" ref="Z195:Z258" si="30">IF(OR(B195="",I195="",J195=""),"Missing","OK")</f>
        <v>OK</v>
      </c>
      <c r="AA195" t="str">
        <f t="shared" ref="AA195:AA258" si="31">IF(COUNTIF($A:$A,A195)&gt;1,"Duplicate","Unique")</f>
        <v>Unique</v>
      </c>
    </row>
    <row r="196" spans="1:27" x14ac:dyDescent="0.3">
      <c r="A196">
        <v>195</v>
      </c>
      <c r="B196">
        <v>107173.45964285301</v>
      </c>
      <c r="C196">
        <v>0.51881095961911605</v>
      </c>
      <c r="D196">
        <v>-7.6354466248212294E-2</v>
      </c>
      <c r="E196">
        <v>0.34684562812865599</v>
      </c>
      <c r="F196">
        <v>1</v>
      </c>
      <c r="G196" t="s">
        <v>12</v>
      </c>
      <c r="H196">
        <v>1</v>
      </c>
      <c r="I196">
        <v>37172.645928546801</v>
      </c>
      <c r="J196">
        <v>0.65315437187134395</v>
      </c>
      <c r="K196" t="str">
        <f t="shared" si="24"/>
        <v>OK</v>
      </c>
      <c r="L196" t="str">
        <f t="shared" si="25"/>
        <v>OK</v>
      </c>
      <c r="M196" t="str">
        <f>IF(OR(B196&lt;$AE$20,B196&gt;$AF$20),"Outlier","OK")</f>
        <v>OK</v>
      </c>
      <c r="N196" t="str">
        <f>IF(OR(J196&lt;$AE$21,J196&gt;$AF$21),"Outlier","OK")</f>
        <v>OK</v>
      </c>
      <c r="O196" t="str">
        <f>IF(OR(C196&lt;0,C196&gt;1),"Outlier","OK")</f>
        <v>OK</v>
      </c>
      <c r="P196" t="str">
        <f>IF(OR(D196&lt;0,D196&gt;1),"Outlier","OK")</f>
        <v>Outlier</v>
      </c>
      <c r="Q196" t="str">
        <f t="shared" si="26"/>
        <v>60-80%</v>
      </c>
      <c r="R196" t="str">
        <f>IF(B196="","Missing","OK")</f>
        <v>OK</v>
      </c>
      <c r="S196" t="str">
        <f>IF(E196="","Missing","OK")</f>
        <v>OK</v>
      </c>
      <c r="T196" t="str">
        <f t="shared" si="27"/>
        <v>OK</v>
      </c>
      <c r="U196">
        <f>COUNTIF($A:$A,A196)</f>
        <v>1</v>
      </c>
      <c r="V196" t="str">
        <f t="shared" si="28"/>
        <v>OK</v>
      </c>
      <c r="W196" t="str">
        <f>IF(I196&gt;B196,"ERROR","OK")</f>
        <v>OK</v>
      </c>
      <c r="X196">
        <f>(B196-I196)/B196</f>
        <v>0.65315437187134129</v>
      </c>
      <c r="Y196" s="2">
        <f t="shared" si="29"/>
        <v>2.6645352591003757E-15</v>
      </c>
      <c r="Z196" s="2" t="str">
        <f t="shared" si="30"/>
        <v>OK</v>
      </c>
      <c r="AA196" t="str">
        <f t="shared" si="31"/>
        <v>Unique</v>
      </c>
    </row>
    <row r="197" spans="1:27" x14ac:dyDescent="0.3">
      <c r="A197">
        <v>196</v>
      </c>
      <c r="B197">
        <v>1290005.7007351399</v>
      </c>
      <c r="C197">
        <v>0.87493414342563602</v>
      </c>
      <c r="D197">
        <v>5.8646726748567503E-2</v>
      </c>
      <c r="E197">
        <v>0.44072438884765403</v>
      </c>
      <c r="F197">
        <v>1</v>
      </c>
      <c r="G197" t="s">
        <v>10</v>
      </c>
      <c r="H197">
        <v>1</v>
      </c>
      <c r="I197">
        <v>568536.97406648705</v>
      </c>
      <c r="J197">
        <v>0.55927561115234503</v>
      </c>
      <c r="K197" t="str">
        <f t="shared" si="24"/>
        <v>OK</v>
      </c>
      <c r="L197" t="str">
        <f t="shared" si="25"/>
        <v>OK</v>
      </c>
      <c r="M197" t="str">
        <f>IF(OR(B197&lt;$AE$20,B197&gt;$AF$20),"Outlier","OK")</f>
        <v>OK</v>
      </c>
      <c r="N197" t="str">
        <f>IF(OR(J197&lt;$AE$21,J197&gt;$AF$21),"Outlier","OK")</f>
        <v>OK</v>
      </c>
      <c r="O197" t="str">
        <f>IF(OR(C197&lt;0,C197&gt;1),"Outlier","OK")</f>
        <v>OK</v>
      </c>
      <c r="P197" t="str">
        <f>IF(OR(D197&lt;0,D197&gt;1),"Outlier","OK")</f>
        <v>OK</v>
      </c>
      <c r="Q197" t="str">
        <f t="shared" si="26"/>
        <v>40-60%</v>
      </c>
      <c r="R197" t="str">
        <f>IF(B197="","Missing","OK")</f>
        <v>OK</v>
      </c>
      <c r="S197" t="str">
        <f>IF(E197="","Missing","OK")</f>
        <v>OK</v>
      </c>
      <c r="T197" t="str">
        <f t="shared" si="27"/>
        <v>OK</v>
      </c>
      <c r="U197">
        <f>COUNTIF($A:$A,A197)</f>
        <v>1</v>
      </c>
      <c r="V197" t="str">
        <f t="shared" si="28"/>
        <v>OK</v>
      </c>
      <c r="W197" t="str">
        <f>IF(I197&gt;B197,"ERROR","OK")</f>
        <v>OK</v>
      </c>
      <c r="X197">
        <f>(B197-I197)/B197</f>
        <v>0.55927561115234381</v>
      </c>
      <c r="Y197" s="2">
        <f t="shared" si="29"/>
        <v>1.2212453270876722E-15</v>
      </c>
      <c r="Z197" s="2" t="str">
        <f t="shared" si="30"/>
        <v>OK</v>
      </c>
      <c r="AA197" t="str">
        <f t="shared" si="31"/>
        <v>Unique</v>
      </c>
    </row>
    <row r="198" spans="1:27" x14ac:dyDescent="0.3">
      <c r="A198">
        <v>197</v>
      </c>
      <c r="B198">
        <v>112785.97312895099</v>
      </c>
      <c r="C198">
        <v>0.42328224242596202</v>
      </c>
      <c r="D198">
        <v>-1.39680515191712E-2</v>
      </c>
      <c r="E198">
        <v>0.47404520566768099</v>
      </c>
      <c r="F198">
        <v>1</v>
      </c>
      <c r="G198" t="s">
        <v>11</v>
      </c>
      <c r="H198">
        <v>1</v>
      </c>
      <c r="I198">
        <v>53465.649828343499</v>
      </c>
      <c r="J198">
        <v>0.52595479433231895</v>
      </c>
      <c r="K198" t="str">
        <f t="shared" si="24"/>
        <v>OK</v>
      </c>
      <c r="L198" t="str">
        <f t="shared" si="25"/>
        <v>OK</v>
      </c>
      <c r="M198" t="str">
        <f>IF(OR(B198&lt;$AE$20,B198&gt;$AF$20),"Outlier","OK")</f>
        <v>OK</v>
      </c>
      <c r="N198" t="str">
        <f>IF(OR(J198&lt;$AE$21,J198&gt;$AF$21),"Outlier","OK")</f>
        <v>OK</v>
      </c>
      <c r="O198" t="str">
        <f>IF(OR(C198&lt;0,C198&gt;1),"Outlier","OK")</f>
        <v>OK</v>
      </c>
      <c r="P198" t="str">
        <f>IF(OR(D198&lt;0,D198&gt;1),"Outlier","OK")</f>
        <v>Outlier</v>
      </c>
      <c r="Q198" t="str">
        <f t="shared" si="26"/>
        <v>40-60%</v>
      </c>
      <c r="R198" t="str">
        <f>IF(B198="","Missing","OK")</f>
        <v>OK</v>
      </c>
      <c r="S198" t="str">
        <f>IF(E198="","Missing","OK")</f>
        <v>OK</v>
      </c>
      <c r="T198" t="str">
        <f t="shared" si="27"/>
        <v>OK</v>
      </c>
      <c r="U198">
        <f>COUNTIF($A:$A,A198)</f>
        <v>1</v>
      </c>
      <c r="V198" t="str">
        <f t="shared" si="28"/>
        <v>OK</v>
      </c>
      <c r="W198" t="str">
        <f>IF(I198&gt;B198,"ERROR","OK")</f>
        <v>OK</v>
      </c>
      <c r="X198">
        <f>(B198-I198)/B198</f>
        <v>0.52595479433231562</v>
      </c>
      <c r="Y198" s="2">
        <f t="shared" si="29"/>
        <v>3.3306690738754696E-15</v>
      </c>
      <c r="Z198" s="2" t="str">
        <f t="shared" si="30"/>
        <v>OK</v>
      </c>
      <c r="AA198" t="str">
        <f t="shared" si="31"/>
        <v>Unique</v>
      </c>
    </row>
    <row r="199" spans="1:27" x14ac:dyDescent="0.3">
      <c r="A199">
        <v>198</v>
      </c>
      <c r="B199">
        <v>1502322.2775264401</v>
      </c>
      <c r="C199">
        <v>0.26884325101106199</v>
      </c>
      <c r="D199">
        <v>-0.153087795613079</v>
      </c>
      <c r="E199">
        <v>0.35379984677462301</v>
      </c>
      <c r="F199">
        <v>1</v>
      </c>
      <c r="G199" t="s">
        <v>12</v>
      </c>
      <c r="H199">
        <v>0</v>
      </c>
      <c r="I199">
        <v>531521.39159495896</v>
      </c>
      <c r="J199">
        <v>0.64620015322537605</v>
      </c>
      <c r="K199" t="str">
        <f t="shared" si="24"/>
        <v>OK</v>
      </c>
      <c r="L199" t="str">
        <f t="shared" si="25"/>
        <v>OK</v>
      </c>
      <c r="M199" t="str">
        <f>IF(OR(B199&lt;$AE$20,B199&gt;$AF$20),"Outlier","OK")</f>
        <v>OK</v>
      </c>
      <c r="N199" t="str">
        <f>IF(OR(J199&lt;$AE$21,J199&gt;$AF$21),"Outlier","OK")</f>
        <v>OK</v>
      </c>
      <c r="O199" t="str">
        <f>IF(OR(C199&lt;0,C199&gt;1),"Outlier","OK")</f>
        <v>OK</v>
      </c>
      <c r="P199" t="str">
        <f>IF(OR(D199&lt;0,D199&gt;1),"Outlier","OK")</f>
        <v>Outlier</v>
      </c>
      <c r="Q199" t="str">
        <f t="shared" si="26"/>
        <v>60-80%</v>
      </c>
      <c r="R199" t="str">
        <f>IF(B199="","Missing","OK")</f>
        <v>OK</v>
      </c>
      <c r="S199" t="str">
        <f>IF(E199="","Missing","OK")</f>
        <v>OK</v>
      </c>
      <c r="T199" t="str">
        <f t="shared" si="27"/>
        <v>OK</v>
      </c>
      <c r="U199">
        <f>COUNTIF($A:$A,A199)</f>
        <v>1</v>
      </c>
      <c r="V199" t="str">
        <f t="shared" si="28"/>
        <v>OK</v>
      </c>
      <c r="W199" t="str">
        <f>IF(I199&gt;B199,"ERROR","OK")</f>
        <v>OK</v>
      </c>
      <c r="X199">
        <f>(B199-I199)/B199</f>
        <v>0.64620015322537583</v>
      </c>
      <c r="Y199" s="2">
        <f t="shared" si="29"/>
        <v>2.2204460492503131E-16</v>
      </c>
      <c r="Z199" s="2" t="str">
        <f t="shared" si="30"/>
        <v>OK</v>
      </c>
      <c r="AA199" t="str">
        <f t="shared" si="31"/>
        <v>Unique</v>
      </c>
    </row>
    <row r="200" spans="1:27" x14ac:dyDescent="0.3">
      <c r="A200">
        <v>199</v>
      </c>
      <c r="B200">
        <v>972180.354364987</v>
      </c>
      <c r="C200">
        <v>0.77668958676301103</v>
      </c>
      <c r="D200">
        <v>1.23340661355345E-2</v>
      </c>
      <c r="E200">
        <v>0.41273693831326902</v>
      </c>
      <c r="F200">
        <v>1</v>
      </c>
      <c r="G200" t="s">
        <v>10</v>
      </c>
      <c r="H200">
        <v>1</v>
      </c>
      <c r="I200">
        <v>401254.742948914</v>
      </c>
      <c r="J200">
        <v>0.58726306168673004</v>
      </c>
      <c r="K200" t="str">
        <f t="shared" si="24"/>
        <v>OK</v>
      </c>
      <c r="L200" t="str">
        <f t="shared" si="25"/>
        <v>OK</v>
      </c>
      <c r="M200" t="str">
        <f>IF(OR(B200&lt;$AE$20,B200&gt;$AF$20),"Outlier","OK")</f>
        <v>OK</v>
      </c>
      <c r="N200" t="str">
        <f>IF(OR(J200&lt;$AE$21,J200&gt;$AF$21),"Outlier","OK")</f>
        <v>OK</v>
      </c>
      <c r="O200" t="str">
        <f>IF(OR(C200&lt;0,C200&gt;1),"Outlier","OK")</f>
        <v>OK</v>
      </c>
      <c r="P200" t="str">
        <f>IF(OR(D200&lt;0,D200&gt;1),"Outlier","OK")</f>
        <v>OK</v>
      </c>
      <c r="Q200" t="str">
        <f t="shared" si="26"/>
        <v>40-60%</v>
      </c>
      <c r="R200" t="str">
        <f>IF(B200="","Missing","OK")</f>
        <v>OK</v>
      </c>
      <c r="S200" t="str">
        <f>IF(E200="","Missing","OK")</f>
        <v>OK</v>
      </c>
      <c r="T200" t="str">
        <f t="shared" si="27"/>
        <v>OK</v>
      </c>
      <c r="U200">
        <f>COUNTIF($A:$A,A200)</f>
        <v>1</v>
      </c>
      <c r="V200" t="str">
        <f t="shared" si="28"/>
        <v>OK</v>
      </c>
      <c r="W200" t="str">
        <f>IF(I200&gt;B200,"ERROR","OK")</f>
        <v>OK</v>
      </c>
      <c r="X200">
        <f>(B200-I200)/B200</f>
        <v>0.5872630616867307</v>
      </c>
      <c r="Y200" s="2">
        <f t="shared" si="29"/>
        <v>6.6613381477509392E-16</v>
      </c>
      <c r="Z200" s="2" t="str">
        <f t="shared" si="30"/>
        <v>OK</v>
      </c>
      <c r="AA200" t="str">
        <f t="shared" si="31"/>
        <v>Unique</v>
      </c>
    </row>
    <row r="201" spans="1:27" x14ac:dyDescent="0.3">
      <c r="A201">
        <v>200</v>
      </c>
      <c r="B201">
        <v>287420.99317245401</v>
      </c>
      <c r="C201">
        <v>0.37452906468245201</v>
      </c>
      <c r="D201">
        <v>8.9829977249112694E-2</v>
      </c>
      <c r="E201">
        <v>0.25862991653784601</v>
      </c>
      <c r="F201">
        <v>1</v>
      </c>
      <c r="G201" t="s">
        <v>12</v>
      </c>
      <c r="H201">
        <v>1</v>
      </c>
      <c r="I201">
        <v>74335.667475416907</v>
      </c>
      <c r="J201">
        <v>0.74137008346215305</v>
      </c>
      <c r="K201" t="str">
        <f t="shared" si="24"/>
        <v>OK</v>
      </c>
      <c r="L201" t="str">
        <f t="shared" si="25"/>
        <v>OK</v>
      </c>
      <c r="M201" t="str">
        <f>IF(OR(B201&lt;$AE$20,B201&gt;$AF$20),"Outlier","OK")</f>
        <v>OK</v>
      </c>
      <c r="N201" t="str">
        <f>IF(OR(J201&lt;$AE$21,J201&gt;$AF$21),"Outlier","OK")</f>
        <v>OK</v>
      </c>
      <c r="O201" t="str">
        <f>IF(OR(C201&lt;0,C201&gt;1),"Outlier","OK")</f>
        <v>OK</v>
      </c>
      <c r="P201" t="str">
        <f>IF(OR(D201&lt;0,D201&gt;1),"Outlier","OK")</f>
        <v>OK</v>
      </c>
      <c r="Q201" t="str">
        <f t="shared" si="26"/>
        <v>60-80%</v>
      </c>
      <c r="R201" t="str">
        <f>IF(B201="","Missing","OK")</f>
        <v>OK</v>
      </c>
      <c r="S201" t="str">
        <f>IF(E201="","Missing","OK")</f>
        <v>OK</v>
      </c>
      <c r="T201" t="str">
        <f t="shared" si="27"/>
        <v>OK</v>
      </c>
      <c r="U201">
        <f>COUNTIF($A:$A,A201)</f>
        <v>1</v>
      </c>
      <c r="V201" t="str">
        <f t="shared" si="28"/>
        <v>OK</v>
      </c>
      <c r="W201" t="str">
        <f>IF(I201&gt;B201,"ERROR","OK")</f>
        <v>OK</v>
      </c>
      <c r="X201">
        <f>(B201-I201)/B201</f>
        <v>0.74137008346215283</v>
      </c>
      <c r="Y201" s="2">
        <f t="shared" si="29"/>
        <v>2.2204460492503131E-16</v>
      </c>
      <c r="Z201" s="2" t="str">
        <f t="shared" si="30"/>
        <v>OK</v>
      </c>
      <c r="AA201" t="str">
        <f t="shared" si="31"/>
        <v>Unique</v>
      </c>
    </row>
    <row r="202" spans="1:27" x14ac:dyDescent="0.3">
      <c r="A202">
        <v>201</v>
      </c>
      <c r="B202">
        <v>1108140.05528758</v>
      </c>
      <c r="C202">
        <v>0.35421010900915301</v>
      </c>
      <c r="D202">
        <v>-5.9498520170624597E-2</v>
      </c>
      <c r="E202">
        <v>0.30229663631805898</v>
      </c>
      <c r="F202">
        <v>1</v>
      </c>
      <c r="G202" t="s">
        <v>11</v>
      </c>
      <c r="H202">
        <v>1</v>
      </c>
      <c r="I202">
        <v>334987.01128274499</v>
      </c>
      <c r="J202">
        <v>0.69770336368194097</v>
      </c>
      <c r="K202" t="str">
        <f t="shared" si="24"/>
        <v>OK</v>
      </c>
      <c r="L202" t="str">
        <f t="shared" si="25"/>
        <v>OK</v>
      </c>
      <c r="M202" t="str">
        <f>IF(OR(B202&lt;$AE$20,B202&gt;$AF$20),"Outlier","OK")</f>
        <v>OK</v>
      </c>
      <c r="N202" t="str">
        <f>IF(OR(J202&lt;$AE$21,J202&gt;$AF$21),"Outlier","OK")</f>
        <v>OK</v>
      </c>
      <c r="O202" t="str">
        <f>IF(OR(C202&lt;0,C202&gt;1),"Outlier","OK")</f>
        <v>OK</v>
      </c>
      <c r="P202" t="str">
        <f>IF(OR(D202&lt;0,D202&gt;1),"Outlier","OK")</f>
        <v>Outlier</v>
      </c>
      <c r="Q202" t="str">
        <f t="shared" si="26"/>
        <v>60-80%</v>
      </c>
      <c r="R202" t="str">
        <f>IF(B202="","Missing","OK")</f>
        <v>OK</v>
      </c>
      <c r="S202" t="str">
        <f>IF(E202="","Missing","OK")</f>
        <v>OK</v>
      </c>
      <c r="T202" t="str">
        <f t="shared" si="27"/>
        <v>OK</v>
      </c>
      <c r="U202">
        <f>COUNTIF($A:$A,A202)</f>
        <v>1</v>
      </c>
      <c r="V202" t="str">
        <f t="shared" si="28"/>
        <v>OK</v>
      </c>
      <c r="W202" t="str">
        <f>IF(I202&gt;B202,"ERROR","OK")</f>
        <v>OK</v>
      </c>
      <c r="X202">
        <f>(B202-I202)/B202</f>
        <v>0.69770336368193953</v>
      </c>
      <c r="Y202" s="2">
        <f t="shared" si="29"/>
        <v>1.4432899320127035E-15</v>
      </c>
      <c r="Z202" s="2" t="str">
        <f t="shared" si="30"/>
        <v>OK</v>
      </c>
      <c r="AA202" t="str">
        <f t="shared" si="31"/>
        <v>Unique</v>
      </c>
    </row>
    <row r="203" spans="1:27" x14ac:dyDescent="0.3">
      <c r="A203">
        <v>202</v>
      </c>
      <c r="B203">
        <v>180210.164288759</v>
      </c>
      <c r="C203">
        <v>0.50966075822253998</v>
      </c>
      <c r="D203">
        <v>1.9668453316130201E-2</v>
      </c>
      <c r="E203">
        <v>0.23321502809531899</v>
      </c>
      <c r="F203">
        <v>1</v>
      </c>
      <c r="G203" t="s">
        <v>11</v>
      </c>
      <c r="H203">
        <v>0</v>
      </c>
      <c r="I203">
        <v>42027.718527664998</v>
      </c>
      <c r="J203">
        <v>0.76678497190467998</v>
      </c>
      <c r="K203" t="str">
        <f t="shared" si="24"/>
        <v>OK</v>
      </c>
      <c r="L203" t="str">
        <f t="shared" si="25"/>
        <v>OK</v>
      </c>
      <c r="M203" t="str">
        <f>IF(OR(B203&lt;$AE$20,B203&gt;$AF$20),"Outlier","OK")</f>
        <v>OK</v>
      </c>
      <c r="N203" t="str">
        <f>IF(OR(J203&lt;$AE$21,J203&gt;$AF$21),"Outlier","OK")</f>
        <v>OK</v>
      </c>
      <c r="O203" t="str">
        <f>IF(OR(C203&lt;0,C203&gt;1),"Outlier","OK")</f>
        <v>OK</v>
      </c>
      <c r="P203" t="str">
        <f>IF(OR(D203&lt;0,D203&gt;1),"Outlier","OK")</f>
        <v>OK</v>
      </c>
      <c r="Q203" t="str">
        <f t="shared" si="26"/>
        <v>60-80%</v>
      </c>
      <c r="R203" t="str">
        <f>IF(B203="","Missing","OK")</f>
        <v>OK</v>
      </c>
      <c r="S203" t="str">
        <f>IF(E203="","Missing","OK")</f>
        <v>OK</v>
      </c>
      <c r="T203" t="str">
        <f t="shared" si="27"/>
        <v>OK</v>
      </c>
      <c r="U203">
        <f>COUNTIF($A:$A,A203)</f>
        <v>1</v>
      </c>
      <c r="V203" t="str">
        <f t="shared" si="28"/>
        <v>OK</v>
      </c>
      <c r="W203" t="str">
        <f>IF(I203&gt;B203,"ERROR","OK")</f>
        <v>OK</v>
      </c>
      <c r="X203">
        <f>(B203-I203)/B203</f>
        <v>0.76678497190468087</v>
      </c>
      <c r="Y203" s="2">
        <f t="shared" si="29"/>
        <v>8.8817841970012523E-16</v>
      </c>
      <c r="Z203" s="2" t="str">
        <f t="shared" si="30"/>
        <v>OK</v>
      </c>
      <c r="AA203" t="str">
        <f t="shared" si="31"/>
        <v>Unique</v>
      </c>
    </row>
    <row r="204" spans="1:27" x14ac:dyDescent="0.3">
      <c r="A204">
        <v>203</v>
      </c>
      <c r="B204">
        <v>1324061.49913842</v>
      </c>
      <c r="C204">
        <v>0.49049472507981701</v>
      </c>
      <c r="D204">
        <v>4.9229188650312297E-2</v>
      </c>
      <c r="E204">
        <v>0.43068537893973102</v>
      </c>
      <c r="F204">
        <v>1</v>
      </c>
      <c r="G204" t="s">
        <v>12</v>
      </c>
      <c r="H204">
        <v>1</v>
      </c>
      <c r="I204">
        <v>570253.92849594296</v>
      </c>
      <c r="J204">
        <v>0.56931462106026798</v>
      </c>
      <c r="K204" t="str">
        <f t="shared" si="24"/>
        <v>OK</v>
      </c>
      <c r="L204" t="str">
        <f t="shared" si="25"/>
        <v>OK</v>
      </c>
      <c r="M204" t="str">
        <f>IF(OR(B204&lt;$AE$20,B204&gt;$AF$20),"Outlier","OK")</f>
        <v>OK</v>
      </c>
      <c r="N204" t="str">
        <f>IF(OR(J204&lt;$AE$21,J204&gt;$AF$21),"Outlier","OK")</f>
        <v>OK</v>
      </c>
      <c r="O204" t="str">
        <f>IF(OR(C204&lt;0,C204&gt;1),"Outlier","OK")</f>
        <v>OK</v>
      </c>
      <c r="P204" t="str">
        <f>IF(OR(D204&lt;0,D204&gt;1),"Outlier","OK")</f>
        <v>OK</v>
      </c>
      <c r="Q204" t="str">
        <f t="shared" si="26"/>
        <v>40-60%</v>
      </c>
      <c r="R204" t="str">
        <f>IF(B204="","Missing","OK")</f>
        <v>OK</v>
      </c>
      <c r="S204" t="str">
        <f>IF(E204="","Missing","OK")</f>
        <v>OK</v>
      </c>
      <c r="T204" t="str">
        <f t="shared" si="27"/>
        <v>OK</v>
      </c>
      <c r="U204">
        <f>COUNTIF($A:$A,A204)</f>
        <v>1</v>
      </c>
      <c r="V204" t="str">
        <f t="shared" si="28"/>
        <v>OK</v>
      </c>
      <c r="W204" t="str">
        <f>IF(I204&gt;B204,"ERROR","OK")</f>
        <v>OK</v>
      </c>
      <c r="X204">
        <f>(B204-I204)/B204</f>
        <v>0.56931462106026576</v>
      </c>
      <c r="Y204" s="2">
        <f t="shared" si="29"/>
        <v>2.2204460492503131E-15</v>
      </c>
      <c r="Z204" s="2" t="str">
        <f t="shared" si="30"/>
        <v>OK</v>
      </c>
      <c r="AA204" t="str">
        <f t="shared" si="31"/>
        <v>Unique</v>
      </c>
    </row>
    <row r="205" spans="1:27" x14ac:dyDescent="0.3">
      <c r="A205">
        <v>204</v>
      </c>
      <c r="B205">
        <v>1992368.33836725</v>
      </c>
      <c r="C205">
        <v>0.439751518829824</v>
      </c>
      <c r="D205">
        <v>0.10834125805469701</v>
      </c>
      <c r="E205">
        <v>0.44963640974202601</v>
      </c>
      <c r="F205">
        <v>1</v>
      </c>
      <c r="G205" t="s">
        <v>12</v>
      </c>
      <c r="H205">
        <v>1</v>
      </c>
      <c r="I205">
        <v>895841.34654714202</v>
      </c>
      <c r="J205">
        <v>0.55036359025797299</v>
      </c>
      <c r="K205" t="str">
        <f t="shared" si="24"/>
        <v>OK</v>
      </c>
      <c r="L205" t="str">
        <f t="shared" si="25"/>
        <v>OK</v>
      </c>
      <c r="M205" t="str">
        <f>IF(OR(B205&lt;$AE$20,B205&gt;$AF$20),"Outlier","OK")</f>
        <v>Outlier</v>
      </c>
      <c r="N205" t="str">
        <f>IF(OR(J205&lt;$AE$21,J205&gt;$AF$21),"Outlier","OK")</f>
        <v>OK</v>
      </c>
      <c r="O205" t="str">
        <f>IF(OR(C205&lt;0,C205&gt;1),"Outlier","OK")</f>
        <v>OK</v>
      </c>
      <c r="P205" t="str">
        <f>IF(OR(D205&lt;0,D205&gt;1),"Outlier","OK")</f>
        <v>OK</v>
      </c>
      <c r="Q205" t="str">
        <f t="shared" si="26"/>
        <v>40-60%</v>
      </c>
      <c r="R205" t="str">
        <f>IF(B205="","Missing","OK")</f>
        <v>OK</v>
      </c>
      <c r="S205" t="str">
        <f>IF(E205="","Missing","OK")</f>
        <v>OK</v>
      </c>
      <c r="T205" t="str">
        <f t="shared" si="27"/>
        <v>OK</v>
      </c>
      <c r="U205">
        <f>COUNTIF($A:$A,A205)</f>
        <v>1</v>
      </c>
      <c r="V205" t="str">
        <f t="shared" si="28"/>
        <v>OK</v>
      </c>
      <c r="W205" t="str">
        <f>IF(I205&gt;B205,"ERROR","OK")</f>
        <v>OK</v>
      </c>
      <c r="X205">
        <f>(B205-I205)/B205</f>
        <v>0.55036359025797121</v>
      </c>
      <c r="Y205" s="2">
        <f t="shared" si="29"/>
        <v>1.7763568394002505E-15</v>
      </c>
      <c r="Z205" s="2" t="str">
        <f t="shared" si="30"/>
        <v>OK</v>
      </c>
      <c r="AA205" t="str">
        <f t="shared" si="31"/>
        <v>Unique</v>
      </c>
    </row>
    <row r="206" spans="1:27" x14ac:dyDescent="0.3">
      <c r="A206">
        <v>205</v>
      </c>
      <c r="B206">
        <v>1550324.80729422</v>
      </c>
      <c r="C206">
        <v>0.31451047913301899</v>
      </c>
      <c r="D206">
        <v>-4.3031803649514602E-2</v>
      </c>
      <c r="E206">
        <v>0.54072508632956395</v>
      </c>
      <c r="F206">
        <v>1</v>
      </c>
      <c r="G206" t="s">
        <v>12</v>
      </c>
      <c r="H206">
        <v>1</v>
      </c>
      <c r="I206">
        <v>838299.51526303601</v>
      </c>
      <c r="J206">
        <v>0.45927491367043499</v>
      </c>
      <c r="K206" t="str">
        <f t="shared" si="24"/>
        <v>OK</v>
      </c>
      <c r="L206" t="str">
        <f t="shared" si="25"/>
        <v>OK</v>
      </c>
      <c r="M206" t="str">
        <f>IF(OR(B206&lt;$AE$20,B206&gt;$AF$20),"Outlier","OK")</f>
        <v>OK</v>
      </c>
      <c r="N206" t="str">
        <f>IF(OR(J206&lt;$AE$21,J206&gt;$AF$21),"Outlier","OK")</f>
        <v>OK</v>
      </c>
      <c r="O206" t="str">
        <f>IF(OR(C206&lt;0,C206&gt;1),"Outlier","OK")</f>
        <v>OK</v>
      </c>
      <c r="P206" t="str">
        <f>IF(OR(D206&lt;0,D206&gt;1),"Outlier","OK")</f>
        <v>Outlier</v>
      </c>
      <c r="Q206" t="str">
        <f t="shared" si="26"/>
        <v>40-60%</v>
      </c>
      <c r="R206" t="str">
        <f>IF(B206="","Missing","OK")</f>
        <v>OK</v>
      </c>
      <c r="S206" t="str">
        <f>IF(E206="","Missing","OK")</f>
        <v>OK</v>
      </c>
      <c r="T206" t="str">
        <f t="shared" si="27"/>
        <v>OK</v>
      </c>
      <c r="U206">
        <f>COUNTIF($A:$A,A206)</f>
        <v>1</v>
      </c>
      <c r="V206" t="str">
        <f t="shared" si="28"/>
        <v>OK</v>
      </c>
      <c r="W206" t="str">
        <f>IF(I206&gt;B206,"ERROR","OK")</f>
        <v>OK</v>
      </c>
      <c r="X206">
        <f>(B206-I206)/B206</f>
        <v>0.45927491367043327</v>
      </c>
      <c r="Y206" s="2">
        <f t="shared" si="29"/>
        <v>1.7208456881689926E-15</v>
      </c>
      <c r="Z206" s="2" t="str">
        <f t="shared" si="30"/>
        <v>OK</v>
      </c>
      <c r="AA206" t="str">
        <f t="shared" si="31"/>
        <v>Unique</v>
      </c>
    </row>
    <row r="207" spans="1:27" x14ac:dyDescent="0.3">
      <c r="A207">
        <v>206</v>
      </c>
      <c r="B207">
        <v>1168859.5216347</v>
      </c>
      <c r="C207">
        <v>0.20942840316891001</v>
      </c>
      <c r="D207">
        <v>-6.4713245978356801E-2</v>
      </c>
      <c r="E207">
        <v>0.43051732077203497</v>
      </c>
      <c r="F207">
        <v>1</v>
      </c>
      <c r="G207" t="s">
        <v>12</v>
      </c>
      <c r="H207">
        <v>0</v>
      </c>
      <c r="I207">
        <v>503214.26961305703</v>
      </c>
      <c r="J207">
        <v>0.56948267922796403</v>
      </c>
      <c r="K207" t="str">
        <f t="shared" si="24"/>
        <v>OK</v>
      </c>
      <c r="L207" t="str">
        <f t="shared" si="25"/>
        <v>OK</v>
      </c>
      <c r="M207" t="str">
        <f>IF(OR(B207&lt;$AE$20,B207&gt;$AF$20),"Outlier","OK")</f>
        <v>OK</v>
      </c>
      <c r="N207" t="str">
        <f>IF(OR(J207&lt;$AE$21,J207&gt;$AF$21),"Outlier","OK")</f>
        <v>OK</v>
      </c>
      <c r="O207" t="str">
        <f>IF(OR(C207&lt;0,C207&gt;1),"Outlier","OK")</f>
        <v>OK</v>
      </c>
      <c r="P207" t="str">
        <f>IF(OR(D207&lt;0,D207&gt;1),"Outlier","OK")</f>
        <v>Outlier</v>
      </c>
      <c r="Q207" t="str">
        <f t="shared" si="26"/>
        <v>40-60%</v>
      </c>
      <c r="R207" t="str">
        <f>IF(B207="","Missing","OK")</f>
        <v>OK</v>
      </c>
      <c r="S207" t="str">
        <f>IF(E207="","Missing","OK")</f>
        <v>OK</v>
      </c>
      <c r="T207" t="str">
        <f t="shared" si="27"/>
        <v>OK</v>
      </c>
      <c r="U207">
        <f>COUNTIF($A:$A,A207)</f>
        <v>1</v>
      </c>
      <c r="V207" t="str">
        <f t="shared" si="28"/>
        <v>OK</v>
      </c>
      <c r="W207" t="str">
        <f>IF(I207&gt;B207,"ERROR","OK")</f>
        <v>OK</v>
      </c>
      <c r="X207">
        <f>(B207-I207)/B207</f>
        <v>0.56948267922796203</v>
      </c>
      <c r="Y207" s="2">
        <f t="shared" si="29"/>
        <v>1.9984014443252818E-15</v>
      </c>
      <c r="Z207" s="2" t="str">
        <f t="shared" si="30"/>
        <v>OK</v>
      </c>
      <c r="AA207" t="str">
        <f t="shared" si="31"/>
        <v>Unique</v>
      </c>
    </row>
    <row r="208" spans="1:27" x14ac:dyDescent="0.3">
      <c r="A208">
        <v>207</v>
      </c>
      <c r="B208">
        <v>250138.75546105101</v>
      </c>
      <c r="C208">
        <v>0.132764089948187</v>
      </c>
      <c r="D208">
        <v>-4.4970925802329399E-2</v>
      </c>
      <c r="E208">
        <v>0.195105207767203</v>
      </c>
      <c r="F208">
        <v>1</v>
      </c>
      <c r="G208" t="s">
        <v>10</v>
      </c>
      <c r="H208">
        <v>0</v>
      </c>
      <c r="I208">
        <v>48803.373854858197</v>
      </c>
      <c r="J208">
        <v>0.80489479223279603</v>
      </c>
      <c r="K208" t="str">
        <f t="shared" si="24"/>
        <v>OK</v>
      </c>
      <c r="L208" t="str">
        <f t="shared" si="25"/>
        <v>OK</v>
      </c>
      <c r="M208" t="str">
        <f>IF(OR(B208&lt;$AE$20,B208&gt;$AF$20),"Outlier","OK")</f>
        <v>OK</v>
      </c>
      <c r="N208" t="str">
        <f>IF(OR(J208&lt;$AE$21,J208&gt;$AF$21),"Outlier","OK")</f>
        <v>OK</v>
      </c>
      <c r="O208" t="str">
        <f>IF(OR(C208&lt;0,C208&gt;1),"Outlier","OK")</f>
        <v>OK</v>
      </c>
      <c r="P208" t="str">
        <f>IF(OR(D208&lt;0,D208&gt;1),"Outlier","OK")</f>
        <v>Outlier</v>
      </c>
      <c r="Q208" t="str">
        <f t="shared" si="26"/>
        <v>80-100%</v>
      </c>
      <c r="R208" t="str">
        <f>IF(B208="","Missing","OK")</f>
        <v>OK</v>
      </c>
      <c r="S208" t="str">
        <f>IF(E208="","Missing","OK")</f>
        <v>OK</v>
      </c>
      <c r="T208" t="str">
        <f t="shared" si="27"/>
        <v>OK</v>
      </c>
      <c r="U208">
        <f>COUNTIF($A:$A,A208)</f>
        <v>1</v>
      </c>
      <c r="V208" t="str">
        <f t="shared" si="28"/>
        <v>OK</v>
      </c>
      <c r="W208" t="str">
        <f>IF(I208&gt;B208,"ERROR","OK")</f>
        <v>OK</v>
      </c>
      <c r="X208">
        <f>(B208-I208)/B208</f>
        <v>0.80489479223279603</v>
      </c>
      <c r="Y208" s="2">
        <f t="shared" si="29"/>
        <v>0</v>
      </c>
      <c r="Z208" s="2" t="str">
        <f t="shared" si="30"/>
        <v>OK</v>
      </c>
      <c r="AA208" t="str">
        <f t="shared" si="31"/>
        <v>Unique</v>
      </c>
    </row>
    <row r="209" spans="1:27" x14ac:dyDescent="0.3">
      <c r="A209">
        <v>208</v>
      </c>
      <c r="B209">
        <v>1414676.4458071799</v>
      </c>
      <c r="C209">
        <v>0.29734682413976399</v>
      </c>
      <c r="D209">
        <v>-0.18505487543990801</v>
      </c>
      <c r="E209">
        <v>0.13025095606027001</v>
      </c>
      <c r="F209">
        <v>1</v>
      </c>
      <c r="G209" t="s">
        <v>13</v>
      </c>
      <c r="H209">
        <v>0</v>
      </c>
      <c r="I209">
        <v>184262.95958233101</v>
      </c>
      <c r="J209">
        <v>0.86974904393972896</v>
      </c>
      <c r="K209" t="str">
        <f t="shared" si="24"/>
        <v>OK</v>
      </c>
      <c r="L209" t="str">
        <f t="shared" si="25"/>
        <v>OK</v>
      </c>
      <c r="M209" t="str">
        <f>IF(OR(B209&lt;$AE$20,B209&gt;$AF$20),"Outlier","OK")</f>
        <v>OK</v>
      </c>
      <c r="N209" t="str">
        <f>IF(OR(J209&lt;$AE$21,J209&gt;$AF$21),"Outlier","OK")</f>
        <v>OK</v>
      </c>
      <c r="O209" t="str">
        <f>IF(OR(C209&lt;0,C209&gt;1),"Outlier","OK")</f>
        <v>OK</v>
      </c>
      <c r="P209" t="str">
        <f>IF(OR(D209&lt;0,D209&gt;1),"Outlier","OK")</f>
        <v>Outlier</v>
      </c>
      <c r="Q209" t="str">
        <f t="shared" si="26"/>
        <v>80-100%</v>
      </c>
      <c r="R209" t="str">
        <f>IF(B209="","Missing","OK")</f>
        <v>OK</v>
      </c>
      <c r="S209" t="str">
        <f>IF(E209="","Missing","OK")</f>
        <v>OK</v>
      </c>
      <c r="T209" t="str">
        <f t="shared" si="27"/>
        <v>OK</v>
      </c>
      <c r="U209">
        <f>COUNTIF($A:$A,A209)</f>
        <v>1</v>
      </c>
      <c r="V209" t="str">
        <f t="shared" si="28"/>
        <v>OK</v>
      </c>
      <c r="W209" t="str">
        <f>IF(I209&gt;B209,"ERROR","OK")</f>
        <v>OK</v>
      </c>
      <c r="X209">
        <f>(B209-I209)/B209</f>
        <v>0.86974904393972918</v>
      </c>
      <c r="Y209" s="2">
        <f t="shared" si="29"/>
        <v>2.2204460492503131E-16</v>
      </c>
      <c r="Z209" s="2" t="str">
        <f t="shared" si="30"/>
        <v>OK</v>
      </c>
      <c r="AA209" t="str">
        <f t="shared" si="31"/>
        <v>Unique</v>
      </c>
    </row>
    <row r="210" spans="1:27" x14ac:dyDescent="0.3">
      <c r="A210">
        <v>209</v>
      </c>
      <c r="B210">
        <v>1339277.34128946</v>
      </c>
      <c r="C210">
        <v>0.66511002976338496</v>
      </c>
      <c r="D210">
        <v>9.5206070474831896E-4</v>
      </c>
      <c r="E210">
        <v>0.447140345884666</v>
      </c>
      <c r="F210">
        <v>1</v>
      </c>
      <c r="G210" t="s">
        <v>13</v>
      </c>
      <c r="H210">
        <v>0</v>
      </c>
      <c r="I210">
        <v>598844.93361966801</v>
      </c>
      <c r="J210">
        <v>0.552859654115333</v>
      </c>
      <c r="K210" t="str">
        <f t="shared" si="24"/>
        <v>OK</v>
      </c>
      <c r="L210" t="str">
        <f t="shared" si="25"/>
        <v>OK</v>
      </c>
      <c r="M210" t="str">
        <f>IF(OR(B210&lt;$AE$20,B210&gt;$AF$20),"Outlier","OK")</f>
        <v>OK</v>
      </c>
      <c r="N210" t="str">
        <f>IF(OR(J210&lt;$AE$21,J210&gt;$AF$21),"Outlier","OK")</f>
        <v>OK</v>
      </c>
      <c r="O210" t="str">
        <f>IF(OR(C210&lt;0,C210&gt;1),"Outlier","OK")</f>
        <v>OK</v>
      </c>
      <c r="P210" t="str">
        <f>IF(OR(D210&lt;0,D210&gt;1),"Outlier","OK")</f>
        <v>OK</v>
      </c>
      <c r="Q210" t="str">
        <f t="shared" si="26"/>
        <v>40-60%</v>
      </c>
      <c r="R210" t="str">
        <f>IF(B210="","Missing","OK")</f>
        <v>OK</v>
      </c>
      <c r="S210" t="str">
        <f>IF(E210="","Missing","OK")</f>
        <v>OK</v>
      </c>
      <c r="T210" t="str">
        <f t="shared" si="27"/>
        <v>OK</v>
      </c>
      <c r="U210">
        <f>COUNTIF($A:$A,A210)</f>
        <v>1</v>
      </c>
      <c r="V210" t="str">
        <f t="shared" si="28"/>
        <v>OK</v>
      </c>
      <c r="W210" t="str">
        <f>IF(I210&gt;B210,"ERROR","OK")</f>
        <v>OK</v>
      </c>
      <c r="X210">
        <f>(B210-I210)/B210</f>
        <v>0.55285965411533178</v>
      </c>
      <c r="Y210" s="2">
        <f t="shared" si="29"/>
        <v>1.2212453270876722E-15</v>
      </c>
      <c r="Z210" s="2" t="str">
        <f t="shared" si="30"/>
        <v>OK</v>
      </c>
      <c r="AA210" t="str">
        <f t="shared" si="31"/>
        <v>Unique</v>
      </c>
    </row>
    <row r="211" spans="1:27" x14ac:dyDescent="0.3">
      <c r="A211">
        <v>210</v>
      </c>
      <c r="B211">
        <v>145739.40471441299</v>
      </c>
      <c r="C211">
        <v>0.21894668136361201</v>
      </c>
      <c r="D211">
        <v>-0.13503253408002</v>
      </c>
      <c r="E211">
        <v>0.256815218722522</v>
      </c>
      <c r="F211">
        <v>1</v>
      </c>
      <c r="G211" t="s">
        <v>13</v>
      </c>
      <c r="H211">
        <v>1</v>
      </c>
      <c r="I211">
        <v>37428.097098222301</v>
      </c>
      <c r="J211">
        <v>0.743184781277478</v>
      </c>
      <c r="K211" t="str">
        <f t="shared" si="24"/>
        <v>OK</v>
      </c>
      <c r="L211" t="str">
        <f t="shared" si="25"/>
        <v>OK</v>
      </c>
      <c r="M211" t="str">
        <f>IF(OR(B211&lt;$AE$20,B211&gt;$AF$20),"Outlier","OK")</f>
        <v>OK</v>
      </c>
      <c r="N211" t="str">
        <f>IF(OR(J211&lt;$AE$21,J211&gt;$AF$21),"Outlier","OK")</f>
        <v>OK</v>
      </c>
      <c r="O211" t="str">
        <f>IF(OR(C211&lt;0,C211&gt;1),"Outlier","OK")</f>
        <v>OK</v>
      </c>
      <c r="P211" t="str">
        <f>IF(OR(D211&lt;0,D211&gt;1),"Outlier","OK")</f>
        <v>Outlier</v>
      </c>
      <c r="Q211" t="str">
        <f t="shared" si="26"/>
        <v>60-80%</v>
      </c>
      <c r="R211" t="str">
        <f>IF(B211="","Missing","OK")</f>
        <v>OK</v>
      </c>
      <c r="S211" t="str">
        <f>IF(E211="","Missing","OK")</f>
        <v>OK</v>
      </c>
      <c r="T211" t="str">
        <f t="shared" si="27"/>
        <v>OK</v>
      </c>
      <c r="U211">
        <f>COUNTIF($A:$A,A211)</f>
        <v>1</v>
      </c>
      <c r="V211" t="str">
        <f t="shared" si="28"/>
        <v>OK</v>
      </c>
      <c r="W211" t="str">
        <f>IF(I211&gt;B211,"ERROR","OK")</f>
        <v>OK</v>
      </c>
      <c r="X211">
        <f>(B211-I211)/B211</f>
        <v>0.74318478127747689</v>
      </c>
      <c r="Y211" s="2">
        <f t="shared" si="29"/>
        <v>1.1102230246251565E-15</v>
      </c>
      <c r="Z211" s="2" t="str">
        <f t="shared" si="30"/>
        <v>OK</v>
      </c>
      <c r="AA211" t="str">
        <f t="shared" si="31"/>
        <v>Unique</v>
      </c>
    </row>
    <row r="212" spans="1:27" x14ac:dyDescent="0.3">
      <c r="A212">
        <v>211</v>
      </c>
      <c r="B212">
        <v>1594983.6385969501</v>
      </c>
      <c r="C212">
        <v>0.85559946589119895</v>
      </c>
      <c r="D212">
        <v>2.1823328292343899E-2</v>
      </c>
      <c r="E212">
        <v>0.22139212099879599</v>
      </c>
      <c r="F212">
        <v>1</v>
      </c>
      <c r="G212" t="s">
        <v>12</v>
      </c>
      <c r="H212">
        <v>1</v>
      </c>
      <c r="I212">
        <v>353116.81070735701</v>
      </c>
      <c r="J212">
        <v>0.77860787900120298</v>
      </c>
      <c r="K212" t="str">
        <f t="shared" si="24"/>
        <v>OK</v>
      </c>
      <c r="L212" t="str">
        <f t="shared" si="25"/>
        <v>OK</v>
      </c>
      <c r="M212" t="str">
        <f>IF(OR(B212&lt;$AE$20,B212&gt;$AF$20),"Outlier","OK")</f>
        <v>OK</v>
      </c>
      <c r="N212" t="str">
        <f>IF(OR(J212&lt;$AE$21,J212&gt;$AF$21),"Outlier","OK")</f>
        <v>OK</v>
      </c>
      <c r="O212" t="str">
        <f>IF(OR(C212&lt;0,C212&gt;1),"Outlier","OK")</f>
        <v>OK</v>
      </c>
      <c r="P212" t="str">
        <f>IF(OR(D212&lt;0,D212&gt;1),"Outlier","OK")</f>
        <v>OK</v>
      </c>
      <c r="Q212" t="str">
        <f t="shared" si="26"/>
        <v>60-80%</v>
      </c>
      <c r="R212" t="str">
        <f>IF(B212="","Missing","OK")</f>
        <v>OK</v>
      </c>
      <c r="S212" t="str">
        <f>IF(E212="","Missing","OK")</f>
        <v>OK</v>
      </c>
      <c r="T212" t="str">
        <f t="shared" si="27"/>
        <v>OK</v>
      </c>
      <c r="U212">
        <f>COUNTIF($A:$A,A212)</f>
        <v>1</v>
      </c>
      <c r="V212" t="str">
        <f t="shared" si="28"/>
        <v>OK</v>
      </c>
      <c r="W212" t="str">
        <f>IF(I212&gt;B212,"ERROR","OK")</f>
        <v>OK</v>
      </c>
      <c r="X212">
        <f>(B212-I212)/B212</f>
        <v>0.77860787900120332</v>
      </c>
      <c r="Y212" s="2">
        <f t="shared" si="29"/>
        <v>3.3306690738754696E-16</v>
      </c>
      <c r="Z212" s="2" t="str">
        <f t="shared" si="30"/>
        <v>OK</v>
      </c>
      <c r="AA212" t="str">
        <f t="shared" si="31"/>
        <v>Unique</v>
      </c>
    </row>
    <row r="213" spans="1:27" x14ac:dyDescent="0.3">
      <c r="A213">
        <v>212</v>
      </c>
      <c r="B213">
        <v>1061497.35223648</v>
      </c>
      <c r="C213">
        <v>0.72790379484374002</v>
      </c>
      <c r="D213">
        <v>7.2986129035609207E-2</v>
      </c>
      <c r="E213">
        <v>7.6965993707319103E-2</v>
      </c>
      <c r="F213">
        <v>1</v>
      </c>
      <c r="G213" t="s">
        <v>11</v>
      </c>
      <c r="H213">
        <v>0</v>
      </c>
      <c r="I213">
        <v>81699.198532569193</v>
      </c>
      <c r="J213">
        <v>0.92303400629267995</v>
      </c>
      <c r="K213" t="str">
        <f t="shared" si="24"/>
        <v>OK</v>
      </c>
      <c r="L213" t="str">
        <f t="shared" si="25"/>
        <v>OK</v>
      </c>
      <c r="M213" t="str">
        <f>IF(OR(B213&lt;$AE$20,B213&gt;$AF$20),"Outlier","OK")</f>
        <v>OK</v>
      </c>
      <c r="N213" t="str">
        <f>IF(OR(J213&lt;$AE$21,J213&gt;$AF$21),"Outlier","OK")</f>
        <v>OK</v>
      </c>
      <c r="O213" t="str">
        <f>IF(OR(C213&lt;0,C213&gt;1),"Outlier","OK")</f>
        <v>OK</v>
      </c>
      <c r="P213" t="str">
        <f>IF(OR(D213&lt;0,D213&gt;1),"Outlier","OK")</f>
        <v>OK</v>
      </c>
      <c r="Q213" t="str">
        <f t="shared" si="26"/>
        <v>80-100%</v>
      </c>
      <c r="R213" t="str">
        <f>IF(B213="","Missing","OK")</f>
        <v>OK</v>
      </c>
      <c r="S213" t="str">
        <f>IF(E213="","Missing","OK")</f>
        <v>OK</v>
      </c>
      <c r="T213" t="str">
        <f t="shared" si="27"/>
        <v>OK</v>
      </c>
      <c r="U213">
        <f>COUNTIF($A:$A,A213)</f>
        <v>1</v>
      </c>
      <c r="V213" t="str">
        <f t="shared" si="28"/>
        <v>OK</v>
      </c>
      <c r="W213" t="str">
        <f>IF(I213&gt;B213,"ERROR","OK")</f>
        <v>OK</v>
      </c>
      <c r="X213">
        <f>(B213-I213)/B213</f>
        <v>0.92303400629268051</v>
      </c>
      <c r="Y213" s="2">
        <f t="shared" si="29"/>
        <v>5.5511151231257827E-16</v>
      </c>
      <c r="Z213" s="2" t="str">
        <f t="shared" si="30"/>
        <v>OK</v>
      </c>
      <c r="AA213" t="str">
        <f t="shared" si="31"/>
        <v>Unique</v>
      </c>
    </row>
    <row r="214" spans="1:27" x14ac:dyDescent="0.3">
      <c r="A214">
        <v>213</v>
      </c>
      <c r="B214">
        <v>880442.00368984195</v>
      </c>
      <c r="C214">
        <v>0.88706606929863896</v>
      </c>
      <c r="D214">
        <v>-0.14552956101883799</v>
      </c>
      <c r="E214">
        <v>0.59497015165241196</v>
      </c>
      <c r="F214">
        <v>1</v>
      </c>
      <c r="G214" t="s">
        <v>12</v>
      </c>
      <c r="H214">
        <v>1</v>
      </c>
      <c r="I214">
        <v>523836.71245649899</v>
      </c>
      <c r="J214">
        <v>0.40502984834758698</v>
      </c>
      <c r="K214" t="str">
        <f t="shared" si="24"/>
        <v>OK</v>
      </c>
      <c r="L214" t="str">
        <f t="shared" si="25"/>
        <v>OK</v>
      </c>
      <c r="M214" t="str">
        <f>IF(OR(B214&lt;$AE$20,B214&gt;$AF$20),"Outlier","OK")</f>
        <v>OK</v>
      </c>
      <c r="N214" t="str">
        <f>IF(OR(J214&lt;$AE$21,J214&gt;$AF$21),"Outlier","OK")</f>
        <v>OK</v>
      </c>
      <c r="O214" t="str">
        <f>IF(OR(C214&lt;0,C214&gt;1),"Outlier","OK")</f>
        <v>OK</v>
      </c>
      <c r="P214" t="str">
        <f>IF(OR(D214&lt;0,D214&gt;1),"Outlier","OK")</f>
        <v>Outlier</v>
      </c>
      <c r="Q214" t="str">
        <f t="shared" si="26"/>
        <v>40-60%</v>
      </c>
      <c r="R214" t="str">
        <f>IF(B214="","Missing","OK")</f>
        <v>OK</v>
      </c>
      <c r="S214" t="str">
        <f>IF(E214="","Missing","OK")</f>
        <v>OK</v>
      </c>
      <c r="T214" t="str">
        <f t="shared" si="27"/>
        <v>OK</v>
      </c>
      <c r="U214">
        <f>COUNTIF($A:$A,A214)</f>
        <v>1</v>
      </c>
      <c r="V214" t="str">
        <f t="shared" si="28"/>
        <v>OK</v>
      </c>
      <c r="W214" t="str">
        <f>IF(I214&gt;B214,"ERROR","OK")</f>
        <v>OK</v>
      </c>
      <c r="X214">
        <f>(B214-I214)/B214</f>
        <v>0.40502984834758771</v>
      </c>
      <c r="Y214" s="2">
        <f t="shared" si="29"/>
        <v>7.2164496600635175E-16</v>
      </c>
      <c r="Z214" s="2" t="str">
        <f t="shared" si="30"/>
        <v>OK</v>
      </c>
      <c r="AA214" t="str">
        <f t="shared" si="31"/>
        <v>Unique</v>
      </c>
    </row>
    <row r="215" spans="1:27" x14ac:dyDescent="0.3">
      <c r="A215">
        <v>214</v>
      </c>
      <c r="B215">
        <v>1586964.98852285</v>
      </c>
      <c r="C215">
        <v>0.753381373675723</v>
      </c>
      <c r="D215">
        <v>-9.0961586401717004E-2</v>
      </c>
      <c r="E215">
        <v>8.0652248807036794E-2</v>
      </c>
      <c r="F215">
        <v>1</v>
      </c>
      <c r="G215" t="s">
        <v>12</v>
      </c>
      <c r="H215">
        <v>0</v>
      </c>
      <c r="I215">
        <v>127992.295102401</v>
      </c>
      <c r="J215">
        <v>0.91934775119296297</v>
      </c>
      <c r="K215" t="str">
        <f t="shared" si="24"/>
        <v>OK</v>
      </c>
      <c r="L215" t="str">
        <f t="shared" si="25"/>
        <v>OK</v>
      </c>
      <c r="M215" t="str">
        <f>IF(OR(B215&lt;$AE$20,B215&gt;$AF$20),"Outlier","OK")</f>
        <v>OK</v>
      </c>
      <c r="N215" t="str">
        <f>IF(OR(J215&lt;$AE$21,J215&gt;$AF$21),"Outlier","OK")</f>
        <v>OK</v>
      </c>
      <c r="O215" t="str">
        <f>IF(OR(C215&lt;0,C215&gt;1),"Outlier","OK")</f>
        <v>OK</v>
      </c>
      <c r="P215" t="str">
        <f>IF(OR(D215&lt;0,D215&gt;1),"Outlier","OK")</f>
        <v>Outlier</v>
      </c>
      <c r="Q215" t="str">
        <f t="shared" si="26"/>
        <v>80-100%</v>
      </c>
      <c r="R215" t="str">
        <f>IF(B215="","Missing","OK")</f>
        <v>OK</v>
      </c>
      <c r="S215" t="str">
        <f>IF(E215="","Missing","OK")</f>
        <v>OK</v>
      </c>
      <c r="T215" t="str">
        <f t="shared" si="27"/>
        <v>OK</v>
      </c>
      <c r="U215">
        <f>COUNTIF($A:$A,A215)</f>
        <v>1</v>
      </c>
      <c r="V215" t="str">
        <f t="shared" si="28"/>
        <v>OK</v>
      </c>
      <c r="W215" t="str">
        <f>IF(I215&gt;B215,"ERROR","OK")</f>
        <v>OK</v>
      </c>
      <c r="X215">
        <f>(B215-I215)/B215</f>
        <v>0.91934775119296341</v>
      </c>
      <c r="Y215" s="2">
        <f t="shared" si="29"/>
        <v>4.4408920985006262E-16</v>
      </c>
      <c r="Z215" s="2" t="str">
        <f t="shared" si="30"/>
        <v>OK</v>
      </c>
      <c r="AA215" t="str">
        <f t="shared" si="31"/>
        <v>Unique</v>
      </c>
    </row>
    <row r="216" spans="1:27" x14ac:dyDescent="0.3">
      <c r="A216">
        <v>215</v>
      </c>
      <c r="B216">
        <v>852559.98525723198</v>
      </c>
      <c r="C216">
        <v>0.69427676515611203</v>
      </c>
      <c r="D216">
        <v>-6.1945597946843301E-3</v>
      </c>
      <c r="E216">
        <v>0.29000767101434499</v>
      </c>
      <c r="F216">
        <v>1</v>
      </c>
      <c r="G216" t="s">
        <v>13</v>
      </c>
      <c r="H216">
        <v>0</v>
      </c>
      <c r="I216">
        <v>247248.93572447399</v>
      </c>
      <c r="J216">
        <v>0.70999232898565401</v>
      </c>
      <c r="K216" t="str">
        <f t="shared" si="24"/>
        <v>OK</v>
      </c>
      <c r="L216" t="str">
        <f t="shared" si="25"/>
        <v>OK</v>
      </c>
      <c r="M216" t="str">
        <f>IF(OR(B216&lt;$AE$20,B216&gt;$AF$20),"Outlier","OK")</f>
        <v>OK</v>
      </c>
      <c r="N216" t="str">
        <f>IF(OR(J216&lt;$AE$21,J216&gt;$AF$21),"Outlier","OK")</f>
        <v>OK</v>
      </c>
      <c r="O216" t="str">
        <f>IF(OR(C216&lt;0,C216&gt;1),"Outlier","OK")</f>
        <v>OK</v>
      </c>
      <c r="P216" t="str">
        <f>IF(OR(D216&lt;0,D216&gt;1),"Outlier","OK")</f>
        <v>Outlier</v>
      </c>
      <c r="Q216" t="str">
        <f t="shared" si="26"/>
        <v>60-80%</v>
      </c>
      <c r="R216" t="str">
        <f>IF(B216="","Missing","OK")</f>
        <v>OK</v>
      </c>
      <c r="S216" t="str">
        <f>IF(E216="","Missing","OK")</f>
        <v>OK</v>
      </c>
      <c r="T216" t="str">
        <f t="shared" si="27"/>
        <v>OK</v>
      </c>
      <c r="U216">
        <f>COUNTIF($A:$A,A216)</f>
        <v>1</v>
      </c>
      <c r="V216" t="str">
        <f t="shared" si="28"/>
        <v>OK</v>
      </c>
      <c r="W216" t="str">
        <f>IF(I216&gt;B216,"ERROR","OK")</f>
        <v>OK</v>
      </c>
      <c r="X216">
        <f>(B216-I216)/B216</f>
        <v>0.70999232898565512</v>
      </c>
      <c r="Y216" s="2">
        <f t="shared" si="29"/>
        <v>1.1102230246251565E-15</v>
      </c>
      <c r="Z216" s="2" t="str">
        <f t="shared" si="30"/>
        <v>OK</v>
      </c>
      <c r="AA216" t="str">
        <f t="shared" si="31"/>
        <v>Unique</v>
      </c>
    </row>
    <row r="217" spans="1:27" x14ac:dyDescent="0.3">
      <c r="A217">
        <v>216</v>
      </c>
      <c r="B217">
        <v>988001.23723504902</v>
      </c>
      <c r="C217">
        <v>0.57537832448428905</v>
      </c>
      <c r="D217">
        <v>0.10750872533910601</v>
      </c>
      <c r="E217">
        <v>0.31523906793805201</v>
      </c>
      <c r="F217">
        <v>1</v>
      </c>
      <c r="G217" t="s">
        <v>11</v>
      </c>
      <c r="H217">
        <v>1</v>
      </c>
      <c r="I217">
        <v>311456.58914761897</v>
      </c>
      <c r="J217">
        <v>0.68476093206194699</v>
      </c>
      <c r="K217" t="str">
        <f t="shared" si="24"/>
        <v>OK</v>
      </c>
      <c r="L217" t="str">
        <f t="shared" si="25"/>
        <v>OK</v>
      </c>
      <c r="M217" t="str">
        <f>IF(OR(B217&lt;$AE$20,B217&gt;$AF$20),"Outlier","OK")</f>
        <v>OK</v>
      </c>
      <c r="N217" t="str">
        <f>IF(OR(J217&lt;$AE$21,J217&gt;$AF$21),"Outlier","OK")</f>
        <v>OK</v>
      </c>
      <c r="O217" t="str">
        <f>IF(OR(C217&lt;0,C217&gt;1),"Outlier","OK")</f>
        <v>OK</v>
      </c>
      <c r="P217" t="str">
        <f>IF(OR(D217&lt;0,D217&gt;1),"Outlier","OK")</f>
        <v>OK</v>
      </c>
      <c r="Q217" t="str">
        <f t="shared" si="26"/>
        <v>60-80%</v>
      </c>
      <c r="R217" t="str">
        <f>IF(B217="","Missing","OK")</f>
        <v>OK</v>
      </c>
      <c r="S217" t="str">
        <f>IF(E217="","Missing","OK")</f>
        <v>OK</v>
      </c>
      <c r="T217" t="str">
        <f t="shared" si="27"/>
        <v>OK</v>
      </c>
      <c r="U217">
        <f>COUNTIF($A:$A,A217)</f>
        <v>1</v>
      </c>
      <c r="V217" t="str">
        <f t="shared" si="28"/>
        <v>OK</v>
      </c>
      <c r="W217" t="str">
        <f>IF(I217&gt;B217,"ERROR","OK")</f>
        <v>OK</v>
      </c>
      <c r="X217">
        <f>(B217-I217)/B217</f>
        <v>0.6847609320619481</v>
      </c>
      <c r="Y217" s="2">
        <f t="shared" si="29"/>
        <v>1.1102230246251565E-15</v>
      </c>
      <c r="Z217" s="2" t="str">
        <f t="shared" si="30"/>
        <v>OK</v>
      </c>
      <c r="AA217" t="str">
        <f t="shared" si="31"/>
        <v>Unique</v>
      </c>
    </row>
    <row r="218" spans="1:27" x14ac:dyDescent="0.3">
      <c r="A218">
        <v>217</v>
      </c>
      <c r="B218">
        <v>404176.24321395799</v>
      </c>
      <c r="C218">
        <v>0.63815184392475699</v>
      </c>
      <c r="D218">
        <v>6.7999838019014894E-2</v>
      </c>
      <c r="E218">
        <v>0.50197710398095297</v>
      </c>
      <c r="F218">
        <v>1</v>
      </c>
      <c r="G218" t="s">
        <v>10</v>
      </c>
      <c r="H218">
        <v>1</v>
      </c>
      <c r="I218">
        <v>202887.22006644399</v>
      </c>
      <c r="J218">
        <v>0.49802289601904598</v>
      </c>
      <c r="K218" t="str">
        <f t="shared" si="24"/>
        <v>OK</v>
      </c>
      <c r="L218" t="str">
        <f t="shared" si="25"/>
        <v>OK</v>
      </c>
      <c r="M218" t="str">
        <f>IF(OR(B218&lt;$AE$20,B218&gt;$AF$20),"Outlier","OK")</f>
        <v>OK</v>
      </c>
      <c r="N218" t="str">
        <f>IF(OR(J218&lt;$AE$21,J218&gt;$AF$21),"Outlier","OK")</f>
        <v>OK</v>
      </c>
      <c r="O218" t="str">
        <f>IF(OR(C218&lt;0,C218&gt;1),"Outlier","OK")</f>
        <v>OK</v>
      </c>
      <c r="P218" t="str">
        <f>IF(OR(D218&lt;0,D218&gt;1),"Outlier","OK")</f>
        <v>OK</v>
      </c>
      <c r="Q218" t="str">
        <f t="shared" si="26"/>
        <v>40-60%</v>
      </c>
      <c r="R218" t="str">
        <f>IF(B218="","Missing","OK")</f>
        <v>OK</v>
      </c>
      <c r="S218" t="str">
        <f>IF(E218="","Missing","OK")</f>
        <v>OK</v>
      </c>
      <c r="T218" t="str">
        <f t="shared" si="27"/>
        <v>OK</v>
      </c>
      <c r="U218">
        <f>COUNTIF($A:$A,A218)</f>
        <v>1</v>
      </c>
      <c r="V218" t="str">
        <f t="shared" si="28"/>
        <v>OK</v>
      </c>
      <c r="W218" t="str">
        <f>IF(I218&gt;B218,"ERROR","OK")</f>
        <v>OK</v>
      </c>
      <c r="X218">
        <f>(B218-I218)/B218</f>
        <v>0.49802289601904687</v>
      </c>
      <c r="Y218" s="2">
        <f t="shared" si="29"/>
        <v>8.8817841970012523E-16</v>
      </c>
      <c r="Z218" s="2" t="str">
        <f t="shared" si="30"/>
        <v>OK</v>
      </c>
      <c r="AA218" t="str">
        <f t="shared" si="31"/>
        <v>Unique</v>
      </c>
    </row>
    <row r="219" spans="1:27" x14ac:dyDescent="0.3">
      <c r="A219">
        <v>218</v>
      </c>
      <c r="B219">
        <v>676571.85403753596</v>
      </c>
      <c r="C219">
        <v>0.52048630510237004</v>
      </c>
      <c r="D219">
        <v>4.7442772858477797E-2</v>
      </c>
      <c r="E219">
        <v>0.22996393832927201</v>
      </c>
      <c r="F219">
        <v>1</v>
      </c>
      <c r="G219" t="s">
        <v>11</v>
      </c>
      <c r="H219">
        <v>0</v>
      </c>
      <c r="I219">
        <v>155587.12811720901</v>
      </c>
      <c r="J219">
        <v>0.77003606167072702</v>
      </c>
      <c r="K219" t="str">
        <f t="shared" si="24"/>
        <v>OK</v>
      </c>
      <c r="L219" t="str">
        <f t="shared" si="25"/>
        <v>OK</v>
      </c>
      <c r="M219" t="str">
        <f>IF(OR(B219&lt;$AE$20,B219&gt;$AF$20),"Outlier","OK")</f>
        <v>OK</v>
      </c>
      <c r="N219" t="str">
        <f>IF(OR(J219&lt;$AE$21,J219&gt;$AF$21),"Outlier","OK")</f>
        <v>OK</v>
      </c>
      <c r="O219" t="str">
        <f>IF(OR(C219&lt;0,C219&gt;1),"Outlier","OK")</f>
        <v>OK</v>
      </c>
      <c r="P219" t="str">
        <f>IF(OR(D219&lt;0,D219&gt;1),"Outlier","OK")</f>
        <v>OK</v>
      </c>
      <c r="Q219" t="str">
        <f t="shared" si="26"/>
        <v>60-80%</v>
      </c>
      <c r="R219" t="str">
        <f>IF(B219="","Missing","OK")</f>
        <v>OK</v>
      </c>
      <c r="S219" t="str">
        <f>IF(E219="","Missing","OK")</f>
        <v>OK</v>
      </c>
      <c r="T219" t="str">
        <f t="shared" si="27"/>
        <v>OK</v>
      </c>
      <c r="U219">
        <f>COUNTIF($A:$A,A219)</f>
        <v>1</v>
      </c>
      <c r="V219" t="str">
        <f t="shared" si="28"/>
        <v>OK</v>
      </c>
      <c r="W219" t="str">
        <f>IF(I219&gt;B219,"ERROR","OK")</f>
        <v>OK</v>
      </c>
      <c r="X219">
        <f>(B219-I219)/B219</f>
        <v>0.77003606167072813</v>
      </c>
      <c r="Y219" s="2">
        <f t="shared" si="29"/>
        <v>1.1102230246251565E-15</v>
      </c>
      <c r="Z219" s="2" t="str">
        <f t="shared" si="30"/>
        <v>OK</v>
      </c>
      <c r="AA219" t="str">
        <f t="shared" si="31"/>
        <v>Unique</v>
      </c>
    </row>
    <row r="220" spans="1:27" x14ac:dyDescent="0.3">
      <c r="A220">
        <v>219</v>
      </c>
      <c r="B220">
        <v>1698789.343297</v>
      </c>
      <c r="C220">
        <v>0.31785792619659298</v>
      </c>
      <c r="D220">
        <v>1.1462008176690699E-2</v>
      </c>
      <c r="E220">
        <v>0.30636728611853498</v>
      </c>
      <c r="F220">
        <v>1</v>
      </c>
      <c r="G220" t="s">
        <v>10</v>
      </c>
      <c r="H220">
        <v>0</v>
      </c>
      <c r="I220">
        <v>520453.48079299403</v>
      </c>
      <c r="J220">
        <v>0.69363271388146397</v>
      </c>
      <c r="K220" t="str">
        <f t="shared" si="24"/>
        <v>OK</v>
      </c>
      <c r="L220" t="str">
        <f t="shared" si="25"/>
        <v>OK</v>
      </c>
      <c r="M220" t="str">
        <f>IF(OR(B220&lt;$AE$20,B220&gt;$AF$20),"Outlier","OK")</f>
        <v>OK</v>
      </c>
      <c r="N220" t="str">
        <f>IF(OR(J220&lt;$AE$21,J220&gt;$AF$21),"Outlier","OK")</f>
        <v>OK</v>
      </c>
      <c r="O220" t="str">
        <f>IF(OR(C220&lt;0,C220&gt;1),"Outlier","OK")</f>
        <v>OK</v>
      </c>
      <c r="P220" t="str">
        <f>IF(OR(D220&lt;0,D220&gt;1),"Outlier","OK")</f>
        <v>OK</v>
      </c>
      <c r="Q220" t="str">
        <f t="shared" si="26"/>
        <v>60-80%</v>
      </c>
      <c r="R220" t="str">
        <f>IF(B220="","Missing","OK")</f>
        <v>OK</v>
      </c>
      <c r="S220" t="str">
        <f>IF(E220="","Missing","OK")</f>
        <v>OK</v>
      </c>
      <c r="T220" t="str">
        <f t="shared" si="27"/>
        <v>OK</v>
      </c>
      <c r="U220">
        <f>COUNTIF($A:$A,A220)</f>
        <v>1</v>
      </c>
      <c r="V220" t="str">
        <f t="shared" si="28"/>
        <v>OK</v>
      </c>
      <c r="W220" t="str">
        <f>IF(I220&gt;B220,"ERROR","OK")</f>
        <v>OK</v>
      </c>
      <c r="X220">
        <f>(B220-I220)/B220</f>
        <v>0.69363271388146264</v>
      </c>
      <c r="Y220" s="2">
        <f t="shared" si="29"/>
        <v>1.3322676295501878E-15</v>
      </c>
      <c r="Z220" s="2" t="str">
        <f t="shared" si="30"/>
        <v>OK</v>
      </c>
      <c r="AA220" t="str">
        <f t="shared" si="31"/>
        <v>Unique</v>
      </c>
    </row>
    <row r="221" spans="1:27" x14ac:dyDescent="0.3">
      <c r="A221">
        <v>220</v>
      </c>
      <c r="B221">
        <v>414462.31040709402</v>
      </c>
      <c r="C221">
        <v>0.44173913613431698</v>
      </c>
      <c r="D221">
        <v>8.3314709543660295E-3</v>
      </c>
      <c r="E221">
        <v>0.41480534305144601</v>
      </c>
      <c r="F221">
        <v>1</v>
      </c>
      <c r="G221" t="s">
        <v>10</v>
      </c>
      <c r="H221">
        <v>1</v>
      </c>
      <c r="I221">
        <v>171921.18085030999</v>
      </c>
      <c r="J221">
        <v>0.58519465694855299</v>
      </c>
      <c r="K221" t="str">
        <f t="shared" si="24"/>
        <v>OK</v>
      </c>
      <c r="L221" t="str">
        <f t="shared" si="25"/>
        <v>OK</v>
      </c>
      <c r="M221" t="str">
        <f>IF(OR(B221&lt;$AE$20,B221&gt;$AF$20),"Outlier","OK")</f>
        <v>OK</v>
      </c>
      <c r="N221" t="str">
        <f>IF(OR(J221&lt;$AE$21,J221&gt;$AF$21),"Outlier","OK")</f>
        <v>OK</v>
      </c>
      <c r="O221" t="str">
        <f>IF(OR(C221&lt;0,C221&gt;1),"Outlier","OK")</f>
        <v>OK</v>
      </c>
      <c r="P221" t="str">
        <f>IF(OR(D221&lt;0,D221&gt;1),"Outlier","OK")</f>
        <v>OK</v>
      </c>
      <c r="Q221" t="str">
        <f t="shared" si="26"/>
        <v>40-60%</v>
      </c>
      <c r="R221" t="str">
        <f>IF(B221="","Missing","OK")</f>
        <v>OK</v>
      </c>
      <c r="S221" t="str">
        <f>IF(E221="","Missing","OK")</f>
        <v>OK</v>
      </c>
      <c r="T221" t="str">
        <f t="shared" si="27"/>
        <v>OK</v>
      </c>
      <c r="U221">
        <f>COUNTIF($A:$A,A221)</f>
        <v>1</v>
      </c>
      <c r="V221" t="str">
        <f t="shared" si="28"/>
        <v>OK</v>
      </c>
      <c r="W221" t="str">
        <f>IF(I221&gt;B221,"ERROR","OK")</f>
        <v>OK</v>
      </c>
      <c r="X221">
        <f>(B221-I221)/B221</f>
        <v>0.58519465694855288</v>
      </c>
      <c r="Y221" s="2">
        <f t="shared" si="29"/>
        <v>1.1102230246251565E-16</v>
      </c>
      <c r="Z221" s="2" t="str">
        <f t="shared" si="30"/>
        <v>OK</v>
      </c>
      <c r="AA221" t="str">
        <f t="shared" si="31"/>
        <v>Unique</v>
      </c>
    </row>
    <row r="222" spans="1:27" x14ac:dyDescent="0.3">
      <c r="A222">
        <v>221</v>
      </c>
      <c r="B222">
        <v>863717.56876152102</v>
      </c>
      <c r="C222">
        <v>0.77485307097092204</v>
      </c>
      <c r="D222">
        <v>3.8925428911575501E-2</v>
      </c>
      <c r="E222">
        <v>0.30055576549754598</v>
      </c>
      <c r="F222">
        <v>1</v>
      </c>
      <c r="G222" t="s">
        <v>12</v>
      </c>
      <c r="H222">
        <v>0</v>
      </c>
      <c r="I222">
        <v>259595.295052798</v>
      </c>
      <c r="J222">
        <v>0.69944423450245297</v>
      </c>
      <c r="K222" t="str">
        <f t="shared" si="24"/>
        <v>OK</v>
      </c>
      <c r="L222" t="str">
        <f t="shared" si="25"/>
        <v>OK</v>
      </c>
      <c r="M222" t="str">
        <f>IF(OR(B222&lt;$AE$20,B222&gt;$AF$20),"Outlier","OK")</f>
        <v>OK</v>
      </c>
      <c r="N222" t="str">
        <f>IF(OR(J222&lt;$AE$21,J222&gt;$AF$21),"Outlier","OK")</f>
        <v>OK</v>
      </c>
      <c r="O222" t="str">
        <f>IF(OR(C222&lt;0,C222&gt;1),"Outlier","OK")</f>
        <v>OK</v>
      </c>
      <c r="P222" t="str">
        <f>IF(OR(D222&lt;0,D222&gt;1),"Outlier","OK")</f>
        <v>OK</v>
      </c>
      <c r="Q222" t="str">
        <f t="shared" si="26"/>
        <v>60-80%</v>
      </c>
      <c r="R222" t="str">
        <f>IF(B222="","Missing","OK")</f>
        <v>OK</v>
      </c>
      <c r="S222" t="str">
        <f>IF(E222="","Missing","OK")</f>
        <v>OK</v>
      </c>
      <c r="T222" t="str">
        <f t="shared" si="27"/>
        <v>OK</v>
      </c>
      <c r="U222">
        <f>COUNTIF($A:$A,A222)</f>
        <v>1</v>
      </c>
      <c r="V222" t="str">
        <f t="shared" si="28"/>
        <v>OK</v>
      </c>
      <c r="W222" t="str">
        <f>IF(I222&gt;B222,"ERROR","OK")</f>
        <v>OK</v>
      </c>
      <c r="X222">
        <f>(B222-I222)/B222</f>
        <v>0.6994442345024543</v>
      </c>
      <c r="Y222" s="2">
        <f t="shared" si="29"/>
        <v>1.3322676295501878E-15</v>
      </c>
      <c r="Z222" s="2" t="str">
        <f t="shared" si="30"/>
        <v>OK</v>
      </c>
      <c r="AA222" t="str">
        <f t="shared" si="31"/>
        <v>Unique</v>
      </c>
    </row>
    <row r="223" spans="1:27" x14ac:dyDescent="0.3">
      <c r="A223">
        <v>222</v>
      </c>
      <c r="B223">
        <v>1978617.2894208301</v>
      </c>
      <c r="C223">
        <v>0.53627560747016301</v>
      </c>
      <c r="D223">
        <v>-0.133597550864581</v>
      </c>
      <c r="E223">
        <v>0.31974304975816997</v>
      </c>
      <c r="F223">
        <v>1</v>
      </c>
      <c r="G223" t="s">
        <v>12</v>
      </c>
      <c r="H223">
        <v>0</v>
      </c>
      <c r="I223">
        <v>632649.12642366195</v>
      </c>
      <c r="J223">
        <v>0.68025695024182897</v>
      </c>
      <c r="K223" t="str">
        <f t="shared" si="24"/>
        <v>OK</v>
      </c>
      <c r="L223" t="str">
        <f t="shared" si="25"/>
        <v>OK</v>
      </c>
      <c r="M223" t="str">
        <f>IF(OR(B223&lt;$AE$20,B223&gt;$AF$20),"Outlier","OK")</f>
        <v>OK</v>
      </c>
      <c r="N223" t="str">
        <f>IF(OR(J223&lt;$AE$21,J223&gt;$AF$21),"Outlier","OK")</f>
        <v>OK</v>
      </c>
      <c r="O223" t="str">
        <f>IF(OR(C223&lt;0,C223&gt;1),"Outlier","OK")</f>
        <v>OK</v>
      </c>
      <c r="P223" t="str">
        <f>IF(OR(D223&lt;0,D223&gt;1),"Outlier","OK")</f>
        <v>Outlier</v>
      </c>
      <c r="Q223" t="str">
        <f t="shared" si="26"/>
        <v>60-80%</v>
      </c>
      <c r="R223" t="str">
        <f>IF(B223="","Missing","OK")</f>
        <v>OK</v>
      </c>
      <c r="S223" t="str">
        <f>IF(E223="","Missing","OK")</f>
        <v>OK</v>
      </c>
      <c r="T223" t="str">
        <f t="shared" si="27"/>
        <v>OK</v>
      </c>
      <c r="U223">
        <f>COUNTIF($A:$A,A223)</f>
        <v>1</v>
      </c>
      <c r="V223" t="str">
        <f t="shared" si="28"/>
        <v>OK</v>
      </c>
      <c r="W223" t="str">
        <f>IF(I223&gt;B223,"ERROR","OK")</f>
        <v>OK</v>
      </c>
      <c r="X223">
        <f>(B223-I223)/B223</f>
        <v>0.68025695024182897</v>
      </c>
      <c r="Y223" s="2">
        <f t="shared" si="29"/>
        <v>0</v>
      </c>
      <c r="Z223" s="2" t="str">
        <f t="shared" si="30"/>
        <v>OK</v>
      </c>
      <c r="AA223" t="str">
        <f t="shared" si="31"/>
        <v>Unique</v>
      </c>
    </row>
    <row r="224" spans="1:27" x14ac:dyDescent="0.3">
      <c r="A224">
        <v>223</v>
      </c>
      <c r="B224">
        <v>511369.63282576198</v>
      </c>
      <c r="C224">
        <v>0.83103578658117006</v>
      </c>
      <c r="D224">
        <v>7.3030297107755895E-2</v>
      </c>
      <c r="E224">
        <v>4.41816256415416E-2</v>
      </c>
      <c r="F224">
        <v>1</v>
      </c>
      <c r="G224" t="s">
        <v>13</v>
      </c>
      <c r="H224">
        <v>0</v>
      </c>
      <c r="I224">
        <v>22593.141681960398</v>
      </c>
      <c r="J224">
        <v>0.95581837435845796</v>
      </c>
      <c r="K224" t="str">
        <f t="shared" si="24"/>
        <v>OK</v>
      </c>
      <c r="L224" t="str">
        <f t="shared" si="25"/>
        <v>OK</v>
      </c>
      <c r="M224" t="str">
        <f>IF(OR(B224&lt;$AE$20,B224&gt;$AF$20),"Outlier","OK")</f>
        <v>OK</v>
      </c>
      <c r="N224" t="str">
        <f>IF(OR(J224&lt;$AE$21,J224&gt;$AF$21),"Outlier","OK")</f>
        <v>OK</v>
      </c>
      <c r="O224" t="str">
        <f>IF(OR(C224&lt;0,C224&gt;1),"Outlier","OK")</f>
        <v>OK</v>
      </c>
      <c r="P224" t="str">
        <f>IF(OR(D224&lt;0,D224&gt;1),"Outlier","OK")</f>
        <v>OK</v>
      </c>
      <c r="Q224" t="str">
        <f t="shared" si="26"/>
        <v>80-100%</v>
      </c>
      <c r="R224" t="str">
        <f>IF(B224="","Missing","OK")</f>
        <v>OK</v>
      </c>
      <c r="S224" t="str">
        <f>IF(E224="","Missing","OK")</f>
        <v>OK</v>
      </c>
      <c r="T224" t="str">
        <f t="shared" si="27"/>
        <v>OK</v>
      </c>
      <c r="U224">
        <f>COUNTIF($A:$A,A224)</f>
        <v>1</v>
      </c>
      <c r="V224" t="str">
        <f t="shared" si="28"/>
        <v>OK</v>
      </c>
      <c r="W224" t="str">
        <f>IF(I224&gt;B224,"ERROR","OK")</f>
        <v>OK</v>
      </c>
      <c r="X224">
        <f>(B224-I224)/B224</f>
        <v>0.9558183743584584</v>
      </c>
      <c r="Y224" s="2">
        <f t="shared" si="29"/>
        <v>4.4408920985006262E-16</v>
      </c>
      <c r="Z224" s="2" t="str">
        <f t="shared" si="30"/>
        <v>OK</v>
      </c>
      <c r="AA224" t="str">
        <f t="shared" si="31"/>
        <v>Unique</v>
      </c>
    </row>
    <row r="225" spans="1:27" x14ac:dyDescent="0.3">
      <c r="A225">
        <v>224</v>
      </c>
      <c r="B225">
        <v>1837823.0492307099</v>
      </c>
      <c r="C225">
        <v>0.64032634783334896</v>
      </c>
      <c r="D225">
        <v>-1.6570086375300001E-2</v>
      </c>
      <c r="E225">
        <v>6.6874561577417599E-2</v>
      </c>
      <c r="F225">
        <v>1</v>
      </c>
      <c r="G225" t="s">
        <v>12</v>
      </c>
      <c r="H225">
        <v>0</v>
      </c>
      <c r="I225">
        <v>122903.610674176</v>
      </c>
      <c r="J225">
        <v>0.933125438422582</v>
      </c>
      <c r="K225" t="str">
        <f t="shared" si="24"/>
        <v>OK</v>
      </c>
      <c r="L225" t="str">
        <f t="shared" si="25"/>
        <v>OK</v>
      </c>
      <c r="M225" t="str">
        <f>IF(OR(B225&lt;$AE$20,B225&gt;$AF$20),"Outlier","OK")</f>
        <v>OK</v>
      </c>
      <c r="N225" t="str">
        <f>IF(OR(J225&lt;$AE$21,J225&gt;$AF$21),"Outlier","OK")</f>
        <v>OK</v>
      </c>
      <c r="O225" t="str">
        <f>IF(OR(C225&lt;0,C225&gt;1),"Outlier","OK")</f>
        <v>OK</v>
      </c>
      <c r="P225" t="str">
        <f>IF(OR(D225&lt;0,D225&gt;1),"Outlier","OK")</f>
        <v>Outlier</v>
      </c>
      <c r="Q225" t="str">
        <f t="shared" si="26"/>
        <v>80-100%</v>
      </c>
      <c r="R225" t="str">
        <f>IF(B225="","Missing","OK")</f>
        <v>OK</v>
      </c>
      <c r="S225" t="str">
        <f>IF(E225="","Missing","OK")</f>
        <v>OK</v>
      </c>
      <c r="T225" t="str">
        <f t="shared" si="27"/>
        <v>OK</v>
      </c>
      <c r="U225">
        <f>COUNTIF($A:$A,A225)</f>
        <v>1</v>
      </c>
      <c r="V225" t="str">
        <f t="shared" si="28"/>
        <v>OK</v>
      </c>
      <c r="W225" t="str">
        <f>IF(I225&gt;B225,"ERROR","OK")</f>
        <v>OK</v>
      </c>
      <c r="X225">
        <f>(B225-I225)/B225</f>
        <v>0.93312543842258266</v>
      </c>
      <c r="Y225" s="2">
        <f t="shared" si="29"/>
        <v>6.6613381477509392E-16</v>
      </c>
      <c r="Z225" s="2" t="str">
        <f t="shared" si="30"/>
        <v>OK</v>
      </c>
      <c r="AA225" t="str">
        <f t="shared" si="31"/>
        <v>Unique</v>
      </c>
    </row>
    <row r="226" spans="1:27" x14ac:dyDescent="0.3">
      <c r="A226">
        <v>225</v>
      </c>
      <c r="B226">
        <v>1840875.0622209799</v>
      </c>
      <c r="C226">
        <v>0.54797310463495297</v>
      </c>
      <c r="D226">
        <v>0.19104322848379099</v>
      </c>
      <c r="E226">
        <v>0.28514612821035401</v>
      </c>
      <c r="F226">
        <v>1</v>
      </c>
      <c r="G226" t="s">
        <v>13</v>
      </c>
      <c r="H226">
        <v>0</v>
      </c>
      <c r="I226">
        <v>524918.39651130803</v>
      </c>
      <c r="J226">
        <v>0.71485387178964499</v>
      </c>
      <c r="K226" t="str">
        <f t="shared" si="24"/>
        <v>OK</v>
      </c>
      <c r="L226" t="str">
        <f t="shared" si="25"/>
        <v>OK</v>
      </c>
      <c r="M226" t="str">
        <f>IF(OR(B226&lt;$AE$20,B226&gt;$AF$20),"Outlier","OK")</f>
        <v>OK</v>
      </c>
      <c r="N226" t="str">
        <f>IF(OR(J226&lt;$AE$21,J226&gt;$AF$21),"Outlier","OK")</f>
        <v>OK</v>
      </c>
      <c r="O226" t="str">
        <f>IF(OR(C226&lt;0,C226&gt;1),"Outlier","OK")</f>
        <v>OK</v>
      </c>
      <c r="P226" t="str">
        <f>IF(OR(D226&lt;0,D226&gt;1),"Outlier","OK")</f>
        <v>OK</v>
      </c>
      <c r="Q226" t="str">
        <f t="shared" si="26"/>
        <v>60-80%</v>
      </c>
      <c r="R226" t="str">
        <f>IF(B226="","Missing","OK")</f>
        <v>OK</v>
      </c>
      <c r="S226" t="str">
        <f>IF(E226="","Missing","OK")</f>
        <v>OK</v>
      </c>
      <c r="T226" t="str">
        <f t="shared" si="27"/>
        <v>OK</v>
      </c>
      <c r="U226">
        <f>COUNTIF($A:$A,A226)</f>
        <v>1</v>
      </c>
      <c r="V226" t="str">
        <f t="shared" si="28"/>
        <v>OK</v>
      </c>
      <c r="W226" t="str">
        <f>IF(I226&gt;B226,"ERROR","OK")</f>
        <v>OK</v>
      </c>
      <c r="X226">
        <f>(B226-I226)/B226</f>
        <v>0.71485387178964543</v>
      </c>
      <c r="Y226" s="2">
        <f t="shared" si="29"/>
        <v>4.4408920985006262E-16</v>
      </c>
      <c r="Z226" s="2" t="str">
        <f t="shared" si="30"/>
        <v>OK</v>
      </c>
      <c r="AA226" t="str">
        <f t="shared" si="31"/>
        <v>Unique</v>
      </c>
    </row>
    <row r="227" spans="1:27" x14ac:dyDescent="0.3">
      <c r="A227">
        <v>226</v>
      </c>
      <c r="B227">
        <v>228027.867296243</v>
      </c>
      <c r="C227">
        <v>0.84210462212802595</v>
      </c>
      <c r="D227">
        <v>0.14177391448107199</v>
      </c>
      <c r="E227">
        <v>0.27680240892764402</v>
      </c>
      <c r="F227">
        <v>1</v>
      </c>
      <c r="G227" t="s">
        <v>10</v>
      </c>
      <c r="H227">
        <v>1</v>
      </c>
      <c r="I227">
        <v>63118.662970233403</v>
      </c>
      <c r="J227">
        <v>0.72319759107235504</v>
      </c>
      <c r="K227" t="str">
        <f t="shared" si="24"/>
        <v>OK</v>
      </c>
      <c r="L227" t="str">
        <f t="shared" si="25"/>
        <v>OK</v>
      </c>
      <c r="M227" t="str">
        <f>IF(OR(B227&lt;$AE$20,B227&gt;$AF$20),"Outlier","OK")</f>
        <v>OK</v>
      </c>
      <c r="N227" t="str">
        <f>IF(OR(J227&lt;$AE$21,J227&gt;$AF$21),"Outlier","OK")</f>
        <v>OK</v>
      </c>
      <c r="O227" t="str">
        <f>IF(OR(C227&lt;0,C227&gt;1),"Outlier","OK")</f>
        <v>OK</v>
      </c>
      <c r="P227" t="str">
        <f>IF(OR(D227&lt;0,D227&gt;1),"Outlier","OK")</f>
        <v>OK</v>
      </c>
      <c r="Q227" t="str">
        <f t="shared" si="26"/>
        <v>60-80%</v>
      </c>
      <c r="R227" t="str">
        <f>IF(B227="","Missing","OK")</f>
        <v>OK</v>
      </c>
      <c r="S227" t="str">
        <f>IF(E227="","Missing","OK")</f>
        <v>OK</v>
      </c>
      <c r="T227" t="str">
        <f t="shared" si="27"/>
        <v>OK</v>
      </c>
      <c r="U227">
        <f>COUNTIF($A:$A,A227)</f>
        <v>1</v>
      </c>
      <c r="V227" t="str">
        <f t="shared" si="28"/>
        <v>OK</v>
      </c>
      <c r="W227" t="str">
        <f>IF(I227&gt;B227,"ERROR","OK")</f>
        <v>OK</v>
      </c>
      <c r="X227">
        <f>(B227-I227)/B227</f>
        <v>0.72319759107235515</v>
      </c>
      <c r="Y227" s="2">
        <f t="shared" si="29"/>
        <v>1.1102230246251565E-16</v>
      </c>
      <c r="Z227" s="2" t="str">
        <f t="shared" si="30"/>
        <v>OK</v>
      </c>
      <c r="AA227" t="str">
        <f t="shared" si="31"/>
        <v>Unique</v>
      </c>
    </row>
    <row r="228" spans="1:27" x14ac:dyDescent="0.3">
      <c r="A228">
        <v>227</v>
      </c>
      <c r="B228">
        <v>954122.81352675601</v>
      </c>
      <c r="C228">
        <v>0.28127222434690602</v>
      </c>
      <c r="D228">
        <v>-0.16735188117947999</v>
      </c>
      <c r="E228">
        <v>0.18152696326040299</v>
      </c>
      <c r="F228">
        <v>1</v>
      </c>
      <c r="G228" t="s">
        <v>12</v>
      </c>
      <c r="H228">
        <v>0</v>
      </c>
      <c r="I228">
        <v>173199.01691698399</v>
      </c>
      <c r="J228">
        <v>0.81847303673959604</v>
      </c>
      <c r="K228" t="str">
        <f t="shared" si="24"/>
        <v>OK</v>
      </c>
      <c r="L228" t="str">
        <f t="shared" si="25"/>
        <v>OK</v>
      </c>
      <c r="M228" t="str">
        <f>IF(OR(B228&lt;$AE$20,B228&gt;$AF$20),"Outlier","OK")</f>
        <v>OK</v>
      </c>
      <c r="N228" t="str">
        <f>IF(OR(J228&lt;$AE$21,J228&gt;$AF$21),"Outlier","OK")</f>
        <v>OK</v>
      </c>
      <c r="O228" t="str">
        <f>IF(OR(C228&lt;0,C228&gt;1),"Outlier","OK")</f>
        <v>OK</v>
      </c>
      <c r="P228" t="str">
        <f>IF(OR(D228&lt;0,D228&gt;1),"Outlier","OK")</f>
        <v>Outlier</v>
      </c>
      <c r="Q228" t="str">
        <f t="shared" si="26"/>
        <v>80-100%</v>
      </c>
      <c r="R228" t="str">
        <f>IF(B228="","Missing","OK")</f>
        <v>OK</v>
      </c>
      <c r="S228" t="str">
        <f>IF(E228="","Missing","OK")</f>
        <v>OK</v>
      </c>
      <c r="T228" t="str">
        <f t="shared" si="27"/>
        <v>OK</v>
      </c>
      <c r="U228">
        <f>COUNTIF($A:$A,A228)</f>
        <v>1</v>
      </c>
      <c r="V228" t="str">
        <f t="shared" si="28"/>
        <v>OK</v>
      </c>
      <c r="W228" t="str">
        <f>IF(I228&gt;B228,"ERROR","OK")</f>
        <v>OK</v>
      </c>
      <c r="X228">
        <f>(B228-I228)/B228</f>
        <v>0.81847303673959682</v>
      </c>
      <c r="Y228" s="2">
        <f t="shared" si="29"/>
        <v>7.7715611723760958E-16</v>
      </c>
      <c r="Z228" s="2" t="str">
        <f t="shared" si="30"/>
        <v>OK</v>
      </c>
      <c r="AA228" t="str">
        <f t="shared" si="31"/>
        <v>Unique</v>
      </c>
    </row>
    <row r="229" spans="1:27" x14ac:dyDescent="0.3">
      <c r="A229">
        <v>228</v>
      </c>
      <c r="B229">
        <v>1029321.85387943</v>
      </c>
      <c r="C229">
        <v>0.76924805841167399</v>
      </c>
      <c r="D229">
        <v>-0.112553276507359</v>
      </c>
      <c r="E229">
        <v>0.21546528570756901</v>
      </c>
      <c r="F229">
        <v>1</v>
      </c>
      <c r="G229" t="s">
        <v>13</v>
      </c>
      <c r="H229">
        <v>0</v>
      </c>
      <c r="I229">
        <v>221783.12733117701</v>
      </c>
      <c r="J229">
        <v>0.78453471429243005</v>
      </c>
      <c r="K229" t="str">
        <f t="shared" si="24"/>
        <v>OK</v>
      </c>
      <c r="L229" t="str">
        <f t="shared" si="25"/>
        <v>OK</v>
      </c>
      <c r="M229" t="str">
        <f>IF(OR(B229&lt;$AE$20,B229&gt;$AF$20),"Outlier","OK")</f>
        <v>OK</v>
      </c>
      <c r="N229" t="str">
        <f>IF(OR(J229&lt;$AE$21,J229&gt;$AF$21),"Outlier","OK")</f>
        <v>OK</v>
      </c>
      <c r="O229" t="str">
        <f>IF(OR(C229&lt;0,C229&gt;1),"Outlier","OK")</f>
        <v>OK</v>
      </c>
      <c r="P229" t="str">
        <f>IF(OR(D229&lt;0,D229&gt;1),"Outlier","OK")</f>
        <v>Outlier</v>
      </c>
      <c r="Q229" t="str">
        <f t="shared" si="26"/>
        <v>60-80%</v>
      </c>
      <c r="R229" t="str">
        <f>IF(B229="","Missing","OK")</f>
        <v>OK</v>
      </c>
      <c r="S229" t="str">
        <f>IF(E229="","Missing","OK")</f>
        <v>OK</v>
      </c>
      <c r="T229" t="str">
        <f t="shared" si="27"/>
        <v>OK</v>
      </c>
      <c r="U229">
        <f>COUNTIF($A:$A,A229)</f>
        <v>1</v>
      </c>
      <c r="V229" t="str">
        <f t="shared" si="28"/>
        <v>OK</v>
      </c>
      <c r="W229" t="str">
        <f>IF(I229&gt;B229,"ERROR","OK")</f>
        <v>OK</v>
      </c>
      <c r="X229">
        <f>(B229-I229)/B229</f>
        <v>0.78453471429243005</v>
      </c>
      <c r="Y229" s="2">
        <f t="shared" si="29"/>
        <v>0</v>
      </c>
      <c r="Z229" s="2" t="str">
        <f t="shared" si="30"/>
        <v>OK</v>
      </c>
      <c r="AA229" t="str">
        <f t="shared" si="31"/>
        <v>Unique</v>
      </c>
    </row>
    <row r="230" spans="1:27" x14ac:dyDescent="0.3">
      <c r="A230">
        <v>229</v>
      </c>
      <c r="B230">
        <v>661654.45260164805</v>
      </c>
      <c r="C230">
        <v>0.57201054436741905</v>
      </c>
      <c r="D230">
        <v>-0.16890503914809801</v>
      </c>
      <c r="E230">
        <v>0.56979282300302503</v>
      </c>
      <c r="F230">
        <v>1</v>
      </c>
      <c r="G230" t="s">
        <v>10</v>
      </c>
      <c r="H230">
        <v>0</v>
      </c>
      <c r="I230">
        <v>377005.95840041398</v>
      </c>
      <c r="J230">
        <v>0.43020717699697397</v>
      </c>
      <c r="K230" t="str">
        <f t="shared" si="24"/>
        <v>OK</v>
      </c>
      <c r="L230" t="str">
        <f t="shared" si="25"/>
        <v>OK</v>
      </c>
      <c r="M230" t="str">
        <f>IF(OR(B230&lt;$AE$20,B230&gt;$AF$20),"Outlier","OK")</f>
        <v>OK</v>
      </c>
      <c r="N230" t="str">
        <f>IF(OR(J230&lt;$AE$21,J230&gt;$AF$21),"Outlier","OK")</f>
        <v>OK</v>
      </c>
      <c r="O230" t="str">
        <f>IF(OR(C230&lt;0,C230&gt;1),"Outlier","OK")</f>
        <v>OK</v>
      </c>
      <c r="P230" t="str">
        <f>IF(OR(D230&lt;0,D230&gt;1),"Outlier","OK")</f>
        <v>Outlier</v>
      </c>
      <c r="Q230" t="str">
        <f t="shared" si="26"/>
        <v>40-60%</v>
      </c>
      <c r="R230" t="str">
        <f>IF(B230="","Missing","OK")</f>
        <v>OK</v>
      </c>
      <c r="S230" t="str">
        <f>IF(E230="","Missing","OK")</f>
        <v>OK</v>
      </c>
      <c r="T230" t="str">
        <f t="shared" si="27"/>
        <v>OK</v>
      </c>
      <c r="U230">
        <f>COUNTIF($A:$A,A230)</f>
        <v>1</v>
      </c>
      <c r="V230" t="str">
        <f t="shared" si="28"/>
        <v>OK</v>
      </c>
      <c r="W230" t="str">
        <f>IF(I230&gt;B230,"ERROR","OK")</f>
        <v>OK</v>
      </c>
      <c r="X230">
        <f>(B230-I230)/B230</f>
        <v>0.43020717699697542</v>
      </c>
      <c r="Y230" s="2">
        <f t="shared" si="29"/>
        <v>1.4432899320127035E-15</v>
      </c>
      <c r="Z230" s="2" t="str">
        <f t="shared" si="30"/>
        <v>OK</v>
      </c>
      <c r="AA230" t="str">
        <f t="shared" si="31"/>
        <v>Unique</v>
      </c>
    </row>
    <row r="231" spans="1:27" x14ac:dyDescent="0.3">
      <c r="A231">
        <v>230</v>
      </c>
      <c r="B231">
        <v>142312.09761358699</v>
      </c>
      <c r="C231">
        <v>0.64862066033602805</v>
      </c>
      <c r="D231">
        <v>-5.2852984359071903E-2</v>
      </c>
      <c r="E231">
        <v>0.156630292771054</v>
      </c>
      <c r="F231">
        <v>1</v>
      </c>
      <c r="G231" t="s">
        <v>10</v>
      </c>
      <c r="H231">
        <v>0</v>
      </c>
      <c r="I231">
        <v>22290.385514079</v>
      </c>
      <c r="J231">
        <v>0.843369707228945</v>
      </c>
      <c r="K231" t="str">
        <f t="shared" si="24"/>
        <v>OK</v>
      </c>
      <c r="L231" t="str">
        <f t="shared" si="25"/>
        <v>OK</v>
      </c>
      <c r="M231" t="str">
        <f>IF(OR(B231&lt;$AE$20,B231&gt;$AF$20),"Outlier","OK")</f>
        <v>OK</v>
      </c>
      <c r="N231" t="str">
        <f>IF(OR(J231&lt;$AE$21,J231&gt;$AF$21),"Outlier","OK")</f>
        <v>OK</v>
      </c>
      <c r="O231" t="str">
        <f>IF(OR(C231&lt;0,C231&gt;1),"Outlier","OK")</f>
        <v>OK</v>
      </c>
      <c r="P231" t="str">
        <f>IF(OR(D231&lt;0,D231&gt;1),"Outlier","OK")</f>
        <v>Outlier</v>
      </c>
      <c r="Q231" t="str">
        <f t="shared" si="26"/>
        <v>80-100%</v>
      </c>
      <c r="R231" t="str">
        <f>IF(B231="","Missing","OK")</f>
        <v>OK</v>
      </c>
      <c r="S231" t="str">
        <f>IF(E231="","Missing","OK")</f>
        <v>OK</v>
      </c>
      <c r="T231" t="str">
        <f t="shared" si="27"/>
        <v>OK</v>
      </c>
      <c r="U231">
        <f>COUNTIF($A:$A,A231)</f>
        <v>1</v>
      </c>
      <c r="V231" t="str">
        <f t="shared" si="28"/>
        <v>OK</v>
      </c>
      <c r="W231" t="str">
        <f>IF(I231&gt;B231,"ERROR","OK")</f>
        <v>OK</v>
      </c>
      <c r="X231">
        <f>(B231-I231)/B231</f>
        <v>0.84336970722894566</v>
      </c>
      <c r="Y231" s="2">
        <f t="shared" si="29"/>
        <v>6.6613381477509392E-16</v>
      </c>
      <c r="Z231" s="2" t="str">
        <f t="shared" si="30"/>
        <v>OK</v>
      </c>
      <c r="AA231" t="str">
        <f t="shared" si="31"/>
        <v>Unique</v>
      </c>
    </row>
    <row r="232" spans="1:27" x14ac:dyDescent="0.3">
      <c r="A232">
        <v>231</v>
      </c>
      <c r="B232">
        <v>521286.99262852501</v>
      </c>
      <c r="C232">
        <v>0.84638992199575802</v>
      </c>
      <c r="D232">
        <v>-4.4148688677240498E-2</v>
      </c>
      <c r="E232">
        <v>0.25287574107447602</v>
      </c>
      <c r="F232">
        <v>1</v>
      </c>
      <c r="G232" t="s">
        <v>10</v>
      </c>
      <c r="H232">
        <v>0</v>
      </c>
      <c r="I232">
        <v>131820.834573423</v>
      </c>
      <c r="J232">
        <v>0.74712425892552303</v>
      </c>
      <c r="K232" t="str">
        <f t="shared" si="24"/>
        <v>OK</v>
      </c>
      <c r="L232" t="str">
        <f t="shared" si="25"/>
        <v>OK</v>
      </c>
      <c r="M232" t="str">
        <f>IF(OR(B232&lt;$AE$20,B232&gt;$AF$20),"Outlier","OK")</f>
        <v>OK</v>
      </c>
      <c r="N232" t="str">
        <f>IF(OR(J232&lt;$AE$21,J232&gt;$AF$21),"Outlier","OK")</f>
        <v>OK</v>
      </c>
      <c r="O232" t="str">
        <f>IF(OR(C232&lt;0,C232&gt;1),"Outlier","OK")</f>
        <v>OK</v>
      </c>
      <c r="P232" t="str">
        <f>IF(OR(D232&lt;0,D232&gt;1),"Outlier","OK")</f>
        <v>Outlier</v>
      </c>
      <c r="Q232" t="str">
        <f t="shared" si="26"/>
        <v>60-80%</v>
      </c>
      <c r="R232" t="str">
        <f>IF(B232="","Missing","OK")</f>
        <v>OK</v>
      </c>
      <c r="S232" t="str">
        <f>IF(E232="","Missing","OK")</f>
        <v>OK</v>
      </c>
      <c r="T232" t="str">
        <f t="shared" si="27"/>
        <v>OK</v>
      </c>
      <c r="U232">
        <f>COUNTIF($A:$A,A232)</f>
        <v>1</v>
      </c>
      <c r="V232" t="str">
        <f t="shared" si="28"/>
        <v>OK</v>
      </c>
      <c r="W232" t="str">
        <f>IF(I232&gt;B232,"ERROR","OK")</f>
        <v>OK</v>
      </c>
      <c r="X232">
        <f>(B232-I232)/B232</f>
        <v>0.74712425892552425</v>
      </c>
      <c r="Y232" s="2">
        <f t="shared" si="29"/>
        <v>1.2212453270876722E-15</v>
      </c>
      <c r="Z232" s="2" t="str">
        <f t="shared" si="30"/>
        <v>OK</v>
      </c>
      <c r="AA232" t="str">
        <f t="shared" si="31"/>
        <v>Unique</v>
      </c>
    </row>
    <row r="233" spans="1:27" x14ac:dyDescent="0.3">
      <c r="A233">
        <v>232</v>
      </c>
      <c r="B233">
        <v>236282.80103295299</v>
      </c>
      <c r="C233">
        <v>0.28880635147904499</v>
      </c>
      <c r="D233">
        <v>-0.15612841666045199</v>
      </c>
      <c r="E233">
        <v>0.264486630419698</v>
      </c>
      <c r="F233">
        <v>1</v>
      </c>
      <c r="G233" t="s">
        <v>11</v>
      </c>
      <c r="H233">
        <v>0</v>
      </c>
      <c r="I233">
        <v>62493.641871334097</v>
      </c>
      <c r="J233">
        <v>0.735513369580301</v>
      </c>
      <c r="K233" t="str">
        <f t="shared" si="24"/>
        <v>OK</v>
      </c>
      <c r="L233" t="str">
        <f t="shared" si="25"/>
        <v>OK</v>
      </c>
      <c r="M233" t="str">
        <f>IF(OR(B233&lt;$AE$20,B233&gt;$AF$20),"Outlier","OK")</f>
        <v>OK</v>
      </c>
      <c r="N233" t="str">
        <f>IF(OR(J233&lt;$AE$21,J233&gt;$AF$21),"Outlier","OK")</f>
        <v>OK</v>
      </c>
      <c r="O233" t="str">
        <f>IF(OR(C233&lt;0,C233&gt;1),"Outlier","OK")</f>
        <v>OK</v>
      </c>
      <c r="P233" t="str">
        <f>IF(OR(D233&lt;0,D233&gt;1),"Outlier","OK")</f>
        <v>Outlier</v>
      </c>
      <c r="Q233" t="str">
        <f t="shared" si="26"/>
        <v>60-80%</v>
      </c>
      <c r="R233" t="str">
        <f>IF(B233="","Missing","OK")</f>
        <v>OK</v>
      </c>
      <c r="S233" t="str">
        <f>IF(E233="","Missing","OK")</f>
        <v>OK</v>
      </c>
      <c r="T233" t="str">
        <f t="shared" si="27"/>
        <v>OK</v>
      </c>
      <c r="U233">
        <f>COUNTIF($A:$A,A233)</f>
        <v>1</v>
      </c>
      <c r="V233" t="str">
        <f t="shared" si="28"/>
        <v>OK</v>
      </c>
      <c r="W233" t="str">
        <f>IF(I233&gt;B233,"ERROR","OK")</f>
        <v>OK</v>
      </c>
      <c r="X233">
        <f>(B233-I233)/B233</f>
        <v>0.73551336958030022</v>
      </c>
      <c r="Y233" s="2">
        <f t="shared" si="29"/>
        <v>7.7715611723760958E-16</v>
      </c>
      <c r="Z233" s="2" t="str">
        <f t="shared" si="30"/>
        <v>OK</v>
      </c>
      <c r="AA233" t="str">
        <f t="shared" si="31"/>
        <v>Unique</v>
      </c>
    </row>
    <row r="234" spans="1:27" x14ac:dyDescent="0.3">
      <c r="A234">
        <v>233</v>
      </c>
      <c r="B234">
        <v>514587.31613920297</v>
      </c>
      <c r="C234">
        <v>0.43176738110137203</v>
      </c>
      <c r="D234">
        <v>0.173931680744673</v>
      </c>
      <c r="E234">
        <v>0.52124682240054698</v>
      </c>
      <c r="F234">
        <v>1</v>
      </c>
      <c r="G234" t="s">
        <v>10</v>
      </c>
      <c r="H234">
        <v>1</v>
      </c>
      <c r="I234">
        <v>268227.00338518497</v>
      </c>
      <c r="J234">
        <v>0.47875317759945202</v>
      </c>
      <c r="K234" t="str">
        <f t="shared" si="24"/>
        <v>OK</v>
      </c>
      <c r="L234" t="str">
        <f t="shared" si="25"/>
        <v>OK</v>
      </c>
      <c r="M234" t="str">
        <f>IF(OR(B234&lt;$AE$20,B234&gt;$AF$20),"Outlier","OK")</f>
        <v>OK</v>
      </c>
      <c r="N234" t="str">
        <f>IF(OR(J234&lt;$AE$21,J234&gt;$AF$21),"Outlier","OK")</f>
        <v>OK</v>
      </c>
      <c r="O234" t="str">
        <f>IF(OR(C234&lt;0,C234&gt;1),"Outlier","OK")</f>
        <v>OK</v>
      </c>
      <c r="P234" t="str">
        <f>IF(OR(D234&lt;0,D234&gt;1),"Outlier","OK")</f>
        <v>OK</v>
      </c>
      <c r="Q234" t="str">
        <f t="shared" si="26"/>
        <v>40-60%</v>
      </c>
      <c r="R234" t="str">
        <f>IF(B234="","Missing","OK")</f>
        <v>OK</v>
      </c>
      <c r="S234" t="str">
        <f>IF(E234="","Missing","OK")</f>
        <v>OK</v>
      </c>
      <c r="T234" t="str">
        <f t="shared" si="27"/>
        <v>OK</v>
      </c>
      <c r="U234">
        <f>COUNTIF($A:$A,A234)</f>
        <v>1</v>
      </c>
      <c r="V234" t="str">
        <f t="shared" si="28"/>
        <v>OK</v>
      </c>
      <c r="W234" t="str">
        <f>IF(I234&gt;B234,"ERROR","OK")</f>
        <v>OK</v>
      </c>
      <c r="X234">
        <f>(B234-I234)/B234</f>
        <v>0.47875317759945357</v>
      </c>
      <c r="Y234" s="2">
        <f t="shared" si="29"/>
        <v>1.5543122344752192E-15</v>
      </c>
      <c r="Z234" s="2" t="str">
        <f t="shared" si="30"/>
        <v>OK</v>
      </c>
      <c r="AA234" t="str">
        <f t="shared" si="31"/>
        <v>Unique</v>
      </c>
    </row>
    <row r="235" spans="1:27" x14ac:dyDescent="0.3">
      <c r="A235">
        <v>234</v>
      </c>
      <c r="B235">
        <v>1625192.6182657999</v>
      </c>
      <c r="C235">
        <v>0.55412232801547601</v>
      </c>
      <c r="D235">
        <v>-0.13849495998414399</v>
      </c>
      <c r="E235">
        <v>0.45181016928669199</v>
      </c>
      <c r="F235">
        <v>1</v>
      </c>
      <c r="G235" t="s">
        <v>11</v>
      </c>
      <c r="H235">
        <v>0</v>
      </c>
      <c r="I235">
        <v>734278.551982156</v>
      </c>
      <c r="J235">
        <v>0.54818983071330696</v>
      </c>
      <c r="K235" t="str">
        <f t="shared" si="24"/>
        <v>OK</v>
      </c>
      <c r="L235" t="str">
        <f t="shared" si="25"/>
        <v>OK</v>
      </c>
      <c r="M235" t="str">
        <f>IF(OR(B235&lt;$AE$20,B235&gt;$AF$20),"Outlier","OK")</f>
        <v>OK</v>
      </c>
      <c r="N235" t="str">
        <f>IF(OR(J235&lt;$AE$21,J235&gt;$AF$21),"Outlier","OK")</f>
        <v>OK</v>
      </c>
      <c r="O235" t="str">
        <f>IF(OR(C235&lt;0,C235&gt;1),"Outlier","OK")</f>
        <v>OK</v>
      </c>
      <c r="P235" t="str">
        <f>IF(OR(D235&lt;0,D235&gt;1),"Outlier","OK")</f>
        <v>Outlier</v>
      </c>
      <c r="Q235" t="str">
        <f t="shared" si="26"/>
        <v>40-60%</v>
      </c>
      <c r="R235" t="str">
        <f>IF(B235="","Missing","OK")</f>
        <v>OK</v>
      </c>
      <c r="S235" t="str">
        <f>IF(E235="","Missing","OK")</f>
        <v>OK</v>
      </c>
      <c r="T235" t="str">
        <f t="shared" si="27"/>
        <v>OK</v>
      </c>
      <c r="U235">
        <f>COUNTIF($A:$A,A235)</f>
        <v>1</v>
      </c>
      <c r="V235" t="str">
        <f t="shared" si="28"/>
        <v>OK</v>
      </c>
      <c r="W235" t="str">
        <f>IF(I235&gt;B235,"ERROR","OK")</f>
        <v>OK</v>
      </c>
      <c r="X235">
        <f>(B235-I235)/B235</f>
        <v>0.54818983071330629</v>
      </c>
      <c r="Y235" s="2">
        <f t="shared" si="29"/>
        <v>6.6613381477509392E-16</v>
      </c>
      <c r="Z235" s="2" t="str">
        <f t="shared" si="30"/>
        <v>OK</v>
      </c>
      <c r="AA235" t="str">
        <f t="shared" si="31"/>
        <v>Unique</v>
      </c>
    </row>
    <row r="236" spans="1:27" x14ac:dyDescent="0.3">
      <c r="A236">
        <v>235</v>
      </c>
      <c r="B236">
        <v>1795207.6613777201</v>
      </c>
      <c r="C236">
        <v>0.58547174335720398</v>
      </c>
      <c r="D236">
        <v>7.3068705072523096E-2</v>
      </c>
      <c r="E236">
        <v>0.24290842206466801</v>
      </c>
      <c r="F236">
        <v>1</v>
      </c>
      <c r="G236" t="s">
        <v>13</v>
      </c>
      <c r="H236">
        <v>0</v>
      </c>
      <c r="I236">
        <v>436071.06030366599</v>
      </c>
      <c r="J236">
        <v>0.75709157793533099</v>
      </c>
      <c r="K236" t="str">
        <f t="shared" si="24"/>
        <v>OK</v>
      </c>
      <c r="L236" t="str">
        <f t="shared" si="25"/>
        <v>OK</v>
      </c>
      <c r="M236" t="str">
        <f>IF(OR(B236&lt;$AE$20,B236&gt;$AF$20),"Outlier","OK")</f>
        <v>OK</v>
      </c>
      <c r="N236" t="str">
        <f>IF(OR(J236&lt;$AE$21,J236&gt;$AF$21),"Outlier","OK")</f>
        <v>OK</v>
      </c>
      <c r="O236" t="str">
        <f>IF(OR(C236&lt;0,C236&gt;1),"Outlier","OK")</f>
        <v>OK</v>
      </c>
      <c r="P236" t="str">
        <f>IF(OR(D236&lt;0,D236&gt;1),"Outlier","OK")</f>
        <v>OK</v>
      </c>
      <c r="Q236" t="str">
        <f t="shared" si="26"/>
        <v>60-80%</v>
      </c>
      <c r="R236" t="str">
        <f>IF(B236="","Missing","OK")</f>
        <v>OK</v>
      </c>
      <c r="S236" t="str">
        <f>IF(E236="","Missing","OK")</f>
        <v>OK</v>
      </c>
      <c r="T236" t="str">
        <f t="shared" si="27"/>
        <v>OK</v>
      </c>
      <c r="U236">
        <f>COUNTIF($A:$A,A236)</f>
        <v>1</v>
      </c>
      <c r="V236" t="str">
        <f t="shared" si="28"/>
        <v>OK</v>
      </c>
      <c r="W236" t="str">
        <f>IF(I236&gt;B236,"ERROR","OK")</f>
        <v>OK</v>
      </c>
      <c r="X236">
        <f>(B236-I236)/B236</f>
        <v>0.75709157793533133</v>
      </c>
      <c r="Y236" s="2">
        <f t="shared" si="29"/>
        <v>3.3306690738754696E-16</v>
      </c>
      <c r="Z236" s="2" t="str">
        <f t="shared" si="30"/>
        <v>OK</v>
      </c>
      <c r="AA236" t="str">
        <f t="shared" si="31"/>
        <v>Unique</v>
      </c>
    </row>
    <row r="237" spans="1:27" x14ac:dyDescent="0.3">
      <c r="A237">
        <v>236</v>
      </c>
      <c r="B237">
        <v>134284.63955531101</v>
      </c>
      <c r="C237">
        <v>0.39540314210551702</v>
      </c>
      <c r="D237">
        <v>-5.5052335587893797E-2</v>
      </c>
      <c r="E237">
        <v>0.39109821559213898</v>
      </c>
      <c r="F237">
        <v>1</v>
      </c>
      <c r="G237" t="s">
        <v>13</v>
      </c>
      <c r="H237">
        <v>1</v>
      </c>
      <c r="I237">
        <v>52518.482911515799</v>
      </c>
      <c r="J237">
        <v>0.60890178440786003</v>
      </c>
      <c r="K237" t="str">
        <f t="shared" si="24"/>
        <v>OK</v>
      </c>
      <c r="L237" t="str">
        <f t="shared" si="25"/>
        <v>OK</v>
      </c>
      <c r="M237" t="str">
        <f>IF(OR(B237&lt;$AE$20,B237&gt;$AF$20),"Outlier","OK")</f>
        <v>OK</v>
      </c>
      <c r="N237" t="str">
        <f>IF(OR(J237&lt;$AE$21,J237&gt;$AF$21),"Outlier","OK")</f>
        <v>OK</v>
      </c>
      <c r="O237" t="str">
        <f>IF(OR(C237&lt;0,C237&gt;1),"Outlier","OK")</f>
        <v>OK</v>
      </c>
      <c r="P237" t="str">
        <f>IF(OR(D237&lt;0,D237&gt;1),"Outlier","OK")</f>
        <v>Outlier</v>
      </c>
      <c r="Q237" t="str">
        <f t="shared" si="26"/>
        <v>60-80%</v>
      </c>
      <c r="R237" t="str">
        <f>IF(B237="","Missing","OK")</f>
        <v>OK</v>
      </c>
      <c r="S237" t="str">
        <f>IF(E237="","Missing","OK")</f>
        <v>OK</v>
      </c>
      <c r="T237" t="str">
        <f t="shared" si="27"/>
        <v>OK</v>
      </c>
      <c r="U237">
        <f>COUNTIF($A:$A,A237)</f>
        <v>1</v>
      </c>
      <c r="V237" t="str">
        <f t="shared" si="28"/>
        <v>OK</v>
      </c>
      <c r="W237" t="str">
        <f>IF(I237&gt;B237,"ERROR","OK")</f>
        <v>OK</v>
      </c>
      <c r="X237">
        <f>(B237-I237)/B237</f>
        <v>0.60890178440786025</v>
      </c>
      <c r="Y237" s="2">
        <f t="shared" si="29"/>
        <v>2.2204460492503131E-16</v>
      </c>
      <c r="Z237" s="2" t="str">
        <f t="shared" si="30"/>
        <v>OK</v>
      </c>
      <c r="AA237" t="str">
        <f t="shared" si="31"/>
        <v>Unique</v>
      </c>
    </row>
    <row r="238" spans="1:27" x14ac:dyDescent="0.3">
      <c r="A238">
        <v>237</v>
      </c>
      <c r="B238">
        <v>638796.33071230201</v>
      </c>
      <c r="C238">
        <v>0.45677643581600402</v>
      </c>
      <c r="D238">
        <v>-1.2263383434906801E-2</v>
      </c>
      <c r="E238">
        <v>0.106655562540136</v>
      </c>
      <c r="F238">
        <v>1</v>
      </c>
      <c r="G238" t="s">
        <v>12</v>
      </c>
      <c r="H238">
        <v>1</v>
      </c>
      <c r="I238">
        <v>68131.182000695597</v>
      </c>
      <c r="J238">
        <v>0.89334443745986303</v>
      </c>
      <c r="K238" t="str">
        <f t="shared" si="24"/>
        <v>OK</v>
      </c>
      <c r="L238" t="str">
        <f t="shared" si="25"/>
        <v>OK</v>
      </c>
      <c r="M238" t="str">
        <f>IF(OR(B238&lt;$AE$20,B238&gt;$AF$20),"Outlier","OK")</f>
        <v>OK</v>
      </c>
      <c r="N238" t="str">
        <f>IF(OR(J238&lt;$AE$21,J238&gt;$AF$21),"Outlier","OK")</f>
        <v>OK</v>
      </c>
      <c r="O238" t="str">
        <f>IF(OR(C238&lt;0,C238&gt;1),"Outlier","OK")</f>
        <v>OK</v>
      </c>
      <c r="P238" t="str">
        <f>IF(OR(D238&lt;0,D238&gt;1),"Outlier","OK")</f>
        <v>Outlier</v>
      </c>
      <c r="Q238" t="str">
        <f t="shared" si="26"/>
        <v>80-100%</v>
      </c>
      <c r="R238" t="str">
        <f>IF(B238="","Missing","OK")</f>
        <v>OK</v>
      </c>
      <c r="S238" t="str">
        <f>IF(E238="","Missing","OK")</f>
        <v>OK</v>
      </c>
      <c r="T238" t="str">
        <f t="shared" si="27"/>
        <v>OK</v>
      </c>
      <c r="U238">
        <f>COUNTIF($A:$A,A238)</f>
        <v>1</v>
      </c>
      <c r="V238" t="str">
        <f t="shared" si="28"/>
        <v>OK</v>
      </c>
      <c r="W238" t="str">
        <f>IF(I238&gt;B238,"ERROR","OK")</f>
        <v>OK</v>
      </c>
      <c r="X238">
        <f>(B238-I238)/B238</f>
        <v>0.89334443745986358</v>
      </c>
      <c r="Y238" s="2">
        <f t="shared" si="29"/>
        <v>5.5511151231257827E-16</v>
      </c>
      <c r="Z238" s="2" t="str">
        <f t="shared" si="30"/>
        <v>OK</v>
      </c>
      <c r="AA238" t="str">
        <f t="shared" si="31"/>
        <v>Unique</v>
      </c>
    </row>
    <row r="239" spans="1:27" x14ac:dyDescent="0.3">
      <c r="A239">
        <v>238</v>
      </c>
      <c r="B239">
        <v>1962135.28725886</v>
      </c>
      <c r="C239">
        <v>0.89650315063268804</v>
      </c>
      <c r="D239">
        <v>0.101749123724278</v>
      </c>
      <c r="E239">
        <v>0.17228657078630599</v>
      </c>
      <c r="F239">
        <v>1</v>
      </c>
      <c r="G239" t="s">
        <v>10</v>
      </c>
      <c r="H239">
        <v>0</v>
      </c>
      <c r="I239">
        <v>338049.56006063201</v>
      </c>
      <c r="J239">
        <v>0.82771342921369395</v>
      </c>
      <c r="K239" t="str">
        <f t="shared" si="24"/>
        <v>OK</v>
      </c>
      <c r="L239" t="str">
        <f t="shared" si="25"/>
        <v>OK</v>
      </c>
      <c r="M239" t="str">
        <f>IF(OR(B239&lt;$AE$20,B239&gt;$AF$20),"Outlier","OK")</f>
        <v>OK</v>
      </c>
      <c r="N239" t="str">
        <f>IF(OR(J239&lt;$AE$21,J239&gt;$AF$21),"Outlier","OK")</f>
        <v>OK</v>
      </c>
      <c r="O239" t="str">
        <f>IF(OR(C239&lt;0,C239&gt;1),"Outlier","OK")</f>
        <v>OK</v>
      </c>
      <c r="P239" t="str">
        <f>IF(OR(D239&lt;0,D239&gt;1),"Outlier","OK")</f>
        <v>OK</v>
      </c>
      <c r="Q239" t="str">
        <f t="shared" si="26"/>
        <v>80-100%</v>
      </c>
      <c r="R239" t="str">
        <f>IF(B239="","Missing","OK")</f>
        <v>OK</v>
      </c>
      <c r="S239" t="str">
        <f>IF(E239="","Missing","OK")</f>
        <v>OK</v>
      </c>
      <c r="T239" t="str">
        <f t="shared" si="27"/>
        <v>OK</v>
      </c>
      <c r="U239">
        <f>COUNTIF($A:$A,A239)</f>
        <v>1</v>
      </c>
      <c r="V239" t="str">
        <f t="shared" si="28"/>
        <v>OK</v>
      </c>
      <c r="W239" t="str">
        <f>IF(I239&gt;B239,"ERROR","OK")</f>
        <v>OK</v>
      </c>
      <c r="X239">
        <f>(B239-I239)/B239</f>
        <v>0.82771342921369429</v>
      </c>
      <c r="Y239" s="2">
        <f t="shared" si="29"/>
        <v>3.3306690738754696E-16</v>
      </c>
      <c r="Z239" s="2" t="str">
        <f t="shared" si="30"/>
        <v>OK</v>
      </c>
      <c r="AA239" t="str">
        <f t="shared" si="31"/>
        <v>Unique</v>
      </c>
    </row>
    <row r="240" spans="1:27" x14ac:dyDescent="0.3">
      <c r="A240">
        <v>239</v>
      </c>
      <c r="B240">
        <v>1102034.4039797799</v>
      </c>
      <c r="C240">
        <v>0.82402782211824799</v>
      </c>
      <c r="D240">
        <v>-8.1547370962871304E-2</v>
      </c>
      <c r="E240">
        <v>0.31277620862925998</v>
      </c>
      <c r="F240">
        <v>1</v>
      </c>
      <c r="G240" t="s">
        <v>10</v>
      </c>
      <c r="H240">
        <v>1</v>
      </c>
      <c r="I240">
        <v>344690.14265580301</v>
      </c>
      <c r="J240">
        <v>0.68722379137073897</v>
      </c>
      <c r="K240" t="str">
        <f t="shared" si="24"/>
        <v>OK</v>
      </c>
      <c r="L240" t="str">
        <f t="shared" si="25"/>
        <v>OK</v>
      </c>
      <c r="M240" t="str">
        <f>IF(OR(B240&lt;$AE$20,B240&gt;$AF$20),"Outlier","OK")</f>
        <v>OK</v>
      </c>
      <c r="N240" t="str">
        <f>IF(OR(J240&lt;$AE$21,J240&gt;$AF$21),"Outlier","OK")</f>
        <v>OK</v>
      </c>
      <c r="O240" t="str">
        <f>IF(OR(C240&lt;0,C240&gt;1),"Outlier","OK")</f>
        <v>OK</v>
      </c>
      <c r="P240" t="str">
        <f>IF(OR(D240&lt;0,D240&gt;1),"Outlier","OK")</f>
        <v>Outlier</v>
      </c>
      <c r="Q240" t="str">
        <f t="shared" si="26"/>
        <v>60-80%</v>
      </c>
      <c r="R240" t="str">
        <f>IF(B240="","Missing","OK")</f>
        <v>OK</v>
      </c>
      <c r="S240" t="str">
        <f>IF(E240="","Missing","OK")</f>
        <v>OK</v>
      </c>
      <c r="T240" t="str">
        <f t="shared" si="27"/>
        <v>OK</v>
      </c>
      <c r="U240">
        <f>COUNTIF($A:$A,A240)</f>
        <v>1</v>
      </c>
      <c r="V240" t="str">
        <f t="shared" si="28"/>
        <v>OK</v>
      </c>
      <c r="W240" t="str">
        <f>IF(I240&gt;B240,"ERROR","OK")</f>
        <v>OK</v>
      </c>
      <c r="X240">
        <f>(B240-I240)/B240</f>
        <v>0.68722379137073897</v>
      </c>
      <c r="Y240" s="2">
        <f t="shared" si="29"/>
        <v>0</v>
      </c>
      <c r="Z240" s="2" t="str">
        <f t="shared" si="30"/>
        <v>OK</v>
      </c>
      <c r="AA240" t="str">
        <f t="shared" si="31"/>
        <v>Unique</v>
      </c>
    </row>
    <row r="241" spans="1:27" x14ac:dyDescent="0.3">
      <c r="A241">
        <v>240</v>
      </c>
      <c r="B241">
        <v>1271303.2553342101</v>
      </c>
      <c r="C241">
        <v>0.87208060033148505</v>
      </c>
      <c r="D241">
        <v>0.13297127339047701</v>
      </c>
      <c r="E241">
        <v>0.32737345612942798</v>
      </c>
      <c r="F241">
        <v>1</v>
      </c>
      <c r="G241" t="s">
        <v>11</v>
      </c>
      <c r="H241">
        <v>0</v>
      </c>
      <c r="I241">
        <v>416190.94048735598</v>
      </c>
      <c r="J241">
        <v>0.67262654387057097</v>
      </c>
      <c r="K241" t="str">
        <f t="shared" si="24"/>
        <v>OK</v>
      </c>
      <c r="L241" t="str">
        <f t="shared" si="25"/>
        <v>OK</v>
      </c>
      <c r="M241" t="str">
        <f>IF(OR(B241&lt;$AE$20,B241&gt;$AF$20),"Outlier","OK")</f>
        <v>OK</v>
      </c>
      <c r="N241" t="str">
        <f>IF(OR(J241&lt;$AE$21,J241&gt;$AF$21),"Outlier","OK")</f>
        <v>OK</v>
      </c>
      <c r="O241" t="str">
        <f>IF(OR(C241&lt;0,C241&gt;1),"Outlier","OK")</f>
        <v>OK</v>
      </c>
      <c r="P241" t="str">
        <f>IF(OR(D241&lt;0,D241&gt;1),"Outlier","OK")</f>
        <v>OK</v>
      </c>
      <c r="Q241" t="str">
        <f t="shared" si="26"/>
        <v>60-80%</v>
      </c>
      <c r="R241" t="str">
        <f>IF(B241="","Missing","OK")</f>
        <v>OK</v>
      </c>
      <c r="S241" t="str">
        <f>IF(E241="","Missing","OK")</f>
        <v>OK</v>
      </c>
      <c r="T241" t="str">
        <f t="shared" si="27"/>
        <v>OK</v>
      </c>
      <c r="U241">
        <f>COUNTIF($A:$A,A241)</f>
        <v>1</v>
      </c>
      <c r="V241" t="str">
        <f t="shared" si="28"/>
        <v>OK</v>
      </c>
      <c r="W241" t="str">
        <f>IF(I241&gt;B241,"ERROR","OK")</f>
        <v>OK</v>
      </c>
      <c r="X241">
        <f>(B241-I241)/B241</f>
        <v>0.67262654387056975</v>
      </c>
      <c r="Y241" s="2">
        <f t="shared" si="29"/>
        <v>1.2212453270876722E-15</v>
      </c>
      <c r="Z241" s="2" t="str">
        <f t="shared" si="30"/>
        <v>OK</v>
      </c>
      <c r="AA241" t="str">
        <f t="shared" si="31"/>
        <v>Unique</v>
      </c>
    </row>
    <row r="242" spans="1:27" x14ac:dyDescent="0.3">
      <c r="A242">
        <v>241</v>
      </c>
      <c r="B242">
        <v>60813.546393463803</v>
      </c>
      <c r="C242">
        <v>0.70486405149641596</v>
      </c>
      <c r="D242">
        <v>-7.5400091894411395E-2</v>
      </c>
      <c r="E242">
        <v>0.21563951055540201</v>
      </c>
      <c r="F242">
        <v>1</v>
      </c>
      <c r="G242" t="s">
        <v>11</v>
      </c>
      <c r="H242">
        <v>1</v>
      </c>
      <c r="I242">
        <v>13113.8033794247</v>
      </c>
      <c r="J242">
        <v>0.78436048944459702</v>
      </c>
      <c r="K242" t="str">
        <f t="shared" si="24"/>
        <v>OK</v>
      </c>
      <c r="L242" t="str">
        <f t="shared" si="25"/>
        <v>OK</v>
      </c>
      <c r="M242" t="str">
        <f>IF(OR(B242&lt;$AE$20,B242&gt;$AF$20),"Outlier","OK")</f>
        <v>Outlier</v>
      </c>
      <c r="N242" t="str">
        <f>IF(OR(J242&lt;$AE$21,J242&gt;$AF$21),"Outlier","OK")</f>
        <v>OK</v>
      </c>
      <c r="O242" t="str">
        <f>IF(OR(C242&lt;0,C242&gt;1),"Outlier","OK")</f>
        <v>OK</v>
      </c>
      <c r="P242" t="str">
        <f>IF(OR(D242&lt;0,D242&gt;1),"Outlier","OK")</f>
        <v>Outlier</v>
      </c>
      <c r="Q242" t="str">
        <f t="shared" si="26"/>
        <v>60-80%</v>
      </c>
      <c r="R242" t="str">
        <f>IF(B242="","Missing","OK")</f>
        <v>OK</v>
      </c>
      <c r="S242" t="str">
        <f>IF(E242="","Missing","OK")</f>
        <v>OK</v>
      </c>
      <c r="T242" t="str">
        <f t="shared" si="27"/>
        <v>OK</v>
      </c>
      <c r="U242">
        <f>COUNTIF($A:$A,A242)</f>
        <v>1</v>
      </c>
      <c r="V242" t="str">
        <f t="shared" si="28"/>
        <v>OK</v>
      </c>
      <c r="W242" t="str">
        <f>IF(I242&gt;B242,"ERROR","OK")</f>
        <v>OK</v>
      </c>
      <c r="X242">
        <f>(B242-I242)/B242</f>
        <v>0.78436048944459902</v>
      </c>
      <c r="Y242" s="2">
        <f t="shared" si="29"/>
        <v>1.9984014443252818E-15</v>
      </c>
      <c r="Z242" s="2" t="str">
        <f t="shared" si="30"/>
        <v>OK</v>
      </c>
      <c r="AA242" t="str">
        <f t="shared" si="31"/>
        <v>Unique</v>
      </c>
    </row>
    <row r="243" spans="1:27" x14ac:dyDescent="0.3">
      <c r="A243">
        <v>242</v>
      </c>
      <c r="B243">
        <v>995573.41471299005</v>
      </c>
      <c r="C243">
        <v>0.154227863273008</v>
      </c>
      <c r="D243">
        <v>-8.20968610923275E-2</v>
      </c>
      <c r="E243">
        <v>9.6502214040339096E-2</v>
      </c>
      <c r="F243">
        <v>1</v>
      </c>
      <c r="G243" t="s">
        <v>10</v>
      </c>
      <c r="H243">
        <v>1</v>
      </c>
      <c r="I243">
        <v>96075.038759504198</v>
      </c>
      <c r="J243">
        <v>0.90349778595966002</v>
      </c>
      <c r="K243" t="str">
        <f t="shared" si="24"/>
        <v>OK</v>
      </c>
      <c r="L243" t="str">
        <f t="shared" si="25"/>
        <v>OK</v>
      </c>
      <c r="M243" t="str">
        <f>IF(OR(B243&lt;$AE$20,B243&gt;$AF$20),"Outlier","OK")</f>
        <v>OK</v>
      </c>
      <c r="N243" t="str">
        <f>IF(OR(J243&lt;$AE$21,J243&gt;$AF$21),"Outlier","OK")</f>
        <v>OK</v>
      </c>
      <c r="O243" t="str">
        <f>IF(OR(C243&lt;0,C243&gt;1),"Outlier","OK")</f>
        <v>OK</v>
      </c>
      <c r="P243" t="str">
        <f>IF(OR(D243&lt;0,D243&gt;1),"Outlier","OK")</f>
        <v>Outlier</v>
      </c>
      <c r="Q243" t="str">
        <f t="shared" si="26"/>
        <v>80-100%</v>
      </c>
      <c r="R243" t="str">
        <f>IF(B243="","Missing","OK")</f>
        <v>OK</v>
      </c>
      <c r="S243" t="str">
        <f>IF(E243="","Missing","OK")</f>
        <v>OK</v>
      </c>
      <c r="T243" t="str">
        <f t="shared" si="27"/>
        <v>OK</v>
      </c>
      <c r="U243">
        <f>COUNTIF($A:$A,A243)</f>
        <v>1</v>
      </c>
      <c r="V243" t="str">
        <f t="shared" si="28"/>
        <v>OK</v>
      </c>
      <c r="W243" t="str">
        <f>IF(I243&gt;B243,"ERROR","OK")</f>
        <v>OK</v>
      </c>
      <c r="X243">
        <f>(B243-I243)/B243</f>
        <v>0.9034977859596609</v>
      </c>
      <c r="Y243" s="2">
        <f t="shared" si="29"/>
        <v>8.8817841970012523E-16</v>
      </c>
      <c r="Z243" s="2" t="str">
        <f t="shared" si="30"/>
        <v>OK</v>
      </c>
      <c r="AA243" t="str">
        <f t="shared" si="31"/>
        <v>Unique</v>
      </c>
    </row>
    <row r="244" spans="1:27" x14ac:dyDescent="0.3">
      <c r="A244">
        <v>243</v>
      </c>
      <c r="B244">
        <v>1977240.64251365</v>
      </c>
      <c r="C244">
        <v>0.30995004969513301</v>
      </c>
      <c r="D244">
        <v>-1.0842813670023099E-2</v>
      </c>
      <c r="E244">
        <v>0.20210153729706301</v>
      </c>
      <c r="F244">
        <v>1</v>
      </c>
      <c r="G244" t="s">
        <v>12</v>
      </c>
      <c r="H244">
        <v>0</v>
      </c>
      <c r="I244">
        <v>399603.37345824402</v>
      </c>
      <c r="J244">
        <v>0.79789846270293596</v>
      </c>
      <c r="K244" t="str">
        <f t="shared" si="24"/>
        <v>OK</v>
      </c>
      <c r="L244" t="str">
        <f t="shared" si="25"/>
        <v>OK</v>
      </c>
      <c r="M244" t="str">
        <f>IF(OR(B244&lt;$AE$20,B244&gt;$AF$20),"Outlier","OK")</f>
        <v>OK</v>
      </c>
      <c r="N244" t="str">
        <f>IF(OR(J244&lt;$AE$21,J244&gt;$AF$21),"Outlier","OK")</f>
        <v>OK</v>
      </c>
      <c r="O244" t="str">
        <f>IF(OR(C244&lt;0,C244&gt;1),"Outlier","OK")</f>
        <v>OK</v>
      </c>
      <c r="P244" t="str">
        <f>IF(OR(D244&lt;0,D244&gt;1),"Outlier","OK")</f>
        <v>Outlier</v>
      </c>
      <c r="Q244" t="str">
        <f t="shared" si="26"/>
        <v>60-80%</v>
      </c>
      <c r="R244" t="str">
        <f>IF(B244="","Missing","OK")</f>
        <v>OK</v>
      </c>
      <c r="S244" t="str">
        <f>IF(E244="","Missing","OK")</f>
        <v>OK</v>
      </c>
      <c r="T244" t="str">
        <f t="shared" si="27"/>
        <v>OK</v>
      </c>
      <c r="U244">
        <f>COUNTIF($A:$A,A244)</f>
        <v>1</v>
      </c>
      <c r="V244" t="str">
        <f t="shared" si="28"/>
        <v>OK</v>
      </c>
      <c r="W244" t="str">
        <f>IF(I244&gt;B244,"ERROR","OK")</f>
        <v>OK</v>
      </c>
      <c r="X244">
        <f>(B244-I244)/B244</f>
        <v>0.79789846270293563</v>
      </c>
      <c r="Y244" s="2">
        <f t="shared" si="29"/>
        <v>3.3306690738754696E-16</v>
      </c>
      <c r="Z244" s="2" t="str">
        <f t="shared" si="30"/>
        <v>OK</v>
      </c>
      <c r="AA244" t="str">
        <f t="shared" si="31"/>
        <v>Unique</v>
      </c>
    </row>
    <row r="245" spans="1:27" x14ac:dyDescent="0.3">
      <c r="A245">
        <v>244</v>
      </c>
      <c r="B245">
        <v>781611.77859145601</v>
      </c>
      <c r="C245">
        <v>0.81710230514192805</v>
      </c>
      <c r="D245">
        <v>0.116515035802323</v>
      </c>
      <c r="E245">
        <v>0.21101790037269699</v>
      </c>
      <c r="F245">
        <v>1</v>
      </c>
      <c r="G245" t="s">
        <v>12</v>
      </c>
      <c r="H245">
        <v>1</v>
      </c>
      <c r="I245">
        <v>164934.07642493799</v>
      </c>
      <c r="J245">
        <v>0.78898209962730204</v>
      </c>
      <c r="K245" t="str">
        <f t="shared" si="24"/>
        <v>OK</v>
      </c>
      <c r="L245" t="str">
        <f t="shared" si="25"/>
        <v>OK</v>
      </c>
      <c r="M245" t="str">
        <f>IF(OR(B245&lt;$AE$20,B245&gt;$AF$20),"Outlier","OK")</f>
        <v>OK</v>
      </c>
      <c r="N245" t="str">
        <f>IF(OR(J245&lt;$AE$21,J245&gt;$AF$21),"Outlier","OK")</f>
        <v>OK</v>
      </c>
      <c r="O245" t="str">
        <f>IF(OR(C245&lt;0,C245&gt;1),"Outlier","OK")</f>
        <v>OK</v>
      </c>
      <c r="P245" t="str">
        <f>IF(OR(D245&lt;0,D245&gt;1),"Outlier","OK")</f>
        <v>OK</v>
      </c>
      <c r="Q245" t="str">
        <f t="shared" si="26"/>
        <v>60-80%</v>
      </c>
      <c r="R245" t="str">
        <f>IF(B245="","Missing","OK")</f>
        <v>OK</v>
      </c>
      <c r="S245" t="str">
        <f>IF(E245="","Missing","OK")</f>
        <v>OK</v>
      </c>
      <c r="T245" t="str">
        <f t="shared" si="27"/>
        <v>OK</v>
      </c>
      <c r="U245">
        <f>COUNTIF($A:$A,A245)</f>
        <v>1</v>
      </c>
      <c r="V245" t="str">
        <f t="shared" si="28"/>
        <v>OK</v>
      </c>
      <c r="W245" t="str">
        <f>IF(I245&gt;B245,"ERROR","OK")</f>
        <v>OK</v>
      </c>
      <c r="X245">
        <f>(B245-I245)/B245</f>
        <v>0.78898209962730337</v>
      </c>
      <c r="Y245" s="2">
        <f t="shared" si="29"/>
        <v>1.3322676295501878E-15</v>
      </c>
      <c r="Z245" s="2" t="str">
        <f t="shared" si="30"/>
        <v>OK</v>
      </c>
      <c r="AA245" t="str">
        <f t="shared" si="31"/>
        <v>Unique</v>
      </c>
    </row>
    <row r="246" spans="1:27" x14ac:dyDescent="0.3">
      <c r="A246">
        <v>245</v>
      </c>
      <c r="B246">
        <v>239224.40934577899</v>
      </c>
      <c r="C246">
        <v>0.42448550460602502</v>
      </c>
      <c r="D246">
        <v>1.8577555823353901E-2</v>
      </c>
      <c r="E246">
        <v>0.186509035977655</v>
      </c>
      <c r="F246">
        <v>1</v>
      </c>
      <c r="G246" t="s">
        <v>12</v>
      </c>
      <c r="H246">
        <v>0</v>
      </c>
      <c r="I246">
        <v>44617.5139694053</v>
      </c>
      <c r="J246">
        <v>0.813490964022344</v>
      </c>
      <c r="K246" t="str">
        <f t="shared" si="24"/>
        <v>OK</v>
      </c>
      <c r="L246" t="str">
        <f t="shared" si="25"/>
        <v>OK</v>
      </c>
      <c r="M246" t="str">
        <f>IF(OR(B246&lt;$AE$20,B246&gt;$AF$20),"Outlier","OK")</f>
        <v>OK</v>
      </c>
      <c r="N246" t="str">
        <f>IF(OR(J246&lt;$AE$21,J246&gt;$AF$21),"Outlier","OK")</f>
        <v>OK</v>
      </c>
      <c r="O246" t="str">
        <f>IF(OR(C246&lt;0,C246&gt;1),"Outlier","OK")</f>
        <v>OK</v>
      </c>
      <c r="P246" t="str">
        <f>IF(OR(D246&lt;0,D246&gt;1),"Outlier","OK")</f>
        <v>OK</v>
      </c>
      <c r="Q246" t="str">
        <f t="shared" si="26"/>
        <v>80-100%</v>
      </c>
      <c r="R246" t="str">
        <f>IF(B246="","Missing","OK")</f>
        <v>OK</v>
      </c>
      <c r="S246" t="str">
        <f>IF(E246="","Missing","OK")</f>
        <v>OK</v>
      </c>
      <c r="T246" t="str">
        <f t="shared" si="27"/>
        <v>OK</v>
      </c>
      <c r="U246">
        <f>COUNTIF($A:$A,A246)</f>
        <v>1</v>
      </c>
      <c r="V246" t="str">
        <f t="shared" si="28"/>
        <v>OK</v>
      </c>
      <c r="W246" t="str">
        <f>IF(I246&gt;B246,"ERROR","OK")</f>
        <v>OK</v>
      </c>
      <c r="X246">
        <f>(B246-I246)/B246</f>
        <v>0.81349096402234444</v>
      </c>
      <c r="Y246" s="2">
        <f t="shared" si="29"/>
        <v>4.4408920985006262E-16</v>
      </c>
      <c r="Z246" s="2" t="str">
        <f t="shared" si="30"/>
        <v>OK</v>
      </c>
      <c r="AA246" t="str">
        <f t="shared" si="31"/>
        <v>Unique</v>
      </c>
    </row>
    <row r="247" spans="1:27" x14ac:dyDescent="0.3">
      <c r="A247">
        <v>246</v>
      </c>
      <c r="B247">
        <v>950722.08505847398</v>
      </c>
      <c r="C247">
        <v>0.43493881399808798</v>
      </c>
      <c r="D247">
        <v>-0.192442708525463</v>
      </c>
      <c r="E247">
        <v>0.114682818716152</v>
      </c>
      <c r="F247">
        <v>1</v>
      </c>
      <c r="G247" t="s">
        <v>12</v>
      </c>
      <c r="H247">
        <v>0</v>
      </c>
      <c r="I247">
        <v>109031.488530203</v>
      </c>
      <c r="J247">
        <v>0.88531718128384695</v>
      </c>
      <c r="K247" t="str">
        <f t="shared" si="24"/>
        <v>OK</v>
      </c>
      <c r="L247" t="str">
        <f t="shared" si="25"/>
        <v>OK</v>
      </c>
      <c r="M247" t="str">
        <f>IF(OR(B247&lt;$AE$20,B247&gt;$AF$20),"Outlier","OK")</f>
        <v>OK</v>
      </c>
      <c r="N247" t="str">
        <f>IF(OR(J247&lt;$AE$21,J247&gt;$AF$21),"Outlier","OK")</f>
        <v>OK</v>
      </c>
      <c r="O247" t="str">
        <f>IF(OR(C247&lt;0,C247&gt;1),"Outlier","OK")</f>
        <v>OK</v>
      </c>
      <c r="P247" t="str">
        <f>IF(OR(D247&lt;0,D247&gt;1),"Outlier","OK")</f>
        <v>Outlier</v>
      </c>
      <c r="Q247" t="str">
        <f t="shared" si="26"/>
        <v>80-100%</v>
      </c>
      <c r="R247" t="str">
        <f>IF(B247="","Missing","OK")</f>
        <v>OK</v>
      </c>
      <c r="S247" t="str">
        <f>IF(E247="","Missing","OK")</f>
        <v>OK</v>
      </c>
      <c r="T247" t="str">
        <f t="shared" si="27"/>
        <v>OK</v>
      </c>
      <c r="U247">
        <f>COUNTIF($A:$A,A247)</f>
        <v>1</v>
      </c>
      <c r="V247" t="str">
        <f t="shared" si="28"/>
        <v>OK</v>
      </c>
      <c r="W247" t="str">
        <f>IF(I247&gt;B247,"ERROR","OK")</f>
        <v>OK</v>
      </c>
      <c r="X247">
        <f>(B247-I247)/B247</f>
        <v>0.88531718128384806</v>
      </c>
      <c r="Y247" s="2">
        <f t="shared" si="29"/>
        <v>1.1102230246251565E-15</v>
      </c>
      <c r="Z247" s="2" t="str">
        <f t="shared" si="30"/>
        <v>OK</v>
      </c>
      <c r="AA247" t="str">
        <f t="shared" si="31"/>
        <v>Unique</v>
      </c>
    </row>
    <row r="248" spans="1:27" x14ac:dyDescent="0.3">
      <c r="A248">
        <v>247</v>
      </c>
      <c r="B248">
        <v>1927858.7086849001</v>
      </c>
      <c r="C248">
        <v>0.11743012123235499</v>
      </c>
      <c r="D248">
        <v>8.9784467874245696E-2</v>
      </c>
      <c r="E248">
        <v>0.48289294043603298</v>
      </c>
      <c r="F248">
        <v>1</v>
      </c>
      <c r="G248" t="s">
        <v>12</v>
      </c>
      <c r="H248">
        <v>0</v>
      </c>
      <c r="I248">
        <v>930949.36058206798</v>
      </c>
      <c r="J248">
        <v>0.51710705956396597</v>
      </c>
      <c r="K248" t="str">
        <f t="shared" si="24"/>
        <v>OK</v>
      </c>
      <c r="L248" t="str">
        <f t="shared" si="25"/>
        <v>OK</v>
      </c>
      <c r="M248" t="str">
        <f>IF(OR(B248&lt;$AE$20,B248&gt;$AF$20),"Outlier","OK")</f>
        <v>OK</v>
      </c>
      <c r="N248" t="str">
        <f>IF(OR(J248&lt;$AE$21,J248&gt;$AF$21),"Outlier","OK")</f>
        <v>OK</v>
      </c>
      <c r="O248" t="str">
        <f>IF(OR(C248&lt;0,C248&gt;1),"Outlier","OK")</f>
        <v>OK</v>
      </c>
      <c r="P248" t="str">
        <f>IF(OR(D248&lt;0,D248&gt;1),"Outlier","OK")</f>
        <v>OK</v>
      </c>
      <c r="Q248" t="str">
        <f t="shared" si="26"/>
        <v>40-60%</v>
      </c>
      <c r="R248" t="str">
        <f>IF(B248="","Missing","OK")</f>
        <v>OK</v>
      </c>
      <c r="S248" t="str">
        <f>IF(E248="","Missing","OK")</f>
        <v>OK</v>
      </c>
      <c r="T248" t="str">
        <f t="shared" si="27"/>
        <v>OK</v>
      </c>
      <c r="U248">
        <f>COUNTIF($A:$A,A248)</f>
        <v>1</v>
      </c>
      <c r="V248" t="str">
        <f t="shared" si="28"/>
        <v>OK</v>
      </c>
      <c r="W248" t="str">
        <f>IF(I248&gt;B248,"ERROR","OK")</f>
        <v>OK</v>
      </c>
      <c r="X248">
        <f>(B248-I248)/B248</f>
        <v>0.51710705956396541</v>
      </c>
      <c r="Y248" s="2">
        <f t="shared" si="29"/>
        <v>5.5511151231257827E-16</v>
      </c>
      <c r="Z248" s="2" t="str">
        <f t="shared" si="30"/>
        <v>OK</v>
      </c>
      <c r="AA248" t="str">
        <f t="shared" si="31"/>
        <v>Unique</v>
      </c>
    </row>
    <row r="249" spans="1:27" x14ac:dyDescent="0.3">
      <c r="A249">
        <v>248</v>
      </c>
      <c r="B249">
        <v>716569.69645178202</v>
      </c>
      <c r="C249">
        <v>0.61848524548625805</v>
      </c>
      <c r="D249">
        <v>8.4873369985079994E-2</v>
      </c>
      <c r="E249">
        <v>0.45960880949448402</v>
      </c>
      <c r="F249">
        <v>1</v>
      </c>
      <c r="G249" t="s">
        <v>13</v>
      </c>
      <c r="H249">
        <v>1</v>
      </c>
      <c r="I249">
        <v>329341.745106027</v>
      </c>
      <c r="J249">
        <v>0.54039119050551498</v>
      </c>
      <c r="K249" t="str">
        <f t="shared" si="24"/>
        <v>OK</v>
      </c>
      <c r="L249" t="str">
        <f t="shared" si="25"/>
        <v>OK</v>
      </c>
      <c r="M249" t="str">
        <f>IF(OR(B249&lt;$AE$20,B249&gt;$AF$20),"Outlier","OK")</f>
        <v>OK</v>
      </c>
      <c r="N249" t="str">
        <f>IF(OR(J249&lt;$AE$21,J249&gt;$AF$21),"Outlier","OK")</f>
        <v>OK</v>
      </c>
      <c r="O249" t="str">
        <f>IF(OR(C249&lt;0,C249&gt;1),"Outlier","OK")</f>
        <v>OK</v>
      </c>
      <c r="P249" t="str">
        <f>IF(OR(D249&lt;0,D249&gt;1),"Outlier","OK")</f>
        <v>OK</v>
      </c>
      <c r="Q249" t="str">
        <f t="shared" si="26"/>
        <v>40-60%</v>
      </c>
      <c r="R249" t="str">
        <f>IF(B249="","Missing","OK")</f>
        <v>OK</v>
      </c>
      <c r="S249" t="str">
        <f>IF(E249="","Missing","OK")</f>
        <v>OK</v>
      </c>
      <c r="T249" t="str">
        <f t="shared" si="27"/>
        <v>OK</v>
      </c>
      <c r="U249">
        <f>COUNTIF($A:$A,A249)</f>
        <v>1</v>
      </c>
      <c r="V249" t="str">
        <f t="shared" si="28"/>
        <v>OK</v>
      </c>
      <c r="W249" t="str">
        <f>IF(I249&gt;B249,"ERROR","OK")</f>
        <v>OK</v>
      </c>
      <c r="X249">
        <f>(B249-I249)/B249</f>
        <v>0.54039119050551643</v>
      </c>
      <c r="Y249" s="2">
        <f t="shared" si="29"/>
        <v>1.4432899320127035E-15</v>
      </c>
      <c r="Z249" s="2" t="str">
        <f t="shared" si="30"/>
        <v>OK</v>
      </c>
      <c r="AA249" t="str">
        <f t="shared" si="31"/>
        <v>Unique</v>
      </c>
    </row>
    <row r="250" spans="1:27" x14ac:dyDescent="0.3">
      <c r="A250">
        <v>249</v>
      </c>
      <c r="B250">
        <v>1607899.32976927</v>
      </c>
      <c r="C250">
        <v>0.79831135208163195</v>
      </c>
      <c r="D250">
        <v>7.2559927018412504E-2</v>
      </c>
      <c r="E250">
        <v>0.76197769112135305</v>
      </c>
      <c r="F250">
        <v>1</v>
      </c>
      <c r="G250" t="s">
        <v>11</v>
      </c>
      <c r="H250">
        <v>0</v>
      </c>
      <c r="I250">
        <v>1225183.41885316</v>
      </c>
      <c r="J250">
        <v>0.23802230887864601</v>
      </c>
      <c r="K250" t="str">
        <f t="shared" si="24"/>
        <v>OK</v>
      </c>
      <c r="L250" t="str">
        <f t="shared" si="25"/>
        <v>OK</v>
      </c>
      <c r="M250" t="str">
        <f>IF(OR(B250&lt;$AE$20,B250&gt;$AF$20),"Outlier","OK")</f>
        <v>OK</v>
      </c>
      <c r="N250" t="str">
        <f>IF(OR(J250&lt;$AE$21,J250&gt;$AF$21),"Outlier","OK")</f>
        <v>Outlier</v>
      </c>
      <c r="O250" t="str">
        <f>IF(OR(C250&lt;0,C250&gt;1),"Outlier","OK")</f>
        <v>OK</v>
      </c>
      <c r="P250" t="str">
        <f>IF(OR(D250&lt;0,D250&gt;1),"Outlier","OK")</f>
        <v>OK</v>
      </c>
      <c r="Q250" t="str">
        <f t="shared" si="26"/>
        <v>20-40%</v>
      </c>
      <c r="R250" t="str">
        <f>IF(B250="","Missing","OK")</f>
        <v>OK</v>
      </c>
      <c r="S250" t="str">
        <f>IF(E250="","Missing","OK")</f>
        <v>OK</v>
      </c>
      <c r="T250" t="str">
        <f t="shared" si="27"/>
        <v>OK</v>
      </c>
      <c r="U250">
        <f>COUNTIF($A:$A,A250)</f>
        <v>1</v>
      </c>
      <c r="V250" t="str">
        <f t="shared" si="28"/>
        <v>OK</v>
      </c>
      <c r="W250" t="str">
        <f>IF(I250&gt;B250,"ERROR","OK")</f>
        <v>OK</v>
      </c>
      <c r="X250">
        <f>(B250-I250)/B250</f>
        <v>0.23802230887864659</v>
      </c>
      <c r="Y250" s="2">
        <f t="shared" si="29"/>
        <v>5.8286708792820718E-16</v>
      </c>
      <c r="Z250" s="2" t="str">
        <f t="shared" si="30"/>
        <v>OK</v>
      </c>
      <c r="AA250" t="str">
        <f t="shared" si="31"/>
        <v>Unique</v>
      </c>
    </row>
    <row r="251" spans="1:27" x14ac:dyDescent="0.3">
      <c r="A251">
        <v>250</v>
      </c>
      <c r="B251">
        <v>1607750.3458654699</v>
      </c>
      <c r="C251">
        <v>0.69768511993901305</v>
      </c>
      <c r="D251">
        <v>-5.5668944290007703E-2</v>
      </c>
      <c r="E251">
        <v>0.43888410977789899</v>
      </c>
      <c r="F251">
        <v>1</v>
      </c>
      <c r="G251" t="s">
        <v>10</v>
      </c>
      <c r="H251">
        <v>1</v>
      </c>
      <c r="I251">
        <v>705616.07929027604</v>
      </c>
      <c r="J251">
        <v>0.56111589022210095</v>
      </c>
      <c r="K251" t="str">
        <f t="shared" si="24"/>
        <v>OK</v>
      </c>
      <c r="L251" t="str">
        <f t="shared" si="25"/>
        <v>OK</v>
      </c>
      <c r="M251" t="str">
        <f>IF(OR(B251&lt;$AE$20,B251&gt;$AF$20),"Outlier","OK")</f>
        <v>OK</v>
      </c>
      <c r="N251" t="str">
        <f>IF(OR(J251&lt;$AE$21,J251&gt;$AF$21),"Outlier","OK")</f>
        <v>OK</v>
      </c>
      <c r="O251" t="str">
        <f>IF(OR(C251&lt;0,C251&gt;1),"Outlier","OK")</f>
        <v>OK</v>
      </c>
      <c r="P251" t="str">
        <f>IF(OR(D251&lt;0,D251&gt;1),"Outlier","OK")</f>
        <v>Outlier</v>
      </c>
      <c r="Q251" t="str">
        <f t="shared" si="26"/>
        <v>40-60%</v>
      </c>
      <c r="R251" t="str">
        <f>IF(B251="","Missing","OK")</f>
        <v>OK</v>
      </c>
      <c r="S251" t="str">
        <f>IF(E251="","Missing","OK")</f>
        <v>OK</v>
      </c>
      <c r="T251" t="str">
        <f t="shared" si="27"/>
        <v>OK</v>
      </c>
      <c r="U251">
        <f>COUNTIF($A:$A,A251)</f>
        <v>1</v>
      </c>
      <c r="V251" t="str">
        <f t="shared" si="28"/>
        <v>OK</v>
      </c>
      <c r="W251" t="str">
        <f>IF(I251&gt;B251,"ERROR","OK")</f>
        <v>OK</v>
      </c>
      <c r="X251">
        <f>(B251-I251)/B251</f>
        <v>0.56111589022210095</v>
      </c>
      <c r="Y251" s="2">
        <f t="shared" si="29"/>
        <v>0</v>
      </c>
      <c r="Z251" s="2" t="str">
        <f t="shared" si="30"/>
        <v>OK</v>
      </c>
      <c r="AA251" t="str">
        <f t="shared" si="31"/>
        <v>Unique</v>
      </c>
    </row>
    <row r="252" spans="1:27" x14ac:dyDescent="0.3">
      <c r="A252">
        <v>251</v>
      </c>
      <c r="B252">
        <v>456084.17864092602</v>
      </c>
      <c r="C252">
        <v>0.85960272445553798</v>
      </c>
      <c r="D252">
        <v>-9.0415551928873794E-3</v>
      </c>
      <c r="E252">
        <v>0.27891894721576799</v>
      </c>
      <c r="F252">
        <v>1</v>
      </c>
      <c r="G252" t="s">
        <v>13</v>
      </c>
      <c r="H252">
        <v>0</v>
      </c>
      <c r="I252">
        <v>127210.51894829499</v>
      </c>
      <c r="J252">
        <v>0.72108105278423096</v>
      </c>
      <c r="K252" t="str">
        <f t="shared" si="24"/>
        <v>OK</v>
      </c>
      <c r="L252" t="str">
        <f t="shared" si="25"/>
        <v>OK</v>
      </c>
      <c r="M252" t="str">
        <f>IF(OR(B252&lt;$AE$20,B252&gt;$AF$20),"Outlier","OK")</f>
        <v>OK</v>
      </c>
      <c r="N252" t="str">
        <f>IF(OR(J252&lt;$AE$21,J252&gt;$AF$21),"Outlier","OK")</f>
        <v>OK</v>
      </c>
      <c r="O252" t="str">
        <f>IF(OR(C252&lt;0,C252&gt;1),"Outlier","OK")</f>
        <v>OK</v>
      </c>
      <c r="P252" t="str">
        <f>IF(OR(D252&lt;0,D252&gt;1),"Outlier","OK")</f>
        <v>Outlier</v>
      </c>
      <c r="Q252" t="str">
        <f t="shared" si="26"/>
        <v>60-80%</v>
      </c>
      <c r="R252" t="str">
        <f>IF(B252="","Missing","OK")</f>
        <v>OK</v>
      </c>
      <c r="S252" t="str">
        <f>IF(E252="","Missing","OK")</f>
        <v>OK</v>
      </c>
      <c r="T252" t="str">
        <f t="shared" si="27"/>
        <v>OK</v>
      </c>
      <c r="U252">
        <f>COUNTIF($A:$A,A252)</f>
        <v>1</v>
      </c>
      <c r="V252" t="str">
        <f t="shared" si="28"/>
        <v>OK</v>
      </c>
      <c r="W252" t="str">
        <f>IF(I252&gt;B252,"ERROR","OK")</f>
        <v>OK</v>
      </c>
      <c r="X252">
        <f>(B252-I252)/B252</f>
        <v>0.72108105278423285</v>
      </c>
      <c r="Y252" s="2">
        <f t="shared" si="29"/>
        <v>1.8873791418627661E-15</v>
      </c>
      <c r="Z252" s="2" t="str">
        <f t="shared" si="30"/>
        <v>OK</v>
      </c>
      <c r="AA252" t="str">
        <f t="shared" si="31"/>
        <v>Unique</v>
      </c>
    </row>
    <row r="253" spans="1:27" x14ac:dyDescent="0.3">
      <c r="A253">
        <v>252</v>
      </c>
      <c r="B253">
        <v>914567.01851236296</v>
      </c>
      <c r="C253">
        <v>0.17552491177280999</v>
      </c>
      <c r="D253">
        <v>0.17745132983665801</v>
      </c>
      <c r="E253">
        <v>0.35338670769962799</v>
      </c>
      <c r="F253">
        <v>1</v>
      </c>
      <c r="G253" t="s">
        <v>11</v>
      </c>
      <c r="H253">
        <v>1</v>
      </c>
      <c r="I253">
        <v>323195.82764274802</v>
      </c>
      <c r="J253">
        <v>0.64661329230037101</v>
      </c>
      <c r="K253" t="str">
        <f t="shared" si="24"/>
        <v>OK</v>
      </c>
      <c r="L253" t="str">
        <f t="shared" si="25"/>
        <v>OK</v>
      </c>
      <c r="M253" t="str">
        <f>IF(OR(B253&lt;$AE$20,B253&gt;$AF$20),"Outlier","OK")</f>
        <v>OK</v>
      </c>
      <c r="N253" t="str">
        <f>IF(OR(J253&lt;$AE$21,J253&gt;$AF$21),"Outlier","OK")</f>
        <v>OK</v>
      </c>
      <c r="O253" t="str">
        <f>IF(OR(C253&lt;0,C253&gt;1),"Outlier","OK")</f>
        <v>OK</v>
      </c>
      <c r="P253" t="str">
        <f>IF(OR(D253&lt;0,D253&gt;1),"Outlier","OK")</f>
        <v>OK</v>
      </c>
      <c r="Q253" t="str">
        <f t="shared" si="26"/>
        <v>60-80%</v>
      </c>
      <c r="R253" t="str">
        <f>IF(B253="","Missing","OK")</f>
        <v>OK</v>
      </c>
      <c r="S253" t="str">
        <f>IF(E253="","Missing","OK")</f>
        <v>OK</v>
      </c>
      <c r="T253" t="str">
        <f t="shared" si="27"/>
        <v>OK</v>
      </c>
      <c r="U253">
        <f>COUNTIF($A:$A,A253)</f>
        <v>1</v>
      </c>
      <c r="V253" t="str">
        <f t="shared" si="28"/>
        <v>OK</v>
      </c>
      <c r="W253" t="str">
        <f>IF(I253&gt;B253,"ERROR","OK")</f>
        <v>OK</v>
      </c>
      <c r="X253">
        <f>(B253-I253)/B253</f>
        <v>0.64661329230037268</v>
      </c>
      <c r="Y253" s="2">
        <f t="shared" si="29"/>
        <v>1.6653345369377348E-15</v>
      </c>
      <c r="Z253" s="2" t="str">
        <f t="shared" si="30"/>
        <v>OK</v>
      </c>
      <c r="AA253" t="str">
        <f t="shared" si="31"/>
        <v>Unique</v>
      </c>
    </row>
    <row r="254" spans="1:27" x14ac:dyDescent="0.3">
      <c r="A254">
        <v>253</v>
      </c>
      <c r="B254">
        <v>1445422.4865508899</v>
      </c>
      <c r="C254">
        <v>0.731024140642207</v>
      </c>
      <c r="D254">
        <v>0.19095516024086601</v>
      </c>
      <c r="E254">
        <v>0.35043192876069001</v>
      </c>
      <c r="F254">
        <v>1</v>
      </c>
      <c r="G254" t="s">
        <v>11</v>
      </c>
      <c r="H254">
        <v>0</v>
      </c>
      <c r="I254">
        <v>506522.18983610201</v>
      </c>
      <c r="J254">
        <v>0.64956807123930904</v>
      </c>
      <c r="K254" t="str">
        <f t="shared" si="24"/>
        <v>OK</v>
      </c>
      <c r="L254" t="str">
        <f t="shared" si="25"/>
        <v>OK</v>
      </c>
      <c r="M254" t="str">
        <f>IF(OR(B254&lt;$AE$20,B254&gt;$AF$20),"Outlier","OK")</f>
        <v>OK</v>
      </c>
      <c r="N254" t="str">
        <f>IF(OR(J254&lt;$AE$21,J254&gt;$AF$21),"Outlier","OK")</f>
        <v>OK</v>
      </c>
      <c r="O254" t="str">
        <f>IF(OR(C254&lt;0,C254&gt;1),"Outlier","OK")</f>
        <v>OK</v>
      </c>
      <c r="P254" t="str">
        <f>IF(OR(D254&lt;0,D254&gt;1),"Outlier","OK")</f>
        <v>OK</v>
      </c>
      <c r="Q254" t="str">
        <f t="shared" si="26"/>
        <v>60-80%</v>
      </c>
      <c r="R254" t="str">
        <f>IF(B254="","Missing","OK")</f>
        <v>OK</v>
      </c>
      <c r="S254" t="str">
        <f>IF(E254="","Missing","OK")</f>
        <v>OK</v>
      </c>
      <c r="T254" t="str">
        <f t="shared" si="27"/>
        <v>OK</v>
      </c>
      <c r="U254">
        <f>COUNTIF($A:$A,A254)</f>
        <v>1</v>
      </c>
      <c r="V254" t="str">
        <f t="shared" si="28"/>
        <v>OK</v>
      </c>
      <c r="W254" t="str">
        <f>IF(I254&gt;B254,"ERROR","OK")</f>
        <v>OK</v>
      </c>
      <c r="X254">
        <f>(B254-I254)/B254</f>
        <v>0.64956807123930915</v>
      </c>
      <c r="Y254" s="2">
        <f t="shared" si="29"/>
        <v>1.1102230246251565E-16</v>
      </c>
      <c r="Z254" s="2" t="str">
        <f t="shared" si="30"/>
        <v>OK</v>
      </c>
      <c r="AA254" t="str">
        <f t="shared" si="31"/>
        <v>Unique</v>
      </c>
    </row>
    <row r="255" spans="1:27" x14ac:dyDescent="0.3">
      <c r="A255">
        <v>254</v>
      </c>
      <c r="B255">
        <v>850513.58155715896</v>
      </c>
      <c r="C255">
        <v>0.76641998609522199</v>
      </c>
      <c r="D255">
        <v>0.113986755073943</v>
      </c>
      <c r="E255">
        <v>0.11277553965991099</v>
      </c>
      <c r="F255">
        <v>1</v>
      </c>
      <c r="G255" t="s">
        <v>11</v>
      </c>
      <c r="H255">
        <v>0</v>
      </c>
      <c r="I255">
        <v>95917.1281481927</v>
      </c>
      <c r="J255">
        <v>0.88722446034008795</v>
      </c>
      <c r="K255" t="str">
        <f t="shared" si="24"/>
        <v>OK</v>
      </c>
      <c r="L255" t="str">
        <f t="shared" si="25"/>
        <v>OK</v>
      </c>
      <c r="M255" t="str">
        <f>IF(OR(B255&lt;$AE$20,B255&gt;$AF$20),"Outlier","OK")</f>
        <v>OK</v>
      </c>
      <c r="N255" t="str">
        <f>IF(OR(J255&lt;$AE$21,J255&gt;$AF$21),"Outlier","OK")</f>
        <v>OK</v>
      </c>
      <c r="O255" t="str">
        <f>IF(OR(C255&lt;0,C255&gt;1),"Outlier","OK")</f>
        <v>OK</v>
      </c>
      <c r="P255" t="str">
        <f>IF(OR(D255&lt;0,D255&gt;1),"Outlier","OK")</f>
        <v>OK</v>
      </c>
      <c r="Q255" t="str">
        <f t="shared" si="26"/>
        <v>80-100%</v>
      </c>
      <c r="R255" t="str">
        <f>IF(B255="","Missing","OK")</f>
        <v>OK</v>
      </c>
      <c r="S255" t="str">
        <f>IF(E255="","Missing","OK")</f>
        <v>OK</v>
      </c>
      <c r="T255" t="str">
        <f t="shared" si="27"/>
        <v>OK</v>
      </c>
      <c r="U255">
        <f>COUNTIF($A:$A,A255)</f>
        <v>1</v>
      </c>
      <c r="V255" t="str">
        <f t="shared" si="28"/>
        <v>OK</v>
      </c>
      <c r="W255" t="str">
        <f>IF(I255&gt;B255,"ERROR","OK")</f>
        <v>OK</v>
      </c>
      <c r="X255">
        <f>(B255-I255)/B255</f>
        <v>0.88722446034008862</v>
      </c>
      <c r="Y255" s="2">
        <f t="shared" si="29"/>
        <v>6.6613381477509392E-16</v>
      </c>
      <c r="Z255" s="2" t="str">
        <f t="shared" si="30"/>
        <v>OK</v>
      </c>
      <c r="AA255" t="str">
        <f t="shared" si="31"/>
        <v>Unique</v>
      </c>
    </row>
    <row r="256" spans="1:27" x14ac:dyDescent="0.3">
      <c r="A256">
        <v>255</v>
      </c>
      <c r="B256">
        <v>422463.562972321</v>
      </c>
      <c r="C256">
        <v>0.399036155184262</v>
      </c>
      <c r="D256">
        <v>-0.18157858306392399</v>
      </c>
      <c r="E256">
        <v>0.60155468814612201</v>
      </c>
      <c r="F256">
        <v>1</v>
      </c>
      <c r="G256" t="s">
        <v>10</v>
      </c>
      <c r="H256">
        <v>1</v>
      </c>
      <c r="I256">
        <v>254134.936876914</v>
      </c>
      <c r="J256">
        <v>0.39844531185387799</v>
      </c>
      <c r="K256" t="str">
        <f t="shared" si="24"/>
        <v>OK</v>
      </c>
      <c r="L256" t="str">
        <f t="shared" si="25"/>
        <v>OK</v>
      </c>
      <c r="M256" t="str">
        <f>IF(OR(B256&lt;$AE$20,B256&gt;$AF$20),"Outlier","OK")</f>
        <v>OK</v>
      </c>
      <c r="N256" t="str">
        <f>IF(OR(J256&lt;$AE$21,J256&gt;$AF$21),"Outlier","OK")</f>
        <v>OK</v>
      </c>
      <c r="O256" t="str">
        <f>IF(OR(C256&lt;0,C256&gt;1),"Outlier","OK")</f>
        <v>OK</v>
      </c>
      <c r="P256" t="str">
        <f>IF(OR(D256&lt;0,D256&gt;1),"Outlier","OK")</f>
        <v>Outlier</v>
      </c>
      <c r="Q256" t="str">
        <f t="shared" si="26"/>
        <v>20-40%</v>
      </c>
      <c r="R256" t="str">
        <f>IF(B256="","Missing","OK")</f>
        <v>OK</v>
      </c>
      <c r="S256" t="str">
        <f>IF(E256="","Missing","OK")</f>
        <v>OK</v>
      </c>
      <c r="T256" t="str">
        <f t="shared" si="27"/>
        <v>OK</v>
      </c>
      <c r="U256">
        <f>COUNTIF($A:$A,A256)</f>
        <v>1</v>
      </c>
      <c r="V256" t="str">
        <f t="shared" si="28"/>
        <v>OK</v>
      </c>
      <c r="W256" t="str">
        <f>IF(I256&gt;B256,"ERROR","OK")</f>
        <v>OK</v>
      </c>
      <c r="X256">
        <f>(B256-I256)/B256</f>
        <v>0.39844531185387833</v>
      </c>
      <c r="Y256" s="2">
        <f t="shared" si="29"/>
        <v>3.3306690738754696E-16</v>
      </c>
      <c r="Z256" s="2" t="str">
        <f t="shared" si="30"/>
        <v>OK</v>
      </c>
      <c r="AA256" t="str">
        <f t="shared" si="31"/>
        <v>Unique</v>
      </c>
    </row>
    <row r="257" spans="1:27" x14ac:dyDescent="0.3">
      <c r="A257">
        <v>256</v>
      </c>
      <c r="B257">
        <v>1936613.8982725099</v>
      </c>
      <c r="C257">
        <v>0.34020052982105897</v>
      </c>
      <c r="D257">
        <v>0.18184619425701901</v>
      </c>
      <c r="E257">
        <v>0.10729703547298999</v>
      </c>
      <c r="F257">
        <v>1</v>
      </c>
      <c r="G257" t="s">
        <v>13</v>
      </c>
      <c r="H257">
        <v>0</v>
      </c>
      <c r="I257">
        <v>207792.93014043101</v>
      </c>
      <c r="J257">
        <v>0.89270296452700904</v>
      </c>
      <c r="K257" t="str">
        <f t="shared" si="24"/>
        <v>OK</v>
      </c>
      <c r="L257" t="str">
        <f t="shared" si="25"/>
        <v>OK</v>
      </c>
      <c r="M257" t="str">
        <f>IF(OR(B257&lt;$AE$20,B257&gt;$AF$20),"Outlier","OK")</f>
        <v>OK</v>
      </c>
      <c r="N257" t="str">
        <f>IF(OR(J257&lt;$AE$21,J257&gt;$AF$21),"Outlier","OK")</f>
        <v>OK</v>
      </c>
      <c r="O257" t="str">
        <f>IF(OR(C257&lt;0,C257&gt;1),"Outlier","OK")</f>
        <v>OK</v>
      </c>
      <c r="P257" t="str">
        <f>IF(OR(D257&lt;0,D257&gt;1),"Outlier","OK")</f>
        <v>OK</v>
      </c>
      <c r="Q257" t="str">
        <f t="shared" si="26"/>
        <v>80-100%</v>
      </c>
      <c r="R257" t="str">
        <f>IF(B257="","Missing","OK")</f>
        <v>OK</v>
      </c>
      <c r="S257" t="str">
        <f>IF(E257="","Missing","OK")</f>
        <v>OK</v>
      </c>
      <c r="T257" t="str">
        <f t="shared" si="27"/>
        <v>OK</v>
      </c>
      <c r="U257">
        <f>COUNTIF($A:$A,A257)</f>
        <v>1</v>
      </c>
      <c r="V257" t="str">
        <f t="shared" si="28"/>
        <v>OK</v>
      </c>
      <c r="W257" t="str">
        <f>IF(I257&gt;B257,"ERROR","OK")</f>
        <v>OK</v>
      </c>
      <c r="X257">
        <f>(B257-I257)/B257</f>
        <v>0.89270296452700992</v>
      </c>
      <c r="Y257" s="2">
        <f t="shared" si="29"/>
        <v>8.8817841970012523E-16</v>
      </c>
      <c r="Z257" s="2" t="str">
        <f t="shared" si="30"/>
        <v>OK</v>
      </c>
      <c r="AA257" t="str">
        <f t="shared" si="31"/>
        <v>Unique</v>
      </c>
    </row>
    <row r="258" spans="1:27" x14ac:dyDescent="0.3">
      <c r="A258">
        <v>257</v>
      </c>
      <c r="B258">
        <v>1318963.21462877</v>
      </c>
      <c r="C258">
        <v>0.43146432738742801</v>
      </c>
      <c r="D258">
        <v>-9.3152135466030295E-2</v>
      </c>
      <c r="E258">
        <v>0.419548439488242</v>
      </c>
      <c r="F258">
        <v>1</v>
      </c>
      <c r="G258" t="s">
        <v>11</v>
      </c>
      <c r="H258">
        <v>1</v>
      </c>
      <c r="I258">
        <v>553368.95843989705</v>
      </c>
      <c r="J258">
        <v>0.58045156051175695</v>
      </c>
      <c r="K258" t="str">
        <f t="shared" si="24"/>
        <v>OK</v>
      </c>
      <c r="L258" t="str">
        <f t="shared" si="25"/>
        <v>OK</v>
      </c>
      <c r="M258" t="str">
        <f>IF(OR(B258&lt;$AE$20,B258&gt;$AF$20),"Outlier","OK")</f>
        <v>OK</v>
      </c>
      <c r="N258" t="str">
        <f>IF(OR(J258&lt;$AE$21,J258&gt;$AF$21),"Outlier","OK")</f>
        <v>OK</v>
      </c>
      <c r="O258" t="str">
        <f>IF(OR(C258&lt;0,C258&gt;1),"Outlier","OK")</f>
        <v>OK</v>
      </c>
      <c r="P258" t="str">
        <f>IF(OR(D258&lt;0,D258&gt;1),"Outlier","OK")</f>
        <v>Outlier</v>
      </c>
      <c r="Q258" t="str">
        <f t="shared" si="26"/>
        <v>40-60%</v>
      </c>
      <c r="R258" t="str">
        <f>IF(B258="","Missing","OK")</f>
        <v>OK</v>
      </c>
      <c r="S258" t="str">
        <f>IF(E258="","Missing","OK")</f>
        <v>OK</v>
      </c>
      <c r="T258" t="str">
        <f t="shared" si="27"/>
        <v>OK</v>
      </c>
      <c r="U258">
        <f>COUNTIF($A:$A,A258)</f>
        <v>1</v>
      </c>
      <c r="V258" t="str">
        <f t="shared" si="28"/>
        <v>OK</v>
      </c>
      <c r="W258" t="str">
        <f>IF(I258&gt;B258,"ERROR","OK")</f>
        <v>OK</v>
      </c>
      <c r="X258">
        <f>(B258-I258)/B258</f>
        <v>0.58045156051175695</v>
      </c>
      <c r="Y258" s="2">
        <f t="shared" si="29"/>
        <v>0</v>
      </c>
      <c r="Z258" s="2" t="str">
        <f t="shared" si="30"/>
        <v>OK</v>
      </c>
      <c r="AA258" t="str">
        <f t="shared" si="31"/>
        <v>Unique</v>
      </c>
    </row>
    <row r="259" spans="1:27" x14ac:dyDescent="0.3">
      <c r="A259">
        <v>258</v>
      </c>
      <c r="B259">
        <v>1737646.7104696501</v>
      </c>
      <c r="C259">
        <v>0.37886800702975798</v>
      </c>
      <c r="D259">
        <v>-7.6334247073903502E-2</v>
      </c>
      <c r="E259">
        <v>0.155884628765039</v>
      </c>
      <c r="F259">
        <v>1</v>
      </c>
      <c r="G259" t="s">
        <v>12</v>
      </c>
      <c r="H259">
        <v>0</v>
      </c>
      <c r="I259">
        <v>270872.41238635301</v>
      </c>
      <c r="J259">
        <v>0.84411537123496005</v>
      </c>
      <c r="K259" t="str">
        <f t="shared" ref="K259:K322" si="32">IF(OR(J259&lt;0,J259&gt;1),"Error","OK")</f>
        <v>OK</v>
      </c>
      <c r="L259" t="str">
        <f t="shared" ref="L259:L322" si="33">IF(I259&gt;B259,"Error","OK")</f>
        <v>OK</v>
      </c>
      <c r="M259" t="str">
        <f>IF(OR(B259&lt;$AE$20,B259&gt;$AF$20),"Outlier","OK")</f>
        <v>OK</v>
      </c>
      <c r="N259" t="str">
        <f>IF(OR(J259&lt;$AE$21,J259&gt;$AF$21),"Outlier","OK")</f>
        <v>OK</v>
      </c>
      <c r="O259" t="str">
        <f>IF(OR(C259&lt;0,C259&gt;1),"Outlier","OK")</f>
        <v>OK</v>
      </c>
      <c r="P259" t="str">
        <f>IF(OR(D259&lt;0,D259&gt;1),"Outlier","OK")</f>
        <v>Outlier</v>
      </c>
      <c r="Q259" t="str">
        <f t="shared" ref="Q259:Q322" si="34">IF(J259&lt;=0.2,"0-20%",
 IF(J259&lt;=0.4,"20-40%",
 IF(J259&lt;=0.6,"40-60%",
 IF(J259&lt;=0.8,"60-80%","80-100%"))))</f>
        <v>80-100%</v>
      </c>
      <c r="R259" t="str">
        <f>IF(B259="","Missing","OK")</f>
        <v>OK</v>
      </c>
      <c r="S259" t="str">
        <f>IF(E259="","Missing","OK")</f>
        <v>OK</v>
      </c>
      <c r="T259" t="str">
        <f t="shared" ref="T259:T322" si="35">IF(J259="","Missing","OK")</f>
        <v>OK</v>
      </c>
      <c r="U259">
        <f>COUNTIF($A:$A,A259)</f>
        <v>1</v>
      </c>
      <c r="V259" t="str">
        <f t="shared" ref="V259:V322" si="36">IF(OR(J259&lt;0,J259&gt;1),"ERROR","OK")</f>
        <v>OK</v>
      </c>
      <c r="W259" t="str">
        <f>IF(I259&gt;B259,"ERROR","OK")</f>
        <v>OK</v>
      </c>
      <c r="X259">
        <f>(B259-I259)/B259</f>
        <v>0.84411537123496072</v>
      </c>
      <c r="Y259" s="2">
        <f t="shared" ref="Y259:Y322" si="37">ABS(J259-X259)</f>
        <v>6.6613381477509392E-16</v>
      </c>
      <c r="Z259" s="2" t="str">
        <f t="shared" ref="Z259:Z322" si="38">IF(OR(B259="",I259="",J259=""),"Missing","OK")</f>
        <v>OK</v>
      </c>
      <c r="AA259" t="str">
        <f t="shared" ref="AA259:AA322" si="39">IF(COUNTIF($A:$A,A259)&gt;1,"Duplicate","Unique")</f>
        <v>Unique</v>
      </c>
    </row>
    <row r="260" spans="1:27" x14ac:dyDescent="0.3">
      <c r="A260">
        <v>259</v>
      </c>
      <c r="B260">
        <v>99222.597709305104</v>
      </c>
      <c r="C260">
        <v>0.228162975576298</v>
      </c>
      <c r="D260">
        <v>3.3969687218720901E-2</v>
      </c>
      <c r="E260">
        <v>0.68095798026212495</v>
      </c>
      <c r="F260">
        <v>1</v>
      </c>
      <c r="G260" t="s">
        <v>11</v>
      </c>
      <c r="H260">
        <v>0</v>
      </c>
      <c r="I260">
        <v>67566.419732489798</v>
      </c>
      <c r="J260">
        <v>0.31904201973787499</v>
      </c>
      <c r="K260" t="str">
        <f t="shared" si="32"/>
        <v>OK</v>
      </c>
      <c r="L260" t="str">
        <f t="shared" si="33"/>
        <v>OK</v>
      </c>
      <c r="M260" t="str">
        <f>IF(OR(B260&lt;$AE$20,B260&gt;$AF$20),"Outlier","OK")</f>
        <v>OK</v>
      </c>
      <c r="N260" t="str">
        <f>IF(OR(J260&lt;$AE$21,J260&gt;$AF$21),"Outlier","OK")</f>
        <v>OK</v>
      </c>
      <c r="O260" t="str">
        <f>IF(OR(C260&lt;0,C260&gt;1),"Outlier","OK")</f>
        <v>OK</v>
      </c>
      <c r="P260" t="str">
        <f>IF(OR(D260&lt;0,D260&gt;1),"Outlier","OK")</f>
        <v>OK</v>
      </c>
      <c r="Q260" t="str">
        <f t="shared" si="34"/>
        <v>20-40%</v>
      </c>
      <c r="R260" t="str">
        <f>IF(B260="","Missing","OK")</f>
        <v>OK</v>
      </c>
      <c r="S260" t="str">
        <f>IF(E260="","Missing","OK")</f>
        <v>OK</v>
      </c>
      <c r="T260" t="str">
        <f t="shared" si="35"/>
        <v>OK</v>
      </c>
      <c r="U260">
        <f>COUNTIF($A:$A,A260)</f>
        <v>1</v>
      </c>
      <c r="V260" t="str">
        <f t="shared" si="36"/>
        <v>OK</v>
      </c>
      <c r="W260" t="str">
        <f>IF(I260&gt;B260,"ERROR","OK")</f>
        <v>OK</v>
      </c>
      <c r="X260">
        <f>(B260-I260)/B260</f>
        <v>0.31904201973787455</v>
      </c>
      <c r="Y260" s="2">
        <f t="shared" si="37"/>
        <v>4.4408920985006262E-16</v>
      </c>
      <c r="Z260" s="2" t="str">
        <f t="shared" si="38"/>
        <v>OK</v>
      </c>
      <c r="AA260" t="str">
        <f t="shared" si="39"/>
        <v>Unique</v>
      </c>
    </row>
    <row r="261" spans="1:27" x14ac:dyDescent="0.3">
      <c r="A261">
        <v>260</v>
      </c>
      <c r="B261">
        <v>570466.33884271199</v>
      </c>
      <c r="C261">
        <v>0.33724688723556301</v>
      </c>
      <c r="D261">
        <v>-0.17730107261210201</v>
      </c>
      <c r="E261">
        <v>0.31563052504608402</v>
      </c>
      <c r="F261">
        <v>1</v>
      </c>
      <c r="G261" t="s">
        <v>10</v>
      </c>
      <c r="H261">
        <v>0</v>
      </c>
      <c r="I261">
        <v>180056.590050042</v>
      </c>
      <c r="J261">
        <v>0.68436947495391598</v>
      </c>
      <c r="K261" t="str">
        <f t="shared" si="32"/>
        <v>OK</v>
      </c>
      <c r="L261" t="str">
        <f t="shared" si="33"/>
        <v>OK</v>
      </c>
      <c r="M261" t="str">
        <f>IF(OR(B261&lt;$AE$20,B261&gt;$AF$20),"Outlier","OK")</f>
        <v>OK</v>
      </c>
      <c r="N261" t="str">
        <f>IF(OR(J261&lt;$AE$21,J261&gt;$AF$21),"Outlier","OK")</f>
        <v>OK</v>
      </c>
      <c r="O261" t="str">
        <f>IF(OR(C261&lt;0,C261&gt;1),"Outlier","OK")</f>
        <v>OK</v>
      </c>
      <c r="P261" t="str">
        <f>IF(OR(D261&lt;0,D261&gt;1),"Outlier","OK")</f>
        <v>Outlier</v>
      </c>
      <c r="Q261" t="str">
        <f t="shared" si="34"/>
        <v>60-80%</v>
      </c>
      <c r="R261" t="str">
        <f>IF(B261="","Missing","OK")</f>
        <v>OK</v>
      </c>
      <c r="S261" t="str">
        <f>IF(E261="","Missing","OK")</f>
        <v>OK</v>
      </c>
      <c r="T261" t="str">
        <f t="shared" si="35"/>
        <v>OK</v>
      </c>
      <c r="U261">
        <f>COUNTIF($A:$A,A261)</f>
        <v>1</v>
      </c>
      <c r="V261" t="str">
        <f t="shared" si="36"/>
        <v>OK</v>
      </c>
      <c r="W261" t="str">
        <f>IF(I261&gt;B261,"ERROR","OK")</f>
        <v>OK</v>
      </c>
      <c r="X261">
        <f>(B261-I261)/B261</f>
        <v>0.68436947495391676</v>
      </c>
      <c r="Y261" s="2">
        <f t="shared" si="37"/>
        <v>7.7715611723760958E-16</v>
      </c>
      <c r="Z261" s="2" t="str">
        <f t="shared" si="38"/>
        <v>OK</v>
      </c>
      <c r="AA261" t="str">
        <f t="shared" si="39"/>
        <v>Unique</v>
      </c>
    </row>
    <row r="262" spans="1:27" x14ac:dyDescent="0.3">
      <c r="A262">
        <v>261</v>
      </c>
      <c r="B262">
        <v>1029038.64563714</v>
      </c>
      <c r="C262">
        <v>0.80454481534026601</v>
      </c>
      <c r="D262">
        <v>0.141127888396232</v>
      </c>
      <c r="E262">
        <v>0.52432755318651503</v>
      </c>
      <c r="F262">
        <v>1</v>
      </c>
      <c r="G262" t="s">
        <v>11</v>
      </c>
      <c r="H262">
        <v>0</v>
      </c>
      <c r="I262">
        <v>539553.315201291</v>
      </c>
      <c r="J262">
        <v>0.47567244681348397</v>
      </c>
      <c r="K262" t="str">
        <f t="shared" si="32"/>
        <v>OK</v>
      </c>
      <c r="L262" t="str">
        <f t="shared" si="33"/>
        <v>OK</v>
      </c>
      <c r="M262" t="str">
        <f>IF(OR(B262&lt;$AE$20,B262&gt;$AF$20),"Outlier","OK")</f>
        <v>OK</v>
      </c>
      <c r="N262" t="str">
        <f>IF(OR(J262&lt;$AE$21,J262&gt;$AF$21),"Outlier","OK")</f>
        <v>OK</v>
      </c>
      <c r="O262" t="str">
        <f>IF(OR(C262&lt;0,C262&gt;1),"Outlier","OK")</f>
        <v>OK</v>
      </c>
      <c r="P262" t="str">
        <f>IF(OR(D262&lt;0,D262&gt;1),"Outlier","OK")</f>
        <v>OK</v>
      </c>
      <c r="Q262" t="str">
        <f t="shared" si="34"/>
        <v>40-60%</v>
      </c>
      <c r="R262" t="str">
        <f>IF(B262="","Missing","OK")</f>
        <v>OK</v>
      </c>
      <c r="S262" t="str">
        <f>IF(E262="","Missing","OK")</f>
        <v>OK</v>
      </c>
      <c r="T262" t="str">
        <f t="shared" si="35"/>
        <v>OK</v>
      </c>
      <c r="U262">
        <f>COUNTIF($A:$A,A262)</f>
        <v>1</v>
      </c>
      <c r="V262" t="str">
        <f t="shared" si="36"/>
        <v>OK</v>
      </c>
      <c r="W262" t="str">
        <f>IF(I262&gt;B262,"ERROR","OK")</f>
        <v>OK</v>
      </c>
      <c r="X262">
        <f>(B262-I262)/B262</f>
        <v>0.47567244681348103</v>
      </c>
      <c r="Y262" s="2">
        <f t="shared" si="37"/>
        <v>2.9420910152566648E-15</v>
      </c>
      <c r="Z262" s="2" t="str">
        <f t="shared" si="38"/>
        <v>OK</v>
      </c>
      <c r="AA262" t="str">
        <f t="shared" si="39"/>
        <v>Unique</v>
      </c>
    </row>
    <row r="263" spans="1:27" x14ac:dyDescent="0.3">
      <c r="A263">
        <v>262</v>
      </c>
      <c r="B263">
        <v>181524.83850360001</v>
      </c>
      <c r="C263">
        <v>0.36014002190693001</v>
      </c>
      <c r="D263">
        <v>-8.8800222858064798E-2</v>
      </c>
      <c r="E263">
        <v>0.123755764064538</v>
      </c>
      <c r="F263">
        <v>1</v>
      </c>
      <c r="G263" t="s">
        <v>12</v>
      </c>
      <c r="H263">
        <v>0</v>
      </c>
      <c r="I263">
        <v>22464.745085704999</v>
      </c>
      <c r="J263">
        <v>0.87624423593546097</v>
      </c>
      <c r="K263" t="str">
        <f t="shared" si="32"/>
        <v>OK</v>
      </c>
      <c r="L263" t="str">
        <f t="shared" si="33"/>
        <v>OK</v>
      </c>
      <c r="M263" t="str">
        <f>IF(OR(B263&lt;$AE$20,B263&gt;$AF$20),"Outlier","OK")</f>
        <v>OK</v>
      </c>
      <c r="N263" t="str">
        <f>IF(OR(J263&lt;$AE$21,J263&gt;$AF$21),"Outlier","OK")</f>
        <v>OK</v>
      </c>
      <c r="O263" t="str">
        <f>IF(OR(C263&lt;0,C263&gt;1),"Outlier","OK")</f>
        <v>OK</v>
      </c>
      <c r="P263" t="str">
        <f>IF(OR(D263&lt;0,D263&gt;1),"Outlier","OK")</f>
        <v>Outlier</v>
      </c>
      <c r="Q263" t="str">
        <f t="shared" si="34"/>
        <v>80-100%</v>
      </c>
      <c r="R263" t="str">
        <f>IF(B263="","Missing","OK")</f>
        <v>OK</v>
      </c>
      <c r="S263" t="str">
        <f>IF(E263="","Missing","OK")</f>
        <v>OK</v>
      </c>
      <c r="T263" t="str">
        <f t="shared" si="35"/>
        <v>OK</v>
      </c>
      <c r="U263">
        <f>COUNTIF($A:$A,A263)</f>
        <v>1</v>
      </c>
      <c r="V263" t="str">
        <f t="shared" si="36"/>
        <v>OK</v>
      </c>
      <c r="W263" t="str">
        <f>IF(I263&gt;B263,"ERROR","OK")</f>
        <v>OK</v>
      </c>
      <c r="X263">
        <f>(B263-I263)/B263</f>
        <v>0.87624423593546141</v>
      </c>
      <c r="Y263" s="2">
        <f t="shared" si="37"/>
        <v>4.4408920985006262E-16</v>
      </c>
      <c r="Z263" s="2" t="str">
        <f t="shared" si="38"/>
        <v>OK</v>
      </c>
      <c r="AA263" t="str">
        <f t="shared" si="39"/>
        <v>Unique</v>
      </c>
    </row>
    <row r="264" spans="1:27" x14ac:dyDescent="0.3">
      <c r="A264">
        <v>263</v>
      </c>
      <c r="B264">
        <v>1986414.8591348401</v>
      </c>
      <c r="C264">
        <v>0.31621516137660999</v>
      </c>
      <c r="D264">
        <v>-0.13260387075469801</v>
      </c>
      <c r="E264">
        <v>0.25794231690092101</v>
      </c>
      <c r="F264">
        <v>1</v>
      </c>
      <c r="G264" t="s">
        <v>13</v>
      </c>
      <c r="H264">
        <v>1</v>
      </c>
      <c r="I264">
        <v>512380.45109165797</v>
      </c>
      <c r="J264">
        <v>0.74205768309907805</v>
      </c>
      <c r="K264" t="str">
        <f t="shared" si="32"/>
        <v>OK</v>
      </c>
      <c r="L264" t="str">
        <f t="shared" si="33"/>
        <v>OK</v>
      </c>
      <c r="M264" t="str">
        <f>IF(OR(B264&lt;$AE$20,B264&gt;$AF$20),"Outlier","OK")</f>
        <v>Outlier</v>
      </c>
      <c r="N264" t="str">
        <f>IF(OR(J264&lt;$AE$21,J264&gt;$AF$21),"Outlier","OK")</f>
        <v>OK</v>
      </c>
      <c r="O264" t="str">
        <f>IF(OR(C264&lt;0,C264&gt;1),"Outlier","OK")</f>
        <v>OK</v>
      </c>
      <c r="P264" t="str">
        <f>IF(OR(D264&lt;0,D264&gt;1),"Outlier","OK")</f>
        <v>Outlier</v>
      </c>
      <c r="Q264" t="str">
        <f t="shared" si="34"/>
        <v>60-80%</v>
      </c>
      <c r="R264" t="str">
        <f>IF(B264="","Missing","OK")</f>
        <v>OK</v>
      </c>
      <c r="S264" t="str">
        <f>IF(E264="","Missing","OK")</f>
        <v>OK</v>
      </c>
      <c r="T264" t="str">
        <f t="shared" si="35"/>
        <v>OK</v>
      </c>
      <c r="U264">
        <f>COUNTIF($A:$A,A264)</f>
        <v>1</v>
      </c>
      <c r="V264" t="str">
        <f t="shared" si="36"/>
        <v>OK</v>
      </c>
      <c r="W264" t="str">
        <f>IF(I264&gt;B264,"ERROR","OK")</f>
        <v>OK</v>
      </c>
      <c r="X264">
        <f>(B264-I264)/B264</f>
        <v>0.7420576830990786</v>
      </c>
      <c r="Y264" s="2">
        <f t="shared" si="37"/>
        <v>5.5511151231257827E-16</v>
      </c>
      <c r="Z264" s="2" t="str">
        <f t="shared" si="38"/>
        <v>OK</v>
      </c>
      <c r="AA264" t="str">
        <f t="shared" si="39"/>
        <v>Unique</v>
      </c>
    </row>
    <row r="265" spans="1:27" x14ac:dyDescent="0.3">
      <c r="A265">
        <v>264</v>
      </c>
      <c r="B265">
        <v>511101.672586156</v>
      </c>
      <c r="C265">
        <v>0.713462922984617</v>
      </c>
      <c r="D265">
        <v>0.100239065449754</v>
      </c>
      <c r="E265">
        <v>0.19162987993913599</v>
      </c>
      <c r="F265">
        <v>1</v>
      </c>
      <c r="G265" t="s">
        <v>10</v>
      </c>
      <c r="H265">
        <v>0</v>
      </c>
      <c r="I265">
        <v>97942.3521543768</v>
      </c>
      <c r="J265">
        <v>0.80837012006086295</v>
      </c>
      <c r="K265" t="str">
        <f t="shared" si="32"/>
        <v>OK</v>
      </c>
      <c r="L265" t="str">
        <f t="shared" si="33"/>
        <v>OK</v>
      </c>
      <c r="M265" t="str">
        <f>IF(OR(B265&lt;$AE$20,B265&gt;$AF$20),"Outlier","OK")</f>
        <v>OK</v>
      </c>
      <c r="N265" t="str">
        <f>IF(OR(J265&lt;$AE$21,J265&gt;$AF$21),"Outlier","OK")</f>
        <v>OK</v>
      </c>
      <c r="O265" t="str">
        <f>IF(OR(C265&lt;0,C265&gt;1),"Outlier","OK")</f>
        <v>OK</v>
      </c>
      <c r="P265" t="str">
        <f>IF(OR(D265&lt;0,D265&gt;1),"Outlier","OK")</f>
        <v>OK</v>
      </c>
      <c r="Q265" t="str">
        <f t="shared" si="34"/>
        <v>80-100%</v>
      </c>
      <c r="R265" t="str">
        <f>IF(B265="","Missing","OK")</f>
        <v>OK</v>
      </c>
      <c r="S265" t="str">
        <f>IF(E265="","Missing","OK")</f>
        <v>OK</v>
      </c>
      <c r="T265" t="str">
        <f t="shared" si="35"/>
        <v>OK</v>
      </c>
      <c r="U265">
        <f>COUNTIF($A:$A,A265)</f>
        <v>1</v>
      </c>
      <c r="V265" t="str">
        <f t="shared" si="36"/>
        <v>OK</v>
      </c>
      <c r="W265" t="str">
        <f>IF(I265&gt;B265,"ERROR","OK")</f>
        <v>OK</v>
      </c>
      <c r="X265">
        <f>(B265-I265)/B265</f>
        <v>0.80837012006086373</v>
      </c>
      <c r="Y265" s="2">
        <f t="shared" si="37"/>
        <v>7.7715611723760958E-16</v>
      </c>
      <c r="Z265" s="2" t="str">
        <f t="shared" si="38"/>
        <v>OK</v>
      </c>
      <c r="AA265" t="str">
        <f t="shared" si="39"/>
        <v>Unique</v>
      </c>
    </row>
    <row r="266" spans="1:27" x14ac:dyDescent="0.3">
      <c r="A266">
        <v>265</v>
      </c>
      <c r="B266">
        <v>779869.755573623</v>
      </c>
      <c r="C266">
        <v>0.17896551754201501</v>
      </c>
      <c r="D266">
        <v>-3.52496794738325E-2</v>
      </c>
      <c r="E266">
        <v>5.8173856304749999E-2</v>
      </c>
      <c r="F266">
        <v>1</v>
      </c>
      <c r="G266" t="s">
        <v>13</v>
      </c>
      <c r="H266">
        <v>0</v>
      </c>
      <c r="I266">
        <v>45368.031097160398</v>
      </c>
      <c r="J266">
        <v>0.94182614369524997</v>
      </c>
      <c r="K266" t="str">
        <f t="shared" si="32"/>
        <v>OK</v>
      </c>
      <c r="L266" t="str">
        <f t="shared" si="33"/>
        <v>OK</v>
      </c>
      <c r="M266" t="str">
        <f>IF(OR(B266&lt;$AE$20,B266&gt;$AF$20),"Outlier","OK")</f>
        <v>OK</v>
      </c>
      <c r="N266" t="str">
        <f>IF(OR(J266&lt;$AE$21,J266&gt;$AF$21),"Outlier","OK")</f>
        <v>OK</v>
      </c>
      <c r="O266" t="str">
        <f>IF(OR(C266&lt;0,C266&gt;1),"Outlier","OK")</f>
        <v>OK</v>
      </c>
      <c r="P266" t="str">
        <f>IF(OR(D266&lt;0,D266&gt;1),"Outlier","OK")</f>
        <v>Outlier</v>
      </c>
      <c r="Q266" t="str">
        <f t="shared" si="34"/>
        <v>80-100%</v>
      </c>
      <c r="R266" t="str">
        <f>IF(B266="","Missing","OK")</f>
        <v>OK</v>
      </c>
      <c r="S266" t="str">
        <f>IF(E266="","Missing","OK")</f>
        <v>OK</v>
      </c>
      <c r="T266" t="str">
        <f t="shared" si="35"/>
        <v>OK</v>
      </c>
      <c r="U266">
        <f>COUNTIF($A:$A,A266)</f>
        <v>1</v>
      </c>
      <c r="V266" t="str">
        <f t="shared" si="36"/>
        <v>OK</v>
      </c>
      <c r="W266" t="str">
        <f>IF(I266&gt;B266,"ERROR","OK")</f>
        <v>OK</v>
      </c>
      <c r="X266">
        <f>(B266-I266)/B266</f>
        <v>0.94182614369525008</v>
      </c>
      <c r="Y266" s="2">
        <f t="shared" si="37"/>
        <v>1.1102230246251565E-16</v>
      </c>
      <c r="Z266" s="2" t="str">
        <f t="shared" si="38"/>
        <v>OK</v>
      </c>
      <c r="AA266" t="str">
        <f t="shared" si="39"/>
        <v>Unique</v>
      </c>
    </row>
    <row r="267" spans="1:27" x14ac:dyDescent="0.3">
      <c r="A267">
        <v>266</v>
      </c>
      <c r="B267">
        <v>467323.23407127499</v>
      </c>
      <c r="C267">
        <v>0.37853581527167401</v>
      </c>
      <c r="D267">
        <v>-6.9484351193282806E-2</v>
      </c>
      <c r="E267">
        <v>0.16109225679911399</v>
      </c>
      <c r="F267">
        <v>1</v>
      </c>
      <c r="G267" t="s">
        <v>12</v>
      </c>
      <c r="H267">
        <v>0</v>
      </c>
      <c r="I267">
        <v>75282.154431202303</v>
      </c>
      <c r="J267">
        <v>0.83890774320088501</v>
      </c>
      <c r="K267" t="str">
        <f t="shared" si="32"/>
        <v>OK</v>
      </c>
      <c r="L267" t="str">
        <f t="shared" si="33"/>
        <v>OK</v>
      </c>
      <c r="M267" t="str">
        <f>IF(OR(B267&lt;$AE$20,B267&gt;$AF$20),"Outlier","OK")</f>
        <v>OK</v>
      </c>
      <c r="N267" t="str">
        <f>IF(OR(J267&lt;$AE$21,J267&gt;$AF$21),"Outlier","OK")</f>
        <v>OK</v>
      </c>
      <c r="O267" t="str">
        <f>IF(OR(C267&lt;0,C267&gt;1),"Outlier","OK")</f>
        <v>OK</v>
      </c>
      <c r="P267" t="str">
        <f>IF(OR(D267&lt;0,D267&gt;1),"Outlier","OK")</f>
        <v>Outlier</v>
      </c>
      <c r="Q267" t="str">
        <f t="shared" si="34"/>
        <v>80-100%</v>
      </c>
      <c r="R267" t="str">
        <f>IF(B267="","Missing","OK")</f>
        <v>OK</v>
      </c>
      <c r="S267" t="str">
        <f>IF(E267="","Missing","OK")</f>
        <v>OK</v>
      </c>
      <c r="T267" t="str">
        <f t="shared" si="35"/>
        <v>OK</v>
      </c>
      <c r="U267">
        <f>COUNTIF($A:$A,A267)</f>
        <v>1</v>
      </c>
      <c r="V267" t="str">
        <f t="shared" si="36"/>
        <v>OK</v>
      </c>
      <c r="W267" t="str">
        <f>IF(I267&gt;B267,"ERROR","OK")</f>
        <v>OK</v>
      </c>
      <c r="X267">
        <f>(B267-I267)/B267</f>
        <v>0.8389077432008859</v>
      </c>
      <c r="Y267" s="2">
        <f t="shared" si="37"/>
        <v>8.8817841970012523E-16</v>
      </c>
      <c r="Z267" s="2" t="str">
        <f t="shared" si="38"/>
        <v>OK</v>
      </c>
      <c r="AA267" t="str">
        <f t="shared" si="39"/>
        <v>Unique</v>
      </c>
    </row>
    <row r="268" spans="1:27" x14ac:dyDescent="0.3">
      <c r="A268">
        <v>267</v>
      </c>
      <c r="B268">
        <v>255619.43890562901</v>
      </c>
      <c r="C268">
        <v>0.117314967704173</v>
      </c>
      <c r="D268">
        <v>5.3992546085580302E-2</v>
      </c>
      <c r="E268">
        <v>0.251659711968997</v>
      </c>
      <c r="F268">
        <v>1</v>
      </c>
      <c r="G268" t="s">
        <v>13</v>
      </c>
      <c r="H268">
        <v>0</v>
      </c>
      <c r="I268">
        <v>64329.1143686672</v>
      </c>
      <c r="J268">
        <v>0.74834028803100205</v>
      </c>
      <c r="K268" t="str">
        <f t="shared" si="32"/>
        <v>OK</v>
      </c>
      <c r="L268" t="str">
        <f t="shared" si="33"/>
        <v>OK</v>
      </c>
      <c r="M268" t="str">
        <f>IF(OR(B268&lt;$AE$20,B268&gt;$AF$20),"Outlier","OK")</f>
        <v>OK</v>
      </c>
      <c r="N268" t="str">
        <f>IF(OR(J268&lt;$AE$21,J268&gt;$AF$21),"Outlier","OK")</f>
        <v>OK</v>
      </c>
      <c r="O268" t="str">
        <f>IF(OR(C268&lt;0,C268&gt;1),"Outlier","OK")</f>
        <v>OK</v>
      </c>
      <c r="P268" t="str">
        <f>IF(OR(D268&lt;0,D268&gt;1),"Outlier","OK")</f>
        <v>OK</v>
      </c>
      <c r="Q268" t="str">
        <f t="shared" si="34"/>
        <v>60-80%</v>
      </c>
      <c r="R268" t="str">
        <f>IF(B268="","Missing","OK")</f>
        <v>OK</v>
      </c>
      <c r="S268" t="str">
        <f>IF(E268="","Missing","OK")</f>
        <v>OK</v>
      </c>
      <c r="T268" t="str">
        <f t="shared" si="35"/>
        <v>OK</v>
      </c>
      <c r="U268">
        <f>COUNTIF($A:$A,A268)</f>
        <v>1</v>
      </c>
      <c r="V268" t="str">
        <f t="shared" si="36"/>
        <v>OK</v>
      </c>
      <c r="W268" t="str">
        <f>IF(I268&gt;B268,"ERROR","OK")</f>
        <v>OK</v>
      </c>
      <c r="X268">
        <f>(B268-I268)/B268</f>
        <v>0.74834028803100305</v>
      </c>
      <c r="Y268" s="2">
        <f t="shared" si="37"/>
        <v>9.9920072216264089E-16</v>
      </c>
      <c r="Z268" s="2" t="str">
        <f t="shared" si="38"/>
        <v>OK</v>
      </c>
      <c r="AA268" t="str">
        <f t="shared" si="39"/>
        <v>Unique</v>
      </c>
    </row>
    <row r="269" spans="1:27" x14ac:dyDescent="0.3">
      <c r="A269">
        <v>268</v>
      </c>
      <c r="B269">
        <v>503335.58192825899</v>
      </c>
      <c r="C269">
        <v>0.50528748815916702</v>
      </c>
      <c r="D269">
        <v>-4.9207130981067597E-2</v>
      </c>
      <c r="E269">
        <v>0.28887096119292399</v>
      </c>
      <c r="F269">
        <v>1</v>
      </c>
      <c r="G269" t="s">
        <v>13</v>
      </c>
      <c r="H269">
        <v>1</v>
      </c>
      <c r="I269">
        <v>145399.03335421599</v>
      </c>
      <c r="J269">
        <v>0.71112903880707501</v>
      </c>
      <c r="K269" t="str">
        <f t="shared" si="32"/>
        <v>OK</v>
      </c>
      <c r="L269" t="str">
        <f t="shared" si="33"/>
        <v>OK</v>
      </c>
      <c r="M269" t="str">
        <f>IF(OR(B269&lt;$AE$20,B269&gt;$AF$20),"Outlier","OK")</f>
        <v>OK</v>
      </c>
      <c r="N269" t="str">
        <f>IF(OR(J269&lt;$AE$21,J269&gt;$AF$21),"Outlier","OK")</f>
        <v>OK</v>
      </c>
      <c r="O269" t="str">
        <f>IF(OR(C269&lt;0,C269&gt;1),"Outlier","OK")</f>
        <v>OK</v>
      </c>
      <c r="P269" t="str">
        <f>IF(OR(D269&lt;0,D269&gt;1),"Outlier","OK")</f>
        <v>Outlier</v>
      </c>
      <c r="Q269" t="str">
        <f t="shared" si="34"/>
        <v>60-80%</v>
      </c>
      <c r="R269" t="str">
        <f>IF(B269="","Missing","OK")</f>
        <v>OK</v>
      </c>
      <c r="S269" t="str">
        <f>IF(E269="","Missing","OK")</f>
        <v>OK</v>
      </c>
      <c r="T269" t="str">
        <f t="shared" si="35"/>
        <v>OK</v>
      </c>
      <c r="U269">
        <f>COUNTIF($A:$A,A269)</f>
        <v>1</v>
      </c>
      <c r="V269" t="str">
        <f t="shared" si="36"/>
        <v>OK</v>
      </c>
      <c r="W269" t="str">
        <f>IF(I269&gt;B269,"ERROR","OK")</f>
        <v>OK</v>
      </c>
      <c r="X269">
        <f>(B269-I269)/B269</f>
        <v>0.71112903880707579</v>
      </c>
      <c r="Y269" s="2">
        <f t="shared" si="37"/>
        <v>7.7715611723760958E-16</v>
      </c>
      <c r="Z269" s="2" t="str">
        <f t="shared" si="38"/>
        <v>OK</v>
      </c>
      <c r="AA269" t="str">
        <f t="shared" si="39"/>
        <v>Unique</v>
      </c>
    </row>
    <row r="270" spans="1:27" x14ac:dyDescent="0.3">
      <c r="A270">
        <v>269</v>
      </c>
      <c r="B270">
        <v>636189.76423124899</v>
      </c>
      <c r="C270">
        <v>0.512230331971959</v>
      </c>
      <c r="D270">
        <v>3.9017542838951397E-2</v>
      </c>
      <c r="E270">
        <v>0.56097041729458996</v>
      </c>
      <c r="F270">
        <v>1</v>
      </c>
      <c r="G270" t="s">
        <v>10</v>
      </c>
      <c r="H270">
        <v>1</v>
      </c>
      <c r="I270">
        <v>356883.63751934998</v>
      </c>
      <c r="J270">
        <v>0.43902958270540898</v>
      </c>
      <c r="K270" t="str">
        <f t="shared" si="32"/>
        <v>OK</v>
      </c>
      <c r="L270" t="str">
        <f t="shared" si="33"/>
        <v>OK</v>
      </c>
      <c r="M270" t="str">
        <f>IF(OR(B270&lt;$AE$20,B270&gt;$AF$20),"Outlier","OK")</f>
        <v>OK</v>
      </c>
      <c r="N270" t="str">
        <f>IF(OR(J270&lt;$AE$21,J270&gt;$AF$21),"Outlier","OK")</f>
        <v>OK</v>
      </c>
      <c r="O270" t="str">
        <f>IF(OR(C270&lt;0,C270&gt;1),"Outlier","OK")</f>
        <v>OK</v>
      </c>
      <c r="P270" t="str">
        <f>IF(OR(D270&lt;0,D270&gt;1),"Outlier","OK")</f>
        <v>OK</v>
      </c>
      <c r="Q270" t="str">
        <f t="shared" si="34"/>
        <v>40-60%</v>
      </c>
      <c r="R270" t="str">
        <f>IF(B270="","Missing","OK")</f>
        <v>OK</v>
      </c>
      <c r="S270" t="str">
        <f>IF(E270="","Missing","OK")</f>
        <v>OK</v>
      </c>
      <c r="T270" t="str">
        <f t="shared" si="35"/>
        <v>OK</v>
      </c>
      <c r="U270">
        <f>COUNTIF($A:$A,A270)</f>
        <v>1</v>
      </c>
      <c r="V270" t="str">
        <f t="shared" si="36"/>
        <v>OK</v>
      </c>
      <c r="W270" t="str">
        <f>IF(I270&gt;B270,"ERROR","OK")</f>
        <v>OK</v>
      </c>
      <c r="X270">
        <f>(B270-I270)/B270</f>
        <v>0.43902958270541093</v>
      </c>
      <c r="Y270" s="2">
        <f t="shared" si="37"/>
        <v>1.9428902930940239E-15</v>
      </c>
      <c r="Z270" s="2" t="str">
        <f t="shared" si="38"/>
        <v>OK</v>
      </c>
      <c r="AA270" t="str">
        <f t="shared" si="39"/>
        <v>Unique</v>
      </c>
    </row>
    <row r="271" spans="1:27" x14ac:dyDescent="0.3">
      <c r="A271">
        <v>270</v>
      </c>
      <c r="B271">
        <v>1287162.4224039</v>
      </c>
      <c r="C271">
        <v>0.41372757211674699</v>
      </c>
      <c r="D271">
        <v>0.15758592859142301</v>
      </c>
      <c r="E271">
        <v>0.31657529473421903</v>
      </c>
      <c r="F271">
        <v>1</v>
      </c>
      <c r="G271" t="s">
        <v>10</v>
      </c>
      <c r="H271">
        <v>1</v>
      </c>
      <c r="I271">
        <v>407483.82324332802</v>
      </c>
      <c r="J271">
        <v>0.68342470526578003</v>
      </c>
      <c r="K271" t="str">
        <f t="shared" si="32"/>
        <v>OK</v>
      </c>
      <c r="L271" t="str">
        <f t="shared" si="33"/>
        <v>OK</v>
      </c>
      <c r="M271" t="str">
        <f>IF(OR(B271&lt;$AE$20,B271&gt;$AF$20),"Outlier","OK")</f>
        <v>OK</v>
      </c>
      <c r="N271" t="str">
        <f>IF(OR(J271&lt;$AE$21,J271&gt;$AF$21),"Outlier","OK")</f>
        <v>OK</v>
      </c>
      <c r="O271" t="str">
        <f>IF(OR(C271&lt;0,C271&gt;1),"Outlier","OK")</f>
        <v>OK</v>
      </c>
      <c r="P271" t="str">
        <f>IF(OR(D271&lt;0,D271&gt;1),"Outlier","OK")</f>
        <v>OK</v>
      </c>
      <c r="Q271" t="str">
        <f t="shared" si="34"/>
        <v>60-80%</v>
      </c>
      <c r="R271" t="str">
        <f>IF(B271="","Missing","OK")</f>
        <v>OK</v>
      </c>
      <c r="S271" t="str">
        <f>IF(E271="","Missing","OK")</f>
        <v>OK</v>
      </c>
      <c r="T271" t="str">
        <f t="shared" si="35"/>
        <v>OK</v>
      </c>
      <c r="U271">
        <f>COUNTIF($A:$A,A271)</f>
        <v>1</v>
      </c>
      <c r="V271" t="str">
        <f t="shared" si="36"/>
        <v>OK</v>
      </c>
      <c r="W271" t="str">
        <f>IF(I271&gt;B271,"ERROR","OK")</f>
        <v>OK</v>
      </c>
      <c r="X271">
        <f>(B271-I271)/B271</f>
        <v>0.68342470526577936</v>
      </c>
      <c r="Y271" s="2">
        <f t="shared" si="37"/>
        <v>6.6613381477509392E-16</v>
      </c>
      <c r="Z271" s="2" t="str">
        <f t="shared" si="38"/>
        <v>OK</v>
      </c>
      <c r="AA271" t="str">
        <f t="shared" si="39"/>
        <v>Unique</v>
      </c>
    </row>
    <row r="272" spans="1:27" x14ac:dyDescent="0.3">
      <c r="A272">
        <v>271</v>
      </c>
      <c r="B272">
        <v>598407.82383317105</v>
      </c>
      <c r="C272">
        <v>0.81388845582733604</v>
      </c>
      <c r="D272">
        <v>0.147525110651127</v>
      </c>
      <c r="E272">
        <v>0.284061120973087</v>
      </c>
      <c r="F272">
        <v>1</v>
      </c>
      <c r="G272" t="s">
        <v>13</v>
      </c>
      <c r="H272">
        <v>0</v>
      </c>
      <c r="I272">
        <v>169984.39723711601</v>
      </c>
      <c r="J272">
        <v>0.715938879026912</v>
      </c>
      <c r="K272" t="str">
        <f t="shared" si="32"/>
        <v>OK</v>
      </c>
      <c r="L272" t="str">
        <f t="shared" si="33"/>
        <v>OK</v>
      </c>
      <c r="M272" t="str">
        <f>IF(OR(B272&lt;$AE$20,B272&gt;$AF$20),"Outlier","OK")</f>
        <v>OK</v>
      </c>
      <c r="N272" t="str">
        <f>IF(OR(J272&lt;$AE$21,J272&gt;$AF$21),"Outlier","OK")</f>
        <v>OK</v>
      </c>
      <c r="O272" t="str">
        <f>IF(OR(C272&lt;0,C272&gt;1),"Outlier","OK")</f>
        <v>OK</v>
      </c>
      <c r="P272" t="str">
        <f>IF(OR(D272&lt;0,D272&gt;1),"Outlier","OK")</f>
        <v>OK</v>
      </c>
      <c r="Q272" t="str">
        <f t="shared" si="34"/>
        <v>60-80%</v>
      </c>
      <c r="R272" t="str">
        <f>IF(B272="","Missing","OK")</f>
        <v>OK</v>
      </c>
      <c r="S272" t="str">
        <f>IF(E272="","Missing","OK")</f>
        <v>OK</v>
      </c>
      <c r="T272" t="str">
        <f t="shared" si="35"/>
        <v>OK</v>
      </c>
      <c r="U272">
        <f>COUNTIF($A:$A,A272)</f>
        <v>1</v>
      </c>
      <c r="V272" t="str">
        <f t="shared" si="36"/>
        <v>OK</v>
      </c>
      <c r="W272" t="str">
        <f>IF(I272&gt;B272,"ERROR","OK")</f>
        <v>OK</v>
      </c>
      <c r="X272">
        <f>(B272-I272)/B272</f>
        <v>0.71593887902691322</v>
      </c>
      <c r="Y272" s="2">
        <f t="shared" si="37"/>
        <v>1.2212453270876722E-15</v>
      </c>
      <c r="Z272" s="2" t="str">
        <f t="shared" si="38"/>
        <v>OK</v>
      </c>
      <c r="AA272" t="str">
        <f t="shared" si="39"/>
        <v>Unique</v>
      </c>
    </row>
    <row r="273" spans="1:27" x14ac:dyDescent="0.3">
      <c r="A273">
        <v>272</v>
      </c>
      <c r="B273">
        <v>756439.68390432303</v>
      </c>
      <c r="C273">
        <v>0.65387779906041599</v>
      </c>
      <c r="D273">
        <v>-3.07429224286269E-2</v>
      </c>
      <c r="E273">
        <v>0.17255906092572501</v>
      </c>
      <c r="F273">
        <v>1</v>
      </c>
      <c r="G273" t="s">
        <v>11</v>
      </c>
      <c r="H273">
        <v>0</v>
      </c>
      <c r="I273">
        <v>130530.521501482</v>
      </c>
      <c r="J273">
        <v>0.82744093907427396</v>
      </c>
      <c r="K273" t="str">
        <f t="shared" si="32"/>
        <v>OK</v>
      </c>
      <c r="L273" t="str">
        <f t="shared" si="33"/>
        <v>OK</v>
      </c>
      <c r="M273" t="str">
        <f>IF(OR(B273&lt;$AE$20,B273&gt;$AF$20),"Outlier","OK")</f>
        <v>OK</v>
      </c>
      <c r="N273" t="str">
        <f>IF(OR(J273&lt;$AE$21,J273&gt;$AF$21),"Outlier","OK")</f>
        <v>OK</v>
      </c>
      <c r="O273" t="str">
        <f>IF(OR(C273&lt;0,C273&gt;1),"Outlier","OK")</f>
        <v>OK</v>
      </c>
      <c r="P273" t="str">
        <f>IF(OR(D273&lt;0,D273&gt;1),"Outlier","OK")</f>
        <v>Outlier</v>
      </c>
      <c r="Q273" t="str">
        <f t="shared" si="34"/>
        <v>80-100%</v>
      </c>
      <c r="R273" t="str">
        <f>IF(B273="","Missing","OK")</f>
        <v>OK</v>
      </c>
      <c r="S273" t="str">
        <f>IF(E273="","Missing","OK")</f>
        <v>OK</v>
      </c>
      <c r="T273" t="str">
        <f t="shared" si="35"/>
        <v>OK</v>
      </c>
      <c r="U273">
        <f>COUNTIF($A:$A,A273)</f>
        <v>1</v>
      </c>
      <c r="V273" t="str">
        <f t="shared" si="36"/>
        <v>OK</v>
      </c>
      <c r="W273" t="str">
        <f>IF(I273&gt;B273,"ERROR","OK")</f>
        <v>OK</v>
      </c>
      <c r="X273">
        <f>(B273-I273)/B273</f>
        <v>0.82744093907427529</v>
      </c>
      <c r="Y273" s="2">
        <f t="shared" si="37"/>
        <v>1.3322676295501878E-15</v>
      </c>
      <c r="Z273" s="2" t="str">
        <f t="shared" si="38"/>
        <v>OK</v>
      </c>
      <c r="AA273" t="str">
        <f t="shared" si="39"/>
        <v>Unique</v>
      </c>
    </row>
    <row r="274" spans="1:27" x14ac:dyDescent="0.3">
      <c r="A274">
        <v>273</v>
      </c>
      <c r="B274">
        <v>61588.545260883096</v>
      </c>
      <c r="C274">
        <v>0.614147674814153</v>
      </c>
      <c r="D274">
        <v>0.127904580761217</v>
      </c>
      <c r="E274">
        <v>0.23104638197719701</v>
      </c>
      <c r="F274">
        <v>1</v>
      </c>
      <c r="G274" t="s">
        <v>10</v>
      </c>
      <c r="H274">
        <v>1</v>
      </c>
      <c r="I274">
        <v>14229.810553765899</v>
      </c>
      <c r="J274">
        <v>0.76895361802280204</v>
      </c>
      <c r="K274" t="str">
        <f t="shared" si="32"/>
        <v>OK</v>
      </c>
      <c r="L274" t="str">
        <f t="shared" si="33"/>
        <v>OK</v>
      </c>
      <c r="M274" t="str">
        <f>IF(OR(B274&lt;$AE$20,B274&gt;$AF$20),"Outlier","OK")</f>
        <v>Outlier</v>
      </c>
      <c r="N274" t="str">
        <f>IF(OR(J274&lt;$AE$21,J274&gt;$AF$21),"Outlier","OK")</f>
        <v>OK</v>
      </c>
      <c r="O274" t="str">
        <f>IF(OR(C274&lt;0,C274&gt;1),"Outlier","OK")</f>
        <v>OK</v>
      </c>
      <c r="P274" t="str">
        <f>IF(OR(D274&lt;0,D274&gt;1),"Outlier","OK")</f>
        <v>OK</v>
      </c>
      <c r="Q274" t="str">
        <f t="shared" si="34"/>
        <v>60-80%</v>
      </c>
      <c r="R274" t="str">
        <f>IF(B274="","Missing","OK")</f>
        <v>OK</v>
      </c>
      <c r="S274" t="str">
        <f>IF(E274="","Missing","OK")</f>
        <v>OK</v>
      </c>
      <c r="T274" t="str">
        <f t="shared" si="35"/>
        <v>OK</v>
      </c>
      <c r="U274">
        <f>COUNTIF($A:$A,A274)</f>
        <v>1</v>
      </c>
      <c r="V274" t="str">
        <f t="shared" si="36"/>
        <v>OK</v>
      </c>
      <c r="W274" t="str">
        <f>IF(I274&gt;B274,"ERROR","OK")</f>
        <v>OK</v>
      </c>
      <c r="X274">
        <f>(B274-I274)/B274</f>
        <v>0.76895361802280271</v>
      </c>
      <c r="Y274" s="2">
        <f t="shared" si="37"/>
        <v>6.6613381477509392E-16</v>
      </c>
      <c r="Z274" s="2" t="str">
        <f t="shared" si="38"/>
        <v>OK</v>
      </c>
      <c r="AA274" t="str">
        <f t="shared" si="39"/>
        <v>Unique</v>
      </c>
    </row>
    <row r="275" spans="1:27" x14ac:dyDescent="0.3">
      <c r="A275">
        <v>274</v>
      </c>
      <c r="B275">
        <v>763152.29555836006</v>
      </c>
      <c r="C275">
        <v>0.43257635206328698</v>
      </c>
      <c r="D275">
        <v>9.5178268013225098E-2</v>
      </c>
      <c r="E275">
        <v>0.130752334367148</v>
      </c>
      <c r="F275">
        <v>1</v>
      </c>
      <c r="G275" t="s">
        <v>12</v>
      </c>
      <c r="H275">
        <v>0</v>
      </c>
      <c r="I275">
        <v>99783.9441219039</v>
      </c>
      <c r="J275">
        <v>0.86924766563285105</v>
      </c>
      <c r="K275" t="str">
        <f t="shared" si="32"/>
        <v>OK</v>
      </c>
      <c r="L275" t="str">
        <f t="shared" si="33"/>
        <v>OK</v>
      </c>
      <c r="M275" t="str">
        <f>IF(OR(B275&lt;$AE$20,B275&gt;$AF$20),"Outlier","OK")</f>
        <v>OK</v>
      </c>
      <c r="N275" t="str">
        <f>IF(OR(J275&lt;$AE$21,J275&gt;$AF$21),"Outlier","OK")</f>
        <v>OK</v>
      </c>
      <c r="O275" t="str">
        <f>IF(OR(C275&lt;0,C275&gt;1),"Outlier","OK")</f>
        <v>OK</v>
      </c>
      <c r="P275" t="str">
        <f>IF(OR(D275&lt;0,D275&gt;1),"Outlier","OK")</f>
        <v>OK</v>
      </c>
      <c r="Q275" t="str">
        <f t="shared" si="34"/>
        <v>80-100%</v>
      </c>
      <c r="R275" t="str">
        <f>IF(B275="","Missing","OK")</f>
        <v>OK</v>
      </c>
      <c r="S275" t="str">
        <f>IF(E275="","Missing","OK")</f>
        <v>OK</v>
      </c>
      <c r="T275" t="str">
        <f t="shared" si="35"/>
        <v>OK</v>
      </c>
      <c r="U275">
        <f>COUNTIF($A:$A,A275)</f>
        <v>1</v>
      </c>
      <c r="V275" t="str">
        <f t="shared" si="36"/>
        <v>OK</v>
      </c>
      <c r="W275" t="str">
        <f>IF(I275&gt;B275,"ERROR","OK")</f>
        <v>OK</v>
      </c>
      <c r="X275">
        <f>(B275-I275)/B275</f>
        <v>0.86924766563285116</v>
      </c>
      <c r="Y275" s="2">
        <f t="shared" si="37"/>
        <v>1.1102230246251565E-16</v>
      </c>
      <c r="Z275" s="2" t="str">
        <f t="shared" si="38"/>
        <v>OK</v>
      </c>
      <c r="AA275" t="str">
        <f t="shared" si="39"/>
        <v>Unique</v>
      </c>
    </row>
    <row r="276" spans="1:27" x14ac:dyDescent="0.3">
      <c r="A276">
        <v>275</v>
      </c>
      <c r="B276">
        <v>1091077.66431167</v>
      </c>
      <c r="C276">
        <v>0.87658618030702795</v>
      </c>
      <c r="D276">
        <v>7.6974890261325798E-2</v>
      </c>
      <c r="E276">
        <v>0.43697127716820899</v>
      </c>
      <c r="F276">
        <v>1</v>
      </c>
      <c r="G276" t="s">
        <v>13</v>
      </c>
      <c r="H276">
        <v>1</v>
      </c>
      <c r="I276">
        <v>476769.600463979</v>
      </c>
      <c r="J276">
        <v>0.56302872283178995</v>
      </c>
      <c r="K276" t="str">
        <f t="shared" si="32"/>
        <v>OK</v>
      </c>
      <c r="L276" t="str">
        <f t="shared" si="33"/>
        <v>OK</v>
      </c>
      <c r="M276" t="str">
        <f>IF(OR(B276&lt;$AE$20,B276&gt;$AF$20),"Outlier","OK")</f>
        <v>OK</v>
      </c>
      <c r="N276" t="str">
        <f>IF(OR(J276&lt;$AE$21,J276&gt;$AF$21),"Outlier","OK")</f>
        <v>OK</v>
      </c>
      <c r="O276" t="str">
        <f>IF(OR(C276&lt;0,C276&gt;1),"Outlier","OK")</f>
        <v>OK</v>
      </c>
      <c r="P276" t="str">
        <f>IF(OR(D276&lt;0,D276&gt;1),"Outlier","OK")</f>
        <v>OK</v>
      </c>
      <c r="Q276" t="str">
        <f t="shared" si="34"/>
        <v>40-60%</v>
      </c>
      <c r="R276" t="str">
        <f>IF(B276="","Missing","OK")</f>
        <v>OK</v>
      </c>
      <c r="S276" t="str">
        <f>IF(E276="","Missing","OK")</f>
        <v>OK</v>
      </c>
      <c r="T276" t="str">
        <f t="shared" si="35"/>
        <v>OK</v>
      </c>
      <c r="U276">
        <f>COUNTIF($A:$A,A276)</f>
        <v>1</v>
      </c>
      <c r="V276" t="str">
        <f t="shared" si="36"/>
        <v>OK</v>
      </c>
      <c r="W276" t="str">
        <f>IF(I276&gt;B276,"ERROR","OK")</f>
        <v>OK</v>
      </c>
      <c r="X276">
        <f>(B276-I276)/B276</f>
        <v>0.56302872283178906</v>
      </c>
      <c r="Y276" s="2">
        <f t="shared" si="37"/>
        <v>8.8817841970012523E-16</v>
      </c>
      <c r="Z276" s="2" t="str">
        <f t="shared" si="38"/>
        <v>OK</v>
      </c>
      <c r="AA276" t="str">
        <f t="shared" si="39"/>
        <v>Unique</v>
      </c>
    </row>
    <row r="277" spans="1:27" x14ac:dyDescent="0.3">
      <c r="A277">
        <v>276</v>
      </c>
      <c r="B277">
        <v>365930.882248535</v>
      </c>
      <c r="C277">
        <v>0.44886506297866102</v>
      </c>
      <c r="D277">
        <v>8.3644651458742003E-2</v>
      </c>
      <c r="E277">
        <v>0.311499170197371</v>
      </c>
      <c r="F277">
        <v>1</v>
      </c>
      <c r="G277" t="s">
        <v>11</v>
      </c>
      <c r="H277">
        <v>0</v>
      </c>
      <c r="I277">
        <v>113987.16617000999</v>
      </c>
      <c r="J277">
        <v>0.68850082980262794</v>
      </c>
      <c r="K277" t="str">
        <f t="shared" si="32"/>
        <v>OK</v>
      </c>
      <c r="L277" t="str">
        <f t="shared" si="33"/>
        <v>OK</v>
      </c>
      <c r="M277" t="str">
        <f>IF(OR(B277&lt;$AE$20,B277&gt;$AF$20),"Outlier","OK")</f>
        <v>OK</v>
      </c>
      <c r="N277" t="str">
        <f>IF(OR(J277&lt;$AE$21,J277&gt;$AF$21),"Outlier","OK")</f>
        <v>OK</v>
      </c>
      <c r="O277" t="str">
        <f>IF(OR(C277&lt;0,C277&gt;1),"Outlier","OK")</f>
        <v>OK</v>
      </c>
      <c r="P277" t="str">
        <f>IF(OR(D277&lt;0,D277&gt;1),"Outlier","OK")</f>
        <v>OK</v>
      </c>
      <c r="Q277" t="str">
        <f t="shared" si="34"/>
        <v>60-80%</v>
      </c>
      <c r="R277" t="str">
        <f>IF(B277="","Missing","OK")</f>
        <v>OK</v>
      </c>
      <c r="S277" t="str">
        <f>IF(E277="","Missing","OK")</f>
        <v>OK</v>
      </c>
      <c r="T277" t="str">
        <f t="shared" si="35"/>
        <v>OK</v>
      </c>
      <c r="U277">
        <f>COUNTIF($A:$A,A277)</f>
        <v>1</v>
      </c>
      <c r="V277" t="str">
        <f t="shared" si="36"/>
        <v>OK</v>
      </c>
      <c r="W277" t="str">
        <f>IF(I277&gt;B277,"ERROR","OK")</f>
        <v>OK</v>
      </c>
      <c r="X277">
        <f>(B277-I277)/B277</f>
        <v>0.6885008298026305</v>
      </c>
      <c r="Y277" s="2">
        <f t="shared" si="37"/>
        <v>2.55351295663786E-15</v>
      </c>
      <c r="Z277" s="2" t="str">
        <f t="shared" si="38"/>
        <v>OK</v>
      </c>
      <c r="AA277" t="str">
        <f t="shared" si="39"/>
        <v>Unique</v>
      </c>
    </row>
    <row r="278" spans="1:27" x14ac:dyDescent="0.3">
      <c r="A278">
        <v>277</v>
      </c>
      <c r="B278">
        <v>1214994.5613027301</v>
      </c>
      <c r="C278">
        <v>0.316274619110121</v>
      </c>
      <c r="D278">
        <v>0.123072970245557</v>
      </c>
      <c r="E278">
        <v>0.29656258574135202</v>
      </c>
      <c r="F278">
        <v>1</v>
      </c>
      <c r="G278" t="s">
        <v>12</v>
      </c>
      <c r="H278">
        <v>1</v>
      </c>
      <c r="I278">
        <v>360321.92876161699</v>
      </c>
      <c r="J278">
        <v>0.70343741425864703</v>
      </c>
      <c r="K278" t="str">
        <f t="shared" si="32"/>
        <v>OK</v>
      </c>
      <c r="L278" t="str">
        <f t="shared" si="33"/>
        <v>OK</v>
      </c>
      <c r="M278" t="str">
        <f>IF(OR(B278&lt;$AE$20,B278&gt;$AF$20),"Outlier","OK")</f>
        <v>OK</v>
      </c>
      <c r="N278" t="str">
        <f>IF(OR(J278&lt;$AE$21,J278&gt;$AF$21),"Outlier","OK")</f>
        <v>OK</v>
      </c>
      <c r="O278" t="str">
        <f>IF(OR(C278&lt;0,C278&gt;1),"Outlier","OK")</f>
        <v>OK</v>
      </c>
      <c r="P278" t="str">
        <f>IF(OR(D278&lt;0,D278&gt;1),"Outlier","OK")</f>
        <v>OK</v>
      </c>
      <c r="Q278" t="str">
        <f t="shared" si="34"/>
        <v>60-80%</v>
      </c>
      <c r="R278" t="str">
        <f>IF(B278="","Missing","OK")</f>
        <v>OK</v>
      </c>
      <c r="S278" t="str">
        <f>IF(E278="","Missing","OK")</f>
        <v>OK</v>
      </c>
      <c r="T278" t="str">
        <f t="shared" si="35"/>
        <v>OK</v>
      </c>
      <c r="U278">
        <f>COUNTIF($A:$A,A278)</f>
        <v>1</v>
      </c>
      <c r="V278" t="str">
        <f t="shared" si="36"/>
        <v>OK</v>
      </c>
      <c r="W278" t="str">
        <f>IF(I278&gt;B278,"ERROR","OK")</f>
        <v>OK</v>
      </c>
      <c r="X278">
        <f>(B278-I278)/B278</f>
        <v>0.70343741425864814</v>
      </c>
      <c r="Y278" s="2">
        <f t="shared" si="37"/>
        <v>1.1102230246251565E-15</v>
      </c>
      <c r="Z278" s="2" t="str">
        <f t="shared" si="38"/>
        <v>OK</v>
      </c>
      <c r="AA278" t="str">
        <f t="shared" si="39"/>
        <v>Unique</v>
      </c>
    </row>
    <row r="279" spans="1:27" x14ac:dyDescent="0.3">
      <c r="A279">
        <v>278</v>
      </c>
      <c r="B279">
        <v>621647.31382299901</v>
      </c>
      <c r="C279">
        <v>0.35591271783763201</v>
      </c>
      <c r="D279">
        <v>6.4228751628124997E-2</v>
      </c>
      <c r="E279">
        <v>0.248864708594663</v>
      </c>
      <c r="F279">
        <v>1</v>
      </c>
      <c r="G279" t="s">
        <v>13</v>
      </c>
      <c r="H279">
        <v>0</v>
      </c>
      <c r="I279">
        <v>154706.07760321599</v>
      </c>
      <c r="J279">
        <v>0.75113529140533597</v>
      </c>
      <c r="K279" t="str">
        <f t="shared" si="32"/>
        <v>OK</v>
      </c>
      <c r="L279" t="str">
        <f t="shared" si="33"/>
        <v>OK</v>
      </c>
      <c r="M279" t="str">
        <f>IF(OR(B279&lt;$AE$20,B279&gt;$AF$20),"Outlier","OK")</f>
        <v>OK</v>
      </c>
      <c r="N279" t="str">
        <f>IF(OR(J279&lt;$AE$21,J279&gt;$AF$21),"Outlier","OK")</f>
        <v>OK</v>
      </c>
      <c r="O279" t="str">
        <f>IF(OR(C279&lt;0,C279&gt;1),"Outlier","OK")</f>
        <v>OK</v>
      </c>
      <c r="P279" t="str">
        <f>IF(OR(D279&lt;0,D279&gt;1),"Outlier","OK")</f>
        <v>OK</v>
      </c>
      <c r="Q279" t="str">
        <f t="shared" si="34"/>
        <v>60-80%</v>
      </c>
      <c r="R279" t="str">
        <f>IF(B279="","Missing","OK")</f>
        <v>OK</v>
      </c>
      <c r="S279" t="str">
        <f>IF(E279="","Missing","OK")</f>
        <v>OK</v>
      </c>
      <c r="T279" t="str">
        <f t="shared" si="35"/>
        <v>OK</v>
      </c>
      <c r="U279">
        <f>COUNTIF($A:$A,A279)</f>
        <v>1</v>
      </c>
      <c r="V279" t="str">
        <f t="shared" si="36"/>
        <v>OK</v>
      </c>
      <c r="W279" t="str">
        <f>IF(I279&gt;B279,"ERROR","OK")</f>
        <v>OK</v>
      </c>
      <c r="X279">
        <f>(B279-I279)/B279</f>
        <v>0.75113529140533652</v>
      </c>
      <c r="Y279" s="2">
        <f t="shared" si="37"/>
        <v>5.5511151231257827E-16</v>
      </c>
      <c r="Z279" s="2" t="str">
        <f t="shared" si="38"/>
        <v>OK</v>
      </c>
      <c r="AA279" t="str">
        <f t="shared" si="39"/>
        <v>Unique</v>
      </c>
    </row>
    <row r="280" spans="1:27" x14ac:dyDescent="0.3">
      <c r="A280">
        <v>279</v>
      </c>
      <c r="B280">
        <v>1282498.4648633599</v>
      </c>
      <c r="C280">
        <v>0.18449126960939399</v>
      </c>
      <c r="D280">
        <v>0.123488919270517</v>
      </c>
      <c r="E280">
        <v>0.53534660152871405</v>
      </c>
      <c r="F280">
        <v>1</v>
      </c>
      <c r="G280" t="s">
        <v>10</v>
      </c>
      <c r="H280">
        <v>0</v>
      </c>
      <c r="I280">
        <v>686581.19463039795</v>
      </c>
      <c r="J280">
        <v>0.46465339847128501</v>
      </c>
      <c r="K280" t="str">
        <f t="shared" si="32"/>
        <v>OK</v>
      </c>
      <c r="L280" t="str">
        <f t="shared" si="33"/>
        <v>OK</v>
      </c>
      <c r="M280" t="str">
        <f>IF(OR(B280&lt;$AE$20,B280&gt;$AF$20),"Outlier","OK")</f>
        <v>OK</v>
      </c>
      <c r="N280" t="str">
        <f>IF(OR(J280&lt;$AE$21,J280&gt;$AF$21),"Outlier","OK")</f>
        <v>OK</v>
      </c>
      <c r="O280" t="str">
        <f>IF(OR(C280&lt;0,C280&gt;1),"Outlier","OK")</f>
        <v>OK</v>
      </c>
      <c r="P280" t="str">
        <f>IF(OR(D280&lt;0,D280&gt;1),"Outlier","OK")</f>
        <v>OK</v>
      </c>
      <c r="Q280" t="str">
        <f t="shared" si="34"/>
        <v>40-60%</v>
      </c>
      <c r="R280" t="str">
        <f>IF(B280="","Missing","OK")</f>
        <v>OK</v>
      </c>
      <c r="S280" t="str">
        <f>IF(E280="","Missing","OK")</f>
        <v>OK</v>
      </c>
      <c r="T280" t="str">
        <f t="shared" si="35"/>
        <v>OK</v>
      </c>
      <c r="U280">
        <f>COUNTIF($A:$A,A280)</f>
        <v>1</v>
      </c>
      <c r="V280" t="str">
        <f t="shared" si="36"/>
        <v>OK</v>
      </c>
      <c r="W280" t="str">
        <f>IF(I280&gt;B280,"ERROR","OK")</f>
        <v>OK</v>
      </c>
      <c r="X280">
        <f>(B280-I280)/B280</f>
        <v>0.46465339847128179</v>
      </c>
      <c r="Y280" s="2">
        <f t="shared" si="37"/>
        <v>3.219646771412954E-15</v>
      </c>
      <c r="Z280" s="2" t="str">
        <f t="shared" si="38"/>
        <v>OK</v>
      </c>
      <c r="AA280" t="str">
        <f t="shared" si="39"/>
        <v>Unique</v>
      </c>
    </row>
    <row r="281" spans="1:27" x14ac:dyDescent="0.3">
      <c r="A281">
        <v>280</v>
      </c>
      <c r="B281">
        <v>101083.380239145</v>
      </c>
      <c r="C281">
        <v>0.64281502664683698</v>
      </c>
      <c r="D281">
        <v>3.8502641185228698E-2</v>
      </c>
      <c r="E281">
        <v>7.2757908906987204E-2</v>
      </c>
      <c r="F281">
        <v>1</v>
      </c>
      <c r="G281" t="s">
        <v>12</v>
      </c>
      <c r="H281">
        <v>1</v>
      </c>
      <c r="I281">
        <v>7354.6153714500897</v>
      </c>
      <c r="J281">
        <v>0.92724209109301203</v>
      </c>
      <c r="K281" t="str">
        <f t="shared" si="32"/>
        <v>OK</v>
      </c>
      <c r="L281" t="str">
        <f t="shared" si="33"/>
        <v>OK</v>
      </c>
      <c r="M281" t="str">
        <f>IF(OR(B281&lt;$AE$20,B281&gt;$AF$20),"Outlier","OK")</f>
        <v>OK</v>
      </c>
      <c r="N281" t="str">
        <f>IF(OR(J281&lt;$AE$21,J281&gt;$AF$21),"Outlier","OK")</f>
        <v>OK</v>
      </c>
      <c r="O281" t="str">
        <f>IF(OR(C281&lt;0,C281&gt;1),"Outlier","OK")</f>
        <v>OK</v>
      </c>
      <c r="P281" t="str">
        <f>IF(OR(D281&lt;0,D281&gt;1),"Outlier","OK")</f>
        <v>OK</v>
      </c>
      <c r="Q281" t="str">
        <f t="shared" si="34"/>
        <v>80-100%</v>
      </c>
      <c r="R281" t="str">
        <f>IF(B281="","Missing","OK")</f>
        <v>OK</v>
      </c>
      <c r="S281" t="str">
        <f>IF(E281="","Missing","OK")</f>
        <v>OK</v>
      </c>
      <c r="T281" t="str">
        <f t="shared" si="35"/>
        <v>OK</v>
      </c>
      <c r="U281">
        <f>COUNTIF($A:$A,A281)</f>
        <v>1</v>
      </c>
      <c r="V281" t="str">
        <f t="shared" si="36"/>
        <v>OK</v>
      </c>
      <c r="W281" t="str">
        <f>IF(I281&gt;B281,"ERROR","OK")</f>
        <v>OK</v>
      </c>
      <c r="X281">
        <f>(B281-I281)/B281</f>
        <v>0.92724209109301259</v>
      </c>
      <c r="Y281" s="2">
        <f t="shared" si="37"/>
        <v>5.5511151231257827E-16</v>
      </c>
      <c r="Z281" s="2" t="str">
        <f t="shared" si="38"/>
        <v>OK</v>
      </c>
      <c r="AA281" t="str">
        <f t="shared" si="39"/>
        <v>Unique</v>
      </c>
    </row>
    <row r="282" spans="1:27" x14ac:dyDescent="0.3">
      <c r="A282">
        <v>281</v>
      </c>
      <c r="B282">
        <v>1780807.2479121599</v>
      </c>
      <c r="C282">
        <v>0.80976029845512298</v>
      </c>
      <c r="D282">
        <v>-5.1056335924471598E-2</v>
      </c>
      <c r="E282">
        <v>0.44939146448626299</v>
      </c>
      <c r="F282">
        <v>1</v>
      </c>
      <c r="G282" t="s">
        <v>10</v>
      </c>
      <c r="H282">
        <v>0</v>
      </c>
      <c r="I282">
        <v>800279.57710699795</v>
      </c>
      <c r="J282">
        <v>0.55060853551373601</v>
      </c>
      <c r="K282" t="str">
        <f t="shared" si="32"/>
        <v>OK</v>
      </c>
      <c r="L282" t="str">
        <f t="shared" si="33"/>
        <v>OK</v>
      </c>
      <c r="M282" t="str">
        <f>IF(OR(B282&lt;$AE$20,B282&gt;$AF$20),"Outlier","OK")</f>
        <v>OK</v>
      </c>
      <c r="N282" t="str">
        <f>IF(OR(J282&lt;$AE$21,J282&gt;$AF$21),"Outlier","OK")</f>
        <v>OK</v>
      </c>
      <c r="O282" t="str">
        <f>IF(OR(C282&lt;0,C282&gt;1),"Outlier","OK")</f>
        <v>OK</v>
      </c>
      <c r="P282" t="str">
        <f>IF(OR(D282&lt;0,D282&gt;1),"Outlier","OK")</f>
        <v>Outlier</v>
      </c>
      <c r="Q282" t="str">
        <f t="shared" si="34"/>
        <v>40-60%</v>
      </c>
      <c r="R282" t="str">
        <f>IF(B282="","Missing","OK")</f>
        <v>OK</v>
      </c>
      <c r="S282" t="str">
        <f>IF(E282="","Missing","OK")</f>
        <v>OK</v>
      </c>
      <c r="T282" t="str">
        <f t="shared" si="35"/>
        <v>OK</v>
      </c>
      <c r="U282">
        <f>COUNTIF($A:$A,A282)</f>
        <v>1</v>
      </c>
      <c r="V282" t="str">
        <f t="shared" si="36"/>
        <v>OK</v>
      </c>
      <c r="W282" t="str">
        <f>IF(I282&gt;B282,"ERROR","OK")</f>
        <v>OK</v>
      </c>
      <c r="X282">
        <f>(B282-I282)/B282</f>
        <v>0.55060853551373656</v>
      </c>
      <c r="Y282" s="2">
        <f t="shared" si="37"/>
        <v>5.5511151231257827E-16</v>
      </c>
      <c r="Z282" s="2" t="str">
        <f t="shared" si="38"/>
        <v>OK</v>
      </c>
      <c r="AA282" t="str">
        <f t="shared" si="39"/>
        <v>Unique</v>
      </c>
    </row>
    <row r="283" spans="1:27" x14ac:dyDescent="0.3">
      <c r="A283">
        <v>282</v>
      </c>
      <c r="B283">
        <v>81431.329325579107</v>
      </c>
      <c r="C283">
        <v>0.48630090370421902</v>
      </c>
      <c r="D283">
        <v>1.9097113791553801E-2</v>
      </c>
      <c r="E283">
        <v>0.51250549209788498</v>
      </c>
      <c r="F283">
        <v>1</v>
      </c>
      <c r="G283" t="s">
        <v>13</v>
      </c>
      <c r="H283">
        <v>1</v>
      </c>
      <c r="I283">
        <v>41734.003508190901</v>
      </c>
      <c r="J283">
        <v>0.48749450790211402</v>
      </c>
      <c r="K283" t="str">
        <f t="shared" si="32"/>
        <v>OK</v>
      </c>
      <c r="L283" t="str">
        <f t="shared" si="33"/>
        <v>OK</v>
      </c>
      <c r="M283" t="str">
        <f>IF(OR(B283&lt;$AE$20,B283&gt;$AF$20),"Outlier","OK")</f>
        <v>OK</v>
      </c>
      <c r="N283" t="str">
        <f>IF(OR(J283&lt;$AE$21,J283&gt;$AF$21),"Outlier","OK")</f>
        <v>OK</v>
      </c>
      <c r="O283" t="str">
        <f>IF(OR(C283&lt;0,C283&gt;1),"Outlier","OK")</f>
        <v>OK</v>
      </c>
      <c r="P283" t="str">
        <f>IF(OR(D283&lt;0,D283&gt;1),"Outlier","OK")</f>
        <v>OK</v>
      </c>
      <c r="Q283" t="str">
        <f t="shared" si="34"/>
        <v>40-60%</v>
      </c>
      <c r="R283" t="str">
        <f>IF(B283="","Missing","OK")</f>
        <v>OK</v>
      </c>
      <c r="S283" t="str">
        <f>IF(E283="","Missing","OK")</f>
        <v>OK</v>
      </c>
      <c r="T283" t="str">
        <f t="shared" si="35"/>
        <v>OK</v>
      </c>
      <c r="U283">
        <f>COUNTIF($A:$A,A283)</f>
        <v>1</v>
      </c>
      <c r="V283" t="str">
        <f t="shared" si="36"/>
        <v>OK</v>
      </c>
      <c r="W283" t="str">
        <f>IF(I283&gt;B283,"ERROR","OK")</f>
        <v>OK</v>
      </c>
      <c r="X283">
        <f>(B283-I283)/B283</f>
        <v>0.4874945079021144</v>
      </c>
      <c r="Y283" s="2">
        <f t="shared" si="37"/>
        <v>3.8857805861880479E-16</v>
      </c>
      <c r="Z283" s="2" t="str">
        <f t="shared" si="38"/>
        <v>OK</v>
      </c>
      <c r="AA283" t="str">
        <f t="shared" si="39"/>
        <v>Unique</v>
      </c>
    </row>
    <row r="284" spans="1:27" x14ac:dyDescent="0.3">
      <c r="A284">
        <v>283</v>
      </c>
      <c r="B284">
        <v>297568.16052012402</v>
      </c>
      <c r="C284">
        <v>0.49618468402035398</v>
      </c>
      <c r="D284">
        <v>9.1936105003441501E-2</v>
      </c>
      <c r="E284">
        <v>0.29427240447039499</v>
      </c>
      <c r="F284">
        <v>1</v>
      </c>
      <c r="G284" t="s">
        <v>10</v>
      </c>
      <c r="H284">
        <v>1</v>
      </c>
      <c r="I284">
        <v>87566.098090089596</v>
      </c>
      <c r="J284">
        <v>0.70572759552960496</v>
      </c>
      <c r="K284" t="str">
        <f t="shared" si="32"/>
        <v>OK</v>
      </c>
      <c r="L284" t="str">
        <f t="shared" si="33"/>
        <v>OK</v>
      </c>
      <c r="M284" t="str">
        <f>IF(OR(B284&lt;$AE$20,B284&gt;$AF$20),"Outlier","OK")</f>
        <v>OK</v>
      </c>
      <c r="N284" t="str">
        <f>IF(OR(J284&lt;$AE$21,J284&gt;$AF$21),"Outlier","OK")</f>
        <v>OK</v>
      </c>
      <c r="O284" t="str">
        <f>IF(OR(C284&lt;0,C284&gt;1),"Outlier","OK")</f>
        <v>OK</v>
      </c>
      <c r="P284" t="str">
        <f>IF(OR(D284&lt;0,D284&gt;1),"Outlier","OK")</f>
        <v>OK</v>
      </c>
      <c r="Q284" t="str">
        <f t="shared" si="34"/>
        <v>60-80%</v>
      </c>
      <c r="R284" t="str">
        <f>IF(B284="","Missing","OK")</f>
        <v>OK</v>
      </c>
      <c r="S284" t="str">
        <f>IF(E284="","Missing","OK")</f>
        <v>OK</v>
      </c>
      <c r="T284" t="str">
        <f t="shared" si="35"/>
        <v>OK</v>
      </c>
      <c r="U284">
        <f>COUNTIF($A:$A,A284)</f>
        <v>1</v>
      </c>
      <c r="V284" t="str">
        <f t="shared" si="36"/>
        <v>OK</v>
      </c>
      <c r="W284" t="str">
        <f>IF(I284&gt;B284,"ERROR","OK")</f>
        <v>OK</v>
      </c>
      <c r="X284">
        <f>(B284-I284)/B284</f>
        <v>0.70572759552960418</v>
      </c>
      <c r="Y284" s="2">
        <f t="shared" si="37"/>
        <v>7.7715611723760958E-16</v>
      </c>
      <c r="Z284" s="2" t="str">
        <f t="shared" si="38"/>
        <v>OK</v>
      </c>
      <c r="AA284" t="str">
        <f t="shared" si="39"/>
        <v>Unique</v>
      </c>
    </row>
    <row r="285" spans="1:27" x14ac:dyDescent="0.3">
      <c r="A285">
        <v>284</v>
      </c>
      <c r="B285">
        <v>1565466.8000626699</v>
      </c>
      <c r="C285">
        <v>0.60644620672198801</v>
      </c>
      <c r="D285">
        <v>0.19760852924275901</v>
      </c>
      <c r="E285">
        <v>0.49214349613879599</v>
      </c>
      <c r="F285">
        <v>1</v>
      </c>
      <c r="G285" t="s">
        <v>10</v>
      </c>
      <c r="H285">
        <v>0</v>
      </c>
      <c r="I285">
        <v>770434.30407205899</v>
      </c>
      <c r="J285">
        <v>0.50785650386120296</v>
      </c>
      <c r="K285" t="str">
        <f t="shared" si="32"/>
        <v>OK</v>
      </c>
      <c r="L285" t="str">
        <f t="shared" si="33"/>
        <v>OK</v>
      </c>
      <c r="M285" t="str">
        <f>IF(OR(B285&lt;$AE$20,B285&gt;$AF$20),"Outlier","OK")</f>
        <v>OK</v>
      </c>
      <c r="N285" t="str">
        <f>IF(OR(J285&lt;$AE$21,J285&gt;$AF$21),"Outlier","OK")</f>
        <v>OK</v>
      </c>
      <c r="O285" t="str">
        <f>IF(OR(C285&lt;0,C285&gt;1),"Outlier","OK")</f>
        <v>OK</v>
      </c>
      <c r="P285" t="str">
        <f>IF(OR(D285&lt;0,D285&gt;1),"Outlier","OK")</f>
        <v>OK</v>
      </c>
      <c r="Q285" t="str">
        <f t="shared" si="34"/>
        <v>40-60%</v>
      </c>
      <c r="R285" t="str">
        <f>IF(B285="","Missing","OK")</f>
        <v>OK</v>
      </c>
      <c r="S285" t="str">
        <f>IF(E285="","Missing","OK")</f>
        <v>OK</v>
      </c>
      <c r="T285" t="str">
        <f t="shared" si="35"/>
        <v>OK</v>
      </c>
      <c r="U285">
        <f>COUNTIF($A:$A,A285)</f>
        <v>1</v>
      </c>
      <c r="V285" t="str">
        <f t="shared" si="36"/>
        <v>OK</v>
      </c>
      <c r="W285" t="str">
        <f>IF(I285&gt;B285,"ERROR","OK")</f>
        <v>OK</v>
      </c>
      <c r="X285">
        <f>(B285-I285)/B285</f>
        <v>0.50785650386120207</v>
      </c>
      <c r="Y285" s="2">
        <f t="shared" si="37"/>
        <v>8.8817841970012523E-16</v>
      </c>
      <c r="Z285" s="2" t="str">
        <f t="shared" si="38"/>
        <v>OK</v>
      </c>
      <c r="AA285" t="str">
        <f t="shared" si="39"/>
        <v>Unique</v>
      </c>
    </row>
    <row r="286" spans="1:27" x14ac:dyDescent="0.3">
      <c r="A286">
        <v>285</v>
      </c>
      <c r="B286">
        <v>139495.702794232</v>
      </c>
      <c r="C286">
        <v>0.66359714019551996</v>
      </c>
      <c r="D286">
        <v>-7.0769319083381105E-2</v>
      </c>
      <c r="E286">
        <v>0.100114529480112</v>
      </c>
      <c r="F286">
        <v>1</v>
      </c>
      <c r="G286" t="s">
        <v>11</v>
      </c>
      <c r="H286">
        <v>0</v>
      </c>
      <c r="I286">
        <v>13965.5466497422</v>
      </c>
      <c r="J286">
        <v>0.89988547051988699</v>
      </c>
      <c r="K286" t="str">
        <f t="shared" si="32"/>
        <v>OK</v>
      </c>
      <c r="L286" t="str">
        <f t="shared" si="33"/>
        <v>OK</v>
      </c>
      <c r="M286" t="str">
        <f>IF(OR(B286&lt;$AE$20,B286&gt;$AF$20),"Outlier","OK")</f>
        <v>OK</v>
      </c>
      <c r="N286" t="str">
        <f>IF(OR(J286&lt;$AE$21,J286&gt;$AF$21),"Outlier","OK")</f>
        <v>OK</v>
      </c>
      <c r="O286" t="str">
        <f>IF(OR(C286&lt;0,C286&gt;1),"Outlier","OK")</f>
        <v>OK</v>
      </c>
      <c r="P286" t="str">
        <f>IF(OR(D286&lt;0,D286&gt;1),"Outlier","OK")</f>
        <v>Outlier</v>
      </c>
      <c r="Q286" t="str">
        <f t="shared" si="34"/>
        <v>80-100%</v>
      </c>
      <c r="R286" t="str">
        <f>IF(B286="","Missing","OK")</f>
        <v>OK</v>
      </c>
      <c r="S286" t="str">
        <f>IF(E286="","Missing","OK")</f>
        <v>OK</v>
      </c>
      <c r="T286" t="str">
        <f t="shared" si="35"/>
        <v>OK</v>
      </c>
      <c r="U286">
        <f>COUNTIF($A:$A,A286)</f>
        <v>1</v>
      </c>
      <c r="V286" t="str">
        <f t="shared" si="36"/>
        <v>OK</v>
      </c>
      <c r="W286" t="str">
        <f>IF(I286&gt;B286,"ERROR","OK")</f>
        <v>OK</v>
      </c>
      <c r="X286">
        <f>(B286-I286)/B286</f>
        <v>0.8998854705198871</v>
      </c>
      <c r="Y286" s="2">
        <f t="shared" si="37"/>
        <v>1.1102230246251565E-16</v>
      </c>
      <c r="Z286" s="2" t="str">
        <f t="shared" si="38"/>
        <v>OK</v>
      </c>
      <c r="AA286" t="str">
        <f t="shared" si="39"/>
        <v>Unique</v>
      </c>
    </row>
    <row r="287" spans="1:27" x14ac:dyDescent="0.3">
      <c r="A287">
        <v>286</v>
      </c>
      <c r="B287">
        <v>1436447.45251124</v>
      </c>
      <c r="C287">
        <v>0.71869117655541903</v>
      </c>
      <c r="D287">
        <v>9.1511163321367606E-2</v>
      </c>
      <c r="E287">
        <v>0.42650101176224597</v>
      </c>
      <c r="F287">
        <v>1</v>
      </c>
      <c r="G287" t="s">
        <v>13</v>
      </c>
      <c r="H287">
        <v>1</v>
      </c>
      <c r="I287">
        <v>612646.29183934699</v>
      </c>
      <c r="J287">
        <v>0.57349898823775303</v>
      </c>
      <c r="K287" t="str">
        <f t="shared" si="32"/>
        <v>OK</v>
      </c>
      <c r="L287" t="str">
        <f t="shared" si="33"/>
        <v>OK</v>
      </c>
      <c r="M287" t="str">
        <f>IF(OR(B287&lt;$AE$20,B287&gt;$AF$20),"Outlier","OK")</f>
        <v>OK</v>
      </c>
      <c r="N287" t="str">
        <f>IF(OR(J287&lt;$AE$21,J287&gt;$AF$21),"Outlier","OK")</f>
        <v>OK</v>
      </c>
      <c r="O287" t="str">
        <f>IF(OR(C287&lt;0,C287&gt;1),"Outlier","OK")</f>
        <v>OK</v>
      </c>
      <c r="P287" t="str">
        <f>IF(OR(D287&lt;0,D287&gt;1),"Outlier","OK")</f>
        <v>OK</v>
      </c>
      <c r="Q287" t="str">
        <f t="shared" si="34"/>
        <v>40-60%</v>
      </c>
      <c r="R287" t="str">
        <f>IF(B287="","Missing","OK")</f>
        <v>OK</v>
      </c>
      <c r="S287" t="str">
        <f>IF(E287="","Missing","OK")</f>
        <v>OK</v>
      </c>
      <c r="T287" t="str">
        <f t="shared" si="35"/>
        <v>OK</v>
      </c>
      <c r="U287">
        <f>COUNTIF($A:$A,A287)</f>
        <v>1</v>
      </c>
      <c r="V287" t="str">
        <f t="shared" si="36"/>
        <v>OK</v>
      </c>
      <c r="W287" t="str">
        <f>IF(I287&gt;B287,"ERROR","OK")</f>
        <v>OK</v>
      </c>
      <c r="X287">
        <f>(B287-I287)/B287</f>
        <v>0.57349898823775236</v>
      </c>
      <c r="Y287" s="2">
        <f t="shared" si="37"/>
        <v>6.6613381477509392E-16</v>
      </c>
      <c r="Z287" s="2" t="str">
        <f t="shared" si="38"/>
        <v>OK</v>
      </c>
      <c r="AA287" t="str">
        <f t="shared" si="39"/>
        <v>Unique</v>
      </c>
    </row>
    <row r="288" spans="1:27" x14ac:dyDescent="0.3">
      <c r="A288">
        <v>287</v>
      </c>
      <c r="B288">
        <v>1943539.9739947501</v>
      </c>
      <c r="C288">
        <v>0.57737888037740803</v>
      </c>
      <c r="D288">
        <v>-8.9576897699673294E-2</v>
      </c>
      <c r="E288">
        <v>0.18838994557437</v>
      </c>
      <c r="F288">
        <v>1</v>
      </c>
      <c r="G288" t="s">
        <v>13</v>
      </c>
      <c r="H288">
        <v>1</v>
      </c>
      <c r="I288">
        <v>366143.389922484</v>
      </c>
      <c r="J288">
        <v>0.81161005442562895</v>
      </c>
      <c r="K288" t="str">
        <f t="shared" si="32"/>
        <v>OK</v>
      </c>
      <c r="L288" t="str">
        <f t="shared" si="33"/>
        <v>OK</v>
      </c>
      <c r="M288" t="str">
        <f>IF(OR(B288&lt;$AE$20,B288&gt;$AF$20),"Outlier","OK")</f>
        <v>OK</v>
      </c>
      <c r="N288" t="str">
        <f>IF(OR(J288&lt;$AE$21,J288&gt;$AF$21),"Outlier","OK")</f>
        <v>OK</v>
      </c>
      <c r="O288" t="str">
        <f>IF(OR(C288&lt;0,C288&gt;1),"Outlier","OK")</f>
        <v>OK</v>
      </c>
      <c r="P288" t="str">
        <f>IF(OR(D288&lt;0,D288&gt;1),"Outlier","OK")</f>
        <v>Outlier</v>
      </c>
      <c r="Q288" t="str">
        <f t="shared" si="34"/>
        <v>80-100%</v>
      </c>
      <c r="R288" t="str">
        <f>IF(B288="","Missing","OK")</f>
        <v>OK</v>
      </c>
      <c r="S288" t="str">
        <f>IF(E288="","Missing","OK")</f>
        <v>OK</v>
      </c>
      <c r="T288" t="str">
        <f t="shared" si="35"/>
        <v>OK</v>
      </c>
      <c r="U288">
        <f>COUNTIF($A:$A,A288)</f>
        <v>1</v>
      </c>
      <c r="V288" t="str">
        <f t="shared" si="36"/>
        <v>OK</v>
      </c>
      <c r="W288" t="str">
        <f>IF(I288&gt;B288,"ERROR","OK")</f>
        <v>OK</v>
      </c>
      <c r="X288">
        <f>(B288-I288)/B288</f>
        <v>0.81161005442562972</v>
      </c>
      <c r="Y288" s="2">
        <f t="shared" si="37"/>
        <v>7.7715611723760958E-16</v>
      </c>
      <c r="Z288" s="2" t="str">
        <f t="shared" si="38"/>
        <v>OK</v>
      </c>
      <c r="AA288" t="str">
        <f t="shared" si="39"/>
        <v>Unique</v>
      </c>
    </row>
    <row r="289" spans="1:27" x14ac:dyDescent="0.3">
      <c r="A289">
        <v>288</v>
      </c>
      <c r="B289">
        <v>1749781.71962749</v>
      </c>
      <c r="C289">
        <v>0.74603042841822997</v>
      </c>
      <c r="D289">
        <v>-0.13043242298326299</v>
      </c>
      <c r="E289">
        <v>0.42541707466972101</v>
      </c>
      <c r="F289">
        <v>1</v>
      </c>
      <c r="G289" t="s">
        <v>12</v>
      </c>
      <c r="H289">
        <v>0</v>
      </c>
      <c r="I289">
        <v>744387.02047448501</v>
      </c>
      <c r="J289">
        <v>0.57458292533027799</v>
      </c>
      <c r="K289" t="str">
        <f t="shared" si="32"/>
        <v>OK</v>
      </c>
      <c r="L289" t="str">
        <f t="shared" si="33"/>
        <v>OK</v>
      </c>
      <c r="M289" t="str">
        <f>IF(OR(B289&lt;$AE$20,B289&gt;$AF$20),"Outlier","OK")</f>
        <v>OK</v>
      </c>
      <c r="N289" t="str">
        <f>IF(OR(J289&lt;$AE$21,J289&gt;$AF$21),"Outlier","OK")</f>
        <v>OK</v>
      </c>
      <c r="O289" t="str">
        <f>IF(OR(C289&lt;0,C289&gt;1),"Outlier","OK")</f>
        <v>OK</v>
      </c>
      <c r="P289" t="str">
        <f>IF(OR(D289&lt;0,D289&gt;1),"Outlier","OK")</f>
        <v>Outlier</v>
      </c>
      <c r="Q289" t="str">
        <f t="shared" si="34"/>
        <v>40-60%</v>
      </c>
      <c r="R289" t="str">
        <f>IF(B289="","Missing","OK")</f>
        <v>OK</v>
      </c>
      <c r="S289" t="str">
        <f>IF(E289="","Missing","OK")</f>
        <v>OK</v>
      </c>
      <c r="T289" t="str">
        <f t="shared" si="35"/>
        <v>OK</v>
      </c>
      <c r="U289">
        <f>COUNTIF($A:$A,A289)</f>
        <v>1</v>
      </c>
      <c r="V289" t="str">
        <f t="shared" si="36"/>
        <v>OK</v>
      </c>
      <c r="W289" t="str">
        <f>IF(I289&gt;B289,"ERROR","OK")</f>
        <v>OK</v>
      </c>
      <c r="X289">
        <f>(B289-I289)/B289</f>
        <v>0.57458292533027655</v>
      </c>
      <c r="Y289" s="2">
        <f t="shared" si="37"/>
        <v>1.4432899320127035E-15</v>
      </c>
      <c r="Z289" s="2" t="str">
        <f t="shared" si="38"/>
        <v>OK</v>
      </c>
      <c r="AA289" t="str">
        <f t="shared" si="39"/>
        <v>Unique</v>
      </c>
    </row>
    <row r="290" spans="1:27" x14ac:dyDescent="0.3">
      <c r="A290">
        <v>289</v>
      </c>
      <c r="B290">
        <v>1434815.22007536</v>
      </c>
      <c r="C290">
        <v>0.213168819482805</v>
      </c>
      <c r="D290">
        <v>4.3139641324543399E-2</v>
      </c>
      <c r="E290">
        <v>0.242961674305331</v>
      </c>
      <c r="F290">
        <v>1</v>
      </c>
      <c r="G290" t="s">
        <v>11</v>
      </c>
      <c r="H290">
        <v>0</v>
      </c>
      <c r="I290">
        <v>348605.108188282</v>
      </c>
      <c r="J290">
        <v>0.757038325694668</v>
      </c>
      <c r="K290" t="str">
        <f t="shared" si="32"/>
        <v>OK</v>
      </c>
      <c r="L290" t="str">
        <f t="shared" si="33"/>
        <v>OK</v>
      </c>
      <c r="M290" t="str">
        <f>IF(OR(B290&lt;$AE$20,B290&gt;$AF$20),"Outlier","OK")</f>
        <v>OK</v>
      </c>
      <c r="N290" t="str">
        <f>IF(OR(J290&lt;$AE$21,J290&gt;$AF$21),"Outlier","OK")</f>
        <v>OK</v>
      </c>
      <c r="O290" t="str">
        <f>IF(OR(C290&lt;0,C290&gt;1),"Outlier","OK")</f>
        <v>OK</v>
      </c>
      <c r="P290" t="str">
        <f>IF(OR(D290&lt;0,D290&gt;1),"Outlier","OK")</f>
        <v>OK</v>
      </c>
      <c r="Q290" t="str">
        <f t="shared" si="34"/>
        <v>60-80%</v>
      </c>
      <c r="R290" t="str">
        <f>IF(B290="","Missing","OK")</f>
        <v>OK</v>
      </c>
      <c r="S290" t="str">
        <f>IF(E290="","Missing","OK")</f>
        <v>OK</v>
      </c>
      <c r="T290" t="str">
        <f t="shared" si="35"/>
        <v>OK</v>
      </c>
      <c r="U290">
        <f>COUNTIF($A:$A,A290)</f>
        <v>1</v>
      </c>
      <c r="V290" t="str">
        <f t="shared" si="36"/>
        <v>OK</v>
      </c>
      <c r="W290" t="str">
        <f>IF(I290&gt;B290,"ERROR","OK")</f>
        <v>OK</v>
      </c>
      <c r="X290">
        <f>(B290-I290)/B290</f>
        <v>0.75703832569466867</v>
      </c>
      <c r="Y290" s="2">
        <f t="shared" si="37"/>
        <v>6.6613381477509392E-16</v>
      </c>
      <c r="Z290" s="2" t="str">
        <f t="shared" si="38"/>
        <v>OK</v>
      </c>
      <c r="AA290" t="str">
        <f t="shared" si="39"/>
        <v>Unique</v>
      </c>
    </row>
    <row r="291" spans="1:27" x14ac:dyDescent="0.3">
      <c r="A291">
        <v>290</v>
      </c>
      <c r="B291">
        <v>1919093.99889225</v>
      </c>
      <c r="C291">
        <v>0.71502070949500596</v>
      </c>
      <c r="D291">
        <v>-8.4999445943669705E-2</v>
      </c>
      <c r="E291">
        <v>0.10219277781229801</v>
      </c>
      <c r="F291">
        <v>1</v>
      </c>
      <c r="G291" t="s">
        <v>11</v>
      </c>
      <c r="H291">
        <v>0</v>
      </c>
      <c r="I291">
        <v>196117.546629711</v>
      </c>
      <c r="J291">
        <v>0.89780722218770104</v>
      </c>
      <c r="K291" t="str">
        <f t="shared" si="32"/>
        <v>OK</v>
      </c>
      <c r="L291" t="str">
        <f t="shared" si="33"/>
        <v>OK</v>
      </c>
      <c r="M291" t="str">
        <f>IF(OR(B291&lt;$AE$20,B291&gt;$AF$20),"Outlier","OK")</f>
        <v>OK</v>
      </c>
      <c r="N291" t="str">
        <f>IF(OR(J291&lt;$AE$21,J291&gt;$AF$21),"Outlier","OK")</f>
        <v>OK</v>
      </c>
      <c r="O291" t="str">
        <f>IF(OR(C291&lt;0,C291&gt;1),"Outlier","OK")</f>
        <v>OK</v>
      </c>
      <c r="P291" t="str">
        <f>IF(OR(D291&lt;0,D291&gt;1),"Outlier","OK")</f>
        <v>Outlier</v>
      </c>
      <c r="Q291" t="str">
        <f t="shared" si="34"/>
        <v>80-100%</v>
      </c>
      <c r="R291" t="str">
        <f>IF(B291="","Missing","OK")</f>
        <v>OK</v>
      </c>
      <c r="S291" t="str">
        <f>IF(E291="","Missing","OK")</f>
        <v>OK</v>
      </c>
      <c r="T291" t="str">
        <f t="shared" si="35"/>
        <v>OK</v>
      </c>
      <c r="U291">
        <f>COUNTIF($A:$A,A291)</f>
        <v>1</v>
      </c>
      <c r="V291" t="str">
        <f t="shared" si="36"/>
        <v>OK</v>
      </c>
      <c r="W291" t="str">
        <f>IF(I291&gt;B291,"ERROR","OK")</f>
        <v>OK</v>
      </c>
      <c r="X291">
        <f>(B291-I291)/B291</f>
        <v>0.89780722218770159</v>
      </c>
      <c r="Y291" s="2">
        <f t="shared" si="37"/>
        <v>5.5511151231257827E-16</v>
      </c>
      <c r="Z291" s="2" t="str">
        <f t="shared" si="38"/>
        <v>OK</v>
      </c>
      <c r="AA291" t="str">
        <f t="shared" si="39"/>
        <v>Unique</v>
      </c>
    </row>
    <row r="292" spans="1:27" x14ac:dyDescent="0.3">
      <c r="A292">
        <v>291</v>
      </c>
      <c r="B292">
        <v>888136.00887883396</v>
      </c>
      <c r="C292">
        <v>0.26298065242719898</v>
      </c>
      <c r="D292">
        <v>7.7538722153103701E-2</v>
      </c>
      <c r="E292">
        <v>0.18749009061618499</v>
      </c>
      <c r="F292">
        <v>1</v>
      </c>
      <c r="G292" t="s">
        <v>11</v>
      </c>
      <c r="H292">
        <v>1</v>
      </c>
      <c r="I292">
        <v>166516.70078418899</v>
      </c>
      <c r="J292">
        <v>0.81250990938381495</v>
      </c>
      <c r="K292" t="str">
        <f t="shared" si="32"/>
        <v>OK</v>
      </c>
      <c r="L292" t="str">
        <f t="shared" si="33"/>
        <v>OK</v>
      </c>
      <c r="M292" t="str">
        <f>IF(OR(B292&lt;$AE$20,B292&gt;$AF$20),"Outlier","OK")</f>
        <v>OK</v>
      </c>
      <c r="N292" t="str">
        <f>IF(OR(J292&lt;$AE$21,J292&gt;$AF$21),"Outlier","OK")</f>
        <v>OK</v>
      </c>
      <c r="O292" t="str">
        <f>IF(OR(C292&lt;0,C292&gt;1),"Outlier","OK")</f>
        <v>OK</v>
      </c>
      <c r="P292" t="str">
        <f>IF(OR(D292&lt;0,D292&gt;1),"Outlier","OK")</f>
        <v>OK</v>
      </c>
      <c r="Q292" t="str">
        <f t="shared" si="34"/>
        <v>80-100%</v>
      </c>
      <c r="R292" t="str">
        <f>IF(B292="","Missing","OK")</f>
        <v>OK</v>
      </c>
      <c r="S292" t="str">
        <f>IF(E292="","Missing","OK")</f>
        <v>OK</v>
      </c>
      <c r="T292" t="str">
        <f t="shared" si="35"/>
        <v>OK</v>
      </c>
      <c r="U292">
        <f>COUNTIF($A:$A,A292)</f>
        <v>1</v>
      </c>
      <c r="V292" t="str">
        <f t="shared" si="36"/>
        <v>OK</v>
      </c>
      <c r="W292" t="str">
        <f>IF(I292&gt;B292,"ERROR","OK")</f>
        <v>OK</v>
      </c>
      <c r="X292">
        <f>(B292-I292)/B292</f>
        <v>0.81250990938381551</v>
      </c>
      <c r="Y292" s="2">
        <f t="shared" si="37"/>
        <v>5.5511151231257827E-16</v>
      </c>
      <c r="Z292" s="2" t="str">
        <f t="shared" si="38"/>
        <v>OK</v>
      </c>
      <c r="AA292" t="str">
        <f t="shared" si="39"/>
        <v>Unique</v>
      </c>
    </row>
    <row r="293" spans="1:27" x14ac:dyDescent="0.3">
      <c r="A293">
        <v>292</v>
      </c>
      <c r="B293">
        <v>1752113.88292752</v>
      </c>
      <c r="C293">
        <v>0.57738087284477602</v>
      </c>
      <c r="D293">
        <v>-1.42370219663197E-2</v>
      </c>
      <c r="E293">
        <v>0.27850448088990698</v>
      </c>
      <c r="F293">
        <v>1</v>
      </c>
      <c r="G293" t="s">
        <v>10</v>
      </c>
      <c r="H293">
        <v>0</v>
      </c>
      <c r="I293">
        <v>487971.56742472999</v>
      </c>
      <c r="J293">
        <v>0.72149551911009202</v>
      </c>
      <c r="K293" t="str">
        <f t="shared" si="32"/>
        <v>OK</v>
      </c>
      <c r="L293" t="str">
        <f t="shared" si="33"/>
        <v>OK</v>
      </c>
      <c r="M293" t="str">
        <f>IF(OR(B293&lt;$AE$20,B293&gt;$AF$20),"Outlier","OK")</f>
        <v>OK</v>
      </c>
      <c r="N293" t="str">
        <f>IF(OR(J293&lt;$AE$21,J293&gt;$AF$21),"Outlier","OK")</f>
        <v>OK</v>
      </c>
      <c r="O293" t="str">
        <f>IF(OR(C293&lt;0,C293&gt;1),"Outlier","OK")</f>
        <v>OK</v>
      </c>
      <c r="P293" t="str">
        <f>IF(OR(D293&lt;0,D293&gt;1),"Outlier","OK")</f>
        <v>Outlier</v>
      </c>
      <c r="Q293" t="str">
        <f t="shared" si="34"/>
        <v>60-80%</v>
      </c>
      <c r="R293" t="str">
        <f>IF(B293="","Missing","OK")</f>
        <v>OK</v>
      </c>
      <c r="S293" t="str">
        <f>IF(E293="","Missing","OK")</f>
        <v>OK</v>
      </c>
      <c r="T293" t="str">
        <f t="shared" si="35"/>
        <v>OK</v>
      </c>
      <c r="U293">
        <f>COUNTIF($A:$A,A293)</f>
        <v>1</v>
      </c>
      <c r="V293" t="str">
        <f t="shared" si="36"/>
        <v>OK</v>
      </c>
      <c r="W293" t="str">
        <f>IF(I293&gt;B293,"ERROR","OK")</f>
        <v>OK</v>
      </c>
      <c r="X293">
        <f>(B293-I293)/B293</f>
        <v>0.72149551911009202</v>
      </c>
      <c r="Y293" s="2">
        <f t="shared" si="37"/>
        <v>0</v>
      </c>
      <c r="Z293" s="2" t="str">
        <f t="shared" si="38"/>
        <v>OK</v>
      </c>
      <c r="AA293" t="str">
        <f t="shared" si="39"/>
        <v>Unique</v>
      </c>
    </row>
    <row r="294" spans="1:27" x14ac:dyDescent="0.3">
      <c r="A294">
        <v>293</v>
      </c>
      <c r="B294">
        <v>744117.452548548</v>
      </c>
      <c r="C294">
        <v>0.13934407340522301</v>
      </c>
      <c r="D294">
        <v>-0.125141702848688</v>
      </c>
      <c r="E294">
        <v>0.27125915306468901</v>
      </c>
      <c r="F294">
        <v>1</v>
      </c>
      <c r="G294" t="s">
        <v>10</v>
      </c>
      <c r="H294">
        <v>0</v>
      </c>
      <c r="I294">
        <v>201848.66995897301</v>
      </c>
      <c r="J294">
        <v>0.72874084693531005</v>
      </c>
      <c r="K294" t="str">
        <f t="shared" si="32"/>
        <v>OK</v>
      </c>
      <c r="L294" t="str">
        <f t="shared" si="33"/>
        <v>OK</v>
      </c>
      <c r="M294" t="str">
        <f>IF(OR(B294&lt;$AE$20,B294&gt;$AF$20),"Outlier","OK")</f>
        <v>OK</v>
      </c>
      <c r="N294" t="str">
        <f>IF(OR(J294&lt;$AE$21,J294&gt;$AF$21),"Outlier","OK")</f>
        <v>OK</v>
      </c>
      <c r="O294" t="str">
        <f>IF(OR(C294&lt;0,C294&gt;1),"Outlier","OK")</f>
        <v>OK</v>
      </c>
      <c r="P294" t="str">
        <f>IF(OR(D294&lt;0,D294&gt;1),"Outlier","OK")</f>
        <v>Outlier</v>
      </c>
      <c r="Q294" t="str">
        <f t="shared" si="34"/>
        <v>60-80%</v>
      </c>
      <c r="R294" t="str">
        <f>IF(B294="","Missing","OK")</f>
        <v>OK</v>
      </c>
      <c r="S294" t="str">
        <f>IF(E294="","Missing","OK")</f>
        <v>OK</v>
      </c>
      <c r="T294" t="str">
        <f t="shared" si="35"/>
        <v>OK</v>
      </c>
      <c r="U294">
        <f>COUNTIF($A:$A,A294)</f>
        <v>1</v>
      </c>
      <c r="V294" t="str">
        <f t="shared" si="36"/>
        <v>OK</v>
      </c>
      <c r="W294" t="str">
        <f>IF(I294&gt;B294,"ERROR","OK")</f>
        <v>OK</v>
      </c>
      <c r="X294">
        <f>(B294-I294)/B294</f>
        <v>0.72874084693531116</v>
      </c>
      <c r="Y294" s="2">
        <f t="shared" si="37"/>
        <v>1.1102230246251565E-15</v>
      </c>
      <c r="Z294" s="2" t="str">
        <f t="shared" si="38"/>
        <v>OK</v>
      </c>
      <c r="AA294" t="str">
        <f t="shared" si="39"/>
        <v>Unique</v>
      </c>
    </row>
    <row r="295" spans="1:27" x14ac:dyDescent="0.3">
      <c r="A295">
        <v>294</v>
      </c>
      <c r="B295">
        <v>1863039.1231625001</v>
      </c>
      <c r="C295">
        <v>0.33888355550738097</v>
      </c>
      <c r="D295">
        <v>7.0604207351810597E-2</v>
      </c>
      <c r="E295">
        <v>0.184356385752872</v>
      </c>
      <c r="F295">
        <v>1</v>
      </c>
      <c r="G295" t="s">
        <v>10</v>
      </c>
      <c r="H295">
        <v>1</v>
      </c>
      <c r="I295">
        <v>343463.159262439</v>
      </c>
      <c r="J295">
        <v>0.81564361424712695</v>
      </c>
      <c r="K295" t="str">
        <f t="shared" si="32"/>
        <v>OK</v>
      </c>
      <c r="L295" t="str">
        <f t="shared" si="33"/>
        <v>OK</v>
      </c>
      <c r="M295" t="str">
        <f>IF(OR(B295&lt;$AE$20,B295&gt;$AF$20),"Outlier","OK")</f>
        <v>OK</v>
      </c>
      <c r="N295" t="str">
        <f>IF(OR(J295&lt;$AE$21,J295&gt;$AF$21),"Outlier","OK")</f>
        <v>OK</v>
      </c>
      <c r="O295" t="str">
        <f>IF(OR(C295&lt;0,C295&gt;1),"Outlier","OK")</f>
        <v>OK</v>
      </c>
      <c r="P295" t="str">
        <f>IF(OR(D295&lt;0,D295&gt;1),"Outlier","OK")</f>
        <v>OK</v>
      </c>
      <c r="Q295" t="str">
        <f t="shared" si="34"/>
        <v>80-100%</v>
      </c>
      <c r="R295" t="str">
        <f>IF(B295="","Missing","OK")</f>
        <v>OK</v>
      </c>
      <c r="S295" t="str">
        <f>IF(E295="","Missing","OK")</f>
        <v>OK</v>
      </c>
      <c r="T295" t="str">
        <f t="shared" si="35"/>
        <v>OK</v>
      </c>
      <c r="U295">
        <f>COUNTIF($A:$A,A295)</f>
        <v>1</v>
      </c>
      <c r="V295" t="str">
        <f t="shared" si="36"/>
        <v>OK</v>
      </c>
      <c r="W295" t="str">
        <f>IF(I295&gt;B295,"ERROR","OK")</f>
        <v>OK</v>
      </c>
      <c r="X295">
        <f>(B295-I295)/B295</f>
        <v>0.81564361424712761</v>
      </c>
      <c r="Y295" s="2">
        <f t="shared" si="37"/>
        <v>6.6613381477509392E-16</v>
      </c>
      <c r="Z295" s="2" t="str">
        <f t="shared" si="38"/>
        <v>OK</v>
      </c>
      <c r="AA295" t="str">
        <f t="shared" si="39"/>
        <v>Unique</v>
      </c>
    </row>
    <row r="296" spans="1:27" x14ac:dyDescent="0.3">
      <c r="A296">
        <v>295</v>
      </c>
      <c r="B296">
        <v>340116.42967210198</v>
      </c>
      <c r="C296">
        <v>0.81889524584617501</v>
      </c>
      <c r="D296">
        <v>9.6322612687842799E-2</v>
      </c>
      <c r="E296">
        <v>0.21241437808108399</v>
      </c>
      <c r="F296">
        <v>1</v>
      </c>
      <c r="G296" t="s">
        <v>10</v>
      </c>
      <c r="H296">
        <v>1</v>
      </c>
      <c r="I296">
        <v>72245.619883958294</v>
      </c>
      <c r="J296">
        <v>0.78758562191891501</v>
      </c>
      <c r="K296" t="str">
        <f t="shared" si="32"/>
        <v>OK</v>
      </c>
      <c r="L296" t="str">
        <f t="shared" si="33"/>
        <v>OK</v>
      </c>
      <c r="M296" t="str">
        <f>IF(OR(B296&lt;$AE$20,B296&gt;$AF$20),"Outlier","OK")</f>
        <v>OK</v>
      </c>
      <c r="N296" t="str">
        <f>IF(OR(J296&lt;$AE$21,J296&gt;$AF$21),"Outlier","OK")</f>
        <v>OK</v>
      </c>
      <c r="O296" t="str">
        <f>IF(OR(C296&lt;0,C296&gt;1),"Outlier","OK")</f>
        <v>OK</v>
      </c>
      <c r="P296" t="str">
        <f>IF(OR(D296&lt;0,D296&gt;1),"Outlier","OK")</f>
        <v>OK</v>
      </c>
      <c r="Q296" t="str">
        <f t="shared" si="34"/>
        <v>60-80%</v>
      </c>
      <c r="R296" t="str">
        <f>IF(B296="","Missing","OK")</f>
        <v>OK</v>
      </c>
      <c r="S296" t="str">
        <f>IF(E296="","Missing","OK")</f>
        <v>OK</v>
      </c>
      <c r="T296" t="str">
        <f t="shared" si="35"/>
        <v>OK</v>
      </c>
      <c r="U296">
        <f>COUNTIF($A:$A,A296)</f>
        <v>1</v>
      </c>
      <c r="V296" t="str">
        <f t="shared" si="36"/>
        <v>OK</v>
      </c>
      <c r="W296" t="str">
        <f>IF(I296&gt;B296,"ERROR","OK")</f>
        <v>OK</v>
      </c>
      <c r="X296">
        <f>(B296-I296)/B296</f>
        <v>0.7875856219189159</v>
      </c>
      <c r="Y296" s="2">
        <f t="shared" si="37"/>
        <v>8.8817841970012523E-16</v>
      </c>
      <c r="Z296" s="2" t="str">
        <f t="shared" si="38"/>
        <v>OK</v>
      </c>
      <c r="AA296" t="str">
        <f t="shared" si="39"/>
        <v>Unique</v>
      </c>
    </row>
    <row r="297" spans="1:27" x14ac:dyDescent="0.3">
      <c r="A297">
        <v>296</v>
      </c>
      <c r="B297">
        <v>1883056.57911013</v>
      </c>
      <c r="C297">
        <v>0.245334761784577</v>
      </c>
      <c r="D297">
        <v>9.43026092181148E-2</v>
      </c>
      <c r="E297">
        <v>3.9111108735315502E-2</v>
      </c>
      <c r="F297">
        <v>1</v>
      </c>
      <c r="G297" t="s">
        <v>12</v>
      </c>
      <c r="H297">
        <v>0</v>
      </c>
      <c r="I297">
        <v>73648.430620327606</v>
      </c>
      <c r="J297">
        <v>0.96088889126468402</v>
      </c>
      <c r="K297" t="str">
        <f t="shared" si="32"/>
        <v>OK</v>
      </c>
      <c r="L297" t="str">
        <f t="shared" si="33"/>
        <v>OK</v>
      </c>
      <c r="M297" t="str">
        <f>IF(OR(B297&lt;$AE$20,B297&gt;$AF$20),"Outlier","OK")</f>
        <v>OK</v>
      </c>
      <c r="N297" t="str">
        <f>IF(OR(J297&lt;$AE$21,J297&gt;$AF$21),"Outlier","OK")</f>
        <v>OK</v>
      </c>
      <c r="O297" t="str">
        <f>IF(OR(C297&lt;0,C297&gt;1),"Outlier","OK")</f>
        <v>OK</v>
      </c>
      <c r="P297" t="str">
        <f>IF(OR(D297&lt;0,D297&gt;1),"Outlier","OK")</f>
        <v>OK</v>
      </c>
      <c r="Q297" t="str">
        <f t="shared" si="34"/>
        <v>80-100%</v>
      </c>
      <c r="R297" t="str">
        <f>IF(B297="","Missing","OK")</f>
        <v>OK</v>
      </c>
      <c r="S297" t="str">
        <f>IF(E297="","Missing","OK")</f>
        <v>OK</v>
      </c>
      <c r="T297" t="str">
        <f t="shared" si="35"/>
        <v>OK</v>
      </c>
      <c r="U297">
        <f>COUNTIF($A:$A,A297)</f>
        <v>1</v>
      </c>
      <c r="V297" t="str">
        <f t="shared" si="36"/>
        <v>OK</v>
      </c>
      <c r="W297" t="str">
        <f>IF(I297&gt;B297,"ERROR","OK")</f>
        <v>OK</v>
      </c>
      <c r="X297">
        <f>(B297-I297)/B297</f>
        <v>0.96088889126468446</v>
      </c>
      <c r="Y297" s="2">
        <f t="shared" si="37"/>
        <v>4.4408920985006262E-16</v>
      </c>
      <c r="Z297" s="2" t="str">
        <f t="shared" si="38"/>
        <v>OK</v>
      </c>
      <c r="AA297" t="str">
        <f t="shared" si="39"/>
        <v>Unique</v>
      </c>
    </row>
    <row r="298" spans="1:27" x14ac:dyDescent="0.3">
      <c r="A298">
        <v>297</v>
      </c>
      <c r="B298">
        <v>1673796.5847022601</v>
      </c>
      <c r="C298">
        <v>0.36544294066447103</v>
      </c>
      <c r="D298">
        <v>0.16332748856892901</v>
      </c>
      <c r="E298">
        <v>0.269205288593378</v>
      </c>
      <c r="F298">
        <v>1</v>
      </c>
      <c r="G298" t="s">
        <v>12</v>
      </c>
      <c r="H298">
        <v>0</v>
      </c>
      <c r="I298">
        <v>450594.89263138402</v>
      </c>
      <c r="J298">
        <v>0.730794711406621</v>
      </c>
      <c r="K298" t="str">
        <f t="shared" si="32"/>
        <v>OK</v>
      </c>
      <c r="L298" t="str">
        <f t="shared" si="33"/>
        <v>OK</v>
      </c>
      <c r="M298" t="str">
        <f>IF(OR(B298&lt;$AE$20,B298&gt;$AF$20),"Outlier","OK")</f>
        <v>OK</v>
      </c>
      <c r="N298" t="str">
        <f>IF(OR(J298&lt;$AE$21,J298&gt;$AF$21),"Outlier","OK")</f>
        <v>OK</v>
      </c>
      <c r="O298" t="str">
        <f>IF(OR(C298&lt;0,C298&gt;1),"Outlier","OK")</f>
        <v>OK</v>
      </c>
      <c r="P298" t="str">
        <f>IF(OR(D298&lt;0,D298&gt;1),"Outlier","OK")</f>
        <v>OK</v>
      </c>
      <c r="Q298" t="str">
        <f t="shared" si="34"/>
        <v>60-80%</v>
      </c>
      <c r="R298" t="str">
        <f>IF(B298="","Missing","OK")</f>
        <v>OK</v>
      </c>
      <c r="S298" t="str">
        <f>IF(E298="","Missing","OK")</f>
        <v>OK</v>
      </c>
      <c r="T298" t="str">
        <f t="shared" si="35"/>
        <v>OK</v>
      </c>
      <c r="U298">
        <f>COUNTIF($A:$A,A298)</f>
        <v>1</v>
      </c>
      <c r="V298" t="str">
        <f t="shared" si="36"/>
        <v>OK</v>
      </c>
      <c r="W298" t="str">
        <f>IF(I298&gt;B298,"ERROR","OK")</f>
        <v>OK</v>
      </c>
      <c r="X298">
        <f>(B298-I298)/B298</f>
        <v>0.730794711406621</v>
      </c>
      <c r="Y298" s="2">
        <f t="shared" si="37"/>
        <v>0</v>
      </c>
      <c r="Z298" s="2" t="str">
        <f t="shared" si="38"/>
        <v>OK</v>
      </c>
      <c r="AA298" t="str">
        <f t="shared" si="39"/>
        <v>Unique</v>
      </c>
    </row>
    <row r="299" spans="1:27" x14ac:dyDescent="0.3">
      <c r="A299">
        <v>298</v>
      </c>
      <c r="B299">
        <v>1699806.9344831</v>
      </c>
      <c r="C299">
        <v>0.89000181582871596</v>
      </c>
      <c r="D299">
        <v>8.4977842911168097E-2</v>
      </c>
      <c r="E299">
        <v>0.13851973577653101</v>
      </c>
      <c r="F299">
        <v>1</v>
      </c>
      <c r="G299" t="s">
        <v>10</v>
      </c>
      <c r="H299">
        <v>1</v>
      </c>
      <c r="I299">
        <v>235456.80743571499</v>
      </c>
      <c r="J299">
        <v>0.86148026422346802</v>
      </c>
      <c r="K299" t="str">
        <f t="shared" si="32"/>
        <v>OK</v>
      </c>
      <c r="L299" t="str">
        <f t="shared" si="33"/>
        <v>OK</v>
      </c>
      <c r="M299" t="str">
        <f>IF(OR(B299&lt;$AE$20,B299&gt;$AF$20),"Outlier","OK")</f>
        <v>OK</v>
      </c>
      <c r="N299" t="str">
        <f>IF(OR(J299&lt;$AE$21,J299&gt;$AF$21),"Outlier","OK")</f>
        <v>OK</v>
      </c>
      <c r="O299" t="str">
        <f>IF(OR(C299&lt;0,C299&gt;1),"Outlier","OK")</f>
        <v>OK</v>
      </c>
      <c r="P299" t="str">
        <f>IF(OR(D299&lt;0,D299&gt;1),"Outlier","OK")</f>
        <v>OK</v>
      </c>
      <c r="Q299" t="str">
        <f t="shared" si="34"/>
        <v>80-100%</v>
      </c>
      <c r="R299" t="str">
        <f>IF(B299="","Missing","OK")</f>
        <v>OK</v>
      </c>
      <c r="S299" t="str">
        <f>IF(E299="","Missing","OK")</f>
        <v>OK</v>
      </c>
      <c r="T299" t="str">
        <f t="shared" si="35"/>
        <v>OK</v>
      </c>
      <c r="U299">
        <f>COUNTIF($A:$A,A299)</f>
        <v>1</v>
      </c>
      <c r="V299" t="str">
        <f t="shared" si="36"/>
        <v>OK</v>
      </c>
      <c r="W299" t="str">
        <f>IF(I299&gt;B299,"ERROR","OK")</f>
        <v>OK</v>
      </c>
      <c r="X299">
        <f>(B299-I299)/B299</f>
        <v>0.86148026422346857</v>
      </c>
      <c r="Y299" s="2">
        <f t="shared" si="37"/>
        <v>5.5511151231257827E-16</v>
      </c>
      <c r="Z299" s="2" t="str">
        <f t="shared" si="38"/>
        <v>OK</v>
      </c>
      <c r="AA299" t="str">
        <f t="shared" si="39"/>
        <v>Unique</v>
      </c>
    </row>
    <row r="300" spans="1:27" x14ac:dyDescent="0.3">
      <c r="A300">
        <v>299</v>
      </c>
      <c r="B300">
        <v>291649.86935169098</v>
      </c>
      <c r="C300">
        <v>0.172045188143302</v>
      </c>
      <c r="D300">
        <v>4.56942501584362E-2</v>
      </c>
      <c r="E300">
        <v>0.37789292895676801</v>
      </c>
      <c r="F300">
        <v>1</v>
      </c>
      <c r="G300" t="s">
        <v>11</v>
      </c>
      <c r="H300">
        <v>0</v>
      </c>
      <c r="I300">
        <v>110212.423359169</v>
      </c>
      <c r="J300">
        <v>0.62210707104323104</v>
      </c>
      <c r="K300" t="str">
        <f t="shared" si="32"/>
        <v>OK</v>
      </c>
      <c r="L300" t="str">
        <f t="shared" si="33"/>
        <v>OK</v>
      </c>
      <c r="M300" t="str">
        <f>IF(OR(B300&lt;$AE$20,B300&gt;$AF$20),"Outlier","OK")</f>
        <v>OK</v>
      </c>
      <c r="N300" t="str">
        <f>IF(OR(J300&lt;$AE$21,J300&gt;$AF$21),"Outlier","OK")</f>
        <v>OK</v>
      </c>
      <c r="O300" t="str">
        <f>IF(OR(C300&lt;0,C300&gt;1),"Outlier","OK")</f>
        <v>OK</v>
      </c>
      <c r="P300" t="str">
        <f>IF(OR(D300&lt;0,D300&gt;1),"Outlier","OK")</f>
        <v>OK</v>
      </c>
      <c r="Q300" t="str">
        <f t="shared" si="34"/>
        <v>60-80%</v>
      </c>
      <c r="R300" t="str">
        <f>IF(B300="","Missing","OK")</f>
        <v>OK</v>
      </c>
      <c r="S300" t="str">
        <f>IF(E300="","Missing","OK")</f>
        <v>OK</v>
      </c>
      <c r="T300" t="str">
        <f t="shared" si="35"/>
        <v>OK</v>
      </c>
      <c r="U300">
        <f>COUNTIF($A:$A,A300)</f>
        <v>1</v>
      </c>
      <c r="V300" t="str">
        <f t="shared" si="36"/>
        <v>OK</v>
      </c>
      <c r="W300" t="str">
        <f>IF(I300&gt;B300,"ERROR","OK")</f>
        <v>OK</v>
      </c>
      <c r="X300">
        <f>(B300-I300)/B300</f>
        <v>0.62210707104323282</v>
      </c>
      <c r="Y300" s="2">
        <f t="shared" si="37"/>
        <v>1.7763568394002505E-15</v>
      </c>
      <c r="Z300" s="2" t="str">
        <f t="shared" si="38"/>
        <v>OK</v>
      </c>
      <c r="AA300" t="str">
        <f t="shared" si="39"/>
        <v>Unique</v>
      </c>
    </row>
    <row r="301" spans="1:27" x14ac:dyDescent="0.3">
      <c r="A301">
        <v>300</v>
      </c>
      <c r="B301">
        <v>1213149.4517663801</v>
      </c>
      <c r="C301">
        <v>0.83410098288524603</v>
      </c>
      <c r="D301">
        <v>0.170260338673311</v>
      </c>
      <c r="E301">
        <v>0.34906882831963798</v>
      </c>
      <c r="F301">
        <v>1</v>
      </c>
      <c r="G301" t="s">
        <v>10</v>
      </c>
      <c r="H301">
        <v>0</v>
      </c>
      <c r="I301">
        <v>423472.65770470398</v>
      </c>
      <c r="J301">
        <v>0.65093117168036096</v>
      </c>
      <c r="K301" t="str">
        <f t="shared" si="32"/>
        <v>OK</v>
      </c>
      <c r="L301" t="str">
        <f t="shared" si="33"/>
        <v>OK</v>
      </c>
      <c r="M301" t="str">
        <f>IF(OR(B301&lt;$AE$20,B301&gt;$AF$20),"Outlier","OK")</f>
        <v>OK</v>
      </c>
      <c r="N301" t="str">
        <f>IF(OR(J301&lt;$AE$21,J301&gt;$AF$21),"Outlier","OK")</f>
        <v>OK</v>
      </c>
      <c r="O301" t="str">
        <f>IF(OR(C301&lt;0,C301&gt;1),"Outlier","OK")</f>
        <v>OK</v>
      </c>
      <c r="P301" t="str">
        <f>IF(OR(D301&lt;0,D301&gt;1),"Outlier","OK")</f>
        <v>OK</v>
      </c>
      <c r="Q301" t="str">
        <f t="shared" si="34"/>
        <v>60-80%</v>
      </c>
      <c r="R301" t="str">
        <f>IF(B301="","Missing","OK")</f>
        <v>OK</v>
      </c>
      <c r="S301" t="str">
        <f>IF(E301="","Missing","OK")</f>
        <v>OK</v>
      </c>
      <c r="T301" t="str">
        <f t="shared" si="35"/>
        <v>OK</v>
      </c>
      <c r="U301">
        <f>COUNTIF($A:$A,A301)</f>
        <v>1</v>
      </c>
      <c r="V301" t="str">
        <f t="shared" si="36"/>
        <v>OK</v>
      </c>
      <c r="W301" t="str">
        <f>IF(I301&gt;B301,"ERROR","OK")</f>
        <v>OK</v>
      </c>
      <c r="X301">
        <f>(B301-I301)/B301</f>
        <v>0.65093117168035997</v>
      </c>
      <c r="Y301" s="2">
        <f t="shared" si="37"/>
        <v>9.9920072216264089E-16</v>
      </c>
      <c r="Z301" s="2" t="str">
        <f t="shared" si="38"/>
        <v>OK</v>
      </c>
      <c r="AA301" t="str">
        <f t="shared" si="39"/>
        <v>Unique</v>
      </c>
    </row>
    <row r="302" spans="1:27" x14ac:dyDescent="0.3">
      <c r="A302">
        <v>301</v>
      </c>
      <c r="B302">
        <v>81965.337708066101</v>
      </c>
      <c r="C302">
        <v>0.205575111891283</v>
      </c>
      <c r="D302">
        <v>-4.7339807086990898E-2</v>
      </c>
      <c r="E302">
        <v>0.41635756034212501</v>
      </c>
      <c r="F302">
        <v>1</v>
      </c>
      <c r="G302" t="s">
        <v>11</v>
      </c>
      <c r="H302">
        <v>1</v>
      </c>
      <c r="I302">
        <v>34126.888040748803</v>
      </c>
      <c r="J302">
        <v>0.58364243965787399</v>
      </c>
      <c r="K302" t="str">
        <f t="shared" si="32"/>
        <v>OK</v>
      </c>
      <c r="L302" t="str">
        <f t="shared" si="33"/>
        <v>OK</v>
      </c>
      <c r="M302" t="str">
        <f>IF(OR(B302&lt;$AE$20,B302&gt;$AF$20),"Outlier","OK")</f>
        <v>OK</v>
      </c>
      <c r="N302" t="str">
        <f>IF(OR(J302&lt;$AE$21,J302&gt;$AF$21),"Outlier","OK")</f>
        <v>OK</v>
      </c>
      <c r="O302" t="str">
        <f>IF(OR(C302&lt;0,C302&gt;1),"Outlier","OK")</f>
        <v>OK</v>
      </c>
      <c r="P302" t="str">
        <f>IF(OR(D302&lt;0,D302&gt;1),"Outlier","OK")</f>
        <v>Outlier</v>
      </c>
      <c r="Q302" t="str">
        <f t="shared" si="34"/>
        <v>40-60%</v>
      </c>
      <c r="R302" t="str">
        <f>IF(B302="","Missing","OK")</f>
        <v>OK</v>
      </c>
      <c r="S302" t="str">
        <f>IF(E302="","Missing","OK")</f>
        <v>OK</v>
      </c>
      <c r="T302" t="str">
        <f t="shared" si="35"/>
        <v>OK</v>
      </c>
      <c r="U302">
        <f>COUNTIF($A:$A,A302)</f>
        <v>1</v>
      </c>
      <c r="V302" t="str">
        <f t="shared" si="36"/>
        <v>OK</v>
      </c>
      <c r="W302" t="str">
        <f>IF(I302&gt;B302,"ERROR","OK")</f>
        <v>OK</v>
      </c>
      <c r="X302">
        <f>(B302-I302)/B302</f>
        <v>0.58364243965787477</v>
      </c>
      <c r="Y302" s="2">
        <f t="shared" si="37"/>
        <v>7.7715611723760958E-16</v>
      </c>
      <c r="Z302" s="2" t="str">
        <f t="shared" si="38"/>
        <v>OK</v>
      </c>
      <c r="AA302" t="str">
        <f t="shared" si="39"/>
        <v>Unique</v>
      </c>
    </row>
    <row r="303" spans="1:27" x14ac:dyDescent="0.3">
      <c r="A303">
        <v>302</v>
      </c>
      <c r="B303">
        <v>1456309.5137986799</v>
      </c>
      <c r="C303">
        <v>0.72366023635358201</v>
      </c>
      <c r="D303">
        <v>-0.19167673639028401</v>
      </c>
      <c r="E303">
        <v>0.41843926551085497</v>
      </c>
      <c r="F303">
        <v>1</v>
      </c>
      <c r="G303" t="s">
        <v>12</v>
      </c>
      <c r="H303">
        <v>1</v>
      </c>
      <c r="I303">
        <v>609377.08331039199</v>
      </c>
      <c r="J303">
        <v>0.58156073448914403</v>
      </c>
      <c r="K303" t="str">
        <f t="shared" si="32"/>
        <v>OK</v>
      </c>
      <c r="L303" t="str">
        <f t="shared" si="33"/>
        <v>OK</v>
      </c>
      <c r="M303" t="str">
        <f>IF(OR(B303&lt;$AE$20,B303&gt;$AF$20),"Outlier","OK")</f>
        <v>OK</v>
      </c>
      <c r="N303" t="str">
        <f>IF(OR(J303&lt;$AE$21,J303&gt;$AF$21),"Outlier","OK")</f>
        <v>OK</v>
      </c>
      <c r="O303" t="str">
        <f>IF(OR(C303&lt;0,C303&gt;1),"Outlier","OK")</f>
        <v>OK</v>
      </c>
      <c r="P303" t="str">
        <f>IF(OR(D303&lt;0,D303&gt;1),"Outlier","OK")</f>
        <v>Outlier</v>
      </c>
      <c r="Q303" t="str">
        <f t="shared" si="34"/>
        <v>40-60%</v>
      </c>
      <c r="R303" t="str">
        <f>IF(B303="","Missing","OK")</f>
        <v>OK</v>
      </c>
      <c r="S303" t="str">
        <f>IF(E303="","Missing","OK")</f>
        <v>OK</v>
      </c>
      <c r="T303" t="str">
        <f t="shared" si="35"/>
        <v>OK</v>
      </c>
      <c r="U303">
        <f>COUNTIF($A:$A,A303)</f>
        <v>1</v>
      </c>
      <c r="V303" t="str">
        <f t="shared" si="36"/>
        <v>OK</v>
      </c>
      <c r="W303" t="str">
        <f>IF(I303&gt;B303,"ERROR","OK")</f>
        <v>OK</v>
      </c>
      <c r="X303">
        <f>(B303-I303)/B303</f>
        <v>0.58156073448914358</v>
      </c>
      <c r="Y303" s="2">
        <f t="shared" si="37"/>
        <v>4.4408920985006262E-16</v>
      </c>
      <c r="Z303" s="2" t="str">
        <f t="shared" si="38"/>
        <v>OK</v>
      </c>
      <c r="AA303" t="str">
        <f t="shared" si="39"/>
        <v>Unique</v>
      </c>
    </row>
    <row r="304" spans="1:27" x14ac:dyDescent="0.3">
      <c r="A304">
        <v>303</v>
      </c>
      <c r="B304">
        <v>65088.152545512698</v>
      </c>
      <c r="C304">
        <v>0.123012795991187</v>
      </c>
      <c r="D304">
        <v>-0.135069345166343</v>
      </c>
      <c r="E304">
        <v>0.32547161826577797</v>
      </c>
      <c r="F304">
        <v>1</v>
      </c>
      <c r="G304" t="s">
        <v>11</v>
      </c>
      <c r="H304">
        <v>1</v>
      </c>
      <c r="I304">
        <v>21184.346338917901</v>
      </c>
      <c r="J304">
        <v>0.67452838173422103</v>
      </c>
      <c r="K304" t="str">
        <f t="shared" si="32"/>
        <v>OK</v>
      </c>
      <c r="L304" t="str">
        <f t="shared" si="33"/>
        <v>OK</v>
      </c>
      <c r="M304" t="str">
        <f>IF(OR(B304&lt;$AE$20,B304&gt;$AF$20),"Outlier","OK")</f>
        <v>OK</v>
      </c>
      <c r="N304" t="str">
        <f>IF(OR(J304&lt;$AE$21,J304&gt;$AF$21),"Outlier","OK")</f>
        <v>OK</v>
      </c>
      <c r="O304" t="str">
        <f>IF(OR(C304&lt;0,C304&gt;1),"Outlier","OK")</f>
        <v>OK</v>
      </c>
      <c r="P304" t="str">
        <f>IF(OR(D304&lt;0,D304&gt;1),"Outlier","OK")</f>
        <v>Outlier</v>
      </c>
      <c r="Q304" t="str">
        <f t="shared" si="34"/>
        <v>60-80%</v>
      </c>
      <c r="R304" t="str">
        <f>IF(B304="","Missing","OK")</f>
        <v>OK</v>
      </c>
      <c r="S304" t="str">
        <f>IF(E304="","Missing","OK")</f>
        <v>OK</v>
      </c>
      <c r="T304" t="str">
        <f t="shared" si="35"/>
        <v>OK</v>
      </c>
      <c r="U304">
        <f>COUNTIF($A:$A,A304)</f>
        <v>1</v>
      </c>
      <c r="V304" t="str">
        <f t="shared" si="36"/>
        <v>OK</v>
      </c>
      <c r="W304" t="str">
        <f>IF(I304&gt;B304,"ERROR","OK")</f>
        <v>OK</v>
      </c>
      <c r="X304">
        <f>(B304-I304)/B304</f>
        <v>0.67452838173422103</v>
      </c>
      <c r="Y304" s="2">
        <f t="shared" si="37"/>
        <v>0</v>
      </c>
      <c r="Z304" s="2" t="str">
        <f t="shared" si="38"/>
        <v>OK</v>
      </c>
      <c r="AA304" t="str">
        <f t="shared" si="39"/>
        <v>Unique</v>
      </c>
    </row>
    <row r="305" spans="1:27" x14ac:dyDescent="0.3">
      <c r="A305">
        <v>304</v>
      </c>
      <c r="B305">
        <v>215403.44101820499</v>
      </c>
      <c r="C305">
        <v>0.67608692097102996</v>
      </c>
      <c r="D305">
        <v>-0.167270694302457</v>
      </c>
      <c r="E305">
        <v>0.30985433772747301</v>
      </c>
      <c r="F305">
        <v>1</v>
      </c>
      <c r="G305" t="s">
        <v>11</v>
      </c>
      <c r="H305">
        <v>0</v>
      </c>
      <c r="I305">
        <v>66743.690560914896</v>
      </c>
      <c r="J305">
        <v>0.69014566227252605</v>
      </c>
      <c r="K305" t="str">
        <f t="shared" si="32"/>
        <v>OK</v>
      </c>
      <c r="L305" t="str">
        <f t="shared" si="33"/>
        <v>OK</v>
      </c>
      <c r="M305" t="str">
        <f>IF(OR(B305&lt;$AE$20,B305&gt;$AF$20),"Outlier","OK")</f>
        <v>OK</v>
      </c>
      <c r="N305" t="str">
        <f>IF(OR(J305&lt;$AE$21,J305&gt;$AF$21),"Outlier","OK")</f>
        <v>OK</v>
      </c>
      <c r="O305" t="str">
        <f>IF(OR(C305&lt;0,C305&gt;1),"Outlier","OK")</f>
        <v>OK</v>
      </c>
      <c r="P305" t="str">
        <f>IF(OR(D305&lt;0,D305&gt;1),"Outlier","OK")</f>
        <v>Outlier</v>
      </c>
      <c r="Q305" t="str">
        <f t="shared" si="34"/>
        <v>60-80%</v>
      </c>
      <c r="R305" t="str">
        <f>IF(B305="","Missing","OK")</f>
        <v>OK</v>
      </c>
      <c r="S305" t="str">
        <f>IF(E305="","Missing","OK")</f>
        <v>OK</v>
      </c>
      <c r="T305" t="str">
        <f t="shared" si="35"/>
        <v>OK</v>
      </c>
      <c r="U305">
        <f>COUNTIF($A:$A,A305)</f>
        <v>1</v>
      </c>
      <c r="V305" t="str">
        <f t="shared" si="36"/>
        <v>OK</v>
      </c>
      <c r="W305" t="str">
        <f>IF(I305&gt;B305,"ERROR","OK")</f>
        <v>OK</v>
      </c>
      <c r="X305">
        <f>(B305-I305)/B305</f>
        <v>0.69014566227252605</v>
      </c>
      <c r="Y305" s="2">
        <f t="shared" si="37"/>
        <v>0</v>
      </c>
      <c r="Z305" s="2" t="str">
        <f t="shared" si="38"/>
        <v>OK</v>
      </c>
      <c r="AA305" t="str">
        <f t="shared" si="39"/>
        <v>Unique</v>
      </c>
    </row>
    <row r="306" spans="1:27" x14ac:dyDescent="0.3">
      <c r="A306">
        <v>305</v>
      </c>
      <c r="B306">
        <v>489721.90037754597</v>
      </c>
      <c r="C306">
        <v>0.41883169380229501</v>
      </c>
      <c r="D306">
        <v>2.73052121940799E-2</v>
      </c>
      <c r="E306">
        <v>0.32465839977449201</v>
      </c>
      <c r="F306">
        <v>1</v>
      </c>
      <c r="G306" t="s">
        <v>13</v>
      </c>
      <c r="H306">
        <v>0</v>
      </c>
      <c r="I306">
        <v>158992.328511097</v>
      </c>
      <c r="J306">
        <v>0.67534160022550704</v>
      </c>
      <c r="K306" t="str">
        <f t="shared" si="32"/>
        <v>OK</v>
      </c>
      <c r="L306" t="str">
        <f t="shared" si="33"/>
        <v>OK</v>
      </c>
      <c r="M306" t="str">
        <f>IF(OR(B306&lt;$AE$20,B306&gt;$AF$20),"Outlier","OK")</f>
        <v>OK</v>
      </c>
      <c r="N306" t="str">
        <f>IF(OR(J306&lt;$AE$21,J306&gt;$AF$21),"Outlier","OK")</f>
        <v>OK</v>
      </c>
      <c r="O306" t="str">
        <f>IF(OR(C306&lt;0,C306&gt;1),"Outlier","OK")</f>
        <v>OK</v>
      </c>
      <c r="P306" t="str">
        <f>IF(OR(D306&lt;0,D306&gt;1),"Outlier","OK")</f>
        <v>OK</v>
      </c>
      <c r="Q306" t="str">
        <f t="shared" si="34"/>
        <v>60-80%</v>
      </c>
      <c r="R306" t="str">
        <f>IF(B306="","Missing","OK")</f>
        <v>OK</v>
      </c>
      <c r="S306" t="str">
        <f>IF(E306="","Missing","OK")</f>
        <v>OK</v>
      </c>
      <c r="T306" t="str">
        <f t="shared" si="35"/>
        <v>OK</v>
      </c>
      <c r="U306">
        <f>COUNTIF($A:$A,A306)</f>
        <v>1</v>
      </c>
      <c r="V306" t="str">
        <f t="shared" si="36"/>
        <v>OK</v>
      </c>
      <c r="W306" t="str">
        <f>IF(I306&gt;B306,"ERROR","OK")</f>
        <v>OK</v>
      </c>
      <c r="X306">
        <f>(B306-I306)/B306</f>
        <v>0.67534160022550849</v>
      </c>
      <c r="Y306" s="2">
        <f t="shared" si="37"/>
        <v>1.4432899320127035E-15</v>
      </c>
      <c r="Z306" s="2" t="str">
        <f t="shared" si="38"/>
        <v>OK</v>
      </c>
      <c r="AA306" t="str">
        <f t="shared" si="39"/>
        <v>Unique</v>
      </c>
    </row>
    <row r="307" spans="1:27" x14ac:dyDescent="0.3">
      <c r="A307">
        <v>306</v>
      </c>
      <c r="B307">
        <v>1756492.8410527799</v>
      </c>
      <c r="C307">
        <v>0.39177255614892498</v>
      </c>
      <c r="D307">
        <v>0.15173833280889501</v>
      </c>
      <c r="E307">
        <v>0.156918591350201</v>
      </c>
      <c r="F307">
        <v>1</v>
      </c>
      <c r="G307" t="s">
        <v>10</v>
      </c>
      <c r="H307">
        <v>0</v>
      </c>
      <c r="I307">
        <v>275626.38233471703</v>
      </c>
      <c r="J307">
        <v>0.84308140864979797</v>
      </c>
      <c r="K307" t="str">
        <f t="shared" si="32"/>
        <v>OK</v>
      </c>
      <c r="L307" t="str">
        <f t="shared" si="33"/>
        <v>OK</v>
      </c>
      <c r="M307" t="str">
        <f>IF(OR(B307&lt;$AE$20,B307&gt;$AF$20),"Outlier","OK")</f>
        <v>OK</v>
      </c>
      <c r="N307" t="str">
        <f>IF(OR(J307&lt;$AE$21,J307&gt;$AF$21),"Outlier","OK")</f>
        <v>OK</v>
      </c>
      <c r="O307" t="str">
        <f>IF(OR(C307&lt;0,C307&gt;1),"Outlier","OK")</f>
        <v>OK</v>
      </c>
      <c r="P307" t="str">
        <f>IF(OR(D307&lt;0,D307&gt;1),"Outlier","OK")</f>
        <v>OK</v>
      </c>
      <c r="Q307" t="str">
        <f t="shared" si="34"/>
        <v>80-100%</v>
      </c>
      <c r="R307" t="str">
        <f>IF(B307="","Missing","OK")</f>
        <v>OK</v>
      </c>
      <c r="S307" t="str">
        <f>IF(E307="","Missing","OK")</f>
        <v>OK</v>
      </c>
      <c r="T307" t="str">
        <f t="shared" si="35"/>
        <v>OK</v>
      </c>
      <c r="U307">
        <f>COUNTIF($A:$A,A307)</f>
        <v>1</v>
      </c>
      <c r="V307" t="str">
        <f t="shared" si="36"/>
        <v>OK</v>
      </c>
      <c r="W307" t="str">
        <f>IF(I307&gt;B307,"ERROR","OK")</f>
        <v>OK</v>
      </c>
      <c r="X307">
        <f>(B307-I307)/B307</f>
        <v>0.84308140864979764</v>
      </c>
      <c r="Y307" s="2">
        <f t="shared" si="37"/>
        <v>3.3306690738754696E-16</v>
      </c>
      <c r="Z307" s="2" t="str">
        <f t="shared" si="38"/>
        <v>OK</v>
      </c>
      <c r="AA307" t="str">
        <f t="shared" si="39"/>
        <v>Unique</v>
      </c>
    </row>
    <row r="308" spans="1:27" x14ac:dyDescent="0.3">
      <c r="A308">
        <v>307</v>
      </c>
      <c r="B308">
        <v>758973.82007584604</v>
      </c>
      <c r="C308">
        <v>0.20669890097319699</v>
      </c>
      <c r="D308">
        <v>-3.2415241910446903E-2</v>
      </c>
      <c r="E308">
        <v>0.14429528700420799</v>
      </c>
      <c r="F308">
        <v>1</v>
      </c>
      <c r="G308" t="s">
        <v>13</v>
      </c>
      <c r="H308">
        <v>0</v>
      </c>
      <c r="I308">
        <v>109516.34519652399</v>
      </c>
      <c r="J308">
        <v>0.85570471299579098</v>
      </c>
      <c r="K308" t="str">
        <f t="shared" si="32"/>
        <v>OK</v>
      </c>
      <c r="L308" t="str">
        <f t="shared" si="33"/>
        <v>OK</v>
      </c>
      <c r="M308" t="str">
        <f>IF(OR(B308&lt;$AE$20,B308&gt;$AF$20),"Outlier","OK")</f>
        <v>OK</v>
      </c>
      <c r="N308" t="str">
        <f>IF(OR(J308&lt;$AE$21,J308&gt;$AF$21),"Outlier","OK")</f>
        <v>OK</v>
      </c>
      <c r="O308" t="str">
        <f>IF(OR(C308&lt;0,C308&gt;1),"Outlier","OK")</f>
        <v>OK</v>
      </c>
      <c r="P308" t="str">
        <f>IF(OR(D308&lt;0,D308&gt;1),"Outlier","OK")</f>
        <v>Outlier</v>
      </c>
      <c r="Q308" t="str">
        <f t="shared" si="34"/>
        <v>80-100%</v>
      </c>
      <c r="R308" t="str">
        <f>IF(B308="","Missing","OK")</f>
        <v>OK</v>
      </c>
      <c r="S308" t="str">
        <f>IF(E308="","Missing","OK")</f>
        <v>OK</v>
      </c>
      <c r="T308" t="str">
        <f t="shared" si="35"/>
        <v>OK</v>
      </c>
      <c r="U308">
        <f>COUNTIF($A:$A,A308)</f>
        <v>1</v>
      </c>
      <c r="V308" t="str">
        <f t="shared" si="36"/>
        <v>OK</v>
      </c>
      <c r="W308" t="str">
        <f>IF(I308&gt;B308,"ERROR","OK")</f>
        <v>OK</v>
      </c>
      <c r="X308">
        <f>(B308-I308)/B308</f>
        <v>0.85570471299579254</v>
      </c>
      <c r="Y308" s="2">
        <f t="shared" si="37"/>
        <v>1.5543122344752192E-15</v>
      </c>
      <c r="Z308" s="2" t="str">
        <f t="shared" si="38"/>
        <v>OK</v>
      </c>
      <c r="AA308" t="str">
        <f t="shared" si="39"/>
        <v>Unique</v>
      </c>
    </row>
    <row r="309" spans="1:27" x14ac:dyDescent="0.3">
      <c r="A309">
        <v>308</v>
      </c>
      <c r="B309">
        <v>1102921.8736644799</v>
      </c>
      <c r="C309">
        <v>0.65628725283226297</v>
      </c>
      <c r="D309">
        <v>-4.63435027332414E-2</v>
      </c>
      <c r="E309">
        <v>0.49019158541538299</v>
      </c>
      <c r="F309">
        <v>1</v>
      </c>
      <c r="G309" t="s">
        <v>10</v>
      </c>
      <c r="H309">
        <v>0</v>
      </c>
      <c r="I309">
        <v>540643.021840901</v>
      </c>
      <c r="J309">
        <v>0.50980841458461601</v>
      </c>
      <c r="K309" t="str">
        <f t="shared" si="32"/>
        <v>OK</v>
      </c>
      <c r="L309" t="str">
        <f t="shared" si="33"/>
        <v>OK</v>
      </c>
      <c r="M309" t="str">
        <f>IF(OR(B309&lt;$AE$20,B309&gt;$AF$20),"Outlier","OK")</f>
        <v>OK</v>
      </c>
      <c r="N309" t="str">
        <f>IF(OR(J309&lt;$AE$21,J309&gt;$AF$21),"Outlier","OK")</f>
        <v>OK</v>
      </c>
      <c r="O309" t="str">
        <f>IF(OR(C309&lt;0,C309&gt;1),"Outlier","OK")</f>
        <v>OK</v>
      </c>
      <c r="P309" t="str">
        <f>IF(OR(D309&lt;0,D309&gt;1),"Outlier","OK")</f>
        <v>Outlier</v>
      </c>
      <c r="Q309" t="str">
        <f t="shared" si="34"/>
        <v>40-60%</v>
      </c>
      <c r="R309" t="str">
        <f>IF(B309="","Missing","OK")</f>
        <v>OK</v>
      </c>
      <c r="S309" t="str">
        <f>IF(E309="","Missing","OK")</f>
        <v>OK</v>
      </c>
      <c r="T309" t="str">
        <f t="shared" si="35"/>
        <v>OK</v>
      </c>
      <c r="U309">
        <f>COUNTIF($A:$A,A309)</f>
        <v>1</v>
      </c>
      <c r="V309" t="str">
        <f t="shared" si="36"/>
        <v>OK</v>
      </c>
      <c r="W309" t="str">
        <f>IF(I309&gt;B309,"ERROR","OK")</f>
        <v>OK</v>
      </c>
      <c r="X309">
        <f>(B309-I309)/B309</f>
        <v>0.50980841458461268</v>
      </c>
      <c r="Y309" s="2">
        <f t="shared" si="37"/>
        <v>3.3306690738754696E-15</v>
      </c>
      <c r="Z309" s="2" t="str">
        <f t="shared" si="38"/>
        <v>OK</v>
      </c>
      <c r="AA309" t="str">
        <f t="shared" si="39"/>
        <v>Unique</v>
      </c>
    </row>
    <row r="310" spans="1:27" x14ac:dyDescent="0.3">
      <c r="A310">
        <v>309</v>
      </c>
      <c r="B310">
        <v>1157801.2669470001</v>
      </c>
      <c r="C310">
        <v>0.83562084954391003</v>
      </c>
      <c r="D310">
        <v>-0.19245794067457</v>
      </c>
      <c r="E310">
        <v>0.32023335291337002</v>
      </c>
      <c r="F310">
        <v>1</v>
      </c>
      <c r="G310" t="s">
        <v>11</v>
      </c>
      <c r="H310">
        <v>1</v>
      </c>
      <c r="I310">
        <v>370766.58172178798</v>
      </c>
      <c r="J310">
        <v>0.67976664708662904</v>
      </c>
      <c r="K310" t="str">
        <f t="shared" si="32"/>
        <v>OK</v>
      </c>
      <c r="L310" t="str">
        <f t="shared" si="33"/>
        <v>OK</v>
      </c>
      <c r="M310" t="str">
        <f>IF(OR(B310&lt;$AE$20,B310&gt;$AF$20),"Outlier","OK")</f>
        <v>OK</v>
      </c>
      <c r="N310" t="str">
        <f>IF(OR(J310&lt;$AE$21,J310&gt;$AF$21),"Outlier","OK")</f>
        <v>OK</v>
      </c>
      <c r="O310" t="str">
        <f>IF(OR(C310&lt;0,C310&gt;1),"Outlier","OK")</f>
        <v>OK</v>
      </c>
      <c r="P310" t="str">
        <f>IF(OR(D310&lt;0,D310&gt;1),"Outlier","OK")</f>
        <v>Outlier</v>
      </c>
      <c r="Q310" t="str">
        <f t="shared" si="34"/>
        <v>60-80%</v>
      </c>
      <c r="R310" t="str">
        <f>IF(B310="","Missing","OK")</f>
        <v>OK</v>
      </c>
      <c r="S310" t="str">
        <f>IF(E310="","Missing","OK")</f>
        <v>OK</v>
      </c>
      <c r="T310" t="str">
        <f t="shared" si="35"/>
        <v>OK</v>
      </c>
      <c r="U310">
        <f>COUNTIF($A:$A,A310)</f>
        <v>1</v>
      </c>
      <c r="V310" t="str">
        <f t="shared" si="36"/>
        <v>OK</v>
      </c>
      <c r="W310" t="str">
        <f>IF(I310&gt;B310,"ERROR","OK")</f>
        <v>OK</v>
      </c>
      <c r="X310">
        <f>(B310-I310)/B310</f>
        <v>0.67976664708662793</v>
      </c>
      <c r="Y310" s="2">
        <f t="shared" si="37"/>
        <v>1.1102230246251565E-15</v>
      </c>
      <c r="Z310" s="2" t="str">
        <f t="shared" si="38"/>
        <v>OK</v>
      </c>
      <c r="AA310" t="str">
        <f t="shared" si="39"/>
        <v>Unique</v>
      </c>
    </row>
    <row r="311" spans="1:27" x14ac:dyDescent="0.3">
      <c r="A311">
        <v>310</v>
      </c>
      <c r="B311">
        <v>489653.55259662098</v>
      </c>
      <c r="C311">
        <v>0.419122409324166</v>
      </c>
      <c r="D311">
        <v>0.14672667382163701</v>
      </c>
      <c r="E311">
        <v>0.16818229899175899</v>
      </c>
      <c r="F311">
        <v>1</v>
      </c>
      <c r="G311" t="s">
        <v>11</v>
      </c>
      <c r="H311">
        <v>1</v>
      </c>
      <c r="I311">
        <v>82351.060185182097</v>
      </c>
      <c r="J311">
        <v>0.83181770100824004</v>
      </c>
      <c r="K311" t="str">
        <f t="shared" si="32"/>
        <v>OK</v>
      </c>
      <c r="L311" t="str">
        <f t="shared" si="33"/>
        <v>OK</v>
      </c>
      <c r="M311" t="str">
        <f>IF(OR(B311&lt;$AE$20,B311&gt;$AF$20),"Outlier","OK")</f>
        <v>OK</v>
      </c>
      <c r="N311" t="str">
        <f>IF(OR(J311&lt;$AE$21,J311&gt;$AF$21),"Outlier","OK")</f>
        <v>OK</v>
      </c>
      <c r="O311" t="str">
        <f>IF(OR(C311&lt;0,C311&gt;1),"Outlier","OK")</f>
        <v>OK</v>
      </c>
      <c r="P311" t="str">
        <f>IF(OR(D311&lt;0,D311&gt;1),"Outlier","OK")</f>
        <v>OK</v>
      </c>
      <c r="Q311" t="str">
        <f t="shared" si="34"/>
        <v>80-100%</v>
      </c>
      <c r="R311" t="str">
        <f>IF(B311="","Missing","OK")</f>
        <v>OK</v>
      </c>
      <c r="S311" t="str">
        <f>IF(E311="","Missing","OK")</f>
        <v>OK</v>
      </c>
      <c r="T311" t="str">
        <f t="shared" si="35"/>
        <v>OK</v>
      </c>
      <c r="U311">
        <f>COUNTIF($A:$A,A311)</f>
        <v>1</v>
      </c>
      <c r="V311" t="str">
        <f t="shared" si="36"/>
        <v>OK</v>
      </c>
      <c r="W311" t="str">
        <f>IF(I311&gt;B311,"ERROR","OK")</f>
        <v>OK</v>
      </c>
      <c r="X311">
        <f>(B311-I311)/B311</f>
        <v>0.8318177010082406</v>
      </c>
      <c r="Y311" s="2">
        <f t="shared" si="37"/>
        <v>5.5511151231257827E-16</v>
      </c>
      <c r="Z311" s="2" t="str">
        <f t="shared" si="38"/>
        <v>OK</v>
      </c>
      <c r="AA311" t="str">
        <f t="shared" si="39"/>
        <v>Unique</v>
      </c>
    </row>
    <row r="312" spans="1:27" x14ac:dyDescent="0.3">
      <c r="A312">
        <v>311</v>
      </c>
      <c r="B312">
        <v>1165686.1975696899</v>
      </c>
      <c r="C312">
        <v>0.26050316609358598</v>
      </c>
      <c r="D312">
        <v>6.7839315699544295E-2</v>
      </c>
      <c r="E312">
        <v>0.12692810482404501</v>
      </c>
      <c r="F312">
        <v>1</v>
      </c>
      <c r="G312" t="s">
        <v>12</v>
      </c>
      <c r="H312">
        <v>1</v>
      </c>
      <c r="I312">
        <v>147958.33987706999</v>
      </c>
      <c r="J312">
        <v>0.87307189517595396</v>
      </c>
      <c r="K312" t="str">
        <f t="shared" si="32"/>
        <v>OK</v>
      </c>
      <c r="L312" t="str">
        <f t="shared" si="33"/>
        <v>OK</v>
      </c>
      <c r="M312" t="str">
        <f>IF(OR(B312&lt;$AE$20,B312&gt;$AF$20),"Outlier","OK")</f>
        <v>OK</v>
      </c>
      <c r="N312" t="str">
        <f>IF(OR(J312&lt;$AE$21,J312&gt;$AF$21),"Outlier","OK")</f>
        <v>OK</v>
      </c>
      <c r="O312" t="str">
        <f>IF(OR(C312&lt;0,C312&gt;1),"Outlier","OK")</f>
        <v>OK</v>
      </c>
      <c r="P312" t="str">
        <f>IF(OR(D312&lt;0,D312&gt;1),"Outlier","OK")</f>
        <v>OK</v>
      </c>
      <c r="Q312" t="str">
        <f t="shared" si="34"/>
        <v>80-100%</v>
      </c>
      <c r="R312" t="str">
        <f>IF(B312="","Missing","OK")</f>
        <v>OK</v>
      </c>
      <c r="S312" t="str">
        <f>IF(E312="","Missing","OK")</f>
        <v>OK</v>
      </c>
      <c r="T312" t="str">
        <f t="shared" si="35"/>
        <v>OK</v>
      </c>
      <c r="U312">
        <f>COUNTIF($A:$A,A312)</f>
        <v>1</v>
      </c>
      <c r="V312" t="str">
        <f t="shared" si="36"/>
        <v>OK</v>
      </c>
      <c r="W312" t="str">
        <f>IF(I312&gt;B312,"ERROR","OK")</f>
        <v>OK</v>
      </c>
      <c r="X312">
        <f>(B312-I312)/B312</f>
        <v>0.87307189517595341</v>
      </c>
      <c r="Y312" s="2">
        <f t="shared" si="37"/>
        <v>5.5511151231257827E-16</v>
      </c>
      <c r="Z312" s="2" t="str">
        <f t="shared" si="38"/>
        <v>OK</v>
      </c>
      <c r="AA312" t="str">
        <f t="shared" si="39"/>
        <v>Unique</v>
      </c>
    </row>
    <row r="313" spans="1:27" x14ac:dyDescent="0.3">
      <c r="A313">
        <v>312</v>
      </c>
      <c r="B313">
        <v>1338856.0003077199</v>
      </c>
      <c r="C313">
        <v>0.23632408988901299</v>
      </c>
      <c r="D313">
        <v>-0.16015603754020299</v>
      </c>
      <c r="E313">
        <v>0.21540284957928499</v>
      </c>
      <c r="F313">
        <v>1</v>
      </c>
      <c r="G313" t="s">
        <v>11</v>
      </c>
      <c r="H313">
        <v>0</v>
      </c>
      <c r="I313">
        <v>288393.39764260798</v>
      </c>
      <c r="J313">
        <v>0.78459715042071398</v>
      </c>
      <c r="K313" t="str">
        <f t="shared" si="32"/>
        <v>OK</v>
      </c>
      <c r="L313" t="str">
        <f t="shared" si="33"/>
        <v>OK</v>
      </c>
      <c r="M313" t="str">
        <f>IF(OR(B313&lt;$AE$20,B313&gt;$AF$20),"Outlier","OK")</f>
        <v>OK</v>
      </c>
      <c r="N313" t="str">
        <f>IF(OR(J313&lt;$AE$21,J313&gt;$AF$21),"Outlier","OK")</f>
        <v>OK</v>
      </c>
      <c r="O313" t="str">
        <f>IF(OR(C313&lt;0,C313&gt;1),"Outlier","OK")</f>
        <v>OK</v>
      </c>
      <c r="P313" t="str">
        <f>IF(OR(D313&lt;0,D313&gt;1),"Outlier","OK")</f>
        <v>Outlier</v>
      </c>
      <c r="Q313" t="str">
        <f t="shared" si="34"/>
        <v>60-80%</v>
      </c>
      <c r="R313" t="str">
        <f>IF(B313="","Missing","OK")</f>
        <v>OK</v>
      </c>
      <c r="S313" t="str">
        <f>IF(E313="","Missing","OK")</f>
        <v>OK</v>
      </c>
      <c r="T313" t="str">
        <f t="shared" si="35"/>
        <v>OK</v>
      </c>
      <c r="U313">
        <f>COUNTIF($A:$A,A313)</f>
        <v>1</v>
      </c>
      <c r="V313" t="str">
        <f t="shared" si="36"/>
        <v>OK</v>
      </c>
      <c r="W313" t="str">
        <f>IF(I313&gt;B313,"ERROR","OK")</f>
        <v>OK</v>
      </c>
      <c r="X313">
        <f>(B313-I313)/B313</f>
        <v>0.78459715042071421</v>
      </c>
      <c r="Y313" s="2">
        <f t="shared" si="37"/>
        <v>2.2204460492503131E-16</v>
      </c>
      <c r="Z313" s="2" t="str">
        <f t="shared" si="38"/>
        <v>OK</v>
      </c>
      <c r="AA313" t="str">
        <f t="shared" si="39"/>
        <v>Unique</v>
      </c>
    </row>
    <row r="314" spans="1:27" x14ac:dyDescent="0.3">
      <c r="A314">
        <v>313</v>
      </c>
      <c r="B314">
        <v>631578.51696879196</v>
      </c>
      <c r="C314">
        <v>0.62597423194361002</v>
      </c>
      <c r="D314">
        <v>2.9163151335965701E-2</v>
      </c>
      <c r="E314">
        <v>0.186069739587055</v>
      </c>
      <c r="F314">
        <v>1</v>
      </c>
      <c r="G314" t="s">
        <v>10</v>
      </c>
      <c r="H314">
        <v>0</v>
      </c>
      <c r="I314">
        <v>117517.650181162</v>
      </c>
      <c r="J314">
        <v>0.81393026041294403</v>
      </c>
      <c r="K314" t="str">
        <f t="shared" si="32"/>
        <v>OK</v>
      </c>
      <c r="L314" t="str">
        <f t="shared" si="33"/>
        <v>OK</v>
      </c>
      <c r="M314" t="str">
        <f>IF(OR(B314&lt;$AE$20,B314&gt;$AF$20),"Outlier","OK")</f>
        <v>OK</v>
      </c>
      <c r="N314" t="str">
        <f>IF(OR(J314&lt;$AE$21,J314&gt;$AF$21),"Outlier","OK")</f>
        <v>OK</v>
      </c>
      <c r="O314" t="str">
        <f>IF(OR(C314&lt;0,C314&gt;1),"Outlier","OK")</f>
        <v>OK</v>
      </c>
      <c r="P314" t="str">
        <f>IF(OR(D314&lt;0,D314&gt;1),"Outlier","OK")</f>
        <v>OK</v>
      </c>
      <c r="Q314" t="str">
        <f t="shared" si="34"/>
        <v>80-100%</v>
      </c>
      <c r="R314" t="str">
        <f>IF(B314="","Missing","OK")</f>
        <v>OK</v>
      </c>
      <c r="S314" t="str">
        <f>IF(E314="","Missing","OK")</f>
        <v>OK</v>
      </c>
      <c r="T314" t="str">
        <f t="shared" si="35"/>
        <v>OK</v>
      </c>
      <c r="U314">
        <f>COUNTIF($A:$A,A314)</f>
        <v>1</v>
      </c>
      <c r="V314" t="str">
        <f t="shared" si="36"/>
        <v>OK</v>
      </c>
      <c r="W314" t="str">
        <f>IF(I314&gt;B314,"ERROR","OK")</f>
        <v>OK</v>
      </c>
      <c r="X314">
        <f>(B314-I314)/B314</f>
        <v>0.81393026041294425</v>
      </c>
      <c r="Y314" s="2">
        <f t="shared" si="37"/>
        <v>2.2204460492503131E-16</v>
      </c>
      <c r="Z314" s="2" t="str">
        <f t="shared" si="38"/>
        <v>OK</v>
      </c>
      <c r="AA314" t="str">
        <f t="shared" si="39"/>
        <v>Unique</v>
      </c>
    </row>
    <row r="315" spans="1:27" x14ac:dyDescent="0.3">
      <c r="A315">
        <v>314</v>
      </c>
      <c r="B315">
        <v>866322.37501105003</v>
      </c>
      <c r="C315">
        <v>0.87740055184870103</v>
      </c>
      <c r="D315">
        <v>-8.87441552961203E-2</v>
      </c>
      <c r="E315">
        <v>0.27337677904135399</v>
      </c>
      <c r="F315">
        <v>1</v>
      </c>
      <c r="G315" t="s">
        <v>12</v>
      </c>
      <c r="H315">
        <v>1</v>
      </c>
      <c r="I315">
        <v>236832.42049197701</v>
      </c>
      <c r="J315">
        <v>0.72662322095864496</v>
      </c>
      <c r="K315" t="str">
        <f t="shared" si="32"/>
        <v>OK</v>
      </c>
      <c r="L315" t="str">
        <f t="shared" si="33"/>
        <v>OK</v>
      </c>
      <c r="M315" t="str">
        <f>IF(OR(B315&lt;$AE$20,B315&gt;$AF$20),"Outlier","OK")</f>
        <v>OK</v>
      </c>
      <c r="N315" t="str">
        <f>IF(OR(J315&lt;$AE$21,J315&gt;$AF$21),"Outlier","OK")</f>
        <v>OK</v>
      </c>
      <c r="O315" t="str">
        <f>IF(OR(C315&lt;0,C315&gt;1),"Outlier","OK")</f>
        <v>OK</v>
      </c>
      <c r="P315" t="str">
        <f>IF(OR(D315&lt;0,D315&gt;1),"Outlier","OK")</f>
        <v>Outlier</v>
      </c>
      <c r="Q315" t="str">
        <f t="shared" si="34"/>
        <v>60-80%</v>
      </c>
      <c r="R315" t="str">
        <f>IF(B315="","Missing","OK")</f>
        <v>OK</v>
      </c>
      <c r="S315" t="str">
        <f>IF(E315="","Missing","OK")</f>
        <v>OK</v>
      </c>
      <c r="T315" t="str">
        <f t="shared" si="35"/>
        <v>OK</v>
      </c>
      <c r="U315">
        <f>COUNTIF($A:$A,A315)</f>
        <v>1</v>
      </c>
      <c r="V315" t="str">
        <f t="shared" si="36"/>
        <v>OK</v>
      </c>
      <c r="W315" t="str">
        <f>IF(I315&gt;B315,"ERROR","OK")</f>
        <v>OK</v>
      </c>
      <c r="X315">
        <f>(B315-I315)/B315</f>
        <v>0.72662322095864584</v>
      </c>
      <c r="Y315" s="2">
        <f t="shared" si="37"/>
        <v>8.8817841970012523E-16</v>
      </c>
      <c r="Z315" s="2" t="str">
        <f t="shared" si="38"/>
        <v>OK</v>
      </c>
      <c r="AA315" t="str">
        <f t="shared" si="39"/>
        <v>Unique</v>
      </c>
    </row>
    <row r="316" spans="1:27" x14ac:dyDescent="0.3">
      <c r="A316">
        <v>315</v>
      </c>
      <c r="B316">
        <v>933523.40286495304</v>
      </c>
      <c r="C316">
        <v>0.69788464763857705</v>
      </c>
      <c r="D316">
        <v>0.187330107979785</v>
      </c>
      <c r="E316">
        <v>0.45379470350797901</v>
      </c>
      <c r="F316">
        <v>1</v>
      </c>
      <c r="G316" t="s">
        <v>12</v>
      </c>
      <c r="H316">
        <v>0</v>
      </c>
      <c r="I316">
        <v>423627.97582086199</v>
      </c>
      <c r="J316">
        <v>0.54620529649201999</v>
      </c>
      <c r="K316" t="str">
        <f t="shared" si="32"/>
        <v>OK</v>
      </c>
      <c r="L316" t="str">
        <f t="shared" si="33"/>
        <v>OK</v>
      </c>
      <c r="M316" t="str">
        <f>IF(OR(B316&lt;$AE$20,B316&gt;$AF$20),"Outlier","OK")</f>
        <v>OK</v>
      </c>
      <c r="N316" t="str">
        <f>IF(OR(J316&lt;$AE$21,J316&gt;$AF$21),"Outlier","OK")</f>
        <v>OK</v>
      </c>
      <c r="O316" t="str">
        <f>IF(OR(C316&lt;0,C316&gt;1),"Outlier","OK")</f>
        <v>OK</v>
      </c>
      <c r="P316" t="str">
        <f>IF(OR(D316&lt;0,D316&gt;1),"Outlier","OK")</f>
        <v>OK</v>
      </c>
      <c r="Q316" t="str">
        <f t="shared" si="34"/>
        <v>40-60%</v>
      </c>
      <c r="R316" t="str">
        <f>IF(B316="","Missing","OK")</f>
        <v>OK</v>
      </c>
      <c r="S316" t="str">
        <f>IF(E316="","Missing","OK")</f>
        <v>OK</v>
      </c>
      <c r="T316" t="str">
        <f t="shared" si="35"/>
        <v>OK</v>
      </c>
      <c r="U316">
        <f>COUNTIF($A:$A,A316)</f>
        <v>1</v>
      </c>
      <c r="V316" t="str">
        <f t="shared" si="36"/>
        <v>OK</v>
      </c>
      <c r="W316" t="str">
        <f>IF(I316&gt;B316,"ERROR","OK")</f>
        <v>OK</v>
      </c>
      <c r="X316">
        <f>(B316-I316)/B316</f>
        <v>0.54620529649201999</v>
      </c>
      <c r="Y316" s="2">
        <f t="shared" si="37"/>
        <v>0</v>
      </c>
      <c r="Z316" s="2" t="str">
        <f t="shared" si="38"/>
        <v>OK</v>
      </c>
      <c r="AA316" t="str">
        <f t="shared" si="39"/>
        <v>Unique</v>
      </c>
    </row>
    <row r="317" spans="1:27" x14ac:dyDescent="0.3">
      <c r="A317">
        <v>316</v>
      </c>
      <c r="B317">
        <v>1868083.7900070499</v>
      </c>
      <c r="C317">
        <v>0.16858717117400901</v>
      </c>
      <c r="D317">
        <v>2.3570458302201301E-2</v>
      </c>
      <c r="E317">
        <v>0.64703611869327404</v>
      </c>
      <c r="F317">
        <v>1</v>
      </c>
      <c r="G317" t="s">
        <v>13</v>
      </c>
      <c r="H317">
        <v>1</v>
      </c>
      <c r="I317">
        <v>1208717.6848799901</v>
      </c>
      <c r="J317">
        <v>0.35296388130672501</v>
      </c>
      <c r="K317" t="str">
        <f t="shared" si="32"/>
        <v>OK</v>
      </c>
      <c r="L317" t="str">
        <f t="shared" si="33"/>
        <v>OK</v>
      </c>
      <c r="M317" t="str">
        <f>IF(OR(B317&lt;$AE$20,B317&gt;$AF$20),"Outlier","OK")</f>
        <v>OK</v>
      </c>
      <c r="N317" t="str">
        <f>IF(OR(J317&lt;$AE$21,J317&gt;$AF$21),"Outlier","OK")</f>
        <v>OK</v>
      </c>
      <c r="O317" t="str">
        <f>IF(OR(C317&lt;0,C317&gt;1),"Outlier","OK")</f>
        <v>OK</v>
      </c>
      <c r="P317" t="str">
        <f>IF(OR(D317&lt;0,D317&gt;1),"Outlier","OK")</f>
        <v>OK</v>
      </c>
      <c r="Q317" t="str">
        <f t="shared" si="34"/>
        <v>20-40%</v>
      </c>
      <c r="R317" t="str">
        <f>IF(B317="","Missing","OK")</f>
        <v>OK</v>
      </c>
      <c r="S317" t="str">
        <f>IF(E317="","Missing","OK")</f>
        <v>OK</v>
      </c>
      <c r="T317" t="str">
        <f t="shared" si="35"/>
        <v>OK</v>
      </c>
      <c r="U317">
        <f>COUNTIF($A:$A,A317)</f>
        <v>1</v>
      </c>
      <c r="V317" t="str">
        <f t="shared" si="36"/>
        <v>OK</v>
      </c>
      <c r="W317" t="str">
        <f>IF(I317&gt;B317,"ERROR","OK")</f>
        <v>OK</v>
      </c>
      <c r="X317">
        <f>(B317-I317)/B317</f>
        <v>0.35296388130672207</v>
      </c>
      <c r="Y317" s="2">
        <f t="shared" si="37"/>
        <v>2.9420910152566648E-15</v>
      </c>
      <c r="Z317" s="2" t="str">
        <f t="shared" si="38"/>
        <v>OK</v>
      </c>
      <c r="AA317" t="str">
        <f t="shared" si="39"/>
        <v>Unique</v>
      </c>
    </row>
    <row r="318" spans="1:27" x14ac:dyDescent="0.3">
      <c r="A318">
        <v>317</v>
      </c>
      <c r="B318">
        <v>1195612.8075850201</v>
      </c>
      <c r="C318">
        <v>0.83557572951475501</v>
      </c>
      <c r="D318">
        <v>-6.2508693123793299E-2</v>
      </c>
      <c r="E318">
        <v>0.25859489108418499</v>
      </c>
      <c r="F318">
        <v>1</v>
      </c>
      <c r="G318" t="s">
        <v>10</v>
      </c>
      <c r="H318">
        <v>1</v>
      </c>
      <c r="I318">
        <v>309179.36375630699</v>
      </c>
      <c r="J318">
        <v>0.74140510891581402</v>
      </c>
      <c r="K318" t="str">
        <f t="shared" si="32"/>
        <v>OK</v>
      </c>
      <c r="L318" t="str">
        <f t="shared" si="33"/>
        <v>OK</v>
      </c>
      <c r="M318" t="str">
        <f>IF(OR(B318&lt;$AE$20,B318&gt;$AF$20),"Outlier","OK")</f>
        <v>OK</v>
      </c>
      <c r="N318" t="str">
        <f>IF(OR(J318&lt;$AE$21,J318&gt;$AF$21),"Outlier","OK")</f>
        <v>OK</v>
      </c>
      <c r="O318" t="str">
        <f>IF(OR(C318&lt;0,C318&gt;1),"Outlier","OK")</f>
        <v>OK</v>
      </c>
      <c r="P318" t="str">
        <f>IF(OR(D318&lt;0,D318&gt;1),"Outlier","OK")</f>
        <v>Outlier</v>
      </c>
      <c r="Q318" t="str">
        <f t="shared" si="34"/>
        <v>60-80%</v>
      </c>
      <c r="R318" t="str">
        <f>IF(B318="","Missing","OK")</f>
        <v>OK</v>
      </c>
      <c r="S318" t="str">
        <f>IF(E318="","Missing","OK")</f>
        <v>OK</v>
      </c>
      <c r="T318" t="str">
        <f t="shared" si="35"/>
        <v>OK</v>
      </c>
      <c r="U318">
        <f>COUNTIF($A:$A,A318)</f>
        <v>1</v>
      </c>
      <c r="V318" t="str">
        <f t="shared" si="36"/>
        <v>OK</v>
      </c>
      <c r="W318" t="str">
        <f>IF(I318&gt;B318,"ERROR","OK")</f>
        <v>OK</v>
      </c>
      <c r="X318">
        <f>(B318-I318)/B318</f>
        <v>0.74140510891581335</v>
      </c>
      <c r="Y318" s="2">
        <f t="shared" si="37"/>
        <v>6.6613381477509392E-16</v>
      </c>
      <c r="Z318" s="2" t="str">
        <f t="shared" si="38"/>
        <v>OK</v>
      </c>
      <c r="AA318" t="str">
        <f t="shared" si="39"/>
        <v>Unique</v>
      </c>
    </row>
    <row r="319" spans="1:27" x14ac:dyDescent="0.3">
      <c r="A319">
        <v>318</v>
      </c>
      <c r="B319">
        <v>1899092.1246553699</v>
      </c>
      <c r="C319">
        <v>0.26545364634346502</v>
      </c>
      <c r="D319">
        <v>-0.18237011326520899</v>
      </c>
      <c r="E319">
        <v>0.47848125382248402</v>
      </c>
      <c r="F319">
        <v>1</v>
      </c>
      <c r="G319" t="s">
        <v>12</v>
      </c>
      <c r="H319">
        <v>0</v>
      </c>
      <c r="I319">
        <v>908679.98092950997</v>
      </c>
      <c r="J319">
        <v>0.52151874617751504</v>
      </c>
      <c r="K319" t="str">
        <f t="shared" si="32"/>
        <v>OK</v>
      </c>
      <c r="L319" t="str">
        <f t="shared" si="33"/>
        <v>OK</v>
      </c>
      <c r="M319" t="str">
        <f>IF(OR(B319&lt;$AE$20,B319&gt;$AF$20),"Outlier","OK")</f>
        <v>OK</v>
      </c>
      <c r="N319" t="str">
        <f>IF(OR(J319&lt;$AE$21,J319&gt;$AF$21),"Outlier","OK")</f>
        <v>OK</v>
      </c>
      <c r="O319" t="str">
        <f>IF(OR(C319&lt;0,C319&gt;1),"Outlier","OK")</f>
        <v>OK</v>
      </c>
      <c r="P319" t="str">
        <f>IF(OR(D319&lt;0,D319&gt;1),"Outlier","OK")</f>
        <v>Outlier</v>
      </c>
      <c r="Q319" t="str">
        <f t="shared" si="34"/>
        <v>40-60%</v>
      </c>
      <c r="R319" t="str">
        <f>IF(B319="","Missing","OK")</f>
        <v>OK</v>
      </c>
      <c r="S319" t="str">
        <f>IF(E319="","Missing","OK")</f>
        <v>OK</v>
      </c>
      <c r="T319" t="str">
        <f t="shared" si="35"/>
        <v>OK</v>
      </c>
      <c r="U319">
        <f>COUNTIF($A:$A,A319)</f>
        <v>1</v>
      </c>
      <c r="V319" t="str">
        <f t="shared" si="36"/>
        <v>OK</v>
      </c>
      <c r="W319" t="str">
        <f>IF(I319&gt;B319,"ERROR","OK")</f>
        <v>OK</v>
      </c>
      <c r="X319">
        <f>(B319-I319)/B319</f>
        <v>0.52151874617751415</v>
      </c>
      <c r="Y319" s="2">
        <f t="shared" si="37"/>
        <v>8.8817841970012523E-16</v>
      </c>
      <c r="Z319" s="2" t="str">
        <f t="shared" si="38"/>
        <v>OK</v>
      </c>
      <c r="AA319" t="str">
        <f t="shared" si="39"/>
        <v>Unique</v>
      </c>
    </row>
    <row r="320" spans="1:27" x14ac:dyDescent="0.3">
      <c r="A320">
        <v>319</v>
      </c>
      <c r="B320">
        <v>1134267.76984203</v>
      </c>
      <c r="C320">
        <v>0.67095102488895497</v>
      </c>
      <c r="D320">
        <v>-3.8226739784392098E-3</v>
      </c>
      <c r="E320">
        <v>0.54467318328845704</v>
      </c>
      <c r="F320">
        <v>1</v>
      </c>
      <c r="G320" t="s">
        <v>11</v>
      </c>
      <c r="H320">
        <v>1</v>
      </c>
      <c r="I320">
        <v>617805.23690136103</v>
      </c>
      <c r="J320">
        <v>0.45532681671154202</v>
      </c>
      <c r="K320" t="str">
        <f t="shared" si="32"/>
        <v>OK</v>
      </c>
      <c r="L320" t="str">
        <f t="shared" si="33"/>
        <v>OK</v>
      </c>
      <c r="M320" t="str">
        <f>IF(OR(B320&lt;$AE$20,B320&gt;$AF$20),"Outlier","OK")</f>
        <v>OK</v>
      </c>
      <c r="N320" t="str">
        <f>IF(OR(J320&lt;$AE$21,J320&gt;$AF$21),"Outlier","OK")</f>
        <v>OK</v>
      </c>
      <c r="O320" t="str">
        <f>IF(OR(C320&lt;0,C320&gt;1),"Outlier","OK")</f>
        <v>OK</v>
      </c>
      <c r="P320" t="str">
        <f>IF(OR(D320&lt;0,D320&gt;1),"Outlier","OK")</f>
        <v>Outlier</v>
      </c>
      <c r="Q320" t="str">
        <f t="shared" si="34"/>
        <v>40-60%</v>
      </c>
      <c r="R320" t="str">
        <f>IF(B320="","Missing","OK")</f>
        <v>OK</v>
      </c>
      <c r="S320" t="str">
        <f>IF(E320="","Missing","OK")</f>
        <v>OK</v>
      </c>
      <c r="T320" t="str">
        <f t="shared" si="35"/>
        <v>OK</v>
      </c>
      <c r="U320">
        <f>COUNTIF($A:$A,A320)</f>
        <v>1</v>
      </c>
      <c r="V320" t="str">
        <f t="shared" si="36"/>
        <v>OK</v>
      </c>
      <c r="W320" t="str">
        <f>IF(I320&gt;B320,"ERROR","OK")</f>
        <v>OK</v>
      </c>
      <c r="X320">
        <f>(B320-I320)/B320</f>
        <v>0.45532681671153979</v>
      </c>
      <c r="Y320" s="2">
        <f t="shared" si="37"/>
        <v>2.2204460492503131E-15</v>
      </c>
      <c r="Z320" s="2" t="str">
        <f t="shared" si="38"/>
        <v>OK</v>
      </c>
      <c r="AA320" t="str">
        <f t="shared" si="39"/>
        <v>Unique</v>
      </c>
    </row>
    <row r="321" spans="1:27" x14ac:dyDescent="0.3">
      <c r="A321">
        <v>320</v>
      </c>
      <c r="B321">
        <v>1026094.7706557401</v>
      </c>
      <c r="C321">
        <v>0.51669400652936004</v>
      </c>
      <c r="D321">
        <v>-0.18012133339684699</v>
      </c>
      <c r="E321">
        <v>0.49512229836369798</v>
      </c>
      <c r="F321">
        <v>1</v>
      </c>
      <c r="G321" t="s">
        <v>11</v>
      </c>
      <c r="H321">
        <v>1</v>
      </c>
      <c r="I321">
        <v>508042.40118604503</v>
      </c>
      <c r="J321">
        <v>0.50487770163630097</v>
      </c>
      <c r="K321" t="str">
        <f t="shared" si="32"/>
        <v>OK</v>
      </c>
      <c r="L321" t="str">
        <f t="shared" si="33"/>
        <v>OK</v>
      </c>
      <c r="M321" t="str">
        <f>IF(OR(B321&lt;$AE$20,B321&gt;$AF$20),"Outlier","OK")</f>
        <v>OK</v>
      </c>
      <c r="N321" t="str">
        <f>IF(OR(J321&lt;$AE$21,J321&gt;$AF$21),"Outlier","OK")</f>
        <v>OK</v>
      </c>
      <c r="O321" t="str">
        <f>IF(OR(C321&lt;0,C321&gt;1),"Outlier","OK")</f>
        <v>OK</v>
      </c>
      <c r="P321" t="str">
        <f>IF(OR(D321&lt;0,D321&gt;1),"Outlier","OK")</f>
        <v>Outlier</v>
      </c>
      <c r="Q321" t="str">
        <f t="shared" si="34"/>
        <v>40-60%</v>
      </c>
      <c r="R321" t="str">
        <f>IF(B321="","Missing","OK")</f>
        <v>OK</v>
      </c>
      <c r="S321" t="str">
        <f>IF(E321="","Missing","OK")</f>
        <v>OK</v>
      </c>
      <c r="T321" t="str">
        <f t="shared" si="35"/>
        <v>OK</v>
      </c>
      <c r="U321">
        <f>COUNTIF($A:$A,A321)</f>
        <v>1</v>
      </c>
      <c r="V321" t="str">
        <f t="shared" si="36"/>
        <v>OK</v>
      </c>
      <c r="W321" t="str">
        <f>IF(I321&gt;B321,"ERROR","OK")</f>
        <v>OK</v>
      </c>
      <c r="X321">
        <f>(B321-I321)/B321</f>
        <v>0.50487770163629864</v>
      </c>
      <c r="Y321" s="2">
        <f t="shared" si="37"/>
        <v>2.3314683517128287E-15</v>
      </c>
      <c r="Z321" s="2" t="str">
        <f t="shared" si="38"/>
        <v>OK</v>
      </c>
      <c r="AA321" t="str">
        <f t="shared" si="39"/>
        <v>Unique</v>
      </c>
    </row>
    <row r="322" spans="1:27" x14ac:dyDescent="0.3">
      <c r="A322">
        <v>321</v>
      </c>
      <c r="B322">
        <v>56887.811384184199</v>
      </c>
      <c r="C322">
        <v>0.632534621568691</v>
      </c>
      <c r="D322">
        <v>-0.12128985453873101</v>
      </c>
      <c r="E322">
        <v>0.22815788396964101</v>
      </c>
      <c r="F322">
        <v>1</v>
      </c>
      <c r="G322" t="s">
        <v>11</v>
      </c>
      <c r="H322">
        <v>1</v>
      </c>
      <c r="I322">
        <v>12979.4026690795</v>
      </c>
      <c r="J322">
        <v>0.77184211603035802</v>
      </c>
      <c r="K322" t="str">
        <f t="shared" si="32"/>
        <v>OK</v>
      </c>
      <c r="L322" t="str">
        <f t="shared" si="33"/>
        <v>OK</v>
      </c>
      <c r="M322" t="str">
        <f>IF(OR(B322&lt;$AE$20,B322&gt;$AF$20),"Outlier","OK")</f>
        <v>Outlier</v>
      </c>
      <c r="N322" t="str">
        <f>IF(OR(J322&lt;$AE$21,J322&gt;$AF$21),"Outlier","OK")</f>
        <v>OK</v>
      </c>
      <c r="O322" t="str">
        <f>IF(OR(C322&lt;0,C322&gt;1),"Outlier","OK")</f>
        <v>OK</v>
      </c>
      <c r="P322" t="str">
        <f>IF(OR(D322&lt;0,D322&gt;1),"Outlier","OK")</f>
        <v>Outlier</v>
      </c>
      <c r="Q322" t="str">
        <f t="shared" si="34"/>
        <v>60-80%</v>
      </c>
      <c r="R322" t="str">
        <f>IF(B322="","Missing","OK")</f>
        <v>OK</v>
      </c>
      <c r="S322" t="str">
        <f>IF(E322="","Missing","OK")</f>
        <v>OK</v>
      </c>
      <c r="T322" t="str">
        <f t="shared" si="35"/>
        <v>OK</v>
      </c>
      <c r="U322">
        <f>COUNTIF($A:$A,A322)</f>
        <v>1</v>
      </c>
      <c r="V322" t="str">
        <f t="shared" si="36"/>
        <v>OK</v>
      </c>
      <c r="W322" t="str">
        <f>IF(I322&gt;B322,"ERROR","OK")</f>
        <v>OK</v>
      </c>
      <c r="X322">
        <f>(B322-I322)/B322</f>
        <v>0.77184211603035935</v>
      </c>
      <c r="Y322" s="2">
        <f t="shared" si="37"/>
        <v>1.3322676295501878E-15</v>
      </c>
      <c r="Z322" s="2" t="str">
        <f t="shared" si="38"/>
        <v>OK</v>
      </c>
      <c r="AA322" t="str">
        <f t="shared" si="39"/>
        <v>Unique</v>
      </c>
    </row>
    <row r="323" spans="1:27" x14ac:dyDescent="0.3">
      <c r="A323">
        <v>322</v>
      </c>
      <c r="B323">
        <v>987733.63555617596</v>
      </c>
      <c r="C323">
        <v>0.23781876492530399</v>
      </c>
      <c r="D323">
        <v>0.13751406447527201</v>
      </c>
      <c r="E323">
        <v>0.23888079627223299</v>
      </c>
      <c r="F323">
        <v>1</v>
      </c>
      <c r="G323" t="s">
        <v>12</v>
      </c>
      <c r="H323">
        <v>1</v>
      </c>
      <c r="I323">
        <v>235950.59736652701</v>
      </c>
      <c r="J323">
        <v>0.76111920372776598</v>
      </c>
      <c r="K323" t="str">
        <f t="shared" ref="K323:K386" si="40">IF(OR(J323&lt;0,J323&gt;1),"Error","OK")</f>
        <v>OK</v>
      </c>
      <c r="L323" t="str">
        <f t="shared" ref="L323:L386" si="41">IF(I323&gt;B323,"Error","OK")</f>
        <v>OK</v>
      </c>
      <c r="M323" t="str">
        <f>IF(OR(B323&lt;$AE$20,B323&gt;$AF$20),"Outlier","OK")</f>
        <v>OK</v>
      </c>
      <c r="N323" t="str">
        <f>IF(OR(J323&lt;$AE$21,J323&gt;$AF$21),"Outlier","OK")</f>
        <v>OK</v>
      </c>
      <c r="O323" t="str">
        <f>IF(OR(C323&lt;0,C323&gt;1),"Outlier","OK")</f>
        <v>OK</v>
      </c>
      <c r="P323" t="str">
        <f>IF(OR(D323&lt;0,D323&gt;1),"Outlier","OK")</f>
        <v>OK</v>
      </c>
      <c r="Q323" t="str">
        <f t="shared" ref="Q323:Q386" si="42">IF(J323&lt;=0.2,"0-20%",
 IF(J323&lt;=0.4,"20-40%",
 IF(J323&lt;=0.6,"40-60%",
 IF(J323&lt;=0.8,"60-80%","80-100%"))))</f>
        <v>60-80%</v>
      </c>
      <c r="R323" t="str">
        <f>IF(B323="","Missing","OK")</f>
        <v>OK</v>
      </c>
      <c r="S323" t="str">
        <f>IF(E323="","Missing","OK")</f>
        <v>OK</v>
      </c>
      <c r="T323" t="str">
        <f t="shared" ref="T323:T386" si="43">IF(J323="","Missing","OK")</f>
        <v>OK</v>
      </c>
      <c r="U323">
        <f>COUNTIF($A:$A,A323)</f>
        <v>1</v>
      </c>
      <c r="V323" t="str">
        <f t="shared" ref="V323:V386" si="44">IF(OR(J323&lt;0,J323&gt;1),"ERROR","OK")</f>
        <v>OK</v>
      </c>
      <c r="W323" t="str">
        <f>IF(I323&gt;B323,"ERROR","OK")</f>
        <v>OK</v>
      </c>
      <c r="X323">
        <f>(B323-I323)/B323</f>
        <v>0.76111920372776687</v>
      </c>
      <c r="Y323" s="2">
        <f t="shared" ref="Y323:Y386" si="45">ABS(J323-X323)</f>
        <v>8.8817841970012523E-16</v>
      </c>
      <c r="Z323" s="2" t="str">
        <f t="shared" ref="Z323:Z386" si="46">IF(OR(B323="",I323="",J323=""),"Missing","OK")</f>
        <v>OK</v>
      </c>
      <c r="AA323" t="str">
        <f t="shared" ref="AA323:AA386" si="47">IF(COUNTIF($A:$A,A323)&gt;1,"Duplicate","Unique")</f>
        <v>Unique</v>
      </c>
    </row>
    <row r="324" spans="1:27" x14ac:dyDescent="0.3">
      <c r="A324">
        <v>323</v>
      </c>
      <c r="B324">
        <v>1858537.24719717</v>
      </c>
      <c r="C324">
        <v>0.60355823249110296</v>
      </c>
      <c r="D324">
        <v>-5.6634675137803299E-2</v>
      </c>
      <c r="E324">
        <v>3.4184002015373402E-2</v>
      </c>
      <c r="F324">
        <v>1</v>
      </c>
      <c r="G324" t="s">
        <v>12</v>
      </c>
      <c r="H324">
        <v>1</v>
      </c>
      <c r="I324">
        <v>63532.241003834701</v>
      </c>
      <c r="J324">
        <v>0.96581599798462603</v>
      </c>
      <c r="K324" t="str">
        <f t="shared" si="40"/>
        <v>OK</v>
      </c>
      <c r="L324" t="str">
        <f t="shared" si="41"/>
        <v>OK</v>
      </c>
      <c r="M324" t="str">
        <f>IF(OR(B324&lt;$AE$20,B324&gt;$AF$20),"Outlier","OK")</f>
        <v>OK</v>
      </c>
      <c r="N324" t="str">
        <f>IF(OR(J324&lt;$AE$21,J324&gt;$AF$21),"Outlier","OK")</f>
        <v>OK</v>
      </c>
      <c r="O324" t="str">
        <f>IF(OR(C324&lt;0,C324&gt;1),"Outlier","OK")</f>
        <v>OK</v>
      </c>
      <c r="P324" t="str">
        <f>IF(OR(D324&lt;0,D324&gt;1),"Outlier","OK")</f>
        <v>Outlier</v>
      </c>
      <c r="Q324" t="str">
        <f t="shared" si="42"/>
        <v>80-100%</v>
      </c>
      <c r="R324" t="str">
        <f>IF(B324="","Missing","OK")</f>
        <v>OK</v>
      </c>
      <c r="S324" t="str">
        <f>IF(E324="","Missing","OK")</f>
        <v>OK</v>
      </c>
      <c r="T324" t="str">
        <f t="shared" si="43"/>
        <v>OK</v>
      </c>
      <c r="U324">
        <f>COUNTIF($A:$A,A324)</f>
        <v>1</v>
      </c>
      <c r="V324" t="str">
        <f t="shared" si="44"/>
        <v>OK</v>
      </c>
      <c r="W324" t="str">
        <f>IF(I324&gt;B324,"ERROR","OK")</f>
        <v>OK</v>
      </c>
      <c r="X324">
        <f>(B324-I324)/B324</f>
        <v>0.96581599798462658</v>
      </c>
      <c r="Y324" s="2">
        <f t="shared" si="45"/>
        <v>5.5511151231257827E-16</v>
      </c>
      <c r="Z324" s="2" t="str">
        <f t="shared" si="46"/>
        <v>OK</v>
      </c>
      <c r="AA324" t="str">
        <f t="shared" si="47"/>
        <v>Unique</v>
      </c>
    </row>
    <row r="325" spans="1:27" x14ac:dyDescent="0.3">
      <c r="A325">
        <v>324</v>
      </c>
      <c r="B325">
        <v>436813.09360210202</v>
      </c>
      <c r="C325">
        <v>0.18841354441558</v>
      </c>
      <c r="D325">
        <v>4.7696044276555299E-2</v>
      </c>
      <c r="E325">
        <v>0.17203440405324</v>
      </c>
      <c r="F325">
        <v>1</v>
      </c>
      <c r="G325" t="s">
        <v>10</v>
      </c>
      <c r="H325">
        <v>0</v>
      </c>
      <c r="I325">
        <v>75146.880240489802</v>
      </c>
      <c r="J325">
        <v>0.827965595946759</v>
      </c>
      <c r="K325" t="str">
        <f t="shared" si="40"/>
        <v>OK</v>
      </c>
      <c r="L325" t="str">
        <f t="shared" si="41"/>
        <v>OK</v>
      </c>
      <c r="M325" t="str">
        <f>IF(OR(B325&lt;$AE$20,B325&gt;$AF$20),"Outlier","OK")</f>
        <v>OK</v>
      </c>
      <c r="N325" t="str">
        <f>IF(OR(J325&lt;$AE$21,J325&gt;$AF$21),"Outlier","OK")</f>
        <v>OK</v>
      </c>
      <c r="O325" t="str">
        <f>IF(OR(C325&lt;0,C325&gt;1),"Outlier","OK")</f>
        <v>OK</v>
      </c>
      <c r="P325" t="str">
        <f>IF(OR(D325&lt;0,D325&gt;1),"Outlier","OK")</f>
        <v>OK</v>
      </c>
      <c r="Q325" t="str">
        <f t="shared" si="42"/>
        <v>80-100%</v>
      </c>
      <c r="R325" t="str">
        <f>IF(B325="","Missing","OK")</f>
        <v>OK</v>
      </c>
      <c r="S325" t="str">
        <f>IF(E325="","Missing","OK")</f>
        <v>OK</v>
      </c>
      <c r="T325" t="str">
        <f t="shared" si="43"/>
        <v>OK</v>
      </c>
      <c r="U325">
        <f>COUNTIF($A:$A,A325)</f>
        <v>1</v>
      </c>
      <c r="V325" t="str">
        <f t="shared" si="44"/>
        <v>OK</v>
      </c>
      <c r="W325" t="str">
        <f>IF(I325&gt;B325,"ERROR","OK")</f>
        <v>OK</v>
      </c>
      <c r="X325">
        <f>(B325-I325)/B325</f>
        <v>0.82796559594675989</v>
      </c>
      <c r="Y325" s="2">
        <f t="shared" si="45"/>
        <v>8.8817841970012523E-16</v>
      </c>
      <c r="Z325" s="2" t="str">
        <f t="shared" si="46"/>
        <v>OK</v>
      </c>
      <c r="AA325" t="str">
        <f t="shared" si="47"/>
        <v>Unique</v>
      </c>
    </row>
    <row r="326" spans="1:27" x14ac:dyDescent="0.3">
      <c r="A326">
        <v>325</v>
      </c>
      <c r="B326">
        <v>151577.71205952199</v>
      </c>
      <c r="C326">
        <v>0.133162485127062</v>
      </c>
      <c r="D326">
        <v>-0.19009169841993601</v>
      </c>
      <c r="E326">
        <v>0.14201257189705199</v>
      </c>
      <c r="F326">
        <v>1</v>
      </c>
      <c r="G326" t="s">
        <v>11</v>
      </c>
      <c r="H326">
        <v>1</v>
      </c>
      <c r="I326">
        <v>21525.940731843599</v>
      </c>
      <c r="J326">
        <v>0.85798742810294704</v>
      </c>
      <c r="K326" t="str">
        <f t="shared" si="40"/>
        <v>OK</v>
      </c>
      <c r="L326" t="str">
        <f t="shared" si="41"/>
        <v>OK</v>
      </c>
      <c r="M326" t="str">
        <f>IF(OR(B326&lt;$AE$20,B326&gt;$AF$20),"Outlier","OK")</f>
        <v>OK</v>
      </c>
      <c r="N326" t="str">
        <f>IF(OR(J326&lt;$AE$21,J326&gt;$AF$21),"Outlier","OK")</f>
        <v>OK</v>
      </c>
      <c r="O326" t="str">
        <f>IF(OR(C326&lt;0,C326&gt;1),"Outlier","OK")</f>
        <v>OK</v>
      </c>
      <c r="P326" t="str">
        <f>IF(OR(D326&lt;0,D326&gt;1),"Outlier","OK")</f>
        <v>Outlier</v>
      </c>
      <c r="Q326" t="str">
        <f t="shared" si="42"/>
        <v>80-100%</v>
      </c>
      <c r="R326" t="str">
        <f>IF(B326="","Missing","OK")</f>
        <v>OK</v>
      </c>
      <c r="S326" t="str">
        <f>IF(E326="","Missing","OK")</f>
        <v>OK</v>
      </c>
      <c r="T326" t="str">
        <f t="shared" si="43"/>
        <v>OK</v>
      </c>
      <c r="U326">
        <f>COUNTIF($A:$A,A326)</f>
        <v>1</v>
      </c>
      <c r="V326" t="str">
        <f t="shared" si="44"/>
        <v>OK</v>
      </c>
      <c r="W326" t="str">
        <f>IF(I326&gt;B326,"ERROR","OK")</f>
        <v>OK</v>
      </c>
      <c r="X326">
        <f>(B326-I326)/B326</f>
        <v>0.85798742810294748</v>
      </c>
      <c r="Y326" s="2">
        <f t="shared" si="45"/>
        <v>4.4408920985006262E-16</v>
      </c>
      <c r="Z326" s="2" t="str">
        <f t="shared" si="46"/>
        <v>OK</v>
      </c>
      <c r="AA326" t="str">
        <f t="shared" si="47"/>
        <v>Unique</v>
      </c>
    </row>
    <row r="327" spans="1:27" x14ac:dyDescent="0.3">
      <c r="A327">
        <v>326</v>
      </c>
      <c r="B327">
        <v>843218.84227404301</v>
      </c>
      <c r="C327">
        <v>0.70281209699280101</v>
      </c>
      <c r="D327">
        <v>-0.163948831281549</v>
      </c>
      <c r="E327">
        <v>0.29858211503353299</v>
      </c>
      <c r="F327">
        <v>1</v>
      </c>
      <c r="G327" t="s">
        <v>12</v>
      </c>
      <c r="H327">
        <v>1</v>
      </c>
      <c r="I327">
        <v>251770.065362311</v>
      </c>
      <c r="J327">
        <v>0.70141788496646595</v>
      </c>
      <c r="K327" t="str">
        <f t="shared" si="40"/>
        <v>OK</v>
      </c>
      <c r="L327" t="str">
        <f t="shared" si="41"/>
        <v>OK</v>
      </c>
      <c r="M327" t="str">
        <f>IF(OR(B327&lt;$AE$20,B327&gt;$AF$20),"Outlier","OK")</f>
        <v>OK</v>
      </c>
      <c r="N327" t="str">
        <f>IF(OR(J327&lt;$AE$21,J327&gt;$AF$21),"Outlier","OK")</f>
        <v>OK</v>
      </c>
      <c r="O327" t="str">
        <f>IF(OR(C327&lt;0,C327&gt;1),"Outlier","OK")</f>
        <v>OK</v>
      </c>
      <c r="P327" t="str">
        <f>IF(OR(D327&lt;0,D327&gt;1),"Outlier","OK")</f>
        <v>Outlier</v>
      </c>
      <c r="Q327" t="str">
        <f t="shared" si="42"/>
        <v>60-80%</v>
      </c>
      <c r="R327" t="str">
        <f>IF(B327="","Missing","OK")</f>
        <v>OK</v>
      </c>
      <c r="S327" t="str">
        <f>IF(E327="","Missing","OK")</f>
        <v>OK</v>
      </c>
      <c r="T327" t="str">
        <f t="shared" si="43"/>
        <v>OK</v>
      </c>
      <c r="U327">
        <f>COUNTIF($A:$A,A327)</f>
        <v>1</v>
      </c>
      <c r="V327" t="str">
        <f t="shared" si="44"/>
        <v>OK</v>
      </c>
      <c r="W327" t="str">
        <f>IF(I327&gt;B327,"ERROR","OK")</f>
        <v>OK</v>
      </c>
      <c r="X327">
        <f>(B327-I327)/B327</f>
        <v>0.70141788496646684</v>
      </c>
      <c r="Y327" s="2">
        <f t="shared" si="45"/>
        <v>8.8817841970012523E-16</v>
      </c>
      <c r="Z327" s="2" t="str">
        <f t="shared" si="46"/>
        <v>OK</v>
      </c>
      <c r="AA327" t="str">
        <f t="shared" si="47"/>
        <v>Unique</v>
      </c>
    </row>
    <row r="328" spans="1:27" x14ac:dyDescent="0.3">
      <c r="A328">
        <v>327</v>
      </c>
      <c r="B328">
        <v>776173.13715851796</v>
      </c>
      <c r="C328">
        <v>0.53834671599596096</v>
      </c>
      <c r="D328">
        <v>0.193085060957572</v>
      </c>
      <c r="E328">
        <v>7.3734874463205993E-2</v>
      </c>
      <c r="F328">
        <v>1</v>
      </c>
      <c r="G328" t="s">
        <v>10</v>
      </c>
      <c r="H328">
        <v>1</v>
      </c>
      <c r="I328">
        <v>57231.028830096096</v>
      </c>
      <c r="J328">
        <v>0.92626512553679397</v>
      </c>
      <c r="K328" t="str">
        <f t="shared" si="40"/>
        <v>OK</v>
      </c>
      <c r="L328" t="str">
        <f t="shared" si="41"/>
        <v>OK</v>
      </c>
      <c r="M328" t="str">
        <f>IF(OR(B328&lt;$AE$20,B328&gt;$AF$20),"Outlier","OK")</f>
        <v>OK</v>
      </c>
      <c r="N328" t="str">
        <f>IF(OR(J328&lt;$AE$21,J328&gt;$AF$21),"Outlier","OK")</f>
        <v>OK</v>
      </c>
      <c r="O328" t="str">
        <f>IF(OR(C328&lt;0,C328&gt;1),"Outlier","OK")</f>
        <v>OK</v>
      </c>
      <c r="P328" t="str">
        <f>IF(OR(D328&lt;0,D328&gt;1),"Outlier","OK")</f>
        <v>OK</v>
      </c>
      <c r="Q328" t="str">
        <f t="shared" si="42"/>
        <v>80-100%</v>
      </c>
      <c r="R328" t="str">
        <f>IF(B328="","Missing","OK")</f>
        <v>OK</v>
      </c>
      <c r="S328" t="str">
        <f>IF(E328="","Missing","OK")</f>
        <v>OK</v>
      </c>
      <c r="T328" t="str">
        <f t="shared" si="43"/>
        <v>OK</v>
      </c>
      <c r="U328">
        <f>COUNTIF($A:$A,A328)</f>
        <v>1</v>
      </c>
      <c r="V328" t="str">
        <f t="shared" si="44"/>
        <v>OK</v>
      </c>
      <c r="W328" t="str">
        <f>IF(I328&gt;B328,"ERROR","OK")</f>
        <v>OK</v>
      </c>
      <c r="X328">
        <f>(B328-I328)/B328</f>
        <v>0.92626512553679397</v>
      </c>
      <c r="Y328" s="2">
        <f t="shared" si="45"/>
        <v>0</v>
      </c>
      <c r="Z328" s="2" t="str">
        <f t="shared" si="46"/>
        <v>OK</v>
      </c>
      <c r="AA328" t="str">
        <f t="shared" si="47"/>
        <v>Unique</v>
      </c>
    </row>
    <row r="329" spans="1:27" x14ac:dyDescent="0.3">
      <c r="A329">
        <v>328</v>
      </c>
      <c r="B329">
        <v>1721448.4628489199</v>
      </c>
      <c r="C329">
        <v>0.31065539692335897</v>
      </c>
      <c r="D329">
        <v>0.172261862906428</v>
      </c>
      <c r="E329">
        <v>0.34342572271477301</v>
      </c>
      <c r="F329">
        <v>1</v>
      </c>
      <c r="G329" t="s">
        <v>10</v>
      </c>
      <c r="H329">
        <v>1</v>
      </c>
      <c r="I329">
        <v>591189.68247012806</v>
      </c>
      <c r="J329">
        <v>0.65657427728522599</v>
      </c>
      <c r="K329" t="str">
        <f t="shared" si="40"/>
        <v>OK</v>
      </c>
      <c r="L329" t="str">
        <f t="shared" si="41"/>
        <v>OK</v>
      </c>
      <c r="M329" t="str">
        <f>IF(OR(B329&lt;$AE$20,B329&gt;$AF$20),"Outlier","OK")</f>
        <v>OK</v>
      </c>
      <c r="N329" t="str">
        <f>IF(OR(J329&lt;$AE$21,J329&gt;$AF$21),"Outlier","OK")</f>
        <v>OK</v>
      </c>
      <c r="O329" t="str">
        <f>IF(OR(C329&lt;0,C329&gt;1),"Outlier","OK")</f>
        <v>OK</v>
      </c>
      <c r="P329" t="str">
        <f>IF(OR(D329&lt;0,D329&gt;1),"Outlier","OK")</f>
        <v>OK</v>
      </c>
      <c r="Q329" t="str">
        <f t="shared" si="42"/>
        <v>60-80%</v>
      </c>
      <c r="R329" t="str">
        <f>IF(B329="","Missing","OK")</f>
        <v>OK</v>
      </c>
      <c r="S329" t="str">
        <f>IF(E329="","Missing","OK")</f>
        <v>OK</v>
      </c>
      <c r="T329" t="str">
        <f t="shared" si="43"/>
        <v>OK</v>
      </c>
      <c r="U329">
        <f>COUNTIF($A:$A,A329)</f>
        <v>1</v>
      </c>
      <c r="V329" t="str">
        <f t="shared" si="44"/>
        <v>OK</v>
      </c>
      <c r="W329" t="str">
        <f>IF(I329&gt;B329,"ERROR","OK")</f>
        <v>OK</v>
      </c>
      <c r="X329">
        <f>(B329-I329)/B329</f>
        <v>0.65657427728522555</v>
      </c>
      <c r="Y329" s="2">
        <f t="shared" si="45"/>
        <v>4.4408920985006262E-16</v>
      </c>
      <c r="Z329" s="2" t="str">
        <f t="shared" si="46"/>
        <v>OK</v>
      </c>
      <c r="AA329" t="str">
        <f t="shared" si="47"/>
        <v>Unique</v>
      </c>
    </row>
    <row r="330" spans="1:27" x14ac:dyDescent="0.3">
      <c r="A330">
        <v>329</v>
      </c>
      <c r="B330">
        <v>101891.675341921</v>
      </c>
      <c r="C330">
        <v>0.781657150569672</v>
      </c>
      <c r="D330">
        <v>-8.5512456484977795E-2</v>
      </c>
      <c r="E330">
        <v>0.41179689149165</v>
      </c>
      <c r="F330">
        <v>1</v>
      </c>
      <c r="G330" t="s">
        <v>10</v>
      </c>
      <c r="H330">
        <v>0</v>
      </c>
      <c r="I330">
        <v>41958.675174679498</v>
      </c>
      <c r="J330">
        <v>0.588203108508349</v>
      </c>
      <c r="K330" t="str">
        <f t="shared" si="40"/>
        <v>OK</v>
      </c>
      <c r="L330" t="str">
        <f t="shared" si="41"/>
        <v>OK</v>
      </c>
      <c r="M330" t="str">
        <f>IF(OR(B330&lt;$AE$20,B330&gt;$AF$20),"Outlier","OK")</f>
        <v>OK</v>
      </c>
      <c r="N330" t="str">
        <f>IF(OR(J330&lt;$AE$21,J330&gt;$AF$21),"Outlier","OK")</f>
        <v>OK</v>
      </c>
      <c r="O330" t="str">
        <f>IF(OR(C330&lt;0,C330&gt;1),"Outlier","OK")</f>
        <v>OK</v>
      </c>
      <c r="P330" t="str">
        <f>IF(OR(D330&lt;0,D330&gt;1),"Outlier","OK")</f>
        <v>Outlier</v>
      </c>
      <c r="Q330" t="str">
        <f t="shared" si="42"/>
        <v>40-60%</v>
      </c>
      <c r="R330" t="str">
        <f>IF(B330="","Missing","OK")</f>
        <v>OK</v>
      </c>
      <c r="S330" t="str">
        <f>IF(E330="","Missing","OK")</f>
        <v>OK</v>
      </c>
      <c r="T330" t="str">
        <f t="shared" si="43"/>
        <v>OK</v>
      </c>
      <c r="U330">
        <f>COUNTIF($A:$A,A330)</f>
        <v>1</v>
      </c>
      <c r="V330" t="str">
        <f t="shared" si="44"/>
        <v>OK</v>
      </c>
      <c r="W330" t="str">
        <f>IF(I330&gt;B330,"ERROR","OK")</f>
        <v>OK</v>
      </c>
      <c r="X330">
        <f>(B330-I330)/B330</f>
        <v>0.58820310850834978</v>
      </c>
      <c r="Y330" s="2">
        <f t="shared" si="45"/>
        <v>7.7715611723760958E-16</v>
      </c>
      <c r="Z330" s="2" t="str">
        <f t="shared" si="46"/>
        <v>OK</v>
      </c>
      <c r="AA330" t="str">
        <f t="shared" si="47"/>
        <v>Unique</v>
      </c>
    </row>
    <row r="331" spans="1:27" x14ac:dyDescent="0.3">
      <c r="A331">
        <v>330</v>
      </c>
      <c r="B331">
        <v>1844290.99803005</v>
      </c>
      <c r="C331">
        <v>0.102786089532156</v>
      </c>
      <c r="D331">
        <v>4.6887275340249598E-3</v>
      </c>
      <c r="E331">
        <v>0.53711074756988098</v>
      </c>
      <c r="F331">
        <v>1</v>
      </c>
      <c r="G331" t="s">
        <v>12</v>
      </c>
      <c r="H331">
        <v>0</v>
      </c>
      <c r="I331">
        <v>990588.51668832696</v>
      </c>
      <c r="J331">
        <v>0.46288925243011803</v>
      </c>
      <c r="K331" t="str">
        <f t="shared" si="40"/>
        <v>OK</v>
      </c>
      <c r="L331" t="str">
        <f t="shared" si="41"/>
        <v>OK</v>
      </c>
      <c r="M331" t="str">
        <f>IF(OR(B331&lt;$AE$20,B331&gt;$AF$20),"Outlier","OK")</f>
        <v>OK</v>
      </c>
      <c r="N331" t="str">
        <f>IF(OR(J331&lt;$AE$21,J331&gt;$AF$21),"Outlier","OK")</f>
        <v>OK</v>
      </c>
      <c r="O331" t="str">
        <f>IF(OR(C331&lt;0,C331&gt;1),"Outlier","OK")</f>
        <v>OK</v>
      </c>
      <c r="P331" t="str">
        <f>IF(OR(D331&lt;0,D331&gt;1),"Outlier","OK")</f>
        <v>OK</v>
      </c>
      <c r="Q331" t="str">
        <f t="shared" si="42"/>
        <v>40-60%</v>
      </c>
      <c r="R331" t="str">
        <f>IF(B331="","Missing","OK")</f>
        <v>OK</v>
      </c>
      <c r="S331" t="str">
        <f>IF(E331="","Missing","OK")</f>
        <v>OK</v>
      </c>
      <c r="T331" t="str">
        <f t="shared" si="43"/>
        <v>OK</v>
      </c>
      <c r="U331">
        <f>COUNTIF($A:$A,A331)</f>
        <v>1</v>
      </c>
      <c r="V331" t="str">
        <f t="shared" si="44"/>
        <v>OK</v>
      </c>
      <c r="W331" t="str">
        <f>IF(I331&gt;B331,"ERROR","OK")</f>
        <v>OK</v>
      </c>
      <c r="X331">
        <f>(B331-I331)/B331</f>
        <v>0.46288925243011636</v>
      </c>
      <c r="Y331" s="2">
        <f t="shared" si="45"/>
        <v>1.6653345369377348E-15</v>
      </c>
      <c r="Z331" s="2" t="str">
        <f t="shared" si="46"/>
        <v>OK</v>
      </c>
      <c r="AA331" t="str">
        <f t="shared" si="47"/>
        <v>Unique</v>
      </c>
    </row>
    <row r="332" spans="1:27" x14ac:dyDescent="0.3">
      <c r="A332">
        <v>331</v>
      </c>
      <c r="B332">
        <v>1377760.84804016</v>
      </c>
      <c r="C332">
        <v>0.49067411656715099</v>
      </c>
      <c r="D332">
        <v>-9.9223447951014808E-3</v>
      </c>
      <c r="E332">
        <v>0.128289260861463</v>
      </c>
      <c r="F332">
        <v>1</v>
      </c>
      <c r="G332" t="s">
        <v>10</v>
      </c>
      <c r="H332">
        <v>0</v>
      </c>
      <c r="I332">
        <v>176751.92083893501</v>
      </c>
      <c r="J332">
        <v>0.87171073913853703</v>
      </c>
      <c r="K332" t="str">
        <f t="shared" si="40"/>
        <v>OK</v>
      </c>
      <c r="L332" t="str">
        <f t="shared" si="41"/>
        <v>OK</v>
      </c>
      <c r="M332" t="str">
        <f>IF(OR(B332&lt;$AE$20,B332&gt;$AF$20),"Outlier","OK")</f>
        <v>OK</v>
      </c>
      <c r="N332" t="str">
        <f>IF(OR(J332&lt;$AE$21,J332&gt;$AF$21),"Outlier","OK")</f>
        <v>OK</v>
      </c>
      <c r="O332" t="str">
        <f>IF(OR(C332&lt;0,C332&gt;1),"Outlier","OK")</f>
        <v>OK</v>
      </c>
      <c r="P332" t="str">
        <f>IF(OR(D332&lt;0,D332&gt;1),"Outlier","OK")</f>
        <v>Outlier</v>
      </c>
      <c r="Q332" t="str">
        <f t="shared" si="42"/>
        <v>80-100%</v>
      </c>
      <c r="R332" t="str">
        <f>IF(B332="","Missing","OK")</f>
        <v>OK</v>
      </c>
      <c r="S332" t="str">
        <f>IF(E332="","Missing","OK")</f>
        <v>OK</v>
      </c>
      <c r="T332" t="str">
        <f t="shared" si="43"/>
        <v>OK</v>
      </c>
      <c r="U332">
        <f>COUNTIF($A:$A,A332)</f>
        <v>1</v>
      </c>
      <c r="V332" t="str">
        <f t="shared" si="44"/>
        <v>OK</v>
      </c>
      <c r="W332" t="str">
        <f>IF(I332&gt;B332,"ERROR","OK")</f>
        <v>OK</v>
      </c>
      <c r="X332">
        <f>(B332-I332)/B332</f>
        <v>0.87171073913853669</v>
      </c>
      <c r="Y332" s="2">
        <f t="shared" si="45"/>
        <v>3.3306690738754696E-16</v>
      </c>
      <c r="Z332" s="2" t="str">
        <f t="shared" si="46"/>
        <v>OK</v>
      </c>
      <c r="AA332" t="str">
        <f t="shared" si="47"/>
        <v>Unique</v>
      </c>
    </row>
    <row r="333" spans="1:27" x14ac:dyDescent="0.3">
      <c r="A333">
        <v>332</v>
      </c>
      <c r="B333">
        <v>1813240.6884252201</v>
      </c>
      <c r="C333">
        <v>0.211002580740278</v>
      </c>
      <c r="D333">
        <v>9.1678004758967604E-2</v>
      </c>
      <c r="E333">
        <v>0.50655638253018298</v>
      </c>
      <c r="F333">
        <v>1</v>
      </c>
      <c r="G333" t="s">
        <v>12</v>
      </c>
      <c r="H333">
        <v>0</v>
      </c>
      <c r="I333">
        <v>918508.64378522104</v>
      </c>
      <c r="J333">
        <v>0.49344361746981602</v>
      </c>
      <c r="K333" t="str">
        <f t="shared" si="40"/>
        <v>OK</v>
      </c>
      <c r="L333" t="str">
        <f t="shared" si="41"/>
        <v>OK</v>
      </c>
      <c r="M333" t="str">
        <f>IF(OR(B333&lt;$AE$20,B333&gt;$AF$20),"Outlier","OK")</f>
        <v>OK</v>
      </c>
      <c r="N333" t="str">
        <f>IF(OR(J333&lt;$AE$21,J333&gt;$AF$21),"Outlier","OK")</f>
        <v>OK</v>
      </c>
      <c r="O333" t="str">
        <f>IF(OR(C333&lt;0,C333&gt;1),"Outlier","OK")</f>
        <v>OK</v>
      </c>
      <c r="P333" t="str">
        <f>IF(OR(D333&lt;0,D333&gt;1),"Outlier","OK")</f>
        <v>OK</v>
      </c>
      <c r="Q333" t="str">
        <f t="shared" si="42"/>
        <v>40-60%</v>
      </c>
      <c r="R333" t="str">
        <f>IF(B333="","Missing","OK")</f>
        <v>OK</v>
      </c>
      <c r="S333" t="str">
        <f>IF(E333="","Missing","OK")</f>
        <v>OK</v>
      </c>
      <c r="T333" t="str">
        <f t="shared" si="43"/>
        <v>OK</v>
      </c>
      <c r="U333">
        <f>COUNTIF($A:$A,A333)</f>
        <v>1</v>
      </c>
      <c r="V333" t="str">
        <f t="shared" si="44"/>
        <v>OK</v>
      </c>
      <c r="W333" t="str">
        <f>IF(I333&gt;B333,"ERROR","OK")</f>
        <v>OK</v>
      </c>
      <c r="X333">
        <f>(B333-I333)/B333</f>
        <v>0.49344361746981541</v>
      </c>
      <c r="Y333" s="2">
        <f t="shared" si="45"/>
        <v>6.106226635438361E-16</v>
      </c>
      <c r="Z333" s="2" t="str">
        <f t="shared" si="46"/>
        <v>OK</v>
      </c>
      <c r="AA333" t="str">
        <f t="shared" si="47"/>
        <v>Unique</v>
      </c>
    </row>
    <row r="334" spans="1:27" x14ac:dyDescent="0.3">
      <c r="A334">
        <v>333</v>
      </c>
      <c r="B334">
        <v>1234681.68810024</v>
      </c>
      <c r="C334">
        <v>0.74346083749708303</v>
      </c>
      <c r="D334">
        <v>-0.147817344990471</v>
      </c>
      <c r="E334">
        <v>0.41352575148861498</v>
      </c>
      <c r="F334">
        <v>1</v>
      </c>
      <c r="G334" t="s">
        <v>13</v>
      </c>
      <c r="H334">
        <v>0</v>
      </c>
      <c r="I334">
        <v>510572.67292088602</v>
      </c>
      <c r="J334">
        <v>0.58647424851138397</v>
      </c>
      <c r="K334" t="str">
        <f t="shared" si="40"/>
        <v>OK</v>
      </c>
      <c r="L334" t="str">
        <f t="shared" si="41"/>
        <v>OK</v>
      </c>
      <c r="M334" t="str">
        <f>IF(OR(B334&lt;$AE$20,B334&gt;$AF$20),"Outlier","OK")</f>
        <v>OK</v>
      </c>
      <c r="N334" t="str">
        <f>IF(OR(J334&lt;$AE$21,J334&gt;$AF$21),"Outlier","OK")</f>
        <v>OK</v>
      </c>
      <c r="O334" t="str">
        <f>IF(OR(C334&lt;0,C334&gt;1),"Outlier","OK")</f>
        <v>OK</v>
      </c>
      <c r="P334" t="str">
        <f>IF(OR(D334&lt;0,D334&gt;1),"Outlier","OK")</f>
        <v>Outlier</v>
      </c>
      <c r="Q334" t="str">
        <f t="shared" si="42"/>
        <v>40-60%</v>
      </c>
      <c r="R334" t="str">
        <f>IF(B334="","Missing","OK")</f>
        <v>OK</v>
      </c>
      <c r="S334" t="str">
        <f>IF(E334="","Missing","OK")</f>
        <v>OK</v>
      </c>
      <c r="T334" t="str">
        <f t="shared" si="43"/>
        <v>OK</v>
      </c>
      <c r="U334">
        <f>COUNTIF($A:$A,A334)</f>
        <v>1</v>
      </c>
      <c r="V334" t="str">
        <f t="shared" si="44"/>
        <v>OK</v>
      </c>
      <c r="W334" t="str">
        <f>IF(I334&gt;B334,"ERROR","OK")</f>
        <v>OK</v>
      </c>
      <c r="X334">
        <f>(B334-I334)/B334</f>
        <v>0.58647424851138297</v>
      </c>
      <c r="Y334" s="2">
        <f t="shared" si="45"/>
        <v>9.9920072216264089E-16</v>
      </c>
      <c r="Z334" s="2" t="str">
        <f t="shared" si="46"/>
        <v>OK</v>
      </c>
      <c r="AA334" t="str">
        <f t="shared" si="47"/>
        <v>Unique</v>
      </c>
    </row>
    <row r="335" spans="1:27" x14ac:dyDescent="0.3">
      <c r="A335">
        <v>334</v>
      </c>
      <c r="B335">
        <v>1633308.9592504399</v>
      </c>
      <c r="C335">
        <v>0.58448869441228402</v>
      </c>
      <c r="D335">
        <v>-0.120934575160597</v>
      </c>
      <c r="E335">
        <v>0.25672607805834702</v>
      </c>
      <c r="F335">
        <v>1</v>
      </c>
      <c r="G335" t="s">
        <v>12</v>
      </c>
      <c r="H335">
        <v>0</v>
      </c>
      <c r="I335">
        <v>419313.00336592703</v>
      </c>
      <c r="J335">
        <v>0.74327392194165198</v>
      </c>
      <c r="K335" t="str">
        <f t="shared" si="40"/>
        <v>OK</v>
      </c>
      <c r="L335" t="str">
        <f t="shared" si="41"/>
        <v>OK</v>
      </c>
      <c r="M335" t="str">
        <f>IF(OR(B335&lt;$AE$20,B335&gt;$AF$20),"Outlier","OK")</f>
        <v>OK</v>
      </c>
      <c r="N335" t="str">
        <f>IF(OR(J335&lt;$AE$21,J335&gt;$AF$21),"Outlier","OK")</f>
        <v>OK</v>
      </c>
      <c r="O335" t="str">
        <f>IF(OR(C335&lt;0,C335&gt;1),"Outlier","OK")</f>
        <v>OK</v>
      </c>
      <c r="P335" t="str">
        <f>IF(OR(D335&lt;0,D335&gt;1),"Outlier","OK")</f>
        <v>Outlier</v>
      </c>
      <c r="Q335" t="str">
        <f t="shared" si="42"/>
        <v>60-80%</v>
      </c>
      <c r="R335" t="str">
        <f>IF(B335="","Missing","OK")</f>
        <v>OK</v>
      </c>
      <c r="S335" t="str">
        <f>IF(E335="","Missing","OK")</f>
        <v>OK</v>
      </c>
      <c r="T335" t="str">
        <f t="shared" si="43"/>
        <v>OK</v>
      </c>
      <c r="U335">
        <f>COUNTIF($A:$A,A335)</f>
        <v>1</v>
      </c>
      <c r="V335" t="str">
        <f t="shared" si="44"/>
        <v>OK</v>
      </c>
      <c r="W335" t="str">
        <f>IF(I335&gt;B335,"ERROR","OK")</f>
        <v>OK</v>
      </c>
      <c r="X335">
        <f>(B335-I335)/B335</f>
        <v>0.74327392194165243</v>
      </c>
      <c r="Y335" s="2">
        <f t="shared" si="45"/>
        <v>4.4408920985006262E-16</v>
      </c>
      <c r="Z335" s="2" t="str">
        <f t="shared" si="46"/>
        <v>OK</v>
      </c>
      <c r="AA335" t="str">
        <f t="shared" si="47"/>
        <v>Unique</v>
      </c>
    </row>
    <row r="336" spans="1:27" x14ac:dyDescent="0.3">
      <c r="A336">
        <v>335</v>
      </c>
      <c r="B336">
        <v>704310.55340160802</v>
      </c>
      <c r="C336">
        <v>0.396506530435765</v>
      </c>
      <c r="D336">
        <v>1.7210966830230399E-2</v>
      </c>
      <c r="E336">
        <v>0.26973652181083502</v>
      </c>
      <c r="F336">
        <v>1</v>
      </c>
      <c r="G336" t="s">
        <v>13</v>
      </c>
      <c r="H336">
        <v>0</v>
      </c>
      <c r="I336">
        <v>189978.278949214</v>
      </c>
      <c r="J336">
        <v>0.73026347818916404</v>
      </c>
      <c r="K336" t="str">
        <f t="shared" si="40"/>
        <v>OK</v>
      </c>
      <c r="L336" t="str">
        <f t="shared" si="41"/>
        <v>OK</v>
      </c>
      <c r="M336" t="str">
        <f>IF(OR(B336&lt;$AE$20,B336&gt;$AF$20),"Outlier","OK")</f>
        <v>OK</v>
      </c>
      <c r="N336" t="str">
        <f>IF(OR(J336&lt;$AE$21,J336&gt;$AF$21),"Outlier","OK")</f>
        <v>OK</v>
      </c>
      <c r="O336" t="str">
        <f>IF(OR(C336&lt;0,C336&gt;1),"Outlier","OK")</f>
        <v>OK</v>
      </c>
      <c r="P336" t="str">
        <f>IF(OR(D336&lt;0,D336&gt;1),"Outlier","OK")</f>
        <v>OK</v>
      </c>
      <c r="Q336" t="str">
        <f t="shared" si="42"/>
        <v>60-80%</v>
      </c>
      <c r="R336" t="str">
        <f>IF(B336="","Missing","OK")</f>
        <v>OK</v>
      </c>
      <c r="S336" t="str">
        <f>IF(E336="","Missing","OK")</f>
        <v>OK</v>
      </c>
      <c r="T336" t="str">
        <f t="shared" si="43"/>
        <v>OK</v>
      </c>
      <c r="U336">
        <f>COUNTIF($A:$A,A336)</f>
        <v>1</v>
      </c>
      <c r="V336" t="str">
        <f t="shared" si="44"/>
        <v>OK</v>
      </c>
      <c r="W336" t="str">
        <f>IF(I336&gt;B336,"ERROR","OK")</f>
        <v>OK</v>
      </c>
      <c r="X336">
        <f>(B336-I336)/B336</f>
        <v>0.73026347818916515</v>
      </c>
      <c r="Y336" s="2">
        <f t="shared" si="45"/>
        <v>1.1102230246251565E-15</v>
      </c>
      <c r="Z336" s="2" t="str">
        <f t="shared" si="46"/>
        <v>OK</v>
      </c>
      <c r="AA336" t="str">
        <f t="shared" si="47"/>
        <v>Unique</v>
      </c>
    </row>
    <row r="337" spans="1:27" x14ac:dyDescent="0.3">
      <c r="A337">
        <v>336</v>
      </c>
      <c r="B337">
        <v>731654.14465374104</v>
      </c>
      <c r="C337">
        <v>0.25073628720320101</v>
      </c>
      <c r="D337">
        <v>0.112225035218218</v>
      </c>
      <c r="E337">
        <v>0.23533946636632999</v>
      </c>
      <c r="F337">
        <v>1</v>
      </c>
      <c r="G337" t="s">
        <v>10</v>
      </c>
      <c r="H337">
        <v>1</v>
      </c>
      <c r="I337">
        <v>172187.09596752501</v>
      </c>
      <c r="J337">
        <v>0.76466053363366904</v>
      </c>
      <c r="K337" t="str">
        <f t="shared" si="40"/>
        <v>OK</v>
      </c>
      <c r="L337" t="str">
        <f t="shared" si="41"/>
        <v>OK</v>
      </c>
      <c r="M337" t="str">
        <f>IF(OR(B337&lt;$AE$20,B337&gt;$AF$20),"Outlier","OK")</f>
        <v>OK</v>
      </c>
      <c r="N337" t="str">
        <f>IF(OR(J337&lt;$AE$21,J337&gt;$AF$21),"Outlier","OK")</f>
        <v>OK</v>
      </c>
      <c r="O337" t="str">
        <f>IF(OR(C337&lt;0,C337&gt;1),"Outlier","OK")</f>
        <v>OK</v>
      </c>
      <c r="P337" t="str">
        <f>IF(OR(D337&lt;0,D337&gt;1),"Outlier","OK")</f>
        <v>OK</v>
      </c>
      <c r="Q337" t="str">
        <f t="shared" si="42"/>
        <v>60-80%</v>
      </c>
      <c r="R337" t="str">
        <f>IF(B337="","Missing","OK")</f>
        <v>OK</v>
      </c>
      <c r="S337" t="str">
        <f>IF(E337="","Missing","OK")</f>
        <v>OK</v>
      </c>
      <c r="T337" t="str">
        <f t="shared" si="43"/>
        <v>OK</v>
      </c>
      <c r="U337">
        <f>COUNTIF($A:$A,A337)</f>
        <v>1</v>
      </c>
      <c r="V337" t="str">
        <f t="shared" si="44"/>
        <v>OK</v>
      </c>
      <c r="W337" t="str">
        <f>IF(I337&gt;B337,"ERROR","OK")</f>
        <v>OK</v>
      </c>
      <c r="X337">
        <f>(B337-I337)/B337</f>
        <v>0.76466053363367004</v>
      </c>
      <c r="Y337" s="2">
        <f t="shared" si="45"/>
        <v>9.9920072216264089E-16</v>
      </c>
      <c r="Z337" s="2" t="str">
        <f t="shared" si="46"/>
        <v>OK</v>
      </c>
      <c r="AA337" t="str">
        <f t="shared" si="47"/>
        <v>Unique</v>
      </c>
    </row>
    <row r="338" spans="1:27" x14ac:dyDescent="0.3">
      <c r="A338">
        <v>337</v>
      </c>
      <c r="B338">
        <v>810254.74914017005</v>
      </c>
      <c r="C338">
        <v>0.114094192630735</v>
      </c>
      <c r="D338">
        <v>-3.7424630609040901E-2</v>
      </c>
      <c r="E338">
        <v>0.53866719858922396</v>
      </c>
      <c r="F338">
        <v>1</v>
      </c>
      <c r="G338" t="s">
        <v>13</v>
      </c>
      <c r="H338">
        <v>0</v>
      </c>
      <c r="I338">
        <v>436457.65586295002</v>
      </c>
      <c r="J338">
        <v>0.46133280141077498</v>
      </c>
      <c r="K338" t="str">
        <f t="shared" si="40"/>
        <v>OK</v>
      </c>
      <c r="L338" t="str">
        <f t="shared" si="41"/>
        <v>OK</v>
      </c>
      <c r="M338" t="str">
        <f>IF(OR(B338&lt;$AE$20,B338&gt;$AF$20),"Outlier","OK")</f>
        <v>OK</v>
      </c>
      <c r="N338" t="str">
        <f>IF(OR(J338&lt;$AE$21,J338&gt;$AF$21),"Outlier","OK")</f>
        <v>OK</v>
      </c>
      <c r="O338" t="str">
        <f>IF(OR(C338&lt;0,C338&gt;1),"Outlier","OK")</f>
        <v>OK</v>
      </c>
      <c r="P338" t="str">
        <f>IF(OR(D338&lt;0,D338&gt;1),"Outlier","OK")</f>
        <v>Outlier</v>
      </c>
      <c r="Q338" t="str">
        <f t="shared" si="42"/>
        <v>40-60%</v>
      </c>
      <c r="R338" t="str">
        <f>IF(B338="","Missing","OK")</f>
        <v>OK</v>
      </c>
      <c r="S338" t="str">
        <f>IF(E338="","Missing","OK")</f>
        <v>OK</v>
      </c>
      <c r="T338" t="str">
        <f t="shared" si="43"/>
        <v>OK</v>
      </c>
      <c r="U338">
        <f>COUNTIF($A:$A,A338)</f>
        <v>1</v>
      </c>
      <c r="V338" t="str">
        <f t="shared" si="44"/>
        <v>OK</v>
      </c>
      <c r="W338" t="str">
        <f>IF(I338&gt;B338,"ERROR","OK")</f>
        <v>OK</v>
      </c>
      <c r="X338">
        <f>(B338-I338)/B338</f>
        <v>0.46133280141077582</v>
      </c>
      <c r="Y338" s="2">
        <f t="shared" si="45"/>
        <v>8.3266726846886741E-16</v>
      </c>
      <c r="Z338" s="2" t="str">
        <f t="shared" si="46"/>
        <v>OK</v>
      </c>
      <c r="AA338" t="str">
        <f t="shared" si="47"/>
        <v>Unique</v>
      </c>
    </row>
    <row r="339" spans="1:27" x14ac:dyDescent="0.3">
      <c r="A339">
        <v>338</v>
      </c>
      <c r="B339">
        <v>1521854.3090669201</v>
      </c>
      <c r="C339">
        <v>0.65009588769396998</v>
      </c>
      <c r="D339">
        <v>0.13177036190338001</v>
      </c>
      <c r="E339">
        <v>0.108400841005819</v>
      </c>
      <c r="F339">
        <v>1</v>
      </c>
      <c r="G339" t="s">
        <v>11</v>
      </c>
      <c r="H339">
        <v>0</v>
      </c>
      <c r="I339">
        <v>164970.286991184</v>
      </c>
      <c r="J339">
        <v>0.89159915899418096</v>
      </c>
      <c r="K339" t="str">
        <f t="shared" si="40"/>
        <v>OK</v>
      </c>
      <c r="L339" t="str">
        <f t="shared" si="41"/>
        <v>OK</v>
      </c>
      <c r="M339" t="str">
        <f>IF(OR(B339&lt;$AE$20,B339&gt;$AF$20),"Outlier","OK")</f>
        <v>OK</v>
      </c>
      <c r="N339" t="str">
        <f>IF(OR(J339&lt;$AE$21,J339&gt;$AF$21),"Outlier","OK")</f>
        <v>OK</v>
      </c>
      <c r="O339" t="str">
        <f>IF(OR(C339&lt;0,C339&gt;1),"Outlier","OK")</f>
        <v>OK</v>
      </c>
      <c r="P339" t="str">
        <f>IF(OR(D339&lt;0,D339&gt;1),"Outlier","OK")</f>
        <v>OK</v>
      </c>
      <c r="Q339" t="str">
        <f t="shared" si="42"/>
        <v>80-100%</v>
      </c>
      <c r="R339" t="str">
        <f>IF(B339="","Missing","OK")</f>
        <v>OK</v>
      </c>
      <c r="S339" t="str">
        <f>IF(E339="","Missing","OK")</f>
        <v>OK</v>
      </c>
      <c r="T339" t="str">
        <f t="shared" si="43"/>
        <v>OK</v>
      </c>
      <c r="U339">
        <f>COUNTIF($A:$A,A339)</f>
        <v>1</v>
      </c>
      <c r="V339" t="str">
        <f t="shared" si="44"/>
        <v>OK</v>
      </c>
      <c r="W339" t="str">
        <f>IF(I339&gt;B339,"ERROR","OK")</f>
        <v>OK</v>
      </c>
      <c r="X339">
        <f>(B339-I339)/B339</f>
        <v>0.89159915899418074</v>
      </c>
      <c r="Y339" s="2">
        <f t="shared" si="45"/>
        <v>2.2204460492503131E-16</v>
      </c>
      <c r="Z339" s="2" t="str">
        <f t="shared" si="46"/>
        <v>OK</v>
      </c>
      <c r="AA339" t="str">
        <f t="shared" si="47"/>
        <v>Unique</v>
      </c>
    </row>
    <row r="340" spans="1:27" x14ac:dyDescent="0.3">
      <c r="A340">
        <v>339</v>
      </c>
      <c r="B340">
        <v>770117.790135863</v>
      </c>
      <c r="C340">
        <v>0.52592125909550203</v>
      </c>
      <c r="D340">
        <v>4.7290093087932E-2</v>
      </c>
      <c r="E340">
        <v>0.54123355956786801</v>
      </c>
      <c r="F340">
        <v>1</v>
      </c>
      <c r="G340" t="s">
        <v>12</v>
      </c>
      <c r="H340">
        <v>0</v>
      </c>
      <c r="I340">
        <v>416813.59284177399</v>
      </c>
      <c r="J340">
        <v>0.458766440432131</v>
      </c>
      <c r="K340" t="str">
        <f t="shared" si="40"/>
        <v>OK</v>
      </c>
      <c r="L340" t="str">
        <f t="shared" si="41"/>
        <v>OK</v>
      </c>
      <c r="M340" t="str">
        <f>IF(OR(B340&lt;$AE$20,B340&gt;$AF$20),"Outlier","OK")</f>
        <v>OK</v>
      </c>
      <c r="N340" t="str">
        <f>IF(OR(J340&lt;$AE$21,J340&gt;$AF$21),"Outlier","OK")</f>
        <v>OK</v>
      </c>
      <c r="O340" t="str">
        <f>IF(OR(C340&lt;0,C340&gt;1),"Outlier","OK")</f>
        <v>OK</v>
      </c>
      <c r="P340" t="str">
        <f>IF(OR(D340&lt;0,D340&gt;1),"Outlier","OK")</f>
        <v>OK</v>
      </c>
      <c r="Q340" t="str">
        <f t="shared" si="42"/>
        <v>40-60%</v>
      </c>
      <c r="R340" t="str">
        <f>IF(B340="","Missing","OK")</f>
        <v>OK</v>
      </c>
      <c r="S340" t="str">
        <f>IF(E340="","Missing","OK")</f>
        <v>OK</v>
      </c>
      <c r="T340" t="str">
        <f t="shared" si="43"/>
        <v>OK</v>
      </c>
      <c r="U340">
        <f>COUNTIF($A:$A,A340)</f>
        <v>1</v>
      </c>
      <c r="V340" t="str">
        <f t="shared" si="44"/>
        <v>OK</v>
      </c>
      <c r="W340" t="str">
        <f>IF(I340&gt;B340,"ERROR","OK")</f>
        <v>OK</v>
      </c>
      <c r="X340">
        <f>(B340-I340)/B340</f>
        <v>0.45876644043213133</v>
      </c>
      <c r="Y340" s="2">
        <f t="shared" si="45"/>
        <v>3.3306690738754696E-16</v>
      </c>
      <c r="Z340" s="2" t="str">
        <f t="shared" si="46"/>
        <v>OK</v>
      </c>
      <c r="AA340" t="str">
        <f t="shared" si="47"/>
        <v>Unique</v>
      </c>
    </row>
    <row r="341" spans="1:27" x14ac:dyDescent="0.3">
      <c r="A341">
        <v>340</v>
      </c>
      <c r="B341">
        <v>522328.62265992101</v>
      </c>
      <c r="C341">
        <v>0.68401788904418104</v>
      </c>
      <c r="D341">
        <v>1.77233269149348E-3</v>
      </c>
      <c r="E341">
        <v>0.50999181789684001</v>
      </c>
      <c r="F341">
        <v>1</v>
      </c>
      <c r="G341" t="s">
        <v>10</v>
      </c>
      <c r="H341">
        <v>0</v>
      </c>
      <c r="I341">
        <v>266383.32380988501</v>
      </c>
      <c r="J341">
        <v>0.490008182103159</v>
      </c>
      <c r="K341" t="str">
        <f t="shared" si="40"/>
        <v>OK</v>
      </c>
      <c r="L341" t="str">
        <f t="shared" si="41"/>
        <v>OK</v>
      </c>
      <c r="M341" t="str">
        <f>IF(OR(B341&lt;$AE$20,B341&gt;$AF$20),"Outlier","OK")</f>
        <v>OK</v>
      </c>
      <c r="N341" t="str">
        <f>IF(OR(J341&lt;$AE$21,J341&gt;$AF$21),"Outlier","OK")</f>
        <v>OK</v>
      </c>
      <c r="O341" t="str">
        <f>IF(OR(C341&lt;0,C341&gt;1),"Outlier","OK")</f>
        <v>OK</v>
      </c>
      <c r="P341" t="str">
        <f>IF(OR(D341&lt;0,D341&gt;1),"Outlier","OK")</f>
        <v>OK</v>
      </c>
      <c r="Q341" t="str">
        <f t="shared" si="42"/>
        <v>40-60%</v>
      </c>
      <c r="R341" t="str">
        <f>IF(B341="","Missing","OK")</f>
        <v>OK</v>
      </c>
      <c r="S341" t="str">
        <f>IF(E341="","Missing","OK")</f>
        <v>OK</v>
      </c>
      <c r="T341" t="str">
        <f t="shared" si="43"/>
        <v>OK</v>
      </c>
      <c r="U341">
        <f>COUNTIF($A:$A,A341)</f>
        <v>1</v>
      </c>
      <c r="V341" t="str">
        <f t="shared" si="44"/>
        <v>OK</v>
      </c>
      <c r="W341" t="str">
        <f>IF(I341&gt;B341,"ERROR","OK")</f>
        <v>OK</v>
      </c>
      <c r="X341">
        <f>(B341-I341)/B341</f>
        <v>0.49000818210316127</v>
      </c>
      <c r="Y341" s="2">
        <f t="shared" si="45"/>
        <v>2.2759572004815709E-15</v>
      </c>
      <c r="Z341" s="2" t="str">
        <f t="shared" si="46"/>
        <v>OK</v>
      </c>
      <c r="AA341" t="str">
        <f t="shared" si="47"/>
        <v>Unique</v>
      </c>
    </row>
    <row r="342" spans="1:27" x14ac:dyDescent="0.3">
      <c r="A342">
        <v>341</v>
      </c>
      <c r="B342">
        <v>1878453.2957416601</v>
      </c>
      <c r="C342">
        <v>0.566057382945656</v>
      </c>
      <c r="D342">
        <v>1.5304697012842299E-2</v>
      </c>
      <c r="E342">
        <v>0.430463669359269</v>
      </c>
      <c r="F342">
        <v>1</v>
      </c>
      <c r="G342" t="s">
        <v>13</v>
      </c>
      <c r="H342">
        <v>1</v>
      </c>
      <c r="I342">
        <v>808605.89840496797</v>
      </c>
      <c r="J342">
        <v>0.56953633064072995</v>
      </c>
      <c r="K342" t="str">
        <f t="shared" si="40"/>
        <v>OK</v>
      </c>
      <c r="L342" t="str">
        <f t="shared" si="41"/>
        <v>OK</v>
      </c>
      <c r="M342" t="str">
        <f>IF(OR(B342&lt;$AE$20,B342&gt;$AF$20),"Outlier","OK")</f>
        <v>OK</v>
      </c>
      <c r="N342" t="str">
        <f>IF(OR(J342&lt;$AE$21,J342&gt;$AF$21),"Outlier","OK")</f>
        <v>OK</v>
      </c>
      <c r="O342" t="str">
        <f>IF(OR(C342&lt;0,C342&gt;1),"Outlier","OK")</f>
        <v>OK</v>
      </c>
      <c r="P342" t="str">
        <f>IF(OR(D342&lt;0,D342&gt;1),"Outlier","OK")</f>
        <v>OK</v>
      </c>
      <c r="Q342" t="str">
        <f t="shared" si="42"/>
        <v>40-60%</v>
      </c>
      <c r="R342" t="str">
        <f>IF(B342="","Missing","OK")</f>
        <v>OK</v>
      </c>
      <c r="S342" t="str">
        <f>IF(E342="","Missing","OK")</f>
        <v>OK</v>
      </c>
      <c r="T342" t="str">
        <f t="shared" si="43"/>
        <v>OK</v>
      </c>
      <c r="U342">
        <f>COUNTIF($A:$A,A342)</f>
        <v>1</v>
      </c>
      <c r="V342" t="str">
        <f t="shared" si="44"/>
        <v>OK</v>
      </c>
      <c r="W342" t="str">
        <f>IF(I342&gt;B342,"ERROR","OK")</f>
        <v>OK</v>
      </c>
      <c r="X342">
        <f>(B342-I342)/B342</f>
        <v>0.5695363306407305</v>
      </c>
      <c r="Y342" s="2">
        <f t="shared" si="45"/>
        <v>5.5511151231257827E-16</v>
      </c>
      <c r="Z342" s="2" t="str">
        <f t="shared" si="46"/>
        <v>OK</v>
      </c>
      <c r="AA342" t="str">
        <f t="shared" si="47"/>
        <v>Unique</v>
      </c>
    </row>
    <row r="343" spans="1:27" x14ac:dyDescent="0.3">
      <c r="A343">
        <v>342</v>
      </c>
      <c r="B343">
        <v>1820621.61314292</v>
      </c>
      <c r="C343">
        <v>0.51395406112791897</v>
      </c>
      <c r="D343">
        <v>-0.15200271988824601</v>
      </c>
      <c r="E343">
        <v>0.250259567648907</v>
      </c>
      <c r="F343">
        <v>1</v>
      </c>
      <c r="G343" t="s">
        <v>12</v>
      </c>
      <c r="H343">
        <v>1</v>
      </c>
      <c r="I343">
        <v>455627.97775740398</v>
      </c>
      <c r="J343">
        <v>0.749740432351093</v>
      </c>
      <c r="K343" t="str">
        <f t="shared" si="40"/>
        <v>OK</v>
      </c>
      <c r="L343" t="str">
        <f t="shared" si="41"/>
        <v>OK</v>
      </c>
      <c r="M343" t="str">
        <f>IF(OR(B343&lt;$AE$20,B343&gt;$AF$20),"Outlier","OK")</f>
        <v>OK</v>
      </c>
      <c r="N343" t="str">
        <f>IF(OR(J343&lt;$AE$21,J343&gt;$AF$21),"Outlier","OK")</f>
        <v>OK</v>
      </c>
      <c r="O343" t="str">
        <f>IF(OR(C343&lt;0,C343&gt;1),"Outlier","OK")</f>
        <v>OK</v>
      </c>
      <c r="P343" t="str">
        <f>IF(OR(D343&lt;0,D343&gt;1),"Outlier","OK")</f>
        <v>Outlier</v>
      </c>
      <c r="Q343" t="str">
        <f t="shared" si="42"/>
        <v>60-80%</v>
      </c>
      <c r="R343" t="str">
        <f>IF(B343="","Missing","OK")</f>
        <v>OK</v>
      </c>
      <c r="S343" t="str">
        <f>IF(E343="","Missing","OK")</f>
        <v>OK</v>
      </c>
      <c r="T343" t="str">
        <f t="shared" si="43"/>
        <v>OK</v>
      </c>
      <c r="U343">
        <f>COUNTIF($A:$A,A343)</f>
        <v>1</v>
      </c>
      <c r="V343" t="str">
        <f t="shared" si="44"/>
        <v>OK</v>
      </c>
      <c r="W343" t="str">
        <f>IF(I343&gt;B343,"ERROR","OK")</f>
        <v>OK</v>
      </c>
      <c r="X343">
        <f>(B343-I343)/B343</f>
        <v>0.74974043235109245</v>
      </c>
      <c r="Y343" s="2">
        <f t="shared" si="45"/>
        <v>5.5511151231257827E-16</v>
      </c>
      <c r="Z343" s="2" t="str">
        <f t="shared" si="46"/>
        <v>OK</v>
      </c>
      <c r="AA343" t="str">
        <f t="shared" si="47"/>
        <v>Unique</v>
      </c>
    </row>
    <row r="344" spans="1:27" x14ac:dyDescent="0.3">
      <c r="A344">
        <v>343</v>
      </c>
      <c r="B344">
        <v>730154.76636963198</v>
      </c>
      <c r="C344">
        <v>0.89644685045417705</v>
      </c>
      <c r="D344">
        <v>-8.3925400585988505E-2</v>
      </c>
      <c r="E344">
        <v>0.167446127667432</v>
      </c>
      <c r="F344">
        <v>1</v>
      </c>
      <c r="G344" t="s">
        <v>12</v>
      </c>
      <c r="H344">
        <v>0</v>
      </c>
      <c r="I344">
        <v>122261.58822651301</v>
      </c>
      <c r="J344">
        <v>0.83255387233256695</v>
      </c>
      <c r="K344" t="str">
        <f t="shared" si="40"/>
        <v>OK</v>
      </c>
      <c r="L344" t="str">
        <f t="shared" si="41"/>
        <v>OK</v>
      </c>
      <c r="M344" t="str">
        <f>IF(OR(B344&lt;$AE$20,B344&gt;$AF$20),"Outlier","OK")</f>
        <v>OK</v>
      </c>
      <c r="N344" t="str">
        <f>IF(OR(J344&lt;$AE$21,J344&gt;$AF$21),"Outlier","OK")</f>
        <v>OK</v>
      </c>
      <c r="O344" t="str">
        <f>IF(OR(C344&lt;0,C344&gt;1),"Outlier","OK")</f>
        <v>OK</v>
      </c>
      <c r="P344" t="str">
        <f>IF(OR(D344&lt;0,D344&gt;1),"Outlier","OK")</f>
        <v>Outlier</v>
      </c>
      <c r="Q344" t="str">
        <f t="shared" si="42"/>
        <v>80-100%</v>
      </c>
      <c r="R344" t="str">
        <f>IF(B344="","Missing","OK")</f>
        <v>OK</v>
      </c>
      <c r="S344" t="str">
        <f>IF(E344="","Missing","OK")</f>
        <v>OK</v>
      </c>
      <c r="T344" t="str">
        <f t="shared" si="43"/>
        <v>OK</v>
      </c>
      <c r="U344">
        <f>COUNTIF($A:$A,A344)</f>
        <v>1</v>
      </c>
      <c r="V344" t="str">
        <f t="shared" si="44"/>
        <v>OK</v>
      </c>
      <c r="W344" t="str">
        <f>IF(I344&gt;B344,"ERROR","OK")</f>
        <v>OK</v>
      </c>
      <c r="X344">
        <f>(B344-I344)/B344</f>
        <v>0.8325538723325685</v>
      </c>
      <c r="Y344" s="2">
        <f t="shared" si="45"/>
        <v>1.5543122344752192E-15</v>
      </c>
      <c r="Z344" s="2" t="str">
        <f t="shared" si="46"/>
        <v>OK</v>
      </c>
      <c r="AA344" t="str">
        <f t="shared" si="47"/>
        <v>Unique</v>
      </c>
    </row>
    <row r="345" spans="1:27" x14ac:dyDescent="0.3">
      <c r="A345">
        <v>344</v>
      </c>
      <c r="B345">
        <v>1287544.23700319</v>
      </c>
      <c r="C345">
        <v>0.85556549846669105</v>
      </c>
      <c r="D345">
        <v>0.18586839960769599</v>
      </c>
      <c r="E345">
        <v>0.23719761388267899</v>
      </c>
      <c r="F345">
        <v>1</v>
      </c>
      <c r="G345" t="s">
        <v>11</v>
      </c>
      <c r="H345">
        <v>1</v>
      </c>
      <c r="I345">
        <v>305402.42078555102</v>
      </c>
      <c r="J345">
        <v>0.76280238611731999</v>
      </c>
      <c r="K345" t="str">
        <f t="shared" si="40"/>
        <v>OK</v>
      </c>
      <c r="L345" t="str">
        <f t="shared" si="41"/>
        <v>OK</v>
      </c>
      <c r="M345" t="str">
        <f>IF(OR(B345&lt;$AE$20,B345&gt;$AF$20),"Outlier","OK")</f>
        <v>OK</v>
      </c>
      <c r="N345" t="str">
        <f>IF(OR(J345&lt;$AE$21,J345&gt;$AF$21),"Outlier","OK")</f>
        <v>OK</v>
      </c>
      <c r="O345" t="str">
        <f>IF(OR(C345&lt;0,C345&gt;1),"Outlier","OK")</f>
        <v>OK</v>
      </c>
      <c r="P345" t="str">
        <f>IF(OR(D345&lt;0,D345&gt;1),"Outlier","OK")</f>
        <v>OK</v>
      </c>
      <c r="Q345" t="str">
        <f t="shared" si="42"/>
        <v>60-80%</v>
      </c>
      <c r="R345" t="str">
        <f>IF(B345="","Missing","OK")</f>
        <v>OK</v>
      </c>
      <c r="S345" t="str">
        <f>IF(E345="","Missing","OK")</f>
        <v>OK</v>
      </c>
      <c r="T345" t="str">
        <f t="shared" si="43"/>
        <v>OK</v>
      </c>
      <c r="U345">
        <f>COUNTIF($A:$A,A345)</f>
        <v>1</v>
      </c>
      <c r="V345" t="str">
        <f t="shared" si="44"/>
        <v>OK</v>
      </c>
      <c r="W345" t="str">
        <f>IF(I345&gt;B345,"ERROR","OK")</f>
        <v>OK</v>
      </c>
      <c r="X345">
        <f>(B345-I345)/B345</f>
        <v>0.76280238611732121</v>
      </c>
      <c r="Y345" s="2">
        <f t="shared" si="45"/>
        <v>1.2212453270876722E-15</v>
      </c>
      <c r="Z345" s="2" t="str">
        <f t="shared" si="46"/>
        <v>OK</v>
      </c>
      <c r="AA345" t="str">
        <f t="shared" si="47"/>
        <v>Unique</v>
      </c>
    </row>
    <row r="346" spans="1:27" x14ac:dyDescent="0.3">
      <c r="A346">
        <v>345</v>
      </c>
      <c r="B346">
        <v>583992.31272349705</v>
      </c>
      <c r="C346">
        <v>0.78542682754390902</v>
      </c>
      <c r="D346">
        <v>-0.178641966819896</v>
      </c>
      <c r="E346">
        <v>0.18949845152501099</v>
      </c>
      <c r="F346">
        <v>1</v>
      </c>
      <c r="G346" t="s">
        <v>10</v>
      </c>
      <c r="H346">
        <v>0</v>
      </c>
      <c r="I346">
        <v>110665.638963612</v>
      </c>
      <c r="J346">
        <v>0.81050154847498801</v>
      </c>
      <c r="K346" t="str">
        <f t="shared" si="40"/>
        <v>OK</v>
      </c>
      <c r="L346" t="str">
        <f t="shared" si="41"/>
        <v>OK</v>
      </c>
      <c r="M346" t="str">
        <f>IF(OR(B346&lt;$AE$20,B346&gt;$AF$20),"Outlier","OK")</f>
        <v>OK</v>
      </c>
      <c r="N346" t="str">
        <f>IF(OR(J346&lt;$AE$21,J346&gt;$AF$21),"Outlier","OK")</f>
        <v>OK</v>
      </c>
      <c r="O346" t="str">
        <f>IF(OR(C346&lt;0,C346&gt;1),"Outlier","OK")</f>
        <v>OK</v>
      </c>
      <c r="P346" t="str">
        <f>IF(OR(D346&lt;0,D346&gt;1),"Outlier","OK")</f>
        <v>Outlier</v>
      </c>
      <c r="Q346" t="str">
        <f t="shared" si="42"/>
        <v>80-100%</v>
      </c>
      <c r="R346" t="str">
        <f>IF(B346="","Missing","OK")</f>
        <v>OK</v>
      </c>
      <c r="S346" t="str">
        <f>IF(E346="","Missing","OK")</f>
        <v>OK</v>
      </c>
      <c r="T346" t="str">
        <f t="shared" si="43"/>
        <v>OK</v>
      </c>
      <c r="U346">
        <f>COUNTIF($A:$A,A346)</f>
        <v>1</v>
      </c>
      <c r="V346" t="str">
        <f t="shared" si="44"/>
        <v>OK</v>
      </c>
      <c r="W346" t="str">
        <f>IF(I346&gt;B346,"ERROR","OK")</f>
        <v>OK</v>
      </c>
      <c r="X346">
        <f>(B346-I346)/B346</f>
        <v>0.81050154847499012</v>
      </c>
      <c r="Y346" s="2">
        <f t="shared" si="45"/>
        <v>2.1094237467877974E-15</v>
      </c>
      <c r="Z346" s="2" t="str">
        <f t="shared" si="46"/>
        <v>OK</v>
      </c>
      <c r="AA346" t="str">
        <f t="shared" si="47"/>
        <v>Unique</v>
      </c>
    </row>
    <row r="347" spans="1:27" x14ac:dyDescent="0.3">
      <c r="A347">
        <v>346</v>
      </c>
      <c r="B347">
        <v>451924.500991459</v>
      </c>
      <c r="C347">
        <v>0.34004505770918603</v>
      </c>
      <c r="D347">
        <v>0.186358973604413</v>
      </c>
      <c r="E347">
        <v>0.57456825648337695</v>
      </c>
      <c r="F347">
        <v>1</v>
      </c>
      <c r="G347" t="s">
        <v>12</v>
      </c>
      <c r="H347">
        <v>1</v>
      </c>
      <c r="I347">
        <v>259661.47259678299</v>
      </c>
      <c r="J347">
        <v>0.425431743516622</v>
      </c>
      <c r="K347" t="str">
        <f t="shared" si="40"/>
        <v>OK</v>
      </c>
      <c r="L347" t="str">
        <f t="shared" si="41"/>
        <v>OK</v>
      </c>
      <c r="M347" t="str">
        <f>IF(OR(B347&lt;$AE$20,B347&gt;$AF$20),"Outlier","OK")</f>
        <v>OK</v>
      </c>
      <c r="N347" t="str">
        <f>IF(OR(J347&lt;$AE$21,J347&gt;$AF$21),"Outlier","OK")</f>
        <v>OK</v>
      </c>
      <c r="O347" t="str">
        <f>IF(OR(C347&lt;0,C347&gt;1),"Outlier","OK")</f>
        <v>OK</v>
      </c>
      <c r="P347" t="str">
        <f>IF(OR(D347&lt;0,D347&gt;1),"Outlier","OK")</f>
        <v>OK</v>
      </c>
      <c r="Q347" t="str">
        <f t="shared" si="42"/>
        <v>40-60%</v>
      </c>
      <c r="R347" t="str">
        <f>IF(B347="","Missing","OK")</f>
        <v>OK</v>
      </c>
      <c r="S347" t="str">
        <f>IF(E347="","Missing","OK")</f>
        <v>OK</v>
      </c>
      <c r="T347" t="str">
        <f t="shared" si="43"/>
        <v>OK</v>
      </c>
      <c r="U347">
        <f>COUNTIF($A:$A,A347)</f>
        <v>1</v>
      </c>
      <c r="V347" t="str">
        <f t="shared" si="44"/>
        <v>OK</v>
      </c>
      <c r="W347" t="str">
        <f>IF(I347&gt;B347,"ERROR","OK")</f>
        <v>OK</v>
      </c>
      <c r="X347">
        <f>(B347-I347)/B347</f>
        <v>0.42543174351662255</v>
      </c>
      <c r="Y347" s="2">
        <f t="shared" si="45"/>
        <v>5.5511151231257827E-16</v>
      </c>
      <c r="Z347" s="2" t="str">
        <f t="shared" si="46"/>
        <v>OK</v>
      </c>
      <c r="AA347" t="str">
        <f t="shared" si="47"/>
        <v>Unique</v>
      </c>
    </row>
    <row r="348" spans="1:27" x14ac:dyDescent="0.3">
      <c r="A348">
        <v>347</v>
      </c>
      <c r="B348">
        <v>705862.08154374897</v>
      </c>
      <c r="C348">
        <v>0.87229300235471496</v>
      </c>
      <c r="D348">
        <v>3.3517433094025197E-2</v>
      </c>
      <c r="E348">
        <v>0.29800656257578001</v>
      </c>
      <c r="F348">
        <v>1</v>
      </c>
      <c r="G348" t="s">
        <v>13</v>
      </c>
      <c r="H348">
        <v>0</v>
      </c>
      <c r="I348">
        <v>210351.532573437</v>
      </c>
      <c r="J348">
        <v>0.70199343742421905</v>
      </c>
      <c r="K348" t="str">
        <f t="shared" si="40"/>
        <v>OK</v>
      </c>
      <c r="L348" t="str">
        <f t="shared" si="41"/>
        <v>OK</v>
      </c>
      <c r="M348" t="str">
        <f>IF(OR(B348&lt;$AE$20,B348&gt;$AF$20),"Outlier","OK")</f>
        <v>OK</v>
      </c>
      <c r="N348" t="str">
        <f>IF(OR(J348&lt;$AE$21,J348&gt;$AF$21),"Outlier","OK")</f>
        <v>OK</v>
      </c>
      <c r="O348" t="str">
        <f>IF(OR(C348&lt;0,C348&gt;1),"Outlier","OK")</f>
        <v>OK</v>
      </c>
      <c r="P348" t="str">
        <f>IF(OR(D348&lt;0,D348&gt;1),"Outlier","OK")</f>
        <v>OK</v>
      </c>
      <c r="Q348" t="str">
        <f t="shared" si="42"/>
        <v>60-80%</v>
      </c>
      <c r="R348" t="str">
        <f>IF(B348="","Missing","OK")</f>
        <v>OK</v>
      </c>
      <c r="S348" t="str">
        <f>IF(E348="","Missing","OK")</f>
        <v>OK</v>
      </c>
      <c r="T348" t="str">
        <f t="shared" si="43"/>
        <v>OK</v>
      </c>
      <c r="U348">
        <f>COUNTIF($A:$A,A348)</f>
        <v>1</v>
      </c>
      <c r="V348" t="str">
        <f t="shared" si="44"/>
        <v>OK</v>
      </c>
      <c r="W348" t="str">
        <f>IF(I348&gt;B348,"ERROR","OK")</f>
        <v>OK</v>
      </c>
      <c r="X348">
        <f>(B348-I348)/B348</f>
        <v>0.70199343742422082</v>
      </c>
      <c r="Y348" s="2">
        <f t="shared" si="45"/>
        <v>1.7763568394002505E-15</v>
      </c>
      <c r="Z348" s="2" t="str">
        <f t="shared" si="46"/>
        <v>OK</v>
      </c>
      <c r="AA348" t="str">
        <f t="shared" si="47"/>
        <v>Unique</v>
      </c>
    </row>
    <row r="349" spans="1:27" x14ac:dyDescent="0.3">
      <c r="A349">
        <v>348</v>
      </c>
      <c r="B349">
        <v>687844.79060022696</v>
      </c>
      <c r="C349">
        <v>0.74578419652761097</v>
      </c>
      <c r="D349">
        <v>6.9697147475577703E-2</v>
      </c>
      <c r="E349">
        <v>7.3220660742772198E-2</v>
      </c>
      <c r="F349">
        <v>1</v>
      </c>
      <c r="G349" t="s">
        <v>11</v>
      </c>
      <c r="H349">
        <v>1</v>
      </c>
      <c r="I349">
        <v>50364.450056222398</v>
      </c>
      <c r="J349">
        <v>0.926779339257227</v>
      </c>
      <c r="K349" t="str">
        <f t="shared" si="40"/>
        <v>OK</v>
      </c>
      <c r="L349" t="str">
        <f t="shared" si="41"/>
        <v>OK</v>
      </c>
      <c r="M349" t="str">
        <f>IF(OR(B349&lt;$AE$20,B349&gt;$AF$20),"Outlier","OK")</f>
        <v>OK</v>
      </c>
      <c r="N349" t="str">
        <f>IF(OR(J349&lt;$AE$21,J349&gt;$AF$21),"Outlier","OK")</f>
        <v>OK</v>
      </c>
      <c r="O349" t="str">
        <f>IF(OR(C349&lt;0,C349&gt;1),"Outlier","OK")</f>
        <v>OK</v>
      </c>
      <c r="P349" t="str">
        <f>IF(OR(D349&lt;0,D349&gt;1),"Outlier","OK")</f>
        <v>OK</v>
      </c>
      <c r="Q349" t="str">
        <f t="shared" si="42"/>
        <v>80-100%</v>
      </c>
      <c r="R349" t="str">
        <f>IF(B349="","Missing","OK")</f>
        <v>OK</v>
      </c>
      <c r="S349" t="str">
        <f>IF(E349="","Missing","OK")</f>
        <v>OK</v>
      </c>
      <c r="T349" t="str">
        <f t="shared" si="43"/>
        <v>OK</v>
      </c>
      <c r="U349">
        <f>COUNTIF($A:$A,A349)</f>
        <v>1</v>
      </c>
      <c r="V349" t="str">
        <f t="shared" si="44"/>
        <v>OK</v>
      </c>
      <c r="W349" t="str">
        <f>IF(I349&gt;B349,"ERROR","OK")</f>
        <v>OK</v>
      </c>
      <c r="X349">
        <f>(B349-I349)/B349</f>
        <v>0.92677933925722777</v>
      </c>
      <c r="Y349" s="2">
        <f t="shared" si="45"/>
        <v>7.7715611723760958E-16</v>
      </c>
      <c r="Z349" s="2" t="str">
        <f t="shared" si="46"/>
        <v>OK</v>
      </c>
      <c r="AA349" t="str">
        <f t="shared" si="47"/>
        <v>Unique</v>
      </c>
    </row>
    <row r="350" spans="1:27" x14ac:dyDescent="0.3">
      <c r="A350">
        <v>349</v>
      </c>
      <c r="B350">
        <v>1770438.3973334001</v>
      </c>
      <c r="C350">
        <v>0.69167518056674704</v>
      </c>
      <c r="D350">
        <v>-2.21245868249496E-2</v>
      </c>
      <c r="E350">
        <v>0.30554816204910201</v>
      </c>
      <c r="F350">
        <v>1</v>
      </c>
      <c r="G350" t="s">
        <v>10</v>
      </c>
      <c r="H350">
        <v>0</v>
      </c>
      <c r="I350">
        <v>540954.19832637894</v>
      </c>
      <c r="J350">
        <v>0.69445183795089704</v>
      </c>
      <c r="K350" t="str">
        <f t="shared" si="40"/>
        <v>OK</v>
      </c>
      <c r="L350" t="str">
        <f t="shared" si="41"/>
        <v>OK</v>
      </c>
      <c r="M350" t="str">
        <f>IF(OR(B350&lt;$AE$20,B350&gt;$AF$20),"Outlier","OK")</f>
        <v>OK</v>
      </c>
      <c r="N350" t="str">
        <f>IF(OR(J350&lt;$AE$21,J350&gt;$AF$21),"Outlier","OK")</f>
        <v>OK</v>
      </c>
      <c r="O350" t="str">
        <f>IF(OR(C350&lt;0,C350&gt;1),"Outlier","OK")</f>
        <v>OK</v>
      </c>
      <c r="P350" t="str">
        <f>IF(OR(D350&lt;0,D350&gt;1),"Outlier","OK")</f>
        <v>Outlier</v>
      </c>
      <c r="Q350" t="str">
        <f t="shared" si="42"/>
        <v>60-80%</v>
      </c>
      <c r="R350" t="str">
        <f>IF(B350="","Missing","OK")</f>
        <v>OK</v>
      </c>
      <c r="S350" t="str">
        <f>IF(E350="","Missing","OK")</f>
        <v>OK</v>
      </c>
      <c r="T350" t="str">
        <f t="shared" si="43"/>
        <v>OK</v>
      </c>
      <c r="U350">
        <f>COUNTIF($A:$A,A350)</f>
        <v>1</v>
      </c>
      <c r="V350" t="str">
        <f t="shared" si="44"/>
        <v>OK</v>
      </c>
      <c r="W350" t="str">
        <f>IF(I350&gt;B350,"ERROR","OK")</f>
        <v>OK</v>
      </c>
      <c r="X350">
        <f>(B350-I350)/B350</f>
        <v>0.6944518379508976</v>
      </c>
      <c r="Y350" s="2">
        <f t="shared" si="45"/>
        <v>5.5511151231257827E-16</v>
      </c>
      <c r="Z350" s="2" t="str">
        <f t="shared" si="46"/>
        <v>OK</v>
      </c>
      <c r="AA350" t="str">
        <f t="shared" si="47"/>
        <v>Unique</v>
      </c>
    </row>
    <row r="351" spans="1:27" x14ac:dyDescent="0.3">
      <c r="A351">
        <v>350</v>
      </c>
      <c r="B351">
        <v>1653492.43871126</v>
      </c>
      <c r="C351">
        <v>0.74235304858548201</v>
      </c>
      <c r="D351">
        <v>-0.12673006308319301</v>
      </c>
      <c r="E351">
        <v>0.62571608498285602</v>
      </c>
      <c r="F351">
        <v>1</v>
      </c>
      <c r="G351" t="s">
        <v>10</v>
      </c>
      <c r="H351">
        <v>1</v>
      </c>
      <c r="I351">
        <v>1034616.81529916</v>
      </c>
      <c r="J351">
        <v>0.37428391501714298</v>
      </c>
      <c r="K351" t="str">
        <f t="shared" si="40"/>
        <v>OK</v>
      </c>
      <c r="L351" t="str">
        <f t="shared" si="41"/>
        <v>OK</v>
      </c>
      <c r="M351" t="str">
        <f>IF(OR(B351&lt;$AE$20,B351&gt;$AF$20),"Outlier","OK")</f>
        <v>OK</v>
      </c>
      <c r="N351" t="str">
        <f>IF(OR(J351&lt;$AE$21,J351&gt;$AF$21),"Outlier","OK")</f>
        <v>OK</v>
      </c>
      <c r="O351" t="str">
        <f>IF(OR(C351&lt;0,C351&gt;1),"Outlier","OK")</f>
        <v>OK</v>
      </c>
      <c r="P351" t="str">
        <f>IF(OR(D351&lt;0,D351&gt;1),"Outlier","OK")</f>
        <v>Outlier</v>
      </c>
      <c r="Q351" t="str">
        <f t="shared" si="42"/>
        <v>20-40%</v>
      </c>
      <c r="R351" t="str">
        <f>IF(B351="","Missing","OK")</f>
        <v>OK</v>
      </c>
      <c r="S351" t="str">
        <f>IF(E351="","Missing","OK")</f>
        <v>OK</v>
      </c>
      <c r="T351" t="str">
        <f t="shared" si="43"/>
        <v>OK</v>
      </c>
      <c r="U351">
        <f>COUNTIF($A:$A,A351)</f>
        <v>1</v>
      </c>
      <c r="V351" t="str">
        <f t="shared" si="44"/>
        <v>OK</v>
      </c>
      <c r="W351" t="str">
        <f>IF(I351&gt;B351,"ERROR","OK")</f>
        <v>OK</v>
      </c>
      <c r="X351">
        <f>(B351-I351)/B351</f>
        <v>0.37428391501714681</v>
      </c>
      <c r="Y351" s="2">
        <f t="shared" si="45"/>
        <v>3.8302694349567901E-15</v>
      </c>
      <c r="Z351" s="2" t="str">
        <f t="shared" si="46"/>
        <v>OK</v>
      </c>
      <c r="AA351" t="str">
        <f t="shared" si="47"/>
        <v>Unique</v>
      </c>
    </row>
    <row r="352" spans="1:27" x14ac:dyDescent="0.3">
      <c r="A352">
        <v>351</v>
      </c>
      <c r="B352">
        <v>1433765.2956902401</v>
      </c>
      <c r="C352">
        <v>0.856869253728751</v>
      </c>
      <c r="D352">
        <v>-0.102868976833019</v>
      </c>
      <c r="E352">
        <v>0.36843488114575901</v>
      </c>
      <c r="F352">
        <v>1</v>
      </c>
      <c r="G352" t="s">
        <v>11</v>
      </c>
      <c r="H352">
        <v>0</v>
      </c>
      <c r="I352">
        <v>528249.14630854805</v>
      </c>
      <c r="J352">
        <v>0.63156511885424005</v>
      </c>
      <c r="K352" t="str">
        <f t="shared" si="40"/>
        <v>OK</v>
      </c>
      <c r="L352" t="str">
        <f t="shared" si="41"/>
        <v>OK</v>
      </c>
      <c r="M352" t="str">
        <f>IF(OR(B352&lt;$AE$20,B352&gt;$AF$20),"Outlier","OK")</f>
        <v>OK</v>
      </c>
      <c r="N352" t="str">
        <f>IF(OR(J352&lt;$AE$21,J352&gt;$AF$21),"Outlier","OK")</f>
        <v>OK</v>
      </c>
      <c r="O352" t="str">
        <f>IF(OR(C352&lt;0,C352&gt;1),"Outlier","OK")</f>
        <v>OK</v>
      </c>
      <c r="P352" t="str">
        <f>IF(OR(D352&lt;0,D352&gt;1),"Outlier","OK")</f>
        <v>Outlier</v>
      </c>
      <c r="Q352" t="str">
        <f t="shared" si="42"/>
        <v>60-80%</v>
      </c>
      <c r="R352" t="str">
        <f>IF(B352="","Missing","OK")</f>
        <v>OK</v>
      </c>
      <c r="S352" t="str">
        <f>IF(E352="","Missing","OK")</f>
        <v>OK</v>
      </c>
      <c r="T352" t="str">
        <f t="shared" si="43"/>
        <v>OK</v>
      </c>
      <c r="U352">
        <f>COUNTIF($A:$A,A352)</f>
        <v>1</v>
      </c>
      <c r="V352" t="str">
        <f t="shared" si="44"/>
        <v>OK</v>
      </c>
      <c r="W352" t="str">
        <f>IF(I352&gt;B352,"ERROR","OK")</f>
        <v>OK</v>
      </c>
      <c r="X352">
        <f>(B352-I352)/B352</f>
        <v>0.63156511885424071</v>
      </c>
      <c r="Y352" s="2">
        <f t="shared" si="45"/>
        <v>6.6613381477509392E-16</v>
      </c>
      <c r="Z352" s="2" t="str">
        <f t="shared" si="46"/>
        <v>OK</v>
      </c>
      <c r="AA352" t="str">
        <f t="shared" si="47"/>
        <v>Unique</v>
      </c>
    </row>
    <row r="353" spans="1:27" x14ac:dyDescent="0.3">
      <c r="A353">
        <v>352</v>
      </c>
      <c r="B353">
        <v>1920723.1892548399</v>
      </c>
      <c r="C353">
        <v>0.69880550454096202</v>
      </c>
      <c r="D353">
        <v>0.154312407065126</v>
      </c>
      <c r="E353">
        <v>0.39454617560569999</v>
      </c>
      <c r="F353">
        <v>1</v>
      </c>
      <c r="G353" t="s">
        <v>13</v>
      </c>
      <c r="H353">
        <v>1</v>
      </c>
      <c r="I353">
        <v>757813.98871768406</v>
      </c>
      <c r="J353">
        <v>0.60545382439429896</v>
      </c>
      <c r="K353" t="str">
        <f t="shared" si="40"/>
        <v>OK</v>
      </c>
      <c r="L353" t="str">
        <f t="shared" si="41"/>
        <v>OK</v>
      </c>
      <c r="M353" t="str">
        <f>IF(OR(B353&lt;$AE$20,B353&gt;$AF$20),"Outlier","OK")</f>
        <v>OK</v>
      </c>
      <c r="N353" t="str">
        <f>IF(OR(J353&lt;$AE$21,J353&gt;$AF$21),"Outlier","OK")</f>
        <v>OK</v>
      </c>
      <c r="O353" t="str">
        <f>IF(OR(C353&lt;0,C353&gt;1),"Outlier","OK")</f>
        <v>OK</v>
      </c>
      <c r="P353" t="str">
        <f>IF(OR(D353&lt;0,D353&gt;1),"Outlier","OK")</f>
        <v>OK</v>
      </c>
      <c r="Q353" t="str">
        <f t="shared" si="42"/>
        <v>60-80%</v>
      </c>
      <c r="R353" t="str">
        <f>IF(B353="","Missing","OK")</f>
        <v>OK</v>
      </c>
      <c r="S353" t="str">
        <f>IF(E353="","Missing","OK")</f>
        <v>OK</v>
      </c>
      <c r="T353" t="str">
        <f t="shared" si="43"/>
        <v>OK</v>
      </c>
      <c r="U353">
        <f>COUNTIF($A:$A,A353)</f>
        <v>1</v>
      </c>
      <c r="V353" t="str">
        <f t="shared" si="44"/>
        <v>OK</v>
      </c>
      <c r="W353" t="str">
        <f>IF(I353&gt;B353,"ERROR","OK")</f>
        <v>OK</v>
      </c>
      <c r="X353">
        <f>(B353-I353)/B353</f>
        <v>0.60545382439429796</v>
      </c>
      <c r="Y353" s="2">
        <f t="shared" si="45"/>
        <v>9.9920072216264089E-16</v>
      </c>
      <c r="Z353" s="2" t="str">
        <f t="shared" si="46"/>
        <v>OK</v>
      </c>
      <c r="AA353" t="str">
        <f t="shared" si="47"/>
        <v>Unique</v>
      </c>
    </row>
    <row r="354" spans="1:27" x14ac:dyDescent="0.3">
      <c r="A354">
        <v>353</v>
      </c>
      <c r="B354">
        <v>873959.53856071294</v>
      </c>
      <c r="C354">
        <v>0.63444967123840801</v>
      </c>
      <c r="D354">
        <v>0.121656899337311</v>
      </c>
      <c r="E354">
        <v>8.3438466698660396E-2</v>
      </c>
      <c r="F354">
        <v>1</v>
      </c>
      <c r="G354" t="s">
        <v>13</v>
      </c>
      <c r="H354">
        <v>0</v>
      </c>
      <c r="I354">
        <v>72921.843854174702</v>
      </c>
      <c r="J354">
        <v>0.91656153330133905</v>
      </c>
      <c r="K354" t="str">
        <f t="shared" si="40"/>
        <v>OK</v>
      </c>
      <c r="L354" t="str">
        <f t="shared" si="41"/>
        <v>OK</v>
      </c>
      <c r="M354" t="str">
        <f>IF(OR(B354&lt;$AE$20,B354&gt;$AF$20),"Outlier","OK")</f>
        <v>OK</v>
      </c>
      <c r="N354" t="str">
        <f>IF(OR(J354&lt;$AE$21,J354&gt;$AF$21),"Outlier","OK")</f>
        <v>OK</v>
      </c>
      <c r="O354" t="str">
        <f>IF(OR(C354&lt;0,C354&gt;1),"Outlier","OK")</f>
        <v>OK</v>
      </c>
      <c r="P354" t="str">
        <f>IF(OR(D354&lt;0,D354&gt;1),"Outlier","OK")</f>
        <v>OK</v>
      </c>
      <c r="Q354" t="str">
        <f t="shared" si="42"/>
        <v>80-100%</v>
      </c>
      <c r="R354" t="str">
        <f>IF(B354="","Missing","OK")</f>
        <v>OK</v>
      </c>
      <c r="S354" t="str">
        <f>IF(E354="","Missing","OK")</f>
        <v>OK</v>
      </c>
      <c r="T354" t="str">
        <f t="shared" si="43"/>
        <v>OK</v>
      </c>
      <c r="U354">
        <f>COUNTIF($A:$A,A354)</f>
        <v>1</v>
      </c>
      <c r="V354" t="str">
        <f t="shared" si="44"/>
        <v>OK</v>
      </c>
      <c r="W354" t="str">
        <f>IF(I354&gt;B354,"ERROR","OK")</f>
        <v>OK</v>
      </c>
      <c r="X354">
        <f>(B354-I354)/B354</f>
        <v>0.91656153330133949</v>
      </c>
      <c r="Y354" s="2">
        <f t="shared" si="45"/>
        <v>4.4408920985006262E-16</v>
      </c>
      <c r="Z354" s="2" t="str">
        <f t="shared" si="46"/>
        <v>OK</v>
      </c>
      <c r="AA354" t="str">
        <f t="shared" si="47"/>
        <v>Unique</v>
      </c>
    </row>
    <row r="355" spans="1:27" x14ac:dyDescent="0.3">
      <c r="A355">
        <v>354</v>
      </c>
      <c r="B355">
        <v>527814.42518356803</v>
      </c>
      <c r="C355">
        <v>0.87977140573461399</v>
      </c>
      <c r="D355">
        <v>-1.9769885689852598E-3</v>
      </c>
      <c r="E355">
        <v>0.57844674578632505</v>
      </c>
      <c r="F355">
        <v>1</v>
      </c>
      <c r="G355" t="s">
        <v>13</v>
      </c>
      <c r="H355">
        <v>0</v>
      </c>
      <c r="I355">
        <v>305312.53662651498</v>
      </c>
      <c r="J355">
        <v>0.42155325421367401</v>
      </c>
      <c r="K355" t="str">
        <f t="shared" si="40"/>
        <v>OK</v>
      </c>
      <c r="L355" t="str">
        <f t="shared" si="41"/>
        <v>OK</v>
      </c>
      <c r="M355" t="str">
        <f>IF(OR(B355&lt;$AE$20,B355&gt;$AF$20),"Outlier","OK")</f>
        <v>OK</v>
      </c>
      <c r="N355" t="str">
        <f>IF(OR(J355&lt;$AE$21,J355&gt;$AF$21),"Outlier","OK")</f>
        <v>OK</v>
      </c>
      <c r="O355" t="str">
        <f>IF(OR(C355&lt;0,C355&gt;1),"Outlier","OK")</f>
        <v>OK</v>
      </c>
      <c r="P355" t="str">
        <f>IF(OR(D355&lt;0,D355&gt;1),"Outlier","OK")</f>
        <v>Outlier</v>
      </c>
      <c r="Q355" t="str">
        <f t="shared" si="42"/>
        <v>40-60%</v>
      </c>
      <c r="R355" t="str">
        <f>IF(B355="","Missing","OK")</f>
        <v>OK</v>
      </c>
      <c r="S355" t="str">
        <f>IF(E355="","Missing","OK")</f>
        <v>OK</v>
      </c>
      <c r="T355" t="str">
        <f t="shared" si="43"/>
        <v>OK</v>
      </c>
      <c r="U355">
        <f>COUNTIF($A:$A,A355)</f>
        <v>1</v>
      </c>
      <c r="V355" t="str">
        <f t="shared" si="44"/>
        <v>OK</v>
      </c>
      <c r="W355" t="str">
        <f>IF(I355&gt;B355,"ERROR","OK")</f>
        <v>OK</v>
      </c>
      <c r="X355">
        <f>(B355-I355)/B355</f>
        <v>0.42155325421367434</v>
      </c>
      <c r="Y355" s="2">
        <f t="shared" si="45"/>
        <v>3.3306690738754696E-16</v>
      </c>
      <c r="Z355" s="2" t="str">
        <f t="shared" si="46"/>
        <v>OK</v>
      </c>
      <c r="AA355" t="str">
        <f t="shared" si="47"/>
        <v>Unique</v>
      </c>
    </row>
    <row r="356" spans="1:27" x14ac:dyDescent="0.3">
      <c r="A356">
        <v>355</v>
      </c>
      <c r="B356">
        <v>278926.95252340398</v>
      </c>
      <c r="C356">
        <v>0.65390489922963102</v>
      </c>
      <c r="D356">
        <v>-0.128944425769453</v>
      </c>
      <c r="E356">
        <v>0.17775150207652399</v>
      </c>
      <c r="F356">
        <v>1</v>
      </c>
      <c r="G356" t="s">
        <v>11</v>
      </c>
      <c r="H356">
        <v>0</v>
      </c>
      <c r="I356">
        <v>49579.684780662399</v>
      </c>
      <c r="J356">
        <v>0.82224849792347499</v>
      </c>
      <c r="K356" t="str">
        <f t="shared" si="40"/>
        <v>OK</v>
      </c>
      <c r="L356" t="str">
        <f t="shared" si="41"/>
        <v>OK</v>
      </c>
      <c r="M356" t="str">
        <f>IF(OR(B356&lt;$AE$20,B356&gt;$AF$20),"Outlier","OK")</f>
        <v>OK</v>
      </c>
      <c r="N356" t="str">
        <f>IF(OR(J356&lt;$AE$21,J356&gt;$AF$21),"Outlier","OK")</f>
        <v>OK</v>
      </c>
      <c r="O356" t="str">
        <f>IF(OR(C356&lt;0,C356&gt;1),"Outlier","OK")</f>
        <v>OK</v>
      </c>
      <c r="P356" t="str">
        <f>IF(OR(D356&lt;0,D356&gt;1),"Outlier","OK")</f>
        <v>Outlier</v>
      </c>
      <c r="Q356" t="str">
        <f t="shared" si="42"/>
        <v>80-100%</v>
      </c>
      <c r="R356" t="str">
        <f>IF(B356="","Missing","OK")</f>
        <v>OK</v>
      </c>
      <c r="S356" t="str">
        <f>IF(E356="","Missing","OK")</f>
        <v>OK</v>
      </c>
      <c r="T356" t="str">
        <f t="shared" si="43"/>
        <v>OK</v>
      </c>
      <c r="U356">
        <f>COUNTIF($A:$A,A356)</f>
        <v>1</v>
      </c>
      <c r="V356" t="str">
        <f t="shared" si="44"/>
        <v>OK</v>
      </c>
      <c r="W356" t="str">
        <f>IF(I356&gt;B356,"ERROR","OK")</f>
        <v>OK</v>
      </c>
      <c r="X356">
        <f>(B356-I356)/B356</f>
        <v>0.82224849792347576</v>
      </c>
      <c r="Y356" s="2">
        <f t="shared" si="45"/>
        <v>7.7715611723760958E-16</v>
      </c>
      <c r="Z356" s="2" t="str">
        <f t="shared" si="46"/>
        <v>OK</v>
      </c>
      <c r="AA356" t="str">
        <f t="shared" si="47"/>
        <v>Unique</v>
      </c>
    </row>
    <row r="357" spans="1:27" x14ac:dyDescent="0.3">
      <c r="A357">
        <v>356</v>
      </c>
      <c r="B357">
        <v>637054.04849233897</v>
      </c>
      <c r="C357">
        <v>0.37996509435925002</v>
      </c>
      <c r="D357">
        <v>5.0348026766012501E-2</v>
      </c>
      <c r="E357">
        <v>0.38719382898683402</v>
      </c>
      <c r="F357">
        <v>1</v>
      </c>
      <c r="G357" t="s">
        <v>11</v>
      </c>
      <c r="H357">
        <v>1</v>
      </c>
      <c r="I357">
        <v>246663.396307313</v>
      </c>
      <c r="J357">
        <v>0.61280617101316504</v>
      </c>
      <c r="K357" t="str">
        <f t="shared" si="40"/>
        <v>OK</v>
      </c>
      <c r="L357" t="str">
        <f t="shared" si="41"/>
        <v>OK</v>
      </c>
      <c r="M357" t="str">
        <f>IF(OR(B357&lt;$AE$20,B357&gt;$AF$20),"Outlier","OK")</f>
        <v>OK</v>
      </c>
      <c r="N357" t="str">
        <f>IF(OR(J357&lt;$AE$21,J357&gt;$AF$21),"Outlier","OK")</f>
        <v>OK</v>
      </c>
      <c r="O357" t="str">
        <f>IF(OR(C357&lt;0,C357&gt;1),"Outlier","OK")</f>
        <v>OK</v>
      </c>
      <c r="P357" t="str">
        <f>IF(OR(D357&lt;0,D357&gt;1),"Outlier","OK")</f>
        <v>OK</v>
      </c>
      <c r="Q357" t="str">
        <f t="shared" si="42"/>
        <v>60-80%</v>
      </c>
      <c r="R357" t="str">
        <f>IF(B357="","Missing","OK")</f>
        <v>OK</v>
      </c>
      <c r="S357" t="str">
        <f>IF(E357="","Missing","OK")</f>
        <v>OK</v>
      </c>
      <c r="T357" t="str">
        <f t="shared" si="43"/>
        <v>OK</v>
      </c>
      <c r="U357">
        <f>COUNTIF($A:$A,A357)</f>
        <v>1</v>
      </c>
      <c r="V357" t="str">
        <f t="shared" si="44"/>
        <v>OK</v>
      </c>
      <c r="W357" t="str">
        <f>IF(I357&gt;B357,"ERROR","OK")</f>
        <v>OK</v>
      </c>
      <c r="X357">
        <f>(B357-I357)/B357</f>
        <v>0.61280617101316592</v>
      </c>
      <c r="Y357" s="2">
        <f t="shared" si="45"/>
        <v>8.8817841970012523E-16</v>
      </c>
      <c r="Z357" s="2" t="str">
        <f t="shared" si="46"/>
        <v>OK</v>
      </c>
      <c r="AA357" t="str">
        <f t="shared" si="47"/>
        <v>Unique</v>
      </c>
    </row>
    <row r="358" spans="1:27" x14ac:dyDescent="0.3">
      <c r="A358">
        <v>357</v>
      </c>
      <c r="B358">
        <v>333264.28124238399</v>
      </c>
      <c r="C358">
        <v>0.58384102094743195</v>
      </c>
      <c r="D358">
        <v>-0.16945439832183201</v>
      </c>
      <c r="E358">
        <v>0.27182405692380202</v>
      </c>
      <c r="F358">
        <v>1</v>
      </c>
      <c r="G358" t="s">
        <v>13</v>
      </c>
      <c r="H358">
        <v>1</v>
      </c>
      <c r="I358">
        <v>90589.248955100105</v>
      </c>
      <c r="J358">
        <v>0.72817594307619704</v>
      </c>
      <c r="K358" t="str">
        <f t="shared" si="40"/>
        <v>OK</v>
      </c>
      <c r="L358" t="str">
        <f t="shared" si="41"/>
        <v>OK</v>
      </c>
      <c r="M358" t="str">
        <f>IF(OR(B358&lt;$AE$20,B358&gt;$AF$20),"Outlier","OK")</f>
        <v>OK</v>
      </c>
      <c r="N358" t="str">
        <f>IF(OR(J358&lt;$AE$21,J358&gt;$AF$21),"Outlier","OK")</f>
        <v>OK</v>
      </c>
      <c r="O358" t="str">
        <f>IF(OR(C358&lt;0,C358&gt;1),"Outlier","OK")</f>
        <v>OK</v>
      </c>
      <c r="P358" t="str">
        <f>IF(OR(D358&lt;0,D358&gt;1),"Outlier","OK")</f>
        <v>Outlier</v>
      </c>
      <c r="Q358" t="str">
        <f t="shared" si="42"/>
        <v>60-80%</v>
      </c>
      <c r="R358" t="str">
        <f>IF(B358="","Missing","OK")</f>
        <v>OK</v>
      </c>
      <c r="S358" t="str">
        <f>IF(E358="","Missing","OK")</f>
        <v>OK</v>
      </c>
      <c r="T358" t="str">
        <f t="shared" si="43"/>
        <v>OK</v>
      </c>
      <c r="U358">
        <f>COUNTIF($A:$A,A358)</f>
        <v>1</v>
      </c>
      <c r="V358" t="str">
        <f t="shared" si="44"/>
        <v>OK</v>
      </c>
      <c r="W358" t="str">
        <f>IF(I358&gt;B358,"ERROR","OK")</f>
        <v>OK</v>
      </c>
      <c r="X358">
        <f>(B358-I358)/B358</f>
        <v>0.72817594307619693</v>
      </c>
      <c r="Y358" s="2">
        <f t="shared" si="45"/>
        <v>1.1102230246251565E-16</v>
      </c>
      <c r="Z358" s="2" t="str">
        <f t="shared" si="46"/>
        <v>OK</v>
      </c>
      <c r="AA358" t="str">
        <f t="shared" si="47"/>
        <v>Unique</v>
      </c>
    </row>
    <row r="359" spans="1:27" x14ac:dyDescent="0.3">
      <c r="A359">
        <v>358</v>
      </c>
      <c r="B359">
        <v>229762.88986832101</v>
      </c>
      <c r="C359">
        <v>0.83746706756247202</v>
      </c>
      <c r="D359">
        <v>-0.17746453797786799</v>
      </c>
      <c r="E359">
        <v>0.275528578944153</v>
      </c>
      <c r="F359">
        <v>1</v>
      </c>
      <c r="G359" t="s">
        <v>10</v>
      </c>
      <c r="H359">
        <v>0</v>
      </c>
      <c r="I359">
        <v>63306.242539520601</v>
      </c>
      <c r="J359">
        <v>0.72447142105584605</v>
      </c>
      <c r="K359" t="str">
        <f t="shared" si="40"/>
        <v>OK</v>
      </c>
      <c r="L359" t="str">
        <f t="shared" si="41"/>
        <v>OK</v>
      </c>
      <c r="M359" t="str">
        <f>IF(OR(B359&lt;$AE$20,B359&gt;$AF$20),"Outlier","OK")</f>
        <v>OK</v>
      </c>
      <c r="N359" t="str">
        <f>IF(OR(J359&lt;$AE$21,J359&gt;$AF$21),"Outlier","OK")</f>
        <v>OK</v>
      </c>
      <c r="O359" t="str">
        <f>IF(OR(C359&lt;0,C359&gt;1),"Outlier","OK")</f>
        <v>OK</v>
      </c>
      <c r="P359" t="str">
        <f>IF(OR(D359&lt;0,D359&gt;1),"Outlier","OK")</f>
        <v>Outlier</v>
      </c>
      <c r="Q359" t="str">
        <f t="shared" si="42"/>
        <v>60-80%</v>
      </c>
      <c r="R359" t="str">
        <f>IF(B359="","Missing","OK")</f>
        <v>OK</v>
      </c>
      <c r="S359" t="str">
        <f>IF(E359="","Missing","OK")</f>
        <v>OK</v>
      </c>
      <c r="T359" t="str">
        <f t="shared" si="43"/>
        <v>OK</v>
      </c>
      <c r="U359">
        <f>COUNTIF($A:$A,A359)</f>
        <v>1</v>
      </c>
      <c r="V359" t="str">
        <f t="shared" si="44"/>
        <v>OK</v>
      </c>
      <c r="W359" t="str">
        <f>IF(I359&gt;B359,"ERROR","OK")</f>
        <v>OK</v>
      </c>
      <c r="X359">
        <f>(B359-I359)/B359</f>
        <v>0.72447142105584617</v>
      </c>
      <c r="Y359" s="2">
        <f t="shared" si="45"/>
        <v>1.1102230246251565E-16</v>
      </c>
      <c r="Z359" s="2" t="str">
        <f t="shared" si="46"/>
        <v>OK</v>
      </c>
      <c r="AA359" t="str">
        <f t="shared" si="47"/>
        <v>Unique</v>
      </c>
    </row>
    <row r="360" spans="1:27" x14ac:dyDescent="0.3">
      <c r="A360">
        <v>359</v>
      </c>
      <c r="B360">
        <v>1225717.7835784999</v>
      </c>
      <c r="C360">
        <v>0.71830488157176198</v>
      </c>
      <c r="D360">
        <v>-0.187089965842756</v>
      </c>
      <c r="E360">
        <v>0.12370755352678001</v>
      </c>
      <c r="F360">
        <v>1</v>
      </c>
      <c r="G360" t="s">
        <v>11</v>
      </c>
      <c r="H360">
        <v>1</v>
      </c>
      <c r="I360">
        <v>151630.54832076299</v>
      </c>
      <c r="J360">
        <v>0.87629244647321902</v>
      </c>
      <c r="K360" t="str">
        <f t="shared" si="40"/>
        <v>OK</v>
      </c>
      <c r="L360" t="str">
        <f t="shared" si="41"/>
        <v>OK</v>
      </c>
      <c r="M360" t="str">
        <f>IF(OR(B360&lt;$AE$20,B360&gt;$AF$20),"Outlier","OK")</f>
        <v>OK</v>
      </c>
      <c r="N360" t="str">
        <f>IF(OR(J360&lt;$AE$21,J360&gt;$AF$21),"Outlier","OK")</f>
        <v>OK</v>
      </c>
      <c r="O360" t="str">
        <f>IF(OR(C360&lt;0,C360&gt;1),"Outlier","OK")</f>
        <v>OK</v>
      </c>
      <c r="P360" t="str">
        <f>IF(OR(D360&lt;0,D360&gt;1),"Outlier","OK")</f>
        <v>Outlier</v>
      </c>
      <c r="Q360" t="str">
        <f t="shared" si="42"/>
        <v>80-100%</v>
      </c>
      <c r="R360" t="str">
        <f>IF(B360="","Missing","OK")</f>
        <v>OK</v>
      </c>
      <c r="S360" t="str">
        <f>IF(E360="","Missing","OK")</f>
        <v>OK</v>
      </c>
      <c r="T360" t="str">
        <f t="shared" si="43"/>
        <v>OK</v>
      </c>
      <c r="U360">
        <f>COUNTIF($A:$A,A360)</f>
        <v>1</v>
      </c>
      <c r="V360" t="str">
        <f t="shared" si="44"/>
        <v>OK</v>
      </c>
      <c r="W360" t="str">
        <f>IF(I360&gt;B360,"ERROR","OK")</f>
        <v>OK</v>
      </c>
      <c r="X360">
        <f>(B360-I360)/B360</f>
        <v>0.87629244647322035</v>
      </c>
      <c r="Y360" s="2">
        <f t="shared" si="45"/>
        <v>1.3322676295501878E-15</v>
      </c>
      <c r="Z360" s="2" t="str">
        <f t="shared" si="46"/>
        <v>OK</v>
      </c>
      <c r="AA360" t="str">
        <f t="shared" si="47"/>
        <v>Unique</v>
      </c>
    </row>
    <row r="361" spans="1:27" x14ac:dyDescent="0.3">
      <c r="A361">
        <v>360</v>
      </c>
      <c r="B361">
        <v>760165.52702507097</v>
      </c>
      <c r="C361">
        <v>0.44657055494431502</v>
      </c>
      <c r="D361">
        <v>9.4397271839921401E-2</v>
      </c>
      <c r="E361">
        <v>0.30610622332348902</v>
      </c>
      <c r="F361">
        <v>1</v>
      </c>
      <c r="G361" t="s">
        <v>13</v>
      </c>
      <c r="H361">
        <v>0</v>
      </c>
      <c r="I361">
        <v>232691.39857835401</v>
      </c>
      <c r="J361">
        <v>0.69389377667650998</v>
      </c>
      <c r="K361" t="str">
        <f t="shared" si="40"/>
        <v>OK</v>
      </c>
      <c r="L361" t="str">
        <f t="shared" si="41"/>
        <v>OK</v>
      </c>
      <c r="M361" t="str">
        <f>IF(OR(B361&lt;$AE$20,B361&gt;$AF$20),"Outlier","OK")</f>
        <v>OK</v>
      </c>
      <c r="N361" t="str">
        <f>IF(OR(J361&lt;$AE$21,J361&gt;$AF$21),"Outlier","OK")</f>
        <v>OK</v>
      </c>
      <c r="O361" t="str">
        <f>IF(OR(C361&lt;0,C361&gt;1),"Outlier","OK")</f>
        <v>OK</v>
      </c>
      <c r="P361" t="str">
        <f>IF(OR(D361&lt;0,D361&gt;1),"Outlier","OK")</f>
        <v>OK</v>
      </c>
      <c r="Q361" t="str">
        <f t="shared" si="42"/>
        <v>60-80%</v>
      </c>
      <c r="R361" t="str">
        <f>IF(B361="","Missing","OK")</f>
        <v>OK</v>
      </c>
      <c r="S361" t="str">
        <f>IF(E361="","Missing","OK")</f>
        <v>OK</v>
      </c>
      <c r="T361" t="str">
        <f t="shared" si="43"/>
        <v>OK</v>
      </c>
      <c r="U361">
        <f>COUNTIF($A:$A,A361)</f>
        <v>1</v>
      </c>
      <c r="V361" t="str">
        <f t="shared" si="44"/>
        <v>OK</v>
      </c>
      <c r="W361" t="str">
        <f>IF(I361&gt;B361,"ERROR","OK")</f>
        <v>OK</v>
      </c>
      <c r="X361">
        <f>(B361-I361)/B361</f>
        <v>0.69389377667651109</v>
      </c>
      <c r="Y361" s="2">
        <f t="shared" si="45"/>
        <v>1.1102230246251565E-15</v>
      </c>
      <c r="Z361" s="2" t="str">
        <f t="shared" si="46"/>
        <v>OK</v>
      </c>
      <c r="AA361" t="str">
        <f t="shared" si="47"/>
        <v>Unique</v>
      </c>
    </row>
    <row r="362" spans="1:27" x14ac:dyDescent="0.3">
      <c r="A362">
        <v>361</v>
      </c>
      <c r="B362">
        <v>1150912.1680624799</v>
      </c>
      <c r="C362">
        <v>0.175311960071272</v>
      </c>
      <c r="D362">
        <v>-2.29207933129187E-2</v>
      </c>
      <c r="E362">
        <v>0.32858012428512801</v>
      </c>
      <c r="F362">
        <v>1</v>
      </c>
      <c r="G362" t="s">
        <v>13</v>
      </c>
      <c r="H362">
        <v>0</v>
      </c>
      <c r="I362">
        <v>378166.863223236</v>
      </c>
      <c r="J362">
        <v>0.67141987571487105</v>
      </c>
      <c r="K362" t="str">
        <f t="shared" si="40"/>
        <v>OK</v>
      </c>
      <c r="L362" t="str">
        <f t="shared" si="41"/>
        <v>OK</v>
      </c>
      <c r="M362" t="str">
        <f>IF(OR(B362&lt;$AE$20,B362&gt;$AF$20),"Outlier","OK")</f>
        <v>OK</v>
      </c>
      <c r="N362" t="str">
        <f>IF(OR(J362&lt;$AE$21,J362&gt;$AF$21),"Outlier","OK")</f>
        <v>OK</v>
      </c>
      <c r="O362" t="str">
        <f>IF(OR(C362&lt;0,C362&gt;1),"Outlier","OK")</f>
        <v>OK</v>
      </c>
      <c r="P362" t="str">
        <f>IF(OR(D362&lt;0,D362&gt;1),"Outlier","OK")</f>
        <v>Outlier</v>
      </c>
      <c r="Q362" t="str">
        <f t="shared" si="42"/>
        <v>60-80%</v>
      </c>
      <c r="R362" t="str">
        <f>IF(B362="","Missing","OK")</f>
        <v>OK</v>
      </c>
      <c r="S362" t="str">
        <f>IF(E362="","Missing","OK")</f>
        <v>OK</v>
      </c>
      <c r="T362" t="str">
        <f t="shared" si="43"/>
        <v>OK</v>
      </c>
      <c r="U362">
        <f>COUNTIF($A:$A,A362)</f>
        <v>1</v>
      </c>
      <c r="V362" t="str">
        <f t="shared" si="44"/>
        <v>OK</v>
      </c>
      <c r="W362" t="str">
        <f>IF(I362&gt;B362,"ERROR","OK")</f>
        <v>OK</v>
      </c>
      <c r="X362">
        <f>(B362-I362)/B362</f>
        <v>0.67141987571487172</v>
      </c>
      <c r="Y362" s="2">
        <f t="shared" si="45"/>
        <v>6.6613381477509392E-16</v>
      </c>
      <c r="Z362" s="2" t="str">
        <f t="shared" si="46"/>
        <v>OK</v>
      </c>
      <c r="AA362" t="str">
        <f t="shared" si="47"/>
        <v>Unique</v>
      </c>
    </row>
    <row r="363" spans="1:27" x14ac:dyDescent="0.3">
      <c r="A363">
        <v>362</v>
      </c>
      <c r="B363">
        <v>423104.65540508501</v>
      </c>
      <c r="C363">
        <v>0.72902952158100198</v>
      </c>
      <c r="D363">
        <v>8.2515508979513694E-2</v>
      </c>
      <c r="E363">
        <v>0.13844372061719901</v>
      </c>
      <c r="F363">
        <v>1</v>
      </c>
      <c r="G363" t="s">
        <v>11</v>
      </c>
      <c r="H363">
        <v>0</v>
      </c>
      <c r="I363">
        <v>58576.182704737897</v>
      </c>
      <c r="J363">
        <v>0.86155627938280099</v>
      </c>
      <c r="K363" t="str">
        <f t="shared" si="40"/>
        <v>OK</v>
      </c>
      <c r="L363" t="str">
        <f t="shared" si="41"/>
        <v>OK</v>
      </c>
      <c r="M363" t="str">
        <f>IF(OR(B363&lt;$AE$20,B363&gt;$AF$20),"Outlier","OK")</f>
        <v>OK</v>
      </c>
      <c r="N363" t="str">
        <f>IF(OR(J363&lt;$AE$21,J363&gt;$AF$21),"Outlier","OK")</f>
        <v>OK</v>
      </c>
      <c r="O363" t="str">
        <f>IF(OR(C363&lt;0,C363&gt;1),"Outlier","OK")</f>
        <v>OK</v>
      </c>
      <c r="P363" t="str">
        <f>IF(OR(D363&lt;0,D363&gt;1),"Outlier","OK")</f>
        <v>OK</v>
      </c>
      <c r="Q363" t="str">
        <f t="shared" si="42"/>
        <v>80-100%</v>
      </c>
      <c r="R363" t="str">
        <f>IF(B363="","Missing","OK")</f>
        <v>OK</v>
      </c>
      <c r="S363" t="str">
        <f>IF(E363="","Missing","OK")</f>
        <v>OK</v>
      </c>
      <c r="T363" t="str">
        <f t="shared" si="43"/>
        <v>OK</v>
      </c>
      <c r="U363">
        <f>COUNTIF($A:$A,A363)</f>
        <v>1</v>
      </c>
      <c r="V363" t="str">
        <f t="shared" si="44"/>
        <v>OK</v>
      </c>
      <c r="W363" t="str">
        <f>IF(I363&gt;B363,"ERROR","OK")</f>
        <v>OK</v>
      </c>
      <c r="X363">
        <f>(B363-I363)/B363</f>
        <v>0.86155627938280088</v>
      </c>
      <c r="Y363" s="2">
        <f t="shared" si="45"/>
        <v>1.1102230246251565E-16</v>
      </c>
      <c r="Z363" s="2" t="str">
        <f t="shared" si="46"/>
        <v>OK</v>
      </c>
      <c r="AA363" t="str">
        <f t="shared" si="47"/>
        <v>Unique</v>
      </c>
    </row>
    <row r="364" spans="1:27" x14ac:dyDescent="0.3">
      <c r="A364">
        <v>363</v>
      </c>
      <c r="B364">
        <v>1369966.42632288</v>
      </c>
      <c r="C364">
        <v>0.716648715089094</v>
      </c>
      <c r="D364">
        <v>0.149925814776247</v>
      </c>
      <c r="E364">
        <v>0.418145044234774</v>
      </c>
      <c r="F364">
        <v>1</v>
      </c>
      <c r="G364" t="s">
        <v>10</v>
      </c>
      <c r="H364">
        <v>1</v>
      </c>
      <c r="I364">
        <v>572844.67193493794</v>
      </c>
      <c r="J364">
        <v>0.58185495576522495</v>
      </c>
      <c r="K364" t="str">
        <f t="shared" si="40"/>
        <v>OK</v>
      </c>
      <c r="L364" t="str">
        <f t="shared" si="41"/>
        <v>OK</v>
      </c>
      <c r="M364" t="str">
        <f>IF(OR(B364&lt;$AE$20,B364&gt;$AF$20),"Outlier","OK")</f>
        <v>OK</v>
      </c>
      <c r="N364" t="str">
        <f>IF(OR(J364&lt;$AE$21,J364&gt;$AF$21),"Outlier","OK")</f>
        <v>OK</v>
      </c>
      <c r="O364" t="str">
        <f>IF(OR(C364&lt;0,C364&gt;1),"Outlier","OK")</f>
        <v>OK</v>
      </c>
      <c r="P364" t="str">
        <f>IF(OR(D364&lt;0,D364&gt;1),"Outlier","OK")</f>
        <v>OK</v>
      </c>
      <c r="Q364" t="str">
        <f t="shared" si="42"/>
        <v>40-60%</v>
      </c>
      <c r="R364" t="str">
        <f>IF(B364="","Missing","OK")</f>
        <v>OK</v>
      </c>
      <c r="S364" t="str">
        <f>IF(E364="","Missing","OK")</f>
        <v>OK</v>
      </c>
      <c r="T364" t="str">
        <f t="shared" si="43"/>
        <v>OK</v>
      </c>
      <c r="U364">
        <f>COUNTIF($A:$A,A364)</f>
        <v>1</v>
      </c>
      <c r="V364" t="str">
        <f t="shared" si="44"/>
        <v>OK</v>
      </c>
      <c r="W364" t="str">
        <f>IF(I364&gt;B364,"ERROR","OK")</f>
        <v>OK</v>
      </c>
      <c r="X364">
        <f>(B364-I364)/B364</f>
        <v>0.5818549557652245</v>
      </c>
      <c r="Y364" s="2">
        <f t="shared" si="45"/>
        <v>4.4408920985006262E-16</v>
      </c>
      <c r="Z364" s="2" t="str">
        <f t="shared" si="46"/>
        <v>OK</v>
      </c>
      <c r="AA364" t="str">
        <f t="shared" si="47"/>
        <v>Unique</v>
      </c>
    </row>
    <row r="365" spans="1:27" x14ac:dyDescent="0.3">
      <c r="A365">
        <v>364</v>
      </c>
      <c r="B365">
        <v>470235.62218753598</v>
      </c>
      <c r="C365">
        <v>0.86956829667139401</v>
      </c>
      <c r="D365">
        <v>-0.124182524694554</v>
      </c>
      <c r="E365">
        <v>0.20577686748093199</v>
      </c>
      <c r="F365">
        <v>1</v>
      </c>
      <c r="G365" t="s">
        <v>10</v>
      </c>
      <c r="H365">
        <v>1</v>
      </c>
      <c r="I365">
        <v>96763.613311698602</v>
      </c>
      <c r="J365">
        <v>0.79422313251906695</v>
      </c>
      <c r="K365" t="str">
        <f t="shared" si="40"/>
        <v>OK</v>
      </c>
      <c r="L365" t="str">
        <f t="shared" si="41"/>
        <v>OK</v>
      </c>
      <c r="M365" t="str">
        <f>IF(OR(B365&lt;$AE$20,B365&gt;$AF$20),"Outlier","OK")</f>
        <v>OK</v>
      </c>
      <c r="N365" t="str">
        <f>IF(OR(J365&lt;$AE$21,J365&gt;$AF$21),"Outlier","OK")</f>
        <v>OK</v>
      </c>
      <c r="O365" t="str">
        <f>IF(OR(C365&lt;0,C365&gt;1),"Outlier","OK")</f>
        <v>OK</v>
      </c>
      <c r="P365" t="str">
        <f>IF(OR(D365&lt;0,D365&gt;1),"Outlier","OK")</f>
        <v>Outlier</v>
      </c>
      <c r="Q365" t="str">
        <f t="shared" si="42"/>
        <v>60-80%</v>
      </c>
      <c r="R365" t="str">
        <f>IF(B365="","Missing","OK")</f>
        <v>OK</v>
      </c>
      <c r="S365" t="str">
        <f>IF(E365="","Missing","OK")</f>
        <v>OK</v>
      </c>
      <c r="T365" t="str">
        <f t="shared" si="43"/>
        <v>OK</v>
      </c>
      <c r="U365">
        <f>COUNTIF($A:$A,A365)</f>
        <v>1</v>
      </c>
      <c r="V365" t="str">
        <f t="shared" si="44"/>
        <v>OK</v>
      </c>
      <c r="W365" t="str">
        <f>IF(I365&gt;B365,"ERROR","OK")</f>
        <v>OK</v>
      </c>
      <c r="X365">
        <f>(B365-I365)/B365</f>
        <v>0.79422313251906718</v>
      </c>
      <c r="Y365" s="2">
        <f t="shared" si="45"/>
        <v>2.2204460492503131E-16</v>
      </c>
      <c r="Z365" s="2" t="str">
        <f t="shared" si="46"/>
        <v>OK</v>
      </c>
      <c r="AA365" t="str">
        <f t="shared" si="47"/>
        <v>Unique</v>
      </c>
    </row>
    <row r="366" spans="1:27" x14ac:dyDescent="0.3">
      <c r="A366">
        <v>365</v>
      </c>
      <c r="B366">
        <v>592146.00780086999</v>
      </c>
      <c r="C366">
        <v>0.139462603862157</v>
      </c>
      <c r="D366">
        <v>-0.19602244005985001</v>
      </c>
      <c r="E366">
        <v>0.529531529627842</v>
      </c>
      <c r="F366">
        <v>1</v>
      </c>
      <c r="G366" t="s">
        <v>11</v>
      </c>
      <c r="H366">
        <v>0</v>
      </c>
      <c r="I366">
        <v>313559.98127381498</v>
      </c>
      <c r="J366">
        <v>0.470468470372157</v>
      </c>
      <c r="K366" t="str">
        <f t="shared" si="40"/>
        <v>OK</v>
      </c>
      <c r="L366" t="str">
        <f t="shared" si="41"/>
        <v>OK</v>
      </c>
      <c r="M366" t="str">
        <f>IF(OR(B366&lt;$AE$20,B366&gt;$AF$20),"Outlier","OK")</f>
        <v>OK</v>
      </c>
      <c r="N366" t="str">
        <f>IF(OR(J366&lt;$AE$21,J366&gt;$AF$21),"Outlier","OK")</f>
        <v>OK</v>
      </c>
      <c r="O366" t="str">
        <f>IF(OR(C366&lt;0,C366&gt;1),"Outlier","OK")</f>
        <v>OK</v>
      </c>
      <c r="P366" t="str">
        <f>IF(OR(D366&lt;0,D366&gt;1),"Outlier","OK")</f>
        <v>Outlier</v>
      </c>
      <c r="Q366" t="str">
        <f t="shared" si="42"/>
        <v>40-60%</v>
      </c>
      <c r="R366" t="str">
        <f>IF(B366="","Missing","OK")</f>
        <v>OK</v>
      </c>
      <c r="S366" t="str">
        <f>IF(E366="","Missing","OK")</f>
        <v>OK</v>
      </c>
      <c r="T366" t="str">
        <f t="shared" si="43"/>
        <v>OK</v>
      </c>
      <c r="U366">
        <f>COUNTIF($A:$A,A366)</f>
        <v>1</v>
      </c>
      <c r="V366" t="str">
        <f t="shared" si="44"/>
        <v>OK</v>
      </c>
      <c r="W366" t="str">
        <f>IF(I366&gt;B366,"ERROR","OK")</f>
        <v>OK</v>
      </c>
      <c r="X366">
        <f>(B366-I366)/B366</f>
        <v>0.47046847037215761</v>
      </c>
      <c r="Y366" s="2">
        <f t="shared" si="45"/>
        <v>6.106226635438361E-16</v>
      </c>
      <c r="Z366" s="2" t="str">
        <f t="shared" si="46"/>
        <v>OK</v>
      </c>
      <c r="AA366" t="str">
        <f t="shared" si="47"/>
        <v>Unique</v>
      </c>
    </row>
    <row r="367" spans="1:27" x14ac:dyDescent="0.3">
      <c r="A367">
        <v>366</v>
      </c>
      <c r="B367">
        <v>1496432.8231825</v>
      </c>
      <c r="C367">
        <v>0.86266443984824803</v>
      </c>
      <c r="D367">
        <v>0.10690119387189</v>
      </c>
      <c r="E367">
        <v>0.50229609596240699</v>
      </c>
      <c r="F367">
        <v>1</v>
      </c>
      <c r="G367" t="s">
        <v>13</v>
      </c>
      <c r="H367">
        <v>0</v>
      </c>
      <c r="I367">
        <v>751652.36495457694</v>
      </c>
      <c r="J367">
        <v>0.49770390403759301</v>
      </c>
      <c r="K367" t="str">
        <f t="shared" si="40"/>
        <v>OK</v>
      </c>
      <c r="L367" t="str">
        <f t="shared" si="41"/>
        <v>OK</v>
      </c>
      <c r="M367" t="str">
        <f>IF(OR(B367&lt;$AE$20,B367&gt;$AF$20),"Outlier","OK")</f>
        <v>OK</v>
      </c>
      <c r="N367" t="str">
        <f>IF(OR(J367&lt;$AE$21,J367&gt;$AF$21),"Outlier","OK")</f>
        <v>OK</v>
      </c>
      <c r="O367" t="str">
        <f>IF(OR(C367&lt;0,C367&gt;1),"Outlier","OK")</f>
        <v>OK</v>
      </c>
      <c r="P367" t="str">
        <f>IF(OR(D367&lt;0,D367&gt;1),"Outlier","OK")</f>
        <v>OK</v>
      </c>
      <c r="Q367" t="str">
        <f t="shared" si="42"/>
        <v>40-60%</v>
      </c>
      <c r="R367" t="str">
        <f>IF(B367="","Missing","OK")</f>
        <v>OK</v>
      </c>
      <c r="S367" t="str">
        <f>IF(E367="","Missing","OK")</f>
        <v>OK</v>
      </c>
      <c r="T367" t="str">
        <f t="shared" si="43"/>
        <v>OK</v>
      </c>
      <c r="U367">
        <f>COUNTIF($A:$A,A367)</f>
        <v>1</v>
      </c>
      <c r="V367" t="str">
        <f t="shared" si="44"/>
        <v>OK</v>
      </c>
      <c r="W367" t="str">
        <f>IF(I367&gt;B367,"ERROR","OK")</f>
        <v>OK</v>
      </c>
      <c r="X367">
        <f>(B367-I367)/B367</f>
        <v>0.49770390403759013</v>
      </c>
      <c r="Y367" s="2">
        <f t="shared" si="45"/>
        <v>2.886579864025407E-15</v>
      </c>
      <c r="Z367" s="2" t="str">
        <f t="shared" si="46"/>
        <v>OK</v>
      </c>
      <c r="AA367" t="str">
        <f t="shared" si="47"/>
        <v>Unique</v>
      </c>
    </row>
    <row r="368" spans="1:27" x14ac:dyDescent="0.3">
      <c r="A368">
        <v>367</v>
      </c>
      <c r="B368">
        <v>1141488.8965071801</v>
      </c>
      <c r="C368">
        <v>0.76059480411989</v>
      </c>
      <c r="D368">
        <v>0.169343160348255</v>
      </c>
      <c r="E368">
        <v>8.1946605379915702E-2</v>
      </c>
      <c r="F368">
        <v>1</v>
      </c>
      <c r="G368" t="s">
        <v>10</v>
      </c>
      <c r="H368">
        <v>0</v>
      </c>
      <c r="I368">
        <v>93541.140147629994</v>
      </c>
      <c r="J368">
        <v>0.91805339462008395</v>
      </c>
      <c r="K368" t="str">
        <f t="shared" si="40"/>
        <v>OK</v>
      </c>
      <c r="L368" t="str">
        <f t="shared" si="41"/>
        <v>OK</v>
      </c>
      <c r="M368" t="str">
        <f>IF(OR(B368&lt;$AE$20,B368&gt;$AF$20),"Outlier","OK")</f>
        <v>OK</v>
      </c>
      <c r="N368" t="str">
        <f>IF(OR(J368&lt;$AE$21,J368&gt;$AF$21),"Outlier","OK")</f>
        <v>OK</v>
      </c>
      <c r="O368" t="str">
        <f>IF(OR(C368&lt;0,C368&gt;1),"Outlier","OK")</f>
        <v>OK</v>
      </c>
      <c r="P368" t="str">
        <f>IF(OR(D368&lt;0,D368&gt;1),"Outlier","OK")</f>
        <v>OK</v>
      </c>
      <c r="Q368" t="str">
        <f t="shared" si="42"/>
        <v>80-100%</v>
      </c>
      <c r="R368" t="str">
        <f>IF(B368="","Missing","OK")</f>
        <v>OK</v>
      </c>
      <c r="S368" t="str">
        <f>IF(E368="","Missing","OK")</f>
        <v>OK</v>
      </c>
      <c r="T368" t="str">
        <f t="shared" si="43"/>
        <v>OK</v>
      </c>
      <c r="U368">
        <f>COUNTIF($A:$A,A368)</f>
        <v>1</v>
      </c>
      <c r="V368" t="str">
        <f t="shared" si="44"/>
        <v>OK</v>
      </c>
      <c r="W368" t="str">
        <f>IF(I368&gt;B368,"ERROR","OK")</f>
        <v>OK</v>
      </c>
      <c r="X368">
        <f>(B368-I368)/B368</f>
        <v>0.91805339462008373</v>
      </c>
      <c r="Y368" s="2">
        <f t="shared" si="45"/>
        <v>2.2204460492503131E-16</v>
      </c>
      <c r="Z368" s="2" t="str">
        <f t="shared" si="46"/>
        <v>OK</v>
      </c>
      <c r="AA368" t="str">
        <f t="shared" si="47"/>
        <v>Unique</v>
      </c>
    </row>
    <row r="369" spans="1:27" x14ac:dyDescent="0.3">
      <c r="A369">
        <v>368</v>
      </c>
      <c r="B369">
        <v>702931.00509068696</v>
      </c>
      <c r="C369">
        <v>0.60695143320283695</v>
      </c>
      <c r="D369">
        <v>-0.110588454171514</v>
      </c>
      <c r="E369">
        <v>8.4142935643618896E-2</v>
      </c>
      <c r="F369">
        <v>1</v>
      </c>
      <c r="G369" t="s">
        <v>12</v>
      </c>
      <c r="H369">
        <v>1</v>
      </c>
      <c r="I369">
        <v>59146.678323250097</v>
      </c>
      <c r="J369">
        <v>0.91585706435638103</v>
      </c>
      <c r="K369" t="str">
        <f t="shared" si="40"/>
        <v>OK</v>
      </c>
      <c r="L369" t="str">
        <f t="shared" si="41"/>
        <v>OK</v>
      </c>
      <c r="M369" t="str">
        <f>IF(OR(B369&lt;$AE$20,B369&gt;$AF$20),"Outlier","OK")</f>
        <v>OK</v>
      </c>
      <c r="N369" t="str">
        <f>IF(OR(J369&lt;$AE$21,J369&gt;$AF$21),"Outlier","OK")</f>
        <v>OK</v>
      </c>
      <c r="O369" t="str">
        <f>IF(OR(C369&lt;0,C369&gt;1),"Outlier","OK")</f>
        <v>OK</v>
      </c>
      <c r="P369" t="str">
        <f>IF(OR(D369&lt;0,D369&gt;1),"Outlier","OK")</f>
        <v>Outlier</v>
      </c>
      <c r="Q369" t="str">
        <f t="shared" si="42"/>
        <v>80-100%</v>
      </c>
      <c r="R369" t="str">
        <f>IF(B369="","Missing","OK")</f>
        <v>OK</v>
      </c>
      <c r="S369" t="str">
        <f>IF(E369="","Missing","OK")</f>
        <v>OK</v>
      </c>
      <c r="T369" t="str">
        <f t="shared" si="43"/>
        <v>OK</v>
      </c>
      <c r="U369">
        <f>COUNTIF($A:$A,A369)</f>
        <v>1</v>
      </c>
      <c r="V369" t="str">
        <f t="shared" si="44"/>
        <v>OK</v>
      </c>
      <c r="W369" t="str">
        <f>IF(I369&gt;B369,"ERROR","OK")</f>
        <v>OK</v>
      </c>
      <c r="X369">
        <f>(B369-I369)/B369</f>
        <v>0.91585706435638092</v>
      </c>
      <c r="Y369" s="2">
        <f t="shared" si="45"/>
        <v>1.1102230246251565E-16</v>
      </c>
      <c r="Z369" s="2" t="str">
        <f t="shared" si="46"/>
        <v>OK</v>
      </c>
      <c r="AA369" t="str">
        <f t="shared" si="47"/>
        <v>Unique</v>
      </c>
    </row>
    <row r="370" spans="1:27" x14ac:dyDescent="0.3">
      <c r="A370">
        <v>369</v>
      </c>
      <c r="B370">
        <v>1108828.12596312</v>
      </c>
      <c r="C370">
        <v>0.43383198578659699</v>
      </c>
      <c r="D370">
        <v>-3.7869810720405503E-2</v>
      </c>
      <c r="E370">
        <v>0.76553908034760199</v>
      </c>
      <c r="F370">
        <v>1</v>
      </c>
      <c r="G370" t="s">
        <v>13</v>
      </c>
      <c r="H370">
        <v>0</v>
      </c>
      <c r="I370">
        <v>848851.26381336804</v>
      </c>
      <c r="J370">
        <v>0.23446091965239699</v>
      </c>
      <c r="K370" t="str">
        <f t="shared" si="40"/>
        <v>OK</v>
      </c>
      <c r="L370" t="str">
        <f t="shared" si="41"/>
        <v>OK</v>
      </c>
      <c r="M370" t="str">
        <f>IF(OR(B370&lt;$AE$20,B370&gt;$AF$20),"Outlier","OK")</f>
        <v>OK</v>
      </c>
      <c r="N370" t="str">
        <f>IF(OR(J370&lt;$AE$21,J370&gt;$AF$21),"Outlier","OK")</f>
        <v>Outlier</v>
      </c>
      <c r="O370" t="str">
        <f>IF(OR(C370&lt;0,C370&gt;1),"Outlier","OK")</f>
        <v>OK</v>
      </c>
      <c r="P370" t="str">
        <f>IF(OR(D370&lt;0,D370&gt;1),"Outlier","OK")</f>
        <v>Outlier</v>
      </c>
      <c r="Q370" t="str">
        <f t="shared" si="42"/>
        <v>20-40%</v>
      </c>
      <c r="R370" t="str">
        <f>IF(B370="","Missing","OK")</f>
        <v>OK</v>
      </c>
      <c r="S370" t="str">
        <f>IF(E370="","Missing","OK")</f>
        <v>OK</v>
      </c>
      <c r="T370" t="str">
        <f t="shared" si="43"/>
        <v>OK</v>
      </c>
      <c r="U370">
        <f>COUNTIF($A:$A,A370)</f>
        <v>1</v>
      </c>
      <c r="V370" t="str">
        <f t="shared" si="44"/>
        <v>OK</v>
      </c>
      <c r="W370" t="str">
        <f>IF(I370&gt;B370,"ERROR","OK")</f>
        <v>OK</v>
      </c>
      <c r="X370">
        <f>(B370-I370)/B370</f>
        <v>0.23446091965239246</v>
      </c>
      <c r="Y370" s="2">
        <f t="shared" si="45"/>
        <v>4.5241588253475129E-15</v>
      </c>
      <c r="Z370" s="2" t="str">
        <f t="shared" si="46"/>
        <v>OK</v>
      </c>
      <c r="AA370" t="str">
        <f t="shared" si="47"/>
        <v>Unique</v>
      </c>
    </row>
    <row r="371" spans="1:27" x14ac:dyDescent="0.3">
      <c r="A371">
        <v>370</v>
      </c>
      <c r="B371">
        <v>1403270.1705735701</v>
      </c>
      <c r="C371">
        <v>0.87751899431541902</v>
      </c>
      <c r="D371">
        <v>-0.107190739221212</v>
      </c>
      <c r="E371">
        <v>9.7031273730148304E-2</v>
      </c>
      <c r="F371">
        <v>1</v>
      </c>
      <c r="G371" t="s">
        <v>10</v>
      </c>
      <c r="H371">
        <v>0</v>
      </c>
      <c r="I371">
        <v>136161.09203827599</v>
      </c>
      <c r="J371">
        <v>0.90296872626985103</v>
      </c>
      <c r="K371" t="str">
        <f t="shared" si="40"/>
        <v>OK</v>
      </c>
      <c r="L371" t="str">
        <f t="shared" si="41"/>
        <v>OK</v>
      </c>
      <c r="M371" t="str">
        <f>IF(OR(B371&lt;$AE$20,B371&gt;$AF$20),"Outlier","OK")</f>
        <v>OK</v>
      </c>
      <c r="N371" t="str">
        <f>IF(OR(J371&lt;$AE$21,J371&gt;$AF$21),"Outlier","OK")</f>
        <v>OK</v>
      </c>
      <c r="O371" t="str">
        <f>IF(OR(C371&lt;0,C371&gt;1),"Outlier","OK")</f>
        <v>OK</v>
      </c>
      <c r="P371" t="str">
        <f>IF(OR(D371&lt;0,D371&gt;1),"Outlier","OK")</f>
        <v>Outlier</v>
      </c>
      <c r="Q371" t="str">
        <f t="shared" si="42"/>
        <v>80-100%</v>
      </c>
      <c r="R371" t="str">
        <f>IF(B371="","Missing","OK")</f>
        <v>OK</v>
      </c>
      <c r="S371" t="str">
        <f>IF(E371="","Missing","OK")</f>
        <v>OK</v>
      </c>
      <c r="T371" t="str">
        <f t="shared" si="43"/>
        <v>OK</v>
      </c>
      <c r="U371">
        <f>COUNTIF($A:$A,A371)</f>
        <v>1</v>
      </c>
      <c r="V371" t="str">
        <f t="shared" si="44"/>
        <v>OK</v>
      </c>
      <c r="W371" t="str">
        <f>IF(I371&gt;B371,"ERROR","OK")</f>
        <v>OK</v>
      </c>
      <c r="X371">
        <f>(B371-I371)/B371</f>
        <v>0.9029687262698517</v>
      </c>
      <c r="Y371" s="2">
        <f t="shared" si="45"/>
        <v>6.6613381477509392E-16</v>
      </c>
      <c r="Z371" s="2" t="str">
        <f t="shared" si="46"/>
        <v>OK</v>
      </c>
      <c r="AA371" t="str">
        <f t="shared" si="47"/>
        <v>Unique</v>
      </c>
    </row>
    <row r="372" spans="1:27" x14ac:dyDescent="0.3">
      <c r="A372">
        <v>371</v>
      </c>
      <c r="B372">
        <v>1828657.6368813701</v>
      </c>
      <c r="C372">
        <v>0.86227521984983801</v>
      </c>
      <c r="D372">
        <v>8.2358602921483004E-2</v>
      </c>
      <c r="E372">
        <v>0.50494739206933903</v>
      </c>
      <c r="F372">
        <v>1</v>
      </c>
      <c r="G372" t="s">
        <v>13</v>
      </c>
      <c r="H372">
        <v>1</v>
      </c>
      <c r="I372">
        <v>923375.90473093197</v>
      </c>
      <c r="J372">
        <v>0.49505260793066003</v>
      </c>
      <c r="K372" t="str">
        <f t="shared" si="40"/>
        <v>OK</v>
      </c>
      <c r="L372" t="str">
        <f t="shared" si="41"/>
        <v>OK</v>
      </c>
      <c r="M372" t="str">
        <f>IF(OR(B372&lt;$AE$20,B372&gt;$AF$20),"Outlier","OK")</f>
        <v>OK</v>
      </c>
      <c r="N372" t="str">
        <f>IF(OR(J372&lt;$AE$21,J372&gt;$AF$21),"Outlier","OK")</f>
        <v>OK</v>
      </c>
      <c r="O372" t="str">
        <f>IF(OR(C372&lt;0,C372&gt;1),"Outlier","OK")</f>
        <v>OK</v>
      </c>
      <c r="P372" t="str">
        <f>IF(OR(D372&lt;0,D372&gt;1),"Outlier","OK")</f>
        <v>OK</v>
      </c>
      <c r="Q372" t="str">
        <f t="shared" si="42"/>
        <v>40-60%</v>
      </c>
      <c r="R372" t="str">
        <f>IF(B372="","Missing","OK")</f>
        <v>OK</v>
      </c>
      <c r="S372" t="str">
        <f>IF(E372="","Missing","OK")</f>
        <v>OK</v>
      </c>
      <c r="T372" t="str">
        <f t="shared" si="43"/>
        <v>OK</v>
      </c>
      <c r="U372">
        <f>COUNTIF($A:$A,A372)</f>
        <v>1</v>
      </c>
      <c r="V372" t="str">
        <f t="shared" si="44"/>
        <v>OK</v>
      </c>
      <c r="W372" t="str">
        <f>IF(I372&gt;B372,"ERROR","OK")</f>
        <v>OK</v>
      </c>
      <c r="X372">
        <f>(B372-I372)/B372</f>
        <v>0.49505260793065892</v>
      </c>
      <c r="Y372" s="2">
        <f t="shared" si="45"/>
        <v>1.1102230246251565E-15</v>
      </c>
      <c r="Z372" s="2" t="str">
        <f t="shared" si="46"/>
        <v>OK</v>
      </c>
      <c r="AA372" t="str">
        <f t="shared" si="47"/>
        <v>Unique</v>
      </c>
    </row>
    <row r="373" spans="1:27" x14ac:dyDescent="0.3">
      <c r="A373">
        <v>372</v>
      </c>
      <c r="B373">
        <v>1182390.76611918</v>
      </c>
      <c r="C373">
        <v>0.31249756548198598</v>
      </c>
      <c r="D373">
        <v>6.6502723396337201E-3</v>
      </c>
      <c r="E373">
        <v>0.165350739288045</v>
      </c>
      <c r="F373">
        <v>1</v>
      </c>
      <c r="G373" t="s">
        <v>10</v>
      </c>
      <c r="H373">
        <v>1</v>
      </c>
      <c r="I373">
        <v>195509.18730516499</v>
      </c>
      <c r="J373">
        <v>0.834649260711954</v>
      </c>
      <c r="K373" t="str">
        <f t="shared" si="40"/>
        <v>OK</v>
      </c>
      <c r="L373" t="str">
        <f t="shared" si="41"/>
        <v>OK</v>
      </c>
      <c r="M373" t="str">
        <f>IF(OR(B373&lt;$AE$20,B373&gt;$AF$20),"Outlier","OK")</f>
        <v>OK</v>
      </c>
      <c r="N373" t="str">
        <f>IF(OR(J373&lt;$AE$21,J373&gt;$AF$21),"Outlier","OK")</f>
        <v>OK</v>
      </c>
      <c r="O373" t="str">
        <f>IF(OR(C373&lt;0,C373&gt;1),"Outlier","OK")</f>
        <v>OK</v>
      </c>
      <c r="P373" t="str">
        <f>IF(OR(D373&lt;0,D373&gt;1),"Outlier","OK")</f>
        <v>OK</v>
      </c>
      <c r="Q373" t="str">
        <f t="shared" si="42"/>
        <v>80-100%</v>
      </c>
      <c r="R373" t="str">
        <f>IF(B373="","Missing","OK")</f>
        <v>OK</v>
      </c>
      <c r="S373" t="str">
        <f>IF(E373="","Missing","OK")</f>
        <v>OK</v>
      </c>
      <c r="T373" t="str">
        <f t="shared" si="43"/>
        <v>OK</v>
      </c>
      <c r="U373">
        <f>COUNTIF($A:$A,A373)</f>
        <v>1</v>
      </c>
      <c r="V373" t="str">
        <f t="shared" si="44"/>
        <v>OK</v>
      </c>
      <c r="W373" t="str">
        <f>IF(I373&gt;B373,"ERROR","OK")</f>
        <v>OK</v>
      </c>
      <c r="X373">
        <f>(B373-I373)/B373</f>
        <v>0.83464926071195444</v>
      </c>
      <c r="Y373" s="2">
        <f t="shared" si="45"/>
        <v>4.4408920985006262E-16</v>
      </c>
      <c r="Z373" s="2" t="str">
        <f t="shared" si="46"/>
        <v>OK</v>
      </c>
      <c r="AA373" t="str">
        <f t="shared" si="47"/>
        <v>Unique</v>
      </c>
    </row>
    <row r="374" spans="1:27" x14ac:dyDescent="0.3">
      <c r="A374">
        <v>373</v>
      </c>
      <c r="B374">
        <v>503738.43884111702</v>
      </c>
      <c r="C374">
        <v>0.76471397966835397</v>
      </c>
      <c r="D374">
        <v>-0.15650190108835399</v>
      </c>
      <c r="E374">
        <v>7.8962943100571198E-2</v>
      </c>
      <c r="F374">
        <v>1</v>
      </c>
      <c r="G374" t="s">
        <v>12</v>
      </c>
      <c r="H374">
        <v>1</v>
      </c>
      <c r="I374">
        <v>39776.6696837817</v>
      </c>
      <c r="J374">
        <v>0.92103705689942805</v>
      </c>
      <c r="K374" t="str">
        <f t="shared" si="40"/>
        <v>OK</v>
      </c>
      <c r="L374" t="str">
        <f t="shared" si="41"/>
        <v>OK</v>
      </c>
      <c r="M374" t="str">
        <f>IF(OR(B374&lt;$AE$20,B374&gt;$AF$20),"Outlier","OK")</f>
        <v>OK</v>
      </c>
      <c r="N374" t="str">
        <f>IF(OR(J374&lt;$AE$21,J374&gt;$AF$21),"Outlier","OK")</f>
        <v>OK</v>
      </c>
      <c r="O374" t="str">
        <f>IF(OR(C374&lt;0,C374&gt;1),"Outlier","OK")</f>
        <v>OK</v>
      </c>
      <c r="P374" t="str">
        <f>IF(OR(D374&lt;0,D374&gt;1),"Outlier","OK")</f>
        <v>Outlier</v>
      </c>
      <c r="Q374" t="str">
        <f t="shared" si="42"/>
        <v>80-100%</v>
      </c>
      <c r="R374" t="str">
        <f>IF(B374="","Missing","OK")</f>
        <v>OK</v>
      </c>
      <c r="S374" t="str">
        <f>IF(E374="","Missing","OK")</f>
        <v>OK</v>
      </c>
      <c r="T374" t="str">
        <f t="shared" si="43"/>
        <v>OK</v>
      </c>
      <c r="U374">
        <f>COUNTIF($A:$A,A374)</f>
        <v>1</v>
      </c>
      <c r="V374" t="str">
        <f t="shared" si="44"/>
        <v>OK</v>
      </c>
      <c r="W374" t="str">
        <f>IF(I374&gt;B374,"ERROR","OK")</f>
        <v>OK</v>
      </c>
      <c r="X374">
        <f>(B374-I374)/B374</f>
        <v>0.92103705689942883</v>
      </c>
      <c r="Y374" s="2">
        <f t="shared" si="45"/>
        <v>7.7715611723760958E-16</v>
      </c>
      <c r="Z374" s="2" t="str">
        <f t="shared" si="46"/>
        <v>OK</v>
      </c>
      <c r="AA374" t="str">
        <f t="shared" si="47"/>
        <v>Unique</v>
      </c>
    </row>
    <row r="375" spans="1:27" x14ac:dyDescent="0.3">
      <c r="A375">
        <v>374</v>
      </c>
      <c r="B375">
        <v>1506060.3800141599</v>
      </c>
      <c r="C375">
        <v>0.85145485667701704</v>
      </c>
      <c r="D375">
        <v>-9.5381857815729401E-2</v>
      </c>
      <c r="E375">
        <v>0.122401801539555</v>
      </c>
      <c r="F375">
        <v>1</v>
      </c>
      <c r="G375" t="s">
        <v>13</v>
      </c>
      <c r="H375">
        <v>0</v>
      </c>
      <c r="I375">
        <v>184344.50374108099</v>
      </c>
      <c r="J375">
        <v>0.87759819846044396</v>
      </c>
      <c r="K375" t="str">
        <f t="shared" si="40"/>
        <v>OK</v>
      </c>
      <c r="L375" t="str">
        <f t="shared" si="41"/>
        <v>OK</v>
      </c>
      <c r="M375" t="str">
        <f>IF(OR(B375&lt;$AE$20,B375&gt;$AF$20),"Outlier","OK")</f>
        <v>OK</v>
      </c>
      <c r="N375" t="str">
        <f>IF(OR(J375&lt;$AE$21,J375&gt;$AF$21),"Outlier","OK")</f>
        <v>OK</v>
      </c>
      <c r="O375" t="str">
        <f>IF(OR(C375&lt;0,C375&gt;1),"Outlier","OK")</f>
        <v>OK</v>
      </c>
      <c r="P375" t="str">
        <f>IF(OR(D375&lt;0,D375&gt;1),"Outlier","OK")</f>
        <v>Outlier</v>
      </c>
      <c r="Q375" t="str">
        <f t="shared" si="42"/>
        <v>80-100%</v>
      </c>
      <c r="R375" t="str">
        <f>IF(B375="","Missing","OK")</f>
        <v>OK</v>
      </c>
      <c r="S375" t="str">
        <f>IF(E375="","Missing","OK")</f>
        <v>OK</v>
      </c>
      <c r="T375" t="str">
        <f t="shared" si="43"/>
        <v>OK</v>
      </c>
      <c r="U375">
        <f>COUNTIF($A:$A,A375)</f>
        <v>1</v>
      </c>
      <c r="V375" t="str">
        <f t="shared" si="44"/>
        <v>OK</v>
      </c>
      <c r="W375" t="str">
        <f>IF(I375&gt;B375,"ERROR","OK")</f>
        <v>OK</v>
      </c>
      <c r="X375">
        <f>(B375-I375)/B375</f>
        <v>0.87759819846044429</v>
      </c>
      <c r="Y375" s="2">
        <f t="shared" si="45"/>
        <v>3.3306690738754696E-16</v>
      </c>
      <c r="Z375" s="2" t="str">
        <f t="shared" si="46"/>
        <v>OK</v>
      </c>
      <c r="AA375" t="str">
        <f t="shared" si="47"/>
        <v>Unique</v>
      </c>
    </row>
    <row r="376" spans="1:27" x14ac:dyDescent="0.3">
      <c r="A376">
        <v>375</v>
      </c>
      <c r="B376">
        <v>1566649.58423167</v>
      </c>
      <c r="C376">
        <v>0.81797354168898295</v>
      </c>
      <c r="D376">
        <v>6.4842487826727496E-2</v>
      </c>
      <c r="E376">
        <v>0.25491370114938999</v>
      </c>
      <c r="F376">
        <v>1</v>
      </c>
      <c r="G376" t="s">
        <v>13</v>
      </c>
      <c r="H376">
        <v>1</v>
      </c>
      <c r="I376">
        <v>399360.44392065</v>
      </c>
      <c r="J376">
        <v>0.74508629885060995</v>
      </c>
      <c r="K376" t="str">
        <f t="shared" si="40"/>
        <v>OK</v>
      </c>
      <c r="L376" t="str">
        <f t="shared" si="41"/>
        <v>OK</v>
      </c>
      <c r="M376" t="str">
        <f>IF(OR(B376&lt;$AE$20,B376&gt;$AF$20),"Outlier","OK")</f>
        <v>OK</v>
      </c>
      <c r="N376" t="str">
        <f>IF(OR(J376&lt;$AE$21,J376&gt;$AF$21),"Outlier","OK")</f>
        <v>OK</v>
      </c>
      <c r="O376" t="str">
        <f>IF(OR(C376&lt;0,C376&gt;1),"Outlier","OK")</f>
        <v>OK</v>
      </c>
      <c r="P376" t="str">
        <f>IF(OR(D376&lt;0,D376&gt;1),"Outlier","OK")</f>
        <v>OK</v>
      </c>
      <c r="Q376" t="str">
        <f t="shared" si="42"/>
        <v>60-80%</v>
      </c>
      <c r="R376" t="str">
        <f>IF(B376="","Missing","OK")</f>
        <v>OK</v>
      </c>
      <c r="S376" t="str">
        <f>IF(E376="","Missing","OK")</f>
        <v>OK</v>
      </c>
      <c r="T376" t="str">
        <f t="shared" si="43"/>
        <v>OK</v>
      </c>
      <c r="U376">
        <f>COUNTIF($A:$A,A376)</f>
        <v>1</v>
      </c>
      <c r="V376" t="str">
        <f t="shared" si="44"/>
        <v>OK</v>
      </c>
      <c r="W376" t="str">
        <f>IF(I376&gt;B376,"ERROR","OK")</f>
        <v>OK</v>
      </c>
      <c r="X376">
        <f>(B376-I376)/B376</f>
        <v>0.74508629885060873</v>
      </c>
      <c r="Y376" s="2">
        <f t="shared" si="45"/>
        <v>1.2212453270876722E-15</v>
      </c>
      <c r="Z376" s="2" t="str">
        <f t="shared" si="46"/>
        <v>OK</v>
      </c>
      <c r="AA376" t="str">
        <f t="shared" si="47"/>
        <v>Unique</v>
      </c>
    </row>
    <row r="377" spans="1:27" x14ac:dyDescent="0.3">
      <c r="A377">
        <v>376</v>
      </c>
      <c r="B377">
        <v>440782.56417717499</v>
      </c>
      <c r="C377">
        <v>0.47667672043854098</v>
      </c>
      <c r="D377">
        <v>5.0001347452093503E-2</v>
      </c>
      <c r="E377">
        <v>0.17561015936826799</v>
      </c>
      <c r="F377">
        <v>1</v>
      </c>
      <c r="G377" t="s">
        <v>12</v>
      </c>
      <c r="H377">
        <v>0</v>
      </c>
      <c r="I377">
        <v>77405.896341907894</v>
      </c>
      <c r="J377">
        <v>0.82438984063173104</v>
      </c>
      <c r="K377" t="str">
        <f t="shared" si="40"/>
        <v>OK</v>
      </c>
      <c r="L377" t="str">
        <f t="shared" si="41"/>
        <v>OK</v>
      </c>
      <c r="M377" t="str">
        <f>IF(OR(B377&lt;$AE$20,B377&gt;$AF$20),"Outlier","OK")</f>
        <v>OK</v>
      </c>
      <c r="N377" t="str">
        <f>IF(OR(J377&lt;$AE$21,J377&gt;$AF$21),"Outlier","OK")</f>
        <v>OK</v>
      </c>
      <c r="O377" t="str">
        <f>IF(OR(C377&lt;0,C377&gt;1),"Outlier","OK")</f>
        <v>OK</v>
      </c>
      <c r="P377" t="str">
        <f>IF(OR(D377&lt;0,D377&gt;1),"Outlier","OK")</f>
        <v>OK</v>
      </c>
      <c r="Q377" t="str">
        <f t="shared" si="42"/>
        <v>80-100%</v>
      </c>
      <c r="R377" t="str">
        <f>IF(B377="","Missing","OK")</f>
        <v>OK</v>
      </c>
      <c r="S377" t="str">
        <f>IF(E377="","Missing","OK")</f>
        <v>OK</v>
      </c>
      <c r="T377" t="str">
        <f t="shared" si="43"/>
        <v>OK</v>
      </c>
      <c r="U377">
        <f>COUNTIF($A:$A,A377)</f>
        <v>1</v>
      </c>
      <c r="V377" t="str">
        <f t="shared" si="44"/>
        <v>OK</v>
      </c>
      <c r="W377" t="str">
        <f>IF(I377&gt;B377,"ERROR","OK")</f>
        <v>OK</v>
      </c>
      <c r="X377">
        <f>(B377-I377)/B377</f>
        <v>0.82438984063173115</v>
      </c>
      <c r="Y377" s="2">
        <f t="shared" si="45"/>
        <v>1.1102230246251565E-16</v>
      </c>
      <c r="Z377" s="2" t="str">
        <f t="shared" si="46"/>
        <v>OK</v>
      </c>
      <c r="AA377" t="str">
        <f t="shared" si="47"/>
        <v>Unique</v>
      </c>
    </row>
    <row r="378" spans="1:27" x14ac:dyDescent="0.3">
      <c r="A378">
        <v>377</v>
      </c>
      <c r="B378">
        <v>1650119.72837187</v>
      </c>
      <c r="C378">
        <v>0.46091017745532598</v>
      </c>
      <c r="D378">
        <v>-5.8343550882036001E-2</v>
      </c>
      <c r="E378">
        <v>0.51976351101352303</v>
      </c>
      <c r="F378">
        <v>1</v>
      </c>
      <c r="G378" t="s">
        <v>13</v>
      </c>
      <c r="H378">
        <v>0</v>
      </c>
      <c r="I378">
        <v>857672.02361124801</v>
      </c>
      <c r="J378">
        <v>0.48023648898647597</v>
      </c>
      <c r="K378" t="str">
        <f t="shared" si="40"/>
        <v>OK</v>
      </c>
      <c r="L378" t="str">
        <f t="shared" si="41"/>
        <v>OK</v>
      </c>
      <c r="M378" t="str">
        <f>IF(OR(B378&lt;$AE$20,B378&gt;$AF$20),"Outlier","OK")</f>
        <v>OK</v>
      </c>
      <c r="N378" t="str">
        <f>IF(OR(J378&lt;$AE$21,J378&gt;$AF$21),"Outlier","OK")</f>
        <v>OK</v>
      </c>
      <c r="O378" t="str">
        <f>IF(OR(C378&lt;0,C378&gt;1),"Outlier","OK")</f>
        <v>OK</v>
      </c>
      <c r="P378" t="str">
        <f>IF(OR(D378&lt;0,D378&gt;1),"Outlier","OK")</f>
        <v>Outlier</v>
      </c>
      <c r="Q378" t="str">
        <f t="shared" si="42"/>
        <v>40-60%</v>
      </c>
      <c r="R378" t="str">
        <f>IF(B378="","Missing","OK")</f>
        <v>OK</v>
      </c>
      <c r="S378" t="str">
        <f>IF(E378="","Missing","OK")</f>
        <v>OK</v>
      </c>
      <c r="T378" t="str">
        <f t="shared" si="43"/>
        <v>OK</v>
      </c>
      <c r="U378">
        <f>COUNTIF($A:$A,A378)</f>
        <v>1</v>
      </c>
      <c r="V378" t="str">
        <f t="shared" si="44"/>
        <v>OK</v>
      </c>
      <c r="W378" t="str">
        <f>IF(I378&gt;B378,"ERROR","OK")</f>
        <v>OK</v>
      </c>
      <c r="X378">
        <f>(B378-I378)/B378</f>
        <v>0.48023648898647459</v>
      </c>
      <c r="Y378" s="2">
        <f t="shared" si="45"/>
        <v>1.3877787807814457E-15</v>
      </c>
      <c r="Z378" s="2" t="str">
        <f t="shared" si="46"/>
        <v>OK</v>
      </c>
      <c r="AA378" t="str">
        <f t="shared" si="47"/>
        <v>Unique</v>
      </c>
    </row>
    <row r="379" spans="1:27" x14ac:dyDescent="0.3">
      <c r="A379">
        <v>378</v>
      </c>
      <c r="B379">
        <v>956622.96670951101</v>
      </c>
      <c r="C379">
        <v>0.28409742421948497</v>
      </c>
      <c r="D379">
        <v>-0.17996772746061099</v>
      </c>
      <c r="E379">
        <v>0.21718480683348801</v>
      </c>
      <c r="F379">
        <v>1</v>
      </c>
      <c r="G379" t="s">
        <v>11</v>
      </c>
      <c r="H379">
        <v>0</v>
      </c>
      <c r="I379">
        <v>207763.97423728401</v>
      </c>
      <c r="J379">
        <v>0.78281519316651105</v>
      </c>
      <c r="K379" t="str">
        <f t="shared" si="40"/>
        <v>OK</v>
      </c>
      <c r="L379" t="str">
        <f t="shared" si="41"/>
        <v>OK</v>
      </c>
      <c r="M379" t="str">
        <f>IF(OR(B379&lt;$AE$20,B379&gt;$AF$20),"Outlier","OK")</f>
        <v>OK</v>
      </c>
      <c r="N379" t="str">
        <f>IF(OR(J379&lt;$AE$21,J379&gt;$AF$21),"Outlier","OK")</f>
        <v>OK</v>
      </c>
      <c r="O379" t="str">
        <f>IF(OR(C379&lt;0,C379&gt;1),"Outlier","OK")</f>
        <v>OK</v>
      </c>
      <c r="P379" t="str">
        <f>IF(OR(D379&lt;0,D379&gt;1),"Outlier","OK")</f>
        <v>Outlier</v>
      </c>
      <c r="Q379" t="str">
        <f t="shared" si="42"/>
        <v>60-80%</v>
      </c>
      <c r="R379" t="str">
        <f>IF(B379="","Missing","OK")</f>
        <v>OK</v>
      </c>
      <c r="S379" t="str">
        <f>IF(E379="","Missing","OK")</f>
        <v>OK</v>
      </c>
      <c r="T379" t="str">
        <f t="shared" si="43"/>
        <v>OK</v>
      </c>
      <c r="U379">
        <f>COUNTIF($A:$A,A379)</f>
        <v>1</v>
      </c>
      <c r="V379" t="str">
        <f t="shared" si="44"/>
        <v>OK</v>
      </c>
      <c r="W379" t="str">
        <f>IF(I379&gt;B379,"ERROR","OK")</f>
        <v>OK</v>
      </c>
      <c r="X379">
        <f>(B379-I379)/B379</f>
        <v>0.78281519316651127</v>
      </c>
      <c r="Y379" s="2">
        <f t="shared" si="45"/>
        <v>2.2204460492503131E-16</v>
      </c>
      <c r="Z379" s="2" t="str">
        <f t="shared" si="46"/>
        <v>OK</v>
      </c>
      <c r="AA379" t="str">
        <f t="shared" si="47"/>
        <v>Unique</v>
      </c>
    </row>
    <row r="380" spans="1:27" x14ac:dyDescent="0.3">
      <c r="A380">
        <v>379</v>
      </c>
      <c r="B380">
        <v>1570544.9910734401</v>
      </c>
      <c r="C380">
        <v>0.275046882568656</v>
      </c>
      <c r="D380">
        <v>0.114300776276617</v>
      </c>
      <c r="E380">
        <v>0.15493247139588301</v>
      </c>
      <c r="F380">
        <v>1</v>
      </c>
      <c r="G380" t="s">
        <v>10</v>
      </c>
      <c r="H380">
        <v>0</v>
      </c>
      <c r="I380">
        <v>243328.41690543399</v>
      </c>
      <c r="J380">
        <v>0.84506752860411605</v>
      </c>
      <c r="K380" t="str">
        <f t="shared" si="40"/>
        <v>OK</v>
      </c>
      <c r="L380" t="str">
        <f t="shared" si="41"/>
        <v>OK</v>
      </c>
      <c r="M380" t="str">
        <f>IF(OR(B380&lt;$AE$20,B380&gt;$AF$20),"Outlier","OK")</f>
        <v>OK</v>
      </c>
      <c r="N380" t="str">
        <f>IF(OR(J380&lt;$AE$21,J380&gt;$AF$21),"Outlier","OK")</f>
        <v>OK</v>
      </c>
      <c r="O380" t="str">
        <f>IF(OR(C380&lt;0,C380&gt;1),"Outlier","OK")</f>
        <v>OK</v>
      </c>
      <c r="P380" t="str">
        <f>IF(OR(D380&lt;0,D380&gt;1),"Outlier","OK")</f>
        <v>OK</v>
      </c>
      <c r="Q380" t="str">
        <f t="shared" si="42"/>
        <v>80-100%</v>
      </c>
      <c r="R380" t="str">
        <f>IF(B380="","Missing","OK")</f>
        <v>OK</v>
      </c>
      <c r="S380" t="str">
        <f>IF(E380="","Missing","OK")</f>
        <v>OK</v>
      </c>
      <c r="T380" t="str">
        <f t="shared" si="43"/>
        <v>OK</v>
      </c>
      <c r="U380">
        <f>COUNTIF($A:$A,A380)</f>
        <v>1</v>
      </c>
      <c r="V380" t="str">
        <f t="shared" si="44"/>
        <v>OK</v>
      </c>
      <c r="W380" t="str">
        <f>IF(I380&gt;B380,"ERROR","OK")</f>
        <v>OK</v>
      </c>
      <c r="X380">
        <f>(B380-I380)/B380</f>
        <v>0.84506752860411638</v>
      </c>
      <c r="Y380" s="2">
        <f t="shared" si="45"/>
        <v>3.3306690738754696E-16</v>
      </c>
      <c r="Z380" s="2" t="str">
        <f t="shared" si="46"/>
        <v>OK</v>
      </c>
      <c r="AA380" t="str">
        <f t="shared" si="47"/>
        <v>Unique</v>
      </c>
    </row>
    <row r="381" spans="1:27" x14ac:dyDescent="0.3">
      <c r="A381">
        <v>380</v>
      </c>
      <c r="B381">
        <v>513082.52897711803</v>
      </c>
      <c r="C381">
        <v>0.64115779814292095</v>
      </c>
      <c r="D381">
        <v>-7.5261757165132698E-2</v>
      </c>
      <c r="E381">
        <v>0.101871679069324</v>
      </c>
      <c r="F381">
        <v>1</v>
      </c>
      <c r="G381" t="s">
        <v>13</v>
      </c>
      <c r="H381">
        <v>0</v>
      </c>
      <c r="I381">
        <v>52268.578728034598</v>
      </c>
      <c r="J381">
        <v>0.89812832093067496</v>
      </c>
      <c r="K381" t="str">
        <f t="shared" si="40"/>
        <v>OK</v>
      </c>
      <c r="L381" t="str">
        <f t="shared" si="41"/>
        <v>OK</v>
      </c>
      <c r="M381" t="str">
        <f>IF(OR(B381&lt;$AE$20,B381&gt;$AF$20),"Outlier","OK")</f>
        <v>OK</v>
      </c>
      <c r="N381" t="str">
        <f>IF(OR(J381&lt;$AE$21,J381&gt;$AF$21),"Outlier","OK")</f>
        <v>OK</v>
      </c>
      <c r="O381" t="str">
        <f>IF(OR(C381&lt;0,C381&gt;1),"Outlier","OK")</f>
        <v>OK</v>
      </c>
      <c r="P381" t="str">
        <f>IF(OR(D381&lt;0,D381&gt;1),"Outlier","OK")</f>
        <v>Outlier</v>
      </c>
      <c r="Q381" t="str">
        <f t="shared" si="42"/>
        <v>80-100%</v>
      </c>
      <c r="R381" t="str">
        <f>IF(B381="","Missing","OK")</f>
        <v>OK</v>
      </c>
      <c r="S381" t="str">
        <f>IF(E381="","Missing","OK")</f>
        <v>OK</v>
      </c>
      <c r="T381" t="str">
        <f t="shared" si="43"/>
        <v>OK</v>
      </c>
      <c r="U381">
        <f>COUNTIF($A:$A,A381)</f>
        <v>1</v>
      </c>
      <c r="V381" t="str">
        <f t="shared" si="44"/>
        <v>OK</v>
      </c>
      <c r="W381" t="str">
        <f>IF(I381&gt;B381,"ERROR","OK")</f>
        <v>OK</v>
      </c>
      <c r="X381">
        <f>(B381-I381)/B381</f>
        <v>0.89812832093067507</v>
      </c>
      <c r="Y381" s="2">
        <f t="shared" si="45"/>
        <v>1.1102230246251565E-16</v>
      </c>
      <c r="Z381" s="2" t="str">
        <f t="shared" si="46"/>
        <v>OK</v>
      </c>
      <c r="AA381" t="str">
        <f t="shared" si="47"/>
        <v>Unique</v>
      </c>
    </row>
    <row r="382" spans="1:27" x14ac:dyDescent="0.3">
      <c r="A382">
        <v>381</v>
      </c>
      <c r="B382">
        <v>698531.52594946895</v>
      </c>
      <c r="C382">
        <v>0.62572549084470297</v>
      </c>
      <c r="D382">
        <v>-0.145452706406831</v>
      </c>
      <c r="E382">
        <v>0.15958441848541999</v>
      </c>
      <c r="F382">
        <v>1</v>
      </c>
      <c r="G382" t="s">
        <v>10</v>
      </c>
      <c r="H382">
        <v>0</v>
      </c>
      <c r="I382">
        <v>111474.747362379</v>
      </c>
      <c r="J382">
        <v>0.84041558151457896</v>
      </c>
      <c r="K382" t="str">
        <f t="shared" si="40"/>
        <v>OK</v>
      </c>
      <c r="L382" t="str">
        <f t="shared" si="41"/>
        <v>OK</v>
      </c>
      <c r="M382" t="str">
        <f>IF(OR(B382&lt;$AE$20,B382&gt;$AF$20),"Outlier","OK")</f>
        <v>OK</v>
      </c>
      <c r="N382" t="str">
        <f>IF(OR(J382&lt;$AE$21,J382&gt;$AF$21),"Outlier","OK")</f>
        <v>OK</v>
      </c>
      <c r="O382" t="str">
        <f>IF(OR(C382&lt;0,C382&gt;1),"Outlier","OK")</f>
        <v>OK</v>
      </c>
      <c r="P382" t="str">
        <f>IF(OR(D382&lt;0,D382&gt;1),"Outlier","OK")</f>
        <v>Outlier</v>
      </c>
      <c r="Q382" t="str">
        <f t="shared" si="42"/>
        <v>80-100%</v>
      </c>
      <c r="R382" t="str">
        <f>IF(B382="","Missing","OK")</f>
        <v>OK</v>
      </c>
      <c r="S382" t="str">
        <f>IF(E382="","Missing","OK")</f>
        <v>OK</v>
      </c>
      <c r="T382" t="str">
        <f t="shared" si="43"/>
        <v>OK</v>
      </c>
      <c r="U382">
        <f>COUNTIF($A:$A,A382)</f>
        <v>1</v>
      </c>
      <c r="V382" t="str">
        <f t="shared" si="44"/>
        <v>OK</v>
      </c>
      <c r="W382" t="str">
        <f>IF(I382&gt;B382,"ERROR","OK")</f>
        <v>OK</v>
      </c>
      <c r="X382">
        <f>(B382-I382)/B382</f>
        <v>0.84041558151458018</v>
      </c>
      <c r="Y382" s="2">
        <f t="shared" si="45"/>
        <v>1.2212453270876722E-15</v>
      </c>
      <c r="Z382" s="2" t="str">
        <f t="shared" si="46"/>
        <v>OK</v>
      </c>
      <c r="AA382" t="str">
        <f t="shared" si="47"/>
        <v>Unique</v>
      </c>
    </row>
    <row r="383" spans="1:27" x14ac:dyDescent="0.3">
      <c r="A383">
        <v>382</v>
      </c>
      <c r="B383">
        <v>1909709.3826187199</v>
      </c>
      <c r="C383">
        <v>0.39579295804335501</v>
      </c>
      <c r="D383">
        <v>8.4591873969414699E-2</v>
      </c>
      <c r="E383">
        <v>0.50712939173746696</v>
      </c>
      <c r="F383">
        <v>1</v>
      </c>
      <c r="G383" t="s">
        <v>10</v>
      </c>
      <c r="H383">
        <v>0</v>
      </c>
      <c r="I383">
        <v>968469.75760276697</v>
      </c>
      <c r="J383">
        <v>0.49287060826253198</v>
      </c>
      <c r="K383" t="str">
        <f t="shared" si="40"/>
        <v>OK</v>
      </c>
      <c r="L383" t="str">
        <f t="shared" si="41"/>
        <v>OK</v>
      </c>
      <c r="M383" t="str">
        <f>IF(OR(B383&lt;$AE$20,B383&gt;$AF$20),"Outlier","OK")</f>
        <v>OK</v>
      </c>
      <c r="N383" t="str">
        <f>IF(OR(J383&lt;$AE$21,J383&gt;$AF$21),"Outlier","OK")</f>
        <v>OK</v>
      </c>
      <c r="O383" t="str">
        <f>IF(OR(C383&lt;0,C383&gt;1),"Outlier","OK")</f>
        <v>OK</v>
      </c>
      <c r="P383" t="str">
        <f>IF(OR(D383&lt;0,D383&gt;1),"Outlier","OK")</f>
        <v>OK</v>
      </c>
      <c r="Q383" t="str">
        <f t="shared" si="42"/>
        <v>40-60%</v>
      </c>
      <c r="R383" t="str">
        <f>IF(B383="","Missing","OK")</f>
        <v>OK</v>
      </c>
      <c r="S383" t="str">
        <f>IF(E383="","Missing","OK")</f>
        <v>OK</v>
      </c>
      <c r="T383" t="str">
        <f t="shared" si="43"/>
        <v>OK</v>
      </c>
      <c r="U383">
        <f>COUNTIF($A:$A,A383)</f>
        <v>1</v>
      </c>
      <c r="V383" t="str">
        <f t="shared" si="44"/>
        <v>OK</v>
      </c>
      <c r="W383" t="str">
        <f>IF(I383&gt;B383,"ERROR","OK")</f>
        <v>OK</v>
      </c>
      <c r="X383">
        <f>(B383-I383)/B383</f>
        <v>0.49287060826253198</v>
      </c>
      <c r="Y383" s="2">
        <f t="shared" si="45"/>
        <v>0</v>
      </c>
      <c r="Z383" s="2" t="str">
        <f t="shared" si="46"/>
        <v>OK</v>
      </c>
      <c r="AA383" t="str">
        <f t="shared" si="47"/>
        <v>Unique</v>
      </c>
    </row>
    <row r="384" spans="1:27" x14ac:dyDescent="0.3">
      <c r="A384">
        <v>383</v>
      </c>
      <c r="B384">
        <v>1332739.3926421199</v>
      </c>
      <c r="C384">
        <v>0.78243236148127904</v>
      </c>
      <c r="D384">
        <v>7.3814853883976794E-2</v>
      </c>
      <c r="E384">
        <v>9.0559308670159294E-2</v>
      </c>
      <c r="F384">
        <v>1</v>
      </c>
      <c r="G384" t="s">
        <v>12</v>
      </c>
      <c r="H384">
        <v>0</v>
      </c>
      <c r="I384">
        <v>120691.95803515799</v>
      </c>
      <c r="J384">
        <v>0.90944069132983996</v>
      </c>
      <c r="K384" t="str">
        <f t="shared" si="40"/>
        <v>OK</v>
      </c>
      <c r="L384" t="str">
        <f t="shared" si="41"/>
        <v>OK</v>
      </c>
      <c r="M384" t="str">
        <f>IF(OR(B384&lt;$AE$20,B384&gt;$AF$20),"Outlier","OK")</f>
        <v>OK</v>
      </c>
      <c r="N384" t="str">
        <f>IF(OR(J384&lt;$AE$21,J384&gt;$AF$21),"Outlier","OK")</f>
        <v>OK</v>
      </c>
      <c r="O384" t="str">
        <f>IF(OR(C384&lt;0,C384&gt;1),"Outlier","OK")</f>
        <v>OK</v>
      </c>
      <c r="P384" t="str">
        <f>IF(OR(D384&lt;0,D384&gt;1),"Outlier","OK")</f>
        <v>OK</v>
      </c>
      <c r="Q384" t="str">
        <f t="shared" si="42"/>
        <v>80-100%</v>
      </c>
      <c r="R384" t="str">
        <f>IF(B384="","Missing","OK")</f>
        <v>OK</v>
      </c>
      <c r="S384" t="str">
        <f>IF(E384="","Missing","OK")</f>
        <v>OK</v>
      </c>
      <c r="T384" t="str">
        <f t="shared" si="43"/>
        <v>OK</v>
      </c>
      <c r="U384">
        <f>COUNTIF($A:$A,A384)</f>
        <v>1</v>
      </c>
      <c r="V384" t="str">
        <f t="shared" si="44"/>
        <v>OK</v>
      </c>
      <c r="W384" t="str">
        <f>IF(I384&gt;B384,"ERROR","OK")</f>
        <v>OK</v>
      </c>
      <c r="X384">
        <f>(B384-I384)/B384</f>
        <v>0.90944069132984096</v>
      </c>
      <c r="Y384" s="2">
        <f t="shared" si="45"/>
        <v>9.9920072216264089E-16</v>
      </c>
      <c r="Z384" s="2" t="str">
        <f t="shared" si="46"/>
        <v>OK</v>
      </c>
      <c r="AA384" t="str">
        <f t="shared" si="47"/>
        <v>Unique</v>
      </c>
    </row>
    <row r="385" spans="1:27" x14ac:dyDescent="0.3">
      <c r="A385">
        <v>384</v>
      </c>
      <c r="B385">
        <v>1557111.769478</v>
      </c>
      <c r="C385">
        <v>0.440523452680808</v>
      </c>
      <c r="D385">
        <v>0.15568143748719801</v>
      </c>
      <c r="E385">
        <v>0.44940035286853303</v>
      </c>
      <c r="F385">
        <v>1</v>
      </c>
      <c r="G385" t="s">
        <v>11</v>
      </c>
      <c r="H385">
        <v>1</v>
      </c>
      <c r="I385">
        <v>699766.57865916297</v>
      </c>
      <c r="J385">
        <v>0.55059964713146603</v>
      </c>
      <c r="K385" t="str">
        <f t="shared" si="40"/>
        <v>OK</v>
      </c>
      <c r="L385" t="str">
        <f t="shared" si="41"/>
        <v>OK</v>
      </c>
      <c r="M385" t="str">
        <f>IF(OR(B385&lt;$AE$20,B385&gt;$AF$20),"Outlier","OK")</f>
        <v>OK</v>
      </c>
      <c r="N385" t="str">
        <f>IF(OR(J385&lt;$AE$21,J385&gt;$AF$21),"Outlier","OK")</f>
        <v>OK</v>
      </c>
      <c r="O385" t="str">
        <f>IF(OR(C385&lt;0,C385&gt;1),"Outlier","OK")</f>
        <v>OK</v>
      </c>
      <c r="P385" t="str">
        <f>IF(OR(D385&lt;0,D385&gt;1),"Outlier","OK")</f>
        <v>OK</v>
      </c>
      <c r="Q385" t="str">
        <f t="shared" si="42"/>
        <v>40-60%</v>
      </c>
      <c r="R385" t="str">
        <f>IF(B385="","Missing","OK")</f>
        <v>OK</v>
      </c>
      <c r="S385" t="str">
        <f>IF(E385="","Missing","OK")</f>
        <v>OK</v>
      </c>
      <c r="T385" t="str">
        <f t="shared" si="43"/>
        <v>OK</v>
      </c>
      <c r="U385">
        <f>COUNTIF($A:$A,A385)</f>
        <v>1</v>
      </c>
      <c r="V385" t="str">
        <f t="shared" si="44"/>
        <v>OK</v>
      </c>
      <c r="W385" t="str">
        <f>IF(I385&gt;B385,"ERROR","OK")</f>
        <v>OK</v>
      </c>
      <c r="X385">
        <f>(B385-I385)/B385</f>
        <v>0.55059964713146448</v>
      </c>
      <c r="Y385" s="2">
        <f t="shared" si="45"/>
        <v>1.5543122344752192E-15</v>
      </c>
      <c r="Z385" s="2" t="str">
        <f t="shared" si="46"/>
        <v>OK</v>
      </c>
      <c r="AA385" t="str">
        <f t="shared" si="47"/>
        <v>Unique</v>
      </c>
    </row>
    <row r="386" spans="1:27" x14ac:dyDescent="0.3">
      <c r="A386">
        <v>385</v>
      </c>
      <c r="B386">
        <v>1392329.9692802201</v>
      </c>
      <c r="C386">
        <v>0.54593395175221704</v>
      </c>
      <c r="D386">
        <v>-0.19681656041113299</v>
      </c>
      <c r="E386">
        <v>0.18018068305308399</v>
      </c>
      <c r="F386">
        <v>1</v>
      </c>
      <c r="G386" t="s">
        <v>11</v>
      </c>
      <c r="H386">
        <v>0</v>
      </c>
      <c r="I386">
        <v>250870.964900191</v>
      </c>
      <c r="J386">
        <v>0.81981931694691501</v>
      </c>
      <c r="K386" t="str">
        <f t="shared" si="40"/>
        <v>OK</v>
      </c>
      <c r="L386" t="str">
        <f t="shared" si="41"/>
        <v>OK</v>
      </c>
      <c r="M386" t="str">
        <f>IF(OR(B386&lt;$AE$20,B386&gt;$AF$20),"Outlier","OK")</f>
        <v>OK</v>
      </c>
      <c r="N386" t="str">
        <f>IF(OR(J386&lt;$AE$21,J386&gt;$AF$21),"Outlier","OK")</f>
        <v>OK</v>
      </c>
      <c r="O386" t="str">
        <f>IF(OR(C386&lt;0,C386&gt;1),"Outlier","OK")</f>
        <v>OK</v>
      </c>
      <c r="P386" t="str">
        <f>IF(OR(D386&lt;0,D386&gt;1),"Outlier","OK")</f>
        <v>Outlier</v>
      </c>
      <c r="Q386" t="str">
        <f t="shared" si="42"/>
        <v>80-100%</v>
      </c>
      <c r="R386" t="str">
        <f>IF(B386="","Missing","OK")</f>
        <v>OK</v>
      </c>
      <c r="S386" t="str">
        <f>IF(E386="","Missing","OK")</f>
        <v>OK</v>
      </c>
      <c r="T386" t="str">
        <f t="shared" si="43"/>
        <v>OK</v>
      </c>
      <c r="U386">
        <f>COUNTIF($A:$A,A386)</f>
        <v>1</v>
      </c>
      <c r="V386" t="str">
        <f t="shared" si="44"/>
        <v>OK</v>
      </c>
      <c r="W386" t="str">
        <f>IF(I386&gt;B386,"ERROR","OK")</f>
        <v>OK</v>
      </c>
      <c r="X386">
        <f>(B386-I386)/B386</f>
        <v>0.81981931694691501</v>
      </c>
      <c r="Y386" s="2">
        <f t="shared" si="45"/>
        <v>0</v>
      </c>
      <c r="Z386" s="2" t="str">
        <f t="shared" si="46"/>
        <v>OK</v>
      </c>
      <c r="AA386" t="str">
        <f t="shared" si="47"/>
        <v>Unique</v>
      </c>
    </row>
    <row r="387" spans="1:27" x14ac:dyDescent="0.3">
      <c r="A387">
        <v>386</v>
      </c>
      <c r="B387">
        <v>448393.02980444301</v>
      </c>
      <c r="C387">
        <v>0.465919197118566</v>
      </c>
      <c r="D387">
        <v>-1.7052838761181102E-2</v>
      </c>
      <c r="E387">
        <v>0.61353083774349404</v>
      </c>
      <c r="F387">
        <v>1</v>
      </c>
      <c r="G387" t="s">
        <v>11</v>
      </c>
      <c r="H387">
        <v>1</v>
      </c>
      <c r="I387">
        <v>275102.95121426397</v>
      </c>
      <c r="J387">
        <v>0.38646916225650502</v>
      </c>
      <c r="K387" t="str">
        <f t="shared" ref="K387:K450" si="48">IF(OR(J387&lt;0,J387&gt;1),"Error","OK")</f>
        <v>OK</v>
      </c>
      <c r="L387" t="str">
        <f t="shared" ref="L387:L450" si="49">IF(I387&gt;B387,"Error","OK")</f>
        <v>OK</v>
      </c>
      <c r="M387" t="str">
        <f>IF(OR(B387&lt;$AE$20,B387&gt;$AF$20),"Outlier","OK")</f>
        <v>OK</v>
      </c>
      <c r="N387" t="str">
        <f>IF(OR(J387&lt;$AE$21,J387&gt;$AF$21),"Outlier","OK")</f>
        <v>OK</v>
      </c>
      <c r="O387" t="str">
        <f>IF(OR(C387&lt;0,C387&gt;1),"Outlier","OK")</f>
        <v>OK</v>
      </c>
      <c r="P387" t="str">
        <f>IF(OR(D387&lt;0,D387&gt;1),"Outlier","OK")</f>
        <v>Outlier</v>
      </c>
      <c r="Q387" t="str">
        <f t="shared" ref="Q387:Q450" si="50">IF(J387&lt;=0.2,"0-20%",
 IF(J387&lt;=0.4,"20-40%",
 IF(J387&lt;=0.6,"40-60%",
 IF(J387&lt;=0.8,"60-80%","80-100%"))))</f>
        <v>20-40%</v>
      </c>
      <c r="R387" t="str">
        <f>IF(B387="","Missing","OK")</f>
        <v>OK</v>
      </c>
      <c r="S387" t="str">
        <f>IF(E387="","Missing","OK")</f>
        <v>OK</v>
      </c>
      <c r="T387" t="str">
        <f t="shared" ref="T387:T450" si="51">IF(J387="","Missing","OK")</f>
        <v>OK</v>
      </c>
      <c r="U387">
        <f>COUNTIF($A:$A,A387)</f>
        <v>1</v>
      </c>
      <c r="V387" t="str">
        <f t="shared" ref="V387:V450" si="52">IF(OR(J387&lt;0,J387&gt;1),"ERROR","OK")</f>
        <v>OK</v>
      </c>
      <c r="W387" t="str">
        <f>IF(I387&gt;B387,"ERROR","OK")</f>
        <v>OK</v>
      </c>
      <c r="X387">
        <f>(B387-I387)/B387</f>
        <v>0.38646916225650468</v>
      </c>
      <c r="Y387" s="2">
        <f t="shared" ref="Y387:Y450" si="53">ABS(J387-X387)</f>
        <v>3.3306690738754696E-16</v>
      </c>
      <c r="Z387" s="2" t="str">
        <f t="shared" ref="Z387:Z450" si="54">IF(OR(B387="",I387="",J387=""),"Missing","OK")</f>
        <v>OK</v>
      </c>
      <c r="AA387" t="str">
        <f t="shared" ref="AA387:AA450" si="55">IF(COUNTIF($A:$A,A387)&gt;1,"Duplicate","Unique")</f>
        <v>Unique</v>
      </c>
    </row>
    <row r="388" spans="1:27" x14ac:dyDescent="0.3">
      <c r="A388">
        <v>387</v>
      </c>
      <c r="B388">
        <v>967843.05947075796</v>
      </c>
      <c r="C388">
        <v>0.44304626660215601</v>
      </c>
      <c r="D388">
        <v>-4.2779914959574103E-2</v>
      </c>
      <c r="E388">
        <v>0.35605036414153901</v>
      </c>
      <c r="F388">
        <v>1</v>
      </c>
      <c r="G388" t="s">
        <v>11</v>
      </c>
      <c r="H388">
        <v>1</v>
      </c>
      <c r="I388">
        <v>344600.87375642499</v>
      </c>
      <c r="J388">
        <v>0.64394963585845999</v>
      </c>
      <c r="K388" t="str">
        <f t="shared" si="48"/>
        <v>OK</v>
      </c>
      <c r="L388" t="str">
        <f t="shared" si="49"/>
        <v>OK</v>
      </c>
      <c r="M388" t="str">
        <f>IF(OR(B388&lt;$AE$20,B388&gt;$AF$20),"Outlier","OK")</f>
        <v>OK</v>
      </c>
      <c r="N388" t="str">
        <f>IF(OR(J388&lt;$AE$21,J388&gt;$AF$21),"Outlier","OK")</f>
        <v>OK</v>
      </c>
      <c r="O388" t="str">
        <f>IF(OR(C388&lt;0,C388&gt;1),"Outlier","OK")</f>
        <v>OK</v>
      </c>
      <c r="P388" t="str">
        <f>IF(OR(D388&lt;0,D388&gt;1),"Outlier","OK")</f>
        <v>Outlier</v>
      </c>
      <c r="Q388" t="str">
        <f t="shared" si="50"/>
        <v>60-80%</v>
      </c>
      <c r="R388" t="str">
        <f>IF(B388="","Missing","OK")</f>
        <v>OK</v>
      </c>
      <c r="S388" t="str">
        <f>IF(E388="","Missing","OK")</f>
        <v>OK</v>
      </c>
      <c r="T388" t="str">
        <f t="shared" si="51"/>
        <v>OK</v>
      </c>
      <c r="U388">
        <f>COUNTIF($A:$A,A388)</f>
        <v>1</v>
      </c>
      <c r="V388" t="str">
        <f t="shared" si="52"/>
        <v>OK</v>
      </c>
      <c r="W388" t="str">
        <f>IF(I388&gt;B388,"ERROR","OK")</f>
        <v>OK</v>
      </c>
      <c r="X388">
        <f>(B388-I388)/B388</f>
        <v>0.64394963585846055</v>
      </c>
      <c r="Y388" s="2">
        <f t="shared" si="53"/>
        <v>5.5511151231257827E-16</v>
      </c>
      <c r="Z388" s="2" t="str">
        <f t="shared" si="54"/>
        <v>OK</v>
      </c>
      <c r="AA388" t="str">
        <f t="shared" si="55"/>
        <v>Unique</v>
      </c>
    </row>
    <row r="389" spans="1:27" x14ac:dyDescent="0.3">
      <c r="A389">
        <v>388</v>
      </c>
      <c r="B389">
        <v>1627479.5517879799</v>
      </c>
      <c r="C389">
        <v>0.27997586122657597</v>
      </c>
      <c r="D389">
        <v>0.103142305786818</v>
      </c>
      <c r="E389">
        <v>0.132260967958128</v>
      </c>
      <c r="F389">
        <v>1</v>
      </c>
      <c r="G389" t="s">
        <v>13</v>
      </c>
      <c r="H389">
        <v>0</v>
      </c>
      <c r="I389">
        <v>215252.02085153901</v>
      </c>
      <c r="J389">
        <v>0.86773903204187097</v>
      </c>
      <c r="K389" t="str">
        <f t="shared" si="48"/>
        <v>OK</v>
      </c>
      <c r="L389" t="str">
        <f t="shared" si="49"/>
        <v>OK</v>
      </c>
      <c r="M389" t="str">
        <f>IF(OR(B389&lt;$AE$20,B389&gt;$AF$20),"Outlier","OK")</f>
        <v>OK</v>
      </c>
      <c r="N389" t="str">
        <f>IF(OR(J389&lt;$AE$21,J389&gt;$AF$21),"Outlier","OK")</f>
        <v>OK</v>
      </c>
      <c r="O389" t="str">
        <f>IF(OR(C389&lt;0,C389&gt;1),"Outlier","OK")</f>
        <v>OK</v>
      </c>
      <c r="P389" t="str">
        <f>IF(OR(D389&lt;0,D389&gt;1),"Outlier","OK")</f>
        <v>OK</v>
      </c>
      <c r="Q389" t="str">
        <f t="shared" si="50"/>
        <v>80-100%</v>
      </c>
      <c r="R389" t="str">
        <f>IF(B389="","Missing","OK")</f>
        <v>OK</v>
      </c>
      <c r="S389" t="str">
        <f>IF(E389="","Missing","OK")</f>
        <v>OK</v>
      </c>
      <c r="T389" t="str">
        <f t="shared" si="51"/>
        <v>OK</v>
      </c>
      <c r="U389">
        <f>COUNTIF($A:$A,A389)</f>
        <v>1</v>
      </c>
      <c r="V389" t="str">
        <f t="shared" si="52"/>
        <v>OK</v>
      </c>
      <c r="W389" t="str">
        <f>IF(I389&gt;B389,"ERROR","OK")</f>
        <v>OK</v>
      </c>
      <c r="X389">
        <f>(B389-I389)/B389</f>
        <v>0.86773903204187175</v>
      </c>
      <c r="Y389" s="2">
        <f t="shared" si="53"/>
        <v>7.7715611723760958E-16</v>
      </c>
      <c r="Z389" s="2" t="str">
        <f t="shared" si="54"/>
        <v>OK</v>
      </c>
      <c r="AA389" t="str">
        <f t="shared" si="55"/>
        <v>Unique</v>
      </c>
    </row>
    <row r="390" spans="1:27" x14ac:dyDescent="0.3">
      <c r="A390">
        <v>389</v>
      </c>
      <c r="B390">
        <v>1366318.4974732699</v>
      </c>
      <c r="C390">
        <v>0.82672391521042399</v>
      </c>
      <c r="D390">
        <v>0.177652331058402</v>
      </c>
      <c r="E390">
        <v>0.505525879565773</v>
      </c>
      <c r="F390">
        <v>1</v>
      </c>
      <c r="G390" t="s">
        <v>10</v>
      </c>
      <c r="H390">
        <v>1</v>
      </c>
      <c r="I390">
        <v>690709.36020216299</v>
      </c>
      <c r="J390">
        <v>0.49447412043422601</v>
      </c>
      <c r="K390" t="str">
        <f t="shared" si="48"/>
        <v>OK</v>
      </c>
      <c r="L390" t="str">
        <f t="shared" si="49"/>
        <v>OK</v>
      </c>
      <c r="M390" t="str">
        <f>IF(OR(B390&lt;$AE$20,B390&gt;$AF$20),"Outlier","OK")</f>
        <v>OK</v>
      </c>
      <c r="N390" t="str">
        <f>IF(OR(J390&lt;$AE$21,J390&gt;$AF$21),"Outlier","OK")</f>
        <v>OK</v>
      </c>
      <c r="O390" t="str">
        <f>IF(OR(C390&lt;0,C390&gt;1),"Outlier","OK")</f>
        <v>OK</v>
      </c>
      <c r="P390" t="str">
        <f>IF(OR(D390&lt;0,D390&gt;1),"Outlier","OK")</f>
        <v>OK</v>
      </c>
      <c r="Q390" t="str">
        <f t="shared" si="50"/>
        <v>40-60%</v>
      </c>
      <c r="R390" t="str">
        <f>IF(B390="","Missing","OK")</f>
        <v>OK</v>
      </c>
      <c r="S390" t="str">
        <f>IF(E390="","Missing","OK")</f>
        <v>OK</v>
      </c>
      <c r="T390" t="str">
        <f t="shared" si="51"/>
        <v>OK</v>
      </c>
      <c r="U390">
        <f>COUNTIF($A:$A,A390)</f>
        <v>1</v>
      </c>
      <c r="V390" t="str">
        <f t="shared" si="52"/>
        <v>OK</v>
      </c>
      <c r="W390" t="str">
        <f>IF(I390&gt;B390,"ERROR","OK")</f>
        <v>OK</v>
      </c>
      <c r="X390">
        <f>(B390-I390)/B390</f>
        <v>0.49447412043422495</v>
      </c>
      <c r="Y390" s="2">
        <f t="shared" si="53"/>
        <v>1.0547118733938987E-15</v>
      </c>
      <c r="Z390" s="2" t="str">
        <f t="shared" si="54"/>
        <v>OK</v>
      </c>
      <c r="AA390" t="str">
        <f t="shared" si="55"/>
        <v>Unique</v>
      </c>
    </row>
    <row r="391" spans="1:27" x14ac:dyDescent="0.3">
      <c r="A391">
        <v>390</v>
      </c>
      <c r="B391">
        <v>61754.377023930901</v>
      </c>
      <c r="C391">
        <v>0.162080678848431</v>
      </c>
      <c r="D391">
        <v>0.16663723912756101</v>
      </c>
      <c r="E391">
        <v>0.156881987019521</v>
      </c>
      <c r="F391">
        <v>1</v>
      </c>
      <c r="G391" t="s">
        <v>11</v>
      </c>
      <c r="H391">
        <v>1</v>
      </c>
      <c r="I391">
        <v>9688.1493746669894</v>
      </c>
      <c r="J391">
        <v>0.84311801298047795</v>
      </c>
      <c r="K391" t="str">
        <f t="shared" si="48"/>
        <v>OK</v>
      </c>
      <c r="L391" t="str">
        <f t="shared" si="49"/>
        <v>OK</v>
      </c>
      <c r="M391" t="str">
        <f>IF(OR(B391&lt;$AE$20,B391&gt;$AF$20),"Outlier","OK")</f>
        <v>Outlier</v>
      </c>
      <c r="N391" t="str">
        <f>IF(OR(J391&lt;$AE$21,J391&gt;$AF$21),"Outlier","OK")</f>
        <v>OK</v>
      </c>
      <c r="O391" t="str">
        <f>IF(OR(C391&lt;0,C391&gt;1),"Outlier","OK")</f>
        <v>OK</v>
      </c>
      <c r="P391" t="str">
        <f>IF(OR(D391&lt;0,D391&gt;1),"Outlier","OK")</f>
        <v>OK</v>
      </c>
      <c r="Q391" t="str">
        <f t="shared" si="50"/>
        <v>80-100%</v>
      </c>
      <c r="R391" t="str">
        <f>IF(B391="","Missing","OK")</f>
        <v>OK</v>
      </c>
      <c r="S391" t="str">
        <f>IF(E391="","Missing","OK")</f>
        <v>OK</v>
      </c>
      <c r="T391" t="str">
        <f t="shared" si="51"/>
        <v>OK</v>
      </c>
      <c r="U391">
        <f>COUNTIF($A:$A,A391)</f>
        <v>1</v>
      </c>
      <c r="V391" t="str">
        <f t="shared" si="52"/>
        <v>OK</v>
      </c>
      <c r="W391" t="str">
        <f>IF(I391&gt;B391,"ERROR","OK")</f>
        <v>OK</v>
      </c>
      <c r="X391">
        <f>(B391-I391)/B391</f>
        <v>0.84311801298047817</v>
      </c>
      <c r="Y391" s="2">
        <f t="shared" si="53"/>
        <v>2.2204460492503131E-16</v>
      </c>
      <c r="Z391" s="2" t="str">
        <f t="shared" si="54"/>
        <v>OK</v>
      </c>
      <c r="AA391" t="str">
        <f t="shared" si="55"/>
        <v>Unique</v>
      </c>
    </row>
    <row r="392" spans="1:27" x14ac:dyDescent="0.3">
      <c r="A392">
        <v>391</v>
      </c>
      <c r="B392">
        <v>220445.09817300399</v>
      </c>
      <c r="C392">
        <v>0.57931518825770101</v>
      </c>
      <c r="D392">
        <v>5.6443138550216702E-2</v>
      </c>
      <c r="E392">
        <v>0.24373022531941099</v>
      </c>
      <c r="F392">
        <v>1</v>
      </c>
      <c r="G392" t="s">
        <v>10</v>
      </c>
      <c r="H392">
        <v>0</v>
      </c>
      <c r="I392">
        <v>53729.133448266199</v>
      </c>
      <c r="J392">
        <v>0.75626977468058798</v>
      </c>
      <c r="K392" t="str">
        <f t="shared" si="48"/>
        <v>OK</v>
      </c>
      <c r="L392" t="str">
        <f t="shared" si="49"/>
        <v>OK</v>
      </c>
      <c r="M392" t="str">
        <f>IF(OR(B392&lt;$AE$20,B392&gt;$AF$20),"Outlier","OK")</f>
        <v>OK</v>
      </c>
      <c r="N392" t="str">
        <f>IF(OR(J392&lt;$AE$21,J392&gt;$AF$21),"Outlier","OK")</f>
        <v>OK</v>
      </c>
      <c r="O392" t="str">
        <f>IF(OR(C392&lt;0,C392&gt;1),"Outlier","OK")</f>
        <v>OK</v>
      </c>
      <c r="P392" t="str">
        <f>IF(OR(D392&lt;0,D392&gt;1),"Outlier","OK")</f>
        <v>OK</v>
      </c>
      <c r="Q392" t="str">
        <f t="shared" si="50"/>
        <v>60-80%</v>
      </c>
      <c r="R392" t="str">
        <f>IF(B392="","Missing","OK")</f>
        <v>OK</v>
      </c>
      <c r="S392" t="str">
        <f>IF(E392="","Missing","OK")</f>
        <v>OK</v>
      </c>
      <c r="T392" t="str">
        <f t="shared" si="51"/>
        <v>OK</v>
      </c>
      <c r="U392">
        <f>COUNTIF($A:$A,A392)</f>
        <v>1</v>
      </c>
      <c r="V392" t="str">
        <f t="shared" si="52"/>
        <v>OK</v>
      </c>
      <c r="W392" t="str">
        <f>IF(I392&gt;B392,"ERROR","OK")</f>
        <v>OK</v>
      </c>
      <c r="X392">
        <f>(B392-I392)/B392</f>
        <v>0.75626977468058787</v>
      </c>
      <c r="Y392" s="2">
        <f t="shared" si="53"/>
        <v>1.1102230246251565E-16</v>
      </c>
      <c r="Z392" s="2" t="str">
        <f t="shared" si="54"/>
        <v>OK</v>
      </c>
      <c r="AA392" t="str">
        <f t="shared" si="55"/>
        <v>Unique</v>
      </c>
    </row>
    <row r="393" spans="1:27" x14ac:dyDescent="0.3">
      <c r="A393">
        <v>392</v>
      </c>
      <c r="B393">
        <v>726249.70441643998</v>
      </c>
      <c r="C393">
        <v>0.63814449305258503</v>
      </c>
      <c r="D393">
        <v>3.2535606516845297E-2</v>
      </c>
      <c r="E393">
        <v>0.43358736405248899</v>
      </c>
      <c r="F393">
        <v>1</v>
      </c>
      <c r="G393" t="s">
        <v>12</v>
      </c>
      <c r="H393">
        <v>0</v>
      </c>
      <c r="I393">
        <v>314892.69498182402</v>
      </c>
      <c r="J393">
        <v>0.56641263594751001</v>
      </c>
      <c r="K393" t="str">
        <f t="shared" si="48"/>
        <v>OK</v>
      </c>
      <c r="L393" t="str">
        <f t="shared" si="49"/>
        <v>OK</v>
      </c>
      <c r="M393" t="str">
        <f>IF(OR(B393&lt;$AE$20,B393&gt;$AF$20),"Outlier","OK")</f>
        <v>OK</v>
      </c>
      <c r="N393" t="str">
        <f>IF(OR(J393&lt;$AE$21,J393&gt;$AF$21),"Outlier","OK")</f>
        <v>OK</v>
      </c>
      <c r="O393" t="str">
        <f>IF(OR(C393&lt;0,C393&gt;1),"Outlier","OK")</f>
        <v>OK</v>
      </c>
      <c r="P393" t="str">
        <f>IF(OR(D393&lt;0,D393&gt;1),"Outlier","OK")</f>
        <v>OK</v>
      </c>
      <c r="Q393" t="str">
        <f t="shared" si="50"/>
        <v>40-60%</v>
      </c>
      <c r="R393" t="str">
        <f>IF(B393="","Missing","OK")</f>
        <v>OK</v>
      </c>
      <c r="S393" t="str">
        <f>IF(E393="","Missing","OK")</f>
        <v>OK</v>
      </c>
      <c r="T393" t="str">
        <f t="shared" si="51"/>
        <v>OK</v>
      </c>
      <c r="U393">
        <f>COUNTIF($A:$A,A393)</f>
        <v>1</v>
      </c>
      <c r="V393" t="str">
        <f t="shared" si="52"/>
        <v>OK</v>
      </c>
      <c r="W393" t="str">
        <f>IF(I393&gt;B393,"ERROR","OK")</f>
        <v>OK</v>
      </c>
      <c r="X393">
        <f>(B393-I393)/B393</f>
        <v>0.56641263594751023</v>
      </c>
      <c r="Y393" s="2">
        <f t="shared" si="53"/>
        <v>2.2204460492503131E-16</v>
      </c>
      <c r="Z393" s="2" t="str">
        <f t="shared" si="54"/>
        <v>OK</v>
      </c>
      <c r="AA393" t="str">
        <f t="shared" si="55"/>
        <v>Unique</v>
      </c>
    </row>
    <row r="394" spans="1:27" x14ac:dyDescent="0.3">
      <c r="A394">
        <v>393</v>
      </c>
      <c r="B394">
        <v>1891512.8022562501</v>
      </c>
      <c r="C394">
        <v>0.16145870773366999</v>
      </c>
      <c r="D394">
        <v>9.4412227208962696E-2</v>
      </c>
      <c r="E394">
        <v>0.22457084609358099</v>
      </c>
      <c r="F394">
        <v>1</v>
      </c>
      <c r="G394" t="s">
        <v>11</v>
      </c>
      <c r="H394">
        <v>1</v>
      </c>
      <c r="I394">
        <v>424778.63039952598</v>
      </c>
      <c r="J394">
        <v>0.77542915390641898</v>
      </c>
      <c r="K394" t="str">
        <f t="shared" si="48"/>
        <v>OK</v>
      </c>
      <c r="L394" t="str">
        <f t="shared" si="49"/>
        <v>OK</v>
      </c>
      <c r="M394" t="str">
        <f>IF(OR(B394&lt;$AE$20,B394&gt;$AF$20),"Outlier","OK")</f>
        <v>OK</v>
      </c>
      <c r="N394" t="str">
        <f>IF(OR(J394&lt;$AE$21,J394&gt;$AF$21),"Outlier","OK")</f>
        <v>OK</v>
      </c>
      <c r="O394" t="str">
        <f>IF(OR(C394&lt;0,C394&gt;1),"Outlier","OK")</f>
        <v>OK</v>
      </c>
      <c r="P394" t="str">
        <f>IF(OR(D394&lt;0,D394&gt;1),"Outlier","OK")</f>
        <v>OK</v>
      </c>
      <c r="Q394" t="str">
        <f t="shared" si="50"/>
        <v>60-80%</v>
      </c>
      <c r="R394" t="str">
        <f>IF(B394="","Missing","OK")</f>
        <v>OK</v>
      </c>
      <c r="S394" t="str">
        <f>IF(E394="","Missing","OK")</f>
        <v>OK</v>
      </c>
      <c r="T394" t="str">
        <f t="shared" si="51"/>
        <v>OK</v>
      </c>
      <c r="U394">
        <f>COUNTIF($A:$A,A394)</f>
        <v>1</v>
      </c>
      <c r="V394" t="str">
        <f t="shared" si="52"/>
        <v>OK</v>
      </c>
      <c r="W394" t="str">
        <f>IF(I394&gt;B394,"ERROR","OK")</f>
        <v>OK</v>
      </c>
      <c r="X394">
        <f>(B394-I394)/B394</f>
        <v>0.77542915390641931</v>
      </c>
      <c r="Y394" s="2">
        <f t="shared" si="53"/>
        <v>3.3306690738754696E-16</v>
      </c>
      <c r="Z394" s="2" t="str">
        <f t="shared" si="54"/>
        <v>OK</v>
      </c>
      <c r="AA394" t="str">
        <f t="shared" si="55"/>
        <v>Unique</v>
      </c>
    </row>
    <row r="395" spans="1:27" x14ac:dyDescent="0.3">
      <c r="A395">
        <v>394</v>
      </c>
      <c r="B395">
        <v>1007821.4379004301</v>
      </c>
      <c r="C395">
        <v>0.744802686166677</v>
      </c>
      <c r="D395">
        <v>-0.14287808021787801</v>
      </c>
      <c r="E395">
        <v>4.3339871420179699E-2</v>
      </c>
      <c r="F395">
        <v>1</v>
      </c>
      <c r="G395" t="s">
        <v>11</v>
      </c>
      <c r="H395">
        <v>0</v>
      </c>
      <c r="I395">
        <v>43678.851533105597</v>
      </c>
      <c r="J395">
        <v>0.95666012857981997</v>
      </c>
      <c r="K395" t="str">
        <f t="shared" si="48"/>
        <v>OK</v>
      </c>
      <c r="L395" t="str">
        <f t="shared" si="49"/>
        <v>OK</v>
      </c>
      <c r="M395" t="str">
        <f>IF(OR(B395&lt;$AE$20,B395&gt;$AF$20),"Outlier","OK")</f>
        <v>OK</v>
      </c>
      <c r="N395" t="str">
        <f>IF(OR(J395&lt;$AE$21,J395&gt;$AF$21),"Outlier","OK")</f>
        <v>OK</v>
      </c>
      <c r="O395" t="str">
        <f>IF(OR(C395&lt;0,C395&gt;1),"Outlier","OK")</f>
        <v>OK</v>
      </c>
      <c r="P395" t="str">
        <f>IF(OR(D395&lt;0,D395&gt;1),"Outlier","OK")</f>
        <v>Outlier</v>
      </c>
      <c r="Q395" t="str">
        <f t="shared" si="50"/>
        <v>80-100%</v>
      </c>
      <c r="R395" t="str">
        <f>IF(B395="","Missing","OK")</f>
        <v>OK</v>
      </c>
      <c r="S395" t="str">
        <f>IF(E395="","Missing","OK")</f>
        <v>OK</v>
      </c>
      <c r="T395" t="str">
        <f t="shared" si="51"/>
        <v>OK</v>
      </c>
      <c r="U395">
        <f>COUNTIF($A:$A,A395)</f>
        <v>1</v>
      </c>
      <c r="V395" t="str">
        <f t="shared" si="52"/>
        <v>OK</v>
      </c>
      <c r="W395" t="str">
        <f>IF(I395&gt;B395,"ERROR","OK")</f>
        <v>OK</v>
      </c>
      <c r="X395">
        <f>(B395-I395)/B395</f>
        <v>0.95666012857981997</v>
      </c>
      <c r="Y395" s="2">
        <f t="shared" si="53"/>
        <v>0</v>
      </c>
      <c r="Z395" s="2" t="str">
        <f t="shared" si="54"/>
        <v>OK</v>
      </c>
      <c r="AA395" t="str">
        <f t="shared" si="55"/>
        <v>Unique</v>
      </c>
    </row>
    <row r="396" spans="1:27" x14ac:dyDescent="0.3">
      <c r="A396">
        <v>395</v>
      </c>
      <c r="B396">
        <v>576843.72148914996</v>
      </c>
      <c r="C396">
        <v>0.449594770846587</v>
      </c>
      <c r="D396">
        <v>-1.8599552206008601E-2</v>
      </c>
      <c r="E396">
        <v>0.531491410090843</v>
      </c>
      <c r="F396">
        <v>1</v>
      </c>
      <c r="G396" t="s">
        <v>10</v>
      </c>
      <c r="H396">
        <v>1</v>
      </c>
      <c r="I396">
        <v>306587.48293631797</v>
      </c>
      <c r="J396">
        <v>0.468508589909156</v>
      </c>
      <c r="K396" t="str">
        <f t="shared" si="48"/>
        <v>OK</v>
      </c>
      <c r="L396" t="str">
        <f t="shared" si="49"/>
        <v>OK</v>
      </c>
      <c r="M396" t="str">
        <f>IF(OR(B396&lt;$AE$20,B396&gt;$AF$20),"Outlier","OK")</f>
        <v>OK</v>
      </c>
      <c r="N396" t="str">
        <f>IF(OR(J396&lt;$AE$21,J396&gt;$AF$21),"Outlier","OK")</f>
        <v>OK</v>
      </c>
      <c r="O396" t="str">
        <f>IF(OR(C396&lt;0,C396&gt;1),"Outlier","OK")</f>
        <v>OK</v>
      </c>
      <c r="P396" t="str">
        <f>IF(OR(D396&lt;0,D396&gt;1),"Outlier","OK")</f>
        <v>Outlier</v>
      </c>
      <c r="Q396" t="str">
        <f t="shared" si="50"/>
        <v>40-60%</v>
      </c>
      <c r="R396" t="str">
        <f>IF(B396="","Missing","OK")</f>
        <v>OK</v>
      </c>
      <c r="S396" t="str">
        <f>IF(E396="","Missing","OK")</f>
        <v>OK</v>
      </c>
      <c r="T396" t="str">
        <f t="shared" si="51"/>
        <v>OK</v>
      </c>
      <c r="U396">
        <f>COUNTIF($A:$A,A396)</f>
        <v>1</v>
      </c>
      <c r="V396" t="str">
        <f t="shared" si="52"/>
        <v>OK</v>
      </c>
      <c r="W396" t="str">
        <f>IF(I396&gt;B396,"ERROR","OK")</f>
        <v>OK</v>
      </c>
      <c r="X396">
        <f>(B396-I396)/B396</f>
        <v>0.46850858990915673</v>
      </c>
      <c r="Y396" s="2">
        <f t="shared" si="53"/>
        <v>7.2164496600635175E-16</v>
      </c>
      <c r="Z396" s="2" t="str">
        <f t="shared" si="54"/>
        <v>OK</v>
      </c>
      <c r="AA396" t="str">
        <f t="shared" si="55"/>
        <v>Unique</v>
      </c>
    </row>
    <row r="397" spans="1:27" x14ac:dyDescent="0.3">
      <c r="A397">
        <v>396</v>
      </c>
      <c r="B397">
        <v>752826.25293473399</v>
      </c>
      <c r="C397">
        <v>0.80736345060256798</v>
      </c>
      <c r="D397">
        <v>3.6029164875702102E-3</v>
      </c>
      <c r="E397">
        <v>0.113969919895022</v>
      </c>
      <c r="F397">
        <v>1</v>
      </c>
      <c r="G397" t="s">
        <v>10</v>
      </c>
      <c r="H397">
        <v>0</v>
      </c>
      <c r="I397">
        <v>85799.547741841205</v>
      </c>
      <c r="J397">
        <v>0.88603008010497697</v>
      </c>
      <c r="K397" t="str">
        <f t="shared" si="48"/>
        <v>OK</v>
      </c>
      <c r="L397" t="str">
        <f t="shared" si="49"/>
        <v>OK</v>
      </c>
      <c r="M397" t="str">
        <f>IF(OR(B397&lt;$AE$20,B397&gt;$AF$20),"Outlier","OK")</f>
        <v>OK</v>
      </c>
      <c r="N397" t="str">
        <f>IF(OR(J397&lt;$AE$21,J397&gt;$AF$21),"Outlier","OK")</f>
        <v>OK</v>
      </c>
      <c r="O397" t="str">
        <f>IF(OR(C397&lt;0,C397&gt;1),"Outlier","OK")</f>
        <v>OK</v>
      </c>
      <c r="P397" t="str">
        <f>IF(OR(D397&lt;0,D397&gt;1),"Outlier","OK")</f>
        <v>OK</v>
      </c>
      <c r="Q397" t="str">
        <f t="shared" si="50"/>
        <v>80-100%</v>
      </c>
      <c r="R397" t="str">
        <f>IF(B397="","Missing","OK")</f>
        <v>OK</v>
      </c>
      <c r="S397" t="str">
        <f>IF(E397="","Missing","OK")</f>
        <v>OK</v>
      </c>
      <c r="T397" t="str">
        <f t="shared" si="51"/>
        <v>OK</v>
      </c>
      <c r="U397">
        <f>COUNTIF($A:$A,A397)</f>
        <v>1</v>
      </c>
      <c r="V397" t="str">
        <f t="shared" si="52"/>
        <v>OK</v>
      </c>
      <c r="W397" t="str">
        <f>IF(I397&gt;B397,"ERROR","OK")</f>
        <v>OK</v>
      </c>
      <c r="X397">
        <f>(B397-I397)/B397</f>
        <v>0.88603008010497808</v>
      </c>
      <c r="Y397" s="2">
        <f t="shared" si="53"/>
        <v>1.1102230246251565E-15</v>
      </c>
      <c r="Z397" s="2" t="str">
        <f t="shared" si="54"/>
        <v>OK</v>
      </c>
      <c r="AA397" t="str">
        <f t="shared" si="55"/>
        <v>Unique</v>
      </c>
    </row>
    <row r="398" spans="1:27" x14ac:dyDescent="0.3">
      <c r="A398">
        <v>397</v>
      </c>
      <c r="B398">
        <v>460772.62373042299</v>
      </c>
      <c r="C398">
        <v>0.235468500227307</v>
      </c>
      <c r="D398">
        <v>1.7882783958721199E-2</v>
      </c>
      <c r="E398">
        <v>0.33484922217125201</v>
      </c>
      <c r="F398">
        <v>1</v>
      </c>
      <c r="G398" t="s">
        <v>10</v>
      </c>
      <c r="H398">
        <v>0</v>
      </c>
      <c r="I398">
        <v>154289.35465393899</v>
      </c>
      <c r="J398">
        <v>0.66515077782874699</v>
      </c>
      <c r="K398" t="str">
        <f t="shared" si="48"/>
        <v>OK</v>
      </c>
      <c r="L398" t="str">
        <f t="shared" si="49"/>
        <v>OK</v>
      </c>
      <c r="M398" t="str">
        <f>IF(OR(B398&lt;$AE$20,B398&gt;$AF$20),"Outlier","OK")</f>
        <v>OK</v>
      </c>
      <c r="N398" t="str">
        <f>IF(OR(J398&lt;$AE$21,J398&gt;$AF$21),"Outlier","OK")</f>
        <v>OK</v>
      </c>
      <c r="O398" t="str">
        <f>IF(OR(C398&lt;0,C398&gt;1),"Outlier","OK")</f>
        <v>OK</v>
      </c>
      <c r="P398" t="str">
        <f>IF(OR(D398&lt;0,D398&gt;1),"Outlier","OK")</f>
        <v>OK</v>
      </c>
      <c r="Q398" t="str">
        <f t="shared" si="50"/>
        <v>60-80%</v>
      </c>
      <c r="R398" t="str">
        <f>IF(B398="","Missing","OK")</f>
        <v>OK</v>
      </c>
      <c r="S398" t="str">
        <f>IF(E398="","Missing","OK")</f>
        <v>OK</v>
      </c>
      <c r="T398" t="str">
        <f t="shared" si="51"/>
        <v>OK</v>
      </c>
      <c r="U398">
        <f>COUNTIF($A:$A,A398)</f>
        <v>1</v>
      </c>
      <c r="V398" t="str">
        <f t="shared" si="52"/>
        <v>OK</v>
      </c>
      <c r="W398" t="str">
        <f>IF(I398&gt;B398,"ERROR","OK")</f>
        <v>OK</v>
      </c>
      <c r="X398">
        <f>(B398-I398)/B398</f>
        <v>0.66515077782874832</v>
      </c>
      <c r="Y398" s="2">
        <f t="shared" si="53"/>
        <v>1.3322676295501878E-15</v>
      </c>
      <c r="Z398" s="2" t="str">
        <f t="shared" si="54"/>
        <v>OK</v>
      </c>
      <c r="AA398" t="str">
        <f t="shared" si="55"/>
        <v>Unique</v>
      </c>
    </row>
    <row r="399" spans="1:27" x14ac:dyDescent="0.3">
      <c r="A399">
        <v>398</v>
      </c>
      <c r="B399">
        <v>871340.11148152396</v>
      </c>
      <c r="C399">
        <v>0.265996764793346</v>
      </c>
      <c r="D399">
        <v>7.43973488624146E-2</v>
      </c>
      <c r="E399">
        <v>4.5629877080557997E-2</v>
      </c>
      <c r="F399">
        <v>1</v>
      </c>
      <c r="G399" t="s">
        <v>11</v>
      </c>
      <c r="H399">
        <v>1</v>
      </c>
      <c r="I399">
        <v>39759.142182261698</v>
      </c>
      <c r="J399">
        <v>0.95437012291944101</v>
      </c>
      <c r="K399" t="str">
        <f t="shared" si="48"/>
        <v>OK</v>
      </c>
      <c r="L399" t="str">
        <f t="shared" si="49"/>
        <v>OK</v>
      </c>
      <c r="M399" t="str">
        <f>IF(OR(B399&lt;$AE$20,B399&gt;$AF$20),"Outlier","OK")</f>
        <v>OK</v>
      </c>
      <c r="N399" t="str">
        <f>IF(OR(J399&lt;$AE$21,J399&gt;$AF$21),"Outlier","OK")</f>
        <v>OK</v>
      </c>
      <c r="O399" t="str">
        <f>IF(OR(C399&lt;0,C399&gt;1),"Outlier","OK")</f>
        <v>OK</v>
      </c>
      <c r="P399" t="str">
        <f>IF(OR(D399&lt;0,D399&gt;1),"Outlier","OK")</f>
        <v>OK</v>
      </c>
      <c r="Q399" t="str">
        <f t="shared" si="50"/>
        <v>80-100%</v>
      </c>
      <c r="R399" t="str">
        <f>IF(B399="","Missing","OK")</f>
        <v>OK</v>
      </c>
      <c r="S399" t="str">
        <f>IF(E399="","Missing","OK")</f>
        <v>OK</v>
      </c>
      <c r="T399" t="str">
        <f t="shared" si="51"/>
        <v>OK</v>
      </c>
      <c r="U399">
        <f>COUNTIF($A:$A,A399)</f>
        <v>1</v>
      </c>
      <c r="V399" t="str">
        <f t="shared" si="52"/>
        <v>OK</v>
      </c>
      <c r="W399" t="str">
        <f>IF(I399&gt;B399,"ERROR","OK")</f>
        <v>OK</v>
      </c>
      <c r="X399">
        <f>(B399-I399)/B399</f>
        <v>0.9543701229194419</v>
      </c>
      <c r="Y399" s="2">
        <f t="shared" si="53"/>
        <v>8.8817841970012523E-16</v>
      </c>
      <c r="Z399" s="2" t="str">
        <f t="shared" si="54"/>
        <v>OK</v>
      </c>
      <c r="AA399" t="str">
        <f t="shared" si="55"/>
        <v>Unique</v>
      </c>
    </row>
    <row r="400" spans="1:27" x14ac:dyDescent="0.3">
      <c r="A400">
        <v>399</v>
      </c>
      <c r="B400">
        <v>475169.10712147498</v>
      </c>
      <c r="C400">
        <v>0.56758502149995405</v>
      </c>
      <c r="D400">
        <v>4.9220623665622902E-2</v>
      </c>
      <c r="E400">
        <v>0.28310519700200898</v>
      </c>
      <c r="F400">
        <v>1</v>
      </c>
      <c r="G400" t="s">
        <v>13</v>
      </c>
      <c r="H400">
        <v>1</v>
      </c>
      <c r="I400">
        <v>134522.843680894</v>
      </c>
      <c r="J400">
        <v>0.71689480299799002</v>
      </c>
      <c r="K400" t="str">
        <f t="shared" si="48"/>
        <v>OK</v>
      </c>
      <c r="L400" t="str">
        <f t="shared" si="49"/>
        <v>OK</v>
      </c>
      <c r="M400" t="str">
        <f>IF(OR(B400&lt;$AE$20,B400&gt;$AF$20),"Outlier","OK")</f>
        <v>OK</v>
      </c>
      <c r="N400" t="str">
        <f>IF(OR(J400&lt;$AE$21,J400&gt;$AF$21),"Outlier","OK")</f>
        <v>OK</v>
      </c>
      <c r="O400" t="str">
        <f>IF(OR(C400&lt;0,C400&gt;1),"Outlier","OK")</f>
        <v>OK</v>
      </c>
      <c r="P400" t="str">
        <f>IF(OR(D400&lt;0,D400&gt;1),"Outlier","OK")</f>
        <v>OK</v>
      </c>
      <c r="Q400" t="str">
        <f t="shared" si="50"/>
        <v>60-80%</v>
      </c>
      <c r="R400" t="str">
        <f>IF(B400="","Missing","OK")</f>
        <v>OK</v>
      </c>
      <c r="S400" t="str">
        <f>IF(E400="","Missing","OK")</f>
        <v>OK</v>
      </c>
      <c r="T400" t="str">
        <f t="shared" si="51"/>
        <v>OK</v>
      </c>
      <c r="U400">
        <f>COUNTIF($A:$A,A400)</f>
        <v>1</v>
      </c>
      <c r="V400" t="str">
        <f t="shared" si="52"/>
        <v>OK</v>
      </c>
      <c r="W400" t="str">
        <f>IF(I400&gt;B400,"ERROR","OK")</f>
        <v>OK</v>
      </c>
      <c r="X400">
        <f>(B400-I400)/B400</f>
        <v>0.7168948029979908</v>
      </c>
      <c r="Y400" s="2">
        <f t="shared" si="53"/>
        <v>7.7715611723760958E-16</v>
      </c>
      <c r="Z400" s="2" t="str">
        <f t="shared" si="54"/>
        <v>OK</v>
      </c>
      <c r="AA400" t="str">
        <f t="shared" si="55"/>
        <v>Unique</v>
      </c>
    </row>
    <row r="401" spans="1:27" x14ac:dyDescent="0.3">
      <c r="A401">
        <v>400</v>
      </c>
      <c r="B401">
        <v>1699217.3892407001</v>
      </c>
      <c r="C401">
        <v>0.63800398341643405</v>
      </c>
      <c r="D401">
        <v>-0.18096535337102199</v>
      </c>
      <c r="E401">
        <v>0.19561751189603499</v>
      </c>
      <c r="F401">
        <v>1</v>
      </c>
      <c r="G401" t="s">
        <v>10</v>
      </c>
      <c r="H401">
        <v>0</v>
      </c>
      <c r="I401">
        <v>332396.677853745</v>
      </c>
      <c r="J401">
        <v>0.80438248810396396</v>
      </c>
      <c r="K401" t="str">
        <f t="shared" si="48"/>
        <v>OK</v>
      </c>
      <c r="L401" t="str">
        <f t="shared" si="49"/>
        <v>OK</v>
      </c>
      <c r="M401" t="str">
        <f>IF(OR(B401&lt;$AE$20,B401&gt;$AF$20),"Outlier","OK")</f>
        <v>OK</v>
      </c>
      <c r="N401" t="str">
        <f>IF(OR(J401&lt;$AE$21,J401&gt;$AF$21),"Outlier","OK")</f>
        <v>OK</v>
      </c>
      <c r="O401" t="str">
        <f>IF(OR(C401&lt;0,C401&gt;1),"Outlier","OK")</f>
        <v>OK</v>
      </c>
      <c r="P401" t="str">
        <f>IF(OR(D401&lt;0,D401&gt;1),"Outlier","OK")</f>
        <v>Outlier</v>
      </c>
      <c r="Q401" t="str">
        <f t="shared" si="50"/>
        <v>80-100%</v>
      </c>
      <c r="R401" t="str">
        <f>IF(B401="","Missing","OK")</f>
        <v>OK</v>
      </c>
      <c r="S401" t="str">
        <f>IF(E401="","Missing","OK")</f>
        <v>OK</v>
      </c>
      <c r="T401" t="str">
        <f t="shared" si="51"/>
        <v>OK</v>
      </c>
      <c r="U401">
        <f>COUNTIF($A:$A,A401)</f>
        <v>1</v>
      </c>
      <c r="V401" t="str">
        <f t="shared" si="52"/>
        <v>OK</v>
      </c>
      <c r="W401" t="str">
        <f>IF(I401&gt;B401,"ERROR","OK")</f>
        <v>OK</v>
      </c>
      <c r="X401">
        <f>(B401-I401)/B401</f>
        <v>0.8043824881039634</v>
      </c>
      <c r="Y401" s="2">
        <f t="shared" si="53"/>
        <v>5.5511151231257827E-16</v>
      </c>
      <c r="Z401" s="2" t="str">
        <f t="shared" si="54"/>
        <v>OK</v>
      </c>
      <c r="AA401" t="str">
        <f t="shared" si="55"/>
        <v>Unique</v>
      </c>
    </row>
    <row r="402" spans="1:27" x14ac:dyDescent="0.3">
      <c r="A402">
        <v>401</v>
      </c>
      <c r="B402">
        <v>939727.66813104704</v>
      </c>
      <c r="C402">
        <v>0.15026142745971</v>
      </c>
      <c r="D402">
        <v>-5.5574604813278198E-3</v>
      </c>
      <c r="E402">
        <v>0.371958712694895</v>
      </c>
      <c r="F402">
        <v>1</v>
      </c>
      <c r="G402" t="s">
        <v>10</v>
      </c>
      <c r="H402">
        <v>0</v>
      </c>
      <c r="I402">
        <v>349539.89372180001</v>
      </c>
      <c r="J402">
        <v>0.628041287305104</v>
      </c>
      <c r="K402" t="str">
        <f t="shared" si="48"/>
        <v>OK</v>
      </c>
      <c r="L402" t="str">
        <f t="shared" si="49"/>
        <v>OK</v>
      </c>
      <c r="M402" t="str">
        <f>IF(OR(B402&lt;$AE$20,B402&gt;$AF$20),"Outlier","OK")</f>
        <v>OK</v>
      </c>
      <c r="N402" t="str">
        <f>IF(OR(J402&lt;$AE$21,J402&gt;$AF$21),"Outlier","OK")</f>
        <v>OK</v>
      </c>
      <c r="O402" t="str">
        <f>IF(OR(C402&lt;0,C402&gt;1),"Outlier","OK")</f>
        <v>OK</v>
      </c>
      <c r="P402" t="str">
        <f>IF(OR(D402&lt;0,D402&gt;1),"Outlier","OK")</f>
        <v>Outlier</v>
      </c>
      <c r="Q402" t="str">
        <f t="shared" si="50"/>
        <v>60-80%</v>
      </c>
      <c r="R402" t="str">
        <f>IF(B402="","Missing","OK")</f>
        <v>OK</v>
      </c>
      <c r="S402" t="str">
        <f>IF(E402="","Missing","OK")</f>
        <v>OK</v>
      </c>
      <c r="T402" t="str">
        <f t="shared" si="51"/>
        <v>OK</v>
      </c>
      <c r="U402">
        <f>COUNTIF($A:$A,A402)</f>
        <v>1</v>
      </c>
      <c r="V402" t="str">
        <f t="shared" si="52"/>
        <v>OK</v>
      </c>
      <c r="W402" t="str">
        <f>IF(I402&gt;B402,"ERROR","OK")</f>
        <v>OK</v>
      </c>
      <c r="X402">
        <f>(B402-I402)/B402</f>
        <v>0.62804128730510478</v>
      </c>
      <c r="Y402" s="2">
        <f t="shared" si="53"/>
        <v>7.7715611723760958E-16</v>
      </c>
      <c r="Z402" s="2" t="str">
        <f t="shared" si="54"/>
        <v>OK</v>
      </c>
      <c r="AA402" t="str">
        <f t="shared" si="55"/>
        <v>Unique</v>
      </c>
    </row>
    <row r="403" spans="1:27" x14ac:dyDescent="0.3">
      <c r="A403">
        <v>402</v>
      </c>
      <c r="B403">
        <v>595613.93594975199</v>
      </c>
      <c r="C403">
        <v>0.74983275352215695</v>
      </c>
      <c r="D403">
        <v>-1.11721400037168E-3</v>
      </c>
      <c r="E403">
        <v>0.61210489127395395</v>
      </c>
      <c r="F403">
        <v>1</v>
      </c>
      <c r="G403" t="s">
        <v>12</v>
      </c>
      <c r="H403">
        <v>0</v>
      </c>
      <c r="I403">
        <v>364578.20350577502</v>
      </c>
      <c r="J403">
        <v>0.38789510872604499</v>
      </c>
      <c r="K403" t="str">
        <f t="shared" si="48"/>
        <v>OK</v>
      </c>
      <c r="L403" t="str">
        <f t="shared" si="49"/>
        <v>OK</v>
      </c>
      <c r="M403" t="str">
        <f>IF(OR(B403&lt;$AE$20,B403&gt;$AF$20),"Outlier","OK")</f>
        <v>OK</v>
      </c>
      <c r="N403" t="str">
        <f>IF(OR(J403&lt;$AE$21,J403&gt;$AF$21),"Outlier","OK")</f>
        <v>OK</v>
      </c>
      <c r="O403" t="str">
        <f>IF(OR(C403&lt;0,C403&gt;1),"Outlier","OK")</f>
        <v>OK</v>
      </c>
      <c r="P403" t="str">
        <f>IF(OR(D403&lt;0,D403&gt;1),"Outlier","OK")</f>
        <v>Outlier</v>
      </c>
      <c r="Q403" t="str">
        <f t="shared" si="50"/>
        <v>20-40%</v>
      </c>
      <c r="R403" t="str">
        <f>IF(B403="","Missing","OK")</f>
        <v>OK</v>
      </c>
      <c r="S403" t="str">
        <f>IF(E403="","Missing","OK")</f>
        <v>OK</v>
      </c>
      <c r="T403" t="str">
        <f t="shared" si="51"/>
        <v>OK</v>
      </c>
      <c r="U403">
        <f>COUNTIF($A:$A,A403)</f>
        <v>1</v>
      </c>
      <c r="V403" t="str">
        <f t="shared" si="52"/>
        <v>OK</v>
      </c>
      <c r="W403" t="str">
        <f>IF(I403&gt;B403,"ERROR","OK")</f>
        <v>OK</v>
      </c>
      <c r="X403">
        <f>(B403-I403)/B403</f>
        <v>0.38789510872604555</v>
      </c>
      <c r="Y403" s="2">
        <f t="shared" si="53"/>
        <v>5.5511151231257827E-16</v>
      </c>
      <c r="Z403" s="2" t="str">
        <f t="shared" si="54"/>
        <v>OK</v>
      </c>
      <c r="AA403" t="str">
        <f t="shared" si="55"/>
        <v>Unique</v>
      </c>
    </row>
    <row r="404" spans="1:27" x14ac:dyDescent="0.3">
      <c r="A404">
        <v>403</v>
      </c>
      <c r="B404">
        <v>1869138.71387588</v>
      </c>
      <c r="C404">
        <v>0.36891590829127202</v>
      </c>
      <c r="D404">
        <v>-0.15120853962917499</v>
      </c>
      <c r="E404">
        <v>0.20357516754513699</v>
      </c>
      <c r="F404">
        <v>1</v>
      </c>
      <c r="G404" t="s">
        <v>13</v>
      </c>
      <c r="H404">
        <v>0</v>
      </c>
      <c r="I404">
        <v>380510.226842387</v>
      </c>
      <c r="J404">
        <v>0.79642483245486195</v>
      </c>
      <c r="K404" t="str">
        <f t="shared" si="48"/>
        <v>OK</v>
      </c>
      <c r="L404" t="str">
        <f t="shared" si="49"/>
        <v>OK</v>
      </c>
      <c r="M404" t="str">
        <f>IF(OR(B404&lt;$AE$20,B404&gt;$AF$20),"Outlier","OK")</f>
        <v>OK</v>
      </c>
      <c r="N404" t="str">
        <f>IF(OR(J404&lt;$AE$21,J404&gt;$AF$21),"Outlier","OK")</f>
        <v>OK</v>
      </c>
      <c r="O404" t="str">
        <f>IF(OR(C404&lt;0,C404&gt;1),"Outlier","OK")</f>
        <v>OK</v>
      </c>
      <c r="P404" t="str">
        <f>IF(OR(D404&lt;0,D404&gt;1),"Outlier","OK")</f>
        <v>Outlier</v>
      </c>
      <c r="Q404" t="str">
        <f t="shared" si="50"/>
        <v>60-80%</v>
      </c>
      <c r="R404" t="str">
        <f>IF(B404="","Missing","OK")</f>
        <v>OK</v>
      </c>
      <c r="S404" t="str">
        <f>IF(E404="","Missing","OK")</f>
        <v>OK</v>
      </c>
      <c r="T404" t="str">
        <f t="shared" si="51"/>
        <v>OK</v>
      </c>
      <c r="U404">
        <f>COUNTIF($A:$A,A404)</f>
        <v>1</v>
      </c>
      <c r="V404" t="str">
        <f t="shared" si="52"/>
        <v>OK</v>
      </c>
      <c r="W404" t="str">
        <f>IF(I404&gt;B404,"ERROR","OK")</f>
        <v>OK</v>
      </c>
      <c r="X404">
        <f>(B404-I404)/B404</f>
        <v>0.7964248324548614</v>
      </c>
      <c r="Y404" s="2">
        <f t="shared" si="53"/>
        <v>5.5511151231257827E-16</v>
      </c>
      <c r="Z404" s="2" t="str">
        <f t="shared" si="54"/>
        <v>OK</v>
      </c>
      <c r="AA404" t="str">
        <f t="shared" si="55"/>
        <v>Unique</v>
      </c>
    </row>
    <row r="405" spans="1:27" x14ac:dyDescent="0.3">
      <c r="A405">
        <v>404</v>
      </c>
      <c r="B405">
        <v>662985.139576933</v>
      </c>
      <c r="C405">
        <v>0.32602928609784598</v>
      </c>
      <c r="D405">
        <v>-6.9635757098698197E-3</v>
      </c>
      <c r="E405">
        <v>0.187033645630338</v>
      </c>
      <c r="F405">
        <v>1</v>
      </c>
      <c r="G405" t="s">
        <v>13</v>
      </c>
      <c r="H405">
        <v>0</v>
      </c>
      <c r="I405">
        <v>124000.52765381199</v>
      </c>
      <c r="J405">
        <v>0.81296635436966103</v>
      </c>
      <c r="K405" t="str">
        <f t="shared" si="48"/>
        <v>OK</v>
      </c>
      <c r="L405" t="str">
        <f t="shared" si="49"/>
        <v>OK</v>
      </c>
      <c r="M405" t="str">
        <f>IF(OR(B405&lt;$AE$20,B405&gt;$AF$20),"Outlier","OK")</f>
        <v>OK</v>
      </c>
      <c r="N405" t="str">
        <f>IF(OR(J405&lt;$AE$21,J405&gt;$AF$21),"Outlier","OK")</f>
        <v>OK</v>
      </c>
      <c r="O405" t="str">
        <f>IF(OR(C405&lt;0,C405&gt;1),"Outlier","OK")</f>
        <v>OK</v>
      </c>
      <c r="P405" t="str">
        <f>IF(OR(D405&lt;0,D405&gt;1),"Outlier","OK")</f>
        <v>Outlier</v>
      </c>
      <c r="Q405" t="str">
        <f t="shared" si="50"/>
        <v>80-100%</v>
      </c>
      <c r="R405" t="str">
        <f>IF(B405="","Missing","OK")</f>
        <v>OK</v>
      </c>
      <c r="S405" t="str">
        <f>IF(E405="","Missing","OK")</f>
        <v>OK</v>
      </c>
      <c r="T405" t="str">
        <f t="shared" si="51"/>
        <v>OK</v>
      </c>
      <c r="U405">
        <f>COUNTIF($A:$A,A405)</f>
        <v>1</v>
      </c>
      <c r="V405" t="str">
        <f t="shared" si="52"/>
        <v>OK</v>
      </c>
      <c r="W405" t="str">
        <f>IF(I405&gt;B405,"ERROR","OK")</f>
        <v>OK</v>
      </c>
      <c r="X405">
        <f>(B405-I405)/B405</f>
        <v>0.81296635436966247</v>
      </c>
      <c r="Y405" s="2">
        <f t="shared" si="53"/>
        <v>1.4432899320127035E-15</v>
      </c>
      <c r="Z405" s="2" t="str">
        <f t="shared" si="54"/>
        <v>OK</v>
      </c>
      <c r="AA405" t="str">
        <f t="shared" si="55"/>
        <v>Unique</v>
      </c>
    </row>
    <row r="406" spans="1:27" x14ac:dyDescent="0.3">
      <c r="A406">
        <v>405</v>
      </c>
      <c r="B406">
        <v>1823943.5909845</v>
      </c>
      <c r="C406">
        <v>0.30973880829658301</v>
      </c>
      <c r="D406">
        <v>8.5475469260610504E-2</v>
      </c>
      <c r="E406">
        <v>0.11629705971311299</v>
      </c>
      <c r="F406">
        <v>1</v>
      </c>
      <c r="G406" t="s">
        <v>13</v>
      </c>
      <c r="H406">
        <v>0</v>
      </c>
      <c r="I406">
        <v>212119.276714076</v>
      </c>
      <c r="J406">
        <v>0.88370294028688601</v>
      </c>
      <c r="K406" t="str">
        <f t="shared" si="48"/>
        <v>OK</v>
      </c>
      <c r="L406" t="str">
        <f t="shared" si="49"/>
        <v>OK</v>
      </c>
      <c r="M406" t="str">
        <f>IF(OR(B406&lt;$AE$20,B406&gt;$AF$20),"Outlier","OK")</f>
        <v>OK</v>
      </c>
      <c r="N406" t="str">
        <f>IF(OR(J406&lt;$AE$21,J406&gt;$AF$21),"Outlier","OK")</f>
        <v>OK</v>
      </c>
      <c r="O406" t="str">
        <f>IF(OR(C406&lt;0,C406&gt;1),"Outlier","OK")</f>
        <v>OK</v>
      </c>
      <c r="P406" t="str">
        <f>IF(OR(D406&lt;0,D406&gt;1),"Outlier","OK")</f>
        <v>OK</v>
      </c>
      <c r="Q406" t="str">
        <f t="shared" si="50"/>
        <v>80-100%</v>
      </c>
      <c r="R406" t="str">
        <f>IF(B406="","Missing","OK")</f>
        <v>OK</v>
      </c>
      <c r="S406" t="str">
        <f>IF(E406="","Missing","OK")</f>
        <v>OK</v>
      </c>
      <c r="T406" t="str">
        <f t="shared" si="51"/>
        <v>OK</v>
      </c>
      <c r="U406">
        <f>COUNTIF($A:$A,A406)</f>
        <v>1</v>
      </c>
      <c r="V406" t="str">
        <f t="shared" si="52"/>
        <v>OK</v>
      </c>
      <c r="W406" t="str">
        <f>IF(I406&gt;B406,"ERROR","OK")</f>
        <v>OK</v>
      </c>
      <c r="X406">
        <f>(B406-I406)/B406</f>
        <v>0.88370294028688601</v>
      </c>
      <c r="Y406" s="2">
        <f t="shared" si="53"/>
        <v>0</v>
      </c>
      <c r="Z406" s="2" t="str">
        <f t="shared" si="54"/>
        <v>OK</v>
      </c>
      <c r="AA406" t="str">
        <f t="shared" si="55"/>
        <v>Unique</v>
      </c>
    </row>
    <row r="407" spans="1:27" x14ac:dyDescent="0.3">
      <c r="A407">
        <v>406</v>
      </c>
      <c r="B407">
        <v>134665.27739204001</v>
      </c>
      <c r="C407">
        <v>0.82085197646623798</v>
      </c>
      <c r="D407">
        <v>9.81423284520275E-2</v>
      </c>
      <c r="E407">
        <v>0.36985092680162701</v>
      </c>
      <c r="F407">
        <v>1</v>
      </c>
      <c r="G407" t="s">
        <v>12</v>
      </c>
      <c r="H407">
        <v>0</v>
      </c>
      <c r="I407">
        <v>49806.077651444299</v>
      </c>
      <c r="J407">
        <v>0.63014907319837199</v>
      </c>
      <c r="K407" t="str">
        <f t="shared" si="48"/>
        <v>OK</v>
      </c>
      <c r="L407" t="str">
        <f t="shared" si="49"/>
        <v>OK</v>
      </c>
      <c r="M407" t="str">
        <f>IF(OR(B407&lt;$AE$20,B407&gt;$AF$20),"Outlier","OK")</f>
        <v>OK</v>
      </c>
      <c r="N407" t="str">
        <f>IF(OR(J407&lt;$AE$21,J407&gt;$AF$21),"Outlier","OK")</f>
        <v>OK</v>
      </c>
      <c r="O407" t="str">
        <f>IF(OR(C407&lt;0,C407&gt;1),"Outlier","OK")</f>
        <v>OK</v>
      </c>
      <c r="P407" t="str">
        <f>IF(OR(D407&lt;0,D407&gt;1),"Outlier","OK")</f>
        <v>OK</v>
      </c>
      <c r="Q407" t="str">
        <f t="shared" si="50"/>
        <v>60-80%</v>
      </c>
      <c r="R407" t="str">
        <f>IF(B407="","Missing","OK")</f>
        <v>OK</v>
      </c>
      <c r="S407" t="str">
        <f>IF(E407="","Missing","OK")</f>
        <v>OK</v>
      </c>
      <c r="T407" t="str">
        <f t="shared" si="51"/>
        <v>OK</v>
      </c>
      <c r="U407">
        <f>COUNTIF($A:$A,A407)</f>
        <v>1</v>
      </c>
      <c r="V407" t="str">
        <f t="shared" si="52"/>
        <v>OK</v>
      </c>
      <c r="W407" t="str">
        <f>IF(I407&gt;B407,"ERROR","OK")</f>
        <v>OK</v>
      </c>
      <c r="X407">
        <f>(B407-I407)/B407</f>
        <v>0.6301490731983721</v>
      </c>
      <c r="Y407" s="2">
        <f t="shared" si="53"/>
        <v>1.1102230246251565E-16</v>
      </c>
      <c r="Z407" s="2" t="str">
        <f t="shared" si="54"/>
        <v>OK</v>
      </c>
      <c r="AA407" t="str">
        <f t="shared" si="55"/>
        <v>Unique</v>
      </c>
    </row>
    <row r="408" spans="1:27" x14ac:dyDescent="0.3">
      <c r="A408">
        <v>407</v>
      </c>
      <c r="B408">
        <v>1428874.3675219601</v>
      </c>
      <c r="C408">
        <v>0.34141011767576301</v>
      </c>
      <c r="D408">
        <v>-0.19254553772921701</v>
      </c>
      <c r="E408">
        <v>0.27869185382436601</v>
      </c>
      <c r="F408">
        <v>1</v>
      </c>
      <c r="G408" t="s">
        <v>10</v>
      </c>
      <c r="H408">
        <v>0</v>
      </c>
      <c r="I408">
        <v>398215.64636681601</v>
      </c>
      <c r="J408">
        <v>0.72130814617563299</v>
      </c>
      <c r="K408" t="str">
        <f t="shared" si="48"/>
        <v>OK</v>
      </c>
      <c r="L408" t="str">
        <f t="shared" si="49"/>
        <v>OK</v>
      </c>
      <c r="M408" t="str">
        <f>IF(OR(B408&lt;$AE$20,B408&gt;$AF$20),"Outlier","OK")</f>
        <v>OK</v>
      </c>
      <c r="N408" t="str">
        <f>IF(OR(J408&lt;$AE$21,J408&gt;$AF$21),"Outlier","OK")</f>
        <v>OK</v>
      </c>
      <c r="O408" t="str">
        <f>IF(OR(C408&lt;0,C408&gt;1),"Outlier","OK")</f>
        <v>OK</v>
      </c>
      <c r="P408" t="str">
        <f>IF(OR(D408&lt;0,D408&gt;1),"Outlier","OK")</f>
        <v>Outlier</v>
      </c>
      <c r="Q408" t="str">
        <f t="shared" si="50"/>
        <v>60-80%</v>
      </c>
      <c r="R408" t="str">
        <f>IF(B408="","Missing","OK")</f>
        <v>OK</v>
      </c>
      <c r="S408" t="str">
        <f>IF(E408="","Missing","OK")</f>
        <v>OK</v>
      </c>
      <c r="T408" t="str">
        <f t="shared" si="51"/>
        <v>OK</v>
      </c>
      <c r="U408">
        <f>COUNTIF($A:$A,A408)</f>
        <v>1</v>
      </c>
      <c r="V408" t="str">
        <f t="shared" si="52"/>
        <v>OK</v>
      </c>
      <c r="W408" t="str">
        <f>IF(I408&gt;B408,"ERROR","OK")</f>
        <v>OK</v>
      </c>
      <c r="X408">
        <f>(B408-I408)/B408</f>
        <v>0.72130814617563221</v>
      </c>
      <c r="Y408" s="2">
        <f t="shared" si="53"/>
        <v>7.7715611723760958E-16</v>
      </c>
      <c r="Z408" s="2" t="str">
        <f t="shared" si="54"/>
        <v>OK</v>
      </c>
      <c r="AA408" t="str">
        <f t="shared" si="55"/>
        <v>Unique</v>
      </c>
    </row>
    <row r="409" spans="1:27" x14ac:dyDescent="0.3">
      <c r="A409">
        <v>408</v>
      </c>
      <c r="B409">
        <v>993583.62611752097</v>
      </c>
      <c r="C409">
        <v>0.63765050345428098</v>
      </c>
      <c r="D409">
        <v>-9.3870483053756795E-2</v>
      </c>
      <c r="E409">
        <v>0.34635960949695299</v>
      </c>
      <c r="F409">
        <v>1</v>
      </c>
      <c r="G409" t="s">
        <v>13</v>
      </c>
      <c r="H409">
        <v>0</v>
      </c>
      <c r="I409">
        <v>344137.23674463102</v>
      </c>
      <c r="J409">
        <v>0.65364039050304601</v>
      </c>
      <c r="K409" t="str">
        <f t="shared" si="48"/>
        <v>OK</v>
      </c>
      <c r="L409" t="str">
        <f t="shared" si="49"/>
        <v>OK</v>
      </c>
      <c r="M409" t="str">
        <f>IF(OR(B409&lt;$AE$20,B409&gt;$AF$20),"Outlier","OK")</f>
        <v>OK</v>
      </c>
      <c r="N409" t="str">
        <f>IF(OR(J409&lt;$AE$21,J409&gt;$AF$21),"Outlier","OK")</f>
        <v>OK</v>
      </c>
      <c r="O409" t="str">
        <f>IF(OR(C409&lt;0,C409&gt;1),"Outlier","OK")</f>
        <v>OK</v>
      </c>
      <c r="P409" t="str">
        <f>IF(OR(D409&lt;0,D409&gt;1),"Outlier","OK")</f>
        <v>Outlier</v>
      </c>
      <c r="Q409" t="str">
        <f t="shared" si="50"/>
        <v>60-80%</v>
      </c>
      <c r="R409" t="str">
        <f>IF(B409="","Missing","OK")</f>
        <v>OK</v>
      </c>
      <c r="S409" t="str">
        <f>IF(E409="","Missing","OK")</f>
        <v>OK</v>
      </c>
      <c r="T409" t="str">
        <f t="shared" si="51"/>
        <v>OK</v>
      </c>
      <c r="U409">
        <f>COUNTIF($A:$A,A409)</f>
        <v>1</v>
      </c>
      <c r="V409" t="str">
        <f t="shared" si="52"/>
        <v>OK</v>
      </c>
      <c r="W409" t="str">
        <f>IF(I409&gt;B409,"ERROR","OK")</f>
        <v>OK</v>
      </c>
      <c r="X409">
        <f>(B409-I409)/B409</f>
        <v>0.65364039050304701</v>
      </c>
      <c r="Y409" s="2">
        <f t="shared" si="53"/>
        <v>9.9920072216264089E-16</v>
      </c>
      <c r="Z409" s="2" t="str">
        <f t="shared" si="54"/>
        <v>OK</v>
      </c>
      <c r="AA409" t="str">
        <f t="shared" si="55"/>
        <v>Unique</v>
      </c>
    </row>
    <row r="410" spans="1:27" x14ac:dyDescent="0.3">
      <c r="A410">
        <v>409</v>
      </c>
      <c r="B410">
        <v>916231.06958956097</v>
      </c>
      <c r="C410">
        <v>0.60620365461292602</v>
      </c>
      <c r="D410">
        <v>-0.117746003030302</v>
      </c>
      <c r="E410">
        <v>0.187325380468613</v>
      </c>
      <c r="F410">
        <v>1</v>
      </c>
      <c r="G410" t="s">
        <v>13</v>
      </c>
      <c r="H410">
        <v>0</v>
      </c>
      <c r="I410">
        <v>171633.33370802901</v>
      </c>
      <c r="J410">
        <v>0.81267461953138598</v>
      </c>
      <c r="K410" t="str">
        <f t="shared" si="48"/>
        <v>OK</v>
      </c>
      <c r="L410" t="str">
        <f t="shared" si="49"/>
        <v>OK</v>
      </c>
      <c r="M410" t="str">
        <f>IF(OR(B410&lt;$AE$20,B410&gt;$AF$20),"Outlier","OK")</f>
        <v>OK</v>
      </c>
      <c r="N410" t="str">
        <f>IF(OR(J410&lt;$AE$21,J410&gt;$AF$21),"Outlier","OK")</f>
        <v>OK</v>
      </c>
      <c r="O410" t="str">
        <f>IF(OR(C410&lt;0,C410&gt;1),"Outlier","OK")</f>
        <v>OK</v>
      </c>
      <c r="P410" t="str">
        <f>IF(OR(D410&lt;0,D410&gt;1),"Outlier","OK")</f>
        <v>Outlier</v>
      </c>
      <c r="Q410" t="str">
        <f t="shared" si="50"/>
        <v>80-100%</v>
      </c>
      <c r="R410" t="str">
        <f>IF(B410="","Missing","OK")</f>
        <v>OK</v>
      </c>
      <c r="S410" t="str">
        <f>IF(E410="","Missing","OK")</f>
        <v>OK</v>
      </c>
      <c r="T410" t="str">
        <f t="shared" si="51"/>
        <v>OK</v>
      </c>
      <c r="U410">
        <f>COUNTIF($A:$A,A410)</f>
        <v>1</v>
      </c>
      <c r="V410" t="str">
        <f t="shared" si="52"/>
        <v>OK</v>
      </c>
      <c r="W410" t="str">
        <f>IF(I410&gt;B410,"ERROR","OK")</f>
        <v>OK</v>
      </c>
      <c r="X410">
        <f>(B410-I410)/B410</f>
        <v>0.81267461953138675</v>
      </c>
      <c r="Y410" s="2">
        <f t="shared" si="53"/>
        <v>7.7715611723760958E-16</v>
      </c>
      <c r="Z410" s="2" t="str">
        <f t="shared" si="54"/>
        <v>OK</v>
      </c>
      <c r="AA410" t="str">
        <f t="shared" si="55"/>
        <v>Unique</v>
      </c>
    </row>
    <row r="411" spans="1:27" x14ac:dyDescent="0.3">
      <c r="A411">
        <v>410</v>
      </c>
      <c r="B411">
        <v>120830.521486364</v>
      </c>
      <c r="C411">
        <v>0.14145710009109499</v>
      </c>
      <c r="D411">
        <v>5.0364798252987598E-2</v>
      </c>
      <c r="E411">
        <v>0.313830439776068</v>
      </c>
      <c r="F411">
        <v>1</v>
      </c>
      <c r="G411" t="s">
        <v>10</v>
      </c>
      <c r="H411">
        <v>1</v>
      </c>
      <c r="I411">
        <v>37920.295696437301</v>
      </c>
      <c r="J411">
        <v>0.68616956022393105</v>
      </c>
      <c r="K411" t="str">
        <f t="shared" si="48"/>
        <v>OK</v>
      </c>
      <c r="L411" t="str">
        <f t="shared" si="49"/>
        <v>OK</v>
      </c>
      <c r="M411" t="str">
        <f>IF(OR(B411&lt;$AE$20,B411&gt;$AF$20),"Outlier","OK")</f>
        <v>OK</v>
      </c>
      <c r="N411" t="str">
        <f>IF(OR(J411&lt;$AE$21,J411&gt;$AF$21),"Outlier","OK")</f>
        <v>OK</v>
      </c>
      <c r="O411" t="str">
        <f>IF(OR(C411&lt;0,C411&gt;1),"Outlier","OK")</f>
        <v>OK</v>
      </c>
      <c r="P411" t="str">
        <f>IF(OR(D411&lt;0,D411&gt;1),"Outlier","OK")</f>
        <v>OK</v>
      </c>
      <c r="Q411" t="str">
        <f t="shared" si="50"/>
        <v>60-80%</v>
      </c>
      <c r="R411" t="str">
        <f>IF(B411="","Missing","OK")</f>
        <v>OK</v>
      </c>
      <c r="S411" t="str">
        <f>IF(E411="","Missing","OK")</f>
        <v>OK</v>
      </c>
      <c r="T411" t="str">
        <f t="shared" si="51"/>
        <v>OK</v>
      </c>
      <c r="U411">
        <f>COUNTIF($A:$A,A411)</f>
        <v>1</v>
      </c>
      <c r="V411" t="str">
        <f t="shared" si="52"/>
        <v>OK</v>
      </c>
      <c r="W411" t="str">
        <f>IF(I411&gt;B411,"ERROR","OK")</f>
        <v>OK</v>
      </c>
      <c r="X411">
        <f>(B411-I411)/B411</f>
        <v>0.68616956022393161</v>
      </c>
      <c r="Y411" s="2">
        <f t="shared" si="53"/>
        <v>5.5511151231257827E-16</v>
      </c>
      <c r="Z411" s="2" t="str">
        <f t="shared" si="54"/>
        <v>OK</v>
      </c>
      <c r="AA411" t="str">
        <f t="shared" si="55"/>
        <v>Unique</v>
      </c>
    </row>
    <row r="412" spans="1:27" x14ac:dyDescent="0.3">
      <c r="A412">
        <v>411</v>
      </c>
      <c r="B412">
        <v>129332.221458193</v>
      </c>
      <c r="C412">
        <v>0.27044761761319203</v>
      </c>
      <c r="D412">
        <v>9.6274932197276397E-2</v>
      </c>
      <c r="E412">
        <v>0.175889297785457</v>
      </c>
      <c r="F412">
        <v>1</v>
      </c>
      <c r="G412" t="s">
        <v>10</v>
      </c>
      <c r="H412">
        <v>0</v>
      </c>
      <c r="I412">
        <v>22748.153613314898</v>
      </c>
      <c r="J412">
        <v>0.82411070221454197</v>
      </c>
      <c r="K412" t="str">
        <f t="shared" si="48"/>
        <v>OK</v>
      </c>
      <c r="L412" t="str">
        <f t="shared" si="49"/>
        <v>OK</v>
      </c>
      <c r="M412" t="str">
        <f>IF(OR(B412&lt;$AE$20,B412&gt;$AF$20),"Outlier","OK")</f>
        <v>OK</v>
      </c>
      <c r="N412" t="str">
        <f>IF(OR(J412&lt;$AE$21,J412&gt;$AF$21),"Outlier","OK")</f>
        <v>OK</v>
      </c>
      <c r="O412" t="str">
        <f>IF(OR(C412&lt;0,C412&gt;1),"Outlier","OK")</f>
        <v>OK</v>
      </c>
      <c r="P412" t="str">
        <f>IF(OR(D412&lt;0,D412&gt;1),"Outlier","OK")</f>
        <v>OK</v>
      </c>
      <c r="Q412" t="str">
        <f t="shared" si="50"/>
        <v>80-100%</v>
      </c>
      <c r="R412" t="str">
        <f>IF(B412="","Missing","OK")</f>
        <v>OK</v>
      </c>
      <c r="S412" t="str">
        <f>IF(E412="","Missing","OK")</f>
        <v>OK</v>
      </c>
      <c r="T412" t="str">
        <f t="shared" si="51"/>
        <v>OK</v>
      </c>
      <c r="U412">
        <f>COUNTIF($A:$A,A412)</f>
        <v>1</v>
      </c>
      <c r="V412" t="str">
        <f t="shared" si="52"/>
        <v>OK</v>
      </c>
      <c r="W412" t="str">
        <f>IF(I412&gt;B412,"ERROR","OK")</f>
        <v>OK</v>
      </c>
      <c r="X412">
        <f>(B412-I412)/B412</f>
        <v>0.82411070221454208</v>
      </c>
      <c r="Y412" s="2">
        <f t="shared" si="53"/>
        <v>1.1102230246251565E-16</v>
      </c>
      <c r="Z412" s="2" t="str">
        <f t="shared" si="54"/>
        <v>OK</v>
      </c>
      <c r="AA412" t="str">
        <f t="shared" si="55"/>
        <v>Unique</v>
      </c>
    </row>
    <row r="413" spans="1:27" x14ac:dyDescent="0.3">
      <c r="A413">
        <v>412</v>
      </c>
      <c r="B413">
        <v>698869.55327078397</v>
      </c>
      <c r="C413">
        <v>0.20450570490188499</v>
      </c>
      <c r="D413">
        <v>-7.2211555744552E-2</v>
      </c>
      <c r="E413">
        <v>0.19593104828169899</v>
      </c>
      <c r="F413">
        <v>1</v>
      </c>
      <c r="G413" t="s">
        <v>11</v>
      </c>
      <c r="H413">
        <v>0</v>
      </c>
      <c r="I413">
        <v>136930.244184507</v>
      </c>
      <c r="J413">
        <v>0.80406895171829995</v>
      </c>
      <c r="K413" t="str">
        <f t="shared" si="48"/>
        <v>OK</v>
      </c>
      <c r="L413" t="str">
        <f t="shared" si="49"/>
        <v>OK</v>
      </c>
      <c r="M413" t="str">
        <f>IF(OR(B413&lt;$AE$20,B413&gt;$AF$20),"Outlier","OK")</f>
        <v>OK</v>
      </c>
      <c r="N413" t="str">
        <f>IF(OR(J413&lt;$AE$21,J413&gt;$AF$21),"Outlier","OK")</f>
        <v>OK</v>
      </c>
      <c r="O413" t="str">
        <f>IF(OR(C413&lt;0,C413&gt;1),"Outlier","OK")</f>
        <v>OK</v>
      </c>
      <c r="P413" t="str">
        <f>IF(OR(D413&lt;0,D413&gt;1),"Outlier","OK")</f>
        <v>Outlier</v>
      </c>
      <c r="Q413" t="str">
        <f t="shared" si="50"/>
        <v>80-100%</v>
      </c>
      <c r="R413" t="str">
        <f>IF(B413="","Missing","OK")</f>
        <v>OK</v>
      </c>
      <c r="S413" t="str">
        <f>IF(E413="","Missing","OK")</f>
        <v>OK</v>
      </c>
      <c r="T413" t="str">
        <f t="shared" si="51"/>
        <v>OK</v>
      </c>
      <c r="U413">
        <f>COUNTIF($A:$A,A413)</f>
        <v>1</v>
      </c>
      <c r="V413" t="str">
        <f t="shared" si="52"/>
        <v>OK</v>
      </c>
      <c r="W413" t="str">
        <f>IF(I413&gt;B413,"ERROR","OK")</f>
        <v>OK</v>
      </c>
      <c r="X413">
        <f>(B413-I413)/B413</f>
        <v>0.80406895171830151</v>
      </c>
      <c r="Y413" s="2">
        <f t="shared" si="53"/>
        <v>1.5543122344752192E-15</v>
      </c>
      <c r="Z413" s="2" t="str">
        <f t="shared" si="54"/>
        <v>OK</v>
      </c>
      <c r="AA413" t="str">
        <f t="shared" si="55"/>
        <v>Unique</v>
      </c>
    </row>
    <row r="414" spans="1:27" x14ac:dyDescent="0.3">
      <c r="A414">
        <v>413</v>
      </c>
      <c r="B414">
        <v>1896883.10281949</v>
      </c>
      <c r="C414">
        <v>0.46312603297600202</v>
      </c>
      <c r="D414">
        <v>-3.3225134677104098E-2</v>
      </c>
      <c r="E414">
        <v>0.184467575857026</v>
      </c>
      <c r="F414">
        <v>1</v>
      </c>
      <c r="G414" t="s">
        <v>12</v>
      </c>
      <c r="H414">
        <v>0</v>
      </c>
      <c r="I414">
        <v>349913.42766126699</v>
      </c>
      <c r="J414">
        <v>0.815532424142973</v>
      </c>
      <c r="K414" t="str">
        <f t="shared" si="48"/>
        <v>OK</v>
      </c>
      <c r="L414" t="str">
        <f t="shared" si="49"/>
        <v>OK</v>
      </c>
      <c r="M414" t="str">
        <f>IF(OR(B414&lt;$AE$20,B414&gt;$AF$20),"Outlier","OK")</f>
        <v>OK</v>
      </c>
      <c r="N414" t="str">
        <f>IF(OR(J414&lt;$AE$21,J414&gt;$AF$21),"Outlier","OK")</f>
        <v>OK</v>
      </c>
      <c r="O414" t="str">
        <f>IF(OR(C414&lt;0,C414&gt;1),"Outlier","OK")</f>
        <v>OK</v>
      </c>
      <c r="P414" t="str">
        <f>IF(OR(D414&lt;0,D414&gt;1),"Outlier","OK")</f>
        <v>Outlier</v>
      </c>
      <c r="Q414" t="str">
        <f t="shared" si="50"/>
        <v>80-100%</v>
      </c>
      <c r="R414" t="str">
        <f>IF(B414="","Missing","OK")</f>
        <v>OK</v>
      </c>
      <c r="S414" t="str">
        <f>IF(E414="","Missing","OK")</f>
        <v>OK</v>
      </c>
      <c r="T414" t="str">
        <f t="shared" si="51"/>
        <v>OK</v>
      </c>
      <c r="U414">
        <f>COUNTIF($A:$A,A414)</f>
        <v>1</v>
      </c>
      <c r="V414" t="str">
        <f t="shared" si="52"/>
        <v>OK</v>
      </c>
      <c r="W414" t="str">
        <f>IF(I414&gt;B414,"ERROR","OK")</f>
        <v>OK</v>
      </c>
      <c r="X414">
        <f>(B414-I414)/B414</f>
        <v>0.81553242414297311</v>
      </c>
      <c r="Y414" s="2">
        <f t="shared" si="53"/>
        <v>1.1102230246251565E-16</v>
      </c>
      <c r="Z414" s="2" t="str">
        <f t="shared" si="54"/>
        <v>OK</v>
      </c>
      <c r="AA414" t="str">
        <f t="shared" si="55"/>
        <v>Unique</v>
      </c>
    </row>
    <row r="415" spans="1:27" x14ac:dyDescent="0.3">
      <c r="A415">
        <v>414</v>
      </c>
      <c r="B415">
        <v>1254436.9553736399</v>
      </c>
      <c r="C415">
        <v>0.84280648792276802</v>
      </c>
      <c r="D415">
        <v>0.19204917094131299</v>
      </c>
      <c r="E415">
        <v>0.45112080576203201</v>
      </c>
      <c r="F415">
        <v>1</v>
      </c>
      <c r="G415" t="s">
        <v>13</v>
      </c>
      <c r="H415">
        <v>1</v>
      </c>
      <c r="I415">
        <v>565902.61008582998</v>
      </c>
      <c r="J415">
        <v>0.54887919423796805</v>
      </c>
      <c r="K415" t="str">
        <f t="shared" si="48"/>
        <v>OK</v>
      </c>
      <c r="L415" t="str">
        <f t="shared" si="49"/>
        <v>OK</v>
      </c>
      <c r="M415" t="str">
        <f>IF(OR(B415&lt;$AE$20,B415&gt;$AF$20),"Outlier","OK")</f>
        <v>OK</v>
      </c>
      <c r="N415" t="str">
        <f>IF(OR(J415&lt;$AE$21,J415&gt;$AF$21),"Outlier","OK")</f>
        <v>OK</v>
      </c>
      <c r="O415" t="str">
        <f>IF(OR(C415&lt;0,C415&gt;1),"Outlier","OK")</f>
        <v>OK</v>
      </c>
      <c r="P415" t="str">
        <f>IF(OR(D415&lt;0,D415&gt;1),"Outlier","OK")</f>
        <v>OK</v>
      </c>
      <c r="Q415" t="str">
        <f t="shared" si="50"/>
        <v>40-60%</v>
      </c>
      <c r="R415" t="str">
        <f>IF(B415="","Missing","OK")</f>
        <v>OK</v>
      </c>
      <c r="S415" t="str">
        <f>IF(E415="","Missing","OK")</f>
        <v>OK</v>
      </c>
      <c r="T415" t="str">
        <f t="shared" si="51"/>
        <v>OK</v>
      </c>
      <c r="U415">
        <f>COUNTIF($A:$A,A415)</f>
        <v>1</v>
      </c>
      <c r="V415" t="str">
        <f t="shared" si="52"/>
        <v>OK</v>
      </c>
      <c r="W415" t="str">
        <f>IF(I415&gt;B415,"ERROR","OK")</f>
        <v>OK</v>
      </c>
      <c r="X415">
        <f>(B415-I415)/B415</f>
        <v>0.54887919423796538</v>
      </c>
      <c r="Y415" s="2">
        <f t="shared" si="53"/>
        <v>2.6645352591003757E-15</v>
      </c>
      <c r="Z415" s="2" t="str">
        <f t="shared" si="54"/>
        <v>OK</v>
      </c>
      <c r="AA415" t="str">
        <f t="shared" si="55"/>
        <v>Unique</v>
      </c>
    </row>
    <row r="416" spans="1:27" x14ac:dyDescent="0.3">
      <c r="A416">
        <v>415</v>
      </c>
      <c r="B416">
        <v>769305.941277807</v>
      </c>
      <c r="C416">
        <v>0.196385434777439</v>
      </c>
      <c r="D416">
        <v>0.195603075000848</v>
      </c>
      <c r="E416">
        <v>0.25348542745805902</v>
      </c>
      <c r="F416">
        <v>1</v>
      </c>
      <c r="G416" t="s">
        <v>11</v>
      </c>
      <c r="H416">
        <v>0</v>
      </c>
      <c r="I416">
        <v>195007.84537082899</v>
      </c>
      <c r="J416">
        <v>0.74651457254193998</v>
      </c>
      <c r="K416" t="str">
        <f t="shared" si="48"/>
        <v>OK</v>
      </c>
      <c r="L416" t="str">
        <f t="shared" si="49"/>
        <v>OK</v>
      </c>
      <c r="M416" t="str">
        <f>IF(OR(B416&lt;$AE$20,B416&gt;$AF$20),"Outlier","OK")</f>
        <v>OK</v>
      </c>
      <c r="N416" t="str">
        <f>IF(OR(J416&lt;$AE$21,J416&gt;$AF$21),"Outlier","OK")</f>
        <v>OK</v>
      </c>
      <c r="O416" t="str">
        <f>IF(OR(C416&lt;0,C416&gt;1),"Outlier","OK")</f>
        <v>OK</v>
      </c>
      <c r="P416" t="str">
        <f>IF(OR(D416&lt;0,D416&gt;1),"Outlier","OK")</f>
        <v>OK</v>
      </c>
      <c r="Q416" t="str">
        <f t="shared" si="50"/>
        <v>60-80%</v>
      </c>
      <c r="R416" t="str">
        <f>IF(B416="","Missing","OK")</f>
        <v>OK</v>
      </c>
      <c r="S416" t="str">
        <f>IF(E416="","Missing","OK")</f>
        <v>OK</v>
      </c>
      <c r="T416" t="str">
        <f t="shared" si="51"/>
        <v>OK</v>
      </c>
      <c r="U416">
        <f>COUNTIF($A:$A,A416)</f>
        <v>1</v>
      </c>
      <c r="V416" t="str">
        <f t="shared" si="52"/>
        <v>OK</v>
      </c>
      <c r="W416" t="str">
        <f>IF(I416&gt;B416,"ERROR","OK")</f>
        <v>OK</v>
      </c>
      <c r="X416">
        <f>(B416-I416)/B416</f>
        <v>0.74651457254194142</v>
      </c>
      <c r="Y416" s="2">
        <f t="shared" si="53"/>
        <v>1.4432899320127035E-15</v>
      </c>
      <c r="Z416" s="2" t="str">
        <f t="shared" si="54"/>
        <v>OK</v>
      </c>
      <c r="AA416" t="str">
        <f t="shared" si="55"/>
        <v>Unique</v>
      </c>
    </row>
    <row r="417" spans="1:27" x14ac:dyDescent="0.3">
      <c r="A417">
        <v>416</v>
      </c>
      <c r="B417">
        <v>1243355.2261570599</v>
      </c>
      <c r="C417">
        <v>0.25888973731424297</v>
      </c>
      <c r="D417">
        <v>-0.120932124125742</v>
      </c>
      <c r="E417">
        <v>0.40310068115252301</v>
      </c>
      <c r="F417">
        <v>1</v>
      </c>
      <c r="G417" t="s">
        <v>10</v>
      </c>
      <c r="H417">
        <v>1</v>
      </c>
      <c r="I417">
        <v>501197.33857846202</v>
      </c>
      <c r="J417">
        <v>0.59689931884747605</v>
      </c>
      <c r="K417" t="str">
        <f t="shared" si="48"/>
        <v>OK</v>
      </c>
      <c r="L417" t="str">
        <f t="shared" si="49"/>
        <v>OK</v>
      </c>
      <c r="M417" t="str">
        <f>IF(OR(B417&lt;$AE$20,B417&gt;$AF$20),"Outlier","OK")</f>
        <v>OK</v>
      </c>
      <c r="N417" t="str">
        <f>IF(OR(J417&lt;$AE$21,J417&gt;$AF$21),"Outlier","OK")</f>
        <v>OK</v>
      </c>
      <c r="O417" t="str">
        <f>IF(OR(C417&lt;0,C417&gt;1),"Outlier","OK")</f>
        <v>OK</v>
      </c>
      <c r="P417" t="str">
        <f>IF(OR(D417&lt;0,D417&gt;1),"Outlier","OK")</f>
        <v>Outlier</v>
      </c>
      <c r="Q417" t="str">
        <f t="shared" si="50"/>
        <v>40-60%</v>
      </c>
      <c r="R417" t="str">
        <f>IF(B417="","Missing","OK")</f>
        <v>OK</v>
      </c>
      <c r="S417" t="str">
        <f>IF(E417="","Missing","OK")</f>
        <v>OK</v>
      </c>
      <c r="T417" t="str">
        <f t="shared" si="51"/>
        <v>OK</v>
      </c>
      <c r="U417">
        <f>COUNTIF($A:$A,A417)</f>
        <v>1</v>
      </c>
      <c r="V417" t="str">
        <f t="shared" si="52"/>
        <v>OK</v>
      </c>
      <c r="W417" t="str">
        <f>IF(I417&gt;B417,"ERROR","OK")</f>
        <v>OK</v>
      </c>
      <c r="X417">
        <f>(B417-I417)/B417</f>
        <v>0.59689931884747549</v>
      </c>
      <c r="Y417" s="2">
        <f t="shared" si="53"/>
        <v>5.5511151231257827E-16</v>
      </c>
      <c r="Z417" s="2" t="str">
        <f t="shared" si="54"/>
        <v>OK</v>
      </c>
      <c r="AA417" t="str">
        <f t="shared" si="55"/>
        <v>Unique</v>
      </c>
    </row>
    <row r="418" spans="1:27" x14ac:dyDescent="0.3">
      <c r="A418">
        <v>417</v>
      </c>
      <c r="B418">
        <v>451956.49575619301</v>
      </c>
      <c r="C418">
        <v>0.51481287819272303</v>
      </c>
      <c r="D418">
        <v>-6.5384269546882798E-2</v>
      </c>
      <c r="E418">
        <v>0.33334506999498198</v>
      </c>
      <c r="F418">
        <v>1</v>
      </c>
      <c r="G418" t="s">
        <v>13</v>
      </c>
      <c r="H418">
        <v>0</v>
      </c>
      <c r="I418">
        <v>150657.46971253501</v>
      </c>
      <c r="J418">
        <v>0.66665493000501697</v>
      </c>
      <c r="K418" t="str">
        <f t="shared" si="48"/>
        <v>OK</v>
      </c>
      <c r="L418" t="str">
        <f t="shared" si="49"/>
        <v>OK</v>
      </c>
      <c r="M418" t="str">
        <f>IF(OR(B418&lt;$AE$20,B418&gt;$AF$20),"Outlier","OK")</f>
        <v>OK</v>
      </c>
      <c r="N418" t="str">
        <f>IF(OR(J418&lt;$AE$21,J418&gt;$AF$21),"Outlier","OK")</f>
        <v>OK</v>
      </c>
      <c r="O418" t="str">
        <f>IF(OR(C418&lt;0,C418&gt;1),"Outlier","OK")</f>
        <v>OK</v>
      </c>
      <c r="P418" t="str">
        <f>IF(OR(D418&lt;0,D418&gt;1),"Outlier","OK")</f>
        <v>Outlier</v>
      </c>
      <c r="Q418" t="str">
        <f t="shared" si="50"/>
        <v>60-80%</v>
      </c>
      <c r="R418" t="str">
        <f>IF(B418="","Missing","OK")</f>
        <v>OK</v>
      </c>
      <c r="S418" t="str">
        <f>IF(E418="","Missing","OK")</f>
        <v>OK</v>
      </c>
      <c r="T418" t="str">
        <f t="shared" si="51"/>
        <v>OK</v>
      </c>
      <c r="U418">
        <f>COUNTIF($A:$A,A418)</f>
        <v>1</v>
      </c>
      <c r="V418" t="str">
        <f t="shared" si="52"/>
        <v>OK</v>
      </c>
      <c r="W418" t="str">
        <f>IF(I418&gt;B418,"ERROR","OK")</f>
        <v>OK</v>
      </c>
      <c r="X418">
        <f>(B418-I418)/B418</f>
        <v>0.66665493000501796</v>
      </c>
      <c r="Y418" s="2">
        <f t="shared" si="53"/>
        <v>9.9920072216264089E-16</v>
      </c>
      <c r="Z418" s="2" t="str">
        <f t="shared" si="54"/>
        <v>OK</v>
      </c>
      <c r="AA418" t="str">
        <f t="shared" si="55"/>
        <v>Unique</v>
      </c>
    </row>
    <row r="419" spans="1:27" x14ac:dyDescent="0.3">
      <c r="A419">
        <v>418</v>
      </c>
      <c r="B419">
        <v>371879.56351467199</v>
      </c>
      <c r="C419">
        <v>0.64504893325038304</v>
      </c>
      <c r="D419">
        <v>6.30262849281501E-2</v>
      </c>
      <c r="E419">
        <v>0.123877119275389</v>
      </c>
      <c r="F419">
        <v>1</v>
      </c>
      <c r="G419" t="s">
        <v>13</v>
      </c>
      <c r="H419">
        <v>0</v>
      </c>
      <c r="I419">
        <v>46067.3690455869</v>
      </c>
      <c r="J419">
        <v>0.87612288072460998</v>
      </c>
      <c r="K419" t="str">
        <f t="shared" si="48"/>
        <v>OK</v>
      </c>
      <c r="L419" t="str">
        <f t="shared" si="49"/>
        <v>OK</v>
      </c>
      <c r="M419" t="str">
        <f>IF(OR(B419&lt;$AE$20,B419&gt;$AF$20),"Outlier","OK")</f>
        <v>OK</v>
      </c>
      <c r="N419" t="str">
        <f>IF(OR(J419&lt;$AE$21,J419&gt;$AF$21),"Outlier","OK")</f>
        <v>OK</v>
      </c>
      <c r="O419" t="str">
        <f>IF(OR(C419&lt;0,C419&gt;1),"Outlier","OK")</f>
        <v>OK</v>
      </c>
      <c r="P419" t="str">
        <f>IF(OR(D419&lt;0,D419&gt;1),"Outlier","OK")</f>
        <v>OK</v>
      </c>
      <c r="Q419" t="str">
        <f t="shared" si="50"/>
        <v>80-100%</v>
      </c>
      <c r="R419" t="str">
        <f>IF(B419="","Missing","OK")</f>
        <v>OK</v>
      </c>
      <c r="S419" t="str">
        <f>IF(E419="","Missing","OK")</f>
        <v>OK</v>
      </c>
      <c r="T419" t="str">
        <f t="shared" si="51"/>
        <v>OK</v>
      </c>
      <c r="U419">
        <f>COUNTIF($A:$A,A419)</f>
        <v>1</v>
      </c>
      <c r="V419" t="str">
        <f t="shared" si="52"/>
        <v>OK</v>
      </c>
      <c r="W419" t="str">
        <f>IF(I419&gt;B419,"ERROR","OK")</f>
        <v>OK</v>
      </c>
      <c r="X419">
        <f>(B419-I419)/B419</f>
        <v>0.8761228807246102</v>
      </c>
      <c r="Y419" s="2">
        <f t="shared" si="53"/>
        <v>2.2204460492503131E-16</v>
      </c>
      <c r="Z419" s="2" t="str">
        <f t="shared" si="54"/>
        <v>OK</v>
      </c>
      <c r="AA419" t="str">
        <f t="shared" si="55"/>
        <v>Unique</v>
      </c>
    </row>
    <row r="420" spans="1:27" x14ac:dyDescent="0.3">
      <c r="A420">
        <v>419</v>
      </c>
      <c r="B420">
        <v>755543.66778614803</v>
      </c>
      <c r="C420">
        <v>0.76089774531560095</v>
      </c>
      <c r="D420">
        <v>8.1846861014238607E-3</v>
      </c>
      <c r="E420">
        <v>0.58302768904279401</v>
      </c>
      <c r="F420">
        <v>1</v>
      </c>
      <c r="G420" t="s">
        <v>12</v>
      </c>
      <c r="H420">
        <v>1</v>
      </c>
      <c r="I420">
        <v>440502.87860027503</v>
      </c>
      <c r="J420">
        <v>0.41697231095720499</v>
      </c>
      <c r="K420" t="str">
        <f t="shared" si="48"/>
        <v>OK</v>
      </c>
      <c r="L420" t="str">
        <f t="shared" si="49"/>
        <v>OK</v>
      </c>
      <c r="M420" t="str">
        <f>IF(OR(B420&lt;$AE$20,B420&gt;$AF$20),"Outlier","OK")</f>
        <v>OK</v>
      </c>
      <c r="N420" t="str">
        <f>IF(OR(J420&lt;$AE$21,J420&gt;$AF$21),"Outlier","OK")</f>
        <v>OK</v>
      </c>
      <c r="O420" t="str">
        <f>IF(OR(C420&lt;0,C420&gt;1),"Outlier","OK")</f>
        <v>OK</v>
      </c>
      <c r="P420" t="str">
        <f>IF(OR(D420&lt;0,D420&gt;1),"Outlier","OK")</f>
        <v>OK</v>
      </c>
      <c r="Q420" t="str">
        <f t="shared" si="50"/>
        <v>40-60%</v>
      </c>
      <c r="R420" t="str">
        <f>IF(B420="","Missing","OK")</f>
        <v>OK</v>
      </c>
      <c r="S420" t="str">
        <f>IF(E420="","Missing","OK")</f>
        <v>OK</v>
      </c>
      <c r="T420" t="str">
        <f t="shared" si="51"/>
        <v>OK</v>
      </c>
      <c r="U420">
        <f>COUNTIF($A:$A,A420)</f>
        <v>1</v>
      </c>
      <c r="V420" t="str">
        <f t="shared" si="52"/>
        <v>OK</v>
      </c>
      <c r="W420" t="str">
        <f>IF(I420&gt;B420,"ERROR","OK")</f>
        <v>OK</v>
      </c>
      <c r="X420">
        <f>(B420-I420)/B420</f>
        <v>0.41697231095720511</v>
      </c>
      <c r="Y420" s="2">
        <f t="shared" si="53"/>
        <v>1.1102230246251565E-16</v>
      </c>
      <c r="Z420" s="2" t="str">
        <f t="shared" si="54"/>
        <v>OK</v>
      </c>
      <c r="AA420" t="str">
        <f t="shared" si="55"/>
        <v>Unique</v>
      </c>
    </row>
    <row r="421" spans="1:27" x14ac:dyDescent="0.3">
      <c r="A421">
        <v>420</v>
      </c>
      <c r="B421">
        <v>1733539.0355038401</v>
      </c>
      <c r="C421">
        <v>0.32718252975129603</v>
      </c>
      <c r="D421">
        <v>-0.165896832196963</v>
      </c>
      <c r="E421">
        <v>0.39119854027457801</v>
      </c>
      <c r="F421">
        <v>1</v>
      </c>
      <c r="G421" t="s">
        <v>13</v>
      </c>
      <c r="H421">
        <v>0</v>
      </c>
      <c r="I421">
        <v>678157.94019810297</v>
      </c>
      <c r="J421">
        <v>0.60880145972542099</v>
      </c>
      <c r="K421" t="str">
        <f t="shared" si="48"/>
        <v>OK</v>
      </c>
      <c r="L421" t="str">
        <f t="shared" si="49"/>
        <v>OK</v>
      </c>
      <c r="M421" t="str">
        <f>IF(OR(B421&lt;$AE$20,B421&gt;$AF$20),"Outlier","OK")</f>
        <v>OK</v>
      </c>
      <c r="N421" t="str">
        <f>IF(OR(J421&lt;$AE$21,J421&gt;$AF$21),"Outlier","OK")</f>
        <v>OK</v>
      </c>
      <c r="O421" t="str">
        <f>IF(OR(C421&lt;0,C421&gt;1),"Outlier","OK")</f>
        <v>OK</v>
      </c>
      <c r="P421" t="str">
        <f>IF(OR(D421&lt;0,D421&gt;1),"Outlier","OK")</f>
        <v>Outlier</v>
      </c>
      <c r="Q421" t="str">
        <f t="shared" si="50"/>
        <v>60-80%</v>
      </c>
      <c r="R421" t="str">
        <f>IF(B421="","Missing","OK")</f>
        <v>OK</v>
      </c>
      <c r="S421" t="str">
        <f>IF(E421="","Missing","OK")</f>
        <v>OK</v>
      </c>
      <c r="T421" t="str">
        <f t="shared" si="51"/>
        <v>OK</v>
      </c>
      <c r="U421">
        <f>COUNTIF($A:$A,A421)</f>
        <v>1</v>
      </c>
      <c r="V421" t="str">
        <f t="shared" si="52"/>
        <v>OK</v>
      </c>
      <c r="W421" t="str">
        <f>IF(I421&gt;B421,"ERROR","OK")</f>
        <v>OK</v>
      </c>
      <c r="X421">
        <f>(B421-I421)/B421</f>
        <v>0.60880145972542155</v>
      </c>
      <c r="Y421" s="2">
        <f t="shared" si="53"/>
        <v>5.5511151231257827E-16</v>
      </c>
      <c r="Z421" s="2" t="str">
        <f t="shared" si="54"/>
        <v>OK</v>
      </c>
      <c r="AA421" t="str">
        <f t="shared" si="55"/>
        <v>Unique</v>
      </c>
    </row>
    <row r="422" spans="1:27" x14ac:dyDescent="0.3">
      <c r="A422">
        <v>421</v>
      </c>
      <c r="B422">
        <v>1043333.36833293</v>
      </c>
      <c r="C422">
        <v>0.509255337862355</v>
      </c>
      <c r="D422">
        <v>-0.18707950884673499</v>
      </c>
      <c r="E422">
        <v>0.46461481555331702</v>
      </c>
      <c r="F422">
        <v>1</v>
      </c>
      <c r="G422" t="s">
        <v>13</v>
      </c>
      <c r="H422">
        <v>0</v>
      </c>
      <c r="I422">
        <v>484748.140488629</v>
      </c>
      <c r="J422">
        <v>0.53538518444668204</v>
      </c>
      <c r="K422" t="str">
        <f t="shared" si="48"/>
        <v>OK</v>
      </c>
      <c r="L422" t="str">
        <f t="shared" si="49"/>
        <v>OK</v>
      </c>
      <c r="M422" t="str">
        <f>IF(OR(B422&lt;$AE$20,B422&gt;$AF$20),"Outlier","OK")</f>
        <v>OK</v>
      </c>
      <c r="N422" t="str">
        <f>IF(OR(J422&lt;$AE$21,J422&gt;$AF$21),"Outlier","OK")</f>
        <v>OK</v>
      </c>
      <c r="O422" t="str">
        <f>IF(OR(C422&lt;0,C422&gt;1),"Outlier","OK")</f>
        <v>OK</v>
      </c>
      <c r="P422" t="str">
        <f>IF(OR(D422&lt;0,D422&gt;1),"Outlier","OK")</f>
        <v>Outlier</v>
      </c>
      <c r="Q422" t="str">
        <f t="shared" si="50"/>
        <v>40-60%</v>
      </c>
      <c r="R422" t="str">
        <f>IF(B422="","Missing","OK")</f>
        <v>OK</v>
      </c>
      <c r="S422" t="str">
        <f>IF(E422="","Missing","OK")</f>
        <v>OK</v>
      </c>
      <c r="T422" t="str">
        <f t="shared" si="51"/>
        <v>OK</v>
      </c>
      <c r="U422">
        <f>COUNTIF($A:$A,A422)</f>
        <v>1</v>
      </c>
      <c r="V422" t="str">
        <f t="shared" si="52"/>
        <v>OK</v>
      </c>
      <c r="W422" t="str">
        <f>IF(I422&gt;B422,"ERROR","OK")</f>
        <v>OK</v>
      </c>
      <c r="X422">
        <f>(B422-I422)/B422</f>
        <v>0.53538518444667937</v>
      </c>
      <c r="Y422" s="2">
        <f t="shared" si="53"/>
        <v>2.6645352591003757E-15</v>
      </c>
      <c r="Z422" s="2" t="str">
        <f t="shared" si="54"/>
        <v>OK</v>
      </c>
      <c r="AA422" t="str">
        <f t="shared" si="55"/>
        <v>Unique</v>
      </c>
    </row>
    <row r="423" spans="1:27" x14ac:dyDescent="0.3">
      <c r="A423">
        <v>422</v>
      </c>
      <c r="B423">
        <v>628957.95631086803</v>
      </c>
      <c r="C423">
        <v>0.68280012193171002</v>
      </c>
      <c r="D423">
        <v>-7.0723597748246603E-2</v>
      </c>
      <c r="E423">
        <v>0.37748748228422502</v>
      </c>
      <c r="F423">
        <v>1</v>
      </c>
      <c r="G423" t="s">
        <v>13</v>
      </c>
      <c r="H423">
        <v>0</v>
      </c>
      <c r="I423">
        <v>237423.75539042099</v>
      </c>
      <c r="J423">
        <v>0.62251251771577398</v>
      </c>
      <c r="K423" t="str">
        <f t="shared" si="48"/>
        <v>OK</v>
      </c>
      <c r="L423" t="str">
        <f t="shared" si="49"/>
        <v>OK</v>
      </c>
      <c r="M423" t="str">
        <f>IF(OR(B423&lt;$AE$20,B423&gt;$AF$20),"Outlier","OK")</f>
        <v>OK</v>
      </c>
      <c r="N423" t="str">
        <f>IF(OR(J423&lt;$AE$21,J423&gt;$AF$21),"Outlier","OK")</f>
        <v>OK</v>
      </c>
      <c r="O423" t="str">
        <f>IF(OR(C423&lt;0,C423&gt;1),"Outlier","OK")</f>
        <v>OK</v>
      </c>
      <c r="P423" t="str">
        <f>IF(OR(D423&lt;0,D423&gt;1),"Outlier","OK")</f>
        <v>Outlier</v>
      </c>
      <c r="Q423" t="str">
        <f t="shared" si="50"/>
        <v>60-80%</v>
      </c>
      <c r="R423" t="str">
        <f>IF(B423="","Missing","OK")</f>
        <v>OK</v>
      </c>
      <c r="S423" t="str">
        <f>IF(E423="","Missing","OK")</f>
        <v>OK</v>
      </c>
      <c r="T423" t="str">
        <f t="shared" si="51"/>
        <v>OK</v>
      </c>
      <c r="U423">
        <f>COUNTIF($A:$A,A423)</f>
        <v>1</v>
      </c>
      <c r="V423" t="str">
        <f t="shared" si="52"/>
        <v>OK</v>
      </c>
      <c r="W423" t="str">
        <f>IF(I423&gt;B423,"ERROR","OK")</f>
        <v>OK</v>
      </c>
      <c r="X423">
        <f>(B423-I423)/B423</f>
        <v>0.6225125177157752</v>
      </c>
      <c r="Y423" s="2">
        <f t="shared" si="53"/>
        <v>1.2212453270876722E-15</v>
      </c>
      <c r="Z423" s="2" t="str">
        <f t="shared" si="54"/>
        <v>OK</v>
      </c>
      <c r="AA423" t="str">
        <f t="shared" si="55"/>
        <v>Unique</v>
      </c>
    </row>
    <row r="424" spans="1:27" x14ac:dyDescent="0.3">
      <c r="A424">
        <v>423</v>
      </c>
      <c r="B424">
        <v>1902990.6688848401</v>
      </c>
      <c r="C424">
        <v>0.26119074077883297</v>
      </c>
      <c r="D424">
        <v>3.8069401656278902E-2</v>
      </c>
      <c r="E424">
        <v>9.1826563143938902E-2</v>
      </c>
      <c r="F424">
        <v>1</v>
      </c>
      <c r="G424" t="s">
        <v>12</v>
      </c>
      <c r="H424">
        <v>0</v>
      </c>
      <c r="I424">
        <v>174745.09281867999</v>
      </c>
      <c r="J424">
        <v>0.908173436856061</v>
      </c>
      <c r="K424" t="str">
        <f t="shared" si="48"/>
        <v>OK</v>
      </c>
      <c r="L424" t="str">
        <f t="shared" si="49"/>
        <v>OK</v>
      </c>
      <c r="M424" t="str">
        <f>IF(OR(B424&lt;$AE$20,B424&gt;$AF$20),"Outlier","OK")</f>
        <v>OK</v>
      </c>
      <c r="N424" t="str">
        <f>IF(OR(J424&lt;$AE$21,J424&gt;$AF$21),"Outlier","OK")</f>
        <v>OK</v>
      </c>
      <c r="O424" t="str">
        <f>IF(OR(C424&lt;0,C424&gt;1),"Outlier","OK")</f>
        <v>OK</v>
      </c>
      <c r="P424" t="str">
        <f>IF(OR(D424&lt;0,D424&gt;1),"Outlier","OK")</f>
        <v>OK</v>
      </c>
      <c r="Q424" t="str">
        <f t="shared" si="50"/>
        <v>80-100%</v>
      </c>
      <c r="R424" t="str">
        <f>IF(B424="","Missing","OK")</f>
        <v>OK</v>
      </c>
      <c r="S424" t="str">
        <f>IF(E424="","Missing","OK")</f>
        <v>OK</v>
      </c>
      <c r="T424" t="str">
        <f t="shared" si="51"/>
        <v>OK</v>
      </c>
      <c r="U424">
        <f>COUNTIF($A:$A,A424)</f>
        <v>1</v>
      </c>
      <c r="V424" t="str">
        <f t="shared" si="52"/>
        <v>OK</v>
      </c>
      <c r="W424" t="str">
        <f>IF(I424&gt;B424,"ERROR","OK")</f>
        <v>OK</v>
      </c>
      <c r="X424">
        <f>(B424-I424)/B424</f>
        <v>0.90817343685606122</v>
      </c>
      <c r="Y424" s="2">
        <f t="shared" si="53"/>
        <v>2.2204460492503131E-16</v>
      </c>
      <c r="Z424" s="2" t="str">
        <f t="shared" si="54"/>
        <v>OK</v>
      </c>
      <c r="AA424" t="str">
        <f t="shared" si="55"/>
        <v>Unique</v>
      </c>
    </row>
    <row r="425" spans="1:27" x14ac:dyDescent="0.3">
      <c r="A425">
        <v>424</v>
      </c>
      <c r="B425">
        <v>1641133.87485076</v>
      </c>
      <c r="C425">
        <v>0.80982219913950804</v>
      </c>
      <c r="D425">
        <v>3.3233576910944501E-2</v>
      </c>
      <c r="E425">
        <v>0.30422346757749602</v>
      </c>
      <c r="F425">
        <v>1</v>
      </c>
      <c r="G425" t="s">
        <v>13</v>
      </c>
      <c r="H425">
        <v>0</v>
      </c>
      <c r="I425">
        <v>499271.43816599401</v>
      </c>
      <c r="J425">
        <v>0.69577653242250304</v>
      </c>
      <c r="K425" t="str">
        <f t="shared" si="48"/>
        <v>OK</v>
      </c>
      <c r="L425" t="str">
        <f t="shared" si="49"/>
        <v>OK</v>
      </c>
      <c r="M425" t="str">
        <f>IF(OR(B425&lt;$AE$20,B425&gt;$AF$20),"Outlier","OK")</f>
        <v>OK</v>
      </c>
      <c r="N425" t="str">
        <f>IF(OR(J425&lt;$AE$21,J425&gt;$AF$21),"Outlier","OK")</f>
        <v>OK</v>
      </c>
      <c r="O425" t="str">
        <f>IF(OR(C425&lt;0,C425&gt;1),"Outlier","OK")</f>
        <v>OK</v>
      </c>
      <c r="P425" t="str">
        <f>IF(OR(D425&lt;0,D425&gt;1),"Outlier","OK")</f>
        <v>OK</v>
      </c>
      <c r="Q425" t="str">
        <f t="shared" si="50"/>
        <v>60-80%</v>
      </c>
      <c r="R425" t="str">
        <f>IF(B425="","Missing","OK")</f>
        <v>OK</v>
      </c>
      <c r="S425" t="str">
        <f>IF(E425="","Missing","OK")</f>
        <v>OK</v>
      </c>
      <c r="T425" t="str">
        <f t="shared" si="51"/>
        <v>OK</v>
      </c>
      <c r="U425">
        <f>COUNTIF($A:$A,A425)</f>
        <v>1</v>
      </c>
      <c r="V425" t="str">
        <f t="shared" si="52"/>
        <v>OK</v>
      </c>
      <c r="W425" t="str">
        <f>IF(I425&gt;B425,"ERROR","OK")</f>
        <v>OK</v>
      </c>
      <c r="X425">
        <f>(B425-I425)/B425</f>
        <v>0.69577653242250181</v>
      </c>
      <c r="Y425" s="2">
        <f t="shared" si="53"/>
        <v>1.2212453270876722E-15</v>
      </c>
      <c r="Z425" s="2" t="str">
        <f t="shared" si="54"/>
        <v>OK</v>
      </c>
      <c r="AA425" t="str">
        <f t="shared" si="55"/>
        <v>Unique</v>
      </c>
    </row>
    <row r="426" spans="1:27" x14ac:dyDescent="0.3">
      <c r="A426">
        <v>425</v>
      </c>
      <c r="B426">
        <v>679799.18846473098</v>
      </c>
      <c r="C426">
        <v>0.64150236830623397</v>
      </c>
      <c r="D426">
        <v>-0.173512494779583</v>
      </c>
      <c r="E426">
        <v>0.24948778619211301</v>
      </c>
      <c r="F426">
        <v>1</v>
      </c>
      <c r="G426" t="s">
        <v>13</v>
      </c>
      <c r="H426">
        <v>1</v>
      </c>
      <c r="I426">
        <v>169601.59458526099</v>
      </c>
      <c r="J426">
        <v>0.75051221380788602</v>
      </c>
      <c r="K426" t="str">
        <f t="shared" si="48"/>
        <v>OK</v>
      </c>
      <c r="L426" t="str">
        <f t="shared" si="49"/>
        <v>OK</v>
      </c>
      <c r="M426" t="str">
        <f>IF(OR(B426&lt;$AE$20,B426&gt;$AF$20),"Outlier","OK")</f>
        <v>OK</v>
      </c>
      <c r="N426" t="str">
        <f>IF(OR(J426&lt;$AE$21,J426&gt;$AF$21),"Outlier","OK")</f>
        <v>OK</v>
      </c>
      <c r="O426" t="str">
        <f>IF(OR(C426&lt;0,C426&gt;1),"Outlier","OK")</f>
        <v>OK</v>
      </c>
      <c r="P426" t="str">
        <f>IF(OR(D426&lt;0,D426&gt;1),"Outlier","OK")</f>
        <v>Outlier</v>
      </c>
      <c r="Q426" t="str">
        <f t="shared" si="50"/>
        <v>60-80%</v>
      </c>
      <c r="R426" t="str">
        <f>IF(B426="","Missing","OK")</f>
        <v>OK</v>
      </c>
      <c r="S426" t="str">
        <f>IF(E426="","Missing","OK")</f>
        <v>OK</v>
      </c>
      <c r="T426" t="str">
        <f t="shared" si="51"/>
        <v>OK</v>
      </c>
      <c r="U426">
        <f>COUNTIF($A:$A,A426)</f>
        <v>1</v>
      </c>
      <c r="V426" t="str">
        <f t="shared" si="52"/>
        <v>OK</v>
      </c>
      <c r="W426" t="str">
        <f>IF(I426&gt;B426,"ERROR","OK")</f>
        <v>OK</v>
      </c>
      <c r="X426">
        <f>(B426-I426)/B426</f>
        <v>0.75051221380788669</v>
      </c>
      <c r="Y426" s="2">
        <f t="shared" si="53"/>
        <v>6.6613381477509392E-16</v>
      </c>
      <c r="Z426" s="2" t="str">
        <f t="shared" si="54"/>
        <v>OK</v>
      </c>
      <c r="AA426" t="str">
        <f t="shared" si="55"/>
        <v>Unique</v>
      </c>
    </row>
    <row r="427" spans="1:27" x14ac:dyDescent="0.3">
      <c r="A427">
        <v>426</v>
      </c>
      <c r="B427">
        <v>1945591.57819458</v>
      </c>
      <c r="C427">
        <v>0.85823927991857896</v>
      </c>
      <c r="D427">
        <v>6.7999989314608406E-2</v>
      </c>
      <c r="E427">
        <v>0.59912505917885095</v>
      </c>
      <c r="F427">
        <v>1</v>
      </c>
      <c r="G427" t="s">
        <v>13</v>
      </c>
      <c r="H427">
        <v>0</v>
      </c>
      <c r="I427">
        <v>1165652.6694237001</v>
      </c>
      <c r="J427">
        <v>0.400874940821148</v>
      </c>
      <c r="K427" t="str">
        <f t="shared" si="48"/>
        <v>OK</v>
      </c>
      <c r="L427" t="str">
        <f t="shared" si="49"/>
        <v>OK</v>
      </c>
      <c r="M427" t="str">
        <f>IF(OR(B427&lt;$AE$20,B427&gt;$AF$20),"Outlier","OK")</f>
        <v>OK</v>
      </c>
      <c r="N427" t="str">
        <f>IF(OR(J427&lt;$AE$21,J427&gt;$AF$21),"Outlier","OK")</f>
        <v>OK</v>
      </c>
      <c r="O427" t="str">
        <f>IF(OR(C427&lt;0,C427&gt;1),"Outlier","OK")</f>
        <v>OK</v>
      </c>
      <c r="P427" t="str">
        <f>IF(OR(D427&lt;0,D427&gt;1),"Outlier","OK")</f>
        <v>OK</v>
      </c>
      <c r="Q427" t="str">
        <f t="shared" si="50"/>
        <v>40-60%</v>
      </c>
      <c r="R427" t="str">
        <f>IF(B427="","Missing","OK")</f>
        <v>OK</v>
      </c>
      <c r="S427" t="str">
        <f>IF(E427="","Missing","OK")</f>
        <v>OK</v>
      </c>
      <c r="T427" t="str">
        <f t="shared" si="51"/>
        <v>OK</v>
      </c>
      <c r="U427">
        <f>COUNTIF($A:$A,A427)</f>
        <v>1</v>
      </c>
      <c r="V427" t="str">
        <f t="shared" si="52"/>
        <v>OK</v>
      </c>
      <c r="W427" t="str">
        <f>IF(I427&gt;B427,"ERROR","OK")</f>
        <v>OK</v>
      </c>
      <c r="X427">
        <f>(B427-I427)/B427</f>
        <v>0.40087494082114994</v>
      </c>
      <c r="Y427" s="2">
        <f t="shared" si="53"/>
        <v>1.9428902930940239E-15</v>
      </c>
      <c r="Z427" s="2" t="str">
        <f t="shared" si="54"/>
        <v>OK</v>
      </c>
      <c r="AA427" t="str">
        <f t="shared" si="55"/>
        <v>Unique</v>
      </c>
    </row>
    <row r="428" spans="1:27" x14ac:dyDescent="0.3">
      <c r="A428">
        <v>427</v>
      </c>
      <c r="B428">
        <v>1975334.64076926</v>
      </c>
      <c r="C428">
        <v>0.704323783317644</v>
      </c>
      <c r="D428">
        <v>8.0485714400485797E-2</v>
      </c>
      <c r="E428">
        <v>0.30359055910207</v>
      </c>
      <c r="F428">
        <v>1</v>
      </c>
      <c r="G428" t="s">
        <v>13</v>
      </c>
      <c r="H428">
        <v>0</v>
      </c>
      <c r="I428">
        <v>599692.94800482795</v>
      </c>
      <c r="J428">
        <v>0.696409440897929</v>
      </c>
      <c r="K428" t="str">
        <f t="shared" si="48"/>
        <v>OK</v>
      </c>
      <c r="L428" t="str">
        <f t="shared" si="49"/>
        <v>OK</v>
      </c>
      <c r="M428" t="str">
        <f>IF(OR(B428&lt;$AE$20,B428&gt;$AF$20),"Outlier","OK")</f>
        <v>OK</v>
      </c>
      <c r="N428" t="str">
        <f>IF(OR(J428&lt;$AE$21,J428&gt;$AF$21),"Outlier","OK")</f>
        <v>OK</v>
      </c>
      <c r="O428" t="str">
        <f>IF(OR(C428&lt;0,C428&gt;1),"Outlier","OK")</f>
        <v>OK</v>
      </c>
      <c r="P428" t="str">
        <f>IF(OR(D428&lt;0,D428&gt;1),"Outlier","OK")</f>
        <v>OK</v>
      </c>
      <c r="Q428" t="str">
        <f t="shared" si="50"/>
        <v>60-80%</v>
      </c>
      <c r="R428" t="str">
        <f>IF(B428="","Missing","OK")</f>
        <v>OK</v>
      </c>
      <c r="S428" t="str">
        <f>IF(E428="","Missing","OK")</f>
        <v>OK</v>
      </c>
      <c r="T428" t="str">
        <f t="shared" si="51"/>
        <v>OK</v>
      </c>
      <c r="U428">
        <f>COUNTIF($A:$A,A428)</f>
        <v>1</v>
      </c>
      <c r="V428" t="str">
        <f t="shared" si="52"/>
        <v>OK</v>
      </c>
      <c r="W428" t="str">
        <f>IF(I428&gt;B428,"ERROR","OK")</f>
        <v>OK</v>
      </c>
      <c r="X428">
        <f>(B428-I428)/B428</f>
        <v>0.69640944089792922</v>
      </c>
      <c r="Y428" s="2">
        <f t="shared" si="53"/>
        <v>2.2204460492503131E-16</v>
      </c>
      <c r="Z428" s="2" t="str">
        <f t="shared" si="54"/>
        <v>OK</v>
      </c>
      <c r="AA428" t="str">
        <f t="shared" si="55"/>
        <v>Unique</v>
      </c>
    </row>
    <row r="429" spans="1:27" x14ac:dyDescent="0.3">
      <c r="A429">
        <v>428</v>
      </c>
      <c r="B429">
        <v>846887.26080426702</v>
      </c>
      <c r="C429">
        <v>0.65213026761562098</v>
      </c>
      <c r="D429">
        <v>-1.7006837257912698E-2</v>
      </c>
      <c r="E429">
        <v>0.464837373156747</v>
      </c>
      <c r="F429">
        <v>1</v>
      </c>
      <c r="G429" t="s">
        <v>10</v>
      </c>
      <c r="H429">
        <v>1</v>
      </c>
      <c r="I429">
        <v>393664.84967216902</v>
      </c>
      <c r="J429">
        <v>0.535162626843252</v>
      </c>
      <c r="K429" t="str">
        <f t="shared" si="48"/>
        <v>OK</v>
      </c>
      <c r="L429" t="str">
        <f t="shared" si="49"/>
        <v>OK</v>
      </c>
      <c r="M429" t="str">
        <f>IF(OR(B429&lt;$AE$20,B429&gt;$AF$20),"Outlier","OK")</f>
        <v>OK</v>
      </c>
      <c r="N429" t="str">
        <f>IF(OR(J429&lt;$AE$21,J429&gt;$AF$21),"Outlier","OK")</f>
        <v>OK</v>
      </c>
      <c r="O429" t="str">
        <f>IF(OR(C429&lt;0,C429&gt;1),"Outlier","OK")</f>
        <v>OK</v>
      </c>
      <c r="P429" t="str">
        <f>IF(OR(D429&lt;0,D429&gt;1),"Outlier","OK")</f>
        <v>Outlier</v>
      </c>
      <c r="Q429" t="str">
        <f t="shared" si="50"/>
        <v>40-60%</v>
      </c>
      <c r="R429" t="str">
        <f>IF(B429="","Missing","OK")</f>
        <v>OK</v>
      </c>
      <c r="S429" t="str">
        <f>IF(E429="","Missing","OK")</f>
        <v>OK</v>
      </c>
      <c r="T429" t="str">
        <f t="shared" si="51"/>
        <v>OK</v>
      </c>
      <c r="U429">
        <f>COUNTIF($A:$A,A429)</f>
        <v>1</v>
      </c>
      <c r="V429" t="str">
        <f t="shared" si="52"/>
        <v>OK</v>
      </c>
      <c r="W429" t="str">
        <f>IF(I429&gt;B429,"ERROR","OK")</f>
        <v>OK</v>
      </c>
      <c r="X429">
        <f>(B429-I429)/B429</f>
        <v>0.53516262684325222</v>
      </c>
      <c r="Y429" s="2">
        <f t="shared" si="53"/>
        <v>2.2204460492503131E-16</v>
      </c>
      <c r="Z429" s="2" t="str">
        <f t="shared" si="54"/>
        <v>OK</v>
      </c>
      <c r="AA429" t="str">
        <f t="shared" si="55"/>
        <v>Unique</v>
      </c>
    </row>
    <row r="430" spans="1:27" x14ac:dyDescent="0.3">
      <c r="A430">
        <v>429</v>
      </c>
      <c r="B430">
        <v>1329050.0506325201</v>
      </c>
      <c r="C430">
        <v>0.34713357234041903</v>
      </c>
      <c r="D430">
        <v>4.0225213242859E-2</v>
      </c>
      <c r="E430">
        <v>0.25045550055618698</v>
      </c>
      <c r="F430">
        <v>1</v>
      </c>
      <c r="G430" t="s">
        <v>12</v>
      </c>
      <c r="H430">
        <v>0</v>
      </c>
      <c r="I430">
        <v>332867.89569539501</v>
      </c>
      <c r="J430">
        <v>0.74954449944381196</v>
      </c>
      <c r="K430" t="str">
        <f t="shared" si="48"/>
        <v>OK</v>
      </c>
      <c r="L430" t="str">
        <f t="shared" si="49"/>
        <v>OK</v>
      </c>
      <c r="M430" t="str">
        <f>IF(OR(B430&lt;$AE$20,B430&gt;$AF$20),"Outlier","OK")</f>
        <v>OK</v>
      </c>
      <c r="N430" t="str">
        <f>IF(OR(J430&lt;$AE$21,J430&gt;$AF$21),"Outlier","OK")</f>
        <v>OK</v>
      </c>
      <c r="O430" t="str">
        <f>IF(OR(C430&lt;0,C430&gt;1),"Outlier","OK")</f>
        <v>OK</v>
      </c>
      <c r="P430" t="str">
        <f>IF(OR(D430&lt;0,D430&gt;1),"Outlier","OK")</f>
        <v>OK</v>
      </c>
      <c r="Q430" t="str">
        <f t="shared" si="50"/>
        <v>60-80%</v>
      </c>
      <c r="R430" t="str">
        <f>IF(B430="","Missing","OK")</f>
        <v>OK</v>
      </c>
      <c r="S430" t="str">
        <f>IF(E430="","Missing","OK")</f>
        <v>OK</v>
      </c>
      <c r="T430" t="str">
        <f t="shared" si="51"/>
        <v>OK</v>
      </c>
      <c r="U430">
        <f>COUNTIF($A:$A,A430)</f>
        <v>1</v>
      </c>
      <c r="V430" t="str">
        <f t="shared" si="52"/>
        <v>OK</v>
      </c>
      <c r="W430" t="str">
        <f>IF(I430&gt;B430,"ERROR","OK")</f>
        <v>OK</v>
      </c>
      <c r="X430">
        <f>(B430-I430)/B430</f>
        <v>0.74954449944381185</v>
      </c>
      <c r="Y430" s="2">
        <f t="shared" si="53"/>
        <v>1.1102230246251565E-16</v>
      </c>
      <c r="Z430" s="2" t="str">
        <f t="shared" si="54"/>
        <v>OK</v>
      </c>
      <c r="AA430" t="str">
        <f t="shared" si="55"/>
        <v>Unique</v>
      </c>
    </row>
    <row r="431" spans="1:27" x14ac:dyDescent="0.3">
      <c r="A431">
        <v>430</v>
      </c>
      <c r="B431">
        <v>841023.73697989399</v>
      </c>
      <c r="C431">
        <v>0.41493592537884899</v>
      </c>
      <c r="D431">
        <v>-0.110695673632678</v>
      </c>
      <c r="E431">
        <v>0.101825165115802</v>
      </c>
      <c r="F431">
        <v>1</v>
      </c>
      <c r="G431" t="s">
        <v>13</v>
      </c>
      <c r="H431">
        <v>1</v>
      </c>
      <c r="I431">
        <v>85637.3808842867</v>
      </c>
      <c r="J431">
        <v>0.89817483488419703</v>
      </c>
      <c r="K431" t="str">
        <f t="shared" si="48"/>
        <v>OK</v>
      </c>
      <c r="L431" t="str">
        <f t="shared" si="49"/>
        <v>OK</v>
      </c>
      <c r="M431" t="str">
        <f>IF(OR(B431&lt;$AE$20,B431&gt;$AF$20),"Outlier","OK")</f>
        <v>OK</v>
      </c>
      <c r="N431" t="str">
        <f>IF(OR(J431&lt;$AE$21,J431&gt;$AF$21),"Outlier","OK")</f>
        <v>OK</v>
      </c>
      <c r="O431" t="str">
        <f>IF(OR(C431&lt;0,C431&gt;1),"Outlier","OK")</f>
        <v>OK</v>
      </c>
      <c r="P431" t="str">
        <f>IF(OR(D431&lt;0,D431&gt;1),"Outlier","OK")</f>
        <v>Outlier</v>
      </c>
      <c r="Q431" t="str">
        <f t="shared" si="50"/>
        <v>80-100%</v>
      </c>
      <c r="R431" t="str">
        <f>IF(B431="","Missing","OK")</f>
        <v>OK</v>
      </c>
      <c r="S431" t="str">
        <f>IF(E431="","Missing","OK")</f>
        <v>OK</v>
      </c>
      <c r="T431" t="str">
        <f t="shared" si="51"/>
        <v>OK</v>
      </c>
      <c r="U431">
        <f>COUNTIF($A:$A,A431)</f>
        <v>1</v>
      </c>
      <c r="V431" t="str">
        <f t="shared" si="52"/>
        <v>OK</v>
      </c>
      <c r="W431" t="str">
        <f>IF(I431&gt;B431,"ERROR","OK")</f>
        <v>OK</v>
      </c>
      <c r="X431">
        <f>(B431-I431)/B431</f>
        <v>0.8981748348841978</v>
      </c>
      <c r="Y431" s="2">
        <f t="shared" si="53"/>
        <v>7.7715611723760958E-16</v>
      </c>
      <c r="Z431" s="2" t="str">
        <f t="shared" si="54"/>
        <v>OK</v>
      </c>
      <c r="AA431" t="str">
        <f t="shared" si="55"/>
        <v>Unique</v>
      </c>
    </row>
    <row r="432" spans="1:27" x14ac:dyDescent="0.3">
      <c r="A432">
        <v>431</v>
      </c>
      <c r="B432">
        <v>551828.80619411299</v>
      </c>
      <c r="C432">
        <v>0.879236275357136</v>
      </c>
      <c r="D432">
        <v>8.4975428960631302E-2</v>
      </c>
      <c r="E432">
        <v>0.50738939266167704</v>
      </c>
      <c r="F432">
        <v>1</v>
      </c>
      <c r="G432" t="s">
        <v>13</v>
      </c>
      <c r="H432">
        <v>0</v>
      </c>
      <c r="I432">
        <v>279992.08282804902</v>
      </c>
      <c r="J432">
        <v>0.49261060733832202</v>
      </c>
      <c r="K432" t="str">
        <f t="shared" si="48"/>
        <v>OK</v>
      </c>
      <c r="L432" t="str">
        <f t="shared" si="49"/>
        <v>OK</v>
      </c>
      <c r="M432" t="str">
        <f>IF(OR(B432&lt;$AE$20,B432&gt;$AF$20),"Outlier","OK")</f>
        <v>OK</v>
      </c>
      <c r="N432" t="str">
        <f>IF(OR(J432&lt;$AE$21,J432&gt;$AF$21),"Outlier","OK")</f>
        <v>OK</v>
      </c>
      <c r="O432" t="str">
        <f>IF(OR(C432&lt;0,C432&gt;1),"Outlier","OK")</f>
        <v>OK</v>
      </c>
      <c r="P432" t="str">
        <f>IF(OR(D432&lt;0,D432&gt;1),"Outlier","OK")</f>
        <v>OK</v>
      </c>
      <c r="Q432" t="str">
        <f t="shared" si="50"/>
        <v>40-60%</v>
      </c>
      <c r="R432" t="str">
        <f>IF(B432="","Missing","OK")</f>
        <v>OK</v>
      </c>
      <c r="S432" t="str">
        <f>IF(E432="","Missing","OK")</f>
        <v>OK</v>
      </c>
      <c r="T432" t="str">
        <f t="shared" si="51"/>
        <v>OK</v>
      </c>
      <c r="U432">
        <f>COUNTIF($A:$A,A432)</f>
        <v>1</v>
      </c>
      <c r="V432" t="str">
        <f t="shared" si="52"/>
        <v>OK</v>
      </c>
      <c r="W432" t="str">
        <f>IF(I432&gt;B432,"ERROR","OK")</f>
        <v>OK</v>
      </c>
      <c r="X432">
        <f>(B432-I432)/B432</f>
        <v>0.4926106073383234</v>
      </c>
      <c r="Y432" s="2">
        <f t="shared" si="53"/>
        <v>1.3877787807814457E-15</v>
      </c>
      <c r="Z432" s="2" t="str">
        <f t="shared" si="54"/>
        <v>OK</v>
      </c>
      <c r="AA432" t="str">
        <f t="shared" si="55"/>
        <v>Unique</v>
      </c>
    </row>
    <row r="433" spans="1:27" x14ac:dyDescent="0.3">
      <c r="A433">
        <v>432</v>
      </c>
      <c r="B433">
        <v>211172.71819974299</v>
      </c>
      <c r="C433">
        <v>0.305103367785094</v>
      </c>
      <c r="D433">
        <v>-6.7314560451796096E-2</v>
      </c>
      <c r="E433">
        <v>0.119469587935585</v>
      </c>
      <c r="F433">
        <v>1</v>
      </c>
      <c r="G433" t="s">
        <v>13</v>
      </c>
      <c r="H433">
        <v>0</v>
      </c>
      <c r="I433">
        <v>25228.7176265608</v>
      </c>
      <c r="J433">
        <v>0.88053041206441396</v>
      </c>
      <c r="K433" t="str">
        <f t="shared" si="48"/>
        <v>OK</v>
      </c>
      <c r="L433" t="str">
        <f t="shared" si="49"/>
        <v>OK</v>
      </c>
      <c r="M433" t="str">
        <f>IF(OR(B433&lt;$AE$20,B433&gt;$AF$20),"Outlier","OK")</f>
        <v>OK</v>
      </c>
      <c r="N433" t="str">
        <f>IF(OR(J433&lt;$AE$21,J433&gt;$AF$21),"Outlier","OK")</f>
        <v>OK</v>
      </c>
      <c r="O433" t="str">
        <f>IF(OR(C433&lt;0,C433&gt;1),"Outlier","OK")</f>
        <v>OK</v>
      </c>
      <c r="P433" t="str">
        <f>IF(OR(D433&lt;0,D433&gt;1),"Outlier","OK")</f>
        <v>Outlier</v>
      </c>
      <c r="Q433" t="str">
        <f t="shared" si="50"/>
        <v>80-100%</v>
      </c>
      <c r="R433" t="str">
        <f>IF(B433="","Missing","OK")</f>
        <v>OK</v>
      </c>
      <c r="S433" t="str">
        <f>IF(E433="","Missing","OK")</f>
        <v>OK</v>
      </c>
      <c r="T433" t="str">
        <f t="shared" si="51"/>
        <v>OK</v>
      </c>
      <c r="U433">
        <f>COUNTIF($A:$A,A433)</f>
        <v>1</v>
      </c>
      <c r="V433" t="str">
        <f t="shared" si="52"/>
        <v>OK</v>
      </c>
      <c r="W433" t="str">
        <f>IF(I433&gt;B433,"ERROR","OK")</f>
        <v>OK</v>
      </c>
      <c r="X433">
        <f>(B433-I433)/B433</f>
        <v>0.88053041206441451</v>
      </c>
      <c r="Y433" s="2">
        <f t="shared" si="53"/>
        <v>5.5511151231257827E-16</v>
      </c>
      <c r="Z433" s="2" t="str">
        <f t="shared" si="54"/>
        <v>OK</v>
      </c>
      <c r="AA433" t="str">
        <f t="shared" si="55"/>
        <v>Unique</v>
      </c>
    </row>
    <row r="434" spans="1:27" x14ac:dyDescent="0.3">
      <c r="A434">
        <v>433</v>
      </c>
      <c r="B434">
        <v>564040.17492977204</v>
      </c>
      <c r="C434">
        <v>0.244797055290882</v>
      </c>
      <c r="D434">
        <v>4.9931677238599002E-2</v>
      </c>
      <c r="E434">
        <v>0.16929328297401</v>
      </c>
      <c r="F434">
        <v>1</v>
      </c>
      <c r="G434" t="s">
        <v>10</v>
      </c>
      <c r="H434">
        <v>1</v>
      </c>
      <c r="I434">
        <v>95488.2129430965</v>
      </c>
      <c r="J434">
        <v>0.83070671702598897</v>
      </c>
      <c r="K434" t="str">
        <f t="shared" si="48"/>
        <v>OK</v>
      </c>
      <c r="L434" t="str">
        <f t="shared" si="49"/>
        <v>OK</v>
      </c>
      <c r="M434" t="str">
        <f>IF(OR(B434&lt;$AE$20,B434&gt;$AF$20),"Outlier","OK")</f>
        <v>OK</v>
      </c>
      <c r="N434" t="str">
        <f>IF(OR(J434&lt;$AE$21,J434&gt;$AF$21),"Outlier","OK")</f>
        <v>OK</v>
      </c>
      <c r="O434" t="str">
        <f>IF(OR(C434&lt;0,C434&gt;1),"Outlier","OK")</f>
        <v>OK</v>
      </c>
      <c r="P434" t="str">
        <f>IF(OR(D434&lt;0,D434&gt;1),"Outlier","OK")</f>
        <v>OK</v>
      </c>
      <c r="Q434" t="str">
        <f t="shared" si="50"/>
        <v>80-100%</v>
      </c>
      <c r="R434" t="str">
        <f>IF(B434="","Missing","OK")</f>
        <v>OK</v>
      </c>
      <c r="S434" t="str">
        <f>IF(E434="","Missing","OK")</f>
        <v>OK</v>
      </c>
      <c r="T434" t="str">
        <f t="shared" si="51"/>
        <v>OK</v>
      </c>
      <c r="U434">
        <f>COUNTIF($A:$A,A434)</f>
        <v>1</v>
      </c>
      <c r="V434" t="str">
        <f t="shared" si="52"/>
        <v>OK</v>
      </c>
      <c r="W434" t="str">
        <f>IF(I434&gt;B434,"ERROR","OK")</f>
        <v>OK</v>
      </c>
      <c r="X434">
        <f>(B434-I434)/B434</f>
        <v>0.83070671702598908</v>
      </c>
      <c r="Y434" s="2">
        <f t="shared" si="53"/>
        <v>1.1102230246251565E-16</v>
      </c>
      <c r="Z434" s="2" t="str">
        <f t="shared" si="54"/>
        <v>OK</v>
      </c>
      <c r="AA434" t="str">
        <f t="shared" si="55"/>
        <v>Unique</v>
      </c>
    </row>
    <row r="435" spans="1:27" x14ac:dyDescent="0.3">
      <c r="A435">
        <v>434</v>
      </c>
      <c r="B435">
        <v>579385.714344003</v>
      </c>
      <c r="C435">
        <v>0.391298439047156</v>
      </c>
      <c r="D435">
        <v>-0.100715645295059</v>
      </c>
      <c r="E435">
        <v>0.383705110473813</v>
      </c>
      <c r="F435">
        <v>1</v>
      </c>
      <c r="G435" t="s">
        <v>11</v>
      </c>
      <c r="H435">
        <v>1</v>
      </c>
      <c r="I435">
        <v>222313.25952931499</v>
      </c>
      <c r="J435">
        <v>0.61629488952618605</v>
      </c>
      <c r="K435" t="str">
        <f t="shared" si="48"/>
        <v>OK</v>
      </c>
      <c r="L435" t="str">
        <f t="shared" si="49"/>
        <v>OK</v>
      </c>
      <c r="M435" t="str">
        <f>IF(OR(B435&lt;$AE$20,B435&gt;$AF$20),"Outlier","OK")</f>
        <v>OK</v>
      </c>
      <c r="N435" t="str">
        <f>IF(OR(J435&lt;$AE$21,J435&gt;$AF$21),"Outlier","OK")</f>
        <v>OK</v>
      </c>
      <c r="O435" t="str">
        <f>IF(OR(C435&lt;0,C435&gt;1),"Outlier","OK")</f>
        <v>OK</v>
      </c>
      <c r="P435" t="str">
        <f>IF(OR(D435&lt;0,D435&gt;1),"Outlier","OK")</f>
        <v>Outlier</v>
      </c>
      <c r="Q435" t="str">
        <f t="shared" si="50"/>
        <v>60-80%</v>
      </c>
      <c r="R435" t="str">
        <f>IF(B435="","Missing","OK")</f>
        <v>OK</v>
      </c>
      <c r="S435" t="str">
        <f>IF(E435="","Missing","OK")</f>
        <v>OK</v>
      </c>
      <c r="T435" t="str">
        <f t="shared" si="51"/>
        <v>OK</v>
      </c>
      <c r="U435">
        <f>COUNTIF($A:$A,A435)</f>
        <v>1</v>
      </c>
      <c r="V435" t="str">
        <f t="shared" si="52"/>
        <v>OK</v>
      </c>
      <c r="W435" t="str">
        <f>IF(I435&gt;B435,"ERROR","OK")</f>
        <v>OK</v>
      </c>
      <c r="X435">
        <f>(B435-I435)/B435</f>
        <v>0.61629488952618661</v>
      </c>
      <c r="Y435" s="2">
        <f t="shared" si="53"/>
        <v>5.5511151231257827E-16</v>
      </c>
      <c r="Z435" s="2" t="str">
        <f t="shared" si="54"/>
        <v>OK</v>
      </c>
      <c r="AA435" t="str">
        <f t="shared" si="55"/>
        <v>Unique</v>
      </c>
    </row>
    <row r="436" spans="1:27" x14ac:dyDescent="0.3">
      <c r="A436">
        <v>435</v>
      </c>
      <c r="B436">
        <v>827346.20538212196</v>
      </c>
      <c r="C436">
        <v>0.10872743057383</v>
      </c>
      <c r="D436">
        <v>0.19443893357877001</v>
      </c>
      <c r="E436">
        <v>0.422030739553998</v>
      </c>
      <c r="F436">
        <v>1</v>
      </c>
      <c r="G436" t="s">
        <v>10</v>
      </c>
      <c r="H436">
        <v>1</v>
      </c>
      <c r="I436">
        <v>349165.53092461103</v>
      </c>
      <c r="J436">
        <v>0.57796926044600105</v>
      </c>
      <c r="K436" t="str">
        <f t="shared" si="48"/>
        <v>OK</v>
      </c>
      <c r="L436" t="str">
        <f t="shared" si="49"/>
        <v>OK</v>
      </c>
      <c r="M436" t="str">
        <f>IF(OR(B436&lt;$AE$20,B436&gt;$AF$20),"Outlier","OK")</f>
        <v>OK</v>
      </c>
      <c r="N436" t="str">
        <f>IF(OR(J436&lt;$AE$21,J436&gt;$AF$21),"Outlier","OK")</f>
        <v>OK</v>
      </c>
      <c r="O436" t="str">
        <f>IF(OR(C436&lt;0,C436&gt;1),"Outlier","OK")</f>
        <v>OK</v>
      </c>
      <c r="P436" t="str">
        <f>IF(OR(D436&lt;0,D436&gt;1),"Outlier","OK")</f>
        <v>OK</v>
      </c>
      <c r="Q436" t="str">
        <f t="shared" si="50"/>
        <v>40-60%</v>
      </c>
      <c r="R436" t="str">
        <f>IF(B436="","Missing","OK")</f>
        <v>OK</v>
      </c>
      <c r="S436" t="str">
        <f>IF(E436="","Missing","OK")</f>
        <v>OK</v>
      </c>
      <c r="T436" t="str">
        <f t="shared" si="51"/>
        <v>OK</v>
      </c>
      <c r="U436">
        <f>COUNTIF($A:$A,A436)</f>
        <v>1</v>
      </c>
      <c r="V436" t="str">
        <f t="shared" si="52"/>
        <v>OK</v>
      </c>
      <c r="W436" t="str">
        <f>IF(I436&gt;B436,"ERROR","OK")</f>
        <v>OK</v>
      </c>
      <c r="X436">
        <f>(B436-I436)/B436</f>
        <v>0.57796926044600183</v>
      </c>
      <c r="Y436" s="2">
        <f t="shared" si="53"/>
        <v>7.7715611723760958E-16</v>
      </c>
      <c r="Z436" s="2" t="str">
        <f t="shared" si="54"/>
        <v>OK</v>
      </c>
      <c r="AA436" t="str">
        <f t="shared" si="55"/>
        <v>Unique</v>
      </c>
    </row>
    <row r="437" spans="1:27" x14ac:dyDescent="0.3">
      <c r="A437">
        <v>436</v>
      </c>
      <c r="B437">
        <v>410527.76049935102</v>
      </c>
      <c r="C437">
        <v>0.755693158211726</v>
      </c>
      <c r="D437">
        <v>-7.5190863151826604E-2</v>
      </c>
      <c r="E437">
        <v>0.476643348329987</v>
      </c>
      <c r="F437">
        <v>1</v>
      </c>
      <c r="G437" t="s">
        <v>11</v>
      </c>
      <c r="H437">
        <v>0</v>
      </c>
      <c r="I437">
        <v>195675.326346822</v>
      </c>
      <c r="J437">
        <v>0.523356651670012</v>
      </c>
      <c r="K437" t="str">
        <f t="shared" si="48"/>
        <v>OK</v>
      </c>
      <c r="L437" t="str">
        <f t="shared" si="49"/>
        <v>OK</v>
      </c>
      <c r="M437" t="str">
        <f>IF(OR(B437&lt;$AE$20,B437&gt;$AF$20),"Outlier","OK")</f>
        <v>OK</v>
      </c>
      <c r="N437" t="str">
        <f>IF(OR(J437&lt;$AE$21,J437&gt;$AF$21),"Outlier","OK")</f>
        <v>OK</v>
      </c>
      <c r="O437" t="str">
        <f>IF(OR(C437&lt;0,C437&gt;1),"Outlier","OK")</f>
        <v>OK</v>
      </c>
      <c r="P437" t="str">
        <f>IF(OR(D437&lt;0,D437&gt;1),"Outlier","OK")</f>
        <v>Outlier</v>
      </c>
      <c r="Q437" t="str">
        <f t="shared" si="50"/>
        <v>40-60%</v>
      </c>
      <c r="R437" t="str">
        <f>IF(B437="","Missing","OK")</f>
        <v>OK</v>
      </c>
      <c r="S437" t="str">
        <f>IF(E437="","Missing","OK")</f>
        <v>OK</v>
      </c>
      <c r="T437" t="str">
        <f t="shared" si="51"/>
        <v>OK</v>
      </c>
      <c r="U437">
        <f>COUNTIF($A:$A,A437)</f>
        <v>1</v>
      </c>
      <c r="V437" t="str">
        <f t="shared" si="52"/>
        <v>OK</v>
      </c>
      <c r="W437" t="str">
        <f>IF(I437&gt;B437,"ERROR","OK")</f>
        <v>OK</v>
      </c>
      <c r="X437">
        <f>(B437-I437)/B437</f>
        <v>0.52335665167001211</v>
      </c>
      <c r="Y437" s="2">
        <f t="shared" si="53"/>
        <v>1.1102230246251565E-16</v>
      </c>
      <c r="Z437" s="2" t="str">
        <f t="shared" si="54"/>
        <v>OK</v>
      </c>
      <c r="AA437" t="str">
        <f t="shared" si="55"/>
        <v>Unique</v>
      </c>
    </row>
    <row r="438" spans="1:27" x14ac:dyDescent="0.3">
      <c r="A438">
        <v>437</v>
      </c>
      <c r="B438">
        <v>1909945.88646322</v>
      </c>
      <c r="C438">
        <v>0.13205151840936899</v>
      </c>
      <c r="D438">
        <v>0.19353982257587701</v>
      </c>
      <c r="E438">
        <v>9.8197261899869201E-2</v>
      </c>
      <c r="F438">
        <v>1</v>
      </c>
      <c r="G438" t="s">
        <v>11</v>
      </c>
      <c r="H438">
        <v>1</v>
      </c>
      <c r="I438">
        <v>187551.45642760699</v>
      </c>
      <c r="J438">
        <v>0.90180273810013001</v>
      </c>
      <c r="K438" t="str">
        <f t="shared" si="48"/>
        <v>OK</v>
      </c>
      <c r="L438" t="str">
        <f t="shared" si="49"/>
        <v>OK</v>
      </c>
      <c r="M438" t="str">
        <f>IF(OR(B438&lt;$AE$20,B438&gt;$AF$20),"Outlier","OK")</f>
        <v>OK</v>
      </c>
      <c r="N438" t="str">
        <f>IF(OR(J438&lt;$AE$21,J438&gt;$AF$21),"Outlier","OK")</f>
        <v>OK</v>
      </c>
      <c r="O438" t="str">
        <f>IF(OR(C438&lt;0,C438&gt;1),"Outlier","OK")</f>
        <v>OK</v>
      </c>
      <c r="P438" t="str">
        <f>IF(OR(D438&lt;0,D438&gt;1),"Outlier","OK")</f>
        <v>OK</v>
      </c>
      <c r="Q438" t="str">
        <f t="shared" si="50"/>
        <v>80-100%</v>
      </c>
      <c r="R438" t="str">
        <f>IF(B438="","Missing","OK")</f>
        <v>OK</v>
      </c>
      <c r="S438" t="str">
        <f>IF(E438="","Missing","OK")</f>
        <v>OK</v>
      </c>
      <c r="T438" t="str">
        <f t="shared" si="51"/>
        <v>OK</v>
      </c>
      <c r="U438">
        <f>COUNTIF($A:$A,A438)</f>
        <v>1</v>
      </c>
      <c r="V438" t="str">
        <f t="shared" si="52"/>
        <v>OK</v>
      </c>
      <c r="W438" t="str">
        <f>IF(I438&gt;B438,"ERROR","OK")</f>
        <v>OK</v>
      </c>
      <c r="X438">
        <f>(B438-I438)/B438</f>
        <v>0.90180273810013067</v>
      </c>
      <c r="Y438" s="2">
        <f t="shared" si="53"/>
        <v>6.6613381477509392E-16</v>
      </c>
      <c r="Z438" s="2" t="str">
        <f t="shared" si="54"/>
        <v>OK</v>
      </c>
      <c r="AA438" t="str">
        <f t="shared" si="55"/>
        <v>Unique</v>
      </c>
    </row>
    <row r="439" spans="1:27" x14ac:dyDescent="0.3">
      <c r="A439">
        <v>438</v>
      </c>
      <c r="B439">
        <v>250615.776493257</v>
      </c>
      <c r="C439">
        <v>0.64903044758120498</v>
      </c>
      <c r="D439">
        <v>-0.17270866784278999</v>
      </c>
      <c r="E439">
        <v>0.54860372649390299</v>
      </c>
      <c r="F439">
        <v>1</v>
      </c>
      <c r="G439" t="s">
        <v>13</v>
      </c>
      <c r="H439">
        <v>0</v>
      </c>
      <c r="I439">
        <v>137488.74890236399</v>
      </c>
      <c r="J439">
        <v>0.45139627350609601</v>
      </c>
      <c r="K439" t="str">
        <f t="shared" si="48"/>
        <v>OK</v>
      </c>
      <c r="L439" t="str">
        <f t="shared" si="49"/>
        <v>OK</v>
      </c>
      <c r="M439" t="str">
        <f>IF(OR(B439&lt;$AE$20,B439&gt;$AF$20),"Outlier","OK")</f>
        <v>OK</v>
      </c>
      <c r="N439" t="str">
        <f>IF(OR(J439&lt;$AE$21,J439&gt;$AF$21),"Outlier","OK")</f>
        <v>OK</v>
      </c>
      <c r="O439" t="str">
        <f>IF(OR(C439&lt;0,C439&gt;1),"Outlier","OK")</f>
        <v>OK</v>
      </c>
      <c r="P439" t="str">
        <f>IF(OR(D439&lt;0,D439&gt;1),"Outlier","OK")</f>
        <v>Outlier</v>
      </c>
      <c r="Q439" t="str">
        <f t="shared" si="50"/>
        <v>40-60%</v>
      </c>
      <c r="R439" t="str">
        <f>IF(B439="","Missing","OK")</f>
        <v>OK</v>
      </c>
      <c r="S439" t="str">
        <f>IF(E439="","Missing","OK")</f>
        <v>OK</v>
      </c>
      <c r="T439" t="str">
        <f t="shared" si="51"/>
        <v>OK</v>
      </c>
      <c r="U439">
        <f>COUNTIF($A:$A,A439)</f>
        <v>1</v>
      </c>
      <c r="V439" t="str">
        <f t="shared" si="52"/>
        <v>OK</v>
      </c>
      <c r="W439" t="str">
        <f>IF(I439&gt;B439,"ERROR","OK")</f>
        <v>OK</v>
      </c>
      <c r="X439">
        <f>(B439-I439)/B439</f>
        <v>0.45139627350609657</v>
      </c>
      <c r="Y439" s="2">
        <f t="shared" si="53"/>
        <v>5.5511151231257827E-16</v>
      </c>
      <c r="Z439" s="2" t="str">
        <f t="shared" si="54"/>
        <v>OK</v>
      </c>
      <c r="AA439" t="str">
        <f t="shared" si="55"/>
        <v>Unique</v>
      </c>
    </row>
    <row r="440" spans="1:27" x14ac:dyDescent="0.3">
      <c r="A440">
        <v>439</v>
      </c>
      <c r="B440">
        <v>1269156.6396206601</v>
      </c>
      <c r="C440">
        <v>0.66231516165300797</v>
      </c>
      <c r="D440">
        <v>-5.6558194617997E-2</v>
      </c>
      <c r="E440">
        <v>0.222195116845704</v>
      </c>
      <c r="F440">
        <v>1</v>
      </c>
      <c r="G440" t="s">
        <v>10</v>
      </c>
      <c r="H440">
        <v>1</v>
      </c>
      <c r="I440">
        <v>282000.407836014</v>
      </c>
      <c r="J440">
        <v>0.77780488315429497</v>
      </c>
      <c r="K440" t="str">
        <f t="shared" si="48"/>
        <v>OK</v>
      </c>
      <c r="L440" t="str">
        <f t="shared" si="49"/>
        <v>OK</v>
      </c>
      <c r="M440" t="str">
        <f>IF(OR(B440&lt;$AE$20,B440&gt;$AF$20),"Outlier","OK")</f>
        <v>OK</v>
      </c>
      <c r="N440" t="str">
        <f>IF(OR(J440&lt;$AE$21,J440&gt;$AF$21),"Outlier","OK")</f>
        <v>OK</v>
      </c>
      <c r="O440" t="str">
        <f>IF(OR(C440&lt;0,C440&gt;1),"Outlier","OK")</f>
        <v>OK</v>
      </c>
      <c r="P440" t="str">
        <f>IF(OR(D440&lt;0,D440&gt;1),"Outlier","OK")</f>
        <v>Outlier</v>
      </c>
      <c r="Q440" t="str">
        <f t="shared" si="50"/>
        <v>60-80%</v>
      </c>
      <c r="R440" t="str">
        <f>IF(B440="","Missing","OK")</f>
        <v>OK</v>
      </c>
      <c r="S440" t="str">
        <f>IF(E440="","Missing","OK")</f>
        <v>OK</v>
      </c>
      <c r="T440" t="str">
        <f t="shared" si="51"/>
        <v>OK</v>
      </c>
      <c r="U440">
        <f>COUNTIF($A:$A,A440)</f>
        <v>1</v>
      </c>
      <c r="V440" t="str">
        <f t="shared" si="52"/>
        <v>OK</v>
      </c>
      <c r="W440" t="str">
        <f>IF(I440&gt;B440,"ERROR","OK")</f>
        <v>OK</v>
      </c>
      <c r="X440">
        <f>(B440-I440)/B440</f>
        <v>0.77780488315429575</v>
      </c>
      <c r="Y440" s="2">
        <f t="shared" si="53"/>
        <v>7.7715611723760958E-16</v>
      </c>
      <c r="Z440" s="2" t="str">
        <f t="shared" si="54"/>
        <v>OK</v>
      </c>
      <c r="AA440" t="str">
        <f t="shared" si="55"/>
        <v>Unique</v>
      </c>
    </row>
    <row r="441" spans="1:27" x14ac:dyDescent="0.3">
      <c r="A441">
        <v>440</v>
      </c>
      <c r="B441">
        <v>911309.90669013001</v>
      </c>
      <c r="C441">
        <v>0.33881918688170598</v>
      </c>
      <c r="D441">
        <v>-0.15081087355549699</v>
      </c>
      <c r="E441">
        <v>0.225037328163044</v>
      </c>
      <c r="F441">
        <v>1</v>
      </c>
      <c r="G441" t="s">
        <v>11</v>
      </c>
      <c r="H441">
        <v>0</v>
      </c>
      <c r="I441">
        <v>205078.74653005999</v>
      </c>
      <c r="J441">
        <v>0.774962671836955</v>
      </c>
      <c r="K441" t="str">
        <f t="shared" si="48"/>
        <v>OK</v>
      </c>
      <c r="L441" t="str">
        <f t="shared" si="49"/>
        <v>OK</v>
      </c>
      <c r="M441" t="str">
        <f>IF(OR(B441&lt;$AE$20,B441&gt;$AF$20),"Outlier","OK")</f>
        <v>OK</v>
      </c>
      <c r="N441" t="str">
        <f>IF(OR(J441&lt;$AE$21,J441&gt;$AF$21),"Outlier","OK")</f>
        <v>OK</v>
      </c>
      <c r="O441" t="str">
        <f>IF(OR(C441&lt;0,C441&gt;1),"Outlier","OK")</f>
        <v>OK</v>
      </c>
      <c r="P441" t="str">
        <f>IF(OR(D441&lt;0,D441&gt;1),"Outlier","OK")</f>
        <v>Outlier</v>
      </c>
      <c r="Q441" t="str">
        <f t="shared" si="50"/>
        <v>60-80%</v>
      </c>
      <c r="R441" t="str">
        <f>IF(B441="","Missing","OK")</f>
        <v>OK</v>
      </c>
      <c r="S441" t="str">
        <f>IF(E441="","Missing","OK")</f>
        <v>OK</v>
      </c>
      <c r="T441" t="str">
        <f t="shared" si="51"/>
        <v>OK</v>
      </c>
      <c r="U441">
        <f>COUNTIF($A:$A,A441)</f>
        <v>1</v>
      </c>
      <c r="V441" t="str">
        <f t="shared" si="52"/>
        <v>OK</v>
      </c>
      <c r="W441" t="str">
        <f>IF(I441&gt;B441,"ERROR","OK")</f>
        <v>OK</v>
      </c>
      <c r="X441">
        <f>(B441-I441)/B441</f>
        <v>0.77496267183695577</v>
      </c>
      <c r="Y441" s="2">
        <f t="shared" si="53"/>
        <v>7.7715611723760958E-16</v>
      </c>
      <c r="Z441" s="2" t="str">
        <f t="shared" si="54"/>
        <v>OK</v>
      </c>
      <c r="AA441" t="str">
        <f t="shared" si="55"/>
        <v>Unique</v>
      </c>
    </row>
    <row r="442" spans="1:27" x14ac:dyDescent="0.3">
      <c r="A442">
        <v>441</v>
      </c>
      <c r="B442">
        <v>875860.19550435594</v>
      </c>
      <c r="C442">
        <v>0.60118716269818995</v>
      </c>
      <c r="D442">
        <v>0.13826963488705299</v>
      </c>
      <c r="E442">
        <v>0.14680503459621</v>
      </c>
      <c r="F442">
        <v>1</v>
      </c>
      <c r="G442" t="s">
        <v>12</v>
      </c>
      <c r="H442">
        <v>1</v>
      </c>
      <c r="I442">
        <v>128580.68630246</v>
      </c>
      <c r="J442">
        <v>0.85319496540379003</v>
      </c>
      <c r="K442" t="str">
        <f t="shared" si="48"/>
        <v>OK</v>
      </c>
      <c r="L442" t="str">
        <f t="shared" si="49"/>
        <v>OK</v>
      </c>
      <c r="M442" t="str">
        <f>IF(OR(B442&lt;$AE$20,B442&gt;$AF$20),"Outlier","OK")</f>
        <v>OK</v>
      </c>
      <c r="N442" t="str">
        <f>IF(OR(J442&lt;$AE$21,J442&gt;$AF$21),"Outlier","OK")</f>
        <v>OK</v>
      </c>
      <c r="O442" t="str">
        <f>IF(OR(C442&lt;0,C442&gt;1),"Outlier","OK")</f>
        <v>OK</v>
      </c>
      <c r="P442" t="str">
        <f>IF(OR(D442&lt;0,D442&gt;1),"Outlier","OK")</f>
        <v>OK</v>
      </c>
      <c r="Q442" t="str">
        <f t="shared" si="50"/>
        <v>80-100%</v>
      </c>
      <c r="R442" t="str">
        <f>IF(B442="","Missing","OK")</f>
        <v>OK</v>
      </c>
      <c r="S442" t="str">
        <f>IF(E442="","Missing","OK")</f>
        <v>OK</v>
      </c>
      <c r="T442" t="str">
        <f t="shared" si="51"/>
        <v>OK</v>
      </c>
      <c r="U442">
        <f>COUNTIF($A:$A,A442)</f>
        <v>1</v>
      </c>
      <c r="V442" t="str">
        <f t="shared" si="52"/>
        <v>OK</v>
      </c>
      <c r="W442" t="str">
        <f>IF(I442&gt;B442,"ERROR","OK")</f>
        <v>OK</v>
      </c>
      <c r="X442">
        <f>(B442-I442)/B442</f>
        <v>0.85319496540379025</v>
      </c>
      <c r="Y442" s="2">
        <f t="shared" si="53"/>
        <v>2.2204460492503131E-16</v>
      </c>
      <c r="Z442" s="2" t="str">
        <f t="shared" si="54"/>
        <v>OK</v>
      </c>
      <c r="AA442" t="str">
        <f t="shared" si="55"/>
        <v>Unique</v>
      </c>
    </row>
    <row r="443" spans="1:27" x14ac:dyDescent="0.3">
      <c r="A443">
        <v>442</v>
      </c>
      <c r="B443">
        <v>775383.97670234495</v>
      </c>
      <c r="C443">
        <v>0.81737182994339297</v>
      </c>
      <c r="D443">
        <v>0.154359231563935</v>
      </c>
      <c r="E443">
        <v>0.37224955227911499</v>
      </c>
      <c r="F443">
        <v>1</v>
      </c>
      <c r="G443" t="s">
        <v>13</v>
      </c>
      <c r="H443">
        <v>0</v>
      </c>
      <c r="I443">
        <v>288636.33817184798</v>
      </c>
      <c r="J443">
        <v>0.62775044772088395</v>
      </c>
      <c r="K443" t="str">
        <f t="shared" si="48"/>
        <v>OK</v>
      </c>
      <c r="L443" t="str">
        <f t="shared" si="49"/>
        <v>OK</v>
      </c>
      <c r="M443" t="str">
        <f>IF(OR(B443&lt;$AE$20,B443&gt;$AF$20),"Outlier","OK")</f>
        <v>OK</v>
      </c>
      <c r="N443" t="str">
        <f>IF(OR(J443&lt;$AE$21,J443&gt;$AF$21),"Outlier","OK")</f>
        <v>OK</v>
      </c>
      <c r="O443" t="str">
        <f>IF(OR(C443&lt;0,C443&gt;1),"Outlier","OK")</f>
        <v>OK</v>
      </c>
      <c r="P443" t="str">
        <f>IF(OR(D443&lt;0,D443&gt;1),"Outlier","OK")</f>
        <v>OK</v>
      </c>
      <c r="Q443" t="str">
        <f t="shared" si="50"/>
        <v>60-80%</v>
      </c>
      <c r="R443" t="str">
        <f>IF(B443="","Missing","OK")</f>
        <v>OK</v>
      </c>
      <c r="S443" t="str">
        <f>IF(E443="","Missing","OK")</f>
        <v>OK</v>
      </c>
      <c r="T443" t="str">
        <f t="shared" si="51"/>
        <v>OK</v>
      </c>
      <c r="U443">
        <f>COUNTIF($A:$A,A443)</f>
        <v>1</v>
      </c>
      <c r="V443" t="str">
        <f t="shared" si="52"/>
        <v>OK</v>
      </c>
      <c r="W443" t="str">
        <f>IF(I443&gt;B443,"ERROR","OK")</f>
        <v>OK</v>
      </c>
      <c r="X443">
        <f>(B443-I443)/B443</f>
        <v>0.62775044772088462</v>
      </c>
      <c r="Y443" s="2">
        <f t="shared" si="53"/>
        <v>6.6613381477509392E-16</v>
      </c>
      <c r="Z443" s="2" t="str">
        <f t="shared" si="54"/>
        <v>OK</v>
      </c>
      <c r="AA443" t="str">
        <f t="shared" si="55"/>
        <v>Unique</v>
      </c>
    </row>
    <row r="444" spans="1:27" x14ac:dyDescent="0.3">
      <c r="A444">
        <v>443</v>
      </c>
      <c r="B444">
        <v>1743213.68483626</v>
      </c>
      <c r="C444">
        <v>0.50728298282092099</v>
      </c>
      <c r="D444">
        <v>0.133923353080597</v>
      </c>
      <c r="E444">
        <v>0.35145186951117602</v>
      </c>
      <c r="F444">
        <v>1</v>
      </c>
      <c r="G444" t="s">
        <v>13</v>
      </c>
      <c r="H444">
        <v>0</v>
      </c>
      <c r="I444">
        <v>612655.70849317405</v>
      </c>
      <c r="J444">
        <v>0.64854813048882298</v>
      </c>
      <c r="K444" t="str">
        <f t="shared" si="48"/>
        <v>OK</v>
      </c>
      <c r="L444" t="str">
        <f t="shared" si="49"/>
        <v>OK</v>
      </c>
      <c r="M444" t="str">
        <f>IF(OR(B444&lt;$AE$20,B444&gt;$AF$20),"Outlier","OK")</f>
        <v>OK</v>
      </c>
      <c r="N444" t="str">
        <f>IF(OR(J444&lt;$AE$21,J444&gt;$AF$21),"Outlier","OK")</f>
        <v>OK</v>
      </c>
      <c r="O444" t="str">
        <f>IF(OR(C444&lt;0,C444&gt;1),"Outlier","OK")</f>
        <v>OK</v>
      </c>
      <c r="P444" t="str">
        <f>IF(OR(D444&lt;0,D444&gt;1),"Outlier","OK")</f>
        <v>OK</v>
      </c>
      <c r="Q444" t="str">
        <f t="shared" si="50"/>
        <v>60-80%</v>
      </c>
      <c r="R444" t="str">
        <f>IF(B444="","Missing","OK")</f>
        <v>OK</v>
      </c>
      <c r="S444" t="str">
        <f>IF(E444="","Missing","OK")</f>
        <v>OK</v>
      </c>
      <c r="T444" t="str">
        <f t="shared" si="51"/>
        <v>OK</v>
      </c>
      <c r="U444">
        <f>COUNTIF($A:$A,A444)</f>
        <v>1</v>
      </c>
      <c r="V444" t="str">
        <f t="shared" si="52"/>
        <v>OK</v>
      </c>
      <c r="W444" t="str">
        <f>IF(I444&gt;B444,"ERROR","OK")</f>
        <v>OK</v>
      </c>
      <c r="X444">
        <f>(B444-I444)/B444</f>
        <v>0.64854813048882143</v>
      </c>
      <c r="Y444" s="2">
        <f t="shared" si="53"/>
        <v>1.5543122344752192E-15</v>
      </c>
      <c r="Z444" s="2" t="str">
        <f t="shared" si="54"/>
        <v>OK</v>
      </c>
      <c r="AA444" t="str">
        <f t="shared" si="55"/>
        <v>Unique</v>
      </c>
    </row>
    <row r="445" spans="1:27" x14ac:dyDescent="0.3">
      <c r="A445">
        <v>444</v>
      </c>
      <c r="B445">
        <v>596930.11226127797</v>
      </c>
      <c r="C445">
        <v>0.24704099016804701</v>
      </c>
      <c r="D445">
        <v>-0.106115446438799</v>
      </c>
      <c r="E445">
        <v>8.9290715167870904E-2</v>
      </c>
      <c r="F445">
        <v>1</v>
      </c>
      <c r="G445" t="s">
        <v>12</v>
      </c>
      <c r="H445">
        <v>0</v>
      </c>
      <c r="I445">
        <v>53300.316629047098</v>
      </c>
      <c r="J445">
        <v>0.91070928483212898</v>
      </c>
      <c r="K445" t="str">
        <f t="shared" si="48"/>
        <v>OK</v>
      </c>
      <c r="L445" t="str">
        <f t="shared" si="49"/>
        <v>OK</v>
      </c>
      <c r="M445" t="str">
        <f>IF(OR(B445&lt;$AE$20,B445&gt;$AF$20),"Outlier","OK")</f>
        <v>OK</v>
      </c>
      <c r="N445" t="str">
        <f>IF(OR(J445&lt;$AE$21,J445&gt;$AF$21),"Outlier","OK")</f>
        <v>OK</v>
      </c>
      <c r="O445" t="str">
        <f>IF(OR(C445&lt;0,C445&gt;1),"Outlier","OK")</f>
        <v>OK</v>
      </c>
      <c r="P445" t="str">
        <f>IF(OR(D445&lt;0,D445&gt;1),"Outlier","OK")</f>
        <v>Outlier</v>
      </c>
      <c r="Q445" t="str">
        <f t="shared" si="50"/>
        <v>80-100%</v>
      </c>
      <c r="R445" t="str">
        <f>IF(B445="","Missing","OK")</f>
        <v>OK</v>
      </c>
      <c r="S445" t="str">
        <f>IF(E445="","Missing","OK")</f>
        <v>OK</v>
      </c>
      <c r="T445" t="str">
        <f t="shared" si="51"/>
        <v>OK</v>
      </c>
      <c r="U445">
        <f>COUNTIF($A:$A,A445)</f>
        <v>1</v>
      </c>
      <c r="V445" t="str">
        <f t="shared" si="52"/>
        <v>OK</v>
      </c>
      <c r="W445" t="str">
        <f>IF(I445&gt;B445,"ERROR","OK")</f>
        <v>OK</v>
      </c>
      <c r="X445">
        <f>(B445-I445)/B445</f>
        <v>0.91070928483212876</v>
      </c>
      <c r="Y445" s="2">
        <f t="shared" si="53"/>
        <v>2.2204460492503131E-16</v>
      </c>
      <c r="Z445" s="2" t="str">
        <f t="shared" si="54"/>
        <v>OK</v>
      </c>
      <c r="AA445" t="str">
        <f t="shared" si="55"/>
        <v>Unique</v>
      </c>
    </row>
    <row r="446" spans="1:27" x14ac:dyDescent="0.3">
      <c r="A446">
        <v>445</v>
      </c>
      <c r="B446">
        <v>90123.506917565406</v>
      </c>
      <c r="C446">
        <v>0.19448761454484001</v>
      </c>
      <c r="D446">
        <v>4.85754400988773E-2</v>
      </c>
      <c r="E446">
        <v>0.51245520719258597</v>
      </c>
      <c r="F446">
        <v>1</v>
      </c>
      <c r="G446" t="s">
        <v>11</v>
      </c>
      <c r="H446">
        <v>1</v>
      </c>
      <c r="I446">
        <v>46184.2604103634</v>
      </c>
      <c r="J446">
        <v>0.48754479280741397</v>
      </c>
      <c r="K446" t="str">
        <f t="shared" si="48"/>
        <v>OK</v>
      </c>
      <c r="L446" t="str">
        <f t="shared" si="49"/>
        <v>OK</v>
      </c>
      <c r="M446" t="str">
        <f>IF(OR(B446&lt;$AE$20,B446&gt;$AF$20),"Outlier","OK")</f>
        <v>OK</v>
      </c>
      <c r="N446" t="str">
        <f>IF(OR(J446&lt;$AE$21,J446&gt;$AF$21),"Outlier","OK")</f>
        <v>OK</v>
      </c>
      <c r="O446" t="str">
        <f>IF(OR(C446&lt;0,C446&gt;1),"Outlier","OK")</f>
        <v>OK</v>
      </c>
      <c r="P446" t="str">
        <f>IF(OR(D446&lt;0,D446&gt;1),"Outlier","OK")</f>
        <v>OK</v>
      </c>
      <c r="Q446" t="str">
        <f t="shared" si="50"/>
        <v>40-60%</v>
      </c>
      <c r="R446" t="str">
        <f>IF(B446="","Missing","OK")</f>
        <v>OK</v>
      </c>
      <c r="S446" t="str">
        <f>IF(E446="","Missing","OK")</f>
        <v>OK</v>
      </c>
      <c r="T446" t="str">
        <f t="shared" si="51"/>
        <v>OK</v>
      </c>
      <c r="U446">
        <f>COUNTIF($A:$A,A446)</f>
        <v>1</v>
      </c>
      <c r="V446" t="str">
        <f t="shared" si="52"/>
        <v>OK</v>
      </c>
      <c r="W446" t="str">
        <f>IF(I446&gt;B446,"ERROR","OK")</f>
        <v>OK</v>
      </c>
      <c r="X446">
        <f>(B446-I446)/B446</f>
        <v>0.48754479280741442</v>
      </c>
      <c r="Y446" s="2">
        <f t="shared" si="53"/>
        <v>4.4408920985006262E-16</v>
      </c>
      <c r="Z446" s="2" t="str">
        <f t="shared" si="54"/>
        <v>OK</v>
      </c>
      <c r="AA446" t="str">
        <f t="shared" si="55"/>
        <v>Unique</v>
      </c>
    </row>
    <row r="447" spans="1:27" x14ac:dyDescent="0.3">
      <c r="A447">
        <v>446</v>
      </c>
      <c r="B447">
        <v>1840289.1811202499</v>
      </c>
      <c r="C447">
        <v>0.54609807381676601</v>
      </c>
      <c r="D447">
        <v>-3.48112228748531E-4</v>
      </c>
      <c r="E447">
        <v>4.7780815578368302E-2</v>
      </c>
      <c r="F447">
        <v>1</v>
      </c>
      <c r="G447" t="s">
        <v>11</v>
      </c>
      <c r="H447">
        <v>0</v>
      </c>
      <c r="I447">
        <v>87930.517973973503</v>
      </c>
      <c r="J447">
        <v>0.952219184421631</v>
      </c>
      <c r="K447" t="str">
        <f t="shared" si="48"/>
        <v>OK</v>
      </c>
      <c r="L447" t="str">
        <f t="shared" si="49"/>
        <v>OK</v>
      </c>
      <c r="M447" t="str">
        <f>IF(OR(B447&lt;$AE$20,B447&gt;$AF$20),"Outlier","OK")</f>
        <v>OK</v>
      </c>
      <c r="N447" t="str">
        <f>IF(OR(J447&lt;$AE$21,J447&gt;$AF$21),"Outlier","OK")</f>
        <v>OK</v>
      </c>
      <c r="O447" t="str">
        <f>IF(OR(C447&lt;0,C447&gt;1),"Outlier","OK")</f>
        <v>OK</v>
      </c>
      <c r="P447" t="str">
        <f>IF(OR(D447&lt;0,D447&gt;1),"Outlier","OK")</f>
        <v>Outlier</v>
      </c>
      <c r="Q447" t="str">
        <f t="shared" si="50"/>
        <v>80-100%</v>
      </c>
      <c r="R447" t="str">
        <f>IF(B447="","Missing","OK")</f>
        <v>OK</v>
      </c>
      <c r="S447" t="str">
        <f>IF(E447="","Missing","OK")</f>
        <v>OK</v>
      </c>
      <c r="T447" t="str">
        <f t="shared" si="51"/>
        <v>OK</v>
      </c>
      <c r="U447">
        <f>COUNTIF($A:$A,A447)</f>
        <v>1</v>
      </c>
      <c r="V447" t="str">
        <f t="shared" si="52"/>
        <v>OK</v>
      </c>
      <c r="W447" t="str">
        <f>IF(I447&gt;B447,"ERROR","OK")</f>
        <v>OK</v>
      </c>
      <c r="X447">
        <f>(B447-I447)/B447</f>
        <v>0.95221918442163156</v>
      </c>
      <c r="Y447" s="2">
        <f t="shared" si="53"/>
        <v>5.5511151231257827E-16</v>
      </c>
      <c r="Z447" s="2" t="str">
        <f t="shared" si="54"/>
        <v>OK</v>
      </c>
      <c r="AA447" t="str">
        <f t="shared" si="55"/>
        <v>Unique</v>
      </c>
    </row>
    <row r="448" spans="1:27" x14ac:dyDescent="0.3">
      <c r="A448">
        <v>447</v>
      </c>
      <c r="B448">
        <v>1735736.5412685301</v>
      </c>
      <c r="C448">
        <v>0.55029357638548004</v>
      </c>
      <c r="D448">
        <v>-0.188313125081779</v>
      </c>
      <c r="E448">
        <v>0.19256678518857301</v>
      </c>
      <c r="F448">
        <v>1</v>
      </c>
      <c r="G448" t="s">
        <v>11</v>
      </c>
      <c r="H448">
        <v>0</v>
      </c>
      <c r="I448">
        <v>334245.20568641502</v>
      </c>
      <c r="J448">
        <v>0.80743321481142605</v>
      </c>
      <c r="K448" t="str">
        <f t="shared" si="48"/>
        <v>OK</v>
      </c>
      <c r="L448" t="str">
        <f t="shared" si="49"/>
        <v>OK</v>
      </c>
      <c r="M448" t="str">
        <f>IF(OR(B448&lt;$AE$20,B448&gt;$AF$20),"Outlier","OK")</f>
        <v>OK</v>
      </c>
      <c r="N448" t="str">
        <f>IF(OR(J448&lt;$AE$21,J448&gt;$AF$21),"Outlier","OK")</f>
        <v>OK</v>
      </c>
      <c r="O448" t="str">
        <f>IF(OR(C448&lt;0,C448&gt;1),"Outlier","OK")</f>
        <v>OK</v>
      </c>
      <c r="P448" t="str">
        <f>IF(OR(D448&lt;0,D448&gt;1),"Outlier","OK")</f>
        <v>Outlier</v>
      </c>
      <c r="Q448" t="str">
        <f t="shared" si="50"/>
        <v>80-100%</v>
      </c>
      <c r="R448" t="str">
        <f>IF(B448="","Missing","OK")</f>
        <v>OK</v>
      </c>
      <c r="S448" t="str">
        <f>IF(E448="","Missing","OK")</f>
        <v>OK</v>
      </c>
      <c r="T448" t="str">
        <f t="shared" si="51"/>
        <v>OK</v>
      </c>
      <c r="U448">
        <f>COUNTIF($A:$A,A448)</f>
        <v>1</v>
      </c>
      <c r="V448" t="str">
        <f t="shared" si="52"/>
        <v>OK</v>
      </c>
      <c r="W448" t="str">
        <f>IF(I448&gt;B448,"ERROR","OK")</f>
        <v>OK</v>
      </c>
      <c r="X448">
        <f>(B448-I448)/B448</f>
        <v>0.80743321481142616</v>
      </c>
      <c r="Y448" s="2">
        <f t="shared" si="53"/>
        <v>1.1102230246251565E-16</v>
      </c>
      <c r="Z448" s="2" t="str">
        <f t="shared" si="54"/>
        <v>OK</v>
      </c>
      <c r="AA448" t="str">
        <f t="shared" si="55"/>
        <v>Unique</v>
      </c>
    </row>
    <row r="449" spans="1:27" x14ac:dyDescent="0.3">
      <c r="A449">
        <v>448</v>
      </c>
      <c r="B449">
        <v>589958.49058970495</v>
      </c>
      <c r="C449">
        <v>0.655390583637255</v>
      </c>
      <c r="D449">
        <v>0.11242756354604</v>
      </c>
      <c r="E449">
        <v>0.26673817517232801</v>
      </c>
      <c r="F449">
        <v>1</v>
      </c>
      <c r="G449" t="s">
        <v>13</v>
      </c>
      <c r="H449">
        <v>0</v>
      </c>
      <c r="I449">
        <v>157364.45120731901</v>
      </c>
      <c r="J449">
        <v>0.73326182482767099</v>
      </c>
      <c r="K449" t="str">
        <f t="shared" si="48"/>
        <v>OK</v>
      </c>
      <c r="L449" t="str">
        <f t="shared" si="49"/>
        <v>OK</v>
      </c>
      <c r="M449" t="str">
        <f>IF(OR(B449&lt;$AE$20,B449&gt;$AF$20),"Outlier","OK")</f>
        <v>OK</v>
      </c>
      <c r="N449" t="str">
        <f>IF(OR(J449&lt;$AE$21,J449&gt;$AF$21),"Outlier","OK")</f>
        <v>OK</v>
      </c>
      <c r="O449" t="str">
        <f>IF(OR(C449&lt;0,C449&gt;1),"Outlier","OK")</f>
        <v>OK</v>
      </c>
      <c r="P449" t="str">
        <f>IF(OR(D449&lt;0,D449&gt;1),"Outlier","OK")</f>
        <v>OK</v>
      </c>
      <c r="Q449" t="str">
        <f t="shared" si="50"/>
        <v>60-80%</v>
      </c>
      <c r="R449" t="str">
        <f>IF(B449="","Missing","OK")</f>
        <v>OK</v>
      </c>
      <c r="S449" t="str">
        <f>IF(E449="","Missing","OK")</f>
        <v>OK</v>
      </c>
      <c r="T449" t="str">
        <f t="shared" si="51"/>
        <v>OK</v>
      </c>
      <c r="U449">
        <f>COUNTIF($A:$A,A449)</f>
        <v>1</v>
      </c>
      <c r="V449" t="str">
        <f t="shared" si="52"/>
        <v>OK</v>
      </c>
      <c r="W449" t="str">
        <f>IF(I449&gt;B449,"ERROR","OK")</f>
        <v>OK</v>
      </c>
      <c r="X449">
        <f>(B449-I449)/B449</f>
        <v>0.73326182482767177</v>
      </c>
      <c r="Y449" s="2">
        <f t="shared" si="53"/>
        <v>7.7715611723760958E-16</v>
      </c>
      <c r="Z449" s="2" t="str">
        <f t="shared" si="54"/>
        <v>OK</v>
      </c>
      <c r="AA449" t="str">
        <f t="shared" si="55"/>
        <v>Unique</v>
      </c>
    </row>
    <row r="450" spans="1:27" x14ac:dyDescent="0.3">
      <c r="A450">
        <v>449</v>
      </c>
      <c r="B450">
        <v>1070800.7192337799</v>
      </c>
      <c r="C450">
        <v>0.17642578664466099</v>
      </c>
      <c r="D450">
        <v>-0.114065108346946</v>
      </c>
      <c r="E450">
        <v>0.36691534060957998</v>
      </c>
      <c r="F450">
        <v>1</v>
      </c>
      <c r="G450" t="s">
        <v>12</v>
      </c>
      <c r="H450">
        <v>1</v>
      </c>
      <c r="I450">
        <v>392893.21062264801</v>
      </c>
      <c r="J450">
        <v>0.63308465939041902</v>
      </c>
      <c r="K450" t="str">
        <f t="shared" si="48"/>
        <v>OK</v>
      </c>
      <c r="L450" t="str">
        <f t="shared" si="49"/>
        <v>OK</v>
      </c>
      <c r="M450" t="str">
        <f>IF(OR(B450&lt;$AE$20,B450&gt;$AF$20),"Outlier","OK")</f>
        <v>OK</v>
      </c>
      <c r="N450" t="str">
        <f>IF(OR(J450&lt;$AE$21,J450&gt;$AF$21),"Outlier","OK")</f>
        <v>OK</v>
      </c>
      <c r="O450" t="str">
        <f>IF(OR(C450&lt;0,C450&gt;1),"Outlier","OK")</f>
        <v>OK</v>
      </c>
      <c r="P450" t="str">
        <f>IF(OR(D450&lt;0,D450&gt;1),"Outlier","OK")</f>
        <v>Outlier</v>
      </c>
      <c r="Q450" t="str">
        <f t="shared" si="50"/>
        <v>60-80%</v>
      </c>
      <c r="R450" t="str">
        <f>IF(B450="","Missing","OK")</f>
        <v>OK</v>
      </c>
      <c r="S450" t="str">
        <f>IF(E450="","Missing","OK")</f>
        <v>OK</v>
      </c>
      <c r="T450" t="str">
        <f t="shared" si="51"/>
        <v>OK</v>
      </c>
      <c r="U450">
        <f>COUNTIF($A:$A,A450)</f>
        <v>1</v>
      </c>
      <c r="V450" t="str">
        <f t="shared" si="52"/>
        <v>OK</v>
      </c>
      <c r="W450" t="str">
        <f>IF(I450&gt;B450,"ERROR","OK")</f>
        <v>OK</v>
      </c>
      <c r="X450">
        <f>(B450-I450)/B450</f>
        <v>0.6330846593904178</v>
      </c>
      <c r="Y450" s="2">
        <f t="shared" si="53"/>
        <v>1.2212453270876722E-15</v>
      </c>
      <c r="Z450" s="2" t="str">
        <f t="shared" si="54"/>
        <v>OK</v>
      </c>
      <c r="AA450" t="str">
        <f t="shared" si="55"/>
        <v>Unique</v>
      </c>
    </row>
    <row r="451" spans="1:27" x14ac:dyDescent="0.3">
      <c r="A451">
        <v>450</v>
      </c>
      <c r="B451">
        <v>262721.98466541799</v>
      </c>
      <c r="C451">
        <v>0.89416422699669196</v>
      </c>
      <c r="D451">
        <v>-0.11558274213007901</v>
      </c>
      <c r="E451">
        <v>0.13611667735260799</v>
      </c>
      <c r="F451">
        <v>1</v>
      </c>
      <c r="G451" t="s">
        <v>10</v>
      </c>
      <c r="H451">
        <v>0</v>
      </c>
      <c r="I451">
        <v>35760.843620139603</v>
      </c>
      <c r="J451">
        <v>0.86388332264739098</v>
      </c>
      <c r="K451" t="str">
        <f t="shared" ref="K451:K514" si="56">IF(OR(J451&lt;0,J451&gt;1),"Error","OK")</f>
        <v>OK</v>
      </c>
      <c r="L451" t="str">
        <f t="shared" ref="L451:L514" si="57">IF(I451&gt;B451,"Error","OK")</f>
        <v>OK</v>
      </c>
      <c r="M451" t="str">
        <f>IF(OR(B451&lt;$AE$20,B451&gt;$AF$20),"Outlier","OK")</f>
        <v>OK</v>
      </c>
      <c r="N451" t="str">
        <f>IF(OR(J451&lt;$AE$21,J451&gt;$AF$21),"Outlier","OK")</f>
        <v>OK</v>
      </c>
      <c r="O451" t="str">
        <f>IF(OR(C451&lt;0,C451&gt;1),"Outlier","OK")</f>
        <v>OK</v>
      </c>
      <c r="P451" t="str">
        <f>IF(OR(D451&lt;0,D451&gt;1),"Outlier","OK")</f>
        <v>Outlier</v>
      </c>
      <c r="Q451" t="str">
        <f t="shared" ref="Q451:Q514" si="58">IF(J451&lt;=0.2,"0-20%",
 IF(J451&lt;=0.4,"20-40%",
 IF(J451&lt;=0.6,"40-60%",
 IF(J451&lt;=0.8,"60-80%","80-100%"))))</f>
        <v>80-100%</v>
      </c>
      <c r="R451" t="str">
        <f>IF(B451="","Missing","OK")</f>
        <v>OK</v>
      </c>
      <c r="S451" t="str">
        <f>IF(E451="","Missing","OK")</f>
        <v>OK</v>
      </c>
      <c r="T451" t="str">
        <f t="shared" ref="T451:T514" si="59">IF(J451="","Missing","OK")</f>
        <v>OK</v>
      </c>
      <c r="U451">
        <f>COUNTIF($A:$A,A451)</f>
        <v>1</v>
      </c>
      <c r="V451" t="str">
        <f t="shared" ref="V451:V514" si="60">IF(OR(J451&lt;0,J451&gt;1),"ERROR","OK")</f>
        <v>OK</v>
      </c>
      <c r="W451" t="str">
        <f>IF(I451&gt;B451,"ERROR","OK")</f>
        <v>OK</v>
      </c>
      <c r="X451">
        <f>(B451-I451)/B451</f>
        <v>0.86388332264739165</v>
      </c>
      <c r="Y451" s="2">
        <f t="shared" ref="Y451:Y514" si="61">ABS(J451-X451)</f>
        <v>6.6613381477509392E-16</v>
      </c>
      <c r="Z451" s="2" t="str">
        <f t="shared" ref="Z451:Z514" si="62">IF(OR(B451="",I451="",J451=""),"Missing","OK")</f>
        <v>OK</v>
      </c>
      <c r="AA451" t="str">
        <f t="shared" ref="AA451:AA514" si="63">IF(COUNTIF($A:$A,A451)&gt;1,"Duplicate","Unique")</f>
        <v>Unique</v>
      </c>
    </row>
    <row r="452" spans="1:27" x14ac:dyDescent="0.3">
      <c r="A452">
        <v>451</v>
      </c>
      <c r="B452">
        <v>232182.78408409699</v>
      </c>
      <c r="C452">
        <v>0.33552790495224699</v>
      </c>
      <c r="D452">
        <v>-6.3024946421141703E-2</v>
      </c>
      <c r="E452">
        <v>0.19572975020594499</v>
      </c>
      <c r="F452">
        <v>1</v>
      </c>
      <c r="G452" t="s">
        <v>12</v>
      </c>
      <c r="H452">
        <v>0</v>
      </c>
      <c r="I452">
        <v>45445.0783309014</v>
      </c>
      <c r="J452">
        <v>0.80427024979405404</v>
      </c>
      <c r="K452" t="str">
        <f t="shared" si="56"/>
        <v>OK</v>
      </c>
      <c r="L452" t="str">
        <f t="shared" si="57"/>
        <v>OK</v>
      </c>
      <c r="M452" t="str">
        <f>IF(OR(B452&lt;$AE$20,B452&gt;$AF$20),"Outlier","OK")</f>
        <v>OK</v>
      </c>
      <c r="N452" t="str">
        <f>IF(OR(J452&lt;$AE$21,J452&gt;$AF$21),"Outlier","OK")</f>
        <v>OK</v>
      </c>
      <c r="O452" t="str">
        <f>IF(OR(C452&lt;0,C452&gt;1),"Outlier","OK")</f>
        <v>OK</v>
      </c>
      <c r="P452" t="str">
        <f>IF(OR(D452&lt;0,D452&gt;1),"Outlier","OK")</f>
        <v>Outlier</v>
      </c>
      <c r="Q452" t="str">
        <f t="shared" si="58"/>
        <v>80-100%</v>
      </c>
      <c r="R452" t="str">
        <f>IF(B452="","Missing","OK")</f>
        <v>OK</v>
      </c>
      <c r="S452" t="str">
        <f>IF(E452="","Missing","OK")</f>
        <v>OK</v>
      </c>
      <c r="T452" t="str">
        <f t="shared" si="59"/>
        <v>OK</v>
      </c>
      <c r="U452">
        <f>COUNTIF($A:$A,A452)</f>
        <v>1</v>
      </c>
      <c r="V452" t="str">
        <f t="shared" si="60"/>
        <v>OK</v>
      </c>
      <c r="W452" t="str">
        <f>IF(I452&gt;B452,"ERROR","OK")</f>
        <v>OK</v>
      </c>
      <c r="X452">
        <f>(B452-I452)/B452</f>
        <v>0.80427024979405404</v>
      </c>
      <c r="Y452" s="2">
        <f t="shared" si="61"/>
        <v>0</v>
      </c>
      <c r="Z452" s="2" t="str">
        <f t="shared" si="62"/>
        <v>OK</v>
      </c>
      <c r="AA452" t="str">
        <f t="shared" si="63"/>
        <v>Unique</v>
      </c>
    </row>
    <row r="453" spans="1:27" x14ac:dyDescent="0.3">
      <c r="A453">
        <v>452</v>
      </c>
      <c r="B453">
        <v>1683058.9114457299</v>
      </c>
      <c r="C453">
        <v>0.86293891686223101</v>
      </c>
      <c r="D453">
        <v>-0.105790289579378</v>
      </c>
      <c r="E453">
        <v>0.38544742055553599</v>
      </c>
      <c r="F453">
        <v>1</v>
      </c>
      <c r="G453" t="s">
        <v>13</v>
      </c>
      <c r="H453">
        <v>1</v>
      </c>
      <c r="I453">
        <v>648730.71605976694</v>
      </c>
      <c r="J453">
        <v>0.61455257944446295</v>
      </c>
      <c r="K453" t="str">
        <f t="shared" si="56"/>
        <v>OK</v>
      </c>
      <c r="L453" t="str">
        <f t="shared" si="57"/>
        <v>OK</v>
      </c>
      <c r="M453" t="str">
        <f>IF(OR(B453&lt;$AE$20,B453&gt;$AF$20),"Outlier","OK")</f>
        <v>OK</v>
      </c>
      <c r="N453" t="str">
        <f>IF(OR(J453&lt;$AE$21,J453&gt;$AF$21),"Outlier","OK")</f>
        <v>OK</v>
      </c>
      <c r="O453" t="str">
        <f>IF(OR(C453&lt;0,C453&gt;1),"Outlier","OK")</f>
        <v>OK</v>
      </c>
      <c r="P453" t="str">
        <f>IF(OR(D453&lt;0,D453&gt;1),"Outlier","OK")</f>
        <v>Outlier</v>
      </c>
      <c r="Q453" t="str">
        <f t="shared" si="58"/>
        <v>60-80%</v>
      </c>
      <c r="R453" t="str">
        <f>IF(B453="","Missing","OK")</f>
        <v>OK</v>
      </c>
      <c r="S453" t="str">
        <f>IF(E453="","Missing","OK")</f>
        <v>OK</v>
      </c>
      <c r="T453" t="str">
        <f t="shared" si="59"/>
        <v>OK</v>
      </c>
      <c r="U453">
        <f>COUNTIF($A:$A,A453)</f>
        <v>1</v>
      </c>
      <c r="V453" t="str">
        <f t="shared" si="60"/>
        <v>OK</v>
      </c>
      <c r="W453" t="str">
        <f>IF(I453&gt;B453,"ERROR","OK")</f>
        <v>OK</v>
      </c>
      <c r="X453">
        <f>(B453-I453)/B453</f>
        <v>0.61455257944446273</v>
      </c>
      <c r="Y453" s="2">
        <f t="shared" si="61"/>
        <v>2.2204460492503131E-16</v>
      </c>
      <c r="Z453" s="2" t="str">
        <f t="shared" si="62"/>
        <v>OK</v>
      </c>
      <c r="AA453" t="str">
        <f t="shared" si="63"/>
        <v>Unique</v>
      </c>
    </row>
    <row r="454" spans="1:27" x14ac:dyDescent="0.3">
      <c r="A454">
        <v>453</v>
      </c>
      <c r="B454">
        <v>850018.14926000405</v>
      </c>
      <c r="C454">
        <v>0.16626333427207801</v>
      </c>
      <c r="D454">
        <v>7.7721048841003698E-2</v>
      </c>
      <c r="E454">
        <v>0.16621881098473601</v>
      </c>
      <c r="F454">
        <v>1</v>
      </c>
      <c r="G454" t="s">
        <v>11</v>
      </c>
      <c r="H454">
        <v>0</v>
      </c>
      <c r="I454">
        <v>141289.00608544401</v>
      </c>
      <c r="J454">
        <v>0.83378118901526299</v>
      </c>
      <c r="K454" t="str">
        <f t="shared" si="56"/>
        <v>OK</v>
      </c>
      <c r="L454" t="str">
        <f t="shared" si="57"/>
        <v>OK</v>
      </c>
      <c r="M454" t="str">
        <f>IF(OR(B454&lt;$AE$20,B454&gt;$AF$20),"Outlier","OK")</f>
        <v>OK</v>
      </c>
      <c r="N454" t="str">
        <f>IF(OR(J454&lt;$AE$21,J454&gt;$AF$21),"Outlier","OK")</f>
        <v>OK</v>
      </c>
      <c r="O454" t="str">
        <f>IF(OR(C454&lt;0,C454&gt;1),"Outlier","OK")</f>
        <v>OK</v>
      </c>
      <c r="P454" t="str">
        <f>IF(OR(D454&lt;0,D454&gt;1),"Outlier","OK")</f>
        <v>OK</v>
      </c>
      <c r="Q454" t="str">
        <f t="shared" si="58"/>
        <v>80-100%</v>
      </c>
      <c r="R454" t="str">
        <f>IF(B454="","Missing","OK")</f>
        <v>OK</v>
      </c>
      <c r="S454" t="str">
        <f>IF(E454="","Missing","OK")</f>
        <v>OK</v>
      </c>
      <c r="T454" t="str">
        <f t="shared" si="59"/>
        <v>OK</v>
      </c>
      <c r="U454">
        <f>COUNTIF($A:$A,A454)</f>
        <v>1</v>
      </c>
      <c r="V454" t="str">
        <f t="shared" si="60"/>
        <v>OK</v>
      </c>
      <c r="W454" t="str">
        <f>IF(I454&gt;B454,"ERROR","OK")</f>
        <v>OK</v>
      </c>
      <c r="X454">
        <f>(B454-I454)/B454</f>
        <v>0.83378118901526366</v>
      </c>
      <c r="Y454" s="2">
        <f t="shared" si="61"/>
        <v>6.6613381477509392E-16</v>
      </c>
      <c r="Z454" s="2" t="str">
        <f t="shared" si="62"/>
        <v>OK</v>
      </c>
      <c r="AA454" t="str">
        <f t="shared" si="63"/>
        <v>Unique</v>
      </c>
    </row>
    <row r="455" spans="1:27" x14ac:dyDescent="0.3">
      <c r="A455">
        <v>454</v>
      </c>
      <c r="B455">
        <v>1340347.2533944901</v>
      </c>
      <c r="C455">
        <v>0.81408564931740801</v>
      </c>
      <c r="D455">
        <v>8.8244016382085705E-2</v>
      </c>
      <c r="E455">
        <v>0.57421999924116696</v>
      </c>
      <c r="F455">
        <v>1</v>
      </c>
      <c r="G455" t="s">
        <v>10</v>
      </c>
      <c r="H455">
        <v>0</v>
      </c>
      <c r="I455">
        <v>769654.19882708904</v>
      </c>
      <c r="J455">
        <v>0.42578000075883299</v>
      </c>
      <c r="K455" t="str">
        <f t="shared" si="56"/>
        <v>OK</v>
      </c>
      <c r="L455" t="str">
        <f t="shared" si="57"/>
        <v>OK</v>
      </c>
      <c r="M455" t="str">
        <f>IF(OR(B455&lt;$AE$20,B455&gt;$AF$20),"Outlier","OK")</f>
        <v>OK</v>
      </c>
      <c r="N455" t="str">
        <f>IF(OR(J455&lt;$AE$21,J455&gt;$AF$21),"Outlier","OK")</f>
        <v>OK</v>
      </c>
      <c r="O455" t="str">
        <f>IF(OR(C455&lt;0,C455&gt;1),"Outlier","OK")</f>
        <v>OK</v>
      </c>
      <c r="P455" t="str">
        <f>IF(OR(D455&lt;0,D455&gt;1),"Outlier","OK")</f>
        <v>OK</v>
      </c>
      <c r="Q455" t="str">
        <f t="shared" si="58"/>
        <v>40-60%</v>
      </c>
      <c r="R455" t="str">
        <f>IF(B455="","Missing","OK")</f>
        <v>OK</v>
      </c>
      <c r="S455" t="str">
        <f>IF(E455="","Missing","OK")</f>
        <v>OK</v>
      </c>
      <c r="T455" t="str">
        <f t="shared" si="59"/>
        <v>OK</v>
      </c>
      <c r="U455">
        <f>COUNTIF($A:$A,A455)</f>
        <v>1</v>
      </c>
      <c r="V455" t="str">
        <f t="shared" si="60"/>
        <v>OK</v>
      </c>
      <c r="W455" t="str">
        <f>IF(I455&gt;B455,"ERROR","OK")</f>
        <v>OK</v>
      </c>
      <c r="X455">
        <f>(B455-I455)/B455</f>
        <v>0.42578000075882955</v>
      </c>
      <c r="Y455" s="2">
        <f t="shared" si="61"/>
        <v>3.4416913763379853E-15</v>
      </c>
      <c r="Z455" s="2" t="str">
        <f t="shared" si="62"/>
        <v>OK</v>
      </c>
      <c r="AA455" t="str">
        <f t="shared" si="63"/>
        <v>Unique</v>
      </c>
    </row>
    <row r="456" spans="1:27" x14ac:dyDescent="0.3">
      <c r="A456">
        <v>455</v>
      </c>
      <c r="B456">
        <v>1889241.08903044</v>
      </c>
      <c r="C456">
        <v>0.29732683049736203</v>
      </c>
      <c r="D456">
        <v>-0.104510964181715</v>
      </c>
      <c r="E456">
        <v>0.23251043089641901</v>
      </c>
      <c r="F456">
        <v>1</v>
      </c>
      <c r="G456" t="s">
        <v>10</v>
      </c>
      <c r="H456">
        <v>0</v>
      </c>
      <c r="I456">
        <v>439268.25967768999</v>
      </c>
      <c r="J456">
        <v>0.76748956910358002</v>
      </c>
      <c r="K456" t="str">
        <f t="shared" si="56"/>
        <v>OK</v>
      </c>
      <c r="L456" t="str">
        <f t="shared" si="57"/>
        <v>OK</v>
      </c>
      <c r="M456" t="str">
        <f>IF(OR(B456&lt;$AE$20,B456&gt;$AF$20),"Outlier","OK")</f>
        <v>OK</v>
      </c>
      <c r="N456" t="str">
        <f>IF(OR(J456&lt;$AE$21,J456&gt;$AF$21),"Outlier","OK")</f>
        <v>OK</v>
      </c>
      <c r="O456" t="str">
        <f>IF(OR(C456&lt;0,C456&gt;1),"Outlier","OK")</f>
        <v>OK</v>
      </c>
      <c r="P456" t="str">
        <f>IF(OR(D456&lt;0,D456&gt;1),"Outlier","OK")</f>
        <v>Outlier</v>
      </c>
      <c r="Q456" t="str">
        <f t="shared" si="58"/>
        <v>60-80%</v>
      </c>
      <c r="R456" t="str">
        <f>IF(B456="","Missing","OK")</f>
        <v>OK</v>
      </c>
      <c r="S456" t="str">
        <f>IF(E456="","Missing","OK")</f>
        <v>OK</v>
      </c>
      <c r="T456" t="str">
        <f t="shared" si="59"/>
        <v>OK</v>
      </c>
      <c r="U456">
        <f>COUNTIF($A:$A,A456)</f>
        <v>1</v>
      </c>
      <c r="V456" t="str">
        <f t="shared" si="60"/>
        <v>OK</v>
      </c>
      <c r="W456" t="str">
        <f>IF(I456&gt;B456,"ERROR","OK")</f>
        <v>OK</v>
      </c>
      <c r="X456">
        <f>(B456-I456)/B456</f>
        <v>0.76748956910357968</v>
      </c>
      <c r="Y456" s="2">
        <f t="shared" si="61"/>
        <v>3.3306690738754696E-16</v>
      </c>
      <c r="Z456" s="2" t="str">
        <f t="shared" si="62"/>
        <v>OK</v>
      </c>
      <c r="AA456" t="str">
        <f t="shared" si="63"/>
        <v>Unique</v>
      </c>
    </row>
    <row r="457" spans="1:27" x14ac:dyDescent="0.3">
      <c r="A457">
        <v>456</v>
      </c>
      <c r="B457">
        <v>528004.653544851</v>
      </c>
      <c r="C457">
        <v>0.54110537504550105</v>
      </c>
      <c r="D457">
        <v>1.30181747871006E-2</v>
      </c>
      <c r="E457">
        <v>0.409224874974561</v>
      </c>
      <c r="F457">
        <v>1</v>
      </c>
      <c r="G457" t="s">
        <v>11</v>
      </c>
      <c r="H457">
        <v>0</v>
      </c>
      <c r="I457">
        <v>216072.63833287801</v>
      </c>
      <c r="J457">
        <v>0.59077512502543805</v>
      </c>
      <c r="K457" t="str">
        <f t="shared" si="56"/>
        <v>OK</v>
      </c>
      <c r="L457" t="str">
        <f t="shared" si="57"/>
        <v>OK</v>
      </c>
      <c r="M457" t="str">
        <f>IF(OR(B457&lt;$AE$20,B457&gt;$AF$20),"Outlier","OK")</f>
        <v>OK</v>
      </c>
      <c r="N457" t="str">
        <f>IF(OR(J457&lt;$AE$21,J457&gt;$AF$21),"Outlier","OK")</f>
        <v>OK</v>
      </c>
      <c r="O457" t="str">
        <f>IF(OR(C457&lt;0,C457&gt;1),"Outlier","OK")</f>
        <v>OK</v>
      </c>
      <c r="P457" t="str">
        <f>IF(OR(D457&lt;0,D457&gt;1),"Outlier","OK")</f>
        <v>OK</v>
      </c>
      <c r="Q457" t="str">
        <f t="shared" si="58"/>
        <v>40-60%</v>
      </c>
      <c r="R457" t="str">
        <f>IF(B457="","Missing","OK")</f>
        <v>OK</v>
      </c>
      <c r="S457" t="str">
        <f>IF(E457="","Missing","OK")</f>
        <v>OK</v>
      </c>
      <c r="T457" t="str">
        <f t="shared" si="59"/>
        <v>OK</v>
      </c>
      <c r="U457">
        <f>COUNTIF($A:$A,A457)</f>
        <v>1</v>
      </c>
      <c r="V457" t="str">
        <f t="shared" si="60"/>
        <v>OK</v>
      </c>
      <c r="W457" t="str">
        <f>IF(I457&gt;B457,"ERROR","OK")</f>
        <v>OK</v>
      </c>
      <c r="X457">
        <f>(B457-I457)/B457</f>
        <v>0.59077512502543905</v>
      </c>
      <c r="Y457" s="2">
        <f t="shared" si="61"/>
        <v>9.9920072216264089E-16</v>
      </c>
      <c r="Z457" s="2" t="str">
        <f t="shared" si="62"/>
        <v>OK</v>
      </c>
      <c r="AA457" t="str">
        <f t="shared" si="63"/>
        <v>Unique</v>
      </c>
    </row>
    <row r="458" spans="1:27" x14ac:dyDescent="0.3">
      <c r="A458">
        <v>457</v>
      </c>
      <c r="B458">
        <v>75661.671017179702</v>
      </c>
      <c r="C458">
        <v>0.47946667583805203</v>
      </c>
      <c r="D458">
        <v>-8.7797963487981995E-2</v>
      </c>
      <c r="E458">
        <v>0.245675685676224</v>
      </c>
      <c r="F458">
        <v>1</v>
      </c>
      <c r="G458" t="s">
        <v>12</v>
      </c>
      <c r="H458">
        <v>0</v>
      </c>
      <c r="I458">
        <v>18588.232906554498</v>
      </c>
      <c r="J458">
        <v>0.754324314323775</v>
      </c>
      <c r="K458" t="str">
        <f t="shared" si="56"/>
        <v>OK</v>
      </c>
      <c r="L458" t="str">
        <f t="shared" si="57"/>
        <v>OK</v>
      </c>
      <c r="M458" t="str">
        <f>IF(OR(B458&lt;$AE$20,B458&gt;$AF$20),"Outlier","OK")</f>
        <v>OK</v>
      </c>
      <c r="N458" t="str">
        <f>IF(OR(J458&lt;$AE$21,J458&gt;$AF$21),"Outlier","OK")</f>
        <v>OK</v>
      </c>
      <c r="O458" t="str">
        <f>IF(OR(C458&lt;0,C458&gt;1),"Outlier","OK")</f>
        <v>OK</v>
      </c>
      <c r="P458" t="str">
        <f>IF(OR(D458&lt;0,D458&gt;1),"Outlier","OK")</f>
        <v>Outlier</v>
      </c>
      <c r="Q458" t="str">
        <f t="shared" si="58"/>
        <v>60-80%</v>
      </c>
      <c r="R458" t="str">
        <f>IF(B458="","Missing","OK")</f>
        <v>OK</v>
      </c>
      <c r="S458" t="str">
        <f>IF(E458="","Missing","OK")</f>
        <v>OK</v>
      </c>
      <c r="T458" t="str">
        <f t="shared" si="59"/>
        <v>OK</v>
      </c>
      <c r="U458">
        <f>COUNTIF($A:$A,A458)</f>
        <v>1</v>
      </c>
      <c r="V458" t="str">
        <f t="shared" si="60"/>
        <v>OK</v>
      </c>
      <c r="W458" t="str">
        <f>IF(I458&gt;B458,"ERROR","OK")</f>
        <v>OK</v>
      </c>
      <c r="X458">
        <f>(B458-I458)/B458</f>
        <v>0.75432431432377611</v>
      </c>
      <c r="Y458" s="2">
        <f t="shared" si="61"/>
        <v>1.1102230246251565E-15</v>
      </c>
      <c r="Z458" s="2" t="str">
        <f t="shared" si="62"/>
        <v>OK</v>
      </c>
      <c r="AA458" t="str">
        <f t="shared" si="63"/>
        <v>Unique</v>
      </c>
    </row>
    <row r="459" spans="1:27" x14ac:dyDescent="0.3">
      <c r="A459">
        <v>458</v>
      </c>
      <c r="B459">
        <v>97089.391278356197</v>
      </c>
      <c r="C459">
        <v>0.156322984801156</v>
      </c>
      <c r="D459">
        <v>-0.112379141461818</v>
      </c>
      <c r="E459">
        <v>0.218772322522338</v>
      </c>
      <c r="F459">
        <v>1</v>
      </c>
      <c r="G459" t="s">
        <v>11</v>
      </c>
      <c r="H459">
        <v>0</v>
      </c>
      <c r="I459">
        <v>21240.471622246001</v>
      </c>
      <c r="J459">
        <v>0.78122767747766098</v>
      </c>
      <c r="K459" t="str">
        <f t="shared" si="56"/>
        <v>OK</v>
      </c>
      <c r="L459" t="str">
        <f t="shared" si="57"/>
        <v>OK</v>
      </c>
      <c r="M459" t="str">
        <f>IF(OR(B459&lt;$AE$20,B459&gt;$AF$20),"Outlier","OK")</f>
        <v>OK</v>
      </c>
      <c r="N459" t="str">
        <f>IF(OR(J459&lt;$AE$21,J459&gt;$AF$21),"Outlier","OK")</f>
        <v>OK</v>
      </c>
      <c r="O459" t="str">
        <f>IF(OR(C459&lt;0,C459&gt;1),"Outlier","OK")</f>
        <v>OK</v>
      </c>
      <c r="P459" t="str">
        <f>IF(OR(D459&lt;0,D459&gt;1),"Outlier","OK")</f>
        <v>Outlier</v>
      </c>
      <c r="Q459" t="str">
        <f t="shared" si="58"/>
        <v>60-80%</v>
      </c>
      <c r="R459" t="str">
        <f>IF(B459="","Missing","OK")</f>
        <v>OK</v>
      </c>
      <c r="S459" t="str">
        <f>IF(E459="","Missing","OK")</f>
        <v>OK</v>
      </c>
      <c r="T459" t="str">
        <f t="shared" si="59"/>
        <v>OK</v>
      </c>
      <c r="U459">
        <f>COUNTIF($A:$A,A459)</f>
        <v>1</v>
      </c>
      <c r="V459" t="str">
        <f t="shared" si="60"/>
        <v>OK</v>
      </c>
      <c r="W459" t="str">
        <f>IF(I459&gt;B459,"ERROR","OK")</f>
        <v>OK</v>
      </c>
      <c r="X459">
        <f>(B459-I459)/B459</f>
        <v>0.7812276774776622</v>
      </c>
      <c r="Y459" s="2">
        <f t="shared" si="61"/>
        <v>1.2212453270876722E-15</v>
      </c>
      <c r="Z459" s="2" t="str">
        <f t="shared" si="62"/>
        <v>OK</v>
      </c>
      <c r="AA459" t="str">
        <f t="shared" si="63"/>
        <v>Unique</v>
      </c>
    </row>
    <row r="460" spans="1:27" x14ac:dyDescent="0.3">
      <c r="A460">
        <v>459</v>
      </c>
      <c r="B460">
        <v>1433302.1001861801</v>
      </c>
      <c r="C460">
        <v>0.229377913045229</v>
      </c>
      <c r="D460">
        <v>6.5625410272394602E-2</v>
      </c>
      <c r="E460">
        <v>0.21876701829378301</v>
      </c>
      <c r="F460">
        <v>1</v>
      </c>
      <c r="G460" t="s">
        <v>11</v>
      </c>
      <c r="H460">
        <v>0</v>
      </c>
      <c r="I460">
        <v>313559.22677194898</v>
      </c>
      <c r="J460">
        <v>0.78123298170621602</v>
      </c>
      <c r="K460" t="str">
        <f t="shared" si="56"/>
        <v>OK</v>
      </c>
      <c r="L460" t="str">
        <f t="shared" si="57"/>
        <v>OK</v>
      </c>
      <c r="M460" t="str">
        <f>IF(OR(B460&lt;$AE$20,B460&gt;$AF$20),"Outlier","OK")</f>
        <v>OK</v>
      </c>
      <c r="N460" t="str">
        <f>IF(OR(J460&lt;$AE$21,J460&gt;$AF$21),"Outlier","OK")</f>
        <v>OK</v>
      </c>
      <c r="O460" t="str">
        <f>IF(OR(C460&lt;0,C460&gt;1),"Outlier","OK")</f>
        <v>OK</v>
      </c>
      <c r="P460" t="str">
        <f>IF(OR(D460&lt;0,D460&gt;1),"Outlier","OK")</f>
        <v>OK</v>
      </c>
      <c r="Q460" t="str">
        <f t="shared" si="58"/>
        <v>60-80%</v>
      </c>
      <c r="R460" t="str">
        <f>IF(B460="","Missing","OK")</f>
        <v>OK</v>
      </c>
      <c r="S460" t="str">
        <f>IF(E460="","Missing","OK")</f>
        <v>OK</v>
      </c>
      <c r="T460" t="str">
        <f t="shared" si="59"/>
        <v>OK</v>
      </c>
      <c r="U460">
        <f>COUNTIF($A:$A,A460)</f>
        <v>1</v>
      </c>
      <c r="V460" t="str">
        <f t="shared" si="60"/>
        <v>OK</v>
      </c>
      <c r="W460" t="str">
        <f>IF(I460&gt;B460,"ERROR","OK")</f>
        <v>OK</v>
      </c>
      <c r="X460">
        <f>(B460-I460)/B460</f>
        <v>0.78123298170621602</v>
      </c>
      <c r="Y460" s="2">
        <f t="shared" si="61"/>
        <v>0</v>
      </c>
      <c r="Z460" s="2" t="str">
        <f t="shared" si="62"/>
        <v>OK</v>
      </c>
      <c r="AA460" t="str">
        <f t="shared" si="63"/>
        <v>Unique</v>
      </c>
    </row>
    <row r="461" spans="1:27" x14ac:dyDescent="0.3">
      <c r="A461">
        <v>460</v>
      </c>
      <c r="B461">
        <v>1852876.17534728</v>
      </c>
      <c r="C461">
        <v>0.35996873478687003</v>
      </c>
      <c r="D461">
        <v>1.0431907552163999E-2</v>
      </c>
      <c r="E461">
        <v>6.7643836676008706E-2</v>
      </c>
      <c r="F461">
        <v>1</v>
      </c>
      <c r="G461" t="s">
        <v>12</v>
      </c>
      <c r="H461">
        <v>0</v>
      </c>
      <c r="I461">
        <v>125335.653386059</v>
      </c>
      <c r="J461">
        <v>0.93235616332399096</v>
      </c>
      <c r="K461" t="str">
        <f t="shared" si="56"/>
        <v>OK</v>
      </c>
      <c r="L461" t="str">
        <f t="shared" si="57"/>
        <v>OK</v>
      </c>
      <c r="M461" t="str">
        <f>IF(OR(B461&lt;$AE$20,B461&gt;$AF$20),"Outlier","OK")</f>
        <v>OK</v>
      </c>
      <c r="N461" t="str">
        <f>IF(OR(J461&lt;$AE$21,J461&gt;$AF$21),"Outlier","OK")</f>
        <v>OK</v>
      </c>
      <c r="O461" t="str">
        <f>IF(OR(C461&lt;0,C461&gt;1),"Outlier","OK")</f>
        <v>OK</v>
      </c>
      <c r="P461" t="str">
        <f>IF(OR(D461&lt;0,D461&gt;1),"Outlier","OK")</f>
        <v>OK</v>
      </c>
      <c r="Q461" t="str">
        <f t="shared" si="58"/>
        <v>80-100%</v>
      </c>
      <c r="R461" t="str">
        <f>IF(B461="","Missing","OK")</f>
        <v>OK</v>
      </c>
      <c r="S461" t="str">
        <f>IF(E461="","Missing","OK")</f>
        <v>OK</v>
      </c>
      <c r="T461" t="str">
        <f t="shared" si="59"/>
        <v>OK</v>
      </c>
      <c r="U461">
        <f>COUNTIF($A:$A,A461)</f>
        <v>1</v>
      </c>
      <c r="V461" t="str">
        <f t="shared" si="60"/>
        <v>OK</v>
      </c>
      <c r="W461" t="str">
        <f>IF(I461&gt;B461,"ERROR","OK")</f>
        <v>OK</v>
      </c>
      <c r="X461">
        <f>(B461-I461)/B461</f>
        <v>0.93235616332399129</v>
      </c>
      <c r="Y461" s="2">
        <f t="shared" si="61"/>
        <v>3.3306690738754696E-16</v>
      </c>
      <c r="Z461" s="2" t="str">
        <f t="shared" si="62"/>
        <v>OK</v>
      </c>
      <c r="AA461" t="str">
        <f t="shared" si="63"/>
        <v>Unique</v>
      </c>
    </row>
    <row r="462" spans="1:27" x14ac:dyDescent="0.3">
      <c r="A462">
        <v>461</v>
      </c>
      <c r="B462">
        <v>961294.03237509797</v>
      </c>
      <c r="C462">
        <v>0.77687431635034399</v>
      </c>
      <c r="D462">
        <v>9.3086145957380004E-2</v>
      </c>
      <c r="E462">
        <v>0.36600955452051498</v>
      </c>
      <c r="F462">
        <v>1</v>
      </c>
      <c r="G462" t="s">
        <v>13</v>
      </c>
      <c r="H462">
        <v>0</v>
      </c>
      <c r="I462">
        <v>351842.80055283901</v>
      </c>
      <c r="J462">
        <v>0.63399044547948402</v>
      </c>
      <c r="K462" t="str">
        <f t="shared" si="56"/>
        <v>OK</v>
      </c>
      <c r="L462" t="str">
        <f t="shared" si="57"/>
        <v>OK</v>
      </c>
      <c r="M462" t="str">
        <f>IF(OR(B462&lt;$AE$20,B462&gt;$AF$20),"Outlier","OK")</f>
        <v>OK</v>
      </c>
      <c r="N462" t="str">
        <f>IF(OR(J462&lt;$AE$21,J462&gt;$AF$21),"Outlier","OK")</f>
        <v>OK</v>
      </c>
      <c r="O462" t="str">
        <f>IF(OR(C462&lt;0,C462&gt;1),"Outlier","OK")</f>
        <v>OK</v>
      </c>
      <c r="P462" t="str">
        <f>IF(OR(D462&lt;0,D462&gt;1),"Outlier","OK")</f>
        <v>OK</v>
      </c>
      <c r="Q462" t="str">
        <f t="shared" si="58"/>
        <v>60-80%</v>
      </c>
      <c r="R462" t="str">
        <f>IF(B462="","Missing","OK")</f>
        <v>OK</v>
      </c>
      <c r="S462" t="str">
        <f>IF(E462="","Missing","OK")</f>
        <v>OK</v>
      </c>
      <c r="T462" t="str">
        <f t="shared" si="59"/>
        <v>OK</v>
      </c>
      <c r="U462">
        <f>COUNTIF($A:$A,A462)</f>
        <v>1</v>
      </c>
      <c r="V462" t="str">
        <f t="shared" si="60"/>
        <v>OK</v>
      </c>
      <c r="W462" t="str">
        <f>IF(I462&gt;B462,"ERROR","OK")</f>
        <v>OK</v>
      </c>
      <c r="X462">
        <f>(B462-I462)/B462</f>
        <v>0.63399044547948524</v>
      </c>
      <c r="Y462" s="2">
        <f t="shared" si="61"/>
        <v>1.2212453270876722E-15</v>
      </c>
      <c r="Z462" s="2" t="str">
        <f t="shared" si="62"/>
        <v>OK</v>
      </c>
      <c r="AA462" t="str">
        <f t="shared" si="63"/>
        <v>Unique</v>
      </c>
    </row>
    <row r="463" spans="1:27" x14ac:dyDescent="0.3">
      <c r="A463">
        <v>462</v>
      </c>
      <c r="B463">
        <v>781462.83879016095</v>
      </c>
      <c r="C463">
        <v>0.77843977988716495</v>
      </c>
      <c r="D463">
        <v>-0.162495192049287</v>
      </c>
      <c r="E463">
        <v>0.36666001673491599</v>
      </c>
      <c r="F463">
        <v>1</v>
      </c>
      <c r="G463" t="s">
        <v>10</v>
      </c>
      <c r="H463">
        <v>0</v>
      </c>
      <c r="I463">
        <v>286531.17754851503</v>
      </c>
      <c r="J463">
        <v>0.63333998326508301</v>
      </c>
      <c r="K463" t="str">
        <f t="shared" si="56"/>
        <v>OK</v>
      </c>
      <c r="L463" t="str">
        <f t="shared" si="57"/>
        <v>OK</v>
      </c>
      <c r="M463" t="str">
        <f>IF(OR(B463&lt;$AE$20,B463&gt;$AF$20),"Outlier","OK")</f>
        <v>OK</v>
      </c>
      <c r="N463" t="str">
        <f>IF(OR(J463&lt;$AE$21,J463&gt;$AF$21),"Outlier","OK")</f>
        <v>OK</v>
      </c>
      <c r="O463" t="str">
        <f>IF(OR(C463&lt;0,C463&gt;1),"Outlier","OK")</f>
        <v>OK</v>
      </c>
      <c r="P463" t="str">
        <f>IF(OR(D463&lt;0,D463&gt;1),"Outlier","OK")</f>
        <v>Outlier</v>
      </c>
      <c r="Q463" t="str">
        <f t="shared" si="58"/>
        <v>60-80%</v>
      </c>
      <c r="R463" t="str">
        <f>IF(B463="","Missing","OK")</f>
        <v>OK</v>
      </c>
      <c r="S463" t="str">
        <f>IF(E463="","Missing","OK")</f>
        <v>OK</v>
      </c>
      <c r="T463" t="str">
        <f t="shared" si="59"/>
        <v>OK</v>
      </c>
      <c r="U463">
        <f>COUNTIF($A:$A,A463)</f>
        <v>1</v>
      </c>
      <c r="V463" t="str">
        <f t="shared" si="60"/>
        <v>OK</v>
      </c>
      <c r="W463" t="str">
        <f>IF(I463&gt;B463,"ERROR","OK")</f>
        <v>OK</v>
      </c>
      <c r="X463">
        <f>(B463-I463)/B463</f>
        <v>0.63333998326508445</v>
      </c>
      <c r="Y463" s="2">
        <f t="shared" si="61"/>
        <v>1.4432899320127035E-15</v>
      </c>
      <c r="Z463" s="2" t="str">
        <f t="shared" si="62"/>
        <v>OK</v>
      </c>
      <c r="AA463" t="str">
        <f t="shared" si="63"/>
        <v>Unique</v>
      </c>
    </row>
    <row r="464" spans="1:27" x14ac:dyDescent="0.3">
      <c r="A464">
        <v>463</v>
      </c>
      <c r="B464">
        <v>1108577.8281209299</v>
      </c>
      <c r="C464">
        <v>0.83669950778989699</v>
      </c>
      <c r="D464">
        <v>0.12045082383726299</v>
      </c>
      <c r="E464">
        <v>0.29227137494476801</v>
      </c>
      <c r="F464">
        <v>1</v>
      </c>
      <c r="G464" t="s">
        <v>13</v>
      </c>
      <c r="H464">
        <v>0</v>
      </c>
      <c r="I464">
        <v>324005.56605819101</v>
      </c>
      <c r="J464">
        <v>0.70772862505523104</v>
      </c>
      <c r="K464" t="str">
        <f t="shared" si="56"/>
        <v>OK</v>
      </c>
      <c r="L464" t="str">
        <f t="shared" si="57"/>
        <v>OK</v>
      </c>
      <c r="M464" t="str">
        <f>IF(OR(B464&lt;$AE$20,B464&gt;$AF$20),"Outlier","OK")</f>
        <v>OK</v>
      </c>
      <c r="N464" t="str">
        <f>IF(OR(J464&lt;$AE$21,J464&gt;$AF$21),"Outlier","OK")</f>
        <v>OK</v>
      </c>
      <c r="O464" t="str">
        <f>IF(OR(C464&lt;0,C464&gt;1),"Outlier","OK")</f>
        <v>OK</v>
      </c>
      <c r="P464" t="str">
        <f>IF(OR(D464&lt;0,D464&gt;1),"Outlier","OK")</f>
        <v>OK</v>
      </c>
      <c r="Q464" t="str">
        <f t="shared" si="58"/>
        <v>60-80%</v>
      </c>
      <c r="R464" t="str">
        <f>IF(B464="","Missing","OK")</f>
        <v>OK</v>
      </c>
      <c r="S464" t="str">
        <f>IF(E464="","Missing","OK")</f>
        <v>OK</v>
      </c>
      <c r="T464" t="str">
        <f t="shared" si="59"/>
        <v>OK</v>
      </c>
      <c r="U464">
        <f>COUNTIF($A:$A,A464)</f>
        <v>1</v>
      </c>
      <c r="V464" t="str">
        <f t="shared" si="60"/>
        <v>OK</v>
      </c>
      <c r="W464" t="str">
        <f>IF(I464&gt;B464,"ERROR","OK")</f>
        <v>OK</v>
      </c>
      <c r="X464">
        <f>(B464-I464)/B464</f>
        <v>0.70772862505523004</v>
      </c>
      <c r="Y464" s="2">
        <f t="shared" si="61"/>
        <v>9.9920072216264089E-16</v>
      </c>
      <c r="Z464" s="2" t="str">
        <f t="shared" si="62"/>
        <v>OK</v>
      </c>
      <c r="AA464" t="str">
        <f t="shared" si="63"/>
        <v>Unique</v>
      </c>
    </row>
    <row r="465" spans="1:27" x14ac:dyDescent="0.3">
      <c r="A465">
        <v>464</v>
      </c>
      <c r="B465">
        <v>1724887.8332837999</v>
      </c>
      <c r="C465">
        <v>0.37271222814687599</v>
      </c>
      <c r="D465">
        <v>0.18656587714536901</v>
      </c>
      <c r="E465">
        <v>0.22699435187772199</v>
      </c>
      <c r="F465">
        <v>1</v>
      </c>
      <c r="G465" t="s">
        <v>10</v>
      </c>
      <c r="H465">
        <v>0</v>
      </c>
      <c r="I465">
        <v>391539.79577802698</v>
      </c>
      <c r="J465">
        <v>0.77300564812227701</v>
      </c>
      <c r="K465" t="str">
        <f t="shared" si="56"/>
        <v>OK</v>
      </c>
      <c r="L465" t="str">
        <f t="shared" si="57"/>
        <v>OK</v>
      </c>
      <c r="M465" t="str">
        <f>IF(OR(B465&lt;$AE$20,B465&gt;$AF$20),"Outlier","OK")</f>
        <v>OK</v>
      </c>
      <c r="N465" t="str">
        <f>IF(OR(J465&lt;$AE$21,J465&gt;$AF$21),"Outlier","OK")</f>
        <v>OK</v>
      </c>
      <c r="O465" t="str">
        <f>IF(OR(C465&lt;0,C465&gt;1),"Outlier","OK")</f>
        <v>OK</v>
      </c>
      <c r="P465" t="str">
        <f>IF(OR(D465&lt;0,D465&gt;1),"Outlier","OK")</f>
        <v>OK</v>
      </c>
      <c r="Q465" t="str">
        <f t="shared" si="58"/>
        <v>60-80%</v>
      </c>
      <c r="R465" t="str">
        <f>IF(B465="","Missing","OK")</f>
        <v>OK</v>
      </c>
      <c r="S465" t="str">
        <f>IF(E465="","Missing","OK")</f>
        <v>OK</v>
      </c>
      <c r="T465" t="str">
        <f t="shared" si="59"/>
        <v>OK</v>
      </c>
      <c r="U465">
        <f>COUNTIF($A:$A,A465)</f>
        <v>1</v>
      </c>
      <c r="V465" t="str">
        <f t="shared" si="60"/>
        <v>OK</v>
      </c>
      <c r="W465" t="str">
        <f>IF(I465&gt;B465,"ERROR","OK")</f>
        <v>OK</v>
      </c>
      <c r="X465">
        <f>(B465-I465)/B465</f>
        <v>0.77300564812227646</v>
      </c>
      <c r="Y465" s="2">
        <f t="shared" si="61"/>
        <v>5.5511151231257827E-16</v>
      </c>
      <c r="Z465" s="2" t="str">
        <f t="shared" si="62"/>
        <v>OK</v>
      </c>
      <c r="AA465" t="str">
        <f t="shared" si="63"/>
        <v>Unique</v>
      </c>
    </row>
    <row r="466" spans="1:27" x14ac:dyDescent="0.3">
      <c r="A466">
        <v>465</v>
      </c>
      <c r="B466">
        <v>1321700.0538962299</v>
      </c>
      <c r="C466">
        <v>0.87936955744654499</v>
      </c>
      <c r="D466">
        <v>0.168228082730668</v>
      </c>
      <c r="E466">
        <v>0.30414524735322701</v>
      </c>
      <c r="F466">
        <v>1</v>
      </c>
      <c r="G466" t="s">
        <v>10</v>
      </c>
      <c r="H466">
        <v>0</v>
      </c>
      <c r="I466">
        <v>401988.789819044</v>
      </c>
      <c r="J466">
        <v>0.69585475264677199</v>
      </c>
      <c r="K466" t="str">
        <f t="shared" si="56"/>
        <v>OK</v>
      </c>
      <c r="L466" t="str">
        <f t="shared" si="57"/>
        <v>OK</v>
      </c>
      <c r="M466" t="str">
        <f>IF(OR(B466&lt;$AE$20,B466&gt;$AF$20),"Outlier","OK")</f>
        <v>OK</v>
      </c>
      <c r="N466" t="str">
        <f>IF(OR(J466&lt;$AE$21,J466&gt;$AF$21),"Outlier","OK")</f>
        <v>OK</v>
      </c>
      <c r="O466" t="str">
        <f>IF(OR(C466&lt;0,C466&gt;1),"Outlier","OK")</f>
        <v>OK</v>
      </c>
      <c r="P466" t="str">
        <f>IF(OR(D466&lt;0,D466&gt;1),"Outlier","OK")</f>
        <v>OK</v>
      </c>
      <c r="Q466" t="str">
        <f t="shared" si="58"/>
        <v>60-80%</v>
      </c>
      <c r="R466" t="str">
        <f>IF(B466="","Missing","OK")</f>
        <v>OK</v>
      </c>
      <c r="S466" t="str">
        <f>IF(E466="","Missing","OK")</f>
        <v>OK</v>
      </c>
      <c r="T466" t="str">
        <f t="shared" si="59"/>
        <v>OK</v>
      </c>
      <c r="U466">
        <f>COUNTIF($A:$A,A466)</f>
        <v>1</v>
      </c>
      <c r="V466" t="str">
        <f t="shared" si="60"/>
        <v>OK</v>
      </c>
      <c r="W466" t="str">
        <f>IF(I466&gt;B466,"ERROR","OK")</f>
        <v>OK</v>
      </c>
      <c r="X466">
        <f>(B466-I466)/B466</f>
        <v>0.69585475264677166</v>
      </c>
      <c r="Y466" s="2">
        <f t="shared" si="61"/>
        <v>3.3306690738754696E-16</v>
      </c>
      <c r="Z466" s="2" t="str">
        <f t="shared" si="62"/>
        <v>OK</v>
      </c>
      <c r="AA466" t="str">
        <f t="shared" si="63"/>
        <v>Unique</v>
      </c>
    </row>
    <row r="467" spans="1:27" x14ac:dyDescent="0.3">
      <c r="A467">
        <v>466</v>
      </c>
      <c r="B467">
        <v>504310.79853010701</v>
      </c>
      <c r="C467">
        <v>0.868627173813311</v>
      </c>
      <c r="D467">
        <v>-6.8902955504866401E-2</v>
      </c>
      <c r="E467">
        <v>0.37457776150690297</v>
      </c>
      <c r="F467">
        <v>1</v>
      </c>
      <c r="G467" t="s">
        <v>11</v>
      </c>
      <c r="H467">
        <v>1</v>
      </c>
      <c r="I467">
        <v>188903.61001716601</v>
      </c>
      <c r="J467">
        <v>0.62542223849309597</v>
      </c>
      <c r="K467" t="str">
        <f t="shared" si="56"/>
        <v>OK</v>
      </c>
      <c r="L467" t="str">
        <f t="shared" si="57"/>
        <v>OK</v>
      </c>
      <c r="M467" t="str">
        <f>IF(OR(B467&lt;$AE$20,B467&gt;$AF$20),"Outlier","OK")</f>
        <v>OK</v>
      </c>
      <c r="N467" t="str">
        <f>IF(OR(J467&lt;$AE$21,J467&gt;$AF$21),"Outlier","OK")</f>
        <v>OK</v>
      </c>
      <c r="O467" t="str">
        <f>IF(OR(C467&lt;0,C467&gt;1),"Outlier","OK")</f>
        <v>OK</v>
      </c>
      <c r="P467" t="str">
        <f>IF(OR(D467&lt;0,D467&gt;1),"Outlier","OK")</f>
        <v>Outlier</v>
      </c>
      <c r="Q467" t="str">
        <f t="shared" si="58"/>
        <v>60-80%</v>
      </c>
      <c r="R467" t="str">
        <f>IF(B467="","Missing","OK")</f>
        <v>OK</v>
      </c>
      <c r="S467" t="str">
        <f>IF(E467="","Missing","OK")</f>
        <v>OK</v>
      </c>
      <c r="T467" t="str">
        <f t="shared" si="59"/>
        <v>OK</v>
      </c>
      <c r="U467">
        <f>COUNTIF($A:$A,A467)</f>
        <v>1</v>
      </c>
      <c r="V467" t="str">
        <f t="shared" si="60"/>
        <v>OK</v>
      </c>
      <c r="W467" t="str">
        <f>IF(I467&gt;B467,"ERROR","OK")</f>
        <v>OK</v>
      </c>
      <c r="X467">
        <f>(B467-I467)/B467</f>
        <v>0.62542223849309742</v>
      </c>
      <c r="Y467" s="2">
        <f t="shared" si="61"/>
        <v>1.4432899320127035E-15</v>
      </c>
      <c r="Z467" s="2" t="str">
        <f t="shared" si="62"/>
        <v>OK</v>
      </c>
      <c r="AA467" t="str">
        <f t="shared" si="63"/>
        <v>Unique</v>
      </c>
    </row>
    <row r="468" spans="1:27" x14ac:dyDescent="0.3">
      <c r="A468">
        <v>467</v>
      </c>
      <c r="B468">
        <v>1560431.3988151101</v>
      </c>
      <c r="C468">
        <v>0.52026122365802396</v>
      </c>
      <c r="D468">
        <v>1.48289742226706E-3</v>
      </c>
      <c r="E468">
        <v>0.27264567098763198</v>
      </c>
      <c r="F468">
        <v>1</v>
      </c>
      <c r="G468" t="s">
        <v>11</v>
      </c>
      <c r="H468">
        <v>1</v>
      </c>
      <c r="I468">
        <v>425444.86576011701</v>
      </c>
      <c r="J468">
        <v>0.72735432901236696</v>
      </c>
      <c r="K468" t="str">
        <f t="shared" si="56"/>
        <v>OK</v>
      </c>
      <c r="L468" t="str">
        <f t="shared" si="57"/>
        <v>OK</v>
      </c>
      <c r="M468" t="str">
        <f>IF(OR(B468&lt;$AE$20,B468&gt;$AF$20),"Outlier","OK")</f>
        <v>OK</v>
      </c>
      <c r="N468" t="str">
        <f>IF(OR(J468&lt;$AE$21,J468&gt;$AF$21),"Outlier","OK")</f>
        <v>OK</v>
      </c>
      <c r="O468" t="str">
        <f>IF(OR(C468&lt;0,C468&gt;1),"Outlier","OK")</f>
        <v>OK</v>
      </c>
      <c r="P468" t="str">
        <f>IF(OR(D468&lt;0,D468&gt;1),"Outlier","OK")</f>
        <v>OK</v>
      </c>
      <c r="Q468" t="str">
        <f t="shared" si="58"/>
        <v>60-80%</v>
      </c>
      <c r="R468" t="str">
        <f>IF(B468="","Missing","OK")</f>
        <v>OK</v>
      </c>
      <c r="S468" t="str">
        <f>IF(E468="","Missing","OK")</f>
        <v>OK</v>
      </c>
      <c r="T468" t="str">
        <f t="shared" si="59"/>
        <v>OK</v>
      </c>
      <c r="U468">
        <f>COUNTIF($A:$A,A468)</f>
        <v>1</v>
      </c>
      <c r="V468" t="str">
        <f t="shared" si="60"/>
        <v>OK</v>
      </c>
      <c r="W468" t="str">
        <f>IF(I468&gt;B468,"ERROR","OK")</f>
        <v>OK</v>
      </c>
      <c r="X468">
        <f>(B468-I468)/B468</f>
        <v>0.72735432901236663</v>
      </c>
      <c r="Y468" s="2">
        <f t="shared" si="61"/>
        <v>3.3306690738754696E-16</v>
      </c>
      <c r="Z468" s="2" t="str">
        <f t="shared" si="62"/>
        <v>OK</v>
      </c>
      <c r="AA468" t="str">
        <f t="shared" si="63"/>
        <v>Unique</v>
      </c>
    </row>
    <row r="469" spans="1:27" x14ac:dyDescent="0.3">
      <c r="A469">
        <v>468</v>
      </c>
      <c r="B469">
        <v>312496.31980611599</v>
      </c>
      <c r="C469">
        <v>0.85370975205503796</v>
      </c>
      <c r="D469">
        <v>9.0366475644836602E-2</v>
      </c>
      <c r="E469">
        <v>0.15651019806870101</v>
      </c>
      <c r="F469">
        <v>1</v>
      </c>
      <c r="G469" t="s">
        <v>10</v>
      </c>
      <c r="H469">
        <v>1</v>
      </c>
      <c r="I469">
        <v>48908.860908595503</v>
      </c>
      <c r="J469">
        <v>0.84348980193129797</v>
      </c>
      <c r="K469" t="str">
        <f t="shared" si="56"/>
        <v>OK</v>
      </c>
      <c r="L469" t="str">
        <f t="shared" si="57"/>
        <v>OK</v>
      </c>
      <c r="M469" t="str">
        <f>IF(OR(B469&lt;$AE$20,B469&gt;$AF$20),"Outlier","OK")</f>
        <v>OK</v>
      </c>
      <c r="N469" t="str">
        <f>IF(OR(J469&lt;$AE$21,J469&gt;$AF$21),"Outlier","OK")</f>
        <v>OK</v>
      </c>
      <c r="O469" t="str">
        <f>IF(OR(C469&lt;0,C469&gt;1),"Outlier","OK")</f>
        <v>OK</v>
      </c>
      <c r="P469" t="str">
        <f>IF(OR(D469&lt;0,D469&gt;1),"Outlier","OK")</f>
        <v>OK</v>
      </c>
      <c r="Q469" t="str">
        <f t="shared" si="58"/>
        <v>80-100%</v>
      </c>
      <c r="R469" t="str">
        <f>IF(B469="","Missing","OK")</f>
        <v>OK</v>
      </c>
      <c r="S469" t="str">
        <f>IF(E469="","Missing","OK")</f>
        <v>OK</v>
      </c>
      <c r="T469" t="str">
        <f t="shared" si="59"/>
        <v>OK</v>
      </c>
      <c r="U469">
        <f>COUNTIF($A:$A,A469)</f>
        <v>1</v>
      </c>
      <c r="V469" t="str">
        <f t="shared" si="60"/>
        <v>OK</v>
      </c>
      <c r="W469" t="str">
        <f>IF(I469&gt;B469,"ERROR","OK")</f>
        <v>OK</v>
      </c>
      <c r="X469">
        <f>(B469-I469)/B469</f>
        <v>0.84348980193129852</v>
      </c>
      <c r="Y469" s="2">
        <f t="shared" si="61"/>
        <v>5.5511151231257827E-16</v>
      </c>
      <c r="Z469" s="2" t="str">
        <f t="shared" si="62"/>
        <v>OK</v>
      </c>
      <c r="AA469" t="str">
        <f t="shared" si="63"/>
        <v>Unique</v>
      </c>
    </row>
    <row r="470" spans="1:27" x14ac:dyDescent="0.3">
      <c r="A470">
        <v>469</v>
      </c>
      <c r="B470">
        <v>372841.94292099</v>
      </c>
      <c r="C470">
        <v>0.50797050876745498</v>
      </c>
      <c r="D470">
        <v>-9.7665381440149704E-2</v>
      </c>
      <c r="E470">
        <v>0.47061624199506003</v>
      </c>
      <c r="F470">
        <v>1</v>
      </c>
      <c r="G470" t="s">
        <v>13</v>
      </c>
      <c r="H470">
        <v>0</v>
      </c>
      <c r="I470">
        <v>175465.47403561301</v>
      </c>
      <c r="J470">
        <v>0.52938375800493898</v>
      </c>
      <c r="K470" t="str">
        <f t="shared" si="56"/>
        <v>OK</v>
      </c>
      <c r="L470" t="str">
        <f t="shared" si="57"/>
        <v>OK</v>
      </c>
      <c r="M470" t="str">
        <f>IF(OR(B470&lt;$AE$20,B470&gt;$AF$20),"Outlier","OK")</f>
        <v>OK</v>
      </c>
      <c r="N470" t="str">
        <f>IF(OR(J470&lt;$AE$21,J470&gt;$AF$21),"Outlier","OK")</f>
        <v>OK</v>
      </c>
      <c r="O470" t="str">
        <f>IF(OR(C470&lt;0,C470&gt;1),"Outlier","OK")</f>
        <v>OK</v>
      </c>
      <c r="P470" t="str">
        <f>IF(OR(D470&lt;0,D470&gt;1),"Outlier","OK")</f>
        <v>Outlier</v>
      </c>
      <c r="Q470" t="str">
        <f t="shared" si="58"/>
        <v>40-60%</v>
      </c>
      <c r="R470" t="str">
        <f>IF(B470="","Missing","OK")</f>
        <v>OK</v>
      </c>
      <c r="S470" t="str">
        <f>IF(E470="","Missing","OK")</f>
        <v>OK</v>
      </c>
      <c r="T470" t="str">
        <f t="shared" si="59"/>
        <v>OK</v>
      </c>
      <c r="U470">
        <f>COUNTIF($A:$A,A470)</f>
        <v>1</v>
      </c>
      <c r="V470" t="str">
        <f t="shared" si="60"/>
        <v>OK</v>
      </c>
      <c r="W470" t="str">
        <f>IF(I470&gt;B470,"ERROR","OK")</f>
        <v>OK</v>
      </c>
      <c r="X470">
        <f>(B470-I470)/B470</f>
        <v>0.52938375800493997</v>
      </c>
      <c r="Y470" s="2">
        <f t="shared" si="61"/>
        <v>9.9920072216264089E-16</v>
      </c>
      <c r="Z470" s="2" t="str">
        <f t="shared" si="62"/>
        <v>OK</v>
      </c>
      <c r="AA470" t="str">
        <f t="shared" si="63"/>
        <v>Unique</v>
      </c>
    </row>
    <row r="471" spans="1:27" x14ac:dyDescent="0.3">
      <c r="A471">
        <v>470</v>
      </c>
      <c r="B471">
        <v>1244730.4514775199</v>
      </c>
      <c r="C471">
        <v>0.64150456321484695</v>
      </c>
      <c r="D471">
        <v>-3.7471481844530301E-2</v>
      </c>
      <c r="E471">
        <v>0.24164435441087201</v>
      </c>
      <c r="F471">
        <v>1</v>
      </c>
      <c r="G471" t="s">
        <v>12</v>
      </c>
      <c r="H471">
        <v>0</v>
      </c>
      <c r="I471">
        <v>300782.086362842</v>
      </c>
      <c r="J471">
        <v>0.75835564558912705</v>
      </c>
      <c r="K471" t="str">
        <f t="shared" si="56"/>
        <v>OK</v>
      </c>
      <c r="L471" t="str">
        <f t="shared" si="57"/>
        <v>OK</v>
      </c>
      <c r="M471" t="str">
        <f>IF(OR(B471&lt;$AE$20,B471&gt;$AF$20),"Outlier","OK")</f>
        <v>OK</v>
      </c>
      <c r="N471" t="str">
        <f>IF(OR(J471&lt;$AE$21,J471&gt;$AF$21),"Outlier","OK")</f>
        <v>OK</v>
      </c>
      <c r="O471" t="str">
        <f>IF(OR(C471&lt;0,C471&gt;1),"Outlier","OK")</f>
        <v>OK</v>
      </c>
      <c r="P471" t="str">
        <f>IF(OR(D471&lt;0,D471&gt;1),"Outlier","OK")</f>
        <v>Outlier</v>
      </c>
      <c r="Q471" t="str">
        <f t="shared" si="58"/>
        <v>60-80%</v>
      </c>
      <c r="R471" t="str">
        <f>IF(B471="","Missing","OK")</f>
        <v>OK</v>
      </c>
      <c r="S471" t="str">
        <f>IF(E471="","Missing","OK")</f>
        <v>OK</v>
      </c>
      <c r="T471" t="str">
        <f t="shared" si="59"/>
        <v>OK</v>
      </c>
      <c r="U471">
        <f>COUNTIF($A:$A,A471)</f>
        <v>1</v>
      </c>
      <c r="V471" t="str">
        <f t="shared" si="60"/>
        <v>OK</v>
      </c>
      <c r="W471" t="str">
        <f>IF(I471&gt;B471,"ERROR","OK")</f>
        <v>OK</v>
      </c>
      <c r="X471">
        <f>(B471-I471)/B471</f>
        <v>0.75835564558912527</v>
      </c>
      <c r="Y471" s="2">
        <f t="shared" si="61"/>
        <v>1.7763568394002505E-15</v>
      </c>
      <c r="Z471" s="2" t="str">
        <f t="shared" si="62"/>
        <v>OK</v>
      </c>
      <c r="AA471" t="str">
        <f t="shared" si="63"/>
        <v>Unique</v>
      </c>
    </row>
    <row r="472" spans="1:27" x14ac:dyDescent="0.3">
      <c r="A472">
        <v>471</v>
      </c>
      <c r="B472">
        <v>515627.64197812998</v>
      </c>
      <c r="C472">
        <v>0.57181101704305004</v>
      </c>
      <c r="D472">
        <v>0.19545350657688801</v>
      </c>
      <c r="E472">
        <v>0.39180435720423301</v>
      </c>
      <c r="F472">
        <v>1</v>
      </c>
      <c r="G472" t="s">
        <v>11</v>
      </c>
      <c r="H472">
        <v>0</v>
      </c>
      <c r="I472">
        <v>202025.15682197601</v>
      </c>
      <c r="J472">
        <v>0.60819564279576599</v>
      </c>
      <c r="K472" t="str">
        <f t="shared" si="56"/>
        <v>OK</v>
      </c>
      <c r="L472" t="str">
        <f t="shared" si="57"/>
        <v>OK</v>
      </c>
      <c r="M472" t="str">
        <f>IF(OR(B472&lt;$AE$20,B472&gt;$AF$20),"Outlier","OK")</f>
        <v>OK</v>
      </c>
      <c r="N472" t="str">
        <f>IF(OR(J472&lt;$AE$21,J472&gt;$AF$21),"Outlier","OK")</f>
        <v>OK</v>
      </c>
      <c r="O472" t="str">
        <f>IF(OR(C472&lt;0,C472&gt;1),"Outlier","OK")</f>
        <v>OK</v>
      </c>
      <c r="P472" t="str">
        <f>IF(OR(D472&lt;0,D472&gt;1),"Outlier","OK")</f>
        <v>OK</v>
      </c>
      <c r="Q472" t="str">
        <f t="shared" si="58"/>
        <v>60-80%</v>
      </c>
      <c r="R472" t="str">
        <f>IF(B472="","Missing","OK")</f>
        <v>OK</v>
      </c>
      <c r="S472" t="str">
        <f>IF(E472="","Missing","OK")</f>
        <v>OK</v>
      </c>
      <c r="T472" t="str">
        <f t="shared" si="59"/>
        <v>OK</v>
      </c>
      <c r="U472">
        <f>COUNTIF($A:$A,A472)</f>
        <v>1</v>
      </c>
      <c r="V472" t="str">
        <f t="shared" si="60"/>
        <v>OK</v>
      </c>
      <c r="W472" t="str">
        <f>IF(I472&gt;B472,"ERROR","OK")</f>
        <v>OK</v>
      </c>
      <c r="X472">
        <f>(B472-I472)/B472</f>
        <v>0.60819564279576621</v>
      </c>
      <c r="Y472" s="2">
        <f t="shared" si="61"/>
        <v>2.2204460492503131E-16</v>
      </c>
      <c r="Z472" s="2" t="str">
        <f t="shared" si="62"/>
        <v>OK</v>
      </c>
      <c r="AA472" t="str">
        <f t="shared" si="63"/>
        <v>Unique</v>
      </c>
    </row>
    <row r="473" spans="1:27" x14ac:dyDescent="0.3">
      <c r="A473">
        <v>472</v>
      </c>
      <c r="B473">
        <v>1424318.16773328</v>
      </c>
      <c r="C473">
        <v>0.52977234853718602</v>
      </c>
      <c r="D473">
        <v>-0.104593129931004</v>
      </c>
      <c r="E473">
        <v>0.49748789892535999</v>
      </c>
      <c r="F473">
        <v>1</v>
      </c>
      <c r="G473" t="s">
        <v>12</v>
      </c>
      <c r="H473">
        <v>1</v>
      </c>
      <c r="I473">
        <v>708581.05266685097</v>
      </c>
      <c r="J473">
        <v>0.50251210107463895</v>
      </c>
      <c r="K473" t="str">
        <f t="shared" si="56"/>
        <v>OK</v>
      </c>
      <c r="L473" t="str">
        <f t="shared" si="57"/>
        <v>OK</v>
      </c>
      <c r="M473" t="str">
        <f>IF(OR(B473&lt;$AE$20,B473&gt;$AF$20),"Outlier","OK")</f>
        <v>OK</v>
      </c>
      <c r="N473" t="str">
        <f>IF(OR(J473&lt;$AE$21,J473&gt;$AF$21),"Outlier","OK")</f>
        <v>OK</v>
      </c>
      <c r="O473" t="str">
        <f>IF(OR(C473&lt;0,C473&gt;1),"Outlier","OK")</f>
        <v>OK</v>
      </c>
      <c r="P473" t="str">
        <f>IF(OR(D473&lt;0,D473&gt;1),"Outlier","OK")</f>
        <v>Outlier</v>
      </c>
      <c r="Q473" t="str">
        <f t="shared" si="58"/>
        <v>40-60%</v>
      </c>
      <c r="R473" t="str">
        <f>IF(B473="","Missing","OK")</f>
        <v>OK</v>
      </c>
      <c r="S473" t="str">
        <f>IF(E473="","Missing","OK")</f>
        <v>OK</v>
      </c>
      <c r="T473" t="str">
        <f t="shared" si="59"/>
        <v>OK</v>
      </c>
      <c r="U473">
        <f>COUNTIF($A:$A,A473)</f>
        <v>1</v>
      </c>
      <c r="V473" t="str">
        <f t="shared" si="60"/>
        <v>OK</v>
      </c>
      <c r="W473" t="str">
        <f>IF(I473&gt;B473,"ERROR","OK")</f>
        <v>OK</v>
      </c>
      <c r="X473">
        <f>(B473-I473)/B473</f>
        <v>0.50251210107463784</v>
      </c>
      <c r="Y473" s="2">
        <f t="shared" si="61"/>
        <v>1.1102230246251565E-15</v>
      </c>
      <c r="Z473" s="2" t="str">
        <f t="shared" si="62"/>
        <v>OK</v>
      </c>
      <c r="AA473" t="str">
        <f t="shared" si="63"/>
        <v>Unique</v>
      </c>
    </row>
    <row r="474" spans="1:27" x14ac:dyDescent="0.3">
      <c r="A474">
        <v>473</v>
      </c>
      <c r="B474">
        <v>731561.12841431506</v>
      </c>
      <c r="C474">
        <v>0.77084855835015897</v>
      </c>
      <c r="D474">
        <v>0.17542189469754199</v>
      </c>
      <c r="E474">
        <v>0.444057518062559</v>
      </c>
      <c r="F474">
        <v>1</v>
      </c>
      <c r="G474" t="s">
        <v>11</v>
      </c>
      <c r="H474">
        <v>0</v>
      </c>
      <c r="I474">
        <v>324855.218994706</v>
      </c>
      <c r="J474">
        <v>0.55594248193744</v>
      </c>
      <c r="K474" t="str">
        <f t="shared" si="56"/>
        <v>OK</v>
      </c>
      <c r="L474" t="str">
        <f t="shared" si="57"/>
        <v>OK</v>
      </c>
      <c r="M474" t="str">
        <f>IF(OR(B474&lt;$AE$20,B474&gt;$AF$20),"Outlier","OK")</f>
        <v>OK</v>
      </c>
      <c r="N474" t="str">
        <f>IF(OR(J474&lt;$AE$21,J474&gt;$AF$21),"Outlier","OK")</f>
        <v>OK</v>
      </c>
      <c r="O474" t="str">
        <f>IF(OR(C474&lt;0,C474&gt;1),"Outlier","OK")</f>
        <v>OK</v>
      </c>
      <c r="P474" t="str">
        <f>IF(OR(D474&lt;0,D474&gt;1),"Outlier","OK")</f>
        <v>OK</v>
      </c>
      <c r="Q474" t="str">
        <f t="shared" si="58"/>
        <v>40-60%</v>
      </c>
      <c r="R474" t="str">
        <f>IF(B474="","Missing","OK")</f>
        <v>OK</v>
      </c>
      <c r="S474" t="str">
        <f>IF(E474="","Missing","OK")</f>
        <v>OK</v>
      </c>
      <c r="T474" t="str">
        <f t="shared" si="59"/>
        <v>OK</v>
      </c>
      <c r="U474">
        <f>COUNTIF($A:$A,A474)</f>
        <v>1</v>
      </c>
      <c r="V474" t="str">
        <f t="shared" si="60"/>
        <v>OK</v>
      </c>
      <c r="W474" t="str">
        <f>IF(I474&gt;B474,"ERROR","OK")</f>
        <v>OK</v>
      </c>
      <c r="X474">
        <f>(B474-I474)/B474</f>
        <v>0.55594248193744067</v>
      </c>
      <c r="Y474" s="2">
        <f t="shared" si="61"/>
        <v>6.6613381477509392E-16</v>
      </c>
      <c r="Z474" s="2" t="str">
        <f t="shared" si="62"/>
        <v>OK</v>
      </c>
      <c r="AA474" t="str">
        <f t="shared" si="63"/>
        <v>Unique</v>
      </c>
    </row>
    <row r="475" spans="1:27" x14ac:dyDescent="0.3">
      <c r="A475">
        <v>474</v>
      </c>
      <c r="B475">
        <v>590976.72201440099</v>
      </c>
      <c r="C475">
        <v>0.78020055434219004</v>
      </c>
      <c r="D475">
        <v>3.7779058203804501E-4</v>
      </c>
      <c r="E475">
        <v>0.38453704085407697</v>
      </c>
      <c r="F475">
        <v>1</v>
      </c>
      <c r="G475" t="s">
        <v>13</v>
      </c>
      <c r="H475">
        <v>1</v>
      </c>
      <c r="I475">
        <v>227252.43989705999</v>
      </c>
      <c r="J475">
        <v>0.61546295914592197</v>
      </c>
      <c r="K475" t="str">
        <f t="shared" si="56"/>
        <v>OK</v>
      </c>
      <c r="L475" t="str">
        <f t="shared" si="57"/>
        <v>OK</v>
      </c>
      <c r="M475" t="str">
        <f>IF(OR(B475&lt;$AE$20,B475&gt;$AF$20),"Outlier","OK")</f>
        <v>OK</v>
      </c>
      <c r="N475" t="str">
        <f>IF(OR(J475&lt;$AE$21,J475&gt;$AF$21),"Outlier","OK")</f>
        <v>OK</v>
      </c>
      <c r="O475" t="str">
        <f>IF(OR(C475&lt;0,C475&gt;1),"Outlier","OK")</f>
        <v>OK</v>
      </c>
      <c r="P475" t="str">
        <f>IF(OR(D475&lt;0,D475&gt;1),"Outlier","OK")</f>
        <v>OK</v>
      </c>
      <c r="Q475" t="str">
        <f t="shared" si="58"/>
        <v>60-80%</v>
      </c>
      <c r="R475" t="str">
        <f>IF(B475="","Missing","OK")</f>
        <v>OK</v>
      </c>
      <c r="S475" t="str">
        <f>IF(E475="","Missing","OK")</f>
        <v>OK</v>
      </c>
      <c r="T475" t="str">
        <f t="shared" si="59"/>
        <v>OK</v>
      </c>
      <c r="U475">
        <f>COUNTIF($A:$A,A475)</f>
        <v>1</v>
      </c>
      <c r="V475" t="str">
        <f t="shared" si="60"/>
        <v>OK</v>
      </c>
      <c r="W475" t="str">
        <f>IF(I475&gt;B475,"ERROR","OK")</f>
        <v>OK</v>
      </c>
      <c r="X475">
        <f>(B475-I475)/B475</f>
        <v>0.61546295914592342</v>
      </c>
      <c r="Y475" s="2">
        <f t="shared" si="61"/>
        <v>1.4432899320127035E-15</v>
      </c>
      <c r="Z475" s="2" t="str">
        <f t="shared" si="62"/>
        <v>OK</v>
      </c>
      <c r="AA475" t="str">
        <f t="shared" si="63"/>
        <v>Unique</v>
      </c>
    </row>
    <row r="476" spans="1:27" x14ac:dyDescent="0.3">
      <c r="A476">
        <v>475</v>
      </c>
      <c r="B476">
        <v>1997890.89164695</v>
      </c>
      <c r="C476">
        <v>0.27524167171611902</v>
      </c>
      <c r="D476">
        <v>-5.8372960593337297E-2</v>
      </c>
      <c r="E476">
        <v>0.44995038416116401</v>
      </c>
      <c r="F476">
        <v>1</v>
      </c>
      <c r="G476" t="s">
        <v>12</v>
      </c>
      <c r="H476">
        <v>1</v>
      </c>
      <c r="I476">
        <v>898951.774208638</v>
      </c>
      <c r="J476">
        <v>0.55004961583883505</v>
      </c>
      <c r="K476" t="str">
        <f t="shared" si="56"/>
        <v>OK</v>
      </c>
      <c r="L476" t="str">
        <f t="shared" si="57"/>
        <v>OK</v>
      </c>
      <c r="M476" t="str">
        <f>IF(OR(B476&lt;$AE$20,B476&gt;$AF$20),"Outlier","OK")</f>
        <v>Outlier</v>
      </c>
      <c r="N476" t="str">
        <f>IF(OR(J476&lt;$AE$21,J476&gt;$AF$21),"Outlier","OK")</f>
        <v>OK</v>
      </c>
      <c r="O476" t="str">
        <f>IF(OR(C476&lt;0,C476&gt;1),"Outlier","OK")</f>
        <v>OK</v>
      </c>
      <c r="P476" t="str">
        <f>IF(OR(D476&lt;0,D476&gt;1),"Outlier","OK")</f>
        <v>Outlier</v>
      </c>
      <c r="Q476" t="str">
        <f t="shared" si="58"/>
        <v>40-60%</v>
      </c>
      <c r="R476" t="str">
        <f>IF(B476="","Missing","OK")</f>
        <v>OK</v>
      </c>
      <c r="S476" t="str">
        <f>IF(E476="","Missing","OK")</f>
        <v>OK</v>
      </c>
      <c r="T476" t="str">
        <f t="shared" si="59"/>
        <v>OK</v>
      </c>
      <c r="U476">
        <f>COUNTIF($A:$A,A476)</f>
        <v>1</v>
      </c>
      <c r="V476" t="str">
        <f t="shared" si="60"/>
        <v>OK</v>
      </c>
      <c r="W476" t="str">
        <f>IF(I476&gt;B476,"ERROR","OK")</f>
        <v>OK</v>
      </c>
      <c r="X476">
        <f>(B476-I476)/B476</f>
        <v>0.55004961583883483</v>
      </c>
      <c r="Y476" s="2">
        <f t="shared" si="61"/>
        <v>2.2204460492503131E-16</v>
      </c>
      <c r="Z476" s="2" t="str">
        <f t="shared" si="62"/>
        <v>OK</v>
      </c>
      <c r="AA476" t="str">
        <f t="shared" si="63"/>
        <v>Unique</v>
      </c>
    </row>
    <row r="477" spans="1:27" x14ac:dyDescent="0.3">
      <c r="A477">
        <v>476</v>
      </c>
      <c r="B477">
        <v>129201.442888996</v>
      </c>
      <c r="C477">
        <v>0.80626791037718104</v>
      </c>
      <c r="D477">
        <v>-0.10310421099040799</v>
      </c>
      <c r="E477">
        <v>0.65471078220638301</v>
      </c>
      <c r="F477">
        <v>1</v>
      </c>
      <c r="G477" t="s">
        <v>12</v>
      </c>
      <c r="H477">
        <v>1</v>
      </c>
      <c r="I477">
        <v>84589.577736047999</v>
      </c>
      <c r="J477">
        <v>0.34528921779361599</v>
      </c>
      <c r="K477" t="str">
        <f t="shared" si="56"/>
        <v>OK</v>
      </c>
      <c r="L477" t="str">
        <f t="shared" si="57"/>
        <v>OK</v>
      </c>
      <c r="M477" t="str">
        <f>IF(OR(B477&lt;$AE$20,B477&gt;$AF$20),"Outlier","OK")</f>
        <v>OK</v>
      </c>
      <c r="N477" t="str">
        <f>IF(OR(J477&lt;$AE$21,J477&gt;$AF$21),"Outlier","OK")</f>
        <v>OK</v>
      </c>
      <c r="O477" t="str">
        <f>IF(OR(C477&lt;0,C477&gt;1),"Outlier","OK")</f>
        <v>OK</v>
      </c>
      <c r="P477" t="str">
        <f>IF(OR(D477&lt;0,D477&gt;1),"Outlier","OK")</f>
        <v>Outlier</v>
      </c>
      <c r="Q477" t="str">
        <f t="shared" si="58"/>
        <v>20-40%</v>
      </c>
      <c r="R477" t="str">
        <f>IF(B477="","Missing","OK")</f>
        <v>OK</v>
      </c>
      <c r="S477" t="str">
        <f>IF(E477="","Missing","OK")</f>
        <v>OK</v>
      </c>
      <c r="T477" t="str">
        <f t="shared" si="59"/>
        <v>OK</v>
      </c>
      <c r="U477">
        <f>COUNTIF($A:$A,A477)</f>
        <v>1</v>
      </c>
      <c r="V477" t="str">
        <f t="shared" si="60"/>
        <v>OK</v>
      </c>
      <c r="W477" t="str">
        <f>IF(I477&gt;B477,"ERROR","OK")</f>
        <v>OK</v>
      </c>
      <c r="X477">
        <f>(B477-I477)/B477</f>
        <v>0.34528921779361615</v>
      </c>
      <c r="Y477" s="2">
        <f t="shared" si="61"/>
        <v>1.6653345369377348E-16</v>
      </c>
      <c r="Z477" s="2" t="str">
        <f t="shared" si="62"/>
        <v>OK</v>
      </c>
      <c r="AA477" t="str">
        <f t="shared" si="63"/>
        <v>Unique</v>
      </c>
    </row>
    <row r="478" spans="1:27" x14ac:dyDescent="0.3">
      <c r="A478">
        <v>477</v>
      </c>
      <c r="B478">
        <v>1309353.91728206</v>
      </c>
      <c r="C478">
        <v>0.86445443988562298</v>
      </c>
      <c r="D478">
        <v>4.01872389860638E-2</v>
      </c>
      <c r="E478">
        <v>0.33619129936107001</v>
      </c>
      <c r="F478">
        <v>1</v>
      </c>
      <c r="G478" t="s">
        <v>13</v>
      </c>
      <c r="H478">
        <v>0</v>
      </c>
      <c r="I478">
        <v>440193.394774566</v>
      </c>
      <c r="J478">
        <v>0.66380870063892905</v>
      </c>
      <c r="K478" t="str">
        <f t="shared" si="56"/>
        <v>OK</v>
      </c>
      <c r="L478" t="str">
        <f t="shared" si="57"/>
        <v>OK</v>
      </c>
      <c r="M478" t="str">
        <f>IF(OR(B478&lt;$AE$20,B478&gt;$AF$20),"Outlier","OK")</f>
        <v>OK</v>
      </c>
      <c r="N478" t="str">
        <f>IF(OR(J478&lt;$AE$21,J478&gt;$AF$21),"Outlier","OK")</f>
        <v>OK</v>
      </c>
      <c r="O478" t="str">
        <f>IF(OR(C478&lt;0,C478&gt;1),"Outlier","OK")</f>
        <v>OK</v>
      </c>
      <c r="P478" t="str">
        <f>IF(OR(D478&lt;0,D478&gt;1),"Outlier","OK")</f>
        <v>OK</v>
      </c>
      <c r="Q478" t="str">
        <f t="shared" si="58"/>
        <v>60-80%</v>
      </c>
      <c r="R478" t="str">
        <f>IF(B478="","Missing","OK")</f>
        <v>OK</v>
      </c>
      <c r="S478" t="str">
        <f>IF(E478="","Missing","OK")</f>
        <v>OK</v>
      </c>
      <c r="T478" t="str">
        <f t="shared" si="59"/>
        <v>OK</v>
      </c>
      <c r="U478">
        <f>COUNTIF($A:$A,A478)</f>
        <v>1</v>
      </c>
      <c r="V478" t="str">
        <f t="shared" si="60"/>
        <v>OK</v>
      </c>
      <c r="W478" t="str">
        <f>IF(I478&gt;B478,"ERROR","OK")</f>
        <v>OK</v>
      </c>
      <c r="X478">
        <f>(B478-I478)/B478</f>
        <v>0.6638087006389275</v>
      </c>
      <c r="Y478" s="2">
        <f t="shared" si="61"/>
        <v>1.5543122344752192E-15</v>
      </c>
      <c r="Z478" s="2" t="str">
        <f t="shared" si="62"/>
        <v>OK</v>
      </c>
      <c r="AA478" t="str">
        <f t="shared" si="63"/>
        <v>Unique</v>
      </c>
    </row>
    <row r="479" spans="1:27" x14ac:dyDescent="0.3">
      <c r="A479">
        <v>478</v>
      </c>
      <c r="B479">
        <v>125464.19077387601</v>
      </c>
      <c r="C479">
        <v>0.106011140447937</v>
      </c>
      <c r="D479">
        <v>1.8280426696596401E-2</v>
      </c>
      <c r="E479">
        <v>0.53572102694506096</v>
      </c>
      <c r="F479">
        <v>1</v>
      </c>
      <c r="G479" t="s">
        <v>13</v>
      </c>
      <c r="H479">
        <v>1</v>
      </c>
      <c r="I479">
        <v>67213.805126212203</v>
      </c>
      <c r="J479">
        <v>0.46427897305493798</v>
      </c>
      <c r="K479" t="str">
        <f t="shared" si="56"/>
        <v>OK</v>
      </c>
      <c r="L479" t="str">
        <f t="shared" si="57"/>
        <v>OK</v>
      </c>
      <c r="M479" t="str">
        <f>IF(OR(B479&lt;$AE$20,B479&gt;$AF$20),"Outlier","OK")</f>
        <v>OK</v>
      </c>
      <c r="N479" t="str">
        <f>IF(OR(J479&lt;$AE$21,J479&gt;$AF$21),"Outlier","OK")</f>
        <v>OK</v>
      </c>
      <c r="O479" t="str">
        <f>IF(OR(C479&lt;0,C479&gt;1),"Outlier","OK")</f>
        <v>OK</v>
      </c>
      <c r="P479" t="str">
        <f>IF(OR(D479&lt;0,D479&gt;1),"Outlier","OK")</f>
        <v>OK</v>
      </c>
      <c r="Q479" t="str">
        <f t="shared" si="58"/>
        <v>40-60%</v>
      </c>
      <c r="R479" t="str">
        <f>IF(B479="","Missing","OK")</f>
        <v>OK</v>
      </c>
      <c r="S479" t="str">
        <f>IF(E479="","Missing","OK")</f>
        <v>OK</v>
      </c>
      <c r="T479" t="str">
        <f t="shared" si="59"/>
        <v>OK</v>
      </c>
      <c r="U479">
        <f>COUNTIF($A:$A,A479)</f>
        <v>1</v>
      </c>
      <c r="V479" t="str">
        <f t="shared" si="60"/>
        <v>OK</v>
      </c>
      <c r="W479" t="str">
        <f>IF(I479&gt;B479,"ERROR","OK")</f>
        <v>OK</v>
      </c>
      <c r="X479">
        <f>(B479-I479)/B479</f>
        <v>0.46427897305493659</v>
      </c>
      <c r="Y479" s="2">
        <f t="shared" si="61"/>
        <v>1.3877787807814457E-15</v>
      </c>
      <c r="Z479" s="2" t="str">
        <f t="shared" si="62"/>
        <v>OK</v>
      </c>
      <c r="AA479" t="str">
        <f t="shared" si="63"/>
        <v>Unique</v>
      </c>
    </row>
    <row r="480" spans="1:27" x14ac:dyDescent="0.3">
      <c r="A480">
        <v>479</v>
      </c>
      <c r="B480">
        <v>1532410.0029420501</v>
      </c>
      <c r="C480">
        <v>0.58175561656524299</v>
      </c>
      <c r="D480">
        <v>-0.16203580759067199</v>
      </c>
      <c r="E480">
        <v>0.539299998951842</v>
      </c>
      <c r="F480">
        <v>1</v>
      </c>
      <c r="G480" t="s">
        <v>13</v>
      </c>
      <c r="H480">
        <v>1</v>
      </c>
      <c r="I480">
        <v>826428.71298044396</v>
      </c>
      <c r="J480">
        <v>0.460700001048157</v>
      </c>
      <c r="K480" t="str">
        <f t="shared" si="56"/>
        <v>OK</v>
      </c>
      <c r="L480" t="str">
        <f t="shared" si="57"/>
        <v>OK</v>
      </c>
      <c r="M480" t="str">
        <f>IF(OR(B480&lt;$AE$20,B480&gt;$AF$20),"Outlier","OK")</f>
        <v>OK</v>
      </c>
      <c r="N480" t="str">
        <f>IF(OR(J480&lt;$AE$21,J480&gt;$AF$21),"Outlier","OK")</f>
        <v>OK</v>
      </c>
      <c r="O480" t="str">
        <f>IF(OR(C480&lt;0,C480&gt;1),"Outlier","OK")</f>
        <v>OK</v>
      </c>
      <c r="P480" t="str">
        <f>IF(OR(D480&lt;0,D480&gt;1),"Outlier","OK")</f>
        <v>Outlier</v>
      </c>
      <c r="Q480" t="str">
        <f t="shared" si="58"/>
        <v>40-60%</v>
      </c>
      <c r="R480" t="str">
        <f>IF(B480="","Missing","OK")</f>
        <v>OK</v>
      </c>
      <c r="S480" t="str">
        <f>IF(E480="","Missing","OK")</f>
        <v>OK</v>
      </c>
      <c r="T480" t="str">
        <f t="shared" si="59"/>
        <v>OK</v>
      </c>
      <c r="U480">
        <f>COUNTIF($A:$A,A480)</f>
        <v>1</v>
      </c>
      <c r="V480" t="str">
        <f t="shared" si="60"/>
        <v>OK</v>
      </c>
      <c r="W480" t="str">
        <f>IF(I480&gt;B480,"ERROR","OK")</f>
        <v>OK</v>
      </c>
      <c r="X480">
        <f>(B480-I480)/B480</f>
        <v>0.46070000104815528</v>
      </c>
      <c r="Y480" s="2">
        <f t="shared" si="61"/>
        <v>1.7208456881689926E-15</v>
      </c>
      <c r="Z480" s="2" t="str">
        <f t="shared" si="62"/>
        <v>OK</v>
      </c>
      <c r="AA480" t="str">
        <f t="shared" si="63"/>
        <v>Unique</v>
      </c>
    </row>
    <row r="481" spans="1:27" x14ac:dyDescent="0.3">
      <c r="A481">
        <v>480</v>
      </c>
      <c r="B481">
        <v>498675.41712166701</v>
      </c>
      <c r="C481">
        <v>0.285322840174907</v>
      </c>
      <c r="D481">
        <v>-4.0693176766245502E-2</v>
      </c>
      <c r="E481">
        <v>0.15909625149780501</v>
      </c>
      <c r="F481">
        <v>1</v>
      </c>
      <c r="G481" t="s">
        <v>13</v>
      </c>
      <c r="H481">
        <v>0</v>
      </c>
      <c r="I481">
        <v>79337.389578161907</v>
      </c>
      <c r="J481">
        <v>0.84090374850219396</v>
      </c>
      <c r="K481" t="str">
        <f t="shared" si="56"/>
        <v>OK</v>
      </c>
      <c r="L481" t="str">
        <f t="shared" si="57"/>
        <v>OK</v>
      </c>
      <c r="M481" t="str">
        <f>IF(OR(B481&lt;$AE$20,B481&gt;$AF$20),"Outlier","OK")</f>
        <v>OK</v>
      </c>
      <c r="N481" t="str">
        <f>IF(OR(J481&lt;$AE$21,J481&gt;$AF$21),"Outlier","OK")</f>
        <v>OK</v>
      </c>
      <c r="O481" t="str">
        <f>IF(OR(C481&lt;0,C481&gt;1),"Outlier","OK")</f>
        <v>OK</v>
      </c>
      <c r="P481" t="str">
        <f>IF(OR(D481&lt;0,D481&gt;1),"Outlier","OK")</f>
        <v>Outlier</v>
      </c>
      <c r="Q481" t="str">
        <f t="shared" si="58"/>
        <v>80-100%</v>
      </c>
      <c r="R481" t="str">
        <f>IF(B481="","Missing","OK")</f>
        <v>OK</v>
      </c>
      <c r="S481" t="str">
        <f>IF(E481="","Missing","OK")</f>
        <v>OK</v>
      </c>
      <c r="T481" t="str">
        <f t="shared" si="59"/>
        <v>OK</v>
      </c>
      <c r="U481">
        <f>COUNTIF($A:$A,A481)</f>
        <v>1</v>
      </c>
      <c r="V481" t="str">
        <f t="shared" si="60"/>
        <v>OK</v>
      </c>
      <c r="W481" t="str">
        <f>IF(I481&gt;B481,"ERROR","OK")</f>
        <v>OK</v>
      </c>
      <c r="X481">
        <f>(B481-I481)/B481</f>
        <v>0.84090374850219418</v>
      </c>
      <c r="Y481" s="2">
        <f t="shared" si="61"/>
        <v>2.2204460492503131E-16</v>
      </c>
      <c r="Z481" s="2" t="str">
        <f t="shared" si="62"/>
        <v>OK</v>
      </c>
      <c r="AA481" t="str">
        <f t="shared" si="63"/>
        <v>Unique</v>
      </c>
    </row>
    <row r="482" spans="1:27" x14ac:dyDescent="0.3">
      <c r="A482">
        <v>481</v>
      </c>
      <c r="B482">
        <v>225172.14079110901</v>
      </c>
      <c r="C482">
        <v>0.80227423828907396</v>
      </c>
      <c r="D482">
        <v>4.4498995346039301E-2</v>
      </c>
      <c r="E482">
        <v>0.38579128229968801</v>
      </c>
      <c r="F482">
        <v>1</v>
      </c>
      <c r="G482" t="s">
        <v>10</v>
      </c>
      <c r="H482">
        <v>0</v>
      </c>
      <c r="I482">
        <v>86869.448933968102</v>
      </c>
      <c r="J482">
        <v>0.61420871770031105</v>
      </c>
      <c r="K482" t="str">
        <f t="shared" si="56"/>
        <v>OK</v>
      </c>
      <c r="L482" t="str">
        <f t="shared" si="57"/>
        <v>OK</v>
      </c>
      <c r="M482" t="str">
        <f>IF(OR(B482&lt;$AE$20,B482&gt;$AF$20),"Outlier","OK")</f>
        <v>OK</v>
      </c>
      <c r="N482" t="str">
        <f>IF(OR(J482&lt;$AE$21,J482&gt;$AF$21),"Outlier","OK")</f>
        <v>OK</v>
      </c>
      <c r="O482" t="str">
        <f>IF(OR(C482&lt;0,C482&gt;1),"Outlier","OK")</f>
        <v>OK</v>
      </c>
      <c r="P482" t="str">
        <f>IF(OR(D482&lt;0,D482&gt;1),"Outlier","OK")</f>
        <v>OK</v>
      </c>
      <c r="Q482" t="str">
        <f t="shared" si="58"/>
        <v>60-80%</v>
      </c>
      <c r="R482" t="str">
        <f>IF(B482="","Missing","OK")</f>
        <v>OK</v>
      </c>
      <c r="S482" t="str">
        <f>IF(E482="","Missing","OK")</f>
        <v>OK</v>
      </c>
      <c r="T482" t="str">
        <f t="shared" si="59"/>
        <v>OK</v>
      </c>
      <c r="U482">
        <f>COUNTIF($A:$A,A482)</f>
        <v>1</v>
      </c>
      <c r="V482" t="str">
        <f t="shared" si="60"/>
        <v>OK</v>
      </c>
      <c r="W482" t="str">
        <f>IF(I482&gt;B482,"ERROR","OK")</f>
        <v>OK</v>
      </c>
      <c r="X482">
        <f>(B482-I482)/B482</f>
        <v>0.61420871770031082</v>
      </c>
      <c r="Y482" s="2">
        <f t="shared" si="61"/>
        <v>2.2204460492503131E-16</v>
      </c>
      <c r="Z482" s="2" t="str">
        <f t="shared" si="62"/>
        <v>OK</v>
      </c>
      <c r="AA482" t="str">
        <f t="shared" si="63"/>
        <v>Unique</v>
      </c>
    </row>
    <row r="483" spans="1:27" x14ac:dyDescent="0.3">
      <c r="A483">
        <v>482</v>
      </c>
      <c r="B483">
        <v>1314476.93822264</v>
      </c>
      <c r="C483">
        <v>0.23600334352538099</v>
      </c>
      <c r="D483">
        <v>6.3334236268156194E-2</v>
      </c>
      <c r="E483">
        <v>9.9653995717503399E-2</v>
      </c>
      <c r="F483">
        <v>1</v>
      </c>
      <c r="G483" t="s">
        <v>12</v>
      </c>
      <c r="H483">
        <v>0</v>
      </c>
      <c r="I483">
        <v>130992.879172396</v>
      </c>
      <c r="J483">
        <v>0.900346004282496</v>
      </c>
      <c r="K483" t="str">
        <f t="shared" si="56"/>
        <v>OK</v>
      </c>
      <c r="L483" t="str">
        <f t="shared" si="57"/>
        <v>OK</v>
      </c>
      <c r="M483" t="str">
        <f>IF(OR(B483&lt;$AE$20,B483&gt;$AF$20),"Outlier","OK")</f>
        <v>OK</v>
      </c>
      <c r="N483" t="str">
        <f>IF(OR(J483&lt;$AE$21,J483&gt;$AF$21),"Outlier","OK")</f>
        <v>OK</v>
      </c>
      <c r="O483" t="str">
        <f>IF(OR(C483&lt;0,C483&gt;1),"Outlier","OK")</f>
        <v>OK</v>
      </c>
      <c r="P483" t="str">
        <f>IF(OR(D483&lt;0,D483&gt;1),"Outlier","OK")</f>
        <v>OK</v>
      </c>
      <c r="Q483" t="str">
        <f t="shared" si="58"/>
        <v>80-100%</v>
      </c>
      <c r="R483" t="str">
        <f>IF(B483="","Missing","OK")</f>
        <v>OK</v>
      </c>
      <c r="S483" t="str">
        <f>IF(E483="","Missing","OK")</f>
        <v>OK</v>
      </c>
      <c r="T483" t="str">
        <f t="shared" si="59"/>
        <v>OK</v>
      </c>
      <c r="U483">
        <f>COUNTIF($A:$A,A483)</f>
        <v>1</v>
      </c>
      <c r="V483" t="str">
        <f t="shared" si="60"/>
        <v>OK</v>
      </c>
      <c r="W483" t="str">
        <f>IF(I483&gt;B483,"ERROR","OK")</f>
        <v>OK</v>
      </c>
      <c r="X483">
        <f>(B483-I483)/B483</f>
        <v>0.90034600428249667</v>
      </c>
      <c r="Y483" s="2">
        <f t="shared" si="61"/>
        <v>6.6613381477509392E-16</v>
      </c>
      <c r="Z483" s="2" t="str">
        <f t="shared" si="62"/>
        <v>OK</v>
      </c>
      <c r="AA483" t="str">
        <f t="shared" si="63"/>
        <v>Unique</v>
      </c>
    </row>
    <row r="484" spans="1:27" x14ac:dyDescent="0.3">
      <c r="A484">
        <v>483</v>
      </c>
      <c r="B484">
        <v>1478572.3737212101</v>
      </c>
      <c r="C484">
        <v>0.83739556589997</v>
      </c>
      <c r="D484">
        <v>-0.178971258025968</v>
      </c>
      <c r="E484">
        <v>6.8788399033554395E-2</v>
      </c>
      <c r="F484">
        <v>1</v>
      </c>
      <c r="G484" t="s">
        <v>11</v>
      </c>
      <c r="H484">
        <v>1</v>
      </c>
      <c r="I484">
        <v>101708.626443524</v>
      </c>
      <c r="J484">
        <v>0.93121160096644495</v>
      </c>
      <c r="K484" t="str">
        <f t="shared" si="56"/>
        <v>OK</v>
      </c>
      <c r="L484" t="str">
        <f t="shared" si="57"/>
        <v>OK</v>
      </c>
      <c r="M484" t="str">
        <f>IF(OR(B484&lt;$AE$20,B484&gt;$AF$20),"Outlier","OK")</f>
        <v>OK</v>
      </c>
      <c r="N484" t="str">
        <f>IF(OR(J484&lt;$AE$21,J484&gt;$AF$21),"Outlier","OK")</f>
        <v>OK</v>
      </c>
      <c r="O484" t="str">
        <f>IF(OR(C484&lt;0,C484&gt;1),"Outlier","OK")</f>
        <v>OK</v>
      </c>
      <c r="P484" t="str">
        <f>IF(OR(D484&lt;0,D484&gt;1),"Outlier","OK")</f>
        <v>Outlier</v>
      </c>
      <c r="Q484" t="str">
        <f t="shared" si="58"/>
        <v>80-100%</v>
      </c>
      <c r="R484" t="str">
        <f>IF(B484="","Missing","OK")</f>
        <v>OK</v>
      </c>
      <c r="S484" t="str">
        <f>IF(E484="","Missing","OK")</f>
        <v>OK</v>
      </c>
      <c r="T484" t="str">
        <f t="shared" si="59"/>
        <v>OK</v>
      </c>
      <c r="U484">
        <f>COUNTIF($A:$A,A484)</f>
        <v>1</v>
      </c>
      <c r="V484" t="str">
        <f t="shared" si="60"/>
        <v>OK</v>
      </c>
      <c r="W484" t="str">
        <f>IF(I484&gt;B484,"ERROR","OK")</f>
        <v>OK</v>
      </c>
      <c r="X484">
        <f>(B484-I484)/B484</f>
        <v>0.93121160096644584</v>
      </c>
      <c r="Y484" s="2">
        <f t="shared" si="61"/>
        <v>8.8817841970012523E-16</v>
      </c>
      <c r="Z484" s="2" t="str">
        <f t="shared" si="62"/>
        <v>OK</v>
      </c>
      <c r="AA484" t="str">
        <f t="shared" si="63"/>
        <v>Unique</v>
      </c>
    </row>
    <row r="485" spans="1:27" x14ac:dyDescent="0.3">
      <c r="A485">
        <v>484</v>
      </c>
      <c r="B485">
        <v>1372285.86409174</v>
      </c>
      <c r="C485">
        <v>0.39672375456291398</v>
      </c>
      <c r="D485">
        <v>7.39163081067674E-2</v>
      </c>
      <c r="E485">
        <v>0.38530280232691699</v>
      </c>
      <c r="F485">
        <v>1</v>
      </c>
      <c r="G485" t="s">
        <v>11</v>
      </c>
      <c r="H485">
        <v>1</v>
      </c>
      <c r="I485">
        <v>528745.58902816498</v>
      </c>
      <c r="J485">
        <v>0.61469719767308195</v>
      </c>
      <c r="K485" t="str">
        <f t="shared" si="56"/>
        <v>OK</v>
      </c>
      <c r="L485" t="str">
        <f t="shared" si="57"/>
        <v>OK</v>
      </c>
      <c r="M485" t="str">
        <f>IF(OR(B485&lt;$AE$20,B485&gt;$AF$20),"Outlier","OK")</f>
        <v>OK</v>
      </c>
      <c r="N485" t="str">
        <f>IF(OR(J485&lt;$AE$21,J485&gt;$AF$21),"Outlier","OK")</f>
        <v>OK</v>
      </c>
      <c r="O485" t="str">
        <f>IF(OR(C485&lt;0,C485&gt;1),"Outlier","OK")</f>
        <v>OK</v>
      </c>
      <c r="P485" t="str">
        <f>IF(OR(D485&lt;0,D485&gt;1),"Outlier","OK")</f>
        <v>OK</v>
      </c>
      <c r="Q485" t="str">
        <f t="shared" si="58"/>
        <v>60-80%</v>
      </c>
      <c r="R485" t="str">
        <f>IF(B485="","Missing","OK")</f>
        <v>OK</v>
      </c>
      <c r="S485" t="str">
        <f>IF(E485="","Missing","OK")</f>
        <v>OK</v>
      </c>
      <c r="T485" t="str">
        <f t="shared" si="59"/>
        <v>OK</v>
      </c>
      <c r="U485">
        <f>COUNTIF($A:$A,A485)</f>
        <v>1</v>
      </c>
      <c r="V485" t="str">
        <f t="shared" si="60"/>
        <v>OK</v>
      </c>
      <c r="W485" t="str">
        <f>IF(I485&gt;B485,"ERROR","OK")</f>
        <v>OK</v>
      </c>
      <c r="X485">
        <f>(B485-I485)/B485</f>
        <v>0.61469719767308095</v>
      </c>
      <c r="Y485" s="2">
        <f t="shared" si="61"/>
        <v>9.9920072216264089E-16</v>
      </c>
      <c r="Z485" s="2" t="str">
        <f t="shared" si="62"/>
        <v>OK</v>
      </c>
      <c r="AA485" t="str">
        <f t="shared" si="63"/>
        <v>Unique</v>
      </c>
    </row>
    <row r="486" spans="1:27" x14ac:dyDescent="0.3">
      <c r="A486">
        <v>485</v>
      </c>
      <c r="B486">
        <v>151206.84691170399</v>
      </c>
      <c r="C486">
        <v>0.66378552158099202</v>
      </c>
      <c r="D486">
        <v>-0.10672790319462901</v>
      </c>
      <c r="E486">
        <v>0.278892234762533</v>
      </c>
      <c r="F486">
        <v>1</v>
      </c>
      <c r="G486" t="s">
        <v>10</v>
      </c>
      <c r="H486">
        <v>1</v>
      </c>
      <c r="I486">
        <v>42170.415446601401</v>
      </c>
      <c r="J486">
        <v>0.721107765237466</v>
      </c>
      <c r="K486" t="str">
        <f t="shared" si="56"/>
        <v>OK</v>
      </c>
      <c r="L486" t="str">
        <f t="shared" si="57"/>
        <v>OK</v>
      </c>
      <c r="M486" t="str">
        <f>IF(OR(B486&lt;$AE$20,B486&gt;$AF$20),"Outlier","OK")</f>
        <v>OK</v>
      </c>
      <c r="N486" t="str">
        <f>IF(OR(J486&lt;$AE$21,J486&gt;$AF$21),"Outlier","OK")</f>
        <v>OK</v>
      </c>
      <c r="O486" t="str">
        <f>IF(OR(C486&lt;0,C486&gt;1),"Outlier","OK")</f>
        <v>OK</v>
      </c>
      <c r="P486" t="str">
        <f>IF(OR(D486&lt;0,D486&gt;1),"Outlier","OK")</f>
        <v>Outlier</v>
      </c>
      <c r="Q486" t="str">
        <f t="shared" si="58"/>
        <v>60-80%</v>
      </c>
      <c r="R486" t="str">
        <f>IF(B486="","Missing","OK")</f>
        <v>OK</v>
      </c>
      <c r="S486" t="str">
        <f>IF(E486="","Missing","OK")</f>
        <v>OK</v>
      </c>
      <c r="T486" t="str">
        <f t="shared" si="59"/>
        <v>OK</v>
      </c>
      <c r="U486">
        <f>COUNTIF($A:$A,A486)</f>
        <v>1</v>
      </c>
      <c r="V486" t="str">
        <f t="shared" si="60"/>
        <v>OK</v>
      </c>
      <c r="W486" t="str">
        <f>IF(I486&gt;B486,"ERROR","OK")</f>
        <v>OK</v>
      </c>
      <c r="X486">
        <f>(B486-I486)/B486</f>
        <v>0.72110776523746656</v>
      </c>
      <c r="Y486" s="2">
        <f t="shared" si="61"/>
        <v>5.5511151231257827E-16</v>
      </c>
      <c r="Z486" s="2" t="str">
        <f t="shared" si="62"/>
        <v>OK</v>
      </c>
      <c r="AA486" t="str">
        <f t="shared" si="63"/>
        <v>Unique</v>
      </c>
    </row>
    <row r="487" spans="1:27" x14ac:dyDescent="0.3">
      <c r="A487">
        <v>486</v>
      </c>
      <c r="B487">
        <v>623898.54383060394</v>
      </c>
      <c r="C487">
        <v>0.48443079014822199</v>
      </c>
      <c r="D487">
        <v>-2.0272695163121999E-2</v>
      </c>
      <c r="E487">
        <v>0.26742665275065203</v>
      </c>
      <c r="F487">
        <v>1</v>
      </c>
      <c r="G487" t="s">
        <v>13</v>
      </c>
      <c r="H487">
        <v>0</v>
      </c>
      <c r="I487">
        <v>166847.09923262399</v>
      </c>
      <c r="J487">
        <v>0.73257334724934697</v>
      </c>
      <c r="K487" t="str">
        <f t="shared" si="56"/>
        <v>OK</v>
      </c>
      <c r="L487" t="str">
        <f t="shared" si="57"/>
        <v>OK</v>
      </c>
      <c r="M487" t="str">
        <f>IF(OR(B487&lt;$AE$20,B487&gt;$AF$20),"Outlier","OK")</f>
        <v>OK</v>
      </c>
      <c r="N487" t="str">
        <f>IF(OR(J487&lt;$AE$21,J487&gt;$AF$21),"Outlier","OK")</f>
        <v>OK</v>
      </c>
      <c r="O487" t="str">
        <f>IF(OR(C487&lt;0,C487&gt;1),"Outlier","OK")</f>
        <v>OK</v>
      </c>
      <c r="P487" t="str">
        <f>IF(OR(D487&lt;0,D487&gt;1),"Outlier","OK")</f>
        <v>Outlier</v>
      </c>
      <c r="Q487" t="str">
        <f t="shared" si="58"/>
        <v>60-80%</v>
      </c>
      <c r="R487" t="str">
        <f>IF(B487="","Missing","OK")</f>
        <v>OK</v>
      </c>
      <c r="S487" t="str">
        <f>IF(E487="","Missing","OK")</f>
        <v>OK</v>
      </c>
      <c r="T487" t="str">
        <f t="shared" si="59"/>
        <v>OK</v>
      </c>
      <c r="U487">
        <f>COUNTIF($A:$A,A487)</f>
        <v>1</v>
      </c>
      <c r="V487" t="str">
        <f t="shared" si="60"/>
        <v>OK</v>
      </c>
      <c r="W487" t="str">
        <f>IF(I487&gt;B487,"ERROR","OK")</f>
        <v>OK</v>
      </c>
      <c r="X487">
        <f>(B487-I487)/B487</f>
        <v>0.73257334724934853</v>
      </c>
      <c r="Y487" s="2">
        <f t="shared" si="61"/>
        <v>1.5543122344752192E-15</v>
      </c>
      <c r="Z487" s="2" t="str">
        <f t="shared" si="62"/>
        <v>OK</v>
      </c>
      <c r="AA487" t="str">
        <f t="shared" si="63"/>
        <v>Unique</v>
      </c>
    </row>
    <row r="488" spans="1:27" x14ac:dyDescent="0.3">
      <c r="A488">
        <v>487</v>
      </c>
      <c r="B488">
        <v>929622.27512875595</v>
      </c>
      <c r="C488">
        <v>0.55991800395757096</v>
      </c>
      <c r="D488">
        <v>-0.16183579364833101</v>
      </c>
      <c r="E488">
        <v>0.19803283731809601</v>
      </c>
      <c r="F488">
        <v>1</v>
      </c>
      <c r="G488" t="s">
        <v>10</v>
      </c>
      <c r="H488">
        <v>1</v>
      </c>
      <c r="I488">
        <v>184095.73677785101</v>
      </c>
      <c r="J488">
        <v>0.80196716268190305</v>
      </c>
      <c r="K488" t="str">
        <f t="shared" si="56"/>
        <v>OK</v>
      </c>
      <c r="L488" t="str">
        <f t="shared" si="57"/>
        <v>OK</v>
      </c>
      <c r="M488" t="str">
        <f>IF(OR(B488&lt;$AE$20,B488&gt;$AF$20),"Outlier","OK")</f>
        <v>OK</v>
      </c>
      <c r="N488" t="str">
        <f>IF(OR(J488&lt;$AE$21,J488&gt;$AF$21),"Outlier","OK")</f>
        <v>OK</v>
      </c>
      <c r="O488" t="str">
        <f>IF(OR(C488&lt;0,C488&gt;1),"Outlier","OK")</f>
        <v>OK</v>
      </c>
      <c r="P488" t="str">
        <f>IF(OR(D488&lt;0,D488&gt;1),"Outlier","OK")</f>
        <v>Outlier</v>
      </c>
      <c r="Q488" t="str">
        <f t="shared" si="58"/>
        <v>80-100%</v>
      </c>
      <c r="R488" t="str">
        <f>IF(B488="","Missing","OK")</f>
        <v>OK</v>
      </c>
      <c r="S488" t="str">
        <f>IF(E488="","Missing","OK")</f>
        <v>OK</v>
      </c>
      <c r="T488" t="str">
        <f t="shared" si="59"/>
        <v>OK</v>
      </c>
      <c r="U488">
        <f>COUNTIF($A:$A,A488)</f>
        <v>1</v>
      </c>
      <c r="V488" t="str">
        <f t="shared" si="60"/>
        <v>OK</v>
      </c>
      <c r="W488" t="str">
        <f>IF(I488&gt;B488,"ERROR","OK")</f>
        <v>OK</v>
      </c>
      <c r="X488">
        <f>(B488-I488)/B488</f>
        <v>0.80196716268190427</v>
      </c>
      <c r="Y488" s="2">
        <f t="shared" si="61"/>
        <v>1.2212453270876722E-15</v>
      </c>
      <c r="Z488" s="2" t="str">
        <f t="shared" si="62"/>
        <v>OK</v>
      </c>
      <c r="AA488" t="str">
        <f t="shared" si="63"/>
        <v>Unique</v>
      </c>
    </row>
    <row r="489" spans="1:27" x14ac:dyDescent="0.3">
      <c r="A489">
        <v>488</v>
      </c>
      <c r="B489">
        <v>609851.41496471805</v>
      </c>
      <c r="C489">
        <v>0.77084396540981104</v>
      </c>
      <c r="D489">
        <v>0.18189863807232301</v>
      </c>
      <c r="E489">
        <v>0.23818607361659999</v>
      </c>
      <c r="F489">
        <v>1</v>
      </c>
      <c r="G489" t="s">
        <v>11</v>
      </c>
      <c r="H489">
        <v>0</v>
      </c>
      <c r="I489">
        <v>145258.11401997399</v>
      </c>
      <c r="J489">
        <v>0.76181392638339895</v>
      </c>
      <c r="K489" t="str">
        <f t="shared" si="56"/>
        <v>OK</v>
      </c>
      <c r="L489" t="str">
        <f t="shared" si="57"/>
        <v>OK</v>
      </c>
      <c r="M489" t="str">
        <f>IF(OR(B489&lt;$AE$20,B489&gt;$AF$20),"Outlier","OK")</f>
        <v>OK</v>
      </c>
      <c r="N489" t="str">
        <f>IF(OR(J489&lt;$AE$21,J489&gt;$AF$21),"Outlier","OK")</f>
        <v>OK</v>
      </c>
      <c r="O489" t="str">
        <f>IF(OR(C489&lt;0,C489&gt;1),"Outlier","OK")</f>
        <v>OK</v>
      </c>
      <c r="P489" t="str">
        <f>IF(OR(D489&lt;0,D489&gt;1),"Outlier","OK")</f>
        <v>OK</v>
      </c>
      <c r="Q489" t="str">
        <f t="shared" si="58"/>
        <v>60-80%</v>
      </c>
      <c r="R489" t="str">
        <f>IF(B489="","Missing","OK")</f>
        <v>OK</v>
      </c>
      <c r="S489" t="str">
        <f>IF(E489="","Missing","OK")</f>
        <v>OK</v>
      </c>
      <c r="T489" t="str">
        <f t="shared" si="59"/>
        <v>OK</v>
      </c>
      <c r="U489">
        <f>COUNTIF($A:$A,A489)</f>
        <v>1</v>
      </c>
      <c r="V489" t="str">
        <f t="shared" si="60"/>
        <v>OK</v>
      </c>
      <c r="W489" t="str">
        <f>IF(I489&gt;B489,"ERROR","OK")</f>
        <v>OK</v>
      </c>
      <c r="X489">
        <f>(B489-I489)/B489</f>
        <v>0.76181392638339995</v>
      </c>
      <c r="Y489" s="2">
        <f t="shared" si="61"/>
        <v>9.9920072216264089E-16</v>
      </c>
      <c r="Z489" s="2" t="str">
        <f t="shared" si="62"/>
        <v>OK</v>
      </c>
      <c r="AA489" t="str">
        <f t="shared" si="63"/>
        <v>Unique</v>
      </c>
    </row>
    <row r="490" spans="1:27" x14ac:dyDescent="0.3">
      <c r="A490">
        <v>489</v>
      </c>
      <c r="B490">
        <v>1630501.23972722</v>
      </c>
      <c r="C490">
        <v>0.46792341061399401</v>
      </c>
      <c r="D490">
        <v>4.3675518077968899E-2</v>
      </c>
      <c r="E490">
        <v>0.22632067828820299</v>
      </c>
      <c r="F490">
        <v>1</v>
      </c>
      <c r="G490" t="s">
        <v>13</v>
      </c>
      <c r="H490">
        <v>1</v>
      </c>
      <c r="I490">
        <v>369016.146524821</v>
      </c>
      <c r="J490">
        <v>0.77367932171179599</v>
      </c>
      <c r="K490" t="str">
        <f t="shared" si="56"/>
        <v>OK</v>
      </c>
      <c r="L490" t="str">
        <f t="shared" si="57"/>
        <v>OK</v>
      </c>
      <c r="M490" t="str">
        <f>IF(OR(B490&lt;$AE$20,B490&gt;$AF$20),"Outlier","OK")</f>
        <v>OK</v>
      </c>
      <c r="N490" t="str">
        <f>IF(OR(J490&lt;$AE$21,J490&gt;$AF$21),"Outlier","OK")</f>
        <v>OK</v>
      </c>
      <c r="O490" t="str">
        <f>IF(OR(C490&lt;0,C490&gt;1),"Outlier","OK")</f>
        <v>OK</v>
      </c>
      <c r="P490" t="str">
        <f>IF(OR(D490&lt;0,D490&gt;1),"Outlier","OK")</f>
        <v>OK</v>
      </c>
      <c r="Q490" t="str">
        <f t="shared" si="58"/>
        <v>60-80%</v>
      </c>
      <c r="R490" t="str">
        <f>IF(B490="","Missing","OK")</f>
        <v>OK</v>
      </c>
      <c r="S490" t="str">
        <f>IF(E490="","Missing","OK")</f>
        <v>OK</v>
      </c>
      <c r="T490" t="str">
        <f t="shared" si="59"/>
        <v>OK</v>
      </c>
      <c r="U490">
        <f>COUNTIF($A:$A,A490)</f>
        <v>1</v>
      </c>
      <c r="V490" t="str">
        <f t="shared" si="60"/>
        <v>OK</v>
      </c>
      <c r="W490" t="str">
        <f>IF(I490&gt;B490,"ERROR","OK")</f>
        <v>OK</v>
      </c>
      <c r="X490">
        <f>(B490-I490)/B490</f>
        <v>0.77367932171179665</v>
      </c>
      <c r="Y490" s="2">
        <f t="shared" si="61"/>
        <v>6.6613381477509392E-16</v>
      </c>
      <c r="Z490" s="2" t="str">
        <f t="shared" si="62"/>
        <v>OK</v>
      </c>
      <c r="AA490" t="str">
        <f t="shared" si="63"/>
        <v>Unique</v>
      </c>
    </row>
    <row r="491" spans="1:27" x14ac:dyDescent="0.3">
      <c r="A491">
        <v>490</v>
      </c>
      <c r="B491">
        <v>305674.45504775801</v>
      </c>
      <c r="C491">
        <v>0.166744427243705</v>
      </c>
      <c r="D491">
        <v>0.17326493374777799</v>
      </c>
      <c r="E491">
        <v>0.213691515110391</v>
      </c>
      <c r="F491">
        <v>1</v>
      </c>
      <c r="G491" t="s">
        <v>12</v>
      </c>
      <c r="H491">
        <v>0</v>
      </c>
      <c r="I491">
        <v>65320.037429698903</v>
      </c>
      <c r="J491">
        <v>0.78630848488960803</v>
      </c>
      <c r="K491" t="str">
        <f t="shared" si="56"/>
        <v>OK</v>
      </c>
      <c r="L491" t="str">
        <f t="shared" si="57"/>
        <v>OK</v>
      </c>
      <c r="M491" t="str">
        <f>IF(OR(B491&lt;$AE$20,B491&gt;$AF$20),"Outlier","OK")</f>
        <v>OK</v>
      </c>
      <c r="N491" t="str">
        <f>IF(OR(J491&lt;$AE$21,J491&gt;$AF$21),"Outlier","OK")</f>
        <v>OK</v>
      </c>
      <c r="O491" t="str">
        <f>IF(OR(C491&lt;0,C491&gt;1),"Outlier","OK")</f>
        <v>OK</v>
      </c>
      <c r="P491" t="str">
        <f>IF(OR(D491&lt;0,D491&gt;1),"Outlier","OK")</f>
        <v>OK</v>
      </c>
      <c r="Q491" t="str">
        <f t="shared" si="58"/>
        <v>60-80%</v>
      </c>
      <c r="R491" t="str">
        <f>IF(B491="","Missing","OK")</f>
        <v>OK</v>
      </c>
      <c r="S491" t="str">
        <f>IF(E491="","Missing","OK")</f>
        <v>OK</v>
      </c>
      <c r="T491" t="str">
        <f t="shared" si="59"/>
        <v>OK</v>
      </c>
      <c r="U491">
        <f>COUNTIF($A:$A,A491)</f>
        <v>1</v>
      </c>
      <c r="V491" t="str">
        <f t="shared" si="60"/>
        <v>OK</v>
      </c>
      <c r="W491" t="str">
        <f>IF(I491&gt;B491,"ERROR","OK")</f>
        <v>OK</v>
      </c>
      <c r="X491">
        <f>(B491-I491)/B491</f>
        <v>0.7863084848896077</v>
      </c>
      <c r="Y491" s="2">
        <f t="shared" si="61"/>
        <v>3.3306690738754696E-16</v>
      </c>
      <c r="Z491" s="2" t="str">
        <f t="shared" si="62"/>
        <v>OK</v>
      </c>
      <c r="AA491" t="str">
        <f t="shared" si="63"/>
        <v>Unique</v>
      </c>
    </row>
    <row r="492" spans="1:27" x14ac:dyDescent="0.3">
      <c r="A492">
        <v>491</v>
      </c>
      <c r="B492">
        <v>1243749.7552966501</v>
      </c>
      <c r="C492">
        <v>0.49504748300304802</v>
      </c>
      <c r="D492">
        <v>-0.12750433693896199</v>
      </c>
      <c r="E492">
        <v>4.3622893715040703E-2</v>
      </c>
      <c r="F492">
        <v>1</v>
      </c>
      <c r="G492" t="s">
        <v>12</v>
      </c>
      <c r="H492">
        <v>1</v>
      </c>
      <c r="I492">
        <v>54255.963383413902</v>
      </c>
      <c r="J492">
        <v>0.95637710628495898</v>
      </c>
      <c r="K492" t="str">
        <f t="shared" si="56"/>
        <v>OK</v>
      </c>
      <c r="L492" t="str">
        <f t="shared" si="57"/>
        <v>OK</v>
      </c>
      <c r="M492" t="str">
        <f>IF(OR(B492&lt;$AE$20,B492&gt;$AF$20),"Outlier","OK")</f>
        <v>OK</v>
      </c>
      <c r="N492" t="str">
        <f>IF(OR(J492&lt;$AE$21,J492&gt;$AF$21),"Outlier","OK")</f>
        <v>OK</v>
      </c>
      <c r="O492" t="str">
        <f>IF(OR(C492&lt;0,C492&gt;1),"Outlier","OK")</f>
        <v>OK</v>
      </c>
      <c r="P492" t="str">
        <f>IF(OR(D492&lt;0,D492&gt;1),"Outlier","OK")</f>
        <v>Outlier</v>
      </c>
      <c r="Q492" t="str">
        <f t="shared" si="58"/>
        <v>80-100%</v>
      </c>
      <c r="R492" t="str">
        <f>IF(B492="","Missing","OK")</f>
        <v>OK</v>
      </c>
      <c r="S492" t="str">
        <f>IF(E492="","Missing","OK")</f>
        <v>OK</v>
      </c>
      <c r="T492" t="str">
        <f t="shared" si="59"/>
        <v>OK</v>
      </c>
      <c r="U492">
        <f>COUNTIF($A:$A,A492)</f>
        <v>1</v>
      </c>
      <c r="V492" t="str">
        <f t="shared" si="60"/>
        <v>OK</v>
      </c>
      <c r="W492" t="str">
        <f>IF(I492&gt;B492,"ERROR","OK")</f>
        <v>OK</v>
      </c>
      <c r="X492">
        <f>(B492-I492)/B492</f>
        <v>0.95637710628495909</v>
      </c>
      <c r="Y492" s="2">
        <f t="shared" si="61"/>
        <v>1.1102230246251565E-16</v>
      </c>
      <c r="Z492" s="2" t="str">
        <f t="shared" si="62"/>
        <v>OK</v>
      </c>
      <c r="AA492" t="str">
        <f t="shared" si="63"/>
        <v>Unique</v>
      </c>
    </row>
    <row r="493" spans="1:27" x14ac:dyDescent="0.3">
      <c r="A493">
        <v>492</v>
      </c>
      <c r="B493">
        <v>1977019.1400735299</v>
      </c>
      <c r="C493">
        <v>0.86173572480912597</v>
      </c>
      <c r="D493">
        <v>-0.16244791692121699</v>
      </c>
      <c r="E493">
        <v>0.51574288442294003</v>
      </c>
      <c r="F493">
        <v>1</v>
      </c>
      <c r="G493" t="s">
        <v>11</v>
      </c>
      <c r="H493">
        <v>0</v>
      </c>
      <c r="I493">
        <v>1019633.55386088</v>
      </c>
      <c r="J493">
        <v>0.48425711557705903</v>
      </c>
      <c r="K493" t="str">
        <f t="shared" si="56"/>
        <v>OK</v>
      </c>
      <c r="L493" t="str">
        <f t="shared" si="57"/>
        <v>OK</v>
      </c>
      <c r="M493" t="str">
        <f>IF(OR(B493&lt;$AE$20,B493&gt;$AF$20),"Outlier","OK")</f>
        <v>OK</v>
      </c>
      <c r="N493" t="str">
        <f>IF(OR(J493&lt;$AE$21,J493&gt;$AF$21),"Outlier","OK")</f>
        <v>OK</v>
      </c>
      <c r="O493" t="str">
        <f>IF(OR(C493&lt;0,C493&gt;1),"Outlier","OK")</f>
        <v>OK</v>
      </c>
      <c r="P493" t="str">
        <f>IF(OR(D493&lt;0,D493&gt;1),"Outlier","OK")</f>
        <v>Outlier</v>
      </c>
      <c r="Q493" t="str">
        <f t="shared" si="58"/>
        <v>40-60%</v>
      </c>
      <c r="R493" t="str">
        <f>IF(B493="","Missing","OK")</f>
        <v>OK</v>
      </c>
      <c r="S493" t="str">
        <f>IF(E493="","Missing","OK")</f>
        <v>OK</v>
      </c>
      <c r="T493" t="str">
        <f t="shared" si="59"/>
        <v>OK</v>
      </c>
      <c r="U493">
        <f>COUNTIF($A:$A,A493)</f>
        <v>1</v>
      </c>
      <c r="V493" t="str">
        <f t="shared" si="60"/>
        <v>OK</v>
      </c>
      <c r="W493" t="str">
        <f>IF(I493&gt;B493,"ERROR","OK")</f>
        <v>OK</v>
      </c>
      <c r="X493">
        <f>(B493-I493)/B493</f>
        <v>0.48425711557706141</v>
      </c>
      <c r="Y493" s="2">
        <f t="shared" si="61"/>
        <v>2.3869795029440866E-15</v>
      </c>
      <c r="Z493" s="2" t="str">
        <f t="shared" si="62"/>
        <v>OK</v>
      </c>
      <c r="AA493" t="str">
        <f t="shared" si="63"/>
        <v>Unique</v>
      </c>
    </row>
    <row r="494" spans="1:27" x14ac:dyDescent="0.3">
      <c r="A494">
        <v>493</v>
      </c>
      <c r="B494">
        <v>1809985.2502677899</v>
      </c>
      <c r="C494">
        <v>0.83723279200985201</v>
      </c>
      <c r="D494">
        <v>0.10639304915959</v>
      </c>
      <c r="E494">
        <v>5.9267807121757603E-2</v>
      </c>
      <c r="F494">
        <v>1</v>
      </c>
      <c r="G494" t="s">
        <v>12</v>
      </c>
      <c r="H494">
        <v>0</v>
      </c>
      <c r="I494">
        <v>107273.85670609699</v>
      </c>
      <c r="J494">
        <v>0.94073219287824195</v>
      </c>
      <c r="K494" t="str">
        <f t="shared" si="56"/>
        <v>OK</v>
      </c>
      <c r="L494" t="str">
        <f t="shared" si="57"/>
        <v>OK</v>
      </c>
      <c r="M494" t="str">
        <f>IF(OR(B494&lt;$AE$20,B494&gt;$AF$20),"Outlier","OK")</f>
        <v>OK</v>
      </c>
      <c r="N494" t="str">
        <f>IF(OR(J494&lt;$AE$21,J494&gt;$AF$21),"Outlier","OK")</f>
        <v>OK</v>
      </c>
      <c r="O494" t="str">
        <f>IF(OR(C494&lt;0,C494&gt;1),"Outlier","OK")</f>
        <v>OK</v>
      </c>
      <c r="P494" t="str">
        <f>IF(OR(D494&lt;0,D494&gt;1),"Outlier","OK")</f>
        <v>OK</v>
      </c>
      <c r="Q494" t="str">
        <f t="shared" si="58"/>
        <v>80-100%</v>
      </c>
      <c r="R494" t="str">
        <f>IF(B494="","Missing","OK")</f>
        <v>OK</v>
      </c>
      <c r="S494" t="str">
        <f>IF(E494="","Missing","OK")</f>
        <v>OK</v>
      </c>
      <c r="T494" t="str">
        <f t="shared" si="59"/>
        <v>OK</v>
      </c>
      <c r="U494">
        <f>COUNTIF($A:$A,A494)</f>
        <v>1</v>
      </c>
      <c r="V494" t="str">
        <f t="shared" si="60"/>
        <v>OK</v>
      </c>
      <c r="W494" t="str">
        <f>IF(I494&gt;B494,"ERROR","OK")</f>
        <v>OK</v>
      </c>
      <c r="X494">
        <f>(B494-I494)/B494</f>
        <v>0.94073219287824272</v>
      </c>
      <c r="Y494" s="2">
        <f t="shared" si="61"/>
        <v>7.7715611723760958E-16</v>
      </c>
      <c r="Z494" s="2" t="str">
        <f t="shared" si="62"/>
        <v>OK</v>
      </c>
      <c r="AA494" t="str">
        <f t="shared" si="63"/>
        <v>Unique</v>
      </c>
    </row>
    <row r="495" spans="1:27" x14ac:dyDescent="0.3">
      <c r="A495">
        <v>494</v>
      </c>
      <c r="B495">
        <v>483206.27184594201</v>
      </c>
      <c r="C495">
        <v>0.74391448531105697</v>
      </c>
      <c r="D495">
        <v>0.18751567856850901</v>
      </c>
      <c r="E495">
        <v>0.602447915726254</v>
      </c>
      <c r="F495">
        <v>1</v>
      </c>
      <c r="G495" t="s">
        <v>12</v>
      </c>
      <c r="H495">
        <v>0</v>
      </c>
      <c r="I495">
        <v>291106.61133944098</v>
      </c>
      <c r="J495">
        <v>0.397552084273745</v>
      </c>
      <c r="K495" t="str">
        <f t="shared" si="56"/>
        <v>OK</v>
      </c>
      <c r="L495" t="str">
        <f t="shared" si="57"/>
        <v>OK</v>
      </c>
      <c r="M495" t="str">
        <f>IF(OR(B495&lt;$AE$20,B495&gt;$AF$20),"Outlier","OK")</f>
        <v>OK</v>
      </c>
      <c r="N495" t="str">
        <f>IF(OR(J495&lt;$AE$21,J495&gt;$AF$21),"Outlier","OK")</f>
        <v>OK</v>
      </c>
      <c r="O495" t="str">
        <f>IF(OR(C495&lt;0,C495&gt;1),"Outlier","OK")</f>
        <v>OK</v>
      </c>
      <c r="P495" t="str">
        <f>IF(OR(D495&lt;0,D495&gt;1),"Outlier","OK")</f>
        <v>OK</v>
      </c>
      <c r="Q495" t="str">
        <f t="shared" si="58"/>
        <v>20-40%</v>
      </c>
      <c r="R495" t="str">
        <f>IF(B495="","Missing","OK")</f>
        <v>OK</v>
      </c>
      <c r="S495" t="str">
        <f>IF(E495="","Missing","OK")</f>
        <v>OK</v>
      </c>
      <c r="T495" t="str">
        <f t="shared" si="59"/>
        <v>OK</v>
      </c>
      <c r="U495">
        <f>COUNTIF($A:$A,A495)</f>
        <v>1</v>
      </c>
      <c r="V495" t="str">
        <f t="shared" si="60"/>
        <v>OK</v>
      </c>
      <c r="W495" t="str">
        <f>IF(I495&gt;B495,"ERROR","OK")</f>
        <v>OK</v>
      </c>
      <c r="X495">
        <f>(B495-I495)/B495</f>
        <v>0.397552084273747</v>
      </c>
      <c r="Y495" s="2">
        <f t="shared" si="61"/>
        <v>1.9984014443252818E-15</v>
      </c>
      <c r="Z495" s="2" t="str">
        <f t="shared" si="62"/>
        <v>OK</v>
      </c>
      <c r="AA495" t="str">
        <f t="shared" si="63"/>
        <v>Unique</v>
      </c>
    </row>
    <row r="496" spans="1:27" x14ac:dyDescent="0.3">
      <c r="A496">
        <v>495</v>
      </c>
      <c r="B496">
        <v>50159.6808466519</v>
      </c>
      <c r="C496">
        <v>0.111193209698043</v>
      </c>
      <c r="D496">
        <v>-0.115458267013854</v>
      </c>
      <c r="E496">
        <v>0.13140353572212299</v>
      </c>
      <c r="F496">
        <v>1</v>
      </c>
      <c r="G496" t="s">
        <v>11</v>
      </c>
      <c r="H496">
        <v>0</v>
      </c>
      <c r="I496">
        <v>6591.1594139433601</v>
      </c>
      <c r="J496">
        <v>0.86859646427787596</v>
      </c>
      <c r="K496" t="str">
        <f t="shared" si="56"/>
        <v>OK</v>
      </c>
      <c r="L496" t="str">
        <f t="shared" si="57"/>
        <v>OK</v>
      </c>
      <c r="M496" t="str">
        <f>IF(OR(B496&lt;$AE$20,B496&gt;$AF$20),"Outlier","OK")</f>
        <v>Outlier</v>
      </c>
      <c r="N496" t="str">
        <f>IF(OR(J496&lt;$AE$21,J496&gt;$AF$21),"Outlier","OK")</f>
        <v>OK</v>
      </c>
      <c r="O496" t="str">
        <f>IF(OR(C496&lt;0,C496&gt;1),"Outlier","OK")</f>
        <v>OK</v>
      </c>
      <c r="P496" t="str">
        <f>IF(OR(D496&lt;0,D496&gt;1),"Outlier","OK")</f>
        <v>Outlier</v>
      </c>
      <c r="Q496" t="str">
        <f t="shared" si="58"/>
        <v>80-100%</v>
      </c>
      <c r="R496" t="str">
        <f>IF(B496="","Missing","OK")</f>
        <v>OK</v>
      </c>
      <c r="S496" t="str">
        <f>IF(E496="","Missing","OK")</f>
        <v>OK</v>
      </c>
      <c r="T496" t="str">
        <f t="shared" si="59"/>
        <v>OK</v>
      </c>
      <c r="U496">
        <f>COUNTIF($A:$A,A496)</f>
        <v>1</v>
      </c>
      <c r="V496" t="str">
        <f t="shared" si="60"/>
        <v>OK</v>
      </c>
      <c r="W496" t="str">
        <f>IF(I496&gt;B496,"ERROR","OK")</f>
        <v>OK</v>
      </c>
      <c r="X496">
        <f>(B496-I496)/B496</f>
        <v>0.86859646427787607</v>
      </c>
      <c r="Y496" s="2">
        <f t="shared" si="61"/>
        <v>1.1102230246251565E-16</v>
      </c>
      <c r="Z496" s="2" t="str">
        <f t="shared" si="62"/>
        <v>OK</v>
      </c>
      <c r="AA496" t="str">
        <f t="shared" si="63"/>
        <v>Unique</v>
      </c>
    </row>
    <row r="497" spans="1:27" x14ac:dyDescent="0.3">
      <c r="A497">
        <v>496</v>
      </c>
      <c r="B497">
        <v>1962164.81702087</v>
      </c>
      <c r="C497">
        <v>0.51990095676845005</v>
      </c>
      <c r="D497">
        <v>-3.5115407329791501E-2</v>
      </c>
      <c r="E497">
        <v>0.41189410909060697</v>
      </c>
      <c r="F497">
        <v>1</v>
      </c>
      <c r="G497" t="s">
        <v>10</v>
      </c>
      <c r="H497">
        <v>1</v>
      </c>
      <c r="I497">
        <v>808204.12919574999</v>
      </c>
      <c r="J497">
        <v>0.58810589090939203</v>
      </c>
      <c r="K497" t="str">
        <f t="shared" si="56"/>
        <v>OK</v>
      </c>
      <c r="L497" t="str">
        <f t="shared" si="57"/>
        <v>OK</v>
      </c>
      <c r="M497" t="str">
        <f>IF(OR(B497&lt;$AE$20,B497&gt;$AF$20),"Outlier","OK")</f>
        <v>OK</v>
      </c>
      <c r="N497" t="str">
        <f>IF(OR(J497&lt;$AE$21,J497&gt;$AF$21),"Outlier","OK")</f>
        <v>OK</v>
      </c>
      <c r="O497" t="str">
        <f>IF(OR(C497&lt;0,C497&gt;1),"Outlier","OK")</f>
        <v>OK</v>
      </c>
      <c r="P497" t="str">
        <f>IF(OR(D497&lt;0,D497&gt;1),"Outlier","OK")</f>
        <v>Outlier</v>
      </c>
      <c r="Q497" t="str">
        <f t="shared" si="58"/>
        <v>40-60%</v>
      </c>
      <c r="R497" t="str">
        <f>IF(B497="","Missing","OK")</f>
        <v>OK</v>
      </c>
      <c r="S497" t="str">
        <f>IF(E497="","Missing","OK")</f>
        <v>OK</v>
      </c>
      <c r="T497" t="str">
        <f t="shared" si="59"/>
        <v>OK</v>
      </c>
      <c r="U497">
        <f>COUNTIF($A:$A,A497)</f>
        <v>1</v>
      </c>
      <c r="V497" t="str">
        <f t="shared" si="60"/>
        <v>OK</v>
      </c>
      <c r="W497" t="str">
        <f>IF(I497&gt;B497,"ERROR","OK")</f>
        <v>OK</v>
      </c>
      <c r="X497">
        <f>(B497-I497)/B497</f>
        <v>0.58810589090939058</v>
      </c>
      <c r="Y497" s="2">
        <f t="shared" si="61"/>
        <v>1.4432899320127035E-15</v>
      </c>
      <c r="Z497" s="2" t="str">
        <f t="shared" si="62"/>
        <v>OK</v>
      </c>
      <c r="AA497" t="str">
        <f t="shared" si="63"/>
        <v>Unique</v>
      </c>
    </row>
    <row r="498" spans="1:27" x14ac:dyDescent="0.3">
      <c r="A498">
        <v>497</v>
      </c>
      <c r="B498">
        <v>1771290.32015988</v>
      </c>
      <c r="C498">
        <v>0.76524713293489</v>
      </c>
      <c r="D498">
        <v>-0.18304739303009299</v>
      </c>
      <c r="E498">
        <v>0.12930314302198301</v>
      </c>
      <c r="F498">
        <v>1</v>
      </c>
      <c r="G498" t="s">
        <v>10</v>
      </c>
      <c r="H498">
        <v>0</v>
      </c>
      <c r="I498">
        <v>229033.40560108799</v>
      </c>
      <c r="J498">
        <v>0.87069685697801602</v>
      </c>
      <c r="K498" t="str">
        <f t="shared" si="56"/>
        <v>OK</v>
      </c>
      <c r="L498" t="str">
        <f t="shared" si="57"/>
        <v>OK</v>
      </c>
      <c r="M498" t="str">
        <f>IF(OR(B498&lt;$AE$20,B498&gt;$AF$20),"Outlier","OK")</f>
        <v>OK</v>
      </c>
      <c r="N498" t="str">
        <f>IF(OR(J498&lt;$AE$21,J498&gt;$AF$21),"Outlier","OK")</f>
        <v>OK</v>
      </c>
      <c r="O498" t="str">
        <f>IF(OR(C498&lt;0,C498&gt;1),"Outlier","OK")</f>
        <v>OK</v>
      </c>
      <c r="P498" t="str">
        <f>IF(OR(D498&lt;0,D498&gt;1),"Outlier","OK")</f>
        <v>Outlier</v>
      </c>
      <c r="Q498" t="str">
        <f t="shared" si="58"/>
        <v>80-100%</v>
      </c>
      <c r="R498" t="str">
        <f>IF(B498="","Missing","OK")</f>
        <v>OK</v>
      </c>
      <c r="S498" t="str">
        <f>IF(E498="","Missing","OK")</f>
        <v>OK</v>
      </c>
      <c r="T498" t="str">
        <f t="shared" si="59"/>
        <v>OK</v>
      </c>
      <c r="U498">
        <f>COUNTIF($A:$A,A498)</f>
        <v>1</v>
      </c>
      <c r="V498" t="str">
        <f t="shared" si="60"/>
        <v>OK</v>
      </c>
      <c r="W498" t="str">
        <f>IF(I498&gt;B498,"ERROR","OK")</f>
        <v>OK</v>
      </c>
      <c r="X498">
        <f>(B498-I498)/B498</f>
        <v>0.87069685697801646</v>
      </c>
      <c r="Y498" s="2">
        <f t="shared" si="61"/>
        <v>4.4408920985006262E-16</v>
      </c>
      <c r="Z498" s="2" t="str">
        <f t="shared" si="62"/>
        <v>OK</v>
      </c>
      <c r="AA498" t="str">
        <f t="shared" si="63"/>
        <v>Unique</v>
      </c>
    </row>
    <row r="499" spans="1:27" x14ac:dyDescent="0.3">
      <c r="A499">
        <v>498</v>
      </c>
      <c r="B499">
        <v>1842971.30933884</v>
      </c>
      <c r="C499">
        <v>0.878597404210267</v>
      </c>
      <c r="D499">
        <v>-3.5474392212662798E-2</v>
      </c>
      <c r="E499">
        <v>0.60746091686576498</v>
      </c>
      <c r="F499">
        <v>1</v>
      </c>
      <c r="G499" t="s">
        <v>13</v>
      </c>
      <c r="H499">
        <v>1</v>
      </c>
      <c r="I499">
        <v>1119533.04132827</v>
      </c>
      <c r="J499">
        <v>0.39253908313423502</v>
      </c>
      <c r="K499" t="str">
        <f t="shared" si="56"/>
        <v>OK</v>
      </c>
      <c r="L499" t="str">
        <f t="shared" si="57"/>
        <v>OK</v>
      </c>
      <c r="M499" t="str">
        <f>IF(OR(B499&lt;$AE$20,B499&gt;$AF$20),"Outlier","OK")</f>
        <v>OK</v>
      </c>
      <c r="N499" t="str">
        <f>IF(OR(J499&lt;$AE$21,J499&gt;$AF$21),"Outlier","OK")</f>
        <v>OK</v>
      </c>
      <c r="O499" t="str">
        <f>IF(OR(C499&lt;0,C499&gt;1),"Outlier","OK")</f>
        <v>OK</v>
      </c>
      <c r="P499" t="str">
        <f>IF(OR(D499&lt;0,D499&gt;1),"Outlier","OK")</f>
        <v>Outlier</v>
      </c>
      <c r="Q499" t="str">
        <f t="shared" si="58"/>
        <v>20-40%</v>
      </c>
      <c r="R499" t="str">
        <f>IF(B499="","Missing","OK")</f>
        <v>OK</v>
      </c>
      <c r="S499" t="str">
        <f>IF(E499="","Missing","OK")</f>
        <v>OK</v>
      </c>
      <c r="T499" t="str">
        <f t="shared" si="59"/>
        <v>OK</v>
      </c>
      <c r="U499">
        <f>COUNTIF($A:$A,A499)</f>
        <v>1</v>
      </c>
      <c r="V499" t="str">
        <f t="shared" si="60"/>
        <v>OK</v>
      </c>
      <c r="W499" t="str">
        <f>IF(I499&gt;B499,"ERROR","OK")</f>
        <v>OK</v>
      </c>
      <c r="X499">
        <f>(B499-I499)/B499</f>
        <v>0.39253908313423563</v>
      </c>
      <c r="Y499" s="2">
        <f t="shared" si="61"/>
        <v>6.106226635438361E-16</v>
      </c>
      <c r="Z499" s="2" t="str">
        <f t="shared" si="62"/>
        <v>OK</v>
      </c>
      <c r="AA499" t="str">
        <f t="shared" si="63"/>
        <v>Unique</v>
      </c>
    </row>
    <row r="500" spans="1:27" x14ac:dyDescent="0.3">
      <c r="A500">
        <v>499</v>
      </c>
      <c r="B500">
        <v>860231.92413338495</v>
      </c>
      <c r="C500">
        <v>0.40194388242747497</v>
      </c>
      <c r="D500">
        <v>-9.8858601902948207E-2</v>
      </c>
      <c r="E500">
        <v>0.50911128788739901</v>
      </c>
      <c r="F500">
        <v>1</v>
      </c>
      <c r="G500" t="s">
        <v>12</v>
      </c>
      <c r="H500">
        <v>0</v>
      </c>
      <c r="I500">
        <v>437953.78277740302</v>
      </c>
      <c r="J500">
        <v>0.49088871211259999</v>
      </c>
      <c r="K500" t="str">
        <f t="shared" si="56"/>
        <v>OK</v>
      </c>
      <c r="L500" t="str">
        <f t="shared" si="57"/>
        <v>OK</v>
      </c>
      <c r="M500" t="str">
        <f>IF(OR(B500&lt;$AE$20,B500&gt;$AF$20),"Outlier","OK")</f>
        <v>OK</v>
      </c>
      <c r="N500" t="str">
        <f>IF(OR(J500&lt;$AE$21,J500&gt;$AF$21),"Outlier","OK")</f>
        <v>OK</v>
      </c>
      <c r="O500" t="str">
        <f>IF(OR(C500&lt;0,C500&gt;1),"Outlier","OK")</f>
        <v>OK</v>
      </c>
      <c r="P500" t="str">
        <f>IF(OR(D500&lt;0,D500&gt;1),"Outlier","OK")</f>
        <v>Outlier</v>
      </c>
      <c r="Q500" t="str">
        <f t="shared" si="58"/>
        <v>40-60%</v>
      </c>
      <c r="R500" t="str">
        <f>IF(B500="","Missing","OK")</f>
        <v>OK</v>
      </c>
      <c r="S500" t="str">
        <f>IF(E500="","Missing","OK")</f>
        <v>OK</v>
      </c>
      <c r="T500" t="str">
        <f t="shared" si="59"/>
        <v>OK</v>
      </c>
      <c r="U500">
        <f>COUNTIF($A:$A,A500)</f>
        <v>1</v>
      </c>
      <c r="V500" t="str">
        <f t="shared" si="60"/>
        <v>OK</v>
      </c>
      <c r="W500" t="str">
        <f>IF(I500&gt;B500,"ERROR","OK")</f>
        <v>OK</v>
      </c>
      <c r="X500">
        <f>(B500-I500)/B500</f>
        <v>0.49088871211260088</v>
      </c>
      <c r="Y500" s="2">
        <f t="shared" si="61"/>
        <v>8.8817841970012523E-16</v>
      </c>
      <c r="Z500" s="2" t="str">
        <f t="shared" si="62"/>
        <v>OK</v>
      </c>
      <c r="AA500" t="str">
        <f t="shared" si="63"/>
        <v>Unique</v>
      </c>
    </row>
    <row r="501" spans="1:27" x14ac:dyDescent="0.3">
      <c r="A501">
        <v>500</v>
      </c>
      <c r="B501">
        <v>1502000.15120562</v>
      </c>
      <c r="C501">
        <v>0.75355940860439796</v>
      </c>
      <c r="D501">
        <v>-2.8767152641639101E-3</v>
      </c>
      <c r="E501">
        <v>0.40082662849690698</v>
      </c>
      <c r="F501">
        <v>1</v>
      </c>
      <c r="G501" t="s">
        <v>11</v>
      </c>
      <c r="H501">
        <v>1</v>
      </c>
      <c r="I501">
        <v>602041.65660959505</v>
      </c>
      <c r="J501">
        <v>0.59917337150309202</v>
      </c>
      <c r="K501" t="str">
        <f t="shared" si="56"/>
        <v>OK</v>
      </c>
      <c r="L501" t="str">
        <f t="shared" si="57"/>
        <v>OK</v>
      </c>
      <c r="M501" t="str">
        <f>IF(OR(B501&lt;$AE$20,B501&gt;$AF$20),"Outlier","OK")</f>
        <v>OK</v>
      </c>
      <c r="N501" t="str">
        <f>IF(OR(J501&lt;$AE$21,J501&gt;$AF$21),"Outlier","OK")</f>
        <v>OK</v>
      </c>
      <c r="O501" t="str">
        <f>IF(OR(C501&lt;0,C501&gt;1),"Outlier","OK")</f>
        <v>OK</v>
      </c>
      <c r="P501" t="str">
        <f>IF(OR(D501&lt;0,D501&gt;1),"Outlier","OK")</f>
        <v>Outlier</v>
      </c>
      <c r="Q501" t="str">
        <f t="shared" si="58"/>
        <v>40-60%</v>
      </c>
      <c r="R501" t="str">
        <f>IF(B501="","Missing","OK")</f>
        <v>OK</v>
      </c>
      <c r="S501" t="str">
        <f>IF(E501="","Missing","OK")</f>
        <v>OK</v>
      </c>
      <c r="T501" t="str">
        <f t="shared" si="59"/>
        <v>OK</v>
      </c>
      <c r="U501">
        <f>COUNTIF($A:$A,A501)</f>
        <v>1</v>
      </c>
      <c r="V501" t="str">
        <f t="shared" si="60"/>
        <v>OK</v>
      </c>
      <c r="W501" t="str">
        <f>IF(I501&gt;B501,"ERROR","OK")</f>
        <v>OK</v>
      </c>
      <c r="X501">
        <f>(B501-I501)/B501</f>
        <v>0.5991733715030918</v>
      </c>
      <c r="Y501" s="2">
        <f t="shared" si="61"/>
        <v>2.2204460492503131E-16</v>
      </c>
      <c r="Z501" s="2" t="str">
        <f t="shared" si="62"/>
        <v>OK</v>
      </c>
      <c r="AA501" t="str">
        <f t="shared" si="63"/>
        <v>Unique</v>
      </c>
    </row>
    <row r="502" spans="1:27" x14ac:dyDescent="0.3">
      <c r="A502">
        <v>501</v>
      </c>
      <c r="B502">
        <v>465021.42220983998</v>
      </c>
      <c r="C502">
        <v>0.14423702572109101</v>
      </c>
      <c r="D502">
        <v>-0.19556139328734101</v>
      </c>
      <c r="E502">
        <v>0.37144363911280398</v>
      </c>
      <c r="F502">
        <v>1</v>
      </c>
      <c r="G502" t="s">
        <v>11</v>
      </c>
      <c r="H502">
        <v>0</v>
      </c>
      <c r="I502">
        <v>172729.24933103501</v>
      </c>
      <c r="J502">
        <v>0.62855636088719502</v>
      </c>
      <c r="K502" t="str">
        <f t="shared" si="56"/>
        <v>OK</v>
      </c>
      <c r="L502" t="str">
        <f t="shared" si="57"/>
        <v>OK</v>
      </c>
      <c r="M502" t="str">
        <f>IF(OR(B502&lt;$AE$20,B502&gt;$AF$20),"Outlier","OK")</f>
        <v>OK</v>
      </c>
      <c r="N502" t="str">
        <f>IF(OR(J502&lt;$AE$21,J502&gt;$AF$21),"Outlier","OK")</f>
        <v>OK</v>
      </c>
      <c r="O502" t="str">
        <f>IF(OR(C502&lt;0,C502&gt;1),"Outlier","OK")</f>
        <v>OK</v>
      </c>
      <c r="P502" t="str">
        <f>IF(OR(D502&lt;0,D502&gt;1),"Outlier","OK")</f>
        <v>Outlier</v>
      </c>
      <c r="Q502" t="str">
        <f t="shared" si="58"/>
        <v>60-80%</v>
      </c>
      <c r="R502" t="str">
        <f>IF(B502="","Missing","OK")</f>
        <v>OK</v>
      </c>
      <c r="S502" t="str">
        <f>IF(E502="","Missing","OK")</f>
        <v>OK</v>
      </c>
      <c r="T502" t="str">
        <f t="shared" si="59"/>
        <v>OK</v>
      </c>
      <c r="U502">
        <f>COUNTIF($A:$A,A502)</f>
        <v>1</v>
      </c>
      <c r="V502" t="str">
        <f t="shared" si="60"/>
        <v>OK</v>
      </c>
      <c r="W502" t="str">
        <f>IF(I502&gt;B502,"ERROR","OK")</f>
        <v>OK</v>
      </c>
      <c r="X502">
        <f>(B502-I502)/B502</f>
        <v>0.62855636088719524</v>
      </c>
      <c r="Y502" s="2">
        <f t="shared" si="61"/>
        <v>2.2204460492503131E-16</v>
      </c>
      <c r="Z502" s="2" t="str">
        <f t="shared" si="62"/>
        <v>OK</v>
      </c>
      <c r="AA502" t="str">
        <f t="shared" si="63"/>
        <v>Unique</v>
      </c>
    </row>
    <row r="503" spans="1:27" x14ac:dyDescent="0.3">
      <c r="A503">
        <v>502</v>
      </c>
      <c r="B503">
        <v>814992.93861365796</v>
      </c>
      <c r="C503">
        <v>0.10763282278658701</v>
      </c>
      <c r="D503">
        <v>-0.15376098279061501</v>
      </c>
      <c r="E503">
        <v>0.427719076834638</v>
      </c>
      <c r="F503">
        <v>1</v>
      </c>
      <c r="G503" t="s">
        <v>10</v>
      </c>
      <c r="H503">
        <v>0</v>
      </c>
      <c r="I503">
        <v>348588.02733058197</v>
      </c>
      <c r="J503">
        <v>0.57228092316536106</v>
      </c>
      <c r="K503" t="str">
        <f t="shared" si="56"/>
        <v>OK</v>
      </c>
      <c r="L503" t="str">
        <f t="shared" si="57"/>
        <v>OK</v>
      </c>
      <c r="M503" t="str">
        <f>IF(OR(B503&lt;$AE$20,B503&gt;$AF$20),"Outlier","OK")</f>
        <v>OK</v>
      </c>
      <c r="N503" t="str">
        <f>IF(OR(J503&lt;$AE$21,J503&gt;$AF$21),"Outlier","OK")</f>
        <v>OK</v>
      </c>
      <c r="O503" t="str">
        <f>IF(OR(C503&lt;0,C503&gt;1),"Outlier","OK")</f>
        <v>OK</v>
      </c>
      <c r="P503" t="str">
        <f>IF(OR(D503&lt;0,D503&gt;1),"Outlier","OK")</f>
        <v>Outlier</v>
      </c>
      <c r="Q503" t="str">
        <f t="shared" si="58"/>
        <v>40-60%</v>
      </c>
      <c r="R503" t="str">
        <f>IF(B503="","Missing","OK")</f>
        <v>OK</v>
      </c>
      <c r="S503" t="str">
        <f>IF(E503="","Missing","OK")</f>
        <v>OK</v>
      </c>
      <c r="T503" t="str">
        <f t="shared" si="59"/>
        <v>OK</v>
      </c>
      <c r="U503">
        <f>COUNTIF($A:$A,A503)</f>
        <v>1</v>
      </c>
      <c r="V503" t="str">
        <f t="shared" si="60"/>
        <v>OK</v>
      </c>
      <c r="W503" t="str">
        <f>IF(I503&gt;B503,"ERROR","OK")</f>
        <v>OK</v>
      </c>
      <c r="X503">
        <f>(B503-I503)/B503</f>
        <v>0.57228092316536272</v>
      </c>
      <c r="Y503" s="2">
        <f t="shared" si="61"/>
        <v>1.6653345369377348E-15</v>
      </c>
      <c r="Z503" s="2" t="str">
        <f t="shared" si="62"/>
        <v>OK</v>
      </c>
      <c r="AA503" t="str">
        <f t="shared" si="63"/>
        <v>Unique</v>
      </c>
    </row>
    <row r="504" spans="1:27" x14ac:dyDescent="0.3">
      <c r="A504">
        <v>503</v>
      </c>
      <c r="B504">
        <v>1710518.7002049901</v>
      </c>
      <c r="C504">
        <v>0.43887702608468798</v>
      </c>
      <c r="D504">
        <v>-0.178339820445828</v>
      </c>
      <c r="E504">
        <v>0.27581363924025298</v>
      </c>
      <c r="F504">
        <v>1</v>
      </c>
      <c r="G504" t="s">
        <v>12</v>
      </c>
      <c r="H504">
        <v>0</v>
      </c>
      <c r="I504">
        <v>471784.38769204699</v>
      </c>
      <c r="J504">
        <v>0.72418636075974596</v>
      </c>
      <c r="K504" t="str">
        <f t="shared" si="56"/>
        <v>OK</v>
      </c>
      <c r="L504" t="str">
        <f t="shared" si="57"/>
        <v>OK</v>
      </c>
      <c r="M504" t="str">
        <f>IF(OR(B504&lt;$AE$20,B504&gt;$AF$20),"Outlier","OK")</f>
        <v>OK</v>
      </c>
      <c r="N504" t="str">
        <f>IF(OR(J504&lt;$AE$21,J504&gt;$AF$21),"Outlier","OK")</f>
        <v>OK</v>
      </c>
      <c r="O504" t="str">
        <f>IF(OR(C504&lt;0,C504&gt;1),"Outlier","OK")</f>
        <v>OK</v>
      </c>
      <c r="P504" t="str">
        <f>IF(OR(D504&lt;0,D504&gt;1),"Outlier","OK")</f>
        <v>Outlier</v>
      </c>
      <c r="Q504" t="str">
        <f t="shared" si="58"/>
        <v>60-80%</v>
      </c>
      <c r="R504" t="str">
        <f>IF(B504="","Missing","OK")</f>
        <v>OK</v>
      </c>
      <c r="S504" t="str">
        <f>IF(E504="","Missing","OK")</f>
        <v>OK</v>
      </c>
      <c r="T504" t="str">
        <f t="shared" si="59"/>
        <v>OK</v>
      </c>
      <c r="U504">
        <f>COUNTIF($A:$A,A504)</f>
        <v>1</v>
      </c>
      <c r="V504" t="str">
        <f t="shared" si="60"/>
        <v>OK</v>
      </c>
      <c r="W504" t="str">
        <f>IF(I504&gt;B504,"ERROR","OK")</f>
        <v>OK</v>
      </c>
      <c r="X504">
        <f>(B504-I504)/B504</f>
        <v>0.72418636075974618</v>
      </c>
      <c r="Y504" s="2">
        <f t="shared" si="61"/>
        <v>2.2204460492503131E-16</v>
      </c>
      <c r="Z504" s="2" t="str">
        <f t="shared" si="62"/>
        <v>OK</v>
      </c>
      <c r="AA504" t="str">
        <f t="shared" si="63"/>
        <v>Unique</v>
      </c>
    </row>
    <row r="505" spans="1:27" x14ac:dyDescent="0.3">
      <c r="A505">
        <v>504</v>
      </c>
      <c r="B505">
        <v>298843.83722514001</v>
      </c>
      <c r="C505">
        <v>0.82717771803114504</v>
      </c>
      <c r="D505">
        <v>0.17857650014908599</v>
      </c>
      <c r="E505">
        <v>0.33265844937341499</v>
      </c>
      <c r="F505">
        <v>1</v>
      </c>
      <c r="G505" t="s">
        <v>13</v>
      </c>
      <c r="H505">
        <v>0</v>
      </c>
      <c r="I505">
        <v>99412.927496116507</v>
      </c>
      <c r="J505">
        <v>0.66734155062658396</v>
      </c>
      <c r="K505" t="str">
        <f t="shared" si="56"/>
        <v>OK</v>
      </c>
      <c r="L505" t="str">
        <f t="shared" si="57"/>
        <v>OK</v>
      </c>
      <c r="M505" t="str">
        <f>IF(OR(B505&lt;$AE$20,B505&gt;$AF$20),"Outlier","OK")</f>
        <v>OK</v>
      </c>
      <c r="N505" t="str">
        <f>IF(OR(J505&lt;$AE$21,J505&gt;$AF$21),"Outlier","OK")</f>
        <v>OK</v>
      </c>
      <c r="O505" t="str">
        <f>IF(OR(C505&lt;0,C505&gt;1),"Outlier","OK")</f>
        <v>OK</v>
      </c>
      <c r="P505" t="str">
        <f>IF(OR(D505&lt;0,D505&gt;1),"Outlier","OK")</f>
        <v>OK</v>
      </c>
      <c r="Q505" t="str">
        <f t="shared" si="58"/>
        <v>60-80%</v>
      </c>
      <c r="R505" t="str">
        <f>IF(B505="","Missing","OK")</f>
        <v>OK</v>
      </c>
      <c r="S505" t="str">
        <f>IF(E505="","Missing","OK")</f>
        <v>OK</v>
      </c>
      <c r="T505" t="str">
        <f t="shared" si="59"/>
        <v>OK</v>
      </c>
      <c r="U505">
        <f>COUNTIF($A:$A,A505)</f>
        <v>1</v>
      </c>
      <c r="V505" t="str">
        <f t="shared" si="60"/>
        <v>OK</v>
      </c>
      <c r="W505" t="str">
        <f>IF(I505&gt;B505,"ERROR","OK")</f>
        <v>OK</v>
      </c>
      <c r="X505">
        <f>(B505-I505)/B505</f>
        <v>0.6673415506265844</v>
      </c>
      <c r="Y505" s="2">
        <f t="shared" si="61"/>
        <v>4.4408920985006262E-16</v>
      </c>
      <c r="Z505" s="2" t="str">
        <f t="shared" si="62"/>
        <v>OK</v>
      </c>
      <c r="AA505" t="str">
        <f t="shared" si="63"/>
        <v>Unique</v>
      </c>
    </row>
    <row r="506" spans="1:27" x14ac:dyDescent="0.3">
      <c r="A506">
        <v>505</v>
      </c>
      <c r="B506">
        <v>1793037.4673535901</v>
      </c>
      <c r="C506">
        <v>0.338139122752179</v>
      </c>
      <c r="D506">
        <v>0.16860036701991701</v>
      </c>
      <c r="E506">
        <v>8.0415871988703896E-2</v>
      </c>
      <c r="F506">
        <v>1</v>
      </c>
      <c r="G506" t="s">
        <v>13</v>
      </c>
      <c r="H506">
        <v>0</v>
      </c>
      <c r="I506">
        <v>144188.67144565599</v>
      </c>
      <c r="J506">
        <v>0.91958412801129596</v>
      </c>
      <c r="K506" t="str">
        <f t="shared" si="56"/>
        <v>OK</v>
      </c>
      <c r="L506" t="str">
        <f t="shared" si="57"/>
        <v>OK</v>
      </c>
      <c r="M506" t="str">
        <f>IF(OR(B506&lt;$AE$20,B506&gt;$AF$20),"Outlier","OK")</f>
        <v>OK</v>
      </c>
      <c r="N506" t="str">
        <f>IF(OR(J506&lt;$AE$21,J506&gt;$AF$21),"Outlier","OK")</f>
        <v>OK</v>
      </c>
      <c r="O506" t="str">
        <f>IF(OR(C506&lt;0,C506&gt;1),"Outlier","OK")</f>
        <v>OK</v>
      </c>
      <c r="P506" t="str">
        <f>IF(OR(D506&lt;0,D506&gt;1),"Outlier","OK")</f>
        <v>OK</v>
      </c>
      <c r="Q506" t="str">
        <f t="shared" si="58"/>
        <v>80-100%</v>
      </c>
      <c r="R506" t="str">
        <f>IF(B506="","Missing","OK")</f>
        <v>OK</v>
      </c>
      <c r="S506" t="str">
        <f>IF(E506="","Missing","OK")</f>
        <v>OK</v>
      </c>
      <c r="T506" t="str">
        <f t="shared" si="59"/>
        <v>OK</v>
      </c>
      <c r="U506">
        <f>COUNTIF($A:$A,A506)</f>
        <v>1</v>
      </c>
      <c r="V506" t="str">
        <f t="shared" si="60"/>
        <v>OK</v>
      </c>
      <c r="W506" t="str">
        <f>IF(I506&gt;B506,"ERROR","OK")</f>
        <v>OK</v>
      </c>
      <c r="X506">
        <f>(B506-I506)/B506</f>
        <v>0.9195841280112963</v>
      </c>
      <c r="Y506" s="2">
        <f t="shared" si="61"/>
        <v>3.3306690738754696E-16</v>
      </c>
      <c r="Z506" s="2" t="str">
        <f t="shared" si="62"/>
        <v>OK</v>
      </c>
      <c r="AA506" t="str">
        <f t="shared" si="63"/>
        <v>Unique</v>
      </c>
    </row>
    <row r="507" spans="1:27" x14ac:dyDescent="0.3">
      <c r="A507">
        <v>506</v>
      </c>
      <c r="B507">
        <v>1018190.54613147</v>
      </c>
      <c r="C507">
        <v>0.43676440572429698</v>
      </c>
      <c r="D507">
        <v>1.7905422102130499E-2</v>
      </c>
      <c r="E507">
        <v>0.144002452787447</v>
      </c>
      <c r="F507">
        <v>1</v>
      </c>
      <c r="G507" t="s">
        <v>10</v>
      </c>
      <c r="H507">
        <v>1</v>
      </c>
      <c r="I507">
        <v>146621.936047922</v>
      </c>
      <c r="J507">
        <v>0.85599754721255195</v>
      </c>
      <c r="K507" t="str">
        <f t="shared" si="56"/>
        <v>OK</v>
      </c>
      <c r="L507" t="str">
        <f t="shared" si="57"/>
        <v>OK</v>
      </c>
      <c r="M507" t="str">
        <f>IF(OR(B507&lt;$AE$20,B507&gt;$AF$20),"Outlier","OK")</f>
        <v>OK</v>
      </c>
      <c r="N507" t="str">
        <f>IF(OR(J507&lt;$AE$21,J507&gt;$AF$21),"Outlier","OK")</f>
        <v>OK</v>
      </c>
      <c r="O507" t="str">
        <f>IF(OR(C507&lt;0,C507&gt;1),"Outlier","OK")</f>
        <v>OK</v>
      </c>
      <c r="P507" t="str">
        <f>IF(OR(D507&lt;0,D507&gt;1),"Outlier","OK")</f>
        <v>OK</v>
      </c>
      <c r="Q507" t="str">
        <f t="shared" si="58"/>
        <v>80-100%</v>
      </c>
      <c r="R507" t="str">
        <f>IF(B507="","Missing","OK")</f>
        <v>OK</v>
      </c>
      <c r="S507" t="str">
        <f>IF(E507="","Missing","OK")</f>
        <v>OK</v>
      </c>
      <c r="T507" t="str">
        <f t="shared" si="59"/>
        <v>OK</v>
      </c>
      <c r="U507">
        <f>COUNTIF($A:$A,A507)</f>
        <v>1</v>
      </c>
      <c r="V507" t="str">
        <f t="shared" si="60"/>
        <v>OK</v>
      </c>
      <c r="W507" t="str">
        <f>IF(I507&gt;B507,"ERROR","OK")</f>
        <v>OK</v>
      </c>
      <c r="X507">
        <f>(B507-I507)/B507</f>
        <v>0.85599754721255283</v>
      </c>
      <c r="Y507" s="2">
        <f t="shared" si="61"/>
        <v>8.8817841970012523E-16</v>
      </c>
      <c r="Z507" s="2" t="str">
        <f t="shared" si="62"/>
        <v>OK</v>
      </c>
      <c r="AA507" t="str">
        <f t="shared" si="63"/>
        <v>Unique</v>
      </c>
    </row>
    <row r="508" spans="1:27" x14ac:dyDescent="0.3">
      <c r="A508">
        <v>507</v>
      </c>
      <c r="B508">
        <v>880886.52797652001</v>
      </c>
      <c r="C508">
        <v>0.11266543841019901</v>
      </c>
      <c r="D508">
        <v>-0.130259268400193</v>
      </c>
      <c r="E508">
        <v>0.232824487089071</v>
      </c>
      <c r="F508">
        <v>1</v>
      </c>
      <c r="G508" t="s">
        <v>11</v>
      </c>
      <c r="H508">
        <v>1</v>
      </c>
      <c r="I508">
        <v>205091.95405980601</v>
      </c>
      <c r="J508">
        <v>0.767175512910928</v>
      </c>
      <c r="K508" t="str">
        <f t="shared" si="56"/>
        <v>OK</v>
      </c>
      <c r="L508" t="str">
        <f t="shared" si="57"/>
        <v>OK</v>
      </c>
      <c r="M508" t="str">
        <f>IF(OR(B508&lt;$AE$20,B508&gt;$AF$20),"Outlier","OK")</f>
        <v>OK</v>
      </c>
      <c r="N508" t="str">
        <f>IF(OR(J508&lt;$AE$21,J508&gt;$AF$21),"Outlier","OK")</f>
        <v>OK</v>
      </c>
      <c r="O508" t="str">
        <f>IF(OR(C508&lt;0,C508&gt;1),"Outlier","OK")</f>
        <v>OK</v>
      </c>
      <c r="P508" t="str">
        <f>IF(OR(D508&lt;0,D508&gt;1),"Outlier","OK")</f>
        <v>Outlier</v>
      </c>
      <c r="Q508" t="str">
        <f t="shared" si="58"/>
        <v>60-80%</v>
      </c>
      <c r="R508" t="str">
        <f>IF(B508="","Missing","OK")</f>
        <v>OK</v>
      </c>
      <c r="S508" t="str">
        <f>IF(E508="","Missing","OK")</f>
        <v>OK</v>
      </c>
      <c r="T508" t="str">
        <f t="shared" si="59"/>
        <v>OK</v>
      </c>
      <c r="U508">
        <f>COUNTIF($A:$A,A508)</f>
        <v>1</v>
      </c>
      <c r="V508" t="str">
        <f t="shared" si="60"/>
        <v>OK</v>
      </c>
      <c r="W508" t="str">
        <f>IF(I508&gt;B508,"ERROR","OK")</f>
        <v>OK</v>
      </c>
      <c r="X508">
        <f>(B508-I508)/B508</f>
        <v>0.76717551291092878</v>
      </c>
      <c r="Y508" s="2">
        <f t="shared" si="61"/>
        <v>7.7715611723760958E-16</v>
      </c>
      <c r="Z508" s="2" t="str">
        <f t="shared" si="62"/>
        <v>OK</v>
      </c>
      <c r="AA508" t="str">
        <f t="shared" si="63"/>
        <v>Unique</v>
      </c>
    </row>
    <row r="509" spans="1:27" x14ac:dyDescent="0.3">
      <c r="A509">
        <v>508</v>
      </c>
      <c r="B509">
        <v>646010.45678158</v>
      </c>
      <c r="C509">
        <v>0.292701641580982</v>
      </c>
      <c r="D509">
        <v>-1.92925699645515E-2</v>
      </c>
      <c r="E509">
        <v>0.31637513181767501</v>
      </c>
      <c r="F509">
        <v>1</v>
      </c>
      <c r="G509" t="s">
        <v>12</v>
      </c>
      <c r="H509">
        <v>0</v>
      </c>
      <c r="I509">
        <v>204381.64341986901</v>
      </c>
      <c r="J509">
        <v>0.68362486818232404</v>
      </c>
      <c r="K509" t="str">
        <f t="shared" si="56"/>
        <v>OK</v>
      </c>
      <c r="L509" t="str">
        <f t="shared" si="57"/>
        <v>OK</v>
      </c>
      <c r="M509" t="str">
        <f>IF(OR(B509&lt;$AE$20,B509&gt;$AF$20),"Outlier","OK")</f>
        <v>OK</v>
      </c>
      <c r="N509" t="str">
        <f>IF(OR(J509&lt;$AE$21,J509&gt;$AF$21),"Outlier","OK")</f>
        <v>OK</v>
      </c>
      <c r="O509" t="str">
        <f>IF(OR(C509&lt;0,C509&gt;1),"Outlier","OK")</f>
        <v>OK</v>
      </c>
      <c r="P509" t="str">
        <f>IF(OR(D509&lt;0,D509&gt;1),"Outlier","OK")</f>
        <v>Outlier</v>
      </c>
      <c r="Q509" t="str">
        <f t="shared" si="58"/>
        <v>60-80%</v>
      </c>
      <c r="R509" t="str">
        <f>IF(B509="","Missing","OK")</f>
        <v>OK</v>
      </c>
      <c r="S509" t="str">
        <f>IF(E509="","Missing","OK")</f>
        <v>OK</v>
      </c>
      <c r="T509" t="str">
        <f t="shared" si="59"/>
        <v>OK</v>
      </c>
      <c r="U509">
        <f>COUNTIF($A:$A,A509)</f>
        <v>1</v>
      </c>
      <c r="V509" t="str">
        <f t="shared" si="60"/>
        <v>OK</v>
      </c>
      <c r="W509" t="str">
        <f>IF(I509&gt;B509,"ERROR","OK")</f>
        <v>OK</v>
      </c>
      <c r="X509">
        <f>(B509-I509)/B509</f>
        <v>0.68362486818232471</v>
      </c>
      <c r="Y509" s="2">
        <f t="shared" si="61"/>
        <v>6.6613381477509392E-16</v>
      </c>
      <c r="Z509" s="2" t="str">
        <f t="shared" si="62"/>
        <v>OK</v>
      </c>
      <c r="AA509" t="str">
        <f t="shared" si="63"/>
        <v>Unique</v>
      </c>
    </row>
    <row r="510" spans="1:27" x14ac:dyDescent="0.3">
      <c r="A510">
        <v>509</v>
      </c>
      <c r="B510">
        <v>1837855.13128191</v>
      </c>
      <c r="C510">
        <v>0.70614069577252303</v>
      </c>
      <c r="D510">
        <v>2.3723481487241401E-2</v>
      </c>
      <c r="E510">
        <v>0.27968187073395301</v>
      </c>
      <c r="F510">
        <v>1</v>
      </c>
      <c r="G510" t="s">
        <v>13</v>
      </c>
      <c r="H510">
        <v>1</v>
      </c>
      <c r="I510">
        <v>514014.76125492097</v>
      </c>
      <c r="J510">
        <v>0.72031812926604599</v>
      </c>
      <c r="K510" t="str">
        <f t="shared" si="56"/>
        <v>OK</v>
      </c>
      <c r="L510" t="str">
        <f t="shared" si="57"/>
        <v>OK</v>
      </c>
      <c r="M510" t="str">
        <f>IF(OR(B510&lt;$AE$20,B510&gt;$AF$20),"Outlier","OK")</f>
        <v>OK</v>
      </c>
      <c r="N510" t="str">
        <f>IF(OR(J510&lt;$AE$21,J510&gt;$AF$21),"Outlier","OK")</f>
        <v>OK</v>
      </c>
      <c r="O510" t="str">
        <f>IF(OR(C510&lt;0,C510&gt;1),"Outlier","OK")</f>
        <v>OK</v>
      </c>
      <c r="P510" t="str">
        <f>IF(OR(D510&lt;0,D510&gt;1),"Outlier","OK")</f>
        <v>OK</v>
      </c>
      <c r="Q510" t="str">
        <f t="shared" si="58"/>
        <v>60-80%</v>
      </c>
      <c r="R510" t="str">
        <f>IF(B510="","Missing","OK")</f>
        <v>OK</v>
      </c>
      <c r="S510" t="str">
        <f>IF(E510="","Missing","OK")</f>
        <v>OK</v>
      </c>
      <c r="T510" t="str">
        <f t="shared" si="59"/>
        <v>OK</v>
      </c>
      <c r="U510">
        <f>COUNTIF($A:$A,A510)</f>
        <v>1</v>
      </c>
      <c r="V510" t="str">
        <f t="shared" si="60"/>
        <v>OK</v>
      </c>
      <c r="W510" t="str">
        <f>IF(I510&gt;B510,"ERROR","OK")</f>
        <v>OK</v>
      </c>
      <c r="X510">
        <f>(B510-I510)/B510</f>
        <v>0.7203181292660461</v>
      </c>
      <c r="Y510" s="2">
        <f t="shared" si="61"/>
        <v>1.1102230246251565E-16</v>
      </c>
      <c r="Z510" s="2" t="str">
        <f t="shared" si="62"/>
        <v>OK</v>
      </c>
      <c r="AA510" t="str">
        <f t="shared" si="63"/>
        <v>Unique</v>
      </c>
    </row>
    <row r="511" spans="1:27" x14ac:dyDescent="0.3">
      <c r="A511">
        <v>510</v>
      </c>
      <c r="B511">
        <v>1059365.74848451</v>
      </c>
      <c r="C511">
        <v>0.85286381561536695</v>
      </c>
      <c r="D511">
        <v>-0.117542782489408</v>
      </c>
      <c r="E511">
        <v>0.25388256713221602</v>
      </c>
      <c r="F511">
        <v>1</v>
      </c>
      <c r="G511" t="s">
        <v>13</v>
      </c>
      <c r="H511">
        <v>0</v>
      </c>
      <c r="I511">
        <v>268954.49575718999</v>
      </c>
      <c r="J511">
        <v>0.74611743286778298</v>
      </c>
      <c r="K511" t="str">
        <f t="shared" si="56"/>
        <v>OK</v>
      </c>
      <c r="L511" t="str">
        <f t="shared" si="57"/>
        <v>OK</v>
      </c>
      <c r="M511" t="str">
        <f>IF(OR(B511&lt;$AE$20,B511&gt;$AF$20),"Outlier","OK")</f>
        <v>OK</v>
      </c>
      <c r="N511" t="str">
        <f>IF(OR(J511&lt;$AE$21,J511&gt;$AF$21),"Outlier","OK")</f>
        <v>OK</v>
      </c>
      <c r="O511" t="str">
        <f>IF(OR(C511&lt;0,C511&gt;1),"Outlier","OK")</f>
        <v>OK</v>
      </c>
      <c r="P511" t="str">
        <f>IF(OR(D511&lt;0,D511&gt;1),"Outlier","OK")</f>
        <v>Outlier</v>
      </c>
      <c r="Q511" t="str">
        <f t="shared" si="58"/>
        <v>60-80%</v>
      </c>
      <c r="R511" t="str">
        <f>IF(B511="","Missing","OK")</f>
        <v>OK</v>
      </c>
      <c r="S511" t="str">
        <f>IF(E511="","Missing","OK")</f>
        <v>OK</v>
      </c>
      <c r="T511" t="str">
        <f t="shared" si="59"/>
        <v>OK</v>
      </c>
      <c r="U511">
        <f>COUNTIF($A:$A,A511)</f>
        <v>1</v>
      </c>
      <c r="V511" t="str">
        <f t="shared" si="60"/>
        <v>OK</v>
      </c>
      <c r="W511" t="str">
        <f>IF(I511&gt;B511,"ERROR","OK")</f>
        <v>OK</v>
      </c>
      <c r="X511">
        <f>(B511-I511)/B511</f>
        <v>0.74611743286778287</v>
      </c>
      <c r="Y511" s="2">
        <f t="shared" si="61"/>
        <v>1.1102230246251565E-16</v>
      </c>
      <c r="Z511" s="2" t="str">
        <f t="shared" si="62"/>
        <v>OK</v>
      </c>
      <c r="AA511" t="str">
        <f t="shared" si="63"/>
        <v>Unique</v>
      </c>
    </row>
    <row r="512" spans="1:27" x14ac:dyDescent="0.3">
      <c r="A512">
        <v>511</v>
      </c>
      <c r="B512">
        <v>1617851.41825028</v>
      </c>
      <c r="C512">
        <v>0.33731103500313098</v>
      </c>
      <c r="D512">
        <v>-0.14018191506531</v>
      </c>
      <c r="E512">
        <v>0.262539371660373</v>
      </c>
      <c r="F512">
        <v>1</v>
      </c>
      <c r="G512" t="s">
        <v>10</v>
      </c>
      <c r="H512">
        <v>0</v>
      </c>
      <c r="I512">
        <v>424749.69478727301</v>
      </c>
      <c r="J512">
        <v>0.737460628339626</v>
      </c>
      <c r="K512" t="str">
        <f t="shared" si="56"/>
        <v>OK</v>
      </c>
      <c r="L512" t="str">
        <f t="shared" si="57"/>
        <v>OK</v>
      </c>
      <c r="M512" t="str">
        <f>IF(OR(B512&lt;$AE$20,B512&gt;$AF$20),"Outlier","OK")</f>
        <v>OK</v>
      </c>
      <c r="N512" t="str">
        <f>IF(OR(J512&lt;$AE$21,J512&gt;$AF$21),"Outlier","OK")</f>
        <v>OK</v>
      </c>
      <c r="O512" t="str">
        <f>IF(OR(C512&lt;0,C512&gt;1),"Outlier","OK")</f>
        <v>OK</v>
      </c>
      <c r="P512" t="str">
        <f>IF(OR(D512&lt;0,D512&gt;1),"Outlier","OK")</f>
        <v>Outlier</v>
      </c>
      <c r="Q512" t="str">
        <f t="shared" si="58"/>
        <v>60-80%</v>
      </c>
      <c r="R512" t="str">
        <f>IF(B512="","Missing","OK")</f>
        <v>OK</v>
      </c>
      <c r="S512" t="str">
        <f>IF(E512="","Missing","OK")</f>
        <v>OK</v>
      </c>
      <c r="T512" t="str">
        <f t="shared" si="59"/>
        <v>OK</v>
      </c>
      <c r="U512">
        <f>COUNTIF($A:$A,A512)</f>
        <v>1</v>
      </c>
      <c r="V512" t="str">
        <f t="shared" si="60"/>
        <v>OK</v>
      </c>
      <c r="W512" t="str">
        <f>IF(I512&gt;B512,"ERROR","OK")</f>
        <v>OK</v>
      </c>
      <c r="X512">
        <f>(B512-I512)/B512</f>
        <v>0.73746062833962633</v>
      </c>
      <c r="Y512" s="2">
        <f t="shared" si="61"/>
        <v>3.3306690738754696E-16</v>
      </c>
      <c r="Z512" s="2" t="str">
        <f t="shared" si="62"/>
        <v>OK</v>
      </c>
      <c r="AA512" t="str">
        <f t="shared" si="63"/>
        <v>Unique</v>
      </c>
    </row>
    <row r="513" spans="1:27" x14ac:dyDescent="0.3">
      <c r="A513">
        <v>512</v>
      </c>
      <c r="B513">
        <v>1722420.98519801</v>
      </c>
      <c r="C513">
        <v>0.278719015126071</v>
      </c>
      <c r="D513">
        <v>3.46409063301003E-2</v>
      </c>
      <c r="E513">
        <v>0.41647639863710501</v>
      </c>
      <c r="F513">
        <v>1</v>
      </c>
      <c r="G513" t="s">
        <v>13</v>
      </c>
      <c r="H513">
        <v>1</v>
      </c>
      <c r="I513">
        <v>717347.68885224406</v>
      </c>
      <c r="J513">
        <v>0.58352360136289405</v>
      </c>
      <c r="K513" t="str">
        <f t="shared" si="56"/>
        <v>OK</v>
      </c>
      <c r="L513" t="str">
        <f t="shared" si="57"/>
        <v>OK</v>
      </c>
      <c r="M513" t="str">
        <f>IF(OR(B513&lt;$AE$20,B513&gt;$AF$20),"Outlier","OK")</f>
        <v>OK</v>
      </c>
      <c r="N513" t="str">
        <f>IF(OR(J513&lt;$AE$21,J513&gt;$AF$21),"Outlier","OK")</f>
        <v>OK</v>
      </c>
      <c r="O513" t="str">
        <f>IF(OR(C513&lt;0,C513&gt;1),"Outlier","OK")</f>
        <v>OK</v>
      </c>
      <c r="P513" t="str">
        <f>IF(OR(D513&lt;0,D513&gt;1),"Outlier","OK")</f>
        <v>OK</v>
      </c>
      <c r="Q513" t="str">
        <f t="shared" si="58"/>
        <v>40-60%</v>
      </c>
      <c r="R513" t="str">
        <f>IF(B513="","Missing","OK")</f>
        <v>OK</v>
      </c>
      <c r="S513" t="str">
        <f>IF(E513="","Missing","OK")</f>
        <v>OK</v>
      </c>
      <c r="T513" t="str">
        <f t="shared" si="59"/>
        <v>OK</v>
      </c>
      <c r="U513">
        <f>COUNTIF($A:$A,A513)</f>
        <v>1</v>
      </c>
      <c r="V513" t="str">
        <f t="shared" si="60"/>
        <v>OK</v>
      </c>
      <c r="W513" t="str">
        <f>IF(I513&gt;B513,"ERROR","OK")</f>
        <v>OK</v>
      </c>
      <c r="X513">
        <f>(B513-I513)/B513</f>
        <v>0.5835236013628935</v>
      </c>
      <c r="Y513" s="2">
        <f t="shared" si="61"/>
        <v>5.5511151231257827E-16</v>
      </c>
      <c r="Z513" s="2" t="str">
        <f t="shared" si="62"/>
        <v>OK</v>
      </c>
      <c r="AA513" t="str">
        <f t="shared" si="63"/>
        <v>Unique</v>
      </c>
    </row>
    <row r="514" spans="1:27" x14ac:dyDescent="0.3">
      <c r="A514">
        <v>513</v>
      </c>
      <c r="B514">
        <v>1848645.5914534901</v>
      </c>
      <c r="C514">
        <v>0.557039080580775</v>
      </c>
      <c r="D514">
        <v>0.11527873929348401</v>
      </c>
      <c r="E514">
        <v>0.314681122011501</v>
      </c>
      <c r="F514">
        <v>1</v>
      </c>
      <c r="G514" t="s">
        <v>10</v>
      </c>
      <c r="H514">
        <v>1</v>
      </c>
      <c r="I514">
        <v>581733.86892020097</v>
      </c>
      <c r="J514">
        <v>0.685318877988498</v>
      </c>
      <c r="K514" t="str">
        <f t="shared" si="56"/>
        <v>OK</v>
      </c>
      <c r="L514" t="str">
        <f t="shared" si="57"/>
        <v>OK</v>
      </c>
      <c r="M514" t="str">
        <f>IF(OR(B514&lt;$AE$20,B514&gt;$AF$20),"Outlier","OK")</f>
        <v>OK</v>
      </c>
      <c r="N514" t="str">
        <f>IF(OR(J514&lt;$AE$21,J514&gt;$AF$21),"Outlier","OK")</f>
        <v>OK</v>
      </c>
      <c r="O514" t="str">
        <f>IF(OR(C514&lt;0,C514&gt;1),"Outlier","OK")</f>
        <v>OK</v>
      </c>
      <c r="P514" t="str">
        <f>IF(OR(D514&lt;0,D514&gt;1),"Outlier","OK")</f>
        <v>OK</v>
      </c>
      <c r="Q514" t="str">
        <f t="shared" si="58"/>
        <v>60-80%</v>
      </c>
      <c r="R514" t="str">
        <f>IF(B514="","Missing","OK")</f>
        <v>OK</v>
      </c>
      <c r="S514" t="str">
        <f>IF(E514="","Missing","OK")</f>
        <v>OK</v>
      </c>
      <c r="T514" t="str">
        <f t="shared" si="59"/>
        <v>OK</v>
      </c>
      <c r="U514">
        <f>COUNTIF($A:$A,A514)</f>
        <v>1</v>
      </c>
      <c r="V514" t="str">
        <f t="shared" si="60"/>
        <v>OK</v>
      </c>
      <c r="W514" t="str">
        <f>IF(I514&gt;B514,"ERROR","OK")</f>
        <v>OK</v>
      </c>
      <c r="X514">
        <f>(B514-I514)/B514</f>
        <v>0.685318877988498</v>
      </c>
      <c r="Y514" s="2">
        <f t="shared" si="61"/>
        <v>0</v>
      </c>
      <c r="Z514" s="2" t="str">
        <f t="shared" si="62"/>
        <v>OK</v>
      </c>
      <c r="AA514" t="str">
        <f t="shared" si="63"/>
        <v>Unique</v>
      </c>
    </row>
    <row r="515" spans="1:27" x14ac:dyDescent="0.3">
      <c r="A515">
        <v>514</v>
      </c>
      <c r="B515">
        <v>641592.43136449798</v>
      </c>
      <c r="C515">
        <v>0.14586075424623399</v>
      </c>
      <c r="D515">
        <v>1.6782237721212401E-2</v>
      </c>
      <c r="E515">
        <v>0.30110931910447702</v>
      </c>
      <c r="F515">
        <v>1</v>
      </c>
      <c r="G515" t="s">
        <v>12</v>
      </c>
      <c r="H515">
        <v>1</v>
      </c>
      <c r="I515">
        <v>193189.46015075</v>
      </c>
      <c r="J515">
        <v>0.69889068089552198</v>
      </c>
      <c r="K515" t="str">
        <f t="shared" ref="K515:K578" si="64">IF(OR(J515&lt;0,J515&gt;1),"Error","OK")</f>
        <v>OK</v>
      </c>
      <c r="L515" t="str">
        <f t="shared" ref="L515:L578" si="65">IF(I515&gt;B515,"Error","OK")</f>
        <v>OK</v>
      </c>
      <c r="M515" t="str">
        <f>IF(OR(B515&lt;$AE$20,B515&gt;$AF$20),"Outlier","OK")</f>
        <v>OK</v>
      </c>
      <c r="N515" t="str">
        <f>IF(OR(J515&lt;$AE$21,J515&gt;$AF$21),"Outlier","OK")</f>
        <v>OK</v>
      </c>
      <c r="O515" t="str">
        <f>IF(OR(C515&lt;0,C515&gt;1),"Outlier","OK")</f>
        <v>OK</v>
      </c>
      <c r="P515" t="str">
        <f>IF(OR(D515&lt;0,D515&gt;1),"Outlier","OK")</f>
        <v>OK</v>
      </c>
      <c r="Q515" t="str">
        <f t="shared" ref="Q515:Q578" si="66">IF(J515&lt;=0.2,"0-20%",
 IF(J515&lt;=0.4,"20-40%",
 IF(J515&lt;=0.6,"40-60%",
 IF(J515&lt;=0.8,"60-80%","80-100%"))))</f>
        <v>60-80%</v>
      </c>
      <c r="R515" t="str">
        <f>IF(B515="","Missing","OK")</f>
        <v>OK</v>
      </c>
      <c r="S515" t="str">
        <f>IF(E515="","Missing","OK")</f>
        <v>OK</v>
      </c>
      <c r="T515" t="str">
        <f t="shared" ref="T515:T578" si="67">IF(J515="","Missing","OK")</f>
        <v>OK</v>
      </c>
      <c r="U515">
        <f>COUNTIF($A:$A,A515)</f>
        <v>1</v>
      </c>
      <c r="V515" t="str">
        <f t="shared" ref="V515:V578" si="68">IF(OR(J515&lt;0,J515&gt;1),"ERROR","OK")</f>
        <v>OK</v>
      </c>
      <c r="W515" t="str">
        <f>IF(I515&gt;B515,"ERROR","OK")</f>
        <v>OK</v>
      </c>
      <c r="X515">
        <f>(B515-I515)/B515</f>
        <v>0.69889068089552275</v>
      </c>
      <c r="Y515" s="2">
        <f t="shared" ref="Y515:Y578" si="69">ABS(J515-X515)</f>
        <v>7.7715611723760958E-16</v>
      </c>
      <c r="Z515" s="2" t="str">
        <f t="shared" ref="Z515:Z578" si="70">IF(OR(B515="",I515="",J515=""),"Missing","OK")</f>
        <v>OK</v>
      </c>
      <c r="AA515" t="str">
        <f t="shared" ref="AA515:AA578" si="71">IF(COUNTIF($A:$A,A515)&gt;1,"Duplicate","Unique")</f>
        <v>Unique</v>
      </c>
    </row>
    <row r="516" spans="1:27" x14ac:dyDescent="0.3">
      <c r="A516">
        <v>515</v>
      </c>
      <c r="B516">
        <v>712631.16538647201</v>
      </c>
      <c r="C516">
        <v>0.52753653386741395</v>
      </c>
      <c r="D516">
        <v>0.162562371245556</v>
      </c>
      <c r="E516">
        <v>0.11437609117108299</v>
      </c>
      <c r="F516">
        <v>1</v>
      </c>
      <c r="G516" t="s">
        <v>13</v>
      </c>
      <c r="H516">
        <v>0</v>
      </c>
      <c r="I516">
        <v>81507.967143598697</v>
      </c>
      <c r="J516">
        <v>0.88562390882891595</v>
      </c>
      <c r="K516" t="str">
        <f t="shared" si="64"/>
        <v>OK</v>
      </c>
      <c r="L516" t="str">
        <f t="shared" si="65"/>
        <v>OK</v>
      </c>
      <c r="M516" t="str">
        <f>IF(OR(B516&lt;$AE$20,B516&gt;$AF$20),"Outlier","OK")</f>
        <v>OK</v>
      </c>
      <c r="N516" t="str">
        <f>IF(OR(J516&lt;$AE$21,J516&gt;$AF$21),"Outlier","OK")</f>
        <v>OK</v>
      </c>
      <c r="O516" t="str">
        <f>IF(OR(C516&lt;0,C516&gt;1),"Outlier","OK")</f>
        <v>OK</v>
      </c>
      <c r="P516" t="str">
        <f>IF(OR(D516&lt;0,D516&gt;1),"Outlier","OK")</f>
        <v>OK</v>
      </c>
      <c r="Q516" t="str">
        <f t="shared" si="66"/>
        <v>80-100%</v>
      </c>
      <c r="R516" t="str">
        <f>IF(B516="","Missing","OK")</f>
        <v>OK</v>
      </c>
      <c r="S516" t="str">
        <f>IF(E516="","Missing","OK")</f>
        <v>OK</v>
      </c>
      <c r="T516" t="str">
        <f t="shared" si="67"/>
        <v>OK</v>
      </c>
      <c r="U516">
        <f>COUNTIF($A:$A,A516)</f>
        <v>1</v>
      </c>
      <c r="V516" t="str">
        <f t="shared" si="68"/>
        <v>OK</v>
      </c>
      <c r="W516" t="str">
        <f>IF(I516&gt;B516,"ERROR","OK")</f>
        <v>OK</v>
      </c>
      <c r="X516">
        <f>(B516-I516)/B516</f>
        <v>0.8856239088289164</v>
      </c>
      <c r="Y516" s="2">
        <f t="shared" si="69"/>
        <v>4.4408920985006262E-16</v>
      </c>
      <c r="Z516" s="2" t="str">
        <f t="shared" si="70"/>
        <v>OK</v>
      </c>
      <c r="AA516" t="str">
        <f t="shared" si="71"/>
        <v>Unique</v>
      </c>
    </row>
    <row r="517" spans="1:27" x14ac:dyDescent="0.3">
      <c r="A517">
        <v>516</v>
      </c>
      <c r="B517">
        <v>1210394.0588778399</v>
      </c>
      <c r="C517">
        <v>0.29219982482233903</v>
      </c>
      <c r="D517">
        <v>6.2175285871030397E-2</v>
      </c>
      <c r="E517">
        <v>0.12695828526845199</v>
      </c>
      <c r="F517">
        <v>1</v>
      </c>
      <c r="G517" t="s">
        <v>10</v>
      </c>
      <c r="H517">
        <v>0</v>
      </c>
      <c r="I517">
        <v>153669.55421425399</v>
      </c>
      <c r="J517">
        <v>0.87304171473154701</v>
      </c>
      <c r="K517" t="str">
        <f t="shared" si="64"/>
        <v>OK</v>
      </c>
      <c r="L517" t="str">
        <f t="shared" si="65"/>
        <v>OK</v>
      </c>
      <c r="M517" t="str">
        <f>IF(OR(B517&lt;$AE$20,B517&gt;$AF$20),"Outlier","OK")</f>
        <v>OK</v>
      </c>
      <c r="N517" t="str">
        <f>IF(OR(J517&lt;$AE$21,J517&gt;$AF$21),"Outlier","OK")</f>
        <v>OK</v>
      </c>
      <c r="O517" t="str">
        <f>IF(OR(C517&lt;0,C517&gt;1),"Outlier","OK")</f>
        <v>OK</v>
      </c>
      <c r="P517" t="str">
        <f>IF(OR(D517&lt;0,D517&gt;1),"Outlier","OK")</f>
        <v>OK</v>
      </c>
      <c r="Q517" t="str">
        <f t="shared" si="66"/>
        <v>80-100%</v>
      </c>
      <c r="R517" t="str">
        <f>IF(B517="","Missing","OK")</f>
        <v>OK</v>
      </c>
      <c r="S517" t="str">
        <f>IF(E517="","Missing","OK")</f>
        <v>OK</v>
      </c>
      <c r="T517" t="str">
        <f t="shared" si="67"/>
        <v>OK</v>
      </c>
      <c r="U517">
        <f>COUNTIF($A:$A,A517)</f>
        <v>1</v>
      </c>
      <c r="V517" t="str">
        <f t="shared" si="68"/>
        <v>OK</v>
      </c>
      <c r="W517" t="str">
        <f>IF(I517&gt;B517,"ERROR","OK")</f>
        <v>OK</v>
      </c>
      <c r="X517">
        <f>(B517-I517)/B517</f>
        <v>0.87304171473154657</v>
      </c>
      <c r="Y517" s="2">
        <f t="shared" si="69"/>
        <v>4.4408920985006262E-16</v>
      </c>
      <c r="Z517" s="2" t="str">
        <f t="shared" si="70"/>
        <v>OK</v>
      </c>
      <c r="AA517" t="str">
        <f t="shared" si="71"/>
        <v>Unique</v>
      </c>
    </row>
    <row r="518" spans="1:27" x14ac:dyDescent="0.3">
      <c r="A518">
        <v>517</v>
      </c>
      <c r="B518">
        <v>910582.06414596795</v>
      </c>
      <c r="C518">
        <v>0.85578040823474499</v>
      </c>
      <c r="D518">
        <v>9.4284875575766397E-2</v>
      </c>
      <c r="E518">
        <v>0.35463155724461998</v>
      </c>
      <c r="F518">
        <v>1</v>
      </c>
      <c r="G518" t="s">
        <v>13</v>
      </c>
      <c r="H518">
        <v>0</v>
      </c>
      <c r="I518">
        <v>322921.13540710497</v>
      </c>
      <c r="J518">
        <v>0.64536844275537997</v>
      </c>
      <c r="K518" t="str">
        <f t="shared" si="64"/>
        <v>OK</v>
      </c>
      <c r="L518" t="str">
        <f t="shared" si="65"/>
        <v>OK</v>
      </c>
      <c r="M518" t="str">
        <f>IF(OR(B518&lt;$AE$20,B518&gt;$AF$20),"Outlier","OK")</f>
        <v>OK</v>
      </c>
      <c r="N518" t="str">
        <f>IF(OR(J518&lt;$AE$21,J518&gt;$AF$21),"Outlier","OK")</f>
        <v>OK</v>
      </c>
      <c r="O518" t="str">
        <f>IF(OR(C518&lt;0,C518&gt;1),"Outlier","OK")</f>
        <v>OK</v>
      </c>
      <c r="P518" t="str">
        <f>IF(OR(D518&lt;0,D518&gt;1),"Outlier","OK")</f>
        <v>OK</v>
      </c>
      <c r="Q518" t="str">
        <f t="shared" si="66"/>
        <v>60-80%</v>
      </c>
      <c r="R518" t="str">
        <f>IF(B518="","Missing","OK")</f>
        <v>OK</v>
      </c>
      <c r="S518" t="str">
        <f>IF(E518="","Missing","OK")</f>
        <v>OK</v>
      </c>
      <c r="T518" t="str">
        <f t="shared" si="67"/>
        <v>OK</v>
      </c>
      <c r="U518">
        <f>COUNTIF($A:$A,A518)</f>
        <v>1</v>
      </c>
      <c r="V518" t="str">
        <f t="shared" si="68"/>
        <v>OK</v>
      </c>
      <c r="W518" t="str">
        <f>IF(I518&gt;B518,"ERROR","OK")</f>
        <v>OK</v>
      </c>
      <c r="X518">
        <f>(B518-I518)/B518</f>
        <v>0.64536844275538008</v>
      </c>
      <c r="Y518" s="2">
        <f t="shared" si="69"/>
        <v>1.1102230246251565E-16</v>
      </c>
      <c r="Z518" s="2" t="str">
        <f t="shared" si="70"/>
        <v>OK</v>
      </c>
      <c r="AA518" t="str">
        <f t="shared" si="71"/>
        <v>Unique</v>
      </c>
    </row>
    <row r="519" spans="1:27" x14ac:dyDescent="0.3">
      <c r="A519">
        <v>518</v>
      </c>
      <c r="B519">
        <v>1869042.9386084899</v>
      </c>
      <c r="C519">
        <v>0.219333296406967</v>
      </c>
      <c r="D519">
        <v>0.15383974062639599</v>
      </c>
      <c r="E519">
        <v>0.28111137652660401</v>
      </c>
      <c r="F519">
        <v>1</v>
      </c>
      <c r="G519" t="s">
        <v>12</v>
      </c>
      <c r="H519">
        <v>0</v>
      </c>
      <c r="I519">
        <v>525409.23325956403</v>
      </c>
      <c r="J519">
        <v>0.71888862347339499</v>
      </c>
      <c r="K519" t="str">
        <f t="shared" si="64"/>
        <v>OK</v>
      </c>
      <c r="L519" t="str">
        <f t="shared" si="65"/>
        <v>OK</v>
      </c>
      <c r="M519" t="str">
        <f>IF(OR(B519&lt;$AE$20,B519&gt;$AF$20),"Outlier","OK")</f>
        <v>OK</v>
      </c>
      <c r="N519" t="str">
        <f>IF(OR(J519&lt;$AE$21,J519&gt;$AF$21),"Outlier","OK")</f>
        <v>OK</v>
      </c>
      <c r="O519" t="str">
        <f>IF(OR(C519&lt;0,C519&gt;1),"Outlier","OK")</f>
        <v>OK</v>
      </c>
      <c r="P519" t="str">
        <f>IF(OR(D519&lt;0,D519&gt;1),"Outlier","OK")</f>
        <v>OK</v>
      </c>
      <c r="Q519" t="str">
        <f t="shared" si="66"/>
        <v>60-80%</v>
      </c>
      <c r="R519" t="str">
        <f>IF(B519="","Missing","OK")</f>
        <v>OK</v>
      </c>
      <c r="S519" t="str">
        <f>IF(E519="","Missing","OK")</f>
        <v>OK</v>
      </c>
      <c r="T519" t="str">
        <f t="shared" si="67"/>
        <v>OK</v>
      </c>
      <c r="U519">
        <f>COUNTIF($A:$A,A519)</f>
        <v>1</v>
      </c>
      <c r="V519" t="str">
        <f t="shared" si="68"/>
        <v>OK</v>
      </c>
      <c r="W519" t="str">
        <f>IF(I519&gt;B519,"ERROR","OK")</f>
        <v>OK</v>
      </c>
      <c r="X519">
        <f>(B519-I519)/B519</f>
        <v>0.71888862347339466</v>
      </c>
      <c r="Y519" s="2">
        <f t="shared" si="69"/>
        <v>3.3306690738754696E-16</v>
      </c>
      <c r="Z519" s="2" t="str">
        <f t="shared" si="70"/>
        <v>OK</v>
      </c>
      <c r="AA519" t="str">
        <f t="shared" si="71"/>
        <v>Unique</v>
      </c>
    </row>
    <row r="520" spans="1:27" x14ac:dyDescent="0.3">
      <c r="A520">
        <v>519</v>
      </c>
      <c r="B520">
        <v>825249.90068529802</v>
      </c>
      <c r="C520">
        <v>0.252040134778238</v>
      </c>
      <c r="D520">
        <v>-6.8430669438679106E-2</v>
      </c>
      <c r="E520">
        <v>0.45340403597907503</v>
      </c>
      <c r="F520">
        <v>1</v>
      </c>
      <c r="G520" t="s">
        <v>10</v>
      </c>
      <c r="H520">
        <v>0</v>
      </c>
      <c r="I520">
        <v>374171.63566204498</v>
      </c>
      <c r="J520">
        <v>0.54659596402092403</v>
      </c>
      <c r="K520" t="str">
        <f t="shared" si="64"/>
        <v>OK</v>
      </c>
      <c r="L520" t="str">
        <f t="shared" si="65"/>
        <v>OK</v>
      </c>
      <c r="M520" t="str">
        <f>IF(OR(B520&lt;$AE$20,B520&gt;$AF$20),"Outlier","OK")</f>
        <v>OK</v>
      </c>
      <c r="N520" t="str">
        <f>IF(OR(J520&lt;$AE$21,J520&gt;$AF$21),"Outlier","OK")</f>
        <v>OK</v>
      </c>
      <c r="O520" t="str">
        <f>IF(OR(C520&lt;0,C520&gt;1),"Outlier","OK")</f>
        <v>OK</v>
      </c>
      <c r="P520" t="str">
        <f>IF(OR(D520&lt;0,D520&gt;1),"Outlier","OK")</f>
        <v>Outlier</v>
      </c>
      <c r="Q520" t="str">
        <f t="shared" si="66"/>
        <v>40-60%</v>
      </c>
      <c r="R520" t="str">
        <f>IF(B520="","Missing","OK")</f>
        <v>OK</v>
      </c>
      <c r="S520" t="str">
        <f>IF(E520="","Missing","OK")</f>
        <v>OK</v>
      </c>
      <c r="T520" t="str">
        <f t="shared" si="67"/>
        <v>OK</v>
      </c>
      <c r="U520">
        <f>COUNTIF($A:$A,A520)</f>
        <v>1</v>
      </c>
      <c r="V520" t="str">
        <f t="shared" si="68"/>
        <v>OK</v>
      </c>
      <c r="W520" t="str">
        <f>IF(I520&gt;B520,"ERROR","OK")</f>
        <v>OK</v>
      </c>
      <c r="X520">
        <f>(B520-I520)/B520</f>
        <v>0.54659596402092492</v>
      </c>
      <c r="Y520" s="2">
        <f t="shared" si="69"/>
        <v>8.8817841970012523E-16</v>
      </c>
      <c r="Z520" s="2" t="str">
        <f t="shared" si="70"/>
        <v>OK</v>
      </c>
      <c r="AA520" t="str">
        <f t="shared" si="71"/>
        <v>Unique</v>
      </c>
    </row>
    <row r="521" spans="1:27" x14ac:dyDescent="0.3">
      <c r="A521">
        <v>520</v>
      </c>
      <c r="B521">
        <v>981667.19433166005</v>
      </c>
      <c r="C521">
        <v>0.171378901917178</v>
      </c>
      <c r="D521">
        <v>8.1990646205911594E-2</v>
      </c>
      <c r="E521">
        <v>0.10154625519900801</v>
      </c>
      <c r="F521">
        <v>1</v>
      </c>
      <c r="G521" t="s">
        <v>11</v>
      </c>
      <c r="H521">
        <v>0</v>
      </c>
      <c r="I521">
        <v>99684.627436097202</v>
      </c>
      <c r="J521">
        <v>0.89845374480099105</v>
      </c>
      <c r="K521" t="str">
        <f t="shared" si="64"/>
        <v>OK</v>
      </c>
      <c r="L521" t="str">
        <f t="shared" si="65"/>
        <v>OK</v>
      </c>
      <c r="M521" t="str">
        <f>IF(OR(B521&lt;$AE$20,B521&gt;$AF$20),"Outlier","OK")</f>
        <v>OK</v>
      </c>
      <c r="N521" t="str">
        <f>IF(OR(J521&lt;$AE$21,J521&gt;$AF$21),"Outlier","OK")</f>
        <v>OK</v>
      </c>
      <c r="O521" t="str">
        <f>IF(OR(C521&lt;0,C521&gt;1),"Outlier","OK")</f>
        <v>OK</v>
      </c>
      <c r="P521" t="str">
        <f>IF(OR(D521&lt;0,D521&gt;1),"Outlier","OK")</f>
        <v>OK</v>
      </c>
      <c r="Q521" t="str">
        <f t="shared" si="66"/>
        <v>80-100%</v>
      </c>
      <c r="R521" t="str">
        <f>IF(B521="","Missing","OK")</f>
        <v>OK</v>
      </c>
      <c r="S521" t="str">
        <f>IF(E521="","Missing","OK")</f>
        <v>OK</v>
      </c>
      <c r="T521" t="str">
        <f t="shared" si="67"/>
        <v>OK</v>
      </c>
      <c r="U521">
        <f>COUNTIF($A:$A,A521)</f>
        <v>1</v>
      </c>
      <c r="V521" t="str">
        <f t="shared" si="68"/>
        <v>OK</v>
      </c>
      <c r="W521" t="str">
        <f>IF(I521&gt;B521,"ERROR","OK")</f>
        <v>OK</v>
      </c>
      <c r="X521">
        <f>(B521-I521)/B521</f>
        <v>0.89845374480099172</v>
      </c>
      <c r="Y521" s="2">
        <f t="shared" si="69"/>
        <v>6.6613381477509392E-16</v>
      </c>
      <c r="Z521" s="2" t="str">
        <f t="shared" si="70"/>
        <v>OK</v>
      </c>
      <c r="AA521" t="str">
        <f t="shared" si="71"/>
        <v>Unique</v>
      </c>
    </row>
    <row r="522" spans="1:27" x14ac:dyDescent="0.3">
      <c r="A522">
        <v>521</v>
      </c>
      <c r="B522">
        <v>1253512.8726788701</v>
      </c>
      <c r="C522">
        <v>0.38959277066231901</v>
      </c>
      <c r="D522">
        <v>-7.1526017532961506E-2</v>
      </c>
      <c r="E522">
        <v>0.58924338347544603</v>
      </c>
      <c r="F522">
        <v>1</v>
      </c>
      <c r="G522" t="s">
        <v>13</v>
      </c>
      <c r="H522">
        <v>0</v>
      </c>
      <c r="I522">
        <v>738624.16632732505</v>
      </c>
      <c r="J522">
        <v>0.41075661652455298</v>
      </c>
      <c r="K522" t="str">
        <f t="shared" si="64"/>
        <v>OK</v>
      </c>
      <c r="L522" t="str">
        <f t="shared" si="65"/>
        <v>OK</v>
      </c>
      <c r="M522" t="str">
        <f>IF(OR(B522&lt;$AE$20,B522&gt;$AF$20),"Outlier","OK")</f>
        <v>OK</v>
      </c>
      <c r="N522" t="str">
        <f>IF(OR(J522&lt;$AE$21,J522&gt;$AF$21),"Outlier","OK")</f>
        <v>OK</v>
      </c>
      <c r="O522" t="str">
        <f>IF(OR(C522&lt;0,C522&gt;1),"Outlier","OK")</f>
        <v>OK</v>
      </c>
      <c r="P522" t="str">
        <f>IF(OR(D522&lt;0,D522&gt;1),"Outlier","OK")</f>
        <v>Outlier</v>
      </c>
      <c r="Q522" t="str">
        <f t="shared" si="66"/>
        <v>40-60%</v>
      </c>
      <c r="R522" t="str">
        <f>IF(B522="","Missing","OK")</f>
        <v>OK</v>
      </c>
      <c r="S522" t="str">
        <f>IF(E522="","Missing","OK")</f>
        <v>OK</v>
      </c>
      <c r="T522" t="str">
        <f t="shared" si="67"/>
        <v>OK</v>
      </c>
      <c r="U522">
        <f>COUNTIF($A:$A,A522)</f>
        <v>1</v>
      </c>
      <c r="V522" t="str">
        <f t="shared" si="68"/>
        <v>OK</v>
      </c>
      <c r="W522" t="str">
        <f>IF(I522&gt;B522,"ERROR","OK")</f>
        <v>OK</v>
      </c>
      <c r="X522">
        <f>(B522-I522)/B522</f>
        <v>0.41075661652455264</v>
      </c>
      <c r="Y522" s="2">
        <f t="shared" si="69"/>
        <v>3.3306690738754696E-16</v>
      </c>
      <c r="Z522" s="2" t="str">
        <f t="shared" si="70"/>
        <v>OK</v>
      </c>
      <c r="AA522" t="str">
        <f t="shared" si="71"/>
        <v>Unique</v>
      </c>
    </row>
    <row r="523" spans="1:27" x14ac:dyDescent="0.3">
      <c r="A523">
        <v>522</v>
      </c>
      <c r="B523">
        <v>839241.99764880701</v>
      </c>
      <c r="C523">
        <v>0.89119485428075096</v>
      </c>
      <c r="D523">
        <v>-0.119532866224873</v>
      </c>
      <c r="E523">
        <v>0.20858121472376001</v>
      </c>
      <c r="F523">
        <v>1</v>
      </c>
      <c r="G523" t="s">
        <v>11</v>
      </c>
      <c r="H523">
        <v>0</v>
      </c>
      <c r="I523">
        <v>175050.11531678299</v>
      </c>
      <c r="J523">
        <v>0.79141878527623899</v>
      </c>
      <c r="K523" t="str">
        <f t="shared" si="64"/>
        <v>OK</v>
      </c>
      <c r="L523" t="str">
        <f t="shared" si="65"/>
        <v>OK</v>
      </c>
      <c r="M523" t="str">
        <f>IF(OR(B523&lt;$AE$20,B523&gt;$AF$20),"Outlier","OK")</f>
        <v>OK</v>
      </c>
      <c r="N523" t="str">
        <f>IF(OR(J523&lt;$AE$21,J523&gt;$AF$21),"Outlier","OK")</f>
        <v>OK</v>
      </c>
      <c r="O523" t="str">
        <f>IF(OR(C523&lt;0,C523&gt;1),"Outlier","OK")</f>
        <v>OK</v>
      </c>
      <c r="P523" t="str">
        <f>IF(OR(D523&lt;0,D523&gt;1),"Outlier","OK")</f>
        <v>Outlier</v>
      </c>
      <c r="Q523" t="str">
        <f t="shared" si="66"/>
        <v>60-80%</v>
      </c>
      <c r="R523" t="str">
        <f>IF(B523="","Missing","OK")</f>
        <v>OK</v>
      </c>
      <c r="S523" t="str">
        <f>IF(E523="","Missing","OK")</f>
        <v>OK</v>
      </c>
      <c r="T523" t="str">
        <f t="shared" si="67"/>
        <v>OK</v>
      </c>
      <c r="U523">
        <f>COUNTIF($A:$A,A523)</f>
        <v>1</v>
      </c>
      <c r="V523" t="str">
        <f t="shared" si="68"/>
        <v>OK</v>
      </c>
      <c r="W523" t="str">
        <f>IF(I523&gt;B523,"ERROR","OK")</f>
        <v>OK</v>
      </c>
      <c r="X523">
        <f>(B523-I523)/B523</f>
        <v>0.79141878527624021</v>
      </c>
      <c r="Y523" s="2">
        <f t="shared" si="69"/>
        <v>1.2212453270876722E-15</v>
      </c>
      <c r="Z523" s="2" t="str">
        <f t="shared" si="70"/>
        <v>OK</v>
      </c>
      <c r="AA523" t="str">
        <f t="shared" si="71"/>
        <v>Unique</v>
      </c>
    </row>
    <row r="524" spans="1:27" x14ac:dyDescent="0.3">
      <c r="A524">
        <v>523</v>
      </c>
      <c r="B524">
        <v>1985332.9500539501</v>
      </c>
      <c r="C524">
        <v>0.55828087814054095</v>
      </c>
      <c r="D524">
        <v>-0.10982408954525399</v>
      </c>
      <c r="E524">
        <v>0.53107402452233299</v>
      </c>
      <c r="F524">
        <v>1</v>
      </c>
      <c r="G524" t="s">
        <v>10</v>
      </c>
      <c r="H524">
        <v>1</v>
      </c>
      <c r="I524">
        <v>1054358.7598019501</v>
      </c>
      <c r="J524">
        <v>0.46892597547766601</v>
      </c>
      <c r="K524" t="str">
        <f t="shared" si="64"/>
        <v>OK</v>
      </c>
      <c r="L524" t="str">
        <f t="shared" si="65"/>
        <v>OK</v>
      </c>
      <c r="M524" t="str">
        <f>IF(OR(B524&lt;$AE$20,B524&gt;$AF$20),"Outlier","OK")</f>
        <v>Outlier</v>
      </c>
      <c r="N524" t="str">
        <f>IF(OR(J524&lt;$AE$21,J524&gt;$AF$21),"Outlier","OK")</f>
        <v>OK</v>
      </c>
      <c r="O524" t="str">
        <f>IF(OR(C524&lt;0,C524&gt;1),"Outlier","OK")</f>
        <v>OK</v>
      </c>
      <c r="P524" t="str">
        <f>IF(OR(D524&lt;0,D524&gt;1),"Outlier","OK")</f>
        <v>Outlier</v>
      </c>
      <c r="Q524" t="str">
        <f t="shared" si="66"/>
        <v>40-60%</v>
      </c>
      <c r="R524" t="str">
        <f>IF(B524="","Missing","OK")</f>
        <v>OK</v>
      </c>
      <c r="S524" t="str">
        <f>IF(E524="","Missing","OK")</f>
        <v>OK</v>
      </c>
      <c r="T524" t="str">
        <f t="shared" si="67"/>
        <v>OK</v>
      </c>
      <c r="U524">
        <f>COUNTIF($A:$A,A524)</f>
        <v>1</v>
      </c>
      <c r="V524" t="str">
        <f t="shared" si="68"/>
        <v>OK</v>
      </c>
      <c r="W524" t="str">
        <f>IF(I524&gt;B524,"ERROR","OK")</f>
        <v>OK</v>
      </c>
      <c r="X524">
        <f>(B524-I524)/B524</f>
        <v>0.46892597547766557</v>
      </c>
      <c r="Y524" s="2">
        <f t="shared" si="69"/>
        <v>4.4408920985006262E-16</v>
      </c>
      <c r="Z524" s="2" t="str">
        <f t="shared" si="70"/>
        <v>OK</v>
      </c>
      <c r="AA524" t="str">
        <f t="shared" si="71"/>
        <v>Unique</v>
      </c>
    </row>
    <row r="525" spans="1:27" x14ac:dyDescent="0.3">
      <c r="A525">
        <v>524</v>
      </c>
      <c r="B525">
        <v>242760.004890023</v>
      </c>
      <c r="C525">
        <v>0.40017531756852098</v>
      </c>
      <c r="D525">
        <v>7.7201083191767203E-2</v>
      </c>
      <c r="E525">
        <v>0.57601798989019704</v>
      </c>
      <c r="F525">
        <v>1</v>
      </c>
      <c r="G525" t="s">
        <v>13</v>
      </c>
      <c r="H525">
        <v>0</v>
      </c>
      <c r="I525">
        <v>139834.13004248499</v>
      </c>
      <c r="J525">
        <v>0.42398201010980202</v>
      </c>
      <c r="K525" t="str">
        <f t="shared" si="64"/>
        <v>OK</v>
      </c>
      <c r="L525" t="str">
        <f t="shared" si="65"/>
        <v>OK</v>
      </c>
      <c r="M525" t="str">
        <f>IF(OR(B525&lt;$AE$20,B525&gt;$AF$20),"Outlier","OK")</f>
        <v>OK</v>
      </c>
      <c r="N525" t="str">
        <f>IF(OR(J525&lt;$AE$21,J525&gt;$AF$21),"Outlier","OK")</f>
        <v>OK</v>
      </c>
      <c r="O525" t="str">
        <f>IF(OR(C525&lt;0,C525&gt;1),"Outlier","OK")</f>
        <v>OK</v>
      </c>
      <c r="P525" t="str">
        <f>IF(OR(D525&lt;0,D525&gt;1),"Outlier","OK")</f>
        <v>OK</v>
      </c>
      <c r="Q525" t="str">
        <f t="shared" si="66"/>
        <v>40-60%</v>
      </c>
      <c r="R525" t="str">
        <f>IF(B525="","Missing","OK")</f>
        <v>OK</v>
      </c>
      <c r="S525" t="str">
        <f>IF(E525="","Missing","OK")</f>
        <v>OK</v>
      </c>
      <c r="T525" t="str">
        <f t="shared" si="67"/>
        <v>OK</v>
      </c>
      <c r="U525">
        <f>COUNTIF($A:$A,A525)</f>
        <v>1</v>
      </c>
      <c r="V525" t="str">
        <f t="shared" si="68"/>
        <v>OK</v>
      </c>
      <c r="W525" t="str">
        <f>IF(I525&gt;B525,"ERROR","OK")</f>
        <v>OK</v>
      </c>
      <c r="X525">
        <f>(B525-I525)/B525</f>
        <v>0.42398201010980485</v>
      </c>
      <c r="Y525" s="2">
        <f t="shared" si="69"/>
        <v>2.8310687127941492E-15</v>
      </c>
      <c r="Z525" s="2" t="str">
        <f t="shared" si="70"/>
        <v>OK</v>
      </c>
      <c r="AA525" t="str">
        <f t="shared" si="71"/>
        <v>Unique</v>
      </c>
    </row>
    <row r="526" spans="1:27" x14ac:dyDescent="0.3">
      <c r="A526">
        <v>525</v>
      </c>
      <c r="B526">
        <v>480176.46972404397</v>
      </c>
      <c r="C526">
        <v>0.61333762193874097</v>
      </c>
      <c r="D526">
        <v>6.6548227327640702E-3</v>
      </c>
      <c r="E526">
        <v>0.35864010815775499</v>
      </c>
      <c r="F526">
        <v>1</v>
      </c>
      <c r="G526" t="s">
        <v>11</v>
      </c>
      <c r="H526">
        <v>0</v>
      </c>
      <c r="I526">
        <v>172210.54103664</v>
      </c>
      <c r="J526">
        <v>0.64135989184224396</v>
      </c>
      <c r="K526" t="str">
        <f t="shared" si="64"/>
        <v>OK</v>
      </c>
      <c r="L526" t="str">
        <f t="shared" si="65"/>
        <v>OK</v>
      </c>
      <c r="M526" t="str">
        <f>IF(OR(B526&lt;$AE$20,B526&gt;$AF$20),"Outlier","OK")</f>
        <v>OK</v>
      </c>
      <c r="N526" t="str">
        <f>IF(OR(J526&lt;$AE$21,J526&gt;$AF$21),"Outlier","OK")</f>
        <v>OK</v>
      </c>
      <c r="O526" t="str">
        <f>IF(OR(C526&lt;0,C526&gt;1),"Outlier","OK")</f>
        <v>OK</v>
      </c>
      <c r="P526" t="str">
        <f>IF(OR(D526&lt;0,D526&gt;1),"Outlier","OK")</f>
        <v>OK</v>
      </c>
      <c r="Q526" t="str">
        <f t="shared" si="66"/>
        <v>60-80%</v>
      </c>
      <c r="R526" t="str">
        <f>IF(B526="","Missing","OK")</f>
        <v>OK</v>
      </c>
      <c r="S526" t="str">
        <f>IF(E526="","Missing","OK")</f>
        <v>OK</v>
      </c>
      <c r="T526" t="str">
        <f t="shared" si="67"/>
        <v>OK</v>
      </c>
      <c r="U526">
        <f>COUNTIF($A:$A,A526)</f>
        <v>1</v>
      </c>
      <c r="V526" t="str">
        <f t="shared" si="68"/>
        <v>OK</v>
      </c>
      <c r="W526" t="str">
        <f>IF(I526&gt;B526,"ERROR","OK")</f>
        <v>OK</v>
      </c>
      <c r="X526">
        <f>(B526-I526)/B526</f>
        <v>0.64135989184224518</v>
      </c>
      <c r="Y526" s="2">
        <f t="shared" si="69"/>
        <v>1.2212453270876722E-15</v>
      </c>
      <c r="Z526" s="2" t="str">
        <f t="shared" si="70"/>
        <v>OK</v>
      </c>
      <c r="AA526" t="str">
        <f t="shared" si="71"/>
        <v>Unique</v>
      </c>
    </row>
    <row r="527" spans="1:27" x14ac:dyDescent="0.3">
      <c r="A527">
        <v>526</v>
      </c>
      <c r="B527">
        <v>679177.50569111702</v>
      </c>
      <c r="C527">
        <v>0.27797601673220801</v>
      </c>
      <c r="D527">
        <v>-0.17236053605846699</v>
      </c>
      <c r="E527">
        <v>0.106301141835874</v>
      </c>
      <c r="F527">
        <v>1</v>
      </c>
      <c r="G527" t="s">
        <v>10</v>
      </c>
      <c r="H527">
        <v>1</v>
      </c>
      <c r="I527">
        <v>72197.344364207005</v>
      </c>
      <c r="J527">
        <v>0.89369885816412498</v>
      </c>
      <c r="K527" t="str">
        <f t="shared" si="64"/>
        <v>OK</v>
      </c>
      <c r="L527" t="str">
        <f t="shared" si="65"/>
        <v>OK</v>
      </c>
      <c r="M527" t="str">
        <f>IF(OR(B527&lt;$AE$20,B527&gt;$AF$20),"Outlier","OK")</f>
        <v>OK</v>
      </c>
      <c r="N527" t="str">
        <f>IF(OR(J527&lt;$AE$21,J527&gt;$AF$21),"Outlier","OK")</f>
        <v>OK</v>
      </c>
      <c r="O527" t="str">
        <f>IF(OR(C527&lt;0,C527&gt;1),"Outlier","OK")</f>
        <v>OK</v>
      </c>
      <c r="P527" t="str">
        <f>IF(OR(D527&lt;0,D527&gt;1),"Outlier","OK")</f>
        <v>Outlier</v>
      </c>
      <c r="Q527" t="str">
        <f t="shared" si="66"/>
        <v>80-100%</v>
      </c>
      <c r="R527" t="str">
        <f>IF(B527="","Missing","OK")</f>
        <v>OK</v>
      </c>
      <c r="S527" t="str">
        <f>IF(E527="","Missing","OK")</f>
        <v>OK</v>
      </c>
      <c r="T527" t="str">
        <f t="shared" si="67"/>
        <v>OK</v>
      </c>
      <c r="U527">
        <f>COUNTIF($A:$A,A527)</f>
        <v>1</v>
      </c>
      <c r="V527" t="str">
        <f t="shared" si="68"/>
        <v>OK</v>
      </c>
      <c r="W527" t="str">
        <f>IF(I527&gt;B527,"ERROR","OK")</f>
        <v>OK</v>
      </c>
      <c r="X527">
        <f>(B527-I527)/B527</f>
        <v>0.89369885816412531</v>
      </c>
      <c r="Y527" s="2">
        <f t="shared" si="69"/>
        <v>3.3306690738754696E-16</v>
      </c>
      <c r="Z527" s="2" t="str">
        <f t="shared" si="70"/>
        <v>OK</v>
      </c>
      <c r="AA527" t="str">
        <f t="shared" si="71"/>
        <v>Unique</v>
      </c>
    </row>
    <row r="528" spans="1:27" x14ac:dyDescent="0.3">
      <c r="A528">
        <v>527</v>
      </c>
      <c r="B528">
        <v>338059.54509725899</v>
      </c>
      <c r="C528">
        <v>0.53981888112856902</v>
      </c>
      <c r="D528">
        <v>-0.14110577911311101</v>
      </c>
      <c r="E528">
        <v>0.135725395268879</v>
      </c>
      <c r="F528">
        <v>1</v>
      </c>
      <c r="G528" t="s">
        <v>13</v>
      </c>
      <c r="H528">
        <v>0</v>
      </c>
      <c r="I528">
        <v>45883.2653827432</v>
      </c>
      <c r="J528">
        <v>0.86427460473112006</v>
      </c>
      <c r="K528" t="str">
        <f t="shared" si="64"/>
        <v>OK</v>
      </c>
      <c r="L528" t="str">
        <f t="shared" si="65"/>
        <v>OK</v>
      </c>
      <c r="M528" t="str">
        <f>IF(OR(B528&lt;$AE$20,B528&gt;$AF$20),"Outlier","OK")</f>
        <v>OK</v>
      </c>
      <c r="N528" t="str">
        <f>IF(OR(J528&lt;$AE$21,J528&gt;$AF$21),"Outlier","OK")</f>
        <v>OK</v>
      </c>
      <c r="O528" t="str">
        <f>IF(OR(C528&lt;0,C528&gt;1),"Outlier","OK")</f>
        <v>OK</v>
      </c>
      <c r="P528" t="str">
        <f>IF(OR(D528&lt;0,D528&gt;1),"Outlier","OK")</f>
        <v>Outlier</v>
      </c>
      <c r="Q528" t="str">
        <f t="shared" si="66"/>
        <v>80-100%</v>
      </c>
      <c r="R528" t="str">
        <f>IF(B528="","Missing","OK")</f>
        <v>OK</v>
      </c>
      <c r="S528" t="str">
        <f>IF(E528="","Missing","OK")</f>
        <v>OK</v>
      </c>
      <c r="T528" t="str">
        <f t="shared" si="67"/>
        <v>OK</v>
      </c>
      <c r="U528">
        <f>COUNTIF($A:$A,A528)</f>
        <v>1</v>
      </c>
      <c r="V528" t="str">
        <f t="shared" si="68"/>
        <v>OK</v>
      </c>
      <c r="W528" t="str">
        <f>IF(I528&gt;B528,"ERROR","OK")</f>
        <v>OK</v>
      </c>
      <c r="X528">
        <f>(B528-I528)/B528</f>
        <v>0.86427460473112006</v>
      </c>
      <c r="Y528" s="2">
        <f t="shared" si="69"/>
        <v>0</v>
      </c>
      <c r="Z528" s="2" t="str">
        <f t="shared" si="70"/>
        <v>OK</v>
      </c>
      <c r="AA528" t="str">
        <f t="shared" si="71"/>
        <v>Unique</v>
      </c>
    </row>
    <row r="529" spans="1:27" x14ac:dyDescent="0.3">
      <c r="A529">
        <v>528</v>
      </c>
      <c r="B529">
        <v>604227.50733653305</v>
      </c>
      <c r="C529">
        <v>0.31958943886003999</v>
      </c>
      <c r="D529">
        <v>5.7207074062508398E-2</v>
      </c>
      <c r="E529">
        <v>0.29175959401990498</v>
      </c>
      <c r="F529">
        <v>1</v>
      </c>
      <c r="G529" t="s">
        <v>10</v>
      </c>
      <c r="H529">
        <v>0</v>
      </c>
      <c r="I529">
        <v>176289.17223616599</v>
      </c>
      <c r="J529">
        <v>0.70824040598009497</v>
      </c>
      <c r="K529" t="str">
        <f t="shared" si="64"/>
        <v>OK</v>
      </c>
      <c r="L529" t="str">
        <f t="shared" si="65"/>
        <v>OK</v>
      </c>
      <c r="M529" t="str">
        <f>IF(OR(B529&lt;$AE$20,B529&gt;$AF$20),"Outlier","OK")</f>
        <v>OK</v>
      </c>
      <c r="N529" t="str">
        <f>IF(OR(J529&lt;$AE$21,J529&gt;$AF$21),"Outlier","OK")</f>
        <v>OK</v>
      </c>
      <c r="O529" t="str">
        <f>IF(OR(C529&lt;0,C529&gt;1),"Outlier","OK")</f>
        <v>OK</v>
      </c>
      <c r="P529" t="str">
        <f>IF(OR(D529&lt;0,D529&gt;1),"Outlier","OK")</f>
        <v>OK</v>
      </c>
      <c r="Q529" t="str">
        <f t="shared" si="66"/>
        <v>60-80%</v>
      </c>
      <c r="R529" t="str">
        <f>IF(B529="","Missing","OK")</f>
        <v>OK</v>
      </c>
      <c r="S529" t="str">
        <f>IF(E529="","Missing","OK")</f>
        <v>OK</v>
      </c>
      <c r="T529" t="str">
        <f t="shared" si="67"/>
        <v>OK</v>
      </c>
      <c r="U529">
        <f>COUNTIF($A:$A,A529)</f>
        <v>1</v>
      </c>
      <c r="V529" t="str">
        <f t="shared" si="68"/>
        <v>OK</v>
      </c>
      <c r="W529" t="str">
        <f>IF(I529&gt;B529,"ERROR","OK")</f>
        <v>OK</v>
      </c>
      <c r="X529">
        <f>(B529-I529)/B529</f>
        <v>0.70824040598009519</v>
      </c>
      <c r="Y529" s="2">
        <f t="shared" si="69"/>
        <v>2.2204460492503131E-16</v>
      </c>
      <c r="Z529" s="2" t="str">
        <f t="shared" si="70"/>
        <v>OK</v>
      </c>
      <c r="AA529" t="str">
        <f t="shared" si="71"/>
        <v>Unique</v>
      </c>
    </row>
    <row r="530" spans="1:27" x14ac:dyDescent="0.3">
      <c r="A530">
        <v>529</v>
      </c>
      <c r="B530">
        <v>1569528.3210759801</v>
      </c>
      <c r="C530">
        <v>0.41704404871575101</v>
      </c>
      <c r="D530">
        <v>2.9128712896430001E-2</v>
      </c>
      <c r="E530">
        <v>0.174883535527148</v>
      </c>
      <c r="F530">
        <v>1</v>
      </c>
      <c r="G530" t="s">
        <v>13</v>
      </c>
      <c r="H530">
        <v>1</v>
      </c>
      <c r="I530">
        <v>274484.66189975699</v>
      </c>
      <c r="J530">
        <v>0.82511646447285103</v>
      </c>
      <c r="K530" t="str">
        <f t="shared" si="64"/>
        <v>OK</v>
      </c>
      <c r="L530" t="str">
        <f t="shared" si="65"/>
        <v>OK</v>
      </c>
      <c r="M530" t="str">
        <f>IF(OR(B530&lt;$AE$20,B530&gt;$AF$20),"Outlier","OK")</f>
        <v>OK</v>
      </c>
      <c r="N530" t="str">
        <f>IF(OR(J530&lt;$AE$21,J530&gt;$AF$21),"Outlier","OK")</f>
        <v>OK</v>
      </c>
      <c r="O530" t="str">
        <f>IF(OR(C530&lt;0,C530&gt;1),"Outlier","OK")</f>
        <v>OK</v>
      </c>
      <c r="P530" t="str">
        <f>IF(OR(D530&lt;0,D530&gt;1),"Outlier","OK")</f>
        <v>OK</v>
      </c>
      <c r="Q530" t="str">
        <f t="shared" si="66"/>
        <v>80-100%</v>
      </c>
      <c r="R530" t="str">
        <f>IF(B530="","Missing","OK")</f>
        <v>OK</v>
      </c>
      <c r="S530" t="str">
        <f>IF(E530="","Missing","OK")</f>
        <v>OK</v>
      </c>
      <c r="T530" t="str">
        <f t="shared" si="67"/>
        <v>OK</v>
      </c>
      <c r="U530">
        <f>COUNTIF($A:$A,A530)</f>
        <v>1</v>
      </c>
      <c r="V530" t="str">
        <f t="shared" si="68"/>
        <v>OK</v>
      </c>
      <c r="W530" t="str">
        <f>IF(I530&gt;B530,"ERROR","OK")</f>
        <v>OK</v>
      </c>
      <c r="X530">
        <f>(B530-I530)/B530</f>
        <v>0.82511646447285136</v>
      </c>
      <c r="Y530" s="2">
        <f t="shared" si="69"/>
        <v>3.3306690738754696E-16</v>
      </c>
      <c r="Z530" s="2" t="str">
        <f t="shared" si="70"/>
        <v>OK</v>
      </c>
      <c r="AA530" t="str">
        <f t="shared" si="71"/>
        <v>Unique</v>
      </c>
    </row>
    <row r="531" spans="1:27" x14ac:dyDescent="0.3">
      <c r="A531">
        <v>530</v>
      </c>
      <c r="B531">
        <v>1069639.40172617</v>
      </c>
      <c r="C531">
        <v>0.263773415486244</v>
      </c>
      <c r="D531">
        <v>0.11999044037731001</v>
      </c>
      <c r="E531">
        <v>0.225589718345269</v>
      </c>
      <c r="F531">
        <v>1</v>
      </c>
      <c r="G531" t="s">
        <v>11</v>
      </c>
      <c r="H531">
        <v>0</v>
      </c>
      <c r="I531">
        <v>241299.65136640999</v>
      </c>
      <c r="J531">
        <v>0.77441028165473003</v>
      </c>
      <c r="K531" t="str">
        <f t="shared" si="64"/>
        <v>OK</v>
      </c>
      <c r="L531" t="str">
        <f t="shared" si="65"/>
        <v>OK</v>
      </c>
      <c r="M531" t="str">
        <f>IF(OR(B531&lt;$AE$20,B531&gt;$AF$20),"Outlier","OK")</f>
        <v>OK</v>
      </c>
      <c r="N531" t="str">
        <f>IF(OR(J531&lt;$AE$21,J531&gt;$AF$21),"Outlier","OK")</f>
        <v>OK</v>
      </c>
      <c r="O531" t="str">
        <f>IF(OR(C531&lt;0,C531&gt;1),"Outlier","OK")</f>
        <v>OK</v>
      </c>
      <c r="P531" t="str">
        <f>IF(OR(D531&lt;0,D531&gt;1),"Outlier","OK")</f>
        <v>OK</v>
      </c>
      <c r="Q531" t="str">
        <f t="shared" si="66"/>
        <v>60-80%</v>
      </c>
      <c r="R531" t="str">
        <f>IF(B531="","Missing","OK")</f>
        <v>OK</v>
      </c>
      <c r="S531" t="str">
        <f>IF(E531="","Missing","OK")</f>
        <v>OK</v>
      </c>
      <c r="T531" t="str">
        <f t="shared" si="67"/>
        <v>OK</v>
      </c>
      <c r="U531">
        <f>COUNTIF($A:$A,A531)</f>
        <v>1</v>
      </c>
      <c r="V531" t="str">
        <f t="shared" si="68"/>
        <v>OK</v>
      </c>
      <c r="W531" t="str">
        <f>IF(I531&gt;B531,"ERROR","OK")</f>
        <v>OK</v>
      </c>
      <c r="X531">
        <f>(B531-I531)/B531</f>
        <v>0.7744102816547298</v>
      </c>
      <c r="Y531" s="2">
        <f t="shared" si="69"/>
        <v>2.2204460492503131E-16</v>
      </c>
      <c r="Z531" s="2" t="str">
        <f t="shared" si="70"/>
        <v>OK</v>
      </c>
      <c r="AA531" t="str">
        <f t="shared" si="71"/>
        <v>Unique</v>
      </c>
    </row>
    <row r="532" spans="1:27" x14ac:dyDescent="0.3">
      <c r="A532">
        <v>531</v>
      </c>
      <c r="B532">
        <v>116209.59045002901</v>
      </c>
      <c r="C532">
        <v>0.75850373317072595</v>
      </c>
      <c r="D532">
        <v>-0.145194476771107</v>
      </c>
      <c r="E532">
        <v>0.16483570918937099</v>
      </c>
      <c r="F532">
        <v>1</v>
      </c>
      <c r="G532" t="s">
        <v>12</v>
      </c>
      <c r="H532">
        <v>0</v>
      </c>
      <c r="I532">
        <v>19155.4902564369</v>
      </c>
      <c r="J532">
        <v>0.83516429081062804</v>
      </c>
      <c r="K532" t="str">
        <f t="shared" si="64"/>
        <v>OK</v>
      </c>
      <c r="L532" t="str">
        <f t="shared" si="65"/>
        <v>OK</v>
      </c>
      <c r="M532" t="str">
        <f>IF(OR(B532&lt;$AE$20,B532&gt;$AF$20),"Outlier","OK")</f>
        <v>OK</v>
      </c>
      <c r="N532" t="str">
        <f>IF(OR(J532&lt;$AE$21,J532&gt;$AF$21),"Outlier","OK")</f>
        <v>OK</v>
      </c>
      <c r="O532" t="str">
        <f>IF(OR(C532&lt;0,C532&gt;1),"Outlier","OK")</f>
        <v>OK</v>
      </c>
      <c r="P532" t="str">
        <f>IF(OR(D532&lt;0,D532&gt;1),"Outlier","OK")</f>
        <v>Outlier</v>
      </c>
      <c r="Q532" t="str">
        <f t="shared" si="66"/>
        <v>80-100%</v>
      </c>
      <c r="R532" t="str">
        <f>IF(B532="","Missing","OK")</f>
        <v>OK</v>
      </c>
      <c r="S532" t="str">
        <f>IF(E532="","Missing","OK")</f>
        <v>OK</v>
      </c>
      <c r="T532" t="str">
        <f t="shared" si="67"/>
        <v>OK</v>
      </c>
      <c r="U532">
        <f>COUNTIF($A:$A,A532)</f>
        <v>1</v>
      </c>
      <c r="V532" t="str">
        <f t="shared" si="68"/>
        <v>OK</v>
      </c>
      <c r="W532" t="str">
        <f>IF(I532&gt;B532,"ERROR","OK")</f>
        <v>OK</v>
      </c>
      <c r="X532">
        <f>(B532-I532)/B532</f>
        <v>0.83516429081062893</v>
      </c>
      <c r="Y532" s="2">
        <f t="shared" si="69"/>
        <v>8.8817841970012523E-16</v>
      </c>
      <c r="Z532" s="2" t="str">
        <f t="shared" si="70"/>
        <v>OK</v>
      </c>
      <c r="AA532" t="str">
        <f t="shared" si="71"/>
        <v>Unique</v>
      </c>
    </row>
    <row r="533" spans="1:27" x14ac:dyDescent="0.3">
      <c r="A533">
        <v>532</v>
      </c>
      <c r="B533">
        <v>1966114.0411150099</v>
      </c>
      <c r="C533">
        <v>0.24575670758893201</v>
      </c>
      <c r="D533">
        <v>-7.6171960812238898E-2</v>
      </c>
      <c r="E533">
        <v>0.37376135770688101</v>
      </c>
      <c r="F533">
        <v>1</v>
      </c>
      <c r="G533" t="s">
        <v>13</v>
      </c>
      <c r="H533">
        <v>1</v>
      </c>
      <c r="I533">
        <v>734857.45341371302</v>
      </c>
      <c r="J533">
        <v>0.62623864229311799</v>
      </c>
      <c r="K533" t="str">
        <f t="shared" si="64"/>
        <v>OK</v>
      </c>
      <c r="L533" t="str">
        <f t="shared" si="65"/>
        <v>OK</v>
      </c>
      <c r="M533" t="str">
        <f>IF(OR(B533&lt;$AE$20,B533&gt;$AF$20),"Outlier","OK")</f>
        <v>OK</v>
      </c>
      <c r="N533" t="str">
        <f>IF(OR(J533&lt;$AE$21,J533&gt;$AF$21),"Outlier","OK")</f>
        <v>OK</v>
      </c>
      <c r="O533" t="str">
        <f>IF(OR(C533&lt;0,C533&gt;1),"Outlier","OK")</f>
        <v>OK</v>
      </c>
      <c r="P533" t="str">
        <f>IF(OR(D533&lt;0,D533&gt;1),"Outlier","OK")</f>
        <v>Outlier</v>
      </c>
      <c r="Q533" t="str">
        <f t="shared" si="66"/>
        <v>60-80%</v>
      </c>
      <c r="R533" t="str">
        <f>IF(B533="","Missing","OK")</f>
        <v>OK</v>
      </c>
      <c r="S533" t="str">
        <f>IF(E533="","Missing","OK")</f>
        <v>OK</v>
      </c>
      <c r="T533" t="str">
        <f t="shared" si="67"/>
        <v>OK</v>
      </c>
      <c r="U533">
        <f>COUNTIF($A:$A,A533)</f>
        <v>1</v>
      </c>
      <c r="V533" t="str">
        <f t="shared" si="68"/>
        <v>OK</v>
      </c>
      <c r="W533" t="str">
        <f>IF(I533&gt;B533,"ERROR","OK")</f>
        <v>OK</v>
      </c>
      <c r="X533">
        <f>(B533-I533)/B533</f>
        <v>0.62623864229311677</v>
      </c>
      <c r="Y533" s="2">
        <f t="shared" si="69"/>
        <v>1.2212453270876722E-15</v>
      </c>
      <c r="Z533" s="2" t="str">
        <f t="shared" si="70"/>
        <v>OK</v>
      </c>
      <c r="AA533" t="str">
        <f t="shared" si="71"/>
        <v>Unique</v>
      </c>
    </row>
    <row r="534" spans="1:27" x14ac:dyDescent="0.3">
      <c r="A534">
        <v>533</v>
      </c>
      <c r="B534">
        <v>1251212.6312549601</v>
      </c>
      <c r="C534">
        <v>0.21471720319503301</v>
      </c>
      <c r="D534">
        <v>-9.2470095211140496E-2</v>
      </c>
      <c r="E534">
        <v>0.19444853699690601</v>
      </c>
      <c r="F534">
        <v>1</v>
      </c>
      <c r="G534" t="s">
        <v>10</v>
      </c>
      <c r="H534">
        <v>1</v>
      </c>
      <c r="I534">
        <v>243296.46561957701</v>
      </c>
      <c r="J534">
        <v>0.80555146300309299</v>
      </c>
      <c r="K534" t="str">
        <f t="shared" si="64"/>
        <v>OK</v>
      </c>
      <c r="L534" t="str">
        <f t="shared" si="65"/>
        <v>OK</v>
      </c>
      <c r="M534" t="str">
        <f>IF(OR(B534&lt;$AE$20,B534&gt;$AF$20),"Outlier","OK")</f>
        <v>OK</v>
      </c>
      <c r="N534" t="str">
        <f>IF(OR(J534&lt;$AE$21,J534&gt;$AF$21),"Outlier","OK")</f>
        <v>OK</v>
      </c>
      <c r="O534" t="str">
        <f>IF(OR(C534&lt;0,C534&gt;1),"Outlier","OK")</f>
        <v>OK</v>
      </c>
      <c r="P534" t="str">
        <f>IF(OR(D534&lt;0,D534&gt;1),"Outlier","OK")</f>
        <v>Outlier</v>
      </c>
      <c r="Q534" t="str">
        <f t="shared" si="66"/>
        <v>80-100%</v>
      </c>
      <c r="R534" t="str">
        <f>IF(B534="","Missing","OK")</f>
        <v>OK</v>
      </c>
      <c r="S534" t="str">
        <f>IF(E534="","Missing","OK")</f>
        <v>OK</v>
      </c>
      <c r="T534" t="str">
        <f t="shared" si="67"/>
        <v>OK</v>
      </c>
      <c r="U534">
        <f>COUNTIF($A:$A,A534)</f>
        <v>1</v>
      </c>
      <c r="V534" t="str">
        <f t="shared" si="68"/>
        <v>OK</v>
      </c>
      <c r="W534" t="str">
        <f>IF(I534&gt;B534,"ERROR","OK")</f>
        <v>OK</v>
      </c>
      <c r="X534">
        <f>(B534-I534)/B534</f>
        <v>0.80555146300309344</v>
      </c>
      <c r="Y534" s="2">
        <f t="shared" si="69"/>
        <v>4.4408920985006262E-16</v>
      </c>
      <c r="Z534" s="2" t="str">
        <f t="shared" si="70"/>
        <v>OK</v>
      </c>
      <c r="AA534" t="str">
        <f t="shared" si="71"/>
        <v>Unique</v>
      </c>
    </row>
    <row r="535" spans="1:27" x14ac:dyDescent="0.3">
      <c r="A535">
        <v>534</v>
      </c>
      <c r="B535">
        <v>164931.98327589</v>
      </c>
      <c r="C535">
        <v>0.58994324838235301</v>
      </c>
      <c r="D535">
        <v>-0.19101996005906299</v>
      </c>
      <c r="E535">
        <v>0.17659719899276999</v>
      </c>
      <c r="F535">
        <v>1</v>
      </c>
      <c r="G535" t="s">
        <v>13</v>
      </c>
      <c r="H535">
        <v>1</v>
      </c>
      <c r="I535">
        <v>29126.526270844799</v>
      </c>
      <c r="J535">
        <v>0.82340280100722896</v>
      </c>
      <c r="K535" t="str">
        <f t="shared" si="64"/>
        <v>OK</v>
      </c>
      <c r="L535" t="str">
        <f t="shared" si="65"/>
        <v>OK</v>
      </c>
      <c r="M535" t="str">
        <f>IF(OR(B535&lt;$AE$20,B535&gt;$AF$20),"Outlier","OK")</f>
        <v>OK</v>
      </c>
      <c r="N535" t="str">
        <f>IF(OR(J535&lt;$AE$21,J535&gt;$AF$21),"Outlier","OK")</f>
        <v>OK</v>
      </c>
      <c r="O535" t="str">
        <f>IF(OR(C535&lt;0,C535&gt;1),"Outlier","OK")</f>
        <v>OK</v>
      </c>
      <c r="P535" t="str">
        <f>IF(OR(D535&lt;0,D535&gt;1),"Outlier","OK")</f>
        <v>Outlier</v>
      </c>
      <c r="Q535" t="str">
        <f t="shared" si="66"/>
        <v>80-100%</v>
      </c>
      <c r="R535" t="str">
        <f>IF(B535="","Missing","OK")</f>
        <v>OK</v>
      </c>
      <c r="S535" t="str">
        <f>IF(E535="","Missing","OK")</f>
        <v>OK</v>
      </c>
      <c r="T535" t="str">
        <f t="shared" si="67"/>
        <v>OK</v>
      </c>
      <c r="U535">
        <f>COUNTIF($A:$A,A535)</f>
        <v>1</v>
      </c>
      <c r="V535" t="str">
        <f t="shared" si="68"/>
        <v>OK</v>
      </c>
      <c r="W535" t="str">
        <f>IF(I535&gt;B535,"ERROR","OK")</f>
        <v>OK</v>
      </c>
      <c r="X535">
        <f>(B535-I535)/B535</f>
        <v>0.82340280100722851</v>
      </c>
      <c r="Y535" s="2">
        <f t="shared" si="69"/>
        <v>4.4408920985006262E-16</v>
      </c>
      <c r="Z535" s="2" t="str">
        <f t="shared" si="70"/>
        <v>OK</v>
      </c>
      <c r="AA535" t="str">
        <f t="shared" si="71"/>
        <v>Unique</v>
      </c>
    </row>
    <row r="536" spans="1:27" x14ac:dyDescent="0.3">
      <c r="A536">
        <v>535</v>
      </c>
      <c r="B536">
        <v>1339279.1050041099</v>
      </c>
      <c r="C536">
        <v>0.24178948964351499</v>
      </c>
      <c r="D536">
        <v>-0.130248724278238</v>
      </c>
      <c r="E536">
        <v>0.38329245078775198</v>
      </c>
      <c r="F536">
        <v>1</v>
      </c>
      <c r="G536" t="s">
        <v>12</v>
      </c>
      <c r="H536">
        <v>1</v>
      </c>
      <c r="I536">
        <v>513335.57044585299</v>
      </c>
      <c r="J536">
        <v>0.61670754921224702</v>
      </c>
      <c r="K536" t="str">
        <f t="shared" si="64"/>
        <v>OK</v>
      </c>
      <c r="L536" t="str">
        <f t="shared" si="65"/>
        <v>OK</v>
      </c>
      <c r="M536" t="str">
        <f>IF(OR(B536&lt;$AE$20,B536&gt;$AF$20),"Outlier","OK")</f>
        <v>OK</v>
      </c>
      <c r="N536" t="str">
        <f>IF(OR(J536&lt;$AE$21,J536&gt;$AF$21),"Outlier","OK")</f>
        <v>OK</v>
      </c>
      <c r="O536" t="str">
        <f>IF(OR(C536&lt;0,C536&gt;1),"Outlier","OK")</f>
        <v>OK</v>
      </c>
      <c r="P536" t="str">
        <f>IF(OR(D536&lt;0,D536&gt;1),"Outlier","OK")</f>
        <v>Outlier</v>
      </c>
      <c r="Q536" t="str">
        <f t="shared" si="66"/>
        <v>60-80%</v>
      </c>
      <c r="R536" t="str">
        <f>IF(B536="","Missing","OK")</f>
        <v>OK</v>
      </c>
      <c r="S536" t="str">
        <f>IF(E536="","Missing","OK")</f>
        <v>OK</v>
      </c>
      <c r="T536" t="str">
        <f t="shared" si="67"/>
        <v>OK</v>
      </c>
      <c r="U536">
        <f>COUNTIF($A:$A,A536)</f>
        <v>1</v>
      </c>
      <c r="V536" t="str">
        <f t="shared" si="68"/>
        <v>OK</v>
      </c>
      <c r="W536" t="str">
        <f>IF(I536&gt;B536,"ERROR","OK")</f>
        <v>OK</v>
      </c>
      <c r="X536">
        <f>(B536-I536)/B536</f>
        <v>0.61670754921224746</v>
      </c>
      <c r="Y536" s="2">
        <f t="shared" si="69"/>
        <v>4.4408920985006262E-16</v>
      </c>
      <c r="Z536" s="2" t="str">
        <f t="shared" si="70"/>
        <v>OK</v>
      </c>
      <c r="AA536" t="str">
        <f t="shared" si="71"/>
        <v>Unique</v>
      </c>
    </row>
    <row r="537" spans="1:27" x14ac:dyDescent="0.3">
      <c r="A537">
        <v>536</v>
      </c>
      <c r="B537">
        <v>787820.27285570605</v>
      </c>
      <c r="C537">
        <v>0.177725120333356</v>
      </c>
      <c r="D537">
        <v>-6.8759958220640904E-2</v>
      </c>
      <c r="E537">
        <v>0.183303545837572</v>
      </c>
      <c r="F537">
        <v>1</v>
      </c>
      <c r="G537" t="s">
        <v>13</v>
      </c>
      <c r="H537">
        <v>0</v>
      </c>
      <c r="I537">
        <v>144410.24949717399</v>
      </c>
      <c r="J537">
        <v>0.81669645416242798</v>
      </c>
      <c r="K537" t="str">
        <f t="shared" si="64"/>
        <v>OK</v>
      </c>
      <c r="L537" t="str">
        <f t="shared" si="65"/>
        <v>OK</v>
      </c>
      <c r="M537" t="str">
        <f>IF(OR(B537&lt;$AE$20,B537&gt;$AF$20),"Outlier","OK")</f>
        <v>OK</v>
      </c>
      <c r="N537" t="str">
        <f>IF(OR(J537&lt;$AE$21,J537&gt;$AF$21),"Outlier","OK")</f>
        <v>OK</v>
      </c>
      <c r="O537" t="str">
        <f>IF(OR(C537&lt;0,C537&gt;1),"Outlier","OK")</f>
        <v>OK</v>
      </c>
      <c r="P537" t="str">
        <f>IF(OR(D537&lt;0,D537&gt;1),"Outlier","OK")</f>
        <v>Outlier</v>
      </c>
      <c r="Q537" t="str">
        <f t="shared" si="66"/>
        <v>80-100%</v>
      </c>
      <c r="R537" t="str">
        <f>IF(B537="","Missing","OK")</f>
        <v>OK</v>
      </c>
      <c r="S537" t="str">
        <f>IF(E537="","Missing","OK")</f>
        <v>OK</v>
      </c>
      <c r="T537" t="str">
        <f t="shared" si="67"/>
        <v>OK</v>
      </c>
      <c r="U537">
        <f>COUNTIF($A:$A,A537)</f>
        <v>1</v>
      </c>
      <c r="V537" t="str">
        <f t="shared" si="68"/>
        <v>OK</v>
      </c>
      <c r="W537" t="str">
        <f>IF(I537&gt;B537,"ERROR","OK")</f>
        <v>OK</v>
      </c>
      <c r="X537">
        <f>(B537-I537)/B537</f>
        <v>0.81669645416242842</v>
      </c>
      <c r="Y537" s="2">
        <f t="shared" si="69"/>
        <v>4.4408920985006262E-16</v>
      </c>
      <c r="Z537" s="2" t="str">
        <f t="shared" si="70"/>
        <v>OK</v>
      </c>
      <c r="AA537" t="str">
        <f t="shared" si="71"/>
        <v>Unique</v>
      </c>
    </row>
    <row r="538" spans="1:27" x14ac:dyDescent="0.3">
      <c r="A538">
        <v>537</v>
      </c>
      <c r="B538">
        <v>314562.92939389002</v>
      </c>
      <c r="C538">
        <v>0.608753542100547</v>
      </c>
      <c r="D538">
        <v>-1.8780744948627599E-2</v>
      </c>
      <c r="E538">
        <v>0.33645378373876</v>
      </c>
      <c r="F538">
        <v>1</v>
      </c>
      <c r="G538" t="s">
        <v>10</v>
      </c>
      <c r="H538">
        <v>0</v>
      </c>
      <c r="I538">
        <v>105835.887818523</v>
      </c>
      <c r="J538">
        <v>0.663546216261239</v>
      </c>
      <c r="K538" t="str">
        <f t="shared" si="64"/>
        <v>OK</v>
      </c>
      <c r="L538" t="str">
        <f t="shared" si="65"/>
        <v>OK</v>
      </c>
      <c r="M538" t="str">
        <f>IF(OR(B538&lt;$AE$20,B538&gt;$AF$20),"Outlier","OK")</f>
        <v>OK</v>
      </c>
      <c r="N538" t="str">
        <f>IF(OR(J538&lt;$AE$21,J538&gt;$AF$21),"Outlier","OK")</f>
        <v>OK</v>
      </c>
      <c r="O538" t="str">
        <f>IF(OR(C538&lt;0,C538&gt;1),"Outlier","OK")</f>
        <v>OK</v>
      </c>
      <c r="P538" t="str">
        <f>IF(OR(D538&lt;0,D538&gt;1),"Outlier","OK")</f>
        <v>Outlier</v>
      </c>
      <c r="Q538" t="str">
        <f t="shared" si="66"/>
        <v>60-80%</v>
      </c>
      <c r="R538" t="str">
        <f>IF(B538="","Missing","OK")</f>
        <v>OK</v>
      </c>
      <c r="S538" t="str">
        <f>IF(E538="","Missing","OK")</f>
        <v>OK</v>
      </c>
      <c r="T538" t="str">
        <f t="shared" si="67"/>
        <v>OK</v>
      </c>
      <c r="U538">
        <f>COUNTIF($A:$A,A538)</f>
        <v>1</v>
      </c>
      <c r="V538" t="str">
        <f t="shared" si="68"/>
        <v>OK</v>
      </c>
      <c r="W538" t="str">
        <f>IF(I538&gt;B538,"ERROR","OK")</f>
        <v>OK</v>
      </c>
      <c r="X538">
        <f>(B538-I538)/B538</f>
        <v>0.66354621626123911</v>
      </c>
      <c r="Y538" s="2">
        <f t="shared" si="69"/>
        <v>1.1102230246251565E-16</v>
      </c>
      <c r="Z538" s="2" t="str">
        <f t="shared" si="70"/>
        <v>OK</v>
      </c>
      <c r="AA538" t="str">
        <f t="shared" si="71"/>
        <v>Unique</v>
      </c>
    </row>
    <row r="539" spans="1:27" x14ac:dyDescent="0.3">
      <c r="A539">
        <v>538</v>
      </c>
      <c r="B539">
        <v>1149145.95615342</v>
      </c>
      <c r="C539">
        <v>0.36593686364456501</v>
      </c>
      <c r="D539">
        <v>-4.1938284742664499E-2</v>
      </c>
      <c r="E539">
        <v>0.28580905104818899</v>
      </c>
      <c r="F539">
        <v>1</v>
      </c>
      <c r="G539" t="s">
        <v>11</v>
      </c>
      <c r="H539">
        <v>0</v>
      </c>
      <c r="I539">
        <v>328436.31524407398</v>
      </c>
      <c r="J539">
        <v>0.71419094895181001</v>
      </c>
      <c r="K539" t="str">
        <f t="shared" si="64"/>
        <v>OK</v>
      </c>
      <c r="L539" t="str">
        <f t="shared" si="65"/>
        <v>OK</v>
      </c>
      <c r="M539" t="str">
        <f>IF(OR(B539&lt;$AE$20,B539&gt;$AF$20),"Outlier","OK")</f>
        <v>OK</v>
      </c>
      <c r="N539" t="str">
        <f>IF(OR(J539&lt;$AE$21,J539&gt;$AF$21),"Outlier","OK")</f>
        <v>OK</v>
      </c>
      <c r="O539" t="str">
        <f>IF(OR(C539&lt;0,C539&gt;1),"Outlier","OK")</f>
        <v>OK</v>
      </c>
      <c r="P539" t="str">
        <f>IF(OR(D539&lt;0,D539&gt;1),"Outlier","OK")</f>
        <v>Outlier</v>
      </c>
      <c r="Q539" t="str">
        <f t="shared" si="66"/>
        <v>60-80%</v>
      </c>
      <c r="R539" t="str">
        <f>IF(B539="","Missing","OK")</f>
        <v>OK</v>
      </c>
      <c r="S539" t="str">
        <f>IF(E539="","Missing","OK")</f>
        <v>OK</v>
      </c>
      <c r="T539" t="str">
        <f t="shared" si="67"/>
        <v>OK</v>
      </c>
      <c r="U539">
        <f>COUNTIF($A:$A,A539)</f>
        <v>1</v>
      </c>
      <c r="V539" t="str">
        <f t="shared" si="68"/>
        <v>OK</v>
      </c>
      <c r="W539" t="str">
        <f>IF(I539&gt;B539,"ERROR","OK")</f>
        <v>OK</v>
      </c>
      <c r="X539">
        <f>(B539-I539)/B539</f>
        <v>0.71419094895181001</v>
      </c>
      <c r="Y539" s="2">
        <f t="shared" si="69"/>
        <v>0</v>
      </c>
      <c r="Z539" s="2" t="str">
        <f t="shared" si="70"/>
        <v>OK</v>
      </c>
      <c r="AA539" t="str">
        <f t="shared" si="71"/>
        <v>Unique</v>
      </c>
    </row>
    <row r="540" spans="1:27" x14ac:dyDescent="0.3">
      <c r="A540">
        <v>539</v>
      </c>
      <c r="B540">
        <v>1467805.90348149</v>
      </c>
      <c r="C540">
        <v>0.88414134276078005</v>
      </c>
      <c r="D540">
        <v>6.4733486215767605E-2</v>
      </c>
      <c r="E540">
        <v>0.11451889467474501</v>
      </c>
      <c r="F540">
        <v>1</v>
      </c>
      <c r="G540" t="s">
        <v>11</v>
      </c>
      <c r="H540">
        <v>0</v>
      </c>
      <c r="I540">
        <v>168091.50966376599</v>
      </c>
      <c r="J540">
        <v>0.88548110532525404</v>
      </c>
      <c r="K540" t="str">
        <f t="shared" si="64"/>
        <v>OK</v>
      </c>
      <c r="L540" t="str">
        <f t="shared" si="65"/>
        <v>OK</v>
      </c>
      <c r="M540" t="str">
        <f>IF(OR(B540&lt;$AE$20,B540&gt;$AF$20),"Outlier","OK")</f>
        <v>OK</v>
      </c>
      <c r="N540" t="str">
        <f>IF(OR(J540&lt;$AE$21,J540&gt;$AF$21),"Outlier","OK")</f>
        <v>OK</v>
      </c>
      <c r="O540" t="str">
        <f>IF(OR(C540&lt;0,C540&gt;1),"Outlier","OK")</f>
        <v>OK</v>
      </c>
      <c r="P540" t="str">
        <f>IF(OR(D540&lt;0,D540&gt;1),"Outlier","OK")</f>
        <v>OK</v>
      </c>
      <c r="Q540" t="str">
        <f t="shared" si="66"/>
        <v>80-100%</v>
      </c>
      <c r="R540" t="str">
        <f>IF(B540="","Missing","OK")</f>
        <v>OK</v>
      </c>
      <c r="S540" t="str">
        <f>IF(E540="","Missing","OK")</f>
        <v>OK</v>
      </c>
      <c r="T540" t="str">
        <f t="shared" si="67"/>
        <v>OK</v>
      </c>
      <c r="U540">
        <f>COUNTIF($A:$A,A540)</f>
        <v>1</v>
      </c>
      <c r="V540" t="str">
        <f t="shared" si="68"/>
        <v>OK</v>
      </c>
      <c r="W540" t="str">
        <f>IF(I540&gt;B540,"ERROR","OK")</f>
        <v>OK</v>
      </c>
      <c r="X540">
        <f>(B540-I540)/B540</f>
        <v>0.88548110532525481</v>
      </c>
      <c r="Y540" s="2">
        <f t="shared" si="69"/>
        <v>7.7715611723760958E-16</v>
      </c>
      <c r="Z540" s="2" t="str">
        <f t="shared" si="70"/>
        <v>OK</v>
      </c>
      <c r="AA540" t="str">
        <f t="shared" si="71"/>
        <v>Unique</v>
      </c>
    </row>
    <row r="541" spans="1:27" x14ac:dyDescent="0.3">
      <c r="A541">
        <v>540</v>
      </c>
      <c r="B541">
        <v>1358696.87871673</v>
      </c>
      <c r="C541">
        <v>0.764875007733816</v>
      </c>
      <c r="D541">
        <v>0.16335971253248199</v>
      </c>
      <c r="E541">
        <v>0.288211744050345</v>
      </c>
      <c r="F541">
        <v>1</v>
      </c>
      <c r="G541" t="s">
        <v>12</v>
      </c>
      <c r="H541">
        <v>1</v>
      </c>
      <c r="I541">
        <v>391592.39705071202</v>
      </c>
      <c r="J541">
        <v>0.711788255949654</v>
      </c>
      <c r="K541" t="str">
        <f t="shared" si="64"/>
        <v>OK</v>
      </c>
      <c r="L541" t="str">
        <f t="shared" si="65"/>
        <v>OK</v>
      </c>
      <c r="M541" t="str">
        <f>IF(OR(B541&lt;$AE$20,B541&gt;$AF$20),"Outlier","OK")</f>
        <v>OK</v>
      </c>
      <c r="N541" t="str">
        <f>IF(OR(J541&lt;$AE$21,J541&gt;$AF$21),"Outlier","OK")</f>
        <v>OK</v>
      </c>
      <c r="O541" t="str">
        <f>IF(OR(C541&lt;0,C541&gt;1),"Outlier","OK")</f>
        <v>OK</v>
      </c>
      <c r="P541" t="str">
        <f>IF(OR(D541&lt;0,D541&gt;1),"Outlier","OK")</f>
        <v>OK</v>
      </c>
      <c r="Q541" t="str">
        <f t="shared" si="66"/>
        <v>60-80%</v>
      </c>
      <c r="R541" t="str">
        <f>IF(B541="","Missing","OK")</f>
        <v>OK</v>
      </c>
      <c r="S541" t="str">
        <f>IF(E541="","Missing","OK")</f>
        <v>OK</v>
      </c>
      <c r="T541" t="str">
        <f t="shared" si="67"/>
        <v>OK</v>
      </c>
      <c r="U541">
        <f>COUNTIF($A:$A,A541)</f>
        <v>1</v>
      </c>
      <c r="V541" t="str">
        <f t="shared" si="68"/>
        <v>OK</v>
      </c>
      <c r="W541" t="str">
        <f>IF(I541&gt;B541,"ERROR","OK")</f>
        <v>OK</v>
      </c>
      <c r="X541">
        <f>(B541-I541)/B541</f>
        <v>0.71178825594965267</v>
      </c>
      <c r="Y541" s="2">
        <f t="shared" si="69"/>
        <v>1.3322676295501878E-15</v>
      </c>
      <c r="Z541" s="2" t="str">
        <f t="shared" si="70"/>
        <v>OK</v>
      </c>
      <c r="AA541" t="str">
        <f t="shared" si="71"/>
        <v>Unique</v>
      </c>
    </row>
    <row r="542" spans="1:27" x14ac:dyDescent="0.3">
      <c r="A542">
        <v>541</v>
      </c>
      <c r="B542">
        <v>532650.64932569501</v>
      </c>
      <c r="C542">
        <v>0.63251956876673998</v>
      </c>
      <c r="D542">
        <v>1.54669551502598E-2</v>
      </c>
      <c r="E542">
        <v>0.291635253639842</v>
      </c>
      <c r="F542">
        <v>1</v>
      </c>
      <c r="G542" t="s">
        <v>10</v>
      </c>
      <c r="H542">
        <v>1</v>
      </c>
      <c r="I542">
        <v>155339.70721752499</v>
      </c>
      <c r="J542">
        <v>0.708364746360157</v>
      </c>
      <c r="K542" t="str">
        <f t="shared" si="64"/>
        <v>OK</v>
      </c>
      <c r="L542" t="str">
        <f t="shared" si="65"/>
        <v>OK</v>
      </c>
      <c r="M542" t="str">
        <f>IF(OR(B542&lt;$AE$20,B542&gt;$AF$20),"Outlier","OK")</f>
        <v>OK</v>
      </c>
      <c r="N542" t="str">
        <f>IF(OR(J542&lt;$AE$21,J542&gt;$AF$21),"Outlier","OK")</f>
        <v>OK</v>
      </c>
      <c r="O542" t="str">
        <f>IF(OR(C542&lt;0,C542&gt;1),"Outlier","OK")</f>
        <v>OK</v>
      </c>
      <c r="P542" t="str">
        <f>IF(OR(D542&lt;0,D542&gt;1),"Outlier","OK")</f>
        <v>OK</v>
      </c>
      <c r="Q542" t="str">
        <f t="shared" si="66"/>
        <v>60-80%</v>
      </c>
      <c r="R542" t="str">
        <f>IF(B542="","Missing","OK")</f>
        <v>OK</v>
      </c>
      <c r="S542" t="str">
        <f>IF(E542="","Missing","OK")</f>
        <v>OK</v>
      </c>
      <c r="T542" t="str">
        <f t="shared" si="67"/>
        <v>OK</v>
      </c>
      <c r="U542">
        <f>COUNTIF($A:$A,A542)</f>
        <v>1</v>
      </c>
      <c r="V542" t="str">
        <f t="shared" si="68"/>
        <v>OK</v>
      </c>
      <c r="W542" t="str">
        <f>IF(I542&gt;B542,"ERROR","OK")</f>
        <v>OK</v>
      </c>
      <c r="X542">
        <f>(B542-I542)/B542</f>
        <v>0.70836474636015911</v>
      </c>
      <c r="Y542" s="2">
        <f t="shared" si="69"/>
        <v>2.1094237467877974E-15</v>
      </c>
      <c r="Z542" s="2" t="str">
        <f t="shared" si="70"/>
        <v>OK</v>
      </c>
      <c r="AA542" t="str">
        <f t="shared" si="71"/>
        <v>Unique</v>
      </c>
    </row>
    <row r="543" spans="1:27" x14ac:dyDescent="0.3">
      <c r="A543">
        <v>542</v>
      </c>
      <c r="B543">
        <v>1073489.1318331701</v>
      </c>
      <c r="C543">
        <v>0.404406010238541</v>
      </c>
      <c r="D543">
        <v>-8.0388984753131706E-2</v>
      </c>
      <c r="E543">
        <v>0.56245923778567397</v>
      </c>
      <c r="F543">
        <v>1</v>
      </c>
      <c r="G543" t="s">
        <v>12</v>
      </c>
      <c r="H543">
        <v>0</v>
      </c>
      <c r="I543">
        <v>603793.87886208994</v>
      </c>
      <c r="J543">
        <v>0.43754076221432497</v>
      </c>
      <c r="K543" t="str">
        <f t="shared" si="64"/>
        <v>OK</v>
      </c>
      <c r="L543" t="str">
        <f t="shared" si="65"/>
        <v>OK</v>
      </c>
      <c r="M543" t="str">
        <f>IF(OR(B543&lt;$AE$20,B543&gt;$AF$20),"Outlier","OK")</f>
        <v>OK</v>
      </c>
      <c r="N543" t="str">
        <f>IF(OR(J543&lt;$AE$21,J543&gt;$AF$21),"Outlier","OK")</f>
        <v>OK</v>
      </c>
      <c r="O543" t="str">
        <f>IF(OR(C543&lt;0,C543&gt;1),"Outlier","OK")</f>
        <v>OK</v>
      </c>
      <c r="P543" t="str">
        <f>IF(OR(D543&lt;0,D543&gt;1),"Outlier","OK")</f>
        <v>Outlier</v>
      </c>
      <c r="Q543" t="str">
        <f t="shared" si="66"/>
        <v>40-60%</v>
      </c>
      <c r="R543" t="str">
        <f>IF(B543="","Missing","OK")</f>
        <v>OK</v>
      </c>
      <c r="S543" t="str">
        <f>IF(E543="","Missing","OK")</f>
        <v>OK</v>
      </c>
      <c r="T543" t="str">
        <f t="shared" si="67"/>
        <v>OK</v>
      </c>
      <c r="U543">
        <f>COUNTIF($A:$A,A543)</f>
        <v>1</v>
      </c>
      <c r="V543" t="str">
        <f t="shared" si="68"/>
        <v>OK</v>
      </c>
      <c r="W543" t="str">
        <f>IF(I543&gt;B543,"ERROR","OK")</f>
        <v>OK</v>
      </c>
      <c r="X543">
        <f>(B543-I543)/B543</f>
        <v>0.43754076221432581</v>
      </c>
      <c r="Y543" s="2">
        <f t="shared" si="69"/>
        <v>8.3266726846886741E-16</v>
      </c>
      <c r="Z543" s="2" t="str">
        <f t="shared" si="70"/>
        <v>OK</v>
      </c>
      <c r="AA543" t="str">
        <f t="shared" si="71"/>
        <v>Unique</v>
      </c>
    </row>
    <row r="544" spans="1:27" x14ac:dyDescent="0.3">
      <c r="A544">
        <v>543</v>
      </c>
      <c r="B544">
        <v>1098443.71593819</v>
      </c>
      <c r="C544">
        <v>0.10996528750842199</v>
      </c>
      <c r="D544">
        <v>0.19842787079876301</v>
      </c>
      <c r="E544">
        <v>0.31198104625275302</v>
      </c>
      <c r="F544">
        <v>1</v>
      </c>
      <c r="G544" t="s">
        <v>10</v>
      </c>
      <c r="H544">
        <v>0</v>
      </c>
      <c r="I544">
        <v>342693.61974816001</v>
      </c>
      <c r="J544">
        <v>0.68801895374724598</v>
      </c>
      <c r="K544" t="str">
        <f t="shared" si="64"/>
        <v>OK</v>
      </c>
      <c r="L544" t="str">
        <f t="shared" si="65"/>
        <v>OK</v>
      </c>
      <c r="M544" t="str">
        <f>IF(OR(B544&lt;$AE$20,B544&gt;$AF$20),"Outlier","OK")</f>
        <v>OK</v>
      </c>
      <c r="N544" t="str">
        <f>IF(OR(J544&lt;$AE$21,J544&gt;$AF$21),"Outlier","OK")</f>
        <v>OK</v>
      </c>
      <c r="O544" t="str">
        <f>IF(OR(C544&lt;0,C544&gt;1),"Outlier","OK")</f>
        <v>OK</v>
      </c>
      <c r="P544" t="str">
        <f>IF(OR(D544&lt;0,D544&gt;1),"Outlier","OK")</f>
        <v>OK</v>
      </c>
      <c r="Q544" t="str">
        <f t="shared" si="66"/>
        <v>60-80%</v>
      </c>
      <c r="R544" t="str">
        <f>IF(B544="","Missing","OK")</f>
        <v>OK</v>
      </c>
      <c r="S544" t="str">
        <f>IF(E544="","Missing","OK")</f>
        <v>OK</v>
      </c>
      <c r="T544" t="str">
        <f t="shared" si="67"/>
        <v>OK</v>
      </c>
      <c r="U544">
        <f>COUNTIF($A:$A,A544)</f>
        <v>1</v>
      </c>
      <c r="V544" t="str">
        <f t="shared" si="68"/>
        <v>OK</v>
      </c>
      <c r="W544" t="str">
        <f>IF(I544&gt;B544,"ERROR","OK")</f>
        <v>OK</v>
      </c>
      <c r="X544">
        <f>(B544-I544)/B544</f>
        <v>0.68801895374724542</v>
      </c>
      <c r="Y544" s="2">
        <f t="shared" si="69"/>
        <v>5.5511151231257827E-16</v>
      </c>
      <c r="Z544" s="2" t="str">
        <f t="shared" si="70"/>
        <v>OK</v>
      </c>
      <c r="AA544" t="str">
        <f t="shared" si="71"/>
        <v>Unique</v>
      </c>
    </row>
    <row r="545" spans="1:27" x14ac:dyDescent="0.3">
      <c r="A545">
        <v>544</v>
      </c>
      <c r="B545">
        <v>1447766.5600574701</v>
      </c>
      <c r="C545">
        <v>0.45293928858955501</v>
      </c>
      <c r="D545">
        <v>7.7088153898689504E-2</v>
      </c>
      <c r="E545">
        <v>0.11196027019468099</v>
      </c>
      <c r="F545">
        <v>1</v>
      </c>
      <c r="G545" t="s">
        <v>10</v>
      </c>
      <c r="H545">
        <v>0</v>
      </c>
      <c r="I545">
        <v>162092.335242859</v>
      </c>
      <c r="J545">
        <v>0.88803972980531798</v>
      </c>
      <c r="K545" t="str">
        <f t="shared" si="64"/>
        <v>OK</v>
      </c>
      <c r="L545" t="str">
        <f t="shared" si="65"/>
        <v>OK</v>
      </c>
      <c r="M545" t="str">
        <f>IF(OR(B545&lt;$AE$20,B545&gt;$AF$20),"Outlier","OK")</f>
        <v>OK</v>
      </c>
      <c r="N545" t="str">
        <f>IF(OR(J545&lt;$AE$21,J545&gt;$AF$21),"Outlier","OK")</f>
        <v>OK</v>
      </c>
      <c r="O545" t="str">
        <f>IF(OR(C545&lt;0,C545&gt;1),"Outlier","OK")</f>
        <v>OK</v>
      </c>
      <c r="P545" t="str">
        <f>IF(OR(D545&lt;0,D545&gt;1),"Outlier","OK")</f>
        <v>OK</v>
      </c>
      <c r="Q545" t="str">
        <f t="shared" si="66"/>
        <v>80-100%</v>
      </c>
      <c r="R545" t="str">
        <f>IF(B545="","Missing","OK")</f>
        <v>OK</v>
      </c>
      <c r="S545" t="str">
        <f>IF(E545="","Missing","OK")</f>
        <v>OK</v>
      </c>
      <c r="T545" t="str">
        <f t="shared" si="67"/>
        <v>OK</v>
      </c>
      <c r="U545">
        <f>COUNTIF($A:$A,A545)</f>
        <v>1</v>
      </c>
      <c r="V545" t="str">
        <f t="shared" si="68"/>
        <v>OK</v>
      </c>
      <c r="W545" t="str">
        <f>IF(I545&gt;B545,"ERROR","OK")</f>
        <v>OK</v>
      </c>
      <c r="X545">
        <f>(B545-I545)/B545</f>
        <v>0.88803972980531842</v>
      </c>
      <c r="Y545" s="2">
        <f t="shared" si="69"/>
        <v>4.4408920985006262E-16</v>
      </c>
      <c r="Z545" s="2" t="str">
        <f t="shared" si="70"/>
        <v>OK</v>
      </c>
      <c r="AA545" t="str">
        <f t="shared" si="71"/>
        <v>Unique</v>
      </c>
    </row>
    <row r="546" spans="1:27" x14ac:dyDescent="0.3">
      <c r="A546">
        <v>545</v>
      </c>
      <c r="B546">
        <v>751741.33043507999</v>
      </c>
      <c r="C546">
        <v>0.89723448315028398</v>
      </c>
      <c r="D546">
        <v>0.152331073512561</v>
      </c>
      <c r="E546">
        <v>0.54184386751015501</v>
      </c>
      <c r="F546">
        <v>1</v>
      </c>
      <c r="G546" t="s">
        <v>13</v>
      </c>
      <c r="H546">
        <v>0</v>
      </c>
      <c r="I546">
        <v>407326.42985017301</v>
      </c>
      <c r="J546">
        <v>0.45815613248984399</v>
      </c>
      <c r="K546" t="str">
        <f t="shared" si="64"/>
        <v>OK</v>
      </c>
      <c r="L546" t="str">
        <f t="shared" si="65"/>
        <v>OK</v>
      </c>
      <c r="M546" t="str">
        <f>IF(OR(B546&lt;$AE$20,B546&gt;$AF$20),"Outlier","OK")</f>
        <v>OK</v>
      </c>
      <c r="N546" t="str">
        <f>IF(OR(J546&lt;$AE$21,J546&gt;$AF$21),"Outlier","OK")</f>
        <v>OK</v>
      </c>
      <c r="O546" t="str">
        <f>IF(OR(C546&lt;0,C546&gt;1),"Outlier","OK")</f>
        <v>OK</v>
      </c>
      <c r="P546" t="str">
        <f>IF(OR(D546&lt;0,D546&gt;1),"Outlier","OK")</f>
        <v>OK</v>
      </c>
      <c r="Q546" t="str">
        <f t="shared" si="66"/>
        <v>40-60%</v>
      </c>
      <c r="R546" t="str">
        <f>IF(B546="","Missing","OK")</f>
        <v>OK</v>
      </c>
      <c r="S546" t="str">
        <f>IF(E546="","Missing","OK")</f>
        <v>OK</v>
      </c>
      <c r="T546" t="str">
        <f t="shared" si="67"/>
        <v>OK</v>
      </c>
      <c r="U546">
        <f>COUNTIF($A:$A,A546)</f>
        <v>1</v>
      </c>
      <c r="V546" t="str">
        <f t="shared" si="68"/>
        <v>OK</v>
      </c>
      <c r="W546" t="str">
        <f>IF(I546&gt;B546,"ERROR","OK")</f>
        <v>OK</v>
      </c>
      <c r="X546">
        <f>(B546-I546)/B546</f>
        <v>0.45815613248984516</v>
      </c>
      <c r="Y546" s="2">
        <f t="shared" si="69"/>
        <v>1.1657341758564144E-15</v>
      </c>
      <c r="Z546" s="2" t="str">
        <f t="shared" si="70"/>
        <v>OK</v>
      </c>
      <c r="AA546" t="str">
        <f t="shared" si="71"/>
        <v>Unique</v>
      </c>
    </row>
    <row r="547" spans="1:27" x14ac:dyDescent="0.3">
      <c r="A547">
        <v>546</v>
      </c>
      <c r="B547">
        <v>1605578.5606223301</v>
      </c>
      <c r="C547">
        <v>0.76582830840808502</v>
      </c>
      <c r="D547">
        <v>0.13430188197807599</v>
      </c>
      <c r="E547">
        <v>0.396241623525662</v>
      </c>
      <c r="F547">
        <v>1</v>
      </c>
      <c r="G547" t="s">
        <v>13</v>
      </c>
      <c r="H547">
        <v>1</v>
      </c>
      <c r="I547">
        <v>636197.05555898801</v>
      </c>
      <c r="J547">
        <v>0.60375837647433706</v>
      </c>
      <c r="K547" t="str">
        <f t="shared" si="64"/>
        <v>OK</v>
      </c>
      <c r="L547" t="str">
        <f t="shared" si="65"/>
        <v>OK</v>
      </c>
      <c r="M547" t="str">
        <f>IF(OR(B547&lt;$AE$20,B547&gt;$AF$20),"Outlier","OK")</f>
        <v>OK</v>
      </c>
      <c r="N547" t="str">
        <f>IF(OR(J547&lt;$AE$21,J547&gt;$AF$21),"Outlier","OK")</f>
        <v>OK</v>
      </c>
      <c r="O547" t="str">
        <f>IF(OR(C547&lt;0,C547&gt;1),"Outlier","OK")</f>
        <v>OK</v>
      </c>
      <c r="P547" t="str">
        <f>IF(OR(D547&lt;0,D547&gt;1),"Outlier","OK")</f>
        <v>OK</v>
      </c>
      <c r="Q547" t="str">
        <f t="shared" si="66"/>
        <v>60-80%</v>
      </c>
      <c r="R547" t="str">
        <f>IF(B547="","Missing","OK")</f>
        <v>OK</v>
      </c>
      <c r="S547" t="str">
        <f>IF(E547="","Missing","OK")</f>
        <v>OK</v>
      </c>
      <c r="T547" t="str">
        <f t="shared" si="67"/>
        <v>OK</v>
      </c>
      <c r="U547">
        <f>COUNTIF($A:$A,A547)</f>
        <v>1</v>
      </c>
      <c r="V547" t="str">
        <f t="shared" si="68"/>
        <v>OK</v>
      </c>
      <c r="W547" t="str">
        <f>IF(I547&gt;B547,"ERROR","OK")</f>
        <v>OK</v>
      </c>
      <c r="X547">
        <f>(B547-I547)/B547</f>
        <v>0.60375837647433772</v>
      </c>
      <c r="Y547" s="2">
        <f t="shared" si="69"/>
        <v>6.6613381477509392E-16</v>
      </c>
      <c r="Z547" s="2" t="str">
        <f t="shared" si="70"/>
        <v>OK</v>
      </c>
      <c r="AA547" t="str">
        <f t="shared" si="71"/>
        <v>Unique</v>
      </c>
    </row>
    <row r="548" spans="1:27" x14ac:dyDescent="0.3">
      <c r="A548">
        <v>547</v>
      </c>
      <c r="B548">
        <v>1274447.6053464201</v>
      </c>
      <c r="C548">
        <v>0.79268252980437404</v>
      </c>
      <c r="D548">
        <v>-0.133956131030225</v>
      </c>
      <c r="E548">
        <v>2.94018768622256E-2</v>
      </c>
      <c r="F548">
        <v>1</v>
      </c>
      <c r="G548" t="s">
        <v>11</v>
      </c>
      <c r="H548">
        <v>0</v>
      </c>
      <c r="I548">
        <v>37471.1515597537</v>
      </c>
      <c r="J548">
        <v>0.97059812313777405</v>
      </c>
      <c r="K548" t="str">
        <f t="shared" si="64"/>
        <v>OK</v>
      </c>
      <c r="L548" t="str">
        <f t="shared" si="65"/>
        <v>OK</v>
      </c>
      <c r="M548" t="str">
        <f>IF(OR(B548&lt;$AE$20,B548&gt;$AF$20),"Outlier","OK")</f>
        <v>OK</v>
      </c>
      <c r="N548" t="str">
        <f>IF(OR(J548&lt;$AE$21,J548&gt;$AF$21),"Outlier","OK")</f>
        <v>Outlier</v>
      </c>
      <c r="O548" t="str">
        <f>IF(OR(C548&lt;0,C548&gt;1),"Outlier","OK")</f>
        <v>OK</v>
      </c>
      <c r="P548" t="str">
        <f>IF(OR(D548&lt;0,D548&gt;1),"Outlier","OK")</f>
        <v>Outlier</v>
      </c>
      <c r="Q548" t="str">
        <f t="shared" si="66"/>
        <v>80-100%</v>
      </c>
      <c r="R548" t="str">
        <f>IF(B548="","Missing","OK")</f>
        <v>OK</v>
      </c>
      <c r="S548" t="str">
        <f>IF(E548="","Missing","OK")</f>
        <v>OK</v>
      </c>
      <c r="T548" t="str">
        <f t="shared" si="67"/>
        <v>OK</v>
      </c>
      <c r="U548">
        <f>COUNTIF($A:$A,A548)</f>
        <v>1</v>
      </c>
      <c r="V548" t="str">
        <f t="shared" si="68"/>
        <v>OK</v>
      </c>
      <c r="W548" t="str">
        <f>IF(I548&gt;B548,"ERROR","OK")</f>
        <v>OK</v>
      </c>
      <c r="X548">
        <f>(B548-I548)/B548</f>
        <v>0.97059812313777438</v>
      </c>
      <c r="Y548" s="2">
        <f t="shared" si="69"/>
        <v>3.3306690738754696E-16</v>
      </c>
      <c r="Z548" s="2" t="str">
        <f t="shared" si="70"/>
        <v>OK</v>
      </c>
      <c r="AA548" t="str">
        <f t="shared" si="71"/>
        <v>Unique</v>
      </c>
    </row>
    <row r="549" spans="1:27" x14ac:dyDescent="0.3">
      <c r="A549">
        <v>548</v>
      </c>
      <c r="B549">
        <v>124746.63368615</v>
      </c>
      <c r="C549">
        <v>0.64941305741473598</v>
      </c>
      <c r="D549">
        <v>-8.5496007240392399E-2</v>
      </c>
      <c r="E549">
        <v>0.14424349949207399</v>
      </c>
      <c r="F549">
        <v>1</v>
      </c>
      <c r="G549" t="s">
        <v>11</v>
      </c>
      <c r="H549">
        <v>1</v>
      </c>
      <c r="I549">
        <v>17993.890992746201</v>
      </c>
      <c r="J549">
        <v>0.85575650050792496</v>
      </c>
      <c r="K549" t="str">
        <f t="shared" si="64"/>
        <v>OK</v>
      </c>
      <c r="L549" t="str">
        <f t="shared" si="65"/>
        <v>OK</v>
      </c>
      <c r="M549" t="str">
        <f>IF(OR(B549&lt;$AE$20,B549&gt;$AF$20),"Outlier","OK")</f>
        <v>OK</v>
      </c>
      <c r="N549" t="str">
        <f>IF(OR(J549&lt;$AE$21,J549&gt;$AF$21),"Outlier","OK")</f>
        <v>OK</v>
      </c>
      <c r="O549" t="str">
        <f>IF(OR(C549&lt;0,C549&gt;1),"Outlier","OK")</f>
        <v>OK</v>
      </c>
      <c r="P549" t="str">
        <f>IF(OR(D549&lt;0,D549&gt;1),"Outlier","OK")</f>
        <v>Outlier</v>
      </c>
      <c r="Q549" t="str">
        <f t="shared" si="66"/>
        <v>80-100%</v>
      </c>
      <c r="R549" t="str">
        <f>IF(B549="","Missing","OK")</f>
        <v>OK</v>
      </c>
      <c r="S549" t="str">
        <f>IF(E549="","Missing","OK")</f>
        <v>OK</v>
      </c>
      <c r="T549" t="str">
        <f t="shared" si="67"/>
        <v>OK</v>
      </c>
      <c r="U549">
        <f>COUNTIF($A:$A,A549)</f>
        <v>1</v>
      </c>
      <c r="V549" t="str">
        <f t="shared" si="68"/>
        <v>OK</v>
      </c>
      <c r="W549" t="str">
        <f>IF(I549&gt;B549,"ERROR","OK")</f>
        <v>OK</v>
      </c>
      <c r="X549">
        <f>(B549-I549)/B549</f>
        <v>0.85575650050792529</v>
      </c>
      <c r="Y549" s="2">
        <f t="shared" si="69"/>
        <v>3.3306690738754696E-16</v>
      </c>
      <c r="Z549" s="2" t="str">
        <f t="shared" si="70"/>
        <v>OK</v>
      </c>
      <c r="AA549" t="str">
        <f t="shared" si="71"/>
        <v>Unique</v>
      </c>
    </row>
    <row r="550" spans="1:27" x14ac:dyDescent="0.3">
      <c r="A550">
        <v>549</v>
      </c>
      <c r="B550">
        <v>1115634.0922547099</v>
      </c>
      <c r="C550">
        <v>0.27713463885289003</v>
      </c>
      <c r="D550">
        <v>-0.17165156340464</v>
      </c>
      <c r="E550">
        <v>0.34440769865197701</v>
      </c>
      <c r="F550">
        <v>1</v>
      </c>
      <c r="G550" t="s">
        <v>12</v>
      </c>
      <c r="H550">
        <v>0</v>
      </c>
      <c r="I550">
        <v>384232.97025113303</v>
      </c>
      <c r="J550">
        <v>0.65559230134802204</v>
      </c>
      <c r="K550" t="str">
        <f t="shared" si="64"/>
        <v>OK</v>
      </c>
      <c r="L550" t="str">
        <f t="shared" si="65"/>
        <v>OK</v>
      </c>
      <c r="M550" t="str">
        <f>IF(OR(B550&lt;$AE$20,B550&gt;$AF$20),"Outlier","OK")</f>
        <v>OK</v>
      </c>
      <c r="N550" t="str">
        <f>IF(OR(J550&lt;$AE$21,J550&gt;$AF$21),"Outlier","OK")</f>
        <v>OK</v>
      </c>
      <c r="O550" t="str">
        <f>IF(OR(C550&lt;0,C550&gt;1),"Outlier","OK")</f>
        <v>OK</v>
      </c>
      <c r="P550" t="str">
        <f>IF(OR(D550&lt;0,D550&gt;1),"Outlier","OK")</f>
        <v>Outlier</v>
      </c>
      <c r="Q550" t="str">
        <f t="shared" si="66"/>
        <v>60-80%</v>
      </c>
      <c r="R550" t="str">
        <f>IF(B550="","Missing","OK")</f>
        <v>OK</v>
      </c>
      <c r="S550" t="str">
        <f>IF(E550="","Missing","OK")</f>
        <v>OK</v>
      </c>
      <c r="T550" t="str">
        <f t="shared" si="67"/>
        <v>OK</v>
      </c>
      <c r="U550">
        <f>COUNTIF($A:$A,A550)</f>
        <v>1</v>
      </c>
      <c r="V550" t="str">
        <f t="shared" si="68"/>
        <v>OK</v>
      </c>
      <c r="W550" t="str">
        <f>IF(I550&gt;B550,"ERROR","OK")</f>
        <v>OK</v>
      </c>
      <c r="X550">
        <f>(B550-I550)/B550</f>
        <v>0.65559230134802216</v>
      </c>
      <c r="Y550" s="2">
        <f t="shared" si="69"/>
        <v>1.1102230246251565E-16</v>
      </c>
      <c r="Z550" s="2" t="str">
        <f t="shared" si="70"/>
        <v>OK</v>
      </c>
      <c r="AA550" t="str">
        <f t="shared" si="71"/>
        <v>Unique</v>
      </c>
    </row>
    <row r="551" spans="1:27" x14ac:dyDescent="0.3">
      <c r="A551">
        <v>550</v>
      </c>
      <c r="B551">
        <v>1730728.5860919501</v>
      </c>
      <c r="C551">
        <v>0.23597250659373201</v>
      </c>
      <c r="D551">
        <v>0.170102527514397</v>
      </c>
      <c r="E551">
        <v>0.34669677043401298</v>
      </c>
      <c r="F551">
        <v>1</v>
      </c>
      <c r="G551" t="s">
        <v>11</v>
      </c>
      <c r="H551">
        <v>0</v>
      </c>
      <c r="I551">
        <v>600038.01129590604</v>
      </c>
      <c r="J551">
        <v>0.65330322956598597</v>
      </c>
      <c r="K551" t="str">
        <f t="shared" si="64"/>
        <v>OK</v>
      </c>
      <c r="L551" t="str">
        <f t="shared" si="65"/>
        <v>OK</v>
      </c>
      <c r="M551" t="str">
        <f>IF(OR(B551&lt;$AE$20,B551&gt;$AF$20),"Outlier","OK")</f>
        <v>OK</v>
      </c>
      <c r="N551" t="str">
        <f>IF(OR(J551&lt;$AE$21,J551&gt;$AF$21),"Outlier","OK")</f>
        <v>OK</v>
      </c>
      <c r="O551" t="str">
        <f>IF(OR(C551&lt;0,C551&gt;1),"Outlier","OK")</f>
        <v>OK</v>
      </c>
      <c r="P551" t="str">
        <f>IF(OR(D551&lt;0,D551&gt;1),"Outlier","OK")</f>
        <v>OK</v>
      </c>
      <c r="Q551" t="str">
        <f t="shared" si="66"/>
        <v>60-80%</v>
      </c>
      <c r="R551" t="str">
        <f>IF(B551="","Missing","OK")</f>
        <v>OK</v>
      </c>
      <c r="S551" t="str">
        <f>IF(E551="","Missing","OK")</f>
        <v>OK</v>
      </c>
      <c r="T551" t="str">
        <f t="shared" si="67"/>
        <v>OK</v>
      </c>
      <c r="U551">
        <f>COUNTIF($A:$A,A551)</f>
        <v>1</v>
      </c>
      <c r="V551" t="str">
        <f t="shared" si="68"/>
        <v>OK</v>
      </c>
      <c r="W551" t="str">
        <f>IF(I551&gt;B551,"ERROR","OK")</f>
        <v>OK</v>
      </c>
      <c r="X551">
        <f>(B551-I551)/B551</f>
        <v>0.65330322956598619</v>
      </c>
      <c r="Y551" s="2">
        <f t="shared" si="69"/>
        <v>2.2204460492503131E-16</v>
      </c>
      <c r="Z551" s="2" t="str">
        <f t="shared" si="70"/>
        <v>OK</v>
      </c>
      <c r="AA551" t="str">
        <f t="shared" si="71"/>
        <v>Unique</v>
      </c>
    </row>
    <row r="552" spans="1:27" x14ac:dyDescent="0.3">
      <c r="A552">
        <v>551</v>
      </c>
      <c r="B552">
        <v>1156769.6169827899</v>
      </c>
      <c r="C552">
        <v>0.40040013662327201</v>
      </c>
      <c r="D552">
        <v>-9.5091937322573594E-2</v>
      </c>
      <c r="E552">
        <v>0.46430982370058499</v>
      </c>
      <c r="F552">
        <v>1</v>
      </c>
      <c r="G552" t="s">
        <v>12</v>
      </c>
      <c r="H552">
        <v>0</v>
      </c>
      <c r="I552">
        <v>537099.49692347704</v>
      </c>
      <c r="J552">
        <v>0.53569017629941396</v>
      </c>
      <c r="K552" t="str">
        <f t="shared" si="64"/>
        <v>OK</v>
      </c>
      <c r="L552" t="str">
        <f t="shared" si="65"/>
        <v>OK</v>
      </c>
      <c r="M552" t="str">
        <f>IF(OR(B552&lt;$AE$20,B552&gt;$AF$20),"Outlier","OK")</f>
        <v>OK</v>
      </c>
      <c r="N552" t="str">
        <f>IF(OR(J552&lt;$AE$21,J552&gt;$AF$21),"Outlier","OK")</f>
        <v>OK</v>
      </c>
      <c r="O552" t="str">
        <f>IF(OR(C552&lt;0,C552&gt;1),"Outlier","OK")</f>
        <v>OK</v>
      </c>
      <c r="P552" t="str">
        <f>IF(OR(D552&lt;0,D552&gt;1),"Outlier","OK")</f>
        <v>Outlier</v>
      </c>
      <c r="Q552" t="str">
        <f t="shared" si="66"/>
        <v>40-60%</v>
      </c>
      <c r="R552" t="str">
        <f>IF(B552="","Missing","OK")</f>
        <v>OK</v>
      </c>
      <c r="S552" t="str">
        <f>IF(E552="","Missing","OK")</f>
        <v>OK</v>
      </c>
      <c r="T552" t="str">
        <f t="shared" si="67"/>
        <v>OK</v>
      </c>
      <c r="U552">
        <f>COUNTIF($A:$A,A552)</f>
        <v>1</v>
      </c>
      <c r="V552" t="str">
        <f t="shared" si="68"/>
        <v>OK</v>
      </c>
      <c r="W552" t="str">
        <f>IF(I552&gt;B552,"ERROR","OK")</f>
        <v>OK</v>
      </c>
      <c r="X552">
        <f>(B552-I552)/B552</f>
        <v>0.53569017629941107</v>
      </c>
      <c r="Y552" s="2">
        <f t="shared" si="69"/>
        <v>2.886579864025407E-15</v>
      </c>
      <c r="Z552" s="2" t="str">
        <f t="shared" si="70"/>
        <v>OK</v>
      </c>
      <c r="AA552" t="str">
        <f t="shared" si="71"/>
        <v>Unique</v>
      </c>
    </row>
    <row r="553" spans="1:27" x14ac:dyDescent="0.3">
      <c r="A553">
        <v>552</v>
      </c>
      <c r="B553">
        <v>392865.11763860501</v>
      </c>
      <c r="C553">
        <v>0.28041624053210801</v>
      </c>
      <c r="D553">
        <v>0.16661909736345601</v>
      </c>
      <c r="E553">
        <v>0.47130547904379499</v>
      </c>
      <c r="F553">
        <v>1</v>
      </c>
      <c r="G553" t="s">
        <v>12</v>
      </c>
      <c r="H553">
        <v>1</v>
      </c>
      <c r="I553">
        <v>185159.482468259</v>
      </c>
      <c r="J553">
        <v>0.52869452095620395</v>
      </c>
      <c r="K553" t="str">
        <f t="shared" si="64"/>
        <v>OK</v>
      </c>
      <c r="L553" t="str">
        <f t="shared" si="65"/>
        <v>OK</v>
      </c>
      <c r="M553" t="str">
        <f>IF(OR(B553&lt;$AE$20,B553&gt;$AF$20),"Outlier","OK")</f>
        <v>OK</v>
      </c>
      <c r="N553" t="str">
        <f>IF(OR(J553&lt;$AE$21,J553&gt;$AF$21),"Outlier","OK")</f>
        <v>OK</v>
      </c>
      <c r="O553" t="str">
        <f>IF(OR(C553&lt;0,C553&gt;1),"Outlier","OK")</f>
        <v>OK</v>
      </c>
      <c r="P553" t="str">
        <f>IF(OR(D553&lt;0,D553&gt;1),"Outlier","OK")</f>
        <v>OK</v>
      </c>
      <c r="Q553" t="str">
        <f t="shared" si="66"/>
        <v>40-60%</v>
      </c>
      <c r="R553" t="str">
        <f>IF(B553="","Missing","OK")</f>
        <v>OK</v>
      </c>
      <c r="S553" t="str">
        <f>IF(E553="","Missing","OK")</f>
        <v>OK</v>
      </c>
      <c r="T553" t="str">
        <f t="shared" si="67"/>
        <v>OK</v>
      </c>
      <c r="U553">
        <f>COUNTIF($A:$A,A553)</f>
        <v>1</v>
      </c>
      <c r="V553" t="str">
        <f t="shared" si="68"/>
        <v>OK</v>
      </c>
      <c r="W553" t="str">
        <f>IF(I553&gt;B553,"ERROR","OK")</f>
        <v>OK</v>
      </c>
      <c r="X553">
        <f>(B553-I553)/B553</f>
        <v>0.5286945209562065</v>
      </c>
      <c r="Y553" s="2">
        <f t="shared" si="69"/>
        <v>2.55351295663786E-15</v>
      </c>
      <c r="Z553" s="2" t="str">
        <f t="shared" si="70"/>
        <v>OK</v>
      </c>
      <c r="AA553" t="str">
        <f t="shared" si="71"/>
        <v>Unique</v>
      </c>
    </row>
    <row r="554" spans="1:27" x14ac:dyDescent="0.3">
      <c r="A554">
        <v>553</v>
      </c>
      <c r="B554">
        <v>1045233.92217778</v>
      </c>
      <c r="C554">
        <v>0.86275265451894001</v>
      </c>
      <c r="D554">
        <v>0.178364570024239</v>
      </c>
      <c r="E554">
        <v>0.13149278861306801</v>
      </c>
      <c r="F554">
        <v>1</v>
      </c>
      <c r="G554" t="s">
        <v>10</v>
      </c>
      <c r="H554">
        <v>0</v>
      </c>
      <c r="I554">
        <v>137440.72318013199</v>
      </c>
      <c r="J554">
        <v>0.86850721138693099</v>
      </c>
      <c r="K554" t="str">
        <f t="shared" si="64"/>
        <v>OK</v>
      </c>
      <c r="L554" t="str">
        <f t="shared" si="65"/>
        <v>OK</v>
      </c>
      <c r="M554" t="str">
        <f>IF(OR(B554&lt;$AE$20,B554&gt;$AF$20),"Outlier","OK")</f>
        <v>OK</v>
      </c>
      <c r="N554" t="str">
        <f>IF(OR(J554&lt;$AE$21,J554&gt;$AF$21),"Outlier","OK")</f>
        <v>OK</v>
      </c>
      <c r="O554" t="str">
        <f>IF(OR(C554&lt;0,C554&gt;1),"Outlier","OK")</f>
        <v>OK</v>
      </c>
      <c r="P554" t="str">
        <f>IF(OR(D554&lt;0,D554&gt;1),"Outlier","OK")</f>
        <v>OK</v>
      </c>
      <c r="Q554" t="str">
        <f t="shared" si="66"/>
        <v>80-100%</v>
      </c>
      <c r="R554" t="str">
        <f>IF(B554="","Missing","OK")</f>
        <v>OK</v>
      </c>
      <c r="S554" t="str">
        <f>IF(E554="","Missing","OK")</f>
        <v>OK</v>
      </c>
      <c r="T554" t="str">
        <f t="shared" si="67"/>
        <v>OK</v>
      </c>
      <c r="U554">
        <f>COUNTIF($A:$A,A554)</f>
        <v>1</v>
      </c>
      <c r="V554" t="str">
        <f t="shared" si="68"/>
        <v>OK</v>
      </c>
      <c r="W554" t="str">
        <f>IF(I554&gt;B554,"ERROR","OK")</f>
        <v>OK</v>
      </c>
      <c r="X554">
        <f>(B554-I554)/B554</f>
        <v>0.86850721138693088</v>
      </c>
      <c r="Y554" s="2">
        <f t="shared" si="69"/>
        <v>1.1102230246251565E-16</v>
      </c>
      <c r="Z554" s="2" t="str">
        <f t="shared" si="70"/>
        <v>OK</v>
      </c>
      <c r="AA554" t="str">
        <f t="shared" si="71"/>
        <v>Unique</v>
      </c>
    </row>
    <row r="555" spans="1:27" x14ac:dyDescent="0.3">
      <c r="A555">
        <v>554</v>
      </c>
      <c r="B555">
        <v>1526044.3812321301</v>
      </c>
      <c r="C555">
        <v>0.39496620499225699</v>
      </c>
      <c r="D555">
        <v>-6.7812602972459807E-2</v>
      </c>
      <c r="E555">
        <v>6.1196080215720303E-2</v>
      </c>
      <c r="F555">
        <v>1</v>
      </c>
      <c r="G555" t="s">
        <v>13</v>
      </c>
      <c r="H555">
        <v>0</v>
      </c>
      <c r="I555">
        <v>93387.934366631103</v>
      </c>
      <c r="J555">
        <v>0.93880391978427902</v>
      </c>
      <c r="K555" t="str">
        <f t="shared" si="64"/>
        <v>OK</v>
      </c>
      <c r="L555" t="str">
        <f t="shared" si="65"/>
        <v>OK</v>
      </c>
      <c r="M555" t="str">
        <f>IF(OR(B555&lt;$AE$20,B555&gt;$AF$20),"Outlier","OK")</f>
        <v>OK</v>
      </c>
      <c r="N555" t="str">
        <f>IF(OR(J555&lt;$AE$21,J555&gt;$AF$21),"Outlier","OK")</f>
        <v>OK</v>
      </c>
      <c r="O555" t="str">
        <f>IF(OR(C555&lt;0,C555&gt;1),"Outlier","OK")</f>
        <v>OK</v>
      </c>
      <c r="P555" t="str">
        <f>IF(OR(D555&lt;0,D555&gt;1),"Outlier","OK")</f>
        <v>Outlier</v>
      </c>
      <c r="Q555" t="str">
        <f t="shared" si="66"/>
        <v>80-100%</v>
      </c>
      <c r="R555" t="str">
        <f>IF(B555="","Missing","OK")</f>
        <v>OK</v>
      </c>
      <c r="S555" t="str">
        <f>IF(E555="","Missing","OK")</f>
        <v>OK</v>
      </c>
      <c r="T555" t="str">
        <f t="shared" si="67"/>
        <v>OK</v>
      </c>
      <c r="U555">
        <f>COUNTIF($A:$A,A555)</f>
        <v>1</v>
      </c>
      <c r="V555" t="str">
        <f t="shared" si="68"/>
        <v>OK</v>
      </c>
      <c r="W555" t="str">
        <f>IF(I555&gt;B555,"ERROR","OK")</f>
        <v>OK</v>
      </c>
      <c r="X555">
        <f>(B555-I555)/B555</f>
        <v>0.93880391978427946</v>
      </c>
      <c r="Y555" s="2">
        <f t="shared" si="69"/>
        <v>4.4408920985006262E-16</v>
      </c>
      <c r="Z555" s="2" t="str">
        <f t="shared" si="70"/>
        <v>OK</v>
      </c>
      <c r="AA555" t="str">
        <f t="shared" si="71"/>
        <v>Unique</v>
      </c>
    </row>
    <row r="556" spans="1:27" x14ac:dyDescent="0.3">
      <c r="A556">
        <v>555</v>
      </c>
      <c r="B556">
        <v>264705.13306853099</v>
      </c>
      <c r="C556">
        <v>0.119432336358453</v>
      </c>
      <c r="D556">
        <v>0.17938974554981901</v>
      </c>
      <c r="E556">
        <v>4.2881149966560499E-2</v>
      </c>
      <c r="F556">
        <v>1</v>
      </c>
      <c r="G556" t="s">
        <v>11</v>
      </c>
      <c r="H556">
        <v>0</v>
      </c>
      <c r="I556">
        <v>11350.86050803</v>
      </c>
      <c r="J556">
        <v>0.95711885003343899</v>
      </c>
      <c r="K556" t="str">
        <f t="shared" si="64"/>
        <v>OK</v>
      </c>
      <c r="L556" t="str">
        <f t="shared" si="65"/>
        <v>OK</v>
      </c>
      <c r="M556" t="str">
        <f>IF(OR(B556&lt;$AE$20,B556&gt;$AF$20),"Outlier","OK")</f>
        <v>OK</v>
      </c>
      <c r="N556" t="str">
        <f>IF(OR(J556&lt;$AE$21,J556&gt;$AF$21),"Outlier","OK")</f>
        <v>OK</v>
      </c>
      <c r="O556" t="str">
        <f>IF(OR(C556&lt;0,C556&gt;1),"Outlier","OK")</f>
        <v>OK</v>
      </c>
      <c r="P556" t="str">
        <f>IF(OR(D556&lt;0,D556&gt;1),"Outlier","OK")</f>
        <v>OK</v>
      </c>
      <c r="Q556" t="str">
        <f t="shared" si="66"/>
        <v>80-100%</v>
      </c>
      <c r="R556" t="str">
        <f>IF(B556="","Missing","OK")</f>
        <v>OK</v>
      </c>
      <c r="S556" t="str">
        <f>IF(E556="","Missing","OK")</f>
        <v>OK</v>
      </c>
      <c r="T556" t="str">
        <f t="shared" si="67"/>
        <v>OK</v>
      </c>
      <c r="U556">
        <f>COUNTIF($A:$A,A556)</f>
        <v>1</v>
      </c>
      <c r="V556" t="str">
        <f t="shared" si="68"/>
        <v>OK</v>
      </c>
      <c r="W556" t="str">
        <f>IF(I556&gt;B556,"ERROR","OK")</f>
        <v>OK</v>
      </c>
      <c r="X556">
        <f>(B556-I556)/B556</f>
        <v>0.95711885003343966</v>
      </c>
      <c r="Y556" s="2">
        <f t="shared" si="69"/>
        <v>6.6613381477509392E-16</v>
      </c>
      <c r="Z556" s="2" t="str">
        <f t="shared" si="70"/>
        <v>OK</v>
      </c>
      <c r="AA556" t="str">
        <f t="shared" si="71"/>
        <v>Unique</v>
      </c>
    </row>
    <row r="557" spans="1:27" x14ac:dyDescent="0.3">
      <c r="A557">
        <v>556</v>
      </c>
      <c r="B557">
        <v>1643343.20354346</v>
      </c>
      <c r="C557">
        <v>0.61593114262185</v>
      </c>
      <c r="D557">
        <v>-0.120396339136127</v>
      </c>
      <c r="E557">
        <v>0.28985900067918602</v>
      </c>
      <c r="F557">
        <v>1</v>
      </c>
      <c r="G557" t="s">
        <v>13</v>
      </c>
      <c r="H557">
        <v>0</v>
      </c>
      <c r="I557">
        <v>476337.81875204202</v>
      </c>
      <c r="J557">
        <v>0.71014099932081298</v>
      </c>
      <c r="K557" t="str">
        <f t="shared" si="64"/>
        <v>OK</v>
      </c>
      <c r="L557" t="str">
        <f t="shared" si="65"/>
        <v>OK</v>
      </c>
      <c r="M557" t="str">
        <f>IF(OR(B557&lt;$AE$20,B557&gt;$AF$20),"Outlier","OK")</f>
        <v>OK</v>
      </c>
      <c r="N557" t="str">
        <f>IF(OR(J557&lt;$AE$21,J557&gt;$AF$21),"Outlier","OK")</f>
        <v>OK</v>
      </c>
      <c r="O557" t="str">
        <f>IF(OR(C557&lt;0,C557&gt;1),"Outlier","OK")</f>
        <v>OK</v>
      </c>
      <c r="P557" t="str">
        <f>IF(OR(D557&lt;0,D557&gt;1),"Outlier","OK")</f>
        <v>Outlier</v>
      </c>
      <c r="Q557" t="str">
        <f t="shared" si="66"/>
        <v>60-80%</v>
      </c>
      <c r="R557" t="str">
        <f>IF(B557="","Missing","OK")</f>
        <v>OK</v>
      </c>
      <c r="S557" t="str">
        <f>IF(E557="","Missing","OK")</f>
        <v>OK</v>
      </c>
      <c r="T557" t="str">
        <f t="shared" si="67"/>
        <v>OK</v>
      </c>
      <c r="U557">
        <f>COUNTIF($A:$A,A557)</f>
        <v>1</v>
      </c>
      <c r="V557" t="str">
        <f t="shared" si="68"/>
        <v>OK</v>
      </c>
      <c r="W557" t="str">
        <f>IF(I557&gt;B557,"ERROR","OK")</f>
        <v>OK</v>
      </c>
      <c r="X557">
        <f>(B557-I557)/B557</f>
        <v>0.71014099932081243</v>
      </c>
      <c r="Y557" s="2">
        <f t="shared" si="69"/>
        <v>5.5511151231257827E-16</v>
      </c>
      <c r="Z557" s="2" t="str">
        <f t="shared" si="70"/>
        <v>OK</v>
      </c>
      <c r="AA557" t="str">
        <f t="shared" si="71"/>
        <v>Unique</v>
      </c>
    </row>
    <row r="558" spans="1:27" x14ac:dyDescent="0.3">
      <c r="A558">
        <v>557</v>
      </c>
      <c r="B558">
        <v>376589.20026796899</v>
      </c>
      <c r="C558">
        <v>0.75967872173429896</v>
      </c>
      <c r="D558">
        <v>1.25682347258047E-2</v>
      </c>
      <c r="E558">
        <v>5.3439890543092901E-2</v>
      </c>
      <c r="F558">
        <v>1</v>
      </c>
      <c r="G558" t="s">
        <v>12</v>
      </c>
      <c r="H558">
        <v>0</v>
      </c>
      <c r="I558">
        <v>20124.885642031099</v>
      </c>
      <c r="J558">
        <v>0.94656010945690705</v>
      </c>
      <c r="K558" t="str">
        <f t="shared" si="64"/>
        <v>OK</v>
      </c>
      <c r="L558" t="str">
        <f t="shared" si="65"/>
        <v>OK</v>
      </c>
      <c r="M558" t="str">
        <f>IF(OR(B558&lt;$AE$20,B558&gt;$AF$20),"Outlier","OK")</f>
        <v>OK</v>
      </c>
      <c r="N558" t="str">
        <f>IF(OR(J558&lt;$AE$21,J558&gt;$AF$21),"Outlier","OK")</f>
        <v>OK</v>
      </c>
      <c r="O558" t="str">
        <f>IF(OR(C558&lt;0,C558&gt;1),"Outlier","OK")</f>
        <v>OK</v>
      </c>
      <c r="P558" t="str">
        <f>IF(OR(D558&lt;0,D558&gt;1),"Outlier","OK")</f>
        <v>OK</v>
      </c>
      <c r="Q558" t="str">
        <f t="shared" si="66"/>
        <v>80-100%</v>
      </c>
      <c r="R558" t="str">
        <f>IF(B558="","Missing","OK")</f>
        <v>OK</v>
      </c>
      <c r="S558" t="str">
        <f>IF(E558="","Missing","OK")</f>
        <v>OK</v>
      </c>
      <c r="T558" t="str">
        <f t="shared" si="67"/>
        <v>OK</v>
      </c>
      <c r="U558">
        <f>COUNTIF($A:$A,A558)</f>
        <v>1</v>
      </c>
      <c r="V558" t="str">
        <f t="shared" si="68"/>
        <v>OK</v>
      </c>
      <c r="W558" t="str">
        <f>IF(I558&gt;B558,"ERROR","OK")</f>
        <v>OK</v>
      </c>
      <c r="X558">
        <f>(B558-I558)/B558</f>
        <v>0.94656010945690727</v>
      </c>
      <c r="Y558" s="2">
        <f t="shared" si="69"/>
        <v>2.2204460492503131E-16</v>
      </c>
      <c r="Z558" s="2" t="str">
        <f t="shared" si="70"/>
        <v>OK</v>
      </c>
      <c r="AA558" t="str">
        <f t="shared" si="71"/>
        <v>Unique</v>
      </c>
    </row>
    <row r="559" spans="1:27" x14ac:dyDescent="0.3">
      <c r="A559">
        <v>558</v>
      </c>
      <c r="B559">
        <v>1091449.1598213201</v>
      </c>
      <c r="C559">
        <v>0.77843963246697201</v>
      </c>
      <c r="D559">
        <v>0.16973941415499599</v>
      </c>
      <c r="E559">
        <v>0.23020514231174499</v>
      </c>
      <c r="F559">
        <v>1</v>
      </c>
      <c r="G559" t="s">
        <v>12</v>
      </c>
      <c r="H559">
        <v>0</v>
      </c>
      <c r="I559">
        <v>251257.209162702</v>
      </c>
      <c r="J559">
        <v>0.76979485768825495</v>
      </c>
      <c r="K559" t="str">
        <f t="shared" si="64"/>
        <v>OK</v>
      </c>
      <c r="L559" t="str">
        <f t="shared" si="65"/>
        <v>OK</v>
      </c>
      <c r="M559" t="str">
        <f>IF(OR(B559&lt;$AE$20,B559&gt;$AF$20),"Outlier","OK")</f>
        <v>OK</v>
      </c>
      <c r="N559" t="str">
        <f>IF(OR(J559&lt;$AE$21,J559&gt;$AF$21),"Outlier","OK")</f>
        <v>OK</v>
      </c>
      <c r="O559" t="str">
        <f>IF(OR(C559&lt;0,C559&gt;1),"Outlier","OK")</f>
        <v>OK</v>
      </c>
      <c r="P559" t="str">
        <f>IF(OR(D559&lt;0,D559&gt;1),"Outlier","OK")</f>
        <v>OK</v>
      </c>
      <c r="Q559" t="str">
        <f t="shared" si="66"/>
        <v>60-80%</v>
      </c>
      <c r="R559" t="str">
        <f>IF(B559="","Missing","OK")</f>
        <v>OK</v>
      </c>
      <c r="S559" t="str">
        <f>IF(E559="","Missing","OK")</f>
        <v>OK</v>
      </c>
      <c r="T559" t="str">
        <f t="shared" si="67"/>
        <v>OK</v>
      </c>
      <c r="U559">
        <f>COUNTIF($A:$A,A559)</f>
        <v>1</v>
      </c>
      <c r="V559" t="str">
        <f t="shared" si="68"/>
        <v>OK</v>
      </c>
      <c r="W559" t="str">
        <f>IF(I559&gt;B559,"ERROR","OK")</f>
        <v>OK</v>
      </c>
      <c r="X559">
        <f>(B559-I559)/B559</f>
        <v>0.76979485768825462</v>
      </c>
      <c r="Y559" s="2">
        <f t="shared" si="69"/>
        <v>3.3306690738754696E-16</v>
      </c>
      <c r="Z559" s="2" t="str">
        <f t="shared" si="70"/>
        <v>OK</v>
      </c>
      <c r="AA559" t="str">
        <f t="shared" si="71"/>
        <v>Unique</v>
      </c>
    </row>
    <row r="560" spans="1:27" x14ac:dyDescent="0.3">
      <c r="A560">
        <v>559</v>
      </c>
      <c r="B560">
        <v>802199.79075159901</v>
      </c>
      <c r="C560">
        <v>0.83890475215379601</v>
      </c>
      <c r="D560">
        <v>-0.13075377009039699</v>
      </c>
      <c r="E560">
        <v>0.149156333130844</v>
      </c>
      <c r="F560">
        <v>1</v>
      </c>
      <c r="G560" t="s">
        <v>12</v>
      </c>
      <c r="H560">
        <v>1</v>
      </c>
      <c r="I560">
        <v>119653.179226839</v>
      </c>
      <c r="J560">
        <v>0.85084366686915502</v>
      </c>
      <c r="K560" t="str">
        <f t="shared" si="64"/>
        <v>OK</v>
      </c>
      <c r="L560" t="str">
        <f t="shared" si="65"/>
        <v>OK</v>
      </c>
      <c r="M560" t="str">
        <f>IF(OR(B560&lt;$AE$20,B560&gt;$AF$20),"Outlier","OK")</f>
        <v>OK</v>
      </c>
      <c r="N560" t="str">
        <f>IF(OR(J560&lt;$AE$21,J560&gt;$AF$21),"Outlier","OK")</f>
        <v>OK</v>
      </c>
      <c r="O560" t="str">
        <f>IF(OR(C560&lt;0,C560&gt;1),"Outlier","OK")</f>
        <v>OK</v>
      </c>
      <c r="P560" t="str">
        <f>IF(OR(D560&lt;0,D560&gt;1),"Outlier","OK")</f>
        <v>Outlier</v>
      </c>
      <c r="Q560" t="str">
        <f t="shared" si="66"/>
        <v>80-100%</v>
      </c>
      <c r="R560" t="str">
        <f>IF(B560="","Missing","OK")</f>
        <v>OK</v>
      </c>
      <c r="S560" t="str">
        <f>IF(E560="","Missing","OK")</f>
        <v>OK</v>
      </c>
      <c r="T560" t="str">
        <f t="shared" si="67"/>
        <v>OK</v>
      </c>
      <c r="U560">
        <f>COUNTIF($A:$A,A560)</f>
        <v>1</v>
      </c>
      <c r="V560" t="str">
        <f t="shared" si="68"/>
        <v>OK</v>
      </c>
      <c r="W560" t="str">
        <f>IF(I560&gt;B560,"ERROR","OK")</f>
        <v>OK</v>
      </c>
      <c r="X560">
        <f>(B560-I560)/B560</f>
        <v>0.8508436668691558</v>
      </c>
      <c r="Y560" s="2">
        <f t="shared" si="69"/>
        <v>7.7715611723760958E-16</v>
      </c>
      <c r="Z560" s="2" t="str">
        <f t="shared" si="70"/>
        <v>OK</v>
      </c>
      <c r="AA560" t="str">
        <f t="shared" si="71"/>
        <v>Unique</v>
      </c>
    </row>
    <row r="561" spans="1:27" x14ac:dyDescent="0.3">
      <c r="A561">
        <v>560</v>
      </c>
      <c r="B561">
        <v>534816.34664714301</v>
      </c>
      <c r="C561">
        <v>0.49513708715972199</v>
      </c>
      <c r="D561">
        <v>1.6813975477229699E-2</v>
      </c>
      <c r="E561">
        <v>0.28663193394514802</v>
      </c>
      <c r="F561">
        <v>1</v>
      </c>
      <c r="G561" t="s">
        <v>10</v>
      </c>
      <c r="H561">
        <v>0</v>
      </c>
      <c r="I561">
        <v>153295.44374494901</v>
      </c>
      <c r="J561">
        <v>0.71336806605485104</v>
      </c>
      <c r="K561" t="str">
        <f t="shared" si="64"/>
        <v>OK</v>
      </c>
      <c r="L561" t="str">
        <f t="shared" si="65"/>
        <v>OK</v>
      </c>
      <c r="M561" t="str">
        <f>IF(OR(B561&lt;$AE$20,B561&gt;$AF$20),"Outlier","OK")</f>
        <v>OK</v>
      </c>
      <c r="N561" t="str">
        <f>IF(OR(J561&lt;$AE$21,J561&gt;$AF$21),"Outlier","OK")</f>
        <v>OK</v>
      </c>
      <c r="O561" t="str">
        <f>IF(OR(C561&lt;0,C561&gt;1),"Outlier","OK")</f>
        <v>OK</v>
      </c>
      <c r="P561" t="str">
        <f>IF(OR(D561&lt;0,D561&gt;1),"Outlier","OK")</f>
        <v>OK</v>
      </c>
      <c r="Q561" t="str">
        <f t="shared" si="66"/>
        <v>60-80%</v>
      </c>
      <c r="R561" t="str">
        <f>IF(B561="","Missing","OK")</f>
        <v>OK</v>
      </c>
      <c r="S561" t="str">
        <f>IF(E561="","Missing","OK")</f>
        <v>OK</v>
      </c>
      <c r="T561" t="str">
        <f t="shared" si="67"/>
        <v>OK</v>
      </c>
      <c r="U561">
        <f>COUNTIF($A:$A,A561)</f>
        <v>1</v>
      </c>
      <c r="V561" t="str">
        <f t="shared" si="68"/>
        <v>OK</v>
      </c>
      <c r="W561" t="str">
        <f>IF(I561&gt;B561,"ERROR","OK")</f>
        <v>OK</v>
      </c>
      <c r="X561">
        <f>(B561-I561)/B561</f>
        <v>0.71336806605485248</v>
      </c>
      <c r="Y561" s="2">
        <f t="shared" si="69"/>
        <v>1.4432899320127035E-15</v>
      </c>
      <c r="Z561" s="2" t="str">
        <f t="shared" si="70"/>
        <v>OK</v>
      </c>
      <c r="AA561" t="str">
        <f t="shared" si="71"/>
        <v>Unique</v>
      </c>
    </row>
    <row r="562" spans="1:27" x14ac:dyDescent="0.3">
      <c r="A562">
        <v>561</v>
      </c>
      <c r="B562">
        <v>1312493.4003670199</v>
      </c>
      <c r="C562">
        <v>0.25739387096696498</v>
      </c>
      <c r="D562">
        <v>-3.8793525247475702E-2</v>
      </c>
      <c r="E562">
        <v>0.128594896759778</v>
      </c>
      <c r="F562">
        <v>1</v>
      </c>
      <c r="G562" t="s">
        <v>13</v>
      </c>
      <c r="H562">
        <v>1</v>
      </c>
      <c r="I562">
        <v>168779.953318088</v>
      </c>
      <c r="J562">
        <v>0.87140510324022102</v>
      </c>
      <c r="K562" t="str">
        <f t="shared" si="64"/>
        <v>OK</v>
      </c>
      <c r="L562" t="str">
        <f t="shared" si="65"/>
        <v>OK</v>
      </c>
      <c r="M562" t="str">
        <f>IF(OR(B562&lt;$AE$20,B562&gt;$AF$20),"Outlier","OK")</f>
        <v>OK</v>
      </c>
      <c r="N562" t="str">
        <f>IF(OR(J562&lt;$AE$21,J562&gt;$AF$21),"Outlier","OK")</f>
        <v>OK</v>
      </c>
      <c r="O562" t="str">
        <f>IF(OR(C562&lt;0,C562&gt;1),"Outlier","OK")</f>
        <v>OK</v>
      </c>
      <c r="P562" t="str">
        <f>IF(OR(D562&lt;0,D562&gt;1),"Outlier","OK")</f>
        <v>Outlier</v>
      </c>
      <c r="Q562" t="str">
        <f t="shared" si="66"/>
        <v>80-100%</v>
      </c>
      <c r="R562" t="str">
        <f>IF(B562="","Missing","OK")</f>
        <v>OK</v>
      </c>
      <c r="S562" t="str">
        <f>IF(E562="","Missing","OK")</f>
        <v>OK</v>
      </c>
      <c r="T562" t="str">
        <f t="shared" si="67"/>
        <v>OK</v>
      </c>
      <c r="U562">
        <f>COUNTIF($A:$A,A562)</f>
        <v>1</v>
      </c>
      <c r="V562" t="str">
        <f t="shared" si="68"/>
        <v>OK</v>
      </c>
      <c r="W562" t="str">
        <f>IF(I562&gt;B562,"ERROR","OK")</f>
        <v>OK</v>
      </c>
      <c r="X562">
        <f>(B562-I562)/B562</f>
        <v>0.87140510324022113</v>
      </c>
      <c r="Y562" s="2">
        <f t="shared" si="69"/>
        <v>1.1102230246251565E-16</v>
      </c>
      <c r="Z562" s="2" t="str">
        <f t="shared" si="70"/>
        <v>OK</v>
      </c>
      <c r="AA562" t="str">
        <f t="shared" si="71"/>
        <v>Unique</v>
      </c>
    </row>
    <row r="563" spans="1:27" x14ac:dyDescent="0.3">
      <c r="A563">
        <v>562</v>
      </c>
      <c r="B563">
        <v>122914.612106256</v>
      </c>
      <c r="C563">
        <v>0.87330096931620704</v>
      </c>
      <c r="D563">
        <v>-0.107248482497178</v>
      </c>
      <c r="E563">
        <v>0.15002151113540299</v>
      </c>
      <c r="F563">
        <v>1</v>
      </c>
      <c r="G563" t="s">
        <v>13</v>
      </c>
      <c r="H563">
        <v>0</v>
      </c>
      <c r="I563">
        <v>18439.835848802599</v>
      </c>
      <c r="J563">
        <v>0.84997848886459604</v>
      </c>
      <c r="K563" t="str">
        <f t="shared" si="64"/>
        <v>OK</v>
      </c>
      <c r="L563" t="str">
        <f t="shared" si="65"/>
        <v>OK</v>
      </c>
      <c r="M563" t="str">
        <f>IF(OR(B563&lt;$AE$20,B563&gt;$AF$20),"Outlier","OK")</f>
        <v>OK</v>
      </c>
      <c r="N563" t="str">
        <f>IF(OR(J563&lt;$AE$21,J563&gt;$AF$21),"Outlier","OK")</f>
        <v>OK</v>
      </c>
      <c r="O563" t="str">
        <f>IF(OR(C563&lt;0,C563&gt;1),"Outlier","OK")</f>
        <v>OK</v>
      </c>
      <c r="P563" t="str">
        <f>IF(OR(D563&lt;0,D563&gt;1),"Outlier","OK")</f>
        <v>Outlier</v>
      </c>
      <c r="Q563" t="str">
        <f t="shared" si="66"/>
        <v>80-100%</v>
      </c>
      <c r="R563" t="str">
        <f>IF(B563="","Missing","OK")</f>
        <v>OK</v>
      </c>
      <c r="S563" t="str">
        <f>IF(E563="","Missing","OK")</f>
        <v>OK</v>
      </c>
      <c r="T563" t="str">
        <f t="shared" si="67"/>
        <v>OK</v>
      </c>
      <c r="U563">
        <f>COUNTIF($A:$A,A563)</f>
        <v>1</v>
      </c>
      <c r="V563" t="str">
        <f t="shared" si="68"/>
        <v>OK</v>
      </c>
      <c r="W563" t="str">
        <f>IF(I563&gt;B563,"ERROR","OK")</f>
        <v>OK</v>
      </c>
      <c r="X563">
        <f>(B563-I563)/B563</f>
        <v>0.84997848886459559</v>
      </c>
      <c r="Y563" s="2">
        <f t="shared" si="69"/>
        <v>4.4408920985006262E-16</v>
      </c>
      <c r="Z563" s="2" t="str">
        <f t="shared" si="70"/>
        <v>OK</v>
      </c>
      <c r="AA563" t="str">
        <f t="shared" si="71"/>
        <v>Unique</v>
      </c>
    </row>
    <row r="564" spans="1:27" x14ac:dyDescent="0.3">
      <c r="A564">
        <v>563</v>
      </c>
      <c r="B564">
        <v>1532089.3231501</v>
      </c>
      <c r="C564">
        <v>0.280453183070834</v>
      </c>
      <c r="D564">
        <v>-4.16162736631948E-2</v>
      </c>
      <c r="E564">
        <v>0.70764224152407895</v>
      </c>
      <c r="F564">
        <v>1</v>
      </c>
      <c r="G564" t="s">
        <v>11</v>
      </c>
      <c r="H564">
        <v>0</v>
      </c>
      <c r="I564">
        <v>1084171.12284905</v>
      </c>
      <c r="J564">
        <v>0.29235775847591999</v>
      </c>
      <c r="K564" t="str">
        <f t="shared" si="64"/>
        <v>OK</v>
      </c>
      <c r="L564" t="str">
        <f t="shared" si="65"/>
        <v>OK</v>
      </c>
      <c r="M564" t="str">
        <f>IF(OR(B564&lt;$AE$20,B564&gt;$AF$20),"Outlier","OK")</f>
        <v>OK</v>
      </c>
      <c r="N564" t="str">
        <f>IF(OR(J564&lt;$AE$21,J564&gt;$AF$21),"Outlier","OK")</f>
        <v>Outlier</v>
      </c>
      <c r="O564" t="str">
        <f>IF(OR(C564&lt;0,C564&gt;1),"Outlier","OK")</f>
        <v>OK</v>
      </c>
      <c r="P564" t="str">
        <f>IF(OR(D564&lt;0,D564&gt;1),"Outlier","OK")</f>
        <v>Outlier</v>
      </c>
      <c r="Q564" t="str">
        <f t="shared" si="66"/>
        <v>20-40%</v>
      </c>
      <c r="R564" t="str">
        <f>IF(B564="","Missing","OK")</f>
        <v>OK</v>
      </c>
      <c r="S564" t="str">
        <f>IF(E564="","Missing","OK")</f>
        <v>OK</v>
      </c>
      <c r="T564" t="str">
        <f t="shared" si="67"/>
        <v>OK</v>
      </c>
      <c r="U564">
        <f>COUNTIF($A:$A,A564)</f>
        <v>1</v>
      </c>
      <c r="V564" t="str">
        <f t="shared" si="68"/>
        <v>OK</v>
      </c>
      <c r="W564" t="str">
        <f>IF(I564&gt;B564,"ERROR","OK")</f>
        <v>OK</v>
      </c>
      <c r="X564">
        <f>(B564-I564)/B564</f>
        <v>0.29235775847591822</v>
      </c>
      <c r="Y564" s="2">
        <f t="shared" si="69"/>
        <v>1.7763568394002505E-15</v>
      </c>
      <c r="Z564" s="2" t="str">
        <f t="shared" si="70"/>
        <v>OK</v>
      </c>
      <c r="AA564" t="str">
        <f t="shared" si="71"/>
        <v>Unique</v>
      </c>
    </row>
    <row r="565" spans="1:27" x14ac:dyDescent="0.3">
      <c r="A565">
        <v>564</v>
      </c>
      <c r="B565">
        <v>1077534.24553202</v>
      </c>
      <c r="C565">
        <v>0.553008112106675</v>
      </c>
      <c r="D565">
        <v>-0.16489320902125801</v>
      </c>
      <c r="E565">
        <v>0.31226385374705801</v>
      </c>
      <c r="F565">
        <v>1</v>
      </c>
      <c r="G565" t="s">
        <v>10</v>
      </c>
      <c r="H565">
        <v>0</v>
      </c>
      <c r="I565">
        <v>336474.99605425901</v>
      </c>
      <c r="J565">
        <v>0.68773614625294099</v>
      </c>
      <c r="K565" t="str">
        <f t="shared" si="64"/>
        <v>OK</v>
      </c>
      <c r="L565" t="str">
        <f t="shared" si="65"/>
        <v>OK</v>
      </c>
      <c r="M565" t="str">
        <f>IF(OR(B565&lt;$AE$20,B565&gt;$AF$20),"Outlier","OK")</f>
        <v>OK</v>
      </c>
      <c r="N565" t="str">
        <f>IF(OR(J565&lt;$AE$21,J565&gt;$AF$21),"Outlier","OK")</f>
        <v>OK</v>
      </c>
      <c r="O565" t="str">
        <f>IF(OR(C565&lt;0,C565&gt;1),"Outlier","OK")</f>
        <v>OK</v>
      </c>
      <c r="P565" t="str">
        <f>IF(OR(D565&lt;0,D565&gt;1),"Outlier","OK")</f>
        <v>Outlier</v>
      </c>
      <c r="Q565" t="str">
        <f t="shared" si="66"/>
        <v>60-80%</v>
      </c>
      <c r="R565" t="str">
        <f>IF(B565="","Missing","OK")</f>
        <v>OK</v>
      </c>
      <c r="S565" t="str">
        <f>IF(E565="","Missing","OK")</f>
        <v>OK</v>
      </c>
      <c r="T565" t="str">
        <f t="shared" si="67"/>
        <v>OK</v>
      </c>
      <c r="U565">
        <f>COUNTIF($A:$A,A565)</f>
        <v>1</v>
      </c>
      <c r="V565" t="str">
        <f t="shared" si="68"/>
        <v>OK</v>
      </c>
      <c r="W565" t="str">
        <f>IF(I565&gt;B565,"ERROR","OK")</f>
        <v>OK</v>
      </c>
      <c r="X565">
        <f>(B565-I565)/B565</f>
        <v>0.68773614625294033</v>
      </c>
      <c r="Y565" s="2">
        <f t="shared" si="69"/>
        <v>6.6613381477509392E-16</v>
      </c>
      <c r="Z565" s="2" t="str">
        <f t="shared" si="70"/>
        <v>OK</v>
      </c>
      <c r="AA565" t="str">
        <f t="shared" si="71"/>
        <v>Unique</v>
      </c>
    </row>
    <row r="566" spans="1:27" x14ac:dyDescent="0.3">
      <c r="A566">
        <v>565</v>
      </c>
      <c r="B566">
        <v>1757753.8605605101</v>
      </c>
      <c r="C566">
        <v>0.65399399641529998</v>
      </c>
      <c r="D566">
        <v>0.121589792913026</v>
      </c>
      <c r="E566">
        <v>0.30499010101245499</v>
      </c>
      <c r="F566">
        <v>1</v>
      </c>
      <c r="G566" t="s">
        <v>10</v>
      </c>
      <c r="H566">
        <v>1</v>
      </c>
      <c r="I566">
        <v>536097.52748738299</v>
      </c>
      <c r="J566">
        <v>0.69500989898754495</v>
      </c>
      <c r="K566" t="str">
        <f t="shared" si="64"/>
        <v>OK</v>
      </c>
      <c r="L566" t="str">
        <f t="shared" si="65"/>
        <v>OK</v>
      </c>
      <c r="M566" t="str">
        <f>IF(OR(B566&lt;$AE$20,B566&gt;$AF$20),"Outlier","OK")</f>
        <v>OK</v>
      </c>
      <c r="N566" t="str">
        <f>IF(OR(J566&lt;$AE$21,J566&gt;$AF$21),"Outlier","OK")</f>
        <v>OK</v>
      </c>
      <c r="O566" t="str">
        <f>IF(OR(C566&lt;0,C566&gt;1),"Outlier","OK")</f>
        <v>OK</v>
      </c>
      <c r="P566" t="str">
        <f>IF(OR(D566&lt;0,D566&gt;1),"Outlier","OK")</f>
        <v>OK</v>
      </c>
      <c r="Q566" t="str">
        <f t="shared" si="66"/>
        <v>60-80%</v>
      </c>
      <c r="R566" t="str">
        <f>IF(B566="","Missing","OK")</f>
        <v>OK</v>
      </c>
      <c r="S566" t="str">
        <f>IF(E566="","Missing","OK")</f>
        <v>OK</v>
      </c>
      <c r="T566" t="str">
        <f t="shared" si="67"/>
        <v>OK</v>
      </c>
      <c r="U566">
        <f>COUNTIF($A:$A,A566)</f>
        <v>1</v>
      </c>
      <c r="V566" t="str">
        <f t="shared" si="68"/>
        <v>OK</v>
      </c>
      <c r="W566" t="str">
        <f>IF(I566&gt;B566,"ERROR","OK")</f>
        <v>OK</v>
      </c>
      <c r="X566">
        <f>(B566-I566)/B566</f>
        <v>0.69500989898754484</v>
      </c>
      <c r="Y566" s="2">
        <f t="shared" si="69"/>
        <v>1.1102230246251565E-16</v>
      </c>
      <c r="Z566" s="2" t="str">
        <f t="shared" si="70"/>
        <v>OK</v>
      </c>
      <c r="AA566" t="str">
        <f t="shared" si="71"/>
        <v>Unique</v>
      </c>
    </row>
    <row r="567" spans="1:27" x14ac:dyDescent="0.3">
      <c r="A567">
        <v>566</v>
      </c>
      <c r="B567">
        <v>1065400.72384663</v>
      </c>
      <c r="C567">
        <v>0.11048751379598799</v>
      </c>
      <c r="D567">
        <v>-7.0398232480748807E-2</v>
      </c>
      <c r="E567">
        <v>0.28970436733750898</v>
      </c>
      <c r="F567">
        <v>1</v>
      </c>
      <c r="G567" t="s">
        <v>13</v>
      </c>
      <c r="H567">
        <v>1</v>
      </c>
      <c r="I567">
        <v>308651.24266291299</v>
      </c>
      <c r="J567">
        <v>0.71029563266248996</v>
      </c>
      <c r="K567" t="str">
        <f t="shared" si="64"/>
        <v>OK</v>
      </c>
      <c r="L567" t="str">
        <f t="shared" si="65"/>
        <v>OK</v>
      </c>
      <c r="M567" t="str">
        <f>IF(OR(B567&lt;$AE$20,B567&gt;$AF$20),"Outlier","OK")</f>
        <v>OK</v>
      </c>
      <c r="N567" t="str">
        <f>IF(OR(J567&lt;$AE$21,J567&gt;$AF$21),"Outlier","OK")</f>
        <v>OK</v>
      </c>
      <c r="O567" t="str">
        <f>IF(OR(C567&lt;0,C567&gt;1),"Outlier","OK")</f>
        <v>OK</v>
      </c>
      <c r="P567" t="str">
        <f>IF(OR(D567&lt;0,D567&gt;1),"Outlier","OK")</f>
        <v>Outlier</v>
      </c>
      <c r="Q567" t="str">
        <f t="shared" si="66"/>
        <v>60-80%</v>
      </c>
      <c r="R567" t="str">
        <f>IF(B567="","Missing","OK")</f>
        <v>OK</v>
      </c>
      <c r="S567" t="str">
        <f>IF(E567="","Missing","OK")</f>
        <v>OK</v>
      </c>
      <c r="T567" t="str">
        <f t="shared" si="67"/>
        <v>OK</v>
      </c>
      <c r="U567">
        <f>COUNTIF($A:$A,A567)</f>
        <v>1</v>
      </c>
      <c r="V567" t="str">
        <f t="shared" si="68"/>
        <v>OK</v>
      </c>
      <c r="W567" t="str">
        <f>IF(I567&gt;B567,"ERROR","OK")</f>
        <v>OK</v>
      </c>
      <c r="X567">
        <f>(B567-I567)/B567</f>
        <v>0.71029563266249018</v>
      </c>
      <c r="Y567" s="2">
        <f t="shared" si="69"/>
        <v>2.2204460492503131E-16</v>
      </c>
      <c r="Z567" s="2" t="str">
        <f t="shared" si="70"/>
        <v>OK</v>
      </c>
      <c r="AA567" t="str">
        <f t="shared" si="71"/>
        <v>Unique</v>
      </c>
    </row>
    <row r="568" spans="1:27" x14ac:dyDescent="0.3">
      <c r="A568">
        <v>567</v>
      </c>
      <c r="B568">
        <v>118314.67864139299</v>
      </c>
      <c r="C568">
        <v>0.21705347741200501</v>
      </c>
      <c r="D568">
        <v>-0.182298444095079</v>
      </c>
      <c r="E568">
        <v>0.403010221819527</v>
      </c>
      <c r="F568">
        <v>1</v>
      </c>
      <c r="G568" t="s">
        <v>12</v>
      </c>
      <c r="H568">
        <v>0</v>
      </c>
      <c r="I568">
        <v>47682.024883774196</v>
      </c>
      <c r="J568">
        <v>0.59698977818047205</v>
      </c>
      <c r="K568" t="str">
        <f t="shared" si="64"/>
        <v>OK</v>
      </c>
      <c r="L568" t="str">
        <f t="shared" si="65"/>
        <v>OK</v>
      </c>
      <c r="M568" t="str">
        <f>IF(OR(B568&lt;$AE$20,B568&gt;$AF$20),"Outlier","OK")</f>
        <v>OK</v>
      </c>
      <c r="N568" t="str">
        <f>IF(OR(J568&lt;$AE$21,J568&gt;$AF$21),"Outlier","OK")</f>
        <v>OK</v>
      </c>
      <c r="O568" t="str">
        <f>IF(OR(C568&lt;0,C568&gt;1),"Outlier","OK")</f>
        <v>OK</v>
      </c>
      <c r="P568" t="str">
        <f>IF(OR(D568&lt;0,D568&gt;1),"Outlier","OK")</f>
        <v>Outlier</v>
      </c>
      <c r="Q568" t="str">
        <f t="shared" si="66"/>
        <v>40-60%</v>
      </c>
      <c r="R568" t="str">
        <f>IF(B568="","Missing","OK")</f>
        <v>OK</v>
      </c>
      <c r="S568" t="str">
        <f>IF(E568="","Missing","OK")</f>
        <v>OK</v>
      </c>
      <c r="T568" t="str">
        <f t="shared" si="67"/>
        <v>OK</v>
      </c>
      <c r="U568">
        <f>COUNTIF($A:$A,A568)</f>
        <v>1</v>
      </c>
      <c r="V568" t="str">
        <f t="shared" si="68"/>
        <v>OK</v>
      </c>
      <c r="W568" t="str">
        <f>IF(I568&gt;B568,"ERROR","OK")</f>
        <v>OK</v>
      </c>
      <c r="X568">
        <f>(B568-I568)/B568</f>
        <v>0.59698977818047005</v>
      </c>
      <c r="Y568" s="2">
        <f t="shared" si="69"/>
        <v>1.9984014443252818E-15</v>
      </c>
      <c r="Z568" s="2" t="str">
        <f t="shared" si="70"/>
        <v>OK</v>
      </c>
      <c r="AA568" t="str">
        <f t="shared" si="71"/>
        <v>Unique</v>
      </c>
    </row>
    <row r="569" spans="1:27" x14ac:dyDescent="0.3">
      <c r="A569">
        <v>568</v>
      </c>
      <c r="B569">
        <v>330021.88932017598</v>
      </c>
      <c r="C569">
        <v>0.79344587640379705</v>
      </c>
      <c r="D569">
        <v>-7.0964018982944702E-2</v>
      </c>
      <c r="E569">
        <v>0.26358388091907198</v>
      </c>
      <c r="F569">
        <v>1</v>
      </c>
      <c r="G569" t="s">
        <v>10</v>
      </c>
      <c r="H569">
        <v>0</v>
      </c>
      <c r="I569">
        <v>86988.4503752569</v>
      </c>
      <c r="J569">
        <v>0.73641611908092697</v>
      </c>
      <c r="K569" t="str">
        <f t="shared" si="64"/>
        <v>OK</v>
      </c>
      <c r="L569" t="str">
        <f t="shared" si="65"/>
        <v>OK</v>
      </c>
      <c r="M569" t="str">
        <f>IF(OR(B569&lt;$AE$20,B569&gt;$AF$20),"Outlier","OK")</f>
        <v>OK</v>
      </c>
      <c r="N569" t="str">
        <f>IF(OR(J569&lt;$AE$21,J569&gt;$AF$21),"Outlier","OK")</f>
        <v>OK</v>
      </c>
      <c r="O569" t="str">
        <f>IF(OR(C569&lt;0,C569&gt;1),"Outlier","OK")</f>
        <v>OK</v>
      </c>
      <c r="P569" t="str">
        <f>IF(OR(D569&lt;0,D569&gt;1),"Outlier","OK")</f>
        <v>Outlier</v>
      </c>
      <c r="Q569" t="str">
        <f t="shared" si="66"/>
        <v>60-80%</v>
      </c>
      <c r="R569" t="str">
        <f>IF(B569="","Missing","OK")</f>
        <v>OK</v>
      </c>
      <c r="S569" t="str">
        <f>IF(E569="","Missing","OK")</f>
        <v>OK</v>
      </c>
      <c r="T569" t="str">
        <f t="shared" si="67"/>
        <v>OK</v>
      </c>
      <c r="U569">
        <f>COUNTIF($A:$A,A569)</f>
        <v>1</v>
      </c>
      <c r="V569" t="str">
        <f t="shared" si="68"/>
        <v>OK</v>
      </c>
      <c r="W569" t="str">
        <f>IF(I569&gt;B569,"ERROR","OK")</f>
        <v>OK</v>
      </c>
      <c r="X569">
        <f>(B569-I569)/B569</f>
        <v>0.73641611908092663</v>
      </c>
      <c r="Y569" s="2">
        <f t="shared" si="69"/>
        <v>3.3306690738754696E-16</v>
      </c>
      <c r="Z569" s="2" t="str">
        <f t="shared" si="70"/>
        <v>OK</v>
      </c>
      <c r="AA569" t="str">
        <f t="shared" si="71"/>
        <v>Unique</v>
      </c>
    </row>
    <row r="570" spans="1:27" x14ac:dyDescent="0.3">
      <c r="A570">
        <v>569</v>
      </c>
      <c r="B570">
        <v>1601428.9478496099</v>
      </c>
      <c r="C570">
        <v>0.75536848904325404</v>
      </c>
      <c r="D570">
        <v>-0.11094120153473699</v>
      </c>
      <c r="E570">
        <v>0.13030587533149601</v>
      </c>
      <c r="F570">
        <v>1</v>
      </c>
      <c r="G570" t="s">
        <v>12</v>
      </c>
      <c r="H570">
        <v>0</v>
      </c>
      <c r="I570">
        <v>208675.60083074</v>
      </c>
      <c r="J570">
        <v>0.86969412466850304</v>
      </c>
      <c r="K570" t="str">
        <f t="shared" si="64"/>
        <v>OK</v>
      </c>
      <c r="L570" t="str">
        <f t="shared" si="65"/>
        <v>OK</v>
      </c>
      <c r="M570" t="str">
        <f>IF(OR(B570&lt;$AE$20,B570&gt;$AF$20),"Outlier","OK")</f>
        <v>OK</v>
      </c>
      <c r="N570" t="str">
        <f>IF(OR(J570&lt;$AE$21,J570&gt;$AF$21),"Outlier","OK")</f>
        <v>OK</v>
      </c>
      <c r="O570" t="str">
        <f>IF(OR(C570&lt;0,C570&gt;1),"Outlier","OK")</f>
        <v>OK</v>
      </c>
      <c r="P570" t="str">
        <f>IF(OR(D570&lt;0,D570&gt;1),"Outlier","OK")</f>
        <v>Outlier</v>
      </c>
      <c r="Q570" t="str">
        <f t="shared" si="66"/>
        <v>80-100%</v>
      </c>
      <c r="R570" t="str">
        <f>IF(B570="","Missing","OK")</f>
        <v>OK</v>
      </c>
      <c r="S570" t="str">
        <f>IF(E570="","Missing","OK")</f>
        <v>OK</v>
      </c>
      <c r="T570" t="str">
        <f t="shared" si="67"/>
        <v>OK</v>
      </c>
      <c r="U570">
        <f>COUNTIF($A:$A,A570)</f>
        <v>1</v>
      </c>
      <c r="V570" t="str">
        <f t="shared" si="68"/>
        <v>OK</v>
      </c>
      <c r="W570" t="str">
        <f>IF(I570&gt;B570,"ERROR","OK")</f>
        <v>OK</v>
      </c>
      <c r="X570">
        <f>(B570-I570)/B570</f>
        <v>0.86969412466850404</v>
      </c>
      <c r="Y570" s="2">
        <f t="shared" si="69"/>
        <v>9.9920072216264089E-16</v>
      </c>
      <c r="Z570" s="2" t="str">
        <f t="shared" si="70"/>
        <v>OK</v>
      </c>
      <c r="AA570" t="str">
        <f t="shared" si="71"/>
        <v>Unique</v>
      </c>
    </row>
    <row r="571" spans="1:27" x14ac:dyDescent="0.3">
      <c r="A571">
        <v>570</v>
      </c>
      <c r="B571">
        <v>1009353.29527299</v>
      </c>
      <c r="C571">
        <v>0.13696216533194799</v>
      </c>
      <c r="D571">
        <v>2.6014118429986199E-2</v>
      </c>
      <c r="E571">
        <v>0.457160726032593</v>
      </c>
      <c r="F571">
        <v>1</v>
      </c>
      <c r="G571" t="s">
        <v>11</v>
      </c>
      <c r="H571">
        <v>1</v>
      </c>
      <c r="I571">
        <v>461436.68529039499</v>
      </c>
      <c r="J571">
        <v>0.54283927396740606</v>
      </c>
      <c r="K571" t="str">
        <f t="shared" si="64"/>
        <v>OK</v>
      </c>
      <c r="L571" t="str">
        <f t="shared" si="65"/>
        <v>OK</v>
      </c>
      <c r="M571" t="str">
        <f>IF(OR(B571&lt;$AE$20,B571&gt;$AF$20),"Outlier","OK")</f>
        <v>OK</v>
      </c>
      <c r="N571" t="str">
        <f>IF(OR(J571&lt;$AE$21,J571&gt;$AF$21),"Outlier","OK")</f>
        <v>OK</v>
      </c>
      <c r="O571" t="str">
        <f>IF(OR(C571&lt;0,C571&gt;1),"Outlier","OK")</f>
        <v>OK</v>
      </c>
      <c r="P571" t="str">
        <f>IF(OR(D571&lt;0,D571&gt;1),"Outlier","OK")</f>
        <v>OK</v>
      </c>
      <c r="Q571" t="str">
        <f t="shared" si="66"/>
        <v>40-60%</v>
      </c>
      <c r="R571" t="str">
        <f>IF(B571="","Missing","OK")</f>
        <v>OK</v>
      </c>
      <c r="S571" t="str">
        <f>IF(E571="","Missing","OK")</f>
        <v>OK</v>
      </c>
      <c r="T571" t="str">
        <f t="shared" si="67"/>
        <v>OK</v>
      </c>
      <c r="U571">
        <f>COUNTIF($A:$A,A571)</f>
        <v>1</v>
      </c>
      <c r="V571" t="str">
        <f t="shared" si="68"/>
        <v>OK</v>
      </c>
      <c r="W571" t="str">
        <f>IF(I571&gt;B571,"ERROR","OK")</f>
        <v>OK</v>
      </c>
      <c r="X571">
        <f>(B571-I571)/B571</f>
        <v>0.54283927396740239</v>
      </c>
      <c r="Y571" s="2">
        <f t="shared" si="69"/>
        <v>3.6637359812630166E-15</v>
      </c>
      <c r="Z571" s="2" t="str">
        <f t="shared" si="70"/>
        <v>OK</v>
      </c>
      <c r="AA571" t="str">
        <f t="shared" si="71"/>
        <v>Unique</v>
      </c>
    </row>
    <row r="572" spans="1:27" x14ac:dyDescent="0.3">
      <c r="A572">
        <v>571</v>
      </c>
      <c r="B572">
        <v>911664.57935842394</v>
      </c>
      <c r="C572">
        <v>0.716332688409131</v>
      </c>
      <c r="D572">
        <v>-3.22497958180784E-3</v>
      </c>
      <c r="E572">
        <v>0.342075166547742</v>
      </c>
      <c r="F572">
        <v>1</v>
      </c>
      <c r="G572" t="s">
        <v>12</v>
      </c>
      <c r="H572">
        <v>1</v>
      </c>
      <c r="I572">
        <v>311857.81281971</v>
      </c>
      <c r="J572">
        <v>0.65792483345225705</v>
      </c>
      <c r="K572" t="str">
        <f t="shared" si="64"/>
        <v>OK</v>
      </c>
      <c r="L572" t="str">
        <f t="shared" si="65"/>
        <v>OK</v>
      </c>
      <c r="M572" t="str">
        <f>IF(OR(B572&lt;$AE$20,B572&gt;$AF$20),"Outlier","OK")</f>
        <v>OK</v>
      </c>
      <c r="N572" t="str">
        <f>IF(OR(J572&lt;$AE$21,J572&gt;$AF$21),"Outlier","OK")</f>
        <v>OK</v>
      </c>
      <c r="O572" t="str">
        <f>IF(OR(C572&lt;0,C572&gt;1),"Outlier","OK")</f>
        <v>OK</v>
      </c>
      <c r="P572" t="str">
        <f>IF(OR(D572&lt;0,D572&gt;1),"Outlier","OK")</f>
        <v>Outlier</v>
      </c>
      <c r="Q572" t="str">
        <f t="shared" si="66"/>
        <v>60-80%</v>
      </c>
      <c r="R572" t="str">
        <f>IF(B572="","Missing","OK")</f>
        <v>OK</v>
      </c>
      <c r="S572" t="str">
        <f>IF(E572="","Missing","OK")</f>
        <v>OK</v>
      </c>
      <c r="T572" t="str">
        <f t="shared" si="67"/>
        <v>OK</v>
      </c>
      <c r="U572">
        <f>COUNTIF($A:$A,A572)</f>
        <v>1</v>
      </c>
      <c r="V572" t="str">
        <f t="shared" si="68"/>
        <v>OK</v>
      </c>
      <c r="W572" t="str">
        <f>IF(I572&gt;B572,"ERROR","OK")</f>
        <v>OK</v>
      </c>
      <c r="X572">
        <f>(B572-I572)/B572</f>
        <v>0.65792483345225805</v>
      </c>
      <c r="Y572" s="2">
        <f t="shared" si="69"/>
        <v>9.9920072216264089E-16</v>
      </c>
      <c r="Z572" s="2" t="str">
        <f t="shared" si="70"/>
        <v>OK</v>
      </c>
      <c r="AA572" t="str">
        <f t="shared" si="71"/>
        <v>Unique</v>
      </c>
    </row>
    <row r="573" spans="1:27" x14ac:dyDescent="0.3">
      <c r="A573">
        <v>572</v>
      </c>
      <c r="B573">
        <v>670947.82368611195</v>
      </c>
      <c r="C573">
        <v>0.66021233002473001</v>
      </c>
      <c r="D573">
        <v>1.2444209326943401E-2</v>
      </c>
      <c r="E573">
        <v>0.29825034084919599</v>
      </c>
      <c r="F573">
        <v>1</v>
      </c>
      <c r="G573" t="s">
        <v>10</v>
      </c>
      <c r="H573">
        <v>0</v>
      </c>
      <c r="I573">
        <v>200110.417106409</v>
      </c>
      <c r="J573">
        <v>0.70174965915080301</v>
      </c>
      <c r="K573" t="str">
        <f t="shared" si="64"/>
        <v>OK</v>
      </c>
      <c r="L573" t="str">
        <f t="shared" si="65"/>
        <v>OK</v>
      </c>
      <c r="M573" t="str">
        <f>IF(OR(B573&lt;$AE$20,B573&gt;$AF$20),"Outlier","OK")</f>
        <v>OK</v>
      </c>
      <c r="N573" t="str">
        <f>IF(OR(J573&lt;$AE$21,J573&gt;$AF$21),"Outlier","OK")</f>
        <v>OK</v>
      </c>
      <c r="O573" t="str">
        <f>IF(OR(C573&lt;0,C573&gt;1),"Outlier","OK")</f>
        <v>OK</v>
      </c>
      <c r="P573" t="str">
        <f>IF(OR(D573&lt;0,D573&gt;1),"Outlier","OK")</f>
        <v>OK</v>
      </c>
      <c r="Q573" t="str">
        <f t="shared" si="66"/>
        <v>60-80%</v>
      </c>
      <c r="R573" t="str">
        <f>IF(B573="","Missing","OK")</f>
        <v>OK</v>
      </c>
      <c r="S573" t="str">
        <f>IF(E573="","Missing","OK")</f>
        <v>OK</v>
      </c>
      <c r="T573" t="str">
        <f t="shared" si="67"/>
        <v>OK</v>
      </c>
      <c r="U573">
        <f>COUNTIF($A:$A,A573)</f>
        <v>1</v>
      </c>
      <c r="V573" t="str">
        <f t="shared" si="68"/>
        <v>OK</v>
      </c>
      <c r="W573" t="str">
        <f>IF(I573&gt;B573,"ERROR","OK")</f>
        <v>OK</v>
      </c>
      <c r="X573">
        <f>(B573-I573)/B573</f>
        <v>0.70174965915080423</v>
      </c>
      <c r="Y573" s="2">
        <f t="shared" si="69"/>
        <v>1.2212453270876722E-15</v>
      </c>
      <c r="Z573" s="2" t="str">
        <f t="shared" si="70"/>
        <v>OK</v>
      </c>
      <c r="AA573" t="str">
        <f t="shared" si="71"/>
        <v>Unique</v>
      </c>
    </row>
    <row r="574" spans="1:27" x14ac:dyDescent="0.3">
      <c r="A574">
        <v>573</v>
      </c>
      <c r="B574">
        <v>604870.93662090402</v>
      </c>
      <c r="C574">
        <v>0.45080383481332098</v>
      </c>
      <c r="D574">
        <v>0.19949545988447001</v>
      </c>
      <c r="E574">
        <v>0.29380756369460798</v>
      </c>
      <c r="F574">
        <v>1</v>
      </c>
      <c r="G574" t="s">
        <v>12</v>
      </c>
      <c r="H574">
        <v>1</v>
      </c>
      <c r="I574">
        <v>177715.656238264</v>
      </c>
      <c r="J574">
        <v>0.70619243630539097</v>
      </c>
      <c r="K574" t="str">
        <f t="shared" si="64"/>
        <v>OK</v>
      </c>
      <c r="L574" t="str">
        <f t="shared" si="65"/>
        <v>OK</v>
      </c>
      <c r="M574" t="str">
        <f>IF(OR(B574&lt;$AE$20,B574&gt;$AF$20),"Outlier","OK")</f>
        <v>OK</v>
      </c>
      <c r="N574" t="str">
        <f>IF(OR(J574&lt;$AE$21,J574&gt;$AF$21),"Outlier","OK")</f>
        <v>OK</v>
      </c>
      <c r="O574" t="str">
        <f>IF(OR(C574&lt;0,C574&gt;1),"Outlier","OK")</f>
        <v>OK</v>
      </c>
      <c r="P574" t="str">
        <f>IF(OR(D574&lt;0,D574&gt;1),"Outlier","OK")</f>
        <v>OK</v>
      </c>
      <c r="Q574" t="str">
        <f t="shared" si="66"/>
        <v>60-80%</v>
      </c>
      <c r="R574" t="str">
        <f>IF(B574="","Missing","OK")</f>
        <v>OK</v>
      </c>
      <c r="S574" t="str">
        <f>IF(E574="","Missing","OK")</f>
        <v>OK</v>
      </c>
      <c r="T574" t="str">
        <f t="shared" si="67"/>
        <v>OK</v>
      </c>
      <c r="U574">
        <f>COUNTIF($A:$A,A574)</f>
        <v>1</v>
      </c>
      <c r="V574" t="str">
        <f t="shared" si="68"/>
        <v>OK</v>
      </c>
      <c r="W574" t="str">
        <f>IF(I574&gt;B574,"ERROR","OK")</f>
        <v>OK</v>
      </c>
      <c r="X574">
        <f>(B574-I574)/B574</f>
        <v>0.70619243630539108</v>
      </c>
      <c r="Y574" s="2">
        <f t="shared" si="69"/>
        <v>1.1102230246251565E-16</v>
      </c>
      <c r="Z574" s="2" t="str">
        <f t="shared" si="70"/>
        <v>OK</v>
      </c>
      <c r="AA574" t="str">
        <f t="shared" si="71"/>
        <v>Unique</v>
      </c>
    </row>
    <row r="575" spans="1:27" x14ac:dyDescent="0.3">
      <c r="A575">
        <v>574</v>
      </c>
      <c r="B575">
        <v>1933478.3093550201</v>
      </c>
      <c r="C575">
        <v>0.71549246564136604</v>
      </c>
      <c r="D575">
        <v>-9.7052957629559303E-2</v>
      </c>
      <c r="E575">
        <v>0.13180002777591901</v>
      </c>
      <c r="F575">
        <v>1</v>
      </c>
      <c r="G575" t="s">
        <v>13</v>
      </c>
      <c r="H575">
        <v>1</v>
      </c>
      <c r="I575">
        <v>254832.49487713</v>
      </c>
      <c r="J575">
        <v>0.86819997222407996</v>
      </c>
      <c r="K575" t="str">
        <f t="shared" si="64"/>
        <v>OK</v>
      </c>
      <c r="L575" t="str">
        <f t="shared" si="65"/>
        <v>OK</v>
      </c>
      <c r="M575" t="str">
        <f>IF(OR(B575&lt;$AE$20,B575&gt;$AF$20),"Outlier","OK")</f>
        <v>OK</v>
      </c>
      <c r="N575" t="str">
        <f>IF(OR(J575&lt;$AE$21,J575&gt;$AF$21),"Outlier","OK")</f>
        <v>OK</v>
      </c>
      <c r="O575" t="str">
        <f>IF(OR(C575&lt;0,C575&gt;1),"Outlier","OK")</f>
        <v>OK</v>
      </c>
      <c r="P575" t="str">
        <f>IF(OR(D575&lt;0,D575&gt;1),"Outlier","OK")</f>
        <v>Outlier</v>
      </c>
      <c r="Q575" t="str">
        <f t="shared" si="66"/>
        <v>80-100%</v>
      </c>
      <c r="R575" t="str">
        <f>IF(B575="","Missing","OK")</f>
        <v>OK</v>
      </c>
      <c r="S575" t="str">
        <f>IF(E575="","Missing","OK")</f>
        <v>OK</v>
      </c>
      <c r="T575" t="str">
        <f t="shared" si="67"/>
        <v>OK</v>
      </c>
      <c r="U575">
        <f>COUNTIF($A:$A,A575)</f>
        <v>1</v>
      </c>
      <c r="V575" t="str">
        <f t="shared" si="68"/>
        <v>OK</v>
      </c>
      <c r="W575" t="str">
        <f>IF(I575&gt;B575,"ERROR","OK")</f>
        <v>OK</v>
      </c>
      <c r="X575">
        <f>(B575-I575)/B575</f>
        <v>0.86819997222408019</v>
      </c>
      <c r="Y575" s="2">
        <f t="shared" si="69"/>
        <v>2.2204460492503131E-16</v>
      </c>
      <c r="Z575" s="2" t="str">
        <f t="shared" si="70"/>
        <v>OK</v>
      </c>
      <c r="AA575" t="str">
        <f t="shared" si="71"/>
        <v>Unique</v>
      </c>
    </row>
    <row r="576" spans="1:27" x14ac:dyDescent="0.3">
      <c r="A576">
        <v>575</v>
      </c>
      <c r="B576">
        <v>894290.19502768305</v>
      </c>
      <c r="C576">
        <v>0.79256912393479295</v>
      </c>
      <c r="D576">
        <v>6.3183825933610296E-3</v>
      </c>
      <c r="E576">
        <v>0.28389509955388098</v>
      </c>
      <c r="F576">
        <v>1</v>
      </c>
      <c r="G576" t="s">
        <v>11</v>
      </c>
      <c r="H576">
        <v>1</v>
      </c>
      <c r="I576">
        <v>253884.603947444</v>
      </c>
      <c r="J576">
        <v>0.71610490044611796</v>
      </c>
      <c r="K576" t="str">
        <f t="shared" si="64"/>
        <v>OK</v>
      </c>
      <c r="L576" t="str">
        <f t="shared" si="65"/>
        <v>OK</v>
      </c>
      <c r="M576" t="str">
        <f>IF(OR(B576&lt;$AE$20,B576&gt;$AF$20),"Outlier","OK")</f>
        <v>OK</v>
      </c>
      <c r="N576" t="str">
        <f>IF(OR(J576&lt;$AE$21,J576&gt;$AF$21),"Outlier","OK")</f>
        <v>OK</v>
      </c>
      <c r="O576" t="str">
        <f>IF(OR(C576&lt;0,C576&gt;1),"Outlier","OK")</f>
        <v>OK</v>
      </c>
      <c r="P576" t="str">
        <f>IF(OR(D576&lt;0,D576&gt;1),"Outlier","OK")</f>
        <v>OK</v>
      </c>
      <c r="Q576" t="str">
        <f t="shared" si="66"/>
        <v>60-80%</v>
      </c>
      <c r="R576" t="str">
        <f>IF(B576="","Missing","OK")</f>
        <v>OK</v>
      </c>
      <c r="S576" t="str">
        <f>IF(E576="","Missing","OK")</f>
        <v>OK</v>
      </c>
      <c r="T576" t="str">
        <f t="shared" si="67"/>
        <v>OK</v>
      </c>
      <c r="U576">
        <f>COUNTIF($A:$A,A576)</f>
        <v>1</v>
      </c>
      <c r="V576" t="str">
        <f t="shared" si="68"/>
        <v>OK</v>
      </c>
      <c r="W576" t="str">
        <f>IF(I576&gt;B576,"ERROR","OK")</f>
        <v>OK</v>
      </c>
      <c r="X576">
        <f>(B576-I576)/B576</f>
        <v>0.71610490044611874</v>
      </c>
      <c r="Y576" s="2">
        <f t="shared" si="69"/>
        <v>7.7715611723760958E-16</v>
      </c>
      <c r="Z576" s="2" t="str">
        <f t="shared" si="70"/>
        <v>OK</v>
      </c>
      <c r="AA576" t="str">
        <f t="shared" si="71"/>
        <v>Unique</v>
      </c>
    </row>
    <row r="577" spans="1:27" x14ac:dyDescent="0.3">
      <c r="A577">
        <v>576</v>
      </c>
      <c r="B577">
        <v>1773805.9137162799</v>
      </c>
      <c r="C577">
        <v>0.77588236157926904</v>
      </c>
      <c r="D577">
        <v>-0.14697496594152301</v>
      </c>
      <c r="E577">
        <v>0.33715264430254099</v>
      </c>
      <c r="F577">
        <v>1</v>
      </c>
      <c r="G577" t="s">
        <v>11</v>
      </c>
      <c r="H577">
        <v>0</v>
      </c>
      <c r="I577">
        <v>598043.35428892996</v>
      </c>
      <c r="J577">
        <v>0.66284735569745801</v>
      </c>
      <c r="K577" t="str">
        <f t="shared" si="64"/>
        <v>OK</v>
      </c>
      <c r="L577" t="str">
        <f t="shared" si="65"/>
        <v>OK</v>
      </c>
      <c r="M577" t="str">
        <f>IF(OR(B577&lt;$AE$20,B577&gt;$AF$20),"Outlier","OK")</f>
        <v>OK</v>
      </c>
      <c r="N577" t="str">
        <f>IF(OR(J577&lt;$AE$21,J577&gt;$AF$21),"Outlier","OK")</f>
        <v>OK</v>
      </c>
      <c r="O577" t="str">
        <f>IF(OR(C577&lt;0,C577&gt;1),"Outlier","OK")</f>
        <v>OK</v>
      </c>
      <c r="P577" t="str">
        <f>IF(OR(D577&lt;0,D577&gt;1),"Outlier","OK")</f>
        <v>Outlier</v>
      </c>
      <c r="Q577" t="str">
        <f t="shared" si="66"/>
        <v>60-80%</v>
      </c>
      <c r="R577" t="str">
        <f>IF(B577="","Missing","OK")</f>
        <v>OK</v>
      </c>
      <c r="S577" t="str">
        <f>IF(E577="","Missing","OK")</f>
        <v>OK</v>
      </c>
      <c r="T577" t="str">
        <f t="shared" si="67"/>
        <v>OK</v>
      </c>
      <c r="U577">
        <f>COUNTIF($A:$A,A577)</f>
        <v>1</v>
      </c>
      <c r="V577" t="str">
        <f t="shared" si="68"/>
        <v>OK</v>
      </c>
      <c r="W577" t="str">
        <f>IF(I577&gt;B577,"ERROR","OK")</f>
        <v>OK</v>
      </c>
      <c r="X577">
        <f>(B577-I577)/B577</f>
        <v>0.66284735569745823</v>
      </c>
      <c r="Y577" s="2">
        <f t="shared" si="69"/>
        <v>2.2204460492503131E-16</v>
      </c>
      <c r="Z577" s="2" t="str">
        <f t="shared" si="70"/>
        <v>OK</v>
      </c>
      <c r="AA577" t="str">
        <f t="shared" si="71"/>
        <v>Unique</v>
      </c>
    </row>
    <row r="578" spans="1:27" x14ac:dyDescent="0.3">
      <c r="A578">
        <v>577</v>
      </c>
      <c r="B578">
        <v>1313918.09025126</v>
      </c>
      <c r="C578">
        <v>0.800268388306</v>
      </c>
      <c r="D578">
        <v>4.9284542411286896E-3</v>
      </c>
      <c r="E578">
        <v>3.7639632746709298E-2</v>
      </c>
      <c r="F578">
        <v>1</v>
      </c>
      <c r="G578" t="s">
        <v>11</v>
      </c>
      <c r="H578">
        <v>1</v>
      </c>
      <c r="I578">
        <v>49455.394376315096</v>
      </c>
      <c r="J578">
        <v>0.96236036725328999</v>
      </c>
      <c r="K578" t="str">
        <f t="shared" si="64"/>
        <v>OK</v>
      </c>
      <c r="L578" t="str">
        <f t="shared" si="65"/>
        <v>OK</v>
      </c>
      <c r="M578" t="str">
        <f>IF(OR(B578&lt;$AE$20,B578&gt;$AF$20),"Outlier","OK")</f>
        <v>OK</v>
      </c>
      <c r="N578" t="str">
        <f>IF(OR(J578&lt;$AE$21,J578&gt;$AF$21),"Outlier","OK")</f>
        <v>OK</v>
      </c>
      <c r="O578" t="str">
        <f>IF(OR(C578&lt;0,C578&gt;1),"Outlier","OK")</f>
        <v>OK</v>
      </c>
      <c r="P578" t="str">
        <f>IF(OR(D578&lt;0,D578&gt;1),"Outlier","OK")</f>
        <v>OK</v>
      </c>
      <c r="Q578" t="str">
        <f t="shared" si="66"/>
        <v>80-100%</v>
      </c>
      <c r="R578" t="str">
        <f>IF(B578="","Missing","OK")</f>
        <v>OK</v>
      </c>
      <c r="S578" t="str">
        <f>IF(E578="","Missing","OK")</f>
        <v>OK</v>
      </c>
      <c r="T578" t="str">
        <f t="shared" si="67"/>
        <v>OK</v>
      </c>
      <c r="U578">
        <f>COUNTIF($A:$A,A578)</f>
        <v>1</v>
      </c>
      <c r="V578" t="str">
        <f t="shared" si="68"/>
        <v>OK</v>
      </c>
      <c r="W578" t="str">
        <f>IF(I578&gt;B578,"ERROR","OK")</f>
        <v>OK</v>
      </c>
      <c r="X578">
        <f>(B578-I578)/B578</f>
        <v>0.96236036725329066</v>
      </c>
      <c r="Y578" s="2">
        <f t="shared" si="69"/>
        <v>6.6613381477509392E-16</v>
      </c>
      <c r="Z578" s="2" t="str">
        <f t="shared" si="70"/>
        <v>OK</v>
      </c>
      <c r="AA578" t="str">
        <f t="shared" si="71"/>
        <v>Unique</v>
      </c>
    </row>
    <row r="579" spans="1:27" x14ac:dyDescent="0.3">
      <c r="A579">
        <v>578</v>
      </c>
      <c r="B579">
        <v>1723933.9102336301</v>
      </c>
      <c r="C579">
        <v>0.83492674478847795</v>
      </c>
      <c r="D579">
        <v>-1.94708872880155E-2</v>
      </c>
      <c r="E579">
        <v>0.377132017345986</v>
      </c>
      <c r="F579">
        <v>1</v>
      </c>
      <c r="G579" t="s">
        <v>12</v>
      </c>
      <c r="H579">
        <v>0</v>
      </c>
      <c r="I579">
        <v>650150.67333756597</v>
      </c>
      <c r="J579">
        <v>0.622867982654013</v>
      </c>
      <c r="K579" t="str">
        <f t="shared" ref="K579:K642" si="72">IF(OR(J579&lt;0,J579&gt;1),"Error","OK")</f>
        <v>OK</v>
      </c>
      <c r="L579" t="str">
        <f t="shared" ref="L579:L642" si="73">IF(I579&gt;B579,"Error","OK")</f>
        <v>OK</v>
      </c>
      <c r="M579" t="str">
        <f>IF(OR(B579&lt;$AE$20,B579&gt;$AF$20),"Outlier","OK")</f>
        <v>OK</v>
      </c>
      <c r="N579" t="str">
        <f>IF(OR(J579&lt;$AE$21,J579&gt;$AF$21),"Outlier","OK")</f>
        <v>OK</v>
      </c>
      <c r="O579" t="str">
        <f>IF(OR(C579&lt;0,C579&gt;1),"Outlier","OK")</f>
        <v>OK</v>
      </c>
      <c r="P579" t="str">
        <f>IF(OR(D579&lt;0,D579&gt;1),"Outlier","OK")</f>
        <v>Outlier</v>
      </c>
      <c r="Q579" t="str">
        <f t="shared" ref="Q579:Q642" si="74">IF(J579&lt;=0.2,"0-20%",
 IF(J579&lt;=0.4,"20-40%",
 IF(J579&lt;=0.6,"40-60%",
 IF(J579&lt;=0.8,"60-80%","80-100%"))))</f>
        <v>60-80%</v>
      </c>
      <c r="R579" t="str">
        <f>IF(B579="","Missing","OK")</f>
        <v>OK</v>
      </c>
      <c r="S579" t="str">
        <f>IF(E579="","Missing","OK")</f>
        <v>OK</v>
      </c>
      <c r="T579" t="str">
        <f t="shared" ref="T579:T642" si="75">IF(J579="","Missing","OK")</f>
        <v>OK</v>
      </c>
      <c r="U579">
        <f>COUNTIF($A:$A,A579)</f>
        <v>1</v>
      </c>
      <c r="V579" t="str">
        <f t="shared" ref="V579:V642" si="76">IF(OR(J579&lt;0,J579&gt;1),"ERROR","OK")</f>
        <v>OK</v>
      </c>
      <c r="W579" t="str">
        <f>IF(I579&gt;B579,"ERROR","OK")</f>
        <v>OK</v>
      </c>
      <c r="X579">
        <f>(B579-I579)/B579</f>
        <v>0.62286798265401222</v>
      </c>
      <c r="Y579" s="2">
        <f t="shared" ref="Y579:Y642" si="77">ABS(J579-X579)</f>
        <v>7.7715611723760958E-16</v>
      </c>
      <c r="Z579" s="2" t="str">
        <f t="shared" ref="Z579:Z642" si="78">IF(OR(B579="",I579="",J579=""),"Missing","OK")</f>
        <v>OK</v>
      </c>
      <c r="AA579" t="str">
        <f t="shared" ref="AA579:AA642" si="79">IF(COUNTIF($A:$A,A579)&gt;1,"Duplicate","Unique")</f>
        <v>Unique</v>
      </c>
    </row>
    <row r="580" spans="1:27" x14ac:dyDescent="0.3">
      <c r="A580">
        <v>579</v>
      </c>
      <c r="B580">
        <v>1712276.6123092701</v>
      </c>
      <c r="C580">
        <v>0.22109800615723199</v>
      </c>
      <c r="D580">
        <v>-0.122023332348786</v>
      </c>
      <c r="E580">
        <v>4.87962555041319E-2</v>
      </c>
      <c r="F580">
        <v>1</v>
      </c>
      <c r="G580" t="s">
        <v>12</v>
      </c>
      <c r="H580">
        <v>0</v>
      </c>
      <c r="I580">
        <v>83552.687067992898</v>
      </c>
      <c r="J580">
        <v>0.95120374449586798</v>
      </c>
      <c r="K580" t="str">
        <f t="shared" si="72"/>
        <v>OK</v>
      </c>
      <c r="L580" t="str">
        <f t="shared" si="73"/>
        <v>OK</v>
      </c>
      <c r="M580" t="str">
        <f>IF(OR(B580&lt;$AE$20,B580&gt;$AF$20),"Outlier","OK")</f>
        <v>OK</v>
      </c>
      <c r="N580" t="str">
        <f>IF(OR(J580&lt;$AE$21,J580&gt;$AF$21),"Outlier","OK")</f>
        <v>OK</v>
      </c>
      <c r="O580" t="str">
        <f>IF(OR(C580&lt;0,C580&gt;1),"Outlier","OK")</f>
        <v>OK</v>
      </c>
      <c r="P580" t="str">
        <f>IF(OR(D580&lt;0,D580&gt;1),"Outlier","OK")</f>
        <v>Outlier</v>
      </c>
      <c r="Q580" t="str">
        <f t="shared" si="74"/>
        <v>80-100%</v>
      </c>
      <c r="R580" t="str">
        <f>IF(B580="","Missing","OK")</f>
        <v>OK</v>
      </c>
      <c r="S580" t="str">
        <f>IF(E580="","Missing","OK")</f>
        <v>OK</v>
      </c>
      <c r="T580" t="str">
        <f t="shared" si="75"/>
        <v>OK</v>
      </c>
      <c r="U580">
        <f>COUNTIF($A:$A,A580)</f>
        <v>1</v>
      </c>
      <c r="V580" t="str">
        <f t="shared" si="76"/>
        <v>OK</v>
      </c>
      <c r="W580" t="str">
        <f>IF(I580&gt;B580,"ERROR","OK")</f>
        <v>OK</v>
      </c>
      <c r="X580">
        <f>(B580-I580)/B580</f>
        <v>0.95120374449586786</v>
      </c>
      <c r="Y580" s="2">
        <f t="shared" si="77"/>
        <v>1.1102230246251565E-16</v>
      </c>
      <c r="Z580" s="2" t="str">
        <f t="shared" si="78"/>
        <v>OK</v>
      </c>
      <c r="AA580" t="str">
        <f t="shared" si="79"/>
        <v>Unique</v>
      </c>
    </row>
    <row r="581" spans="1:27" x14ac:dyDescent="0.3">
      <c r="A581">
        <v>580</v>
      </c>
      <c r="B581">
        <v>1914808.4541899101</v>
      </c>
      <c r="C581">
        <v>0.86204866494374399</v>
      </c>
      <c r="D581">
        <v>9.6472122761388404E-2</v>
      </c>
      <c r="E581">
        <v>0.247546738575044</v>
      </c>
      <c r="F581">
        <v>1</v>
      </c>
      <c r="G581" t="s">
        <v>10</v>
      </c>
      <c r="H581">
        <v>1</v>
      </c>
      <c r="I581">
        <v>474004.58783063601</v>
      </c>
      <c r="J581">
        <v>0.75245326142495506</v>
      </c>
      <c r="K581" t="str">
        <f t="shared" si="72"/>
        <v>OK</v>
      </c>
      <c r="L581" t="str">
        <f t="shared" si="73"/>
        <v>OK</v>
      </c>
      <c r="M581" t="str">
        <f>IF(OR(B581&lt;$AE$20,B581&gt;$AF$20),"Outlier","OK")</f>
        <v>OK</v>
      </c>
      <c r="N581" t="str">
        <f>IF(OR(J581&lt;$AE$21,J581&gt;$AF$21),"Outlier","OK")</f>
        <v>OK</v>
      </c>
      <c r="O581" t="str">
        <f>IF(OR(C581&lt;0,C581&gt;1),"Outlier","OK")</f>
        <v>OK</v>
      </c>
      <c r="P581" t="str">
        <f>IF(OR(D581&lt;0,D581&gt;1),"Outlier","OK")</f>
        <v>OK</v>
      </c>
      <c r="Q581" t="str">
        <f t="shared" si="74"/>
        <v>60-80%</v>
      </c>
      <c r="R581" t="str">
        <f>IF(B581="","Missing","OK")</f>
        <v>OK</v>
      </c>
      <c r="S581" t="str">
        <f>IF(E581="","Missing","OK")</f>
        <v>OK</v>
      </c>
      <c r="T581" t="str">
        <f t="shared" si="75"/>
        <v>OK</v>
      </c>
      <c r="U581">
        <f>COUNTIF($A:$A,A581)</f>
        <v>1</v>
      </c>
      <c r="V581" t="str">
        <f t="shared" si="76"/>
        <v>OK</v>
      </c>
      <c r="W581" t="str">
        <f>IF(I581&gt;B581,"ERROR","OK")</f>
        <v>OK</v>
      </c>
      <c r="X581">
        <f>(B581-I581)/B581</f>
        <v>0.75245326142495483</v>
      </c>
      <c r="Y581" s="2">
        <f t="shared" si="77"/>
        <v>2.2204460492503131E-16</v>
      </c>
      <c r="Z581" s="2" t="str">
        <f t="shared" si="78"/>
        <v>OK</v>
      </c>
      <c r="AA581" t="str">
        <f t="shared" si="79"/>
        <v>Unique</v>
      </c>
    </row>
    <row r="582" spans="1:27" x14ac:dyDescent="0.3">
      <c r="A582">
        <v>581</v>
      </c>
      <c r="B582">
        <v>1410987.36059603</v>
      </c>
      <c r="C582">
        <v>0.57920005436706801</v>
      </c>
      <c r="D582">
        <v>-0.154235178829665</v>
      </c>
      <c r="E582">
        <v>0.50644461769529703</v>
      </c>
      <c r="F582">
        <v>1</v>
      </c>
      <c r="G582" t="s">
        <v>11</v>
      </c>
      <c r="H582">
        <v>1</v>
      </c>
      <c r="I582">
        <v>714586.95440995402</v>
      </c>
      <c r="J582">
        <v>0.49355538230470197</v>
      </c>
      <c r="K582" t="str">
        <f t="shared" si="72"/>
        <v>OK</v>
      </c>
      <c r="L582" t="str">
        <f t="shared" si="73"/>
        <v>OK</v>
      </c>
      <c r="M582" t="str">
        <f>IF(OR(B582&lt;$AE$20,B582&gt;$AF$20),"Outlier","OK")</f>
        <v>OK</v>
      </c>
      <c r="N582" t="str">
        <f>IF(OR(J582&lt;$AE$21,J582&gt;$AF$21),"Outlier","OK")</f>
        <v>OK</v>
      </c>
      <c r="O582" t="str">
        <f>IF(OR(C582&lt;0,C582&gt;1),"Outlier","OK")</f>
        <v>OK</v>
      </c>
      <c r="P582" t="str">
        <f>IF(OR(D582&lt;0,D582&gt;1),"Outlier","OK")</f>
        <v>Outlier</v>
      </c>
      <c r="Q582" t="str">
        <f t="shared" si="74"/>
        <v>40-60%</v>
      </c>
      <c r="R582" t="str">
        <f>IF(B582="","Missing","OK")</f>
        <v>OK</v>
      </c>
      <c r="S582" t="str">
        <f>IF(E582="","Missing","OK")</f>
        <v>OK</v>
      </c>
      <c r="T582" t="str">
        <f t="shared" si="75"/>
        <v>OK</v>
      </c>
      <c r="U582">
        <f>COUNTIF($A:$A,A582)</f>
        <v>1</v>
      </c>
      <c r="V582" t="str">
        <f t="shared" si="76"/>
        <v>OK</v>
      </c>
      <c r="W582" t="str">
        <f>IF(I582&gt;B582,"ERROR","OK")</f>
        <v>OK</v>
      </c>
      <c r="X582">
        <f>(B582-I582)/B582</f>
        <v>0.49355538230470197</v>
      </c>
      <c r="Y582" s="2">
        <f t="shared" si="77"/>
        <v>0</v>
      </c>
      <c r="Z582" s="2" t="str">
        <f t="shared" si="78"/>
        <v>OK</v>
      </c>
      <c r="AA582" t="str">
        <f t="shared" si="79"/>
        <v>Unique</v>
      </c>
    </row>
    <row r="583" spans="1:27" x14ac:dyDescent="0.3">
      <c r="A583">
        <v>582</v>
      </c>
      <c r="B583">
        <v>1620524.0240190099</v>
      </c>
      <c r="C583">
        <v>0.84096321323316003</v>
      </c>
      <c r="D583">
        <v>6.2907195498565398E-3</v>
      </c>
      <c r="E583">
        <v>0.295168637572987</v>
      </c>
      <c r="F583">
        <v>1</v>
      </c>
      <c r="G583" t="s">
        <v>10</v>
      </c>
      <c r="H583">
        <v>1</v>
      </c>
      <c r="I583">
        <v>478327.868323987</v>
      </c>
      <c r="J583">
        <v>0.70483136242701205</v>
      </c>
      <c r="K583" t="str">
        <f t="shared" si="72"/>
        <v>OK</v>
      </c>
      <c r="L583" t="str">
        <f t="shared" si="73"/>
        <v>OK</v>
      </c>
      <c r="M583" t="str">
        <f>IF(OR(B583&lt;$AE$20,B583&gt;$AF$20),"Outlier","OK")</f>
        <v>OK</v>
      </c>
      <c r="N583" t="str">
        <f>IF(OR(J583&lt;$AE$21,J583&gt;$AF$21),"Outlier","OK")</f>
        <v>OK</v>
      </c>
      <c r="O583" t="str">
        <f>IF(OR(C583&lt;0,C583&gt;1),"Outlier","OK")</f>
        <v>OK</v>
      </c>
      <c r="P583" t="str">
        <f>IF(OR(D583&lt;0,D583&gt;1),"Outlier","OK")</f>
        <v>OK</v>
      </c>
      <c r="Q583" t="str">
        <f t="shared" si="74"/>
        <v>60-80%</v>
      </c>
      <c r="R583" t="str">
        <f>IF(B583="","Missing","OK")</f>
        <v>OK</v>
      </c>
      <c r="S583" t="str">
        <f>IF(E583="","Missing","OK")</f>
        <v>OK</v>
      </c>
      <c r="T583" t="str">
        <f t="shared" si="75"/>
        <v>OK</v>
      </c>
      <c r="U583">
        <f>COUNTIF($A:$A,A583)</f>
        <v>1</v>
      </c>
      <c r="V583" t="str">
        <f t="shared" si="76"/>
        <v>OK</v>
      </c>
      <c r="W583" t="str">
        <f>IF(I583&gt;B583,"ERROR","OK")</f>
        <v>OK</v>
      </c>
      <c r="X583">
        <f>(B583-I583)/B583</f>
        <v>0.70483136242701216</v>
      </c>
      <c r="Y583" s="2">
        <f t="shared" si="77"/>
        <v>1.1102230246251565E-16</v>
      </c>
      <c r="Z583" s="2" t="str">
        <f t="shared" si="78"/>
        <v>OK</v>
      </c>
      <c r="AA583" t="str">
        <f t="shared" si="79"/>
        <v>Unique</v>
      </c>
    </row>
    <row r="584" spans="1:27" x14ac:dyDescent="0.3">
      <c r="A584">
        <v>583</v>
      </c>
      <c r="B584">
        <v>1479599.39603503</v>
      </c>
      <c r="C584">
        <v>0.85659414633340403</v>
      </c>
      <c r="D584">
        <v>-0.101422936063029</v>
      </c>
      <c r="E584">
        <v>0.173794388610989</v>
      </c>
      <c r="F584">
        <v>1</v>
      </c>
      <c r="G584" t="s">
        <v>11</v>
      </c>
      <c r="H584">
        <v>0</v>
      </c>
      <c r="I584">
        <v>257146.072423098</v>
      </c>
      <c r="J584">
        <v>0.82620561138901005</v>
      </c>
      <c r="K584" t="str">
        <f t="shared" si="72"/>
        <v>OK</v>
      </c>
      <c r="L584" t="str">
        <f t="shared" si="73"/>
        <v>OK</v>
      </c>
      <c r="M584" t="str">
        <f>IF(OR(B584&lt;$AE$20,B584&gt;$AF$20),"Outlier","OK")</f>
        <v>OK</v>
      </c>
      <c r="N584" t="str">
        <f>IF(OR(J584&lt;$AE$21,J584&gt;$AF$21),"Outlier","OK")</f>
        <v>OK</v>
      </c>
      <c r="O584" t="str">
        <f>IF(OR(C584&lt;0,C584&gt;1),"Outlier","OK")</f>
        <v>OK</v>
      </c>
      <c r="P584" t="str">
        <f>IF(OR(D584&lt;0,D584&gt;1),"Outlier","OK")</f>
        <v>Outlier</v>
      </c>
      <c r="Q584" t="str">
        <f t="shared" si="74"/>
        <v>80-100%</v>
      </c>
      <c r="R584" t="str">
        <f>IF(B584="","Missing","OK")</f>
        <v>OK</v>
      </c>
      <c r="S584" t="str">
        <f>IF(E584="","Missing","OK")</f>
        <v>OK</v>
      </c>
      <c r="T584" t="str">
        <f t="shared" si="75"/>
        <v>OK</v>
      </c>
      <c r="U584">
        <f>COUNTIF($A:$A,A584)</f>
        <v>1</v>
      </c>
      <c r="V584" t="str">
        <f t="shared" si="76"/>
        <v>OK</v>
      </c>
      <c r="W584" t="str">
        <f>IF(I584&gt;B584,"ERROR","OK")</f>
        <v>OK</v>
      </c>
      <c r="X584">
        <f>(B584-I584)/B584</f>
        <v>0.82620561138901016</v>
      </c>
      <c r="Y584" s="2">
        <f t="shared" si="77"/>
        <v>1.1102230246251565E-16</v>
      </c>
      <c r="Z584" s="2" t="str">
        <f t="shared" si="78"/>
        <v>OK</v>
      </c>
      <c r="AA584" t="str">
        <f t="shared" si="79"/>
        <v>Unique</v>
      </c>
    </row>
    <row r="585" spans="1:27" x14ac:dyDescent="0.3">
      <c r="A585">
        <v>584</v>
      </c>
      <c r="B585">
        <v>1230192.3300942699</v>
      </c>
      <c r="C585">
        <v>0.62952105886088705</v>
      </c>
      <c r="D585">
        <v>-1.6800351476513199E-2</v>
      </c>
      <c r="E585">
        <v>0.151513784681753</v>
      </c>
      <c r="F585">
        <v>1</v>
      </c>
      <c r="G585" t="s">
        <v>10</v>
      </c>
      <c r="H585">
        <v>0</v>
      </c>
      <c r="I585">
        <v>186391.09581904701</v>
      </c>
      <c r="J585">
        <v>0.84848621531824597</v>
      </c>
      <c r="K585" t="str">
        <f t="shared" si="72"/>
        <v>OK</v>
      </c>
      <c r="L585" t="str">
        <f t="shared" si="73"/>
        <v>OK</v>
      </c>
      <c r="M585" t="str">
        <f>IF(OR(B585&lt;$AE$20,B585&gt;$AF$20),"Outlier","OK")</f>
        <v>OK</v>
      </c>
      <c r="N585" t="str">
        <f>IF(OR(J585&lt;$AE$21,J585&gt;$AF$21),"Outlier","OK")</f>
        <v>OK</v>
      </c>
      <c r="O585" t="str">
        <f>IF(OR(C585&lt;0,C585&gt;1),"Outlier","OK")</f>
        <v>OK</v>
      </c>
      <c r="P585" t="str">
        <f>IF(OR(D585&lt;0,D585&gt;1),"Outlier","OK")</f>
        <v>Outlier</v>
      </c>
      <c r="Q585" t="str">
        <f t="shared" si="74"/>
        <v>80-100%</v>
      </c>
      <c r="R585" t="str">
        <f>IF(B585="","Missing","OK")</f>
        <v>OK</v>
      </c>
      <c r="S585" t="str">
        <f>IF(E585="","Missing","OK")</f>
        <v>OK</v>
      </c>
      <c r="T585" t="str">
        <f t="shared" si="75"/>
        <v>OK</v>
      </c>
      <c r="U585">
        <f>COUNTIF($A:$A,A585)</f>
        <v>1</v>
      </c>
      <c r="V585" t="str">
        <f t="shared" si="76"/>
        <v>OK</v>
      </c>
      <c r="W585" t="str">
        <f>IF(I585&gt;B585,"ERROR","OK")</f>
        <v>OK</v>
      </c>
      <c r="X585">
        <f>(B585-I585)/B585</f>
        <v>0.84848621531824719</v>
      </c>
      <c r="Y585" s="2">
        <f t="shared" si="77"/>
        <v>1.2212453270876722E-15</v>
      </c>
      <c r="Z585" s="2" t="str">
        <f t="shared" si="78"/>
        <v>OK</v>
      </c>
      <c r="AA585" t="str">
        <f t="shared" si="79"/>
        <v>Unique</v>
      </c>
    </row>
    <row r="586" spans="1:27" x14ac:dyDescent="0.3">
      <c r="A586">
        <v>585</v>
      </c>
      <c r="B586">
        <v>1448840.56108887</v>
      </c>
      <c r="C586">
        <v>0.18759598892319099</v>
      </c>
      <c r="D586">
        <v>-1.00882309974447E-2</v>
      </c>
      <c r="E586">
        <v>0.45826186743347702</v>
      </c>
      <c r="F586">
        <v>1</v>
      </c>
      <c r="G586" t="s">
        <v>12</v>
      </c>
      <c r="H586">
        <v>0</v>
      </c>
      <c r="I586">
        <v>663948.381137955</v>
      </c>
      <c r="J586">
        <v>0.54173813256652203</v>
      </c>
      <c r="K586" t="str">
        <f t="shared" si="72"/>
        <v>OK</v>
      </c>
      <c r="L586" t="str">
        <f t="shared" si="73"/>
        <v>OK</v>
      </c>
      <c r="M586" t="str">
        <f>IF(OR(B586&lt;$AE$20,B586&gt;$AF$20),"Outlier","OK")</f>
        <v>OK</v>
      </c>
      <c r="N586" t="str">
        <f>IF(OR(J586&lt;$AE$21,J586&gt;$AF$21),"Outlier","OK")</f>
        <v>OK</v>
      </c>
      <c r="O586" t="str">
        <f>IF(OR(C586&lt;0,C586&gt;1),"Outlier","OK")</f>
        <v>OK</v>
      </c>
      <c r="P586" t="str">
        <f>IF(OR(D586&lt;0,D586&gt;1),"Outlier","OK")</f>
        <v>Outlier</v>
      </c>
      <c r="Q586" t="str">
        <f t="shared" si="74"/>
        <v>40-60%</v>
      </c>
      <c r="R586" t="str">
        <f>IF(B586="","Missing","OK")</f>
        <v>OK</v>
      </c>
      <c r="S586" t="str">
        <f>IF(E586="","Missing","OK")</f>
        <v>OK</v>
      </c>
      <c r="T586" t="str">
        <f t="shared" si="75"/>
        <v>OK</v>
      </c>
      <c r="U586">
        <f>COUNTIF($A:$A,A586)</f>
        <v>1</v>
      </c>
      <c r="V586" t="str">
        <f t="shared" si="76"/>
        <v>OK</v>
      </c>
      <c r="W586" t="str">
        <f>IF(I586&gt;B586,"ERROR","OK")</f>
        <v>OK</v>
      </c>
      <c r="X586">
        <f>(B586-I586)/B586</f>
        <v>0.54173813256652104</v>
      </c>
      <c r="Y586" s="2">
        <f t="shared" si="77"/>
        <v>9.9920072216264089E-16</v>
      </c>
      <c r="Z586" s="2" t="str">
        <f t="shared" si="78"/>
        <v>OK</v>
      </c>
      <c r="AA586" t="str">
        <f t="shared" si="79"/>
        <v>Unique</v>
      </c>
    </row>
    <row r="587" spans="1:27" x14ac:dyDescent="0.3">
      <c r="A587">
        <v>586</v>
      </c>
      <c r="B587">
        <v>1445713.30227842</v>
      </c>
      <c r="C587">
        <v>0.37155070402378398</v>
      </c>
      <c r="D587">
        <v>0.198563220042654</v>
      </c>
      <c r="E587">
        <v>0.15360891745049199</v>
      </c>
      <c r="F587">
        <v>1</v>
      </c>
      <c r="G587" t="s">
        <v>12</v>
      </c>
      <c r="H587">
        <v>0</v>
      </c>
      <c r="I587">
        <v>222074.45530676501</v>
      </c>
      <c r="J587">
        <v>0.84639108254950701</v>
      </c>
      <c r="K587" t="str">
        <f t="shared" si="72"/>
        <v>OK</v>
      </c>
      <c r="L587" t="str">
        <f t="shared" si="73"/>
        <v>OK</v>
      </c>
      <c r="M587" t="str">
        <f>IF(OR(B587&lt;$AE$20,B587&gt;$AF$20),"Outlier","OK")</f>
        <v>OK</v>
      </c>
      <c r="N587" t="str">
        <f>IF(OR(J587&lt;$AE$21,J587&gt;$AF$21),"Outlier","OK")</f>
        <v>OK</v>
      </c>
      <c r="O587" t="str">
        <f>IF(OR(C587&lt;0,C587&gt;1),"Outlier","OK")</f>
        <v>OK</v>
      </c>
      <c r="P587" t="str">
        <f>IF(OR(D587&lt;0,D587&gt;1),"Outlier","OK")</f>
        <v>OK</v>
      </c>
      <c r="Q587" t="str">
        <f t="shared" si="74"/>
        <v>80-100%</v>
      </c>
      <c r="R587" t="str">
        <f>IF(B587="","Missing","OK")</f>
        <v>OK</v>
      </c>
      <c r="S587" t="str">
        <f>IF(E587="","Missing","OK")</f>
        <v>OK</v>
      </c>
      <c r="T587" t="str">
        <f t="shared" si="75"/>
        <v>OK</v>
      </c>
      <c r="U587">
        <f>COUNTIF($A:$A,A587)</f>
        <v>1</v>
      </c>
      <c r="V587" t="str">
        <f t="shared" si="76"/>
        <v>OK</v>
      </c>
      <c r="W587" t="str">
        <f>IF(I587&gt;B587,"ERROR","OK")</f>
        <v>OK</v>
      </c>
      <c r="X587">
        <f>(B587-I587)/B587</f>
        <v>0.84639108254950735</v>
      </c>
      <c r="Y587" s="2">
        <f t="shared" si="77"/>
        <v>3.3306690738754696E-16</v>
      </c>
      <c r="Z587" s="2" t="str">
        <f t="shared" si="78"/>
        <v>OK</v>
      </c>
      <c r="AA587" t="str">
        <f t="shared" si="79"/>
        <v>Unique</v>
      </c>
    </row>
    <row r="588" spans="1:27" x14ac:dyDescent="0.3">
      <c r="A588">
        <v>587</v>
      </c>
      <c r="B588">
        <v>129770.19642078</v>
      </c>
      <c r="C588">
        <v>0.48392113448660901</v>
      </c>
      <c r="D588">
        <v>-5.33022126753857E-2</v>
      </c>
      <c r="E588">
        <v>0.14379953727578501</v>
      </c>
      <c r="F588">
        <v>1</v>
      </c>
      <c r="G588" t="s">
        <v>11</v>
      </c>
      <c r="H588">
        <v>1</v>
      </c>
      <c r="I588">
        <v>18660.894197495902</v>
      </c>
      <c r="J588">
        <v>0.85620046272421502</v>
      </c>
      <c r="K588" t="str">
        <f t="shared" si="72"/>
        <v>OK</v>
      </c>
      <c r="L588" t="str">
        <f t="shared" si="73"/>
        <v>OK</v>
      </c>
      <c r="M588" t="str">
        <f>IF(OR(B588&lt;$AE$20,B588&gt;$AF$20),"Outlier","OK")</f>
        <v>OK</v>
      </c>
      <c r="N588" t="str">
        <f>IF(OR(J588&lt;$AE$21,J588&gt;$AF$21),"Outlier","OK")</f>
        <v>OK</v>
      </c>
      <c r="O588" t="str">
        <f>IF(OR(C588&lt;0,C588&gt;1),"Outlier","OK")</f>
        <v>OK</v>
      </c>
      <c r="P588" t="str">
        <f>IF(OR(D588&lt;0,D588&gt;1),"Outlier","OK")</f>
        <v>Outlier</v>
      </c>
      <c r="Q588" t="str">
        <f t="shared" si="74"/>
        <v>80-100%</v>
      </c>
      <c r="R588" t="str">
        <f>IF(B588="","Missing","OK")</f>
        <v>OK</v>
      </c>
      <c r="S588" t="str">
        <f>IF(E588="","Missing","OK")</f>
        <v>OK</v>
      </c>
      <c r="T588" t="str">
        <f t="shared" si="75"/>
        <v>OK</v>
      </c>
      <c r="U588">
        <f>COUNTIF($A:$A,A588)</f>
        <v>1</v>
      </c>
      <c r="V588" t="str">
        <f t="shared" si="76"/>
        <v>OK</v>
      </c>
      <c r="W588" t="str">
        <f>IF(I588&gt;B588,"ERROR","OK")</f>
        <v>OK</v>
      </c>
      <c r="X588">
        <f>(B588-I588)/B588</f>
        <v>0.85620046272421491</v>
      </c>
      <c r="Y588" s="2">
        <f t="shared" si="77"/>
        <v>1.1102230246251565E-16</v>
      </c>
      <c r="Z588" s="2" t="str">
        <f t="shared" si="78"/>
        <v>OK</v>
      </c>
      <c r="AA588" t="str">
        <f t="shared" si="79"/>
        <v>Unique</v>
      </c>
    </row>
    <row r="589" spans="1:27" x14ac:dyDescent="0.3">
      <c r="A589">
        <v>588</v>
      </c>
      <c r="B589">
        <v>1056416.1292864201</v>
      </c>
      <c r="C589">
        <v>0.21089544177352401</v>
      </c>
      <c r="D589">
        <v>-5.0978428654555E-2</v>
      </c>
      <c r="E589">
        <v>0.23695618146896999</v>
      </c>
      <c r="F589">
        <v>1</v>
      </c>
      <c r="G589" t="s">
        <v>11</v>
      </c>
      <c r="H589">
        <v>0</v>
      </c>
      <c r="I589">
        <v>250324.33203794199</v>
      </c>
      <c r="J589">
        <v>0.76304381853102898</v>
      </c>
      <c r="K589" t="str">
        <f t="shared" si="72"/>
        <v>OK</v>
      </c>
      <c r="L589" t="str">
        <f t="shared" si="73"/>
        <v>OK</v>
      </c>
      <c r="M589" t="str">
        <f>IF(OR(B589&lt;$AE$20,B589&gt;$AF$20),"Outlier","OK")</f>
        <v>OK</v>
      </c>
      <c r="N589" t="str">
        <f>IF(OR(J589&lt;$AE$21,J589&gt;$AF$21),"Outlier","OK")</f>
        <v>OK</v>
      </c>
      <c r="O589" t="str">
        <f>IF(OR(C589&lt;0,C589&gt;1),"Outlier","OK")</f>
        <v>OK</v>
      </c>
      <c r="P589" t="str">
        <f>IF(OR(D589&lt;0,D589&gt;1),"Outlier","OK")</f>
        <v>Outlier</v>
      </c>
      <c r="Q589" t="str">
        <f t="shared" si="74"/>
        <v>60-80%</v>
      </c>
      <c r="R589" t="str">
        <f>IF(B589="","Missing","OK")</f>
        <v>OK</v>
      </c>
      <c r="S589" t="str">
        <f>IF(E589="","Missing","OK")</f>
        <v>OK</v>
      </c>
      <c r="T589" t="str">
        <f t="shared" si="75"/>
        <v>OK</v>
      </c>
      <c r="U589">
        <f>COUNTIF($A:$A,A589)</f>
        <v>1</v>
      </c>
      <c r="V589" t="str">
        <f t="shared" si="76"/>
        <v>OK</v>
      </c>
      <c r="W589" t="str">
        <f>IF(I589&gt;B589,"ERROR","OK")</f>
        <v>OK</v>
      </c>
      <c r="X589">
        <f>(B589-I589)/B589</f>
        <v>0.76304381853102787</v>
      </c>
      <c r="Y589" s="2">
        <f t="shared" si="77"/>
        <v>1.1102230246251565E-15</v>
      </c>
      <c r="Z589" s="2" t="str">
        <f t="shared" si="78"/>
        <v>OK</v>
      </c>
      <c r="AA589" t="str">
        <f t="shared" si="79"/>
        <v>Unique</v>
      </c>
    </row>
    <row r="590" spans="1:27" x14ac:dyDescent="0.3">
      <c r="A590">
        <v>589</v>
      </c>
      <c r="B590">
        <v>1595670.1534166201</v>
      </c>
      <c r="C590">
        <v>0.39350944653863701</v>
      </c>
      <c r="D590">
        <v>-4.0967384810146203E-2</v>
      </c>
      <c r="E590">
        <v>0.52241768487363105</v>
      </c>
      <c r="F590">
        <v>1</v>
      </c>
      <c r="G590" t="s">
        <v>10</v>
      </c>
      <c r="H590">
        <v>0</v>
      </c>
      <c r="I590">
        <v>833606.30736986594</v>
      </c>
      <c r="J590">
        <v>0.47758231512636801</v>
      </c>
      <c r="K590" t="str">
        <f t="shared" si="72"/>
        <v>OK</v>
      </c>
      <c r="L590" t="str">
        <f t="shared" si="73"/>
        <v>OK</v>
      </c>
      <c r="M590" t="str">
        <f>IF(OR(B590&lt;$AE$20,B590&gt;$AF$20),"Outlier","OK")</f>
        <v>OK</v>
      </c>
      <c r="N590" t="str">
        <f>IF(OR(J590&lt;$AE$21,J590&gt;$AF$21),"Outlier","OK")</f>
        <v>OK</v>
      </c>
      <c r="O590" t="str">
        <f>IF(OR(C590&lt;0,C590&gt;1),"Outlier","OK")</f>
        <v>OK</v>
      </c>
      <c r="P590" t="str">
        <f>IF(OR(D590&lt;0,D590&gt;1),"Outlier","OK")</f>
        <v>Outlier</v>
      </c>
      <c r="Q590" t="str">
        <f t="shared" si="74"/>
        <v>40-60%</v>
      </c>
      <c r="R590" t="str">
        <f>IF(B590="","Missing","OK")</f>
        <v>OK</v>
      </c>
      <c r="S590" t="str">
        <f>IF(E590="","Missing","OK")</f>
        <v>OK</v>
      </c>
      <c r="T590" t="str">
        <f t="shared" si="75"/>
        <v>OK</v>
      </c>
      <c r="U590">
        <f>COUNTIF($A:$A,A590)</f>
        <v>1</v>
      </c>
      <c r="V590" t="str">
        <f t="shared" si="76"/>
        <v>OK</v>
      </c>
      <c r="W590" t="str">
        <f>IF(I590&gt;B590,"ERROR","OK")</f>
        <v>OK</v>
      </c>
      <c r="X590">
        <f>(B590-I590)/B590</f>
        <v>0.47758231512636667</v>
      </c>
      <c r="Y590" s="2">
        <f t="shared" si="77"/>
        <v>1.3322676295501878E-15</v>
      </c>
      <c r="Z590" s="2" t="str">
        <f t="shared" si="78"/>
        <v>OK</v>
      </c>
      <c r="AA590" t="str">
        <f t="shared" si="79"/>
        <v>Unique</v>
      </c>
    </row>
    <row r="591" spans="1:27" x14ac:dyDescent="0.3">
      <c r="A591">
        <v>590</v>
      </c>
      <c r="B591">
        <v>523776.26369450701</v>
      </c>
      <c r="C591">
        <v>0.74346849581752295</v>
      </c>
      <c r="D591">
        <v>-3.4773207418310699E-2</v>
      </c>
      <c r="E591">
        <v>0.69602335649004698</v>
      </c>
      <c r="F591">
        <v>1</v>
      </c>
      <c r="G591" t="s">
        <v>10</v>
      </c>
      <c r="H591">
        <v>0</v>
      </c>
      <c r="I591">
        <v>364560.51310646703</v>
      </c>
      <c r="J591">
        <v>0.30397664350995202</v>
      </c>
      <c r="K591" t="str">
        <f t="shared" si="72"/>
        <v>OK</v>
      </c>
      <c r="L591" t="str">
        <f t="shared" si="73"/>
        <v>OK</v>
      </c>
      <c r="M591" t="str">
        <f>IF(OR(B591&lt;$AE$20,B591&gt;$AF$20),"Outlier","OK")</f>
        <v>OK</v>
      </c>
      <c r="N591" t="str">
        <f>IF(OR(J591&lt;$AE$21,J591&gt;$AF$21),"Outlier","OK")</f>
        <v>OK</v>
      </c>
      <c r="O591" t="str">
        <f>IF(OR(C591&lt;0,C591&gt;1),"Outlier","OK")</f>
        <v>OK</v>
      </c>
      <c r="P591" t="str">
        <f>IF(OR(D591&lt;0,D591&gt;1),"Outlier","OK")</f>
        <v>Outlier</v>
      </c>
      <c r="Q591" t="str">
        <f t="shared" si="74"/>
        <v>20-40%</v>
      </c>
      <c r="R591" t="str">
        <f>IF(B591="","Missing","OK")</f>
        <v>OK</v>
      </c>
      <c r="S591" t="str">
        <f>IF(E591="","Missing","OK")</f>
        <v>OK</v>
      </c>
      <c r="T591" t="str">
        <f t="shared" si="75"/>
        <v>OK</v>
      </c>
      <c r="U591">
        <f>COUNTIF($A:$A,A591)</f>
        <v>1</v>
      </c>
      <c r="V591" t="str">
        <f t="shared" si="76"/>
        <v>OK</v>
      </c>
      <c r="W591" t="str">
        <f>IF(I591&gt;B591,"ERROR","OK")</f>
        <v>OK</v>
      </c>
      <c r="X591">
        <f>(B591-I591)/B591</f>
        <v>0.3039766435099524</v>
      </c>
      <c r="Y591" s="2">
        <f t="shared" si="77"/>
        <v>3.8857805861880479E-16</v>
      </c>
      <c r="Z591" s="2" t="str">
        <f t="shared" si="78"/>
        <v>OK</v>
      </c>
      <c r="AA591" t="str">
        <f t="shared" si="79"/>
        <v>Unique</v>
      </c>
    </row>
    <row r="592" spans="1:27" x14ac:dyDescent="0.3">
      <c r="A592">
        <v>591</v>
      </c>
      <c r="B592">
        <v>957038.57362432603</v>
      </c>
      <c r="C592">
        <v>0.25534873502723399</v>
      </c>
      <c r="D592">
        <v>0.186621618586225</v>
      </c>
      <c r="E592">
        <v>5.2843295397651903E-2</v>
      </c>
      <c r="F592">
        <v>1</v>
      </c>
      <c r="G592" t="s">
        <v>13</v>
      </c>
      <c r="H592">
        <v>1</v>
      </c>
      <c r="I592">
        <v>50573.072052977703</v>
      </c>
      <c r="J592">
        <v>0.94715670460234802</v>
      </c>
      <c r="K592" t="str">
        <f t="shared" si="72"/>
        <v>OK</v>
      </c>
      <c r="L592" t="str">
        <f t="shared" si="73"/>
        <v>OK</v>
      </c>
      <c r="M592" t="str">
        <f>IF(OR(B592&lt;$AE$20,B592&gt;$AF$20),"Outlier","OK")</f>
        <v>OK</v>
      </c>
      <c r="N592" t="str">
        <f>IF(OR(J592&lt;$AE$21,J592&gt;$AF$21),"Outlier","OK")</f>
        <v>OK</v>
      </c>
      <c r="O592" t="str">
        <f>IF(OR(C592&lt;0,C592&gt;1),"Outlier","OK")</f>
        <v>OK</v>
      </c>
      <c r="P592" t="str">
        <f>IF(OR(D592&lt;0,D592&gt;1),"Outlier","OK")</f>
        <v>OK</v>
      </c>
      <c r="Q592" t="str">
        <f t="shared" si="74"/>
        <v>80-100%</v>
      </c>
      <c r="R592" t="str">
        <f>IF(B592="","Missing","OK")</f>
        <v>OK</v>
      </c>
      <c r="S592" t="str">
        <f>IF(E592="","Missing","OK")</f>
        <v>OK</v>
      </c>
      <c r="T592" t="str">
        <f t="shared" si="75"/>
        <v>OK</v>
      </c>
      <c r="U592">
        <f>COUNTIF($A:$A,A592)</f>
        <v>1</v>
      </c>
      <c r="V592" t="str">
        <f t="shared" si="76"/>
        <v>OK</v>
      </c>
      <c r="W592" t="str">
        <f>IF(I592&gt;B592,"ERROR","OK")</f>
        <v>OK</v>
      </c>
      <c r="X592">
        <f>(B592-I592)/B592</f>
        <v>0.94715670460234802</v>
      </c>
      <c r="Y592" s="2">
        <f t="shared" si="77"/>
        <v>0</v>
      </c>
      <c r="Z592" s="2" t="str">
        <f t="shared" si="78"/>
        <v>OK</v>
      </c>
      <c r="AA592" t="str">
        <f t="shared" si="79"/>
        <v>Unique</v>
      </c>
    </row>
    <row r="593" spans="1:27" x14ac:dyDescent="0.3">
      <c r="A593">
        <v>592</v>
      </c>
      <c r="B593">
        <v>898222.13637276995</v>
      </c>
      <c r="C593">
        <v>0.89704325621610903</v>
      </c>
      <c r="D593">
        <v>-1.34622930956926E-2</v>
      </c>
      <c r="E593">
        <v>0.22236321686232299</v>
      </c>
      <c r="F593">
        <v>1</v>
      </c>
      <c r="G593" t="s">
        <v>12</v>
      </c>
      <c r="H593">
        <v>0</v>
      </c>
      <c r="I593">
        <v>199731.563700798</v>
      </c>
      <c r="J593">
        <v>0.77763678313767604</v>
      </c>
      <c r="K593" t="str">
        <f t="shared" si="72"/>
        <v>OK</v>
      </c>
      <c r="L593" t="str">
        <f t="shared" si="73"/>
        <v>OK</v>
      </c>
      <c r="M593" t="str">
        <f>IF(OR(B593&lt;$AE$20,B593&gt;$AF$20),"Outlier","OK")</f>
        <v>OK</v>
      </c>
      <c r="N593" t="str">
        <f>IF(OR(J593&lt;$AE$21,J593&gt;$AF$21),"Outlier","OK")</f>
        <v>OK</v>
      </c>
      <c r="O593" t="str">
        <f>IF(OR(C593&lt;0,C593&gt;1),"Outlier","OK")</f>
        <v>OK</v>
      </c>
      <c r="P593" t="str">
        <f>IF(OR(D593&lt;0,D593&gt;1),"Outlier","OK")</f>
        <v>Outlier</v>
      </c>
      <c r="Q593" t="str">
        <f t="shared" si="74"/>
        <v>60-80%</v>
      </c>
      <c r="R593" t="str">
        <f>IF(B593="","Missing","OK")</f>
        <v>OK</v>
      </c>
      <c r="S593" t="str">
        <f>IF(E593="","Missing","OK")</f>
        <v>OK</v>
      </c>
      <c r="T593" t="str">
        <f t="shared" si="75"/>
        <v>OK</v>
      </c>
      <c r="U593">
        <f>COUNTIF($A:$A,A593)</f>
        <v>1</v>
      </c>
      <c r="V593" t="str">
        <f t="shared" si="76"/>
        <v>OK</v>
      </c>
      <c r="W593" t="str">
        <f>IF(I593&gt;B593,"ERROR","OK")</f>
        <v>OK</v>
      </c>
      <c r="X593">
        <f>(B593-I593)/B593</f>
        <v>0.77763678313767626</v>
      </c>
      <c r="Y593" s="2">
        <f t="shared" si="77"/>
        <v>2.2204460492503131E-16</v>
      </c>
      <c r="Z593" s="2" t="str">
        <f t="shared" si="78"/>
        <v>OK</v>
      </c>
      <c r="AA593" t="str">
        <f t="shared" si="79"/>
        <v>Unique</v>
      </c>
    </row>
    <row r="594" spans="1:27" x14ac:dyDescent="0.3">
      <c r="A594">
        <v>593</v>
      </c>
      <c r="B594">
        <v>835434.98010427505</v>
      </c>
      <c r="C594">
        <v>0.112452792144535</v>
      </c>
      <c r="D594">
        <v>0.18666578390403801</v>
      </c>
      <c r="E594">
        <v>0.19632258986517701</v>
      </c>
      <c r="F594">
        <v>1</v>
      </c>
      <c r="G594" t="s">
        <v>10</v>
      </c>
      <c r="H594">
        <v>1</v>
      </c>
      <c r="I594">
        <v>164014.75895803401</v>
      </c>
      <c r="J594">
        <v>0.80367741013482197</v>
      </c>
      <c r="K594" t="str">
        <f t="shared" si="72"/>
        <v>OK</v>
      </c>
      <c r="L594" t="str">
        <f t="shared" si="73"/>
        <v>OK</v>
      </c>
      <c r="M594" t="str">
        <f>IF(OR(B594&lt;$AE$20,B594&gt;$AF$20),"Outlier","OK")</f>
        <v>OK</v>
      </c>
      <c r="N594" t="str">
        <f>IF(OR(J594&lt;$AE$21,J594&gt;$AF$21),"Outlier","OK")</f>
        <v>OK</v>
      </c>
      <c r="O594" t="str">
        <f>IF(OR(C594&lt;0,C594&gt;1),"Outlier","OK")</f>
        <v>OK</v>
      </c>
      <c r="P594" t="str">
        <f>IF(OR(D594&lt;0,D594&gt;1),"Outlier","OK")</f>
        <v>OK</v>
      </c>
      <c r="Q594" t="str">
        <f t="shared" si="74"/>
        <v>80-100%</v>
      </c>
      <c r="R594" t="str">
        <f>IF(B594="","Missing","OK")</f>
        <v>OK</v>
      </c>
      <c r="S594" t="str">
        <f>IF(E594="","Missing","OK")</f>
        <v>OK</v>
      </c>
      <c r="T594" t="str">
        <f t="shared" si="75"/>
        <v>OK</v>
      </c>
      <c r="U594">
        <f>COUNTIF($A:$A,A594)</f>
        <v>1</v>
      </c>
      <c r="V594" t="str">
        <f t="shared" si="76"/>
        <v>OK</v>
      </c>
      <c r="W594" t="str">
        <f>IF(I594&gt;B594,"ERROR","OK")</f>
        <v>OK</v>
      </c>
      <c r="X594">
        <f>(B594-I594)/B594</f>
        <v>0.80367741013482286</v>
      </c>
      <c r="Y594" s="2">
        <f t="shared" si="77"/>
        <v>8.8817841970012523E-16</v>
      </c>
      <c r="Z594" s="2" t="str">
        <f t="shared" si="78"/>
        <v>OK</v>
      </c>
      <c r="AA594" t="str">
        <f t="shared" si="79"/>
        <v>Unique</v>
      </c>
    </row>
    <row r="595" spans="1:27" x14ac:dyDescent="0.3">
      <c r="A595">
        <v>594</v>
      </c>
      <c r="B595">
        <v>287587.07914645202</v>
      </c>
      <c r="C595">
        <v>0.53400748086668504</v>
      </c>
      <c r="D595">
        <v>0.19848602359649101</v>
      </c>
      <c r="E595">
        <v>0.23552744281680499</v>
      </c>
      <c r="F595">
        <v>1</v>
      </c>
      <c r="G595" t="s">
        <v>12</v>
      </c>
      <c r="H595">
        <v>0</v>
      </c>
      <c r="I595">
        <v>67734.649338518298</v>
      </c>
      <c r="J595">
        <v>0.76447255718319396</v>
      </c>
      <c r="K595" t="str">
        <f t="shared" si="72"/>
        <v>OK</v>
      </c>
      <c r="L595" t="str">
        <f t="shared" si="73"/>
        <v>OK</v>
      </c>
      <c r="M595" t="str">
        <f>IF(OR(B595&lt;$AE$20,B595&gt;$AF$20),"Outlier","OK")</f>
        <v>OK</v>
      </c>
      <c r="N595" t="str">
        <f>IF(OR(J595&lt;$AE$21,J595&gt;$AF$21),"Outlier","OK")</f>
        <v>OK</v>
      </c>
      <c r="O595" t="str">
        <f>IF(OR(C595&lt;0,C595&gt;1),"Outlier","OK")</f>
        <v>OK</v>
      </c>
      <c r="P595" t="str">
        <f>IF(OR(D595&lt;0,D595&gt;1),"Outlier","OK")</f>
        <v>OK</v>
      </c>
      <c r="Q595" t="str">
        <f t="shared" si="74"/>
        <v>60-80%</v>
      </c>
      <c r="R595" t="str">
        <f>IF(B595="","Missing","OK")</f>
        <v>OK</v>
      </c>
      <c r="S595" t="str">
        <f>IF(E595="","Missing","OK")</f>
        <v>OK</v>
      </c>
      <c r="T595" t="str">
        <f t="shared" si="75"/>
        <v>OK</v>
      </c>
      <c r="U595">
        <f>COUNTIF($A:$A,A595)</f>
        <v>1</v>
      </c>
      <c r="V595" t="str">
        <f t="shared" si="76"/>
        <v>OK</v>
      </c>
      <c r="W595" t="str">
        <f>IF(I595&gt;B595,"ERROR","OK")</f>
        <v>OK</v>
      </c>
      <c r="X595">
        <f>(B595-I595)/B595</f>
        <v>0.76447255718319385</v>
      </c>
      <c r="Y595" s="2">
        <f t="shared" si="77"/>
        <v>1.1102230246251565E-16</v>
      </c>
      <c r="Z595" s="2" t="str">
        <f t="shared" si="78"/>
        <v>OK</v>
      </c>
      <c r="AA595" t="str">
        <f t="shared" si="79"/>
        <v>Unique</v>
      </c>
    </row>
    <row r="596" spans="1:27" x14ac:dyDescent="0.3">
      <c r="A596">
        <v>595</v>
      </c>
      <c r="B596">
        <v>1075137.50547678</v>
      </c>
      <c r="C596">
        <v>0.140497979622666</v>
      </c>
      <c r="D596">
        <v>0.18258768164964401</v>
      </c>
      <c r="E596">
        <v>0.48578525019052299</v>
      </c>
      <c r="F596">
        <v>1</v>
      </c>
      <c r="G596" t="s">
        <v>12</v>
      </c>
      <c r="H596">
        <v>1</v>
      </c>
      <c r="I596">
        <v>522285.942087256</v>
      </c>
      <c r="J596">
        <v>0.51421474980947601</v>
      </c>
      <c r="K596" t="str">
        <f t="shared" si="72"/>
        <v>OK</v>
      </c>
      <c r="L596" t="str">
        <f t="shared" si="73"/>
        <v>OK</v>
      </c>
      <c r="M596" t="str">
        <f>IF(OR(B596&lt;$AE$20,B596&gt;$AF$20),"Outlier","OK")</f>
        <v>OK</v>
      </c>
      <c r="N596" t="str">
        <f>IF(OR(J596&lt;$AE$21,J596&gt;$AF$21),"Outlier","OK")</f>
        <v>OK</v>
      </c>
      <c r="O596" t="str">
        <f>IF(OR(C596&lt;0,C596&gt;1),"Outlier","OK")</f>
        <v>OK</v>
      </c>
      <c r="P596" t="str">
        <f>IF(OR(D596&lt;0,D596&gt;1),"Outlier","OK")</f>
        <v>OK</v>
      </c>
      <c r="Q596" t="str">
        <f t="shared" si="74"/>
        <v>40-60%</v>
      </c>
      <c r="R596" t="str">
        <f>IF(B596="","Missing","OK")</f>
        <v>OK</v>
      </c>
      <c r="S596" t="str">
        <f>IF(E596="","Missing","OK")</f>
        <v>OK</v>
      </c>
      <c r="T596" t="str">
        <f t="shared" si="75"/>
        <v>OK</v>
      </c>
      <c r="U596">
        <f>COUNTIF($A:$A,A596)</f>
        <v>1</v>
      </c>
      <c r="V596" t="str">
        <f t="shared" si="76"/>
        <v>OK</v>
      </c>
      <c r="W596" t="str">
        <f>IF(I596&gt;B596,"ERROR","OK")</f>
        <v>OK</v>
      </c>
      <c r="X596">
        <f>(B596-I596)/B596</f>
        <v>0.51421474980947357</v>
      </c>
      <c r="Y596" s="2">
        <f t="shared" si="77"/>
        <v>2.4424906541753444E-15</v>
      </c>
      <c r="Z596" s="2" t="str">
        <f t="shared" si="78"/>
        <v>OK</v>
      </c>
      <c r="AA596" t="str">
        <f t="shared" si="79"/>
        <v>Unique</v>
      </c>
    </row>
    <row r="597" spans="1:27" x14ac:dyDescent="0.3">
      <c r="A597">
        <v>596</v>
      </c>
      <c r="B597">
        <v>920184.31227714603</v>
      </c>
      <c r="C597">
        <v>0.62760491984789701</v>
      </c>
      <c r="D597">
        <v>-1.5378042946097899E-2</v>
      </c>
      <c r="E597">
        <v>0.12380846123900099</v>
      </c>
      <c r="F597">
        <v>1</v>
      </c>
      <c r="G597" t="s">
        <v>13</v>
      </c>
      <c r="H597">
        <v>0</v>
      </c>
      <c r="I597">
        <v>113926.603759302</v>
      </c>
      <c r="J597">
        <v>0.87619153876099798</v>
      </c>
      <c r="K597" t="str">
        <f t="shared" si="72"/>
        <v>OK</v>
      </c>
      <c r="L597" t="str">
        <f t="shared" si="73"/>
        <v>OK</v>
      </c>
      <c r="M597" t="str">
        <f>IF(OR(B597&lt;$AE$20,B597&gt;$AF$20),"Outlier","OK")</f>
        <v>OK</v>
      </c>
      <c r="N597" t="str">
        <f>IF(OR(J597&lt;$AE$21,J597&gt;$AF$21),"Outlier","OK")</f>
        <v>OK</v>
      </c>
      <c r="O597" t="str">
        <f>IF(OR(C597&lt;0,C597&gt;1),"Outlier","OK")</f>
        <v>OK</v>
      </c>
      <c r="P597" t="str">
        <f>IF(OR(D597&lt;0,D597&gt;1),"Outlier","OK")</f>
        <v>Outlier</v>
      </c>
      <c r="Q597" t="str">
        <f t="shared" si="74"/>
        <v>80-100%</v>
      </c>
      <c r="R597" t="str">
        <f>IF(B597="","Missing","OK")</f>
        <v>OK</v>
      </c>
      <c r="S597" t="str">
        <f>IF(E597="","Missing","OK")</f>
        <v>OK</v>
      </c>
      <c r="T597" t="str">
        <f t="shared" si="75"/>
        <v>OK</v>
      </c>
      <c r="U597">
        <f>COUNTIF($A:$A,A597)</f>
        <v>1</v>
      </c>
      <c r="V597" t="str">
        <f t="shared" si="76"/>
        <v>OK</v>
      </c>
      <c r="W597" t="str">
        <f>IF(I597&gt;B597,"ERROR","OK")</f>
        <v>OK</v>
      </c>
      <c r="X597">
        <f>(B597-I597)/B597</f>
        <v>0.87619153876099887</v>
      </c>
      <c r="Y597" s="2">
        <f t="shared" si="77"/>
        <v>8.8817841970012523E-16</v>
      </c>
      <c r="Z597" s="2" t="str">
        <f t="shared" si="78"/>
        <v>OK</v>
      </c>
      <c r="AA597" t="str">
        <f t="shared" si="79"/>
        <v>Unique</v>
      </c>
    </row>
    <row r="598" spans="1:27" x14ac:dyDescent="0.3">
      <c r="A598">
        <v>597</v>
      </c>
      <c r="B598">
        <v>1343615.8766913901</v>
      </c>
      <c r="C598">
        <v>0.33861713595181903</v>
      </c>
      <c r="D598">
        <v>-2.29592708436442E-2</v>
      </c>
      <c r="E598">
        <v>0.65733013047712896</v>
      </c>
      <c r="F598">
        <v>1</v>
      </c>
      <c r="G598" t="s">
        <v>13</v>
      </c>
      <c r="H598">
        <v>1</v>
      </c>
      <c r="I598">
        <v>883199.19953670003</v>
      </c>
      <c r="J598">
        <v>0.34266986952286999</v>
      </c>
      <c r="K598" t="str">
        <f t="shared" si="72"/>
        <v>OK</v>
      </c>
      <c r="L598" t="str">
        <f t="shared" si="73"/>
        <v>OK</v>
      </c>
      <c r="M598" t="str">
        <f>IF(OR(B598&lt;$AE$20,B598&gt;$AF$20),"Outlier","OK")</f>
        <v>OK</v>
      </c>
      <c r="N598" t="str">
        <f>IF(OR(J598&lt;$AE$21,J598&gt;$AF$21),"Outlier","OK")</f>
        <v>OK</v>
      </c>
      <c r="O598" t="str">
        <f>IF(OR(C598&lt;0,C598&gt;1),"Outlier","OK")</f>
        <v>OK</v>
      </c>
      <c r="P598" t="str">
        <f>IF(OR(D598&lt;0,D598&gt;1),"Outlier","OK")</f>
        <v>Outlier</v>
      </c>
      <c r="Q598" t="str">
        <f t="shared" si="74"/>
        <v>20-40%</v>
      </c>
      <c r="R598" t="str">
        <f>IF(B598="","Missing","OK")</f>
        <v>OK</v>
      </c>
      <c r="S598" t="str">
        <f>IF(E598="","Missing","OK")</f>
        <v>OK</v>
      </c>
      <c r="T598" t="str">
        <f t="shared" si="75"/>
        <v>OK</v>
      </c>
      <c r="U598">
        <f>COUNTIF($A:$A,A598)</f>
        <v>1</v>
      </c>
      <c r="V598" t="str">
        <f t="shared" si="76"/>
        <v>OK</v>
      </c>
      <c r="W598" t="str">
        <f>IF(I598&gt;B598,"ERROR","OK")</f>
        <v>OK</v>
      </c>
      <c r="X598">
        <f>(B598-I598)/B598</f>
        <v>0.34266986952286616</v>
      </c>
      <c r="Y598" s="2">
        <f t="shared" si="77"/>
        <v>3.8302694349567901E-15</v>
      </c>
      <c r="Z598" s="2" t="str">
        <f t="shared" si="78"/>
        <v>OK</v>
      </c>
      <c r="AA598" t="str">
        <f t="shared" si="79"/>
        <v>Unique</v>
      </c>
    </row>
    <row r="599" spans="1:27" x14ac:dyDescent="0.3">
      <c r="A599">
        <v>598</v>
      </c>
      <c r="B599">
        <v>1121355.46462578</v>
      </c>
      <c r="C599">
        <v>0.57661689418117801</v>
      </c>
      <c r="D599">
        <v>0.16456026225173001</v>
      </c>
      <c r="E599">
        <v>0.22701402171700999</v>
      </c>
      <c r="F599">
        <v>1</v>
      </c>
      <c r="G599" t="s">
        <v>10</v>
      </c>
      <c r="H599">
        <v>0</v>
      </c>
      <c r="I599">
        <v>254563.41379904401</v>
      </c>
      <c r="J599">
        <v>0.77298597828298898</v>
      </c>
      <c r="K599" t="str">
        <f t="shared" si="72"/>
        <v>OK</v>
      </c>
      <c r="L599" t="str">
        <f t="shared" si="73"/>
        <v>OK</v>
      </c>
      <c r="M599" t="str">
        <f>IF(OR(B599&lt;$AE$20,B599&gt;$AF$20),"Outlier","OK")</f>
        <v>OK</v>
      </c>
      <c r="N599" t="str">
        <f>IF(OR(J599&lt;$AE$21,J599&gt;$AF$21),"Outlier","OK")</f>
        <v>OK</v>
      </c>
      <c r="O599" t="str">
        <f>IF(OR(C599&lt;0,C599&gt;1),"Outlier","OK")</f>
        <v>OK</v>
      </c>
      <c r="P599" t="str">
        <f>IF(OR(D599&lt;0,D599&gt;1),"Outlier","OK")</f>
        <v>OK</v>
      </c>
      <c r="Q599" t="str">
        <f t="shared" si="74"/>
        <v>60-80%</v>
      </c>
      <c r="R599" t="str">
        <f>IF(B599="","Missing","OK")</f>
        <v>OK</v>
      </c>
      <c r="S599" t="str">
        <f>IF(E599="","Missing","OK")</f>
        <v>OK</v>
      </c>
      <c r="T599" t="str">
        <f t="shared" si="75"/>
        <v>OK</v>
      </c>
      <c r="U599">
        <f>COUNTIF($A:$A,A599)</f>
        <v>1</v>
      </c>
      <c r="V599" t="str">
        <f t="shared" si="76"/>
        <v>OK</v>
      </c>
      <c r="W599" t="str">
        <f>IF(I599&gt;B599,"ERROR","OK")</f>
        <v>OK</v>
      </c>
      <c r="X599">
        <f>(B599-I599)/B599</f>
        <v>0.77298597828299065</v>
      </c>
      <c r="Y599" s="2">
        <f t="shared" si="77"/>
        <v>1.6653345369377348E-15</v>
      </c>
      <c r="Z599" s="2" t="str">
        <f t="shared" si="78"/>
        <v>OK</v>
      </c>
      <c r="AA599" t="str">
        <f t="shared" si="79"/>
        <v>Unique</v>
      </c>
    </row>
    <row r="600" spans="1:27" x14ac:dyDescent="0.3">
      <c r="A600">
        <v>599</v>
      </c>
      <c r="B600">
        <v>103708.71282169801</v>
      </c>
      <c r="C600">
        <v>0.64400616607257599</v>
      </c>
      <c r="D600">
        <v>1.5229910344509301E-2</v>
      </c>
      <c r="E600">
        <v>0.16461399920120201</v>
      </c>
      <c r="F600">
        <v>1</v>
      </c>
      <c r="G600" t="s">
        <v>12</v>
      </c>
      <c r="H600">
        <v>0</v>
      </c>
      <c r="I600">
        <v>17071.905969588799</v>
      </c>
      <c r="J600">
        <v>0.83538600079879699</v>
      </c>
      <c r="K600" t="str">
        <f t="shared" si="72"/>
        <v>OK</v>
      </c>
      <c r="L600" t="str">
        <f t="shared" si="73"/>
        <v>OK</v>
      </c>
      <c r="M600" t="str">
        <f>IF(OR(B600&lt;$AE$20,B600&gt;$AF$20),"Outlier","OK")</f>
        <v>OK</v>
      </c>
      <c r="N600" t="str">
        <f>IF(OR(J600&lt;$AE$21,J600&gt;$AF$21),"Outlier","OK")</f>
        <v>OK</v>
      </c>
      <c r="O600" t="str">
        <f>IF(OR(C600&lt;0,C600&gt;1),"Outlier","OK")</f>
        <v>OK</v>
      </c>
      <c r="P600" t="str">
        <f>IF(OR(D600&lt;0,D600&gt;1),"Outlier","OK")</f>
        <v>OK</v>
      </c>
      <c r="Q600" t="str">
        <f t="shared" si="74"/>
        <v>80-100%</v>
      </c>
      <c r="R600" t="str">
        <f>IF(B600="","Missing","OK")</f>
        <v>OK</v>
      </c>
      <c r="S600" t="str">
        <f>IF(E600="","Missing","OK")</f>
        <v>OK</v>
      </c>
      <c r="T600" t="str">
        <f t="shared" si="75"/>
        <v>OK</v>
      </c>
      <c r="U600">
        <f>COUNTIF($A:$A,A600)</f>
        <v>1</v>
      </c>
      <c r="V600" t="str">
        <f t="shared" si="76"/>
        <v>OK</v>
      </c>
      <c r="W600" t="str">
        <f>IF(I600&gt;B600,"ERROR","OK")</f>
        <v>OK</v>
      </c>
      <c r="X600">
        <f>(B600-I600)/B600</f>
        <v>0.83538600079879688</v>
      </c>
      <c r="Y600" s="2">
        <f t="shared" si="77"/>
        <v>1.1102230246251565E-16</v>
      </c>
      <c r="Z600" s="2" t="str">
        <f t="shared" si="78"/>
        <v>OK</v>
      </c>
      <c r="AA600" t="str">
        <f t="shared" si="79"/>
        <v>Unique</v>
      </c>
    </row>
    <row r="601" spans="1:27" x14ac:dyDescent="0.3">
      <c r="A601">
        <v>600</v>
      </c>
      <c r="B601">
        <v>112240.075831215</v>
      </c>
      <c r="C601">
        <v>0.46961167871034898</v>
      </c>
      <c r="D601">
        <v>-4.5814270057123699E-2</v>
      </c>
      <c r="E601">
        <v>0.20735658129663001</v>
      </c>
      <c r="F601">
        <v>1</v>
      </c>
      <c r="G601" t="s">
        <v>11</v>
      </c>
      <c r="H601">
        <v>0</v>
      </c>
      <c r="I601">
        <v>23273.718408835299</v>
      </c>
      <c r="J601">
        <v>0.79264341870336896</v>
      </c>
      <c r="K601" t="str">
        <f t="shared" si="72"/>
        <v>OK</v>
      </c>
      <c r="L601" t="str">
        <f t="shared" si="73"/>
        <v>OK</v>
      </c>
      <c r="M601" t="str">
        <f>IF(OR(B601&lt;$AE$20,B601&gt;$AF$20),"Outlier","OK")</f>
        <v>OK</v>
      </c>
      <c r="N601" t="str">
        <f>IF(OR(J601&lt;$AE$21,J601&gt;$AF$21),"Outlier","OK")</f>
        <v>OK</v>
      </c>
      <c r="O601" t="str">
        <f>IF(OR(C601&lt;0,C601&gt;1),"Outlier","OK")</f>
        <v>OK</v>
      </c>
      <c r="P601" t="str">
        <f>IF(OR(D601&lt;0,D601&gt;1),"Outlier","OK")</f>
        <v>Outlier</v>
      </c>
      <c r="Q601" t="str">
        <f t="shared" si="74"/>
        <v>60-80%</v>
      </c>
      <c r="R601" t="str">
        <f>IF(B601="","Missing","OK")</f>
        <v>OK</v>
      </c>
      <c r="S601" t="str">
        <f>IF(E601="","Missing","OK")</f>
        <v>OK</v>
      </c>
      <c r="T601" t="str">
        <f t="shared" si="75"/>
        <v>OK</v>
      </c>
      <c r="U601">
        <f>COUNTIF($A:$A,A601)</f>
        <v>1</v>
      </c>
      <c r="V601" t="str">
        <f t="shared" si="76"/>
        <v>OK</v>
      </c>
      <c r="W601" t="str">
        <f>IF(I601&gt;B601,"ERROR","OK")</f>
        <v>OK</v>
      </c>
      <c r="X601">
        <f>(B601-I601)/B601</f>
        <v>0.79264341870336963</v>
      </c>
      <c r="Y601" s="2">
        <f t="shared" si="77"/>
        <v>6.6613381477509392E-16</v>
      </c>
      <c r="Z601" s="2" t="str">
        <f t="shared" si="78"/>
        <v>OK</v>
      </c>
      <c r="AA601" t="str">
        <f t="shared" si="79"/>
        <v>Unique</v>
      </c>
    </row>
    <row r="602" spans="1:27" x14ac:dyDescent="0.3">
      <c r="A602">
        <v>601</v>
      </c>
      <c r="B602">
        <v>1417651.61198555</v>
      </c>
      <c r="C602">
        <v>0.72212279912931299</v>
      </c>
      <c r="D602">
        <v>0.131081136902885</v>
      </c>
      <c r="E602">
        <v>0.20255577884509501</v>
      </c>
      <c r="F602">
        <v>1</v>
      </c>
      <c r="G602" t="s">
        <v>11</v>
      </c>
      <c r="H602">
        <v>1</v>
      </c>
      <c r="I602">
        <v>287153.52639673901</v>
      </c>
      <c r="J602">
        <v>0.79744422115490399</v>
      </c>
      <c r="K602" t="str">
        <f t="shared" si="72"/>
        <v>OK</v>
      </c>
      <c r="L602" t="str">
        <f t="shared" si="73"/>
        <v>OK</v>
      </c>
      <c r="M602" t="str">
        <f>IF(OR(B602&lt;$AE$20,B602&gt;$AF$20),"Outlier","OK")</f>
        <v>OK</v>
      </c>
      <c r="N602" t="str">
        <f>IF(OR(J602&lt;$AE$21,J602&gt;$AF$21),"Outlier","OK")</f>
        <v>OK</v>
      </c>
      <c r="O602" t="str">
        <f>IF(OR(C602&lt;0,C602&gt;1),"Outlier","OK")</f>
        <v>OK</v>
      </c>
      <c r="P602" t="str">
        <f>IF(OR(D602&lt;0,D602&gt;1),"Outlier","OK")</f>
        <v>OK</v>
      </c>
      <c r="Q602" t="str">
        <f t="shared" si="74"/>
        <v>60-80%</v>
      </c>
      <c r="R602" t="str">
        <f>IF(B602="","Missing","OK")</f>
        <v>OK</v>
      </c>
      <c r="S602" t="str">
        <f>IF(E602="","Missing","OK")</f>
        <v>OK</v>
      </c>
      <c r="T602" t="str">
        <f t="shared" si="75"/>
        <v>OK</v>
      </c>
      <c r="U602">
        <f>COUNTIF($A:$A,A602)</f>
        <v>1</v>
      </c>
      <c r="V602" t="str">
        <f t="shared" si="76"/>
        <v>OK</v>
      </c>
      <c r="W602" t="str">
        <f>IF(I602&gt;B602,"ERROR","OK")</f>
        <v>OK</v>
      </c>
      <c r="X602">
        <f>(B602-I602)/B602</f>
        <v>0.79744422115490388</v>
      </c>
      <c r="Y602" s="2">
        <f t="shared" si="77"/>
        <v>1.1102230246251565E-16</v>
      </c>
      <c r="Z602" s="2" t="str">
        <f t="shared" si="78"/>
        <v>OK</v>
      </c>
      <c r="AA602" t="str">
        <f t="shared" si="79"/>
        <v>Unique</v>
      </c>
    </row>
    <row r="603" spans="1:27" x14ac:dyDescent="0.3">
      <c r="A603">
        <v>602</v>
      </c>
      <c r="B603">
        <v>1429783.1811907401</v>
      </c>
      <c r="C603">
        <v>0.61101559592476296</v>
      </c>
      <c r="D603">
        <v>-0.17443690868688</v>
      </c>
      <c r="E603">
        <v>0.32276442709512598</v>
      </c>
      <c r="F603">
        <v>1</v>
      </c>
      <c r="G603" t="s">
        <v>10</v>
      </c>
      <c r="H603">
        <v>1</v>
      </c>
      <c r="I603">
        <v>461483.14934727701</v>
      </c>
      <c r="J603">
        <v>0.67723557290487402</v>
      </c>
      <c r="K603" t="str">
        <f t="shared" si="72"/>
        <v>OK</v>
      </c>
      <c r="L603" t="str">
        <f t="shared" si="73"/>
        <v>OK</v>
      </c>
      <c r="M603" t="str">
        <f>IF(OR(B603&lt;$AE$20,B603&gt;$AF$20),"Outlier","OK")</f>
        <v>OK</v>
      </c>
      <c r="N603" t="str">
        <f>IF(OR(J603&lt;$AE$21,J603&gt;$AF$21),"Outlier","OK")</f>
        <v>OK</v>
      </c>
      <c r="O603" t="str">
        <f>IF(OR(C603&lt;0,C603&gt;1),"Outlier","OK")</f>
        <v>OK</v>
      </c>
      <c r="P603" t="str">
        <f>IF(OR(D603&lt;0,D603&gt;1),"Outlier","OK")</f>
        <v>Outlier</v>
      </c>
      <c r="Q603" t="str">
        <f t="shared" si="74"/>
        <v>60-80%</v>
      </c>
      <c r="R603" t="str">
        <f>IF(B603="","Missing","OK")</f>
        <v>OK</v>
      </c>
      <c r="S603" t="str">
        <f>IF(E603="","Missing","OK")</f>
        <v>OK</v>
      </c>
      <c r="T603" t="str">
        <f t="shared" si="75"/>
        <v>OK</v>
      </c>
      <c r="U603">
        <f>COUNTIF($A:$A,A603)</f>
        <v>1</v>
      </c>
      <c r="V603" t="str">
        <f t="shared" si="76"/>
        <v>OK</v>
      </c>
      <c r="W603" t="str">
        <f>IF(I603&gt;B603,"ERROR","OK")</f>
        <v>OK</v>
      </c>
      <c r="X603">
        <f>(B603-I603)/B603</f>
        <v>0.67723557290487324</v>
      </c>
      <c r="Y603" s="2">
        <f t="shared" si="77"/>
        <v>7.7715611723760958E-16</v>
      </c>
      <c r="Z603" s="2" t="str">
        <f t="shared" si="78"/>
        <v>OK</v>
      </c>
      <c r="AA603" t="str">
        <f t="shared" si="79"/>
        <v>Unique</v>
      </c>
    </row>
    <row r="604" spans="1:27" x14ac:dyDescent="0.3">
      <c r="A604">
        <v>603</v>
      </c>
      <c r="B604">
        <v>1921881.3107627099</v>
      </c>
      <c r="C604">
        <v>0.58756516913099899</v>
      </c>
      <c r="D604">
        <v>4.7658776264300901E-2</v>
      </c>
      <c r="E604">
        <v>0.193952432691612</v>
      </c>
      <c r="F604">
        <v>1</v>
      </c>
      <c r="G604" t="s">
        <v>12</v>
      </c>
      <c r="H604">
        <v>1</v>
      </c>
      <c r="I604">
        <v>372753.55556697299</v>
      </c>
      <c r="J604">
        <v>0.806047567308387</v>
      </c>
      <c r="K604" t="str">
        <f t="shared" si="72"/>
        <v>OK</v>
      </c>
      <c r="L604" t="str">
        <f t="shared" si="73"/>
        <v>OK</v>
      </c>
      <c r="M604" t="str">
        <f>IF(OR(B604&lt;$AE$20,B604&gt;$AF$20),"Outlier","OK")</f>
        <v>OK</v>
      </c>
      <c r="N604" t="str">
        <f>IF(OR(J604&lt;$AE$21,J604&gt;$AF$21),"Outlier","OK")</f>
        <v>OK</v>
      </c>
      <c r="O604" t="str">
        <f>IF(OR(C604&lt;0,C604&gt;1),"Outlier","OK")</f>
        <v>OK</v>
      </c>
      <c r="P604" t="str">
        <f>IF(OR(D604&lt;0,D604&gt;1),"Outlier","OK")</f>
        <v>OK</v>
      </c>
      <c r="Q604" t="str">
        <f t="shared" si="74"/>
        <v>80-100%</v>
      </c>
      <c r="R604" t="str">
        <f>IF(B604="","Missing","OK")</f>
        <v>OK</v>
      </c>
      <c r="S604" t="str">
        <f>IF(E604="","Missing","OK")</f>
        <v>OK</v>
      </c>
      <c r="T604" t="str">
        <f t="shared" si="75"/>
        <v>OK</v>
      </c>
      <c r="U604">
        <f>COUNTIF($A:$A,A604)</f>
        <v>1</v>
      </c>
      <c r="V604" t="str">
        <f t="shared" si="76"/>
        <v>OK</v>
      </c>
      <c r="W604" t="str">
        <f>IF(I604&gt;B604,"ERROR","OK")</f>
        <v>OK</v>
      </c>
      <c r="X604">
        <f>(B604-I604)/B604</f>
        <v>0.80604756730838723</v>
      </c>
      <c r="Y604" s="2">
        <f t="shared" si="77"/>
        <v>2.2204460492503131E-16</v>
      </c>
      <c r="Z604" s="2" t="str">
        <f t="shared" si="78"/>
        <v>OK</v>
      </c>
      <c r="AA604" t="str">
        <f t="shared" si="79"/>
        <v>Unique</v>
      </c>
    </row>
    <row r="605" spans="1:27" x14ac:dyDescent="0.3">
      <c r="A605">
        <v>604</v>
      </c>
      <c r="B605">
        <v>1759574.1289324299</v>
      </c>
      <c r="C605">
        <v>0.123574237604686</v>
      </c>
      <c r="D605">
        <v>-1.6565295503898399E-2</v>
      </c>
      <c r="E605">
        <v>0.43573241586356498</v>
      </c>
      <c r="F605">
        <v>1</v>
      </c>
      <c r="G605" t="s">
        <v>13</v>
      </c>
      <c r="H605">
        <v>1</v>
      </c>
      <c r="I605">
        <v>766703.48609075695</v>
      </c>
      <c r="J605">
        <v>0.56426758413643396</v>
      </c>
      <c r="K605" t="str">
        <f t="shared" si="72"/>
        <v>OK</v>
      </c>
      <c r="L605" t="str">
        <f t="shared" si="73"/>
        <v>OK</v>
      </c>
      <c r="M605" t="str">
        <f>IF(OR(B605&lt;$AE$20,B605&gt;$AF$20),"Outlier","OK")</f>
        <v>OK</v>
      </c>
      <c r="N605" t="str">
        <f>IF(OR(J605&lt;$AE$21,J605&gt;$AF$21),"Outlier","OK")</f>
        <v>OK</v>
      </c>
      <c r="O605" t="str">
        <f>IF(OR(C605&lt;0,C605&gt;1),"Outlier","OK")</f>
        <v>OK</v>
      </c>
      <c r="P605" t="str">
        <f>IF(OR(D605&lt;0,D605&gt;1),"Outlier","OK")</f>
        <v>Outlier</v>
      </c>
      <c r="Q605" t="str">
        <f t="shared" si="74"/>
        <v>40-60%</v>
      </c>
      <c r="R605" t="str">
        <f>IF(B605="","Missing","OK")</f>
        <v>OK</v>
      </c>
      <c r="S605" t="str">
        <f>IF(E605="","Missing","OK")</f>
        <v>OK</v>
      </c>
      <c r="T605" t="str">
        <f t="shared" si="75"/>
        <v>OK</v>
      </c>
      <c r="U605">
        <f>COUNTIF($A:$A,A605)</f>
        <v>1</v>
      </c>
      <c r="V605" t="str">
        <f t="shared" si="76"/>
        <v>OK</v>
      </c>
      <c r="W605" t="str">
        <f>IF(I605&gt;B605,"ERROR","OK")</f>
        <v>OK</v>
      </c>
      <c r="X605">
        <f>(B605-I605)/B605</f>
        <v>0.5642675841364343</v>
      </c>
      <c r="Y605" s="2">
        <f t="shared" si="77"/>
        <v>3.3306690738754696E-16</v>
      </c>
      <c r="Z605" s="2" t="str">
        <f t="shared" si="78"/>
        <v>OK</v>
      </c>
      <c r="AA605" t="str">
        <f t="shared" si="79"/>
        <v>Unique</v>
      </c>
    </row>
    <row r="606" spans="1:27" x14ac:dyDescent="0.3">
      <c r="A606">
        <v>605</v>
      </c>
      <c r="B606">
        <v>962716.35140514898</v>
      </c>
      <c r="C606">
        <v>0.53589867725358398</v>
      </c>
      <c r="D606">
        <v>7.1652160304461601E-2</v>
      </c>
      <c r="E606">
        <v>0.22029457226999899</v>
      </c>
      <c r="F606">
        <v>1</v>
      </c>
      <c r="G606" t="s">
        <v>11</v>
      </c>
      <c r="H606">
        <v>1</v>
      </c>
      <c r="I606">
        <v>212081.18685013099</v>
      </c>
      <c r="J606">
        <v>0.77970542772999996</v>
      </c>
      <c r="K606" t="str">
        <f t="shared" si="72"/>
        <v>OK</v>
      </c>
      <c r="L606" t="str">
        <f t="shared" si="73"/>
        <v>OK</v>
      </c>
      <c r="M606" t="str">
        <f>IF(OR(B606&lt;$AE$20,B606&gt;$AF$20),"Outlier","OK")</f>
        <v>OK</v>
      </c>
      <c r="N606" t="str">
        <f>IF(OR(J606&lt;$AE$21,J606&gt;$AF$21),"Outlier","OK")</f>
        <v>OK</v>
      </c>
      <c r="O606" t="str">
        <f>IF(OR(C606&lt;0,C606&gt;1),"Outlier","OK")</f>
        <v>OK</v>
      </c>
      <c r="P606" t="str">
        <f>IF(OR(D606&lt;0,D606&gt;1),"Outlier","OK")</f>
        <v>OK</v>
      </c>
      <c r="Q606" t="str">
        <f t="shared" si="74"/>
        <v>60-80%</v>
      </c>
      <c r="R606" t="str">
        <f>IF(B606="","Missing","OK")</f>
        <v>OK</v>
      </c>
      <c r="S606" t="str">
        <f>IF(E606="","Missing","OK")</f>
        <v>OK</v>
      </c>
      <c r="T606" t="str">
        <f t="shared" si="75"/>
        <v>OK</v>
      </c>
      <c r="U606">
        <f>COUNTIF($A:$A,A606)</f>
        <v>1</v>
      </c>
      <c r="V606" t="str">
        <f t="shared" si="76"/>
        <v>OK</v>
      </c>
      <c r="W606" t="str">
        <f>IF(I606&gt;B606,"ERROR","OK")</f>
        <v>OK</v>
      </c>
      <c r="X606">
        <f>(B606-I606)/B606</f>
        <v>0.77970542773000129</v>
      </c>
      <c r="Y606" s="2">
        <f t="shared" si="77"/>
        <v>1.3322676295501878E-15</v>
      </c>
      <c r="Z606" s="2" t="str">
        <f t="shared" si="78"/>
        <v>OK</v>
      </c>
      <c r="AA606" t="str">
        <f t="shared" si="79"/>
        <v>Unique</v>
      </c>
    </row>
    <row r="607" spans="1:27" x14ac:dyDescent="0.3">
      <c r="A607">
        <v>606</v>
      </c>
      <c r="B607">
        <v>1270517.6977860699</v>
      </c>
      <c r="C607">
        <v>0.576403175472881</v>
      </c>
      <c r="D607">
        <v>0.16023621558066101</v>
      </c>
      <c r="E607">
        <v>0.27561673824570199</v>
      </c>
      <c r="F607">
        <v>1</v>
      </c>
      <c r="G607" t="s">
        <v>11</v>
      </c>
      <c r="H607">
        <v>0</v>
      </c>
      <c r="I607">
        <v>350175.94374723698</v>
      </c>
      <c r="J607">
        <v>0.72438326175429701</v>
      </c>
      <c r="K607" t="str">
        <f t="shared" si="72"/>
        <v>OK</v>
      </c>
      <c r="L607" t="str">
        <f t="shared" si="73"/>
        <v>OK</v>
      </c>
      <c r="M607" t="str">
        <f>IF(OR(B607&lt;$AE$20,B607&gt;$AF$20),"Outlier","OK")</f>
        <v>OK</v>
      </c>
      <c r="N607" t="str">
        <f>IF(OR(J607&lt;$AE$21,J607&gt;$AF$21),"Outlier","OK")</f>
        <v>OK</v>
      </c>
      <c r="O607" t="str">
        <f>IF(OR(C607&lt;0,C607&gt;1),"Outlier","OK")</f>
        <v>OK</v>
      </c>
      <c r="P607" t="str">
        <f>IF(OR(D607&lt;0,D607&gt;1),"Outlier","OK")</f>
        <v>OK</v>
      </c>
      <c r="Q607" t="str">
        <f t="shared" si="74"/>
        <v>60-80%</v>
      </c>
      <c r="R607" t="str">
        <f>IF(B607="","Missing","OK")</f>
        <v>OK</v>
      </c>
      <c r="S607" t="str">
        <f>IF(E607="","Missing","OK")</f>
        <v>OK</v>
      </c>
      <c r="T607" t="str">
        <f t="shared" si="75"/>
        <v>OK</v>
      </c>
      <c r="U607">
        <f>COUNTIF($A:$A,A607)</f>
        <v>1</v>
      </c>
      <c r="V607" t="str">
        <f t="shared" si="76"/>
        <v>OK</v>
      </c>
      <c r="W607" t="str">
        <f>IF(I607&gt;B607,"ERROR","OK")</f>
        <v>OK</v>
      </c>
      <c r="X607">
        <f>(B607-I607)/B607</f>
        <v>0.72438326175429657</v>
      </c>
      <c r="Y607" s="2">
        <f t="shared" si="77"/>
        <v>4.4408920985006262E-16</v>
      </c>
      <c r="Z607" s="2" t="str">
        <f t="shared" si="78"/>
        <v>OK</v>
      </c>
      <c r="AA607" t="str">
        <f t="shared" si="79"/>
        <v>Unique</v>
      </c>
    </row>
    <row r="608" spans="1:27" x14ac:dyDescent="0.3">
      <c r="A608">
        <v>607</v>
      </c>
      <c r="B608">
        <v>941504.36900771805</v>
      </c>
      <c r="C608">
        <v>0.163005848826762</v>
      </c>
      <c r="D608">
        <v>0.170112815162488</v>
      </c>
      <c r="E608">
        <v>0.30663062018312198</v>
      </c>
      <c r="F608">
        <v>1</v>
      </c>
      <c r="G608" t="s">
        <v>11</v>
      </c>
      <c r="H608">
        <v>1</v>
      </c>
      <c r="I608">
        <v>288694.06857395498</v>
      </c>
      <c r="J608">
        <v>0.69336937981687696</v>
      </c>
      <c r="K608" t="str">
        <f t="shared" si="72"/>
        <v>OK</v>
      </c>
      <c r="L608" t="str">
        <f t="shared" si="73"/>
        <v>OK</v>
      </c>
      <c r="M608" t="str">
        <f>IF(OR(B608&lt;$AE$20,B608&gt;$AF$20),"Outlier","OK")</f>
        <v>OK</v>
      </c>
      <c r="N608" t="str">
        <f>IF(OR(J608&lt;$AE$21,J608&gt;$AF$21),"Outlier","OK")</f>
        <v>OK</v>
      </c>
      <c r="O608" t="str">
        <f>IF(OR(C608&lt;0,C608&gt;1),"Outlier","OK")</f>
        <v>OK</v>
      </c>
      <c r="P608" t="str">
        <f>IF(OR(D608&lt;0,D608&gt;1),"Outlier","OK")</f>
        <v>OK</v>
      </c>
      <c r="Q608" t="str">
        <f t="shared" si="74"/>
        <v>60-80%</v>
      </c>
      <c r="R608" t="str">
        <f>IF(B608="","Missing","OK")</f>
        <v>OK</v>
      </c>
      <c r="S608" t="str">
        <f>IF(E608="","Missing","OK")</f>
        <v>OK</v>
      </c>
      <c r="T608" t="str">
        <f t="shared" si="75"/>
        <v>OK</v>
      </c>
      <c r="U608">
        <f>COUNTIF($A:$A,A608)</f>
        <v>1</v>
      </c>
      <c r="V608" t="str">
        <f t="shared" si="76"/>
        <v>OK</v>
      </c>
      <c r="W608" t="str">
        <f>IF(I608&gt;B608,"ERROR","OK")</f>
        <v>OK</v>
      </c>
      <c r="X608">
        <f>(B608-I608)/B608</f>
        <v>0.69336937981687863</v>
      </c>
      <c r="Y608" s="2">
        <f t="shared" si="77"/>
        <v>1.6653345369377348E-15</v>
      </c>
      <c r="Z608" s="2" t="str">
        <f t="shared" si="78"/>
        <v>OK</v>
      </c>
      <c r="AA608" t="str">
        <f t="shared" si="79"/>
        <v>Unique</v>
      </c>
    </row>
    <row r="609" spans="1:27" x14ac:dyDescent="0.3">
      <c r="A609">
        <v>608</v>
      </c>
      <c r="B609">
        <v>484745.16150211799</v>
      </c>
      <c r="C609">
        <v>0.52452519005443798</v>
      </c>
      <c r="D609">
        <v>0.154348615093342</v>
      </c>
      <c r="E609">
        <v>0.164111986167049</v>
      </c>
      <c r="F609">
        <v>1</v>
      </c>
      <c r="G609" t="s">
        <v>11</v>
      </c>
      <c r="H609">
        <v>0</v>
      </c>
      <c r="I609">
        <v>79552.491238979797</v>
      </c>
      <c r="J609">
        <v>0.83588801383294997</v>
      </c>
      <c r="K609" t="str">
        <f t="shared" si="72"/>
        <v>OK</v>
      </c>
      <c r="L609" t="str">
        <f t="shared" si="73"/>
        <v>OK</v>
      </c>
      <c r="M609" t="str">
        <f>IF(OR(B609&lt;$AE$20,B609&gt;$AF$20),"Outlier","OK")</f>
        <v>OK</v>
      </c>
      <c r="N609" t="str">
        <f>IF(OR(J609&lt;$AE$21,J609&gt;$AF$21),"Outlier","OK")</f>
        <v>OK</v>
      </c>
      <c r="O609" t="str">
        <f>IF(OR(C609&lt;0,C609&gt;1),"Outlier","OK")</f>
        <v>OK</v>
      </c>
      <c r="P609" t="str">
        <f>IF(OR(D609&lt;0,D609&gt;1),"Outlier","OK")</f>
        <v>OK</v>
      </c>
      <c r="Q609" t="str">
        <f t="shared" si="74"/>
        <v>80-100%</v>
      </c>
      <c r="R609" t="str">
        <f>IF(B609="","Missing","OK")</f>
        <v>OK</v>
      </c>
      <c r="S609" t="str">
        <f>IF(E609="","Missing","OK")</f>
        <v>OK</v>
      </c>
      <c r="T609" t="str">
        <f t="shared" si="75"/>
        <v>OK</v>
      </c>
      <c r="U609">
        <f>COUNTIF($A:$A,A609)</f>
        <v>1</v>
      </c>
      <c r="V609" t="str">
        <f t="shared" si="76"/>
        <v>OK</v>
      </c>
      <c r="W609" t="str">
        <f>IF(I609&gt;B609,"ERROR","OK")</f>
        <v>OK</v>
      </c>
      <c r="X609">
        <f>(B609-I609)/B609</f>
        <v>0.83588801383295042</v>
      </c>
      <c r="Y609" s="2">
        <f t="shared" si="77"/>
        <v>4.4408920985006262E-16</v>
      </c>
      <c r="Z609" s="2" t="str">
        <f t="shared" si="78"/>
        <v>OK</v>
      </c>
      <c r="AA609" t="str">
        <f t="shared" si="79"/>
        <v>Unique</v>
      </c>
    </row>
    <row r="610" spans="1:27" x14ac:dyDescent="0.3">
      <c r="A610">
        <v>609</v>
      </c>
      <c r="B610">
        <v>784520.14464986802</v>
      </c>
      <c r="C610">
        <v>0.46654619870029701</v>
      </c>
      <c r="D610">
        <v>-0.11183443121089499</v>
      </c>
      <c r="E610">
        <v>0.16529045348507401</v>
      </c>
      <c r="F610">
        <v>1</v>
      </c>
      <c r="G610" t="s">
        <v>10</v>
      </c>
      <c r="H610">
        <v>0</v>
      </c>
      <c r="I610">
        <v>129673.690477353</v>
      </c>
      <c r="J610">
        <v>0.83470954651492502</v>
      </c>
      <c r="K610" t="str">
        <f t="shared" si="72"/>
        <v>OK</v>
      </c>
      <c r="L610" t="str">
        <f t="shared" si="73"/>
        <v>OK</v>
      </c>
      <c r="M610" t="str">
        <f>IF(OR(B610&lt;$AE$20,B610&gt;$AF$20),"Outlier","OK")</f>
        <v>OK</v>
      </c>
      <c r="N610" t="str">
        <f>IF(OR(J610&lt;$AE$21,J610&gt;$AF$21),"Outlier","OK")</f>
        <v>OK</v>
      </c>
      <c r="O610" t="str">
        <f>IF(OR(C610&lt;0,C610&gt;1),"Outlier","OK")</f>
        <v>OK</v>
      </c>
      <c r="P610" t="str">
        <f>IF(OR(D610&lt;0,D610&gt;1),"Outlier","OK")</f>
        <v>Outlier</v>
      </c>
      <c r="Q610" t="str">
        <f t="shared" si="74"/>
        <v>80-100%</v>
      </c>
      <c r="R610" t="str">
        <f>IF(B610="","Missing","OK")</f>
        <v>OK</v>
      </c>
      <c r="S610" t="str">
        <f>IF(E610="","Missing","OK")</f>
        <v>OK</v>
      </c>
      <c r="T610" t="str">
        <f t="shared" si="75"/>
        <v>OK</v>
      </c>
      <c r="U610">
        <f>COUNTIF($A:$A,A610)</f>
        <v>1</v>
      </c>
      <c r="V610" t="str">
        <f t="shared" si="76"/>
        <v>OK</v>
      </c>
      <c r="W610" t="str">
        <f>IF(I610&gt;B610,"ERROR","OK")</f>
        <v>OK</v>
      </c>
      <c r="X610">
        <f>(B610-I610)/B610</f>
        <v>0.83470954651492546</v>
      </c>
      <c r="Y610" s="2">
        <f t="shared" si="77"/>
        <v>4.4408920985006262E-16</v>
      </c>
      <c r="Z610" s="2" t="str">
        <f t="shared" si="78"/>
        <v>OK</v>
      </c>
      <c r="AA610" t="str">
        <f t="shared" si="79"/>
        <v>Unique</v>
      </c>
    </row>
    <row r="611" spans="1:27" x14ac:dyDescent="0.3">
      <c r="A611">
        <v>610</v>
      </c>
      <c r="B611">
        <v>252574.25330609901</v>
      </c>
      <c r="C611">
        <v>0.66808644897500602</v>
      </c>
      <c r="D611">
        <v>4.7126019447298703E-2</v>
      </c>
      <c r="E611">
        <v>0.36758646107758502</v>
      </c>
      <c r="F611">
        <v>1</v>
      </c>
      <c r="G611" t="s">
        <v>11</v>
      </c>
      <c r="H611">
        <v>1</v>
      </c>
      <c r="I611">
        <v>92842.875932102601</v>
      </c>
      <c r="J611">
        <v>0.63241353892241403</v>
      </c>
      <c r="K611" t="str">
        <f t="shared" si="72"/>
        <v>OK</v>
      </c>
      <c r="L611" t="str">
        <f t="shared" si="73"/>
        <v>OK</v>
      </c>
      <c r="M611" t="str">
        <f>IF(OR(B611&lt;$AE$20,B611&gt;$AF$20),"Outlier","OK")</f>
        <v>OK</v>
      </c>
      <c r="N611" t="str">
        <f>IF(OR(J611&lt;$AE$21,J611&gt;$AF$21),"Outlier","OK")</f>
        <v>OK</v>
      </c>
      <c r="O611" t="str">
        <f>IF(OR(C611&lt;0,C611&gt;1),"Outlier","OK")</f>
        <v>OK</v>
      </c>
      <c r="P611" t="str">
        <f>IF(OR(D611&lt;0,D611&gt;1),"Outlier","OK")</f>
        <v>OK</v>
      </c>
      <c r="Q611" t="str">
        <f t="shared" si="74"/>
        <v>60-80%</v>
      </c>
      <c r="R611" t="str">
        <f>IF(B611="","Missing","OK")</f>
        <v>OK</v>
      </c>
      <c r="S611" t="str">
        <f>IF(E611="","Missing","OK")</f>
        <v>OK</v>
      </c>
      <c r="T611" t="str">
        <f t="shared" si="75"/>
        <v>OK</v>
      </c>
      <c r="U611">
        <f>COUNTIF($A:$A,A611)</f>
        <v>1</v>
      </c>
      <c r="V611" t="str">
        <f t="shared" si="76"/>
        <v>OK</v>
      </c>
      <c r="W611" t="str">
        <f>IF(I611&gt;B611,"ERROR","OK")</f>
        <v>OK</v>
      </c>
      <c r="X611">
        <f>(B611-I611)/B611</f>
        <v>0.63241353892241448</v>
      </c>
      <c r="Y611" s="2">
        <f t="shared" si="77"/>
        <v>4.4408920985006262E-16</v>
      </c>
      <c r="Z611" s="2" t="str">
        <f t="shared" si="78"/>
        <v>OK</v>
      </c>
      <c r="AA611" t="str">
        <f t="shared" si="79"/>
        <v>Unique</v>
      </c>
    </row>
    <row r="612" spans="1:27" x14ac:dyDescent="0.3">
      <c r="A612">
        <v>611</v>
      </c>
      <c r="B612">
        <v>1349727.8820402301</v>
      </c>
      <c r="C612">
        <v>0.78013803404263105</v>
      </c>
      <c r="D612">
        <v>5.0929456966020102E-3</v>
      </c>
      <c r="E612">
        <v>0.62908257365045495</v>
      </c>
      <c r="F612">
        <v>1</v>
      </c>
      <c r="G612" t="s">
        <v>10</v>
      </c>
      <c r="H612">
        <v>1</v>
      </c>
      <c r="I612">
        <v>849090.28976165003</v>
      </c>
      <c r="J612">
        <v>0.370917426349544</v>
      </c>
      <c r="K612" t="str">
        <f t="shared" si="72"/>
        <v>OK</v>
      </c>
      <c r="L612" t="str">
        <f t="shared" si="73"/>
        <v>OK</v>
      </c>
      <c r="M612" t="str">
        <f>IF(OR(B612&lt;$AE$20,B612&gt;$AF$20),"Outlier","OK")</f>
        <v>OK</v>
      </c>
      <c r="N612" t="str">
        <f>IF(OR(J612&lt;$AE$21,J612&gt;$AF$21),"Outlier","OK")</f>
        <v>OK</v>
      </c>
      <c r="O612" t="str">
        <f>IF(OR(C612&lt;0,C612&gt;1),"Outlier","OK")</f>
        <v>OK</v>
      </c>
      <c r="P612" t="str">
        <f>IF(OR(D612&lt;0,D612&gt;1),"Outlier","OK")</f>
        <v>OK</v>
      </c>
      <c r="Q612" t="str">
        <f t="shared" si="74"/>
        <v>20-40%</v>
      </c>
      <c r="R612" t="str">
        <f>IF(B612="","Missing","OK")</f>
        <v>OK</v>
      </c>
      <c r="S612" t="str">
        <f>IF(E612="","Missing","OK")</f>
        <v>OK</v>
      </c>
      <c r="T612" t="str">
        <f t="shared" si="75"/>
        <v>OK</v>
      </c>
      <c r="U612">
        <f>COUNTIF($A:$A,A612)</f>
        <v>1</v>
      </c>
      <c r="V612" t="str">
        <f t="shared" si="76"/>
        <v>OK</v>
      </c>
      <c r="W612" t="str">
        <f>IF(I612&gt;B612,"ERROR","OK")</f>
        <v>OK</v>
      </c>
      <c r="X612">
        <f>(B612-I612)/B612</f>
        <v>0.37091742634954178</v>
      </c>
      <c r="Y612" s="2">
        <f t="shared" si="77"/>
        <v>2.2204460492503131E-15</v>
      </c>
      <c r="Z612" s="2" t="str">
        <f t="shared" si="78"/>
        <v>OK</v>
      </c>
      <c r="AA612" t="str">
        <f t="shared" si="79"/>
        <v>Unique</v>
      </c>
    </row>
    <row r="613" spans="1:27" x14ac:dyDescent="0.3">
      <c r="A613">
        <v>612</v>
      </c>
      <c r="B613">
        <v>424458.78024223598</v>
      </c>
      <c r="C613">
        <v>0.57377817007848897</v>
      </c>
      <c r="D613">
        <v>-6.55587501800175E-2</v>
      </c>
      <c r="E613">
        <v>0.53394269404361905</v>
      </c>
      <c r="F613">
        <v>1</v>
      </c>
      <c r="G613" t="s">
        <v>10</v>
      </c>
      <c r="H613">
        <v>0</v>
      </c>
      <c r="I613">
        <v>226636.66463300801</v>
      </c>
      <c r="J613">
        <v>0.46605730595638001</v>
      </c>
      <c r="K613" t="str">
        <f t="shared" si="72"/>
        <v>OK</v>
      </c>
      <c r="L613" t="str">
        <f t="shared" si="73"/>
        <v>OK</v>
      </c>
      <c r="M613" t="str">
        <f>IF(OR(B613&lt;$AE$20,B613&gt;$AF$20),"Outlier","OK")</f>
        <v>OK</v>
      </c>
      <c r="N613" t="str">
        <f>IF(OR(J613&lt;$AE$21,J613&gt;$AF$21),"Outlier","OK")</f>
        <v>OK</v>
      </c>
      <c r="O613" t="str">
        <f>IF(OR(C613&lt;0,C613&gt;1),"Outlier","OK")</f>
        <v>OK</v>
      </c>
      <c r="P613" t="str">
        <f>IF(OR(D613&lt;0,D613&gt;1),"Outlier","OK")</f>
        <v>Outlier</v>
      </c>
      <c r="Q613" t="str">
        <f t="shared" si="74"/>
        <v>40-60%</v>
      </c>
      <c r="R613" t="str">
        <f>IF(B613="","Missing","OK")</f>
        <v>OK</v>
      </c>
      <c r="S613" t="str">
        <f>IF(E613="","Missing","OK")</f>
        <v>OK</v>
      </c>
      <c r="T613" t="str">
        <f t="shared" si="75"/>
        <v>OK</v>
      </c>
      <c r="U613">
        <f>COUNTIF($A:$A,A613)</f>
        <v>1</v>
      </c>
      <c r="V613" t="str">
        <f t="shared" si="76"/>
        <v>OK</v>
      </c>
      <c r="W613" t="str">
        <f>IF(I613&gt;B613,"ERROR","OK")</f>
        <v>OK</v>
      </c>
      <c r="X613">
        <f>(B613-I613)/B613</f>
        <v>0.46605730595638079</v>
      </c>
      <c r="Y613" s="2">
        <f t="shared" si="77"/>
        <v>7.7715611723760958E-16</v>
      </c>
      <c r="Z613" s="2" t="str">
        <f t="shared" si="78"/>
        <v>OK</v>
      </c>
      <c r="AA613" t="str">
        <f t="shared" si="79"/>
        <v>Unique</v>
      </c>
    </row>
    <row r="614" spans="1:27" x14ac:dyDescent="0.3">
      <c r="A614">
        <v>613</v>
      </c>
      <c r="B614">
        <v>977162.18560767605</v>
      </c>
      <c r="C614">
        <v>0.63385803651377803</v>
      </c>
      <c r="D614">
        <v>-4.0842519429768902E-2</v>
      </c>
      <c r="E614">
        <v>0.21654409536910199</v>
      </c>
      <c r="F614">
        <v>1</v>
      </c>
      <c r="G614" t="s">
        <v>11</v>
      </c>
      <c r="H614">
        <v>0</v>
      </c>
      <c r="I614">
        <v>211598.70151130899</v>
      </c>
      <c r="J614">
        <v>0.78345590463089698</v>
      </c>
      <c r="K614" t="str">
        <f t="shared" si="72"/>
        <v>OK</v>
      </c>
      <c r="L614" t="str">
        <f t="shared" si="73"/>
        <v>OK</v>
      </c>
      <c r="M614" t="str">
        <f>IF(OR(B614&lt;$AE$20,B614&gt;$AF$20),"Outlier","OK")</f>
        <v>OK</v>
      </c>
      <c r="N614" t="str">
        <f>IF(OR(J614&lt;$AE$21,J614&gt;$AF$21),"Outlier","OK")</f>
        <v>OK</v>
      </c>
      <c r="O614" t="str">
        <f>IF(OR(C614&lt;0,C614&gt;1),"Outlier","OK")</f>
        <v>OK</v>
      </c>
      <c r="P614" t="str">
        <f>IF(OR(D614&lt;0,D614&gt;1),"Outlier","OK")</f>
        <v>Outlier</v>
      </c>
      <c r="Q614" t="str">
        <f t="shared" si="74"/>
        <v>60-80%</v>
      </c>
      <c r="R614" t="str">
        <f>IF(B614="","Missing","OK")</f>
        <v>OK</v>
      </c>
      <c r="S614" t="str">
        <f>IF(E614="","Missing","OK")</f>
        <v>OK</v>
      </c>
      <c r="T614" t="str">
        <f t="shared" si="75"/>
        <v>OK</v>
      </c>
      <c r="U614">
        <f>COUNTIF($A:$A,A614)</f>
        <v>1</v>
      </c>
      <c r="V614" t="str">
        <f t="shared" si="76"/>
        <v>OK</v>
      </c>
      <c r="W614" t="str">
        <f>IF(I614&gt;B614,"ERROR","OK")</f>
        <v>OK</v>
      </c>
      <c r="X614">
        <f>(B614-I614)/B614</f>
        <v>0.78345590463089776</v>
      </c>
      <c r="Y614" s="2">
        <f t="shared" si="77"/>
        <v>7.7715611723760958E-16</v>
      </c>
      <c r="Z614" s="2" t="str">
        <f t="shared" si="78"/>
        <v>OK</v>
      </c>
      <c r="AA614" t="str">
        <f t="shared" si="79"/>
        <v>Unique</v>
      </c>
    </row>
    <row r="615" spans="1:27" x14ac:dyDescent="0.3">
      <c r="A615">
        <v>614</v>
      </c>
      <c r="B615">
        <v>1936501.3758916799</v>
      </c>
      <c r="C615">
        <v>0.382582554062873</v>
      </c>
      <c r="D615">
        <v>0.14566045832872901</v>
      </c>
      <c r="E615">
        <v>0.13537353107382</v>
      </c>
      <c r="F615">
        <v>1</v>
      </c>
      <c r="G615" t="s">
        <v>10</v>
      </c>
      <c r="H615">
        <v>1</v>
      </c>
      <c r="I615">
        <v>262151.02918376902</v>
      </c>
      <c r="J615">
        <v>0.864626468926179</v>
      </c>
      <c r="K615" t="str">
        <f t="shared" si="72"/>
        <v>OK</v>
      </c>
      <c r="L615" t="str">
        <f t="shared" si="73"/>
        <v>OK</v>
      </c>
      <c r="M615" t="str">
        <f>IF(OR(B615&lt;$AE$20,B615&gt;$AF$20),"Outlier","OK")</f>
        <v>OK</v>
      </c>
      <c r="N615" t="str">
        <f>IF(OR(J615&lt;$AE$21,J615&gt;$AF$21),"Outlier","OK")</f>
        <v>OK</v>
      </c>
      <c r="O615" t="str">
        <f>IF(OR(C615&lt;0,C615&gt;1),"Outlier","OK")</f>
        <v>OK</v>
      </c>
      <c r="P615" t="str">
        <f>IF(OR(D615&lt;0,D615&gt;1),"Outlier","OK")</f>
        <v>OK</v>
      </c>
      <c r="Q615" t="str">
        <f t="shared" si="74"/>
        <v>80-100%</v>
      </c>
      <c r="R615" t="str">
        <f>IF(B615="","Missing","OK")</f>
        <v>OK</v>
      </c>
      <c r="S615" t="str">
        <f>IF(E615="","Missing","OK")</f>
        <v>OK</v>
      </c>
      <c r="T615" t="str">
        <f t="shared" si="75"/>
        <v>OK</v>
      </c>
      <c r="U615">
        <f>COUNTIF($A:$A,A615)</f>
        <v>1</v>
      </c>
      <c r="V615" t="str">
        <f t="shared" si="76"/>
        <v>OK</v>
      </c>
      <c r="W615" t="str">
        <f>IF(I615&gt;B615,"ERROR","OK")</f>
        <v>OK</v>
      </c>
      <c r="X615">
        <f>(B615-I615)/B615</f>
        <v>0.86462646892617911</v>
      </c>
      <c r="Y615" s="2">
        <f t="shared" si="77"/>
        <v>1.1102230246251565E-16</v>
      </c>
      <c r="Z615" s="2" t="str">
        <f t="shared" si="78"/>
        <v>OK</v>
      </c>
      <c r="AA615" t="str">
        <f t="shared" si="79"/>
        <v>Unique</v>
      </c>
    </row>
    <row r="616" spans="1:27" x14ac:dyDescent="0.3">
      <c r="A616">
        <v>615</v>
      </c>
      <c r="B616">
        <v>111754.41476376999</v>
      </c>
      <c r="C616">
        <v>0.25489136247906502</v>
      </c>
      <c r="D616">
        <v>-0.108161221108708</v>
      </c>
      <c r="E616">
        <v>0.28195275605238701</v>
      </c>
      <c r="F616">
        <v>1</v>
      </c>
      <c r="G616" t="s">
        <v>13</v>
      </c>
      <c r="H616">
        <v>1</v>
      </c>
      <c r="I616">
        <v>31509.4652436666</v>
      </c>
      <c r="J616">
        <v>0.71804724394761199</v>
      </c>
      <c r="K616" t="str">
        <f t="shared" si="72"/>
        <v>OK</v>
      </c>
      <c r="L616" t="str">
        <f t="shared" si="73"/>
        <v>OK</v>
      </c>
      <c r="M616" t="str">
        <f>IF(OR(B616&lt;$AE$20,B616&gt;$AF$20),"Outlier","OK")</f>
        <v>OK</v>
      </c>
      <c r="N616" t="str">
        <f>IF(OR(J616&lt;$AE$21,J616&gt;$AF$21),"Outlier","OK")</f>
        <v>OK</v>
      </c>
      <c r="O616" t="str">
        <f>IF(OR(C616&lt;0,C616&gt;1),"Outlier","OK")</f>
        <v>OK</v>
      </c>
      <c r="P616" t="str">
        <f>IF(OR(D616&lt;0,D616&gt;1),"Outlier","OK")</f>
        <v>Outlier</v>
      </c>
      <c r="Q616" t="str">
        <f t="shared" si="74"/>
        <v>60-80%</v>
      </c>
      <c r="R616" t="str">
        <f>IF(B616="","Missing","OK")</f>
        <v>OK</v>
      </c>
      <c r="S616" t="str">
        <f>IF(E616="","Missing","OK")</f>
        <v>OK</v>
      </c>
      <c r="T616" t="str">
        <f t="shared" si="75"/>
        <v>OK</v>
      </c>
      <c r="U616">
        <f>COUNTIF($A:$A,A616)</f>
        <v>1</v>
      </c>
      <c r="V616" t="str">
        <f t="shared" si="76"/>
        <v>OK</v>
      </c>
      <c r="W616" t="str">
        <f>IF(I616&gt;B616,"ERROR","OK")</f>
        <v>OK</v>
      </c>
      <c r="X616">
        <f>(B616-I616)/B616</f>
        <v>0.71804724394761232</v>
      </c>
      <c r="Y616" s="2">
        <f t="shared" si="77"/>
        <v>3.3306690738754696E-16</v>
      </c>
      <c r="Z616" s="2" t="str">
        <f t="shared" si="78"/>
        <v>OK</v>
      </c>
      <c r="AA616" t="str">
        <f t="shared" si="79"/>
        <v>Unique</v>
      </c>
    </row>
    <row r="617" spans="1:27" x14ac:dyDescent="0.3">
      <c r="A617">
        <v>616</v>
      </c>
      <c r="B617">
        <v>345873.40260961303</v>
      </c>
      <c r="C617">
        <v>0.76345181156423303</v>
      </c>
      <c r="D617">
        <v>9.4778740876715006E-2</v>
      </c>
      <c r="E617">
        <v>0.57342239832972897</v>
      </c>
      <c r="F617">
        <v>1</v>
      </c>
      <c r="G617" t="s">
        <v>12</v>
      </c>
      <c r="H617">
        <v>1</v>
      </c>
      <c r="I617">
        <v>198331.556042868</v>
      </c>
      <c r="J617">
        <v>0.42657760167026998</v>
      </c>
      <c r="K617" t="str">
        <f t="shared" si="72"/>
        <v>OK</v>
      </c>
      <c r="L617" t="str">
        <f t="shared" si="73"/>
        <v>OK</v>
      </c>
      <c r="M617" t="str">
        <f>IF(OR(B617&lt;$AE$20,B617&gt;$AF$20),"Outlier","OK")</f>
        <v>OK</v>
      </c>
      <c r="N617" t="str">
        <f>IF(OR(J617&lt;$AE$21,J617&gt;$AF$21),"Outlier","OK")</f>
        <v>OK</v>
      </c>
      <c r="O617" t="str">
        <f>IF(OR(C617&lt;0,C617&gt;1),"Outlier","OK")</f>
        <v>OK</v>
      </c>
      <c r="P617" t="str">
        <f>IF(OR(D617&lt;0,D617&gt;1),"Outlier","OK")</f>
        <v>OK</v>
      </c>
      <c r="Q617" t="str">
        <f t="shared" si="74"/>
        <v>40-60%</v>
      </c>
      <c r="R617" t="str">
        <f>IF(B617="","Missing","OK")</f>
        <v>OK</v>
      </c>
      <c r="S617" t="str">
        <f>IF(E617="","Missing","OK")</f>
        <v>OK</v>
      </c>
      <c r="T617" t="str">
        <f t="shared" si="75"/>
        <v>OK</v>
      </c>
      <c r="U617">
        <f>COUNTIF($A:$A,A617)</f>
        <v>1</v>
      </c>
      <c r="V617" t="str">
        <f t="shared" si="76"/>
        <v>OK</v>
      </c>
      <c r="W617" t="str">
        <f>IF(I617&gt;B617,"ERROR","OK")</f>
        <v>OK</v>
      </c>
      <c r="X617">
        <f>(B617-I617)/B617</f>
        <v>0.4265776016702717</v>
      </c>
      <c r="Y617" s="2">
        <f t="shared" si="77"/>
        <v>1.7208456881689926E-15</v>
      </c>
      <c r="Z617" s="2" t="str">
        <f t="shared" si="78"/>
        <v>OK</v>
      </c>
      <c r="AA617" t="str">
        <f t="shared" si="79"/>
        <v>Unique</v>
      </c>
    </row>
    <row r="618" spans="1:27" x14ac:dyDescent="0.3">
      <c r="A618">
        <v>617</v>
      </c>
      <c r="B618">
        <v>632229.40952484997</v>
      </c>
      <c r="C618">
        <v>0.62737901368895199</v>
      </c>
      <c r="D618">
        <v>1.9213001553115099E-2</v>
      </c>
      <c r="E618">
        <v>0.64460251010500302</v>
      </c>
      <c r="F618">
        <v>1</v>
      </c>
      <c r="G618" t="s">
        <v>11</v>
      </c>
      <c r="H618">
        <v>0</v>
      </c>
      <c r="I618">
        <v>407536.66434192198</v>
      </c>
      <c r="J618">
        <v>0.35539748989499598</v>
      </c>
      <c r="K618" t="str">
        <f t="shared" si="72"/>
        <v>OK</v>
      </c>
      <c r="L618" t="str">
        <f t="shared" si="73"/>
        <v>OK</v>
      </c>
      <c r="M618" t="str">
        <f>IF(OR(B618&lt;$AE$20,B618&gt;$AF$20),"Outlier","OK")</f>
        <v>OK</v>
      </c>
      <c r="N618" t="str">
        <f>IF(OR(J618&lt;$AE$21,J618&gt;$AF$21),"Outlier","OK")</f>
        <v>OK</v>
      </c>
      <c r="O618" t="str">
        <f>IF(OR(C618&lt;0,C618&gt;1),"Outlier","OK")</f>
        <v>OK</v>
      </c>
      <c r="P618" t="str">
        <f>IF(OR(D618&lt;0,D618&gt;1),"Outlier","OK")</f>
        <v>OK</v>
      </c>
      <c r="Q618" t="str">
        <f t="shared" si="74"/>
        <v>20-40%</v>
      </c>
      <c r="R618" t="str">
        <f>IF(B618="","Missing","OK")</f>
        <v>OK</v>
      </c>
      <c r="S618" t="str">
        <f>IF(E618="","Missing","OK")</f>
        <v>OK</v>
      </c>
      <c r="T618" t="str">
        <f t="shared" si="75"/>
        <v>OK</v>
      </c>
      <c r="U618">
        <f>COUNTIF($A:$A,A618)</f>
        <v>1</v>
      </c>
      <c r="V618" t="str">
        <f t="shared" si="76"/>
        <v>OK</v>
      </c>
      <c r="W618" t="str">
        <f>IF(I618&gt;B618,"ERROR","OK")</f>
        <v>OK</v>
      </c>
      <c r="X618">
        <f>(B618-I618)/B618</f>
        <v>0.35539748989499731</v>
      </c>
      <c r="Y618" s="2">
        <f t="shared" si="77"/>
        <v>1.3322676295501878E-15</v>
      </c>
      <c r="Z618" s="2" t="str">
        <f t="shared" si="78"/>
        <v>OK</v>
      </c>
      <c r="AA618" t="str">
        <f t="shared" si="79"/>
        <v>Unique</v>
      </c>
    </row>
    <row r="619" spans="1:27" x14ac:dyDescent="0.3">
      <c r="A619">
        <v>618</v>
      </c>
      <c r="B619">
        <v>1886523.5806116899</v>
      </c>
      <c r="C619">
        <v>0.291786915945975</v>
      </c>
      <c r="D619">
        <v>-0.18190378298250301</v>
      </c>
      <c r="E619">
        <v>4.4649378704441002E-2</v>
      </c>
      <c r="F619">
        <v>1</v>
      </c>
      <c r="G619" t="s">
        <v>10</v>
      </c>
      <c r="H619">
        <v>0</v>
      </c>
      <c r="I619">
        <v>84232.105785589694</v>
      </c>
      <c r="J619">
        <v>0.95535062129555803</v>
      </c>
      <c r="K619" t="str">
        <f t="shared" si="72"/>
        <v>OK</v>
      </c>
      <c r="L619" t="str">
        <f t="shared" si="73"/>
        <v>OK</v>
      </c>
      <c r="M619" t="str">
        <f>IF(OR(B619&lt;$AE$20,B619&gt;$AF$20),"Outlier","OK")</f>
        <v>OK</v>
      </c>
      <c r="N619" t="str">
        <f>IF(OR(J619&lt;$AE$21,J619&gt;$AF$21),"Outlier","OK")</f>
        <v>OK</v>
      </c>
      <c r="O619" t="str">
        <f>IF(OR(C619&lt;0,C619&gt;1),"Outlier","OK")</f>
        <v>OK</v>
      </c>
      <c r="P619" t="str">
        <f>IF(OR(D619&lt;0,D619&gt;1),"Outlier","OK")</f>
        <v>Outlier</v>
      </c>
      <c r="Q619" t="str">
        <f t="shared" si="74"/>
        <v>80-100%</v>
      </c>
      <c r="R619" t="str">
        <f>IF(B619="","Missing","OK")</f>
        <v>OK</v>
      </c>
      <c r="S619" t="str">
        <f>IF(E619="","Missing","OK")</f>
        <v>OK</v>
      </c>
      <c r="T619" t="str">
        <f t="shared" si="75"/>
        <v>OK</v>
      </c>
      <c r="U619">
        <f>COUNTIF($A:$A,A619)</f>
        <v>1</v>
      </c>
      <c r="V619" t="str">
        <f t="shared" si="76"/>
        <v>OK</v>
      </c>
      <c r="W619" t="str">
        <f>IF(I619&gt;B619,"ERROR","OK")</f>
        <v>OK</v>
      </c>
      <c r="X619">
        <f>(B619-I619)/B619</f>
        <v>0.95535062129555881</v>
      </c>
      <c r="Y619" s="2">
        <f t="shared" si="77"/>
        <v>7.7715611723760958E-16</v>
      </c>
      <c r="Z619" s="2" t="str">
        <f t="shared" si="78"/>
        <v>OK</v>
      </c>
      <c r="AA619" t="str">
        <f t="shared" si="79"/>
        <v>Unique</v>
      </c>
    </row>
    <row r="620" spans="1:27" x14ac:dyDescent="0.3">
      <c r="A620">
        <v>619</v>
      </c>
      <c r="B620">
        <v>1822241.5024502401</v>
      </c>
      <c r="C620">
        <v>0.82438297451975995</v>
      </c>
      <c r="D620">
        <v>0.15080281694959299</v>
      </c>
      <c r="E620">
        <v>0.229871060124962</v>
      </c>
      <c r="F620">
        <v>1</v>
      </c>
      <c r="G620" t="s">
        <v>13</v>
      </c>
      <c r="H620">
        <v>1</v>
      </c>
      <c r="I620">
        <v>418880.585971942</v>
      </c>
      <c r="J620">
        <v>0.77012893987503706</v>
      </c>
      <c r="K620" t="str">
        <f t="shared" si="72"/>
        <v>OK</v>
      </c>
      <c r="L620" t="str">
        <f t="shared" si="73"/>
        <v>OK</v>
      </c>
      <c r="M620" t="str">
        <f>IF(OR(B620&lt;$AE$20,B620&gt;$AF$20),"Outlier","OK")</f>
        <v>OK</v>
      </c>
      <c r="N620" t="str">
        <f>IF(OR(J620&lt;$AE$21,J620&gt;$AF$21),"Outlier","OK")</f>
        <v>OK</v>
      </c>
      <c r="O620" t="str">
        <f>IF(OR(C620&lt;0,C620&gt;1),"Outlier","OK")</f>
        <v>OK</v>
      </c>
      <c r="P620" t="str">
        <f>IF(OR(D620&lt;0,D620&gt;1),"Outlier","OK")</f>
        <v>OK</v>
      </c>
      <c r="Q620" t="str">
        <f t="shared" si="74"/>
        <v>60-80%</v>
      </c>
      <c r="R620" t="str">
        <f>IF(B620="","Missing","OK")</f>
        <v>OK</v>
      </c>
      <c r="S620" t="str">
        <f>IF(E620="","Missing","OK")</f>
        <v>OK</v>
      </c>
      <c r="T620" t="str">
        <f t="shared" si="75"/>
        <v>OK</v>
      </c>
      <c r="U620">
        <f>COUNTIF($A:$A,A620)</f>
        <v>1</v>
      </c>
      <c r="V620" t="str">
        <f t="shared" si="76"/>
        <v>OK</v>
      </c>
      <c r="W620" t="str">
        <f>IF(I620&gt;B620,"ERROR","OK")</f>
        <v>OK</v>
      </c>
      <c r="X620">
        <f>(B620-I620)/B620</f>
        <v>0.77012893987503706</v>
      </c>
      <c r="Y620" s="2">
        <f t="shared" si="77"/>
        <v>0</v>
      </c>
      <c r="Z620" s="2" t="str">
        <f t="shared" si="78"/>
        <v>OK</v>
      </c>
      <c r="AA620" t="str">
        <f t="shared" si="79"/>
        <v>Unique</v>
      </c>
    </row>
    <row r="621" spans="1:27" x14ac:dyDescent="0.3">
      <c r="A621">
        <v>620</v>
      </c>
      <c r="B621">
        <v>365901.63958332298</v>
      </c>
      <c r="C621">
        <v>0.37873135590454499</v>
      </c>
      <c r="D621">
        <v>-5.5042767357783101E-2</v>
      </c>
      <c r="E621">
        <v>0.161958326227129</v>
      </c>
      <c r="F621">
        <v>1</v>
      </c>
      <c r="G621" t="s">
        <v>11</v>
      </c>
      <c r="H621">
        <v>1</v>
      </c>
      <c r="I621">
        <v>59260.817110677403</v>
      </c>
      <c r="J621">
        <v>0.83804167377286998</v>
      </c>
      <c r="K621" t="str">
        <f t="shared" si="72"/>
        <v>OK</v>
      </c>
      <c r="L621" t="str">
        <f t="shared" si="73"/>
        <v>OK</v>
      </c>
      <c r="M621" t="str">
        <f>IF(OR(B621&lt;$AE$20,B621&gt;$AF$20),"Outlier","OK")</f>
        <v>OK</v>
      </c>
      <c r="N621" t="str">
        <f>IF(OR(J621&lt;$AE$21,J621&gt;$AF$21),"Outlier","OK")</f>
        <v>OK</v>
      </c>
      <c r="O621" t="str">
        <f>IF(OR(C621&lt;0,C621&gt;1),"Outlier","OK")</f>
        <v>OK</v>
      </c>
      <c r="P621" t="str">
        <f>IF(OR(D621&lt;0,D621&gt;1),"Outlier","OK")</f>
        <v>Outlier</v>
      </c>
      <c r="Q621" t="str">
        <f t="shared" si="74"/>
        <v>80-100%</v>
      </c>
      <c r="R621" t="str">
        <f>IF(B621="","Missing","OK")</f>
        <v>OK</v>
      </c>
      <c r="S621" t="str">
        <f>IF(E621="","Missing","OK")</f>
        <v>OK</v>
      </c>
      <c r="T621" t="str">
        <f t="shared" si="75"/>
        <v>OK</v>
      </c>
      <c r="U621">
        <f>COUNTIF($A:$A,A621)</f>
        <v>1</v>
      </c>
      <c r="V621" t="str">
        <f t="shared" si="76"/>
        <v>OK</v>
      </c>
      <c r="W621" t="str">
        <f>IF(I621&gt;B621,"ERROR","OK")</f>
        <v>OK</v>
      </c>
      <c r="X621">
        <f>(B621-I621)/B621</f>
        <v>0.83804167377287042</v>
      </c>
      <c r="Y621" s="2">
        <f t="shared" si="77"/>
        <v>4.4408920985006262E-16</v>
      </c>
      <c r="Z621" s="2" t="str">
        <f t="shared" si="78"/>
        <v>OK</v>
      </c>
      <c r="AA621" t="str">
        <f t="shared" si="79"/>
        <v>Unique</v>
      </c>
    </row>
    <row r="622" spans="1:27" x14ac:dyDescent="0.3">
      <c r="A622">
        <v>621</v>
      </c>
      <c r="B622">
        <v>1963179.65789108</v>
      </c>
      <c r="C622">
        <v>0.38326108149681498</v>
      </c>
      <c r="D622">
        <v>1.19733906091243E-2</v>
      </c>
      <c r="E622">
        <v>0.204464002960558</v>
      </c>
      <c r="F622">
        <v>1</v>
      </c>
      <c r="G622" t="s">
        <v>10</v>
      </c>
      <c r="H622">
        <v>0</v>
      </c>
      <c r="I622">
        <v>401399.57138314901</v>
      </c>
      <c r="J622">
        <v>0.795535997039441</v>
      </c>
      <c r="K622" t="str">
        <f t="shared" si="72"/>
        <v>OK</v>
      </c>
      <c r="L622" t="str">
        <f t="shared" si="73"/>
        <v>OK</v>
      </c>
      <c r="M622" t="str">
        <f>IF(OR(B622&lt;$AE$20,B622&gt;$AF$20),"Outlier","OK")</f>
        <v>OK</v>
      </c>
      <c r="N622" t="str">
        <f>IF(OR(J622&lt;$AE$21,J622&gt;$AF$21),"Outlier","OK")</f>
        <v>OK</v>
      </c>
      <c r="O622" t="str">
        <f>IF(OR(C622&lt;0,C622&gt;1),"Outlier","OK")</f>
        <v>OK</v>
      </c>
      <c r="P622" t="str">
        <f>IF(OR(D622&lt;0,D622&gt;1),"Outlier","OK")</f>
        <v>OK</v>
      </c>
      <c r="Q622" t="str">
        <f t="shared" si="74"/>
        <v>60-80%</v>
      </c>
      <c r="R622" t="str">
        <f>IF(B622="","Missing","OK")</f>
        <v>OK</v>
      </c>
      <c r="S622" t="str">
        <f>IF(E622="","Missing","OK")</f>
        <v>OK</v>
      </c>
      <c r="T622" t="str">
        <f t="shared" si="75"/>
        <v>OK</v>
      </c>
      <c r="U622">
        <f>COUNTIF($A:$A,A622)</f>
        <v>1</v>
      </c>
      <c r="V622" t="str">
        <f t="shared" si="76"/>
        <v>OK</v>
      </c>
      <c r="W622" t="str">
        <f>IF(I622&gt;B622,"ERROR","OK")</f>
        <v>OK</v>
      </c>
      <c r="X622">
        <f>(B622-I622)/B622</f>
        <v>0.795535997039442</v>
      </c>
      <c r="Y622" s="2">
        <f t="shared" si="77"/>
        <v>9.9920072216264089E-16</v>
      </c>
      <c r="Z622" s="2" t="str">
        <f t="shared" si="78"/>
        <v>OK</v>
      </c>
      <c r="AA622" t="str">
        <f t="shared" si="79"/>
        <v>Unique</v>
      </c>
    </row>
    <row r="623" spans="1:27" x14ac:dyDescent="0.3">
      <c r="A623">
        <v>622</v>
      </c>
      <c r="B623">
        <v>1513957.6740023701</v>
      </c>
      <c r="C623">
        <v>0.373981986293553</v>
      </c>
      <c r="D623">
        <v>0.16931455783010199</v>
      </c>
      <c r="E623">
        <v>0.42886159398318002</v>
      </c>
      <c r="F623">
        <v>1</v>
      </c>
      <c r="G623" t="s">
        <v>12</v>
      </c>
      <c r="H623">
        <v>0</v>
      </c>
      <c r="I623">
        <v>649278.301295724</v>
      </c>
      <c r="J623">
        <v>0.57113840601681898</v>
      </c>
      <c r="K623" t="str">
        <f t="shared" si="72"/>
        <v>OK</v>
      </c>
      <c r="L623" t="str">
        <f t="shared" si="73"/>
        <v>OK</v>
      </c>
      <c r="M623" t="str">
        <f>IF(OR(B623&lt;$AE$20,B623&gt;$AF$20),"Outlier","OK")</f>
        <v>OK</v>
      </c>
      <c r="N623" t="str">
        <f>IF(OR(J623&lt;$AE$21,J623&gt;$AF$21),"Outlier","OK")</f>
        <v>OK</v>
      </c>
      <c r="O623" t="str">
        <f>IF(OR(C623&lt;0,C623&gt;1),"Outlier","OK")</f>
        <v>OK</v>
      </c>
      <c r="P623" t="str">
        <f>IF(OR(D623&lt;0,D623&gt;1),"Outlier","OK")</f>
        <v>OK</v>
      </c>
      <c r="Q623" t="str">
        <f t="shared" si="74"/>
        <v>40-60%</v>
      </c>
      <c r="R623" t="str">
        <f>IF(B623="","Missing","OK")</f>
        <v>OK</v>
      </c>
      <c r="S623" t="str">
        <f>IF(E623="","Missing","OK")</f>
        <v>OK</v>
      </c>
      <c r="T623" t="str">
        <f t="shared" si="75"/>
        <v>OK</v>
      </c>
      <c r="U623">
        <f>COUNTIF($A:$A,A623)</f>
        <v>1</v>
      </c>
      <c r="V623" t="str">
        <f t="shared" si="76"/>
        <v>OK</v>
      </c>
      <c r="W623" t="str">
        <f>IF(I623&gt;B623,"ERROR","OK")</f>
        <v>OK</v>
      </c>
      <c r="X623">
        <f>(B623-I623)/B623</f>
        <v>0.57113840601681998</v>
      </c>
      <c r="Y623" s="2">
        <f t="shared" si="77"/>
        <v>9.9920072216264089E-16</v>
      </c>
      <c r="Z623" s="2" t="str">
        <f t="shared" si="78"/>
        <v>OK</v>
      </c>
      <c r="AA623" t="str">
        <f t="shared" si="79"/>
        <v>Unique</v>
      </c>
    </row>
    <row r="624" spans="1:27" x14ac:dyDescent="0.3">
      <c r="A624">
        <v>623</v>
      </c>
      <c r="B624">
        <v>1102955.3117185601</v>
      </c>
      <c r="C624">
        <v>0.18718986273461999</v>
      </c>
      <c r="D624">
        <v>0.10617308862243199</v>
      </c>
      <c r="E624">
        <v>0.33624019637343999</v>
      </c>
      <c r="F624">
        <v>1</v>
      </c>
      <c r="G624" t="s">
        <v>13</v>
      </c>
      <c r="H624">
        <v>0</v>
      </c>
      <c r="I624">
        <v>370857.91060338001</v>
      </c>
      <c r="J624">
        <v>0.66375980362655895</v>
      </c>
      <c r="K624" t="str">
        <f t="shared" si="72"/>
        <v>OK</v>
      </c>
      <c r="L624" t="str">
        <f t="shared" si="73"/>
        <v>OK</v>
      </c>
      <c r="M624" t="str">
        <f>IF(OR(B624&lt;$AE$20,B624&gt;$AF$20),"Outlier","OK")</f>
        <v>OK</v>
      </c>
      <c r="N624" t="str">
        <f>IF(OR(J624&lt;$AE$21,J624&gt;$AF$21),"Outlier","OK")</f>
        <v>OK</v>
      </c>
      <c r="O624" t="str">
        <f>IF(OR(C624&lt;0,C624&gt;1),"Outlier","OK")</f>
        <v>OK</v>
      </c>
      <c r="P624" t="str">
        <f>IF(OR(D624&lt;0,D624&gt;1),"Outlier","OK")</f>
        <v>OK</v>
      </c>
      <c r="Q624" t="str">
        <f t="shared" si="74"/>
        <v>60-80%</v>
      </c>
      <c r="R624" t="str">
        <f>IF(B624="","Missing","OK")</f>
        <v>OK</v>
      </c>
      <c r="S624" t="str">
        <f>IF(E624="","Missing","OK")</f>
        <v>OK</v>
      </c>
      <c r="T624" t="str">
        <f t="shared" si="75"/>
        <v>OK</v>
      </c>
      <c r="U624">
        <f>COUNTIF($A:$A,A624)</f>
        <v>1</v>
      </c>
      <c r="V624" t="str">
        <f t="shared" si="76"/>
        <v>OK</v>
      </c>
      <c r="W624" t="str">
        <f>IF(I624&gt;B624,"ERROR","OK")</f>
        <v>OK</v>
      </c>
      <c r="X624">
        <f>(B624-I624)/B624</f>
        <v>0.66375980362655751</v>
      </c>
      <c r="Y624" s="2">
        <f t="shared" si="77"/>
        <v>1.4432899320127035E-15</v>
      </c>
      <c r="Z624" s="2" t="str">
        <f t="shared" si="78"/>
        <v>OK</v>
      </c>
      <c r="AA624" t="str">
        <f t="shared" si="79"/>
        <v>Unique</v>
      </c>
    </row>
    <row r="625" spans="1:27" x14ac:dyDescent="0.3">
      <c r="A625">
        <v>624</v>
      </c>
      <c r="B625">
        <v>1866820.62177489</v>
      </c>
      <c r="C625">
        <v>0.33765219177519801</v>
      </c>
      <c r="D625">
        <v>0.17539145925829899</v>
      </c>
      <c r="E625">
        <v>0.35113108967679602</v>
      </c>
      <c r="F625">
        <v>1</v>
      </c>
      <c r="G625" t="s">
        <v>12</v>
      </c>
      <c r="H625">
        <v>0</v>
      </c>
      <c r="I625">
        <v>655498.75915493397</v>
      </c>
      <c r="J625">
        <v>0.64886891032320304</v>
      </c>
      <c r="K625" t="str">
        <f t="shared" si="72"/>
        <v>OK</v>
      </c>
      <c r="L625" t="str">
        <f t="shared" si="73"/>
        <v>OK</v>
      </c>
      <c r="M625" t="str">
        <f>IF(OR(B625&lt;$AE$20,B625&gt;$AF$20),"Outlier","OK")</f>
        <v>OK</v>
      </c>
      <c r="N625" t="str">
        <f>IF(OR(J625&lt;$AE$21,J625&gt;$AF$21),"Outlier","OK")</f>
        <v>OK</v>
      </c>
      <c r="O625" t="str">
        <f>IF(OR(C625&lt;0,C625&gt;1),"Outlier","OK")</f>
        <v>OK</v>
      </c>
      <c r="P625" t="str">
        <f>IF(OR(D625&lt;0,D625&gt;1),"Outlier","OK")</f>
        <v>OK</v>
      </c>
      <c r="Q625" t="str">
        <f t="shared" si="74"/>
        <v>60-80%</v>
      </c>
      <c r="R625" t="str">
        <f>IF(B625="","Missing","OK")</f>
        <v>OK</v>
      </c>
      <c r="S625" t="str">
        <f>IF(E625="","Missing","OK")</f>
        <v>OK</v>
      </c>
      <c r="T625" t="str">
        <f t="shared" si="75"/>
        <v>OK</v>
      </c>
      <c r="U625">
        <f>COUNTIF($A:$A,A625)</f>
        <v>1</v>
      </c>
      <c r="V625" t="str">
        <f t="shared" si="76"/>
        <v>OK</v>
      </c>
      <c r="W625" t="str">
        <f>IF(I625&gt;B625,"ERROR","OK")</f>
        <v>OK</v>
      </c>
      <c r="X625">
        <f>(B625-I625)/B625</f>
        <v>0.64886891032320237</v>
      </c>
      <c r="Y625" s="2">
        <f t="shared" si="77"/>
        <v>6.6613381477509392E-16</v>
      </c>
      <c r="Z625" s="2" t="str">
        <f t="shared" si="78"/>
        <v>OK</v>
      </c>
      <c r="AA625" t="str">
        <f t="shared" si="79"/>
        <v>Unique</v>
      </c>
    </row>
    <row r="626" spans="1:27" x14ac:dyDescent="0.3">
      <c r="A626">
        <v>625</v>
      </c>
      <c r="B626">
        <v>1767183.9272443501</v>
      </c>
      <c r="C626">
        <v>0.49300212147058298</v>
      </c>
      <c r="D626">
        <v>-0.112432470312106</v>
      </c>
      <c r="E626">
        <v>0.69829661301160395</v>
      </c>
      <c r="F626">
        <v>1</v>
      </c>
      <c r="G626" t="s">
        <v>11</v>
      </c>
      <c r="H626">
        <v>1</v>
      </c>
      <c r="I626">
        <v>1234018.55096328</v>
      </c>
      <c r="J626">
        <v>0.30170338698839499</v>
      </c>
      <c r="K626" t="str">
        <f t="shared" si="72"/>
        <v>OK</v>
      </c>
      <c r="L626" t="str">
        <f t="shared" si="73"/>
        <v>OK</v>
      </c>
      <c r="M626" t="str">
        <f>IF(OR(B626&lt;$AE$20,B626&gt;$AF$20),"Outlier","OK")</f>
        <v>OK</v>
      </c>
      <c r="N626" t="str">
        <f>IF(OR(J626&lt;$AE$21,J626&gt;$AF$21),"Outlier","OK")</f>
        <v>OK</v>
      </c>
      <c r="O626" t="str">
        <f>IF(OR(C626&lt;0,C626&gt;1),"Outlier","OK")</f>
        <v>OK</v>
      </c>
      <c r="P626" t="str">
        <f>IF(OR(D626&lt;0,D626&gt;1),"Outlier","OK")</f>
        <v>Outlier</v>
      </c>
      <c r="Q626" t="str">
        <f t="shared" si="74"/>
        <v>20-40%</v>
      </c>
      <c r="R626" t="str">
        <f>IF(B626="","Missing","OK")</f>
        <v>OK</v>
      </c>
      <c r="S626" t="str">
        <f>IF(E626="","Missing","OK")</f>
        <v>OK</v>
      </c>
      <c r="T626" t="str">
        <f t="shared" si="75"/>
        <v>OK</v>
      </c>
      <c r="U626">
        <f>COUNTIF($A:$A,A626)</f>
        <v>1</v>
      </c>
      <c r="V626" t="str">
        <f t="shared" si="76"/>
        <v>OK</v>
      </c>
      <c r="W626" t="str">
        <f>IF(I626&gt;B626,"ERROR","OK")</f>
        <v>OK</v>
      </c>
      <c r="X626">
        <f>(B626-I626)/B626</f>
        <v>0.30170338698839289</v>
      </c>
      <c r="Y626" s="2">
        <f t="shared" si="77"/>
        <v>2.1094237467877974E-15</v>
      </c>
      <c r="Z626" s="2" t="str">
        <f t="shared" si="78"/>
        <v>OK</v>
      </c>
      <c r="AA626" t="str">
        <f t="shared" si="79"/>
        <v>Unique</v>
      </c>
    </row>
    <row r="627" spans="1:27" x14ac:dyDescent="0.3">
      <c r="A627">
        <v>626</v>
      </c>
      <c r="B627">
        <v>813067.16040865099</v>
      </c>
      <c r="C627">
        <v>0.62163108648408405</v>
      </c>
      <c r="D627">
        <v>-0.14271050056491</v>
      </c>
      <c r="E627">
        <v>0.52099150628559399</v>
      </c>
      <c r="F627">
        <v>1</v>
      </c>
      <c r="G627" t="s">
        <v>13</v>
      </c>
      <c r="H627">
        <v>1</v>
      </c>
      <c r="I627">
        <v>423601.084612654</v>
      </c>
      <c r="J627">
        <v>0.47900849371440501</v>
      </c>
      <c r="K627" t="str">
        <f t="shared" si="72"/>
        <v>OK</v>
      </c>
      <c r="L627" t="str">
        <f t="shared" si="73"/>
        <v>OK</v>
      </c>
      <c r="M627" t="str">
        <f>IF(OR(B627&lt;$AE$20,B627&gt;$AF$20),"Outlier","OK")</f>
        <v>OK</v>
      </c>
      <c r="N627" t="str">
        <f>IF(OR(J627&lt;$AE$21,J627&gt;$AF$21),"Outlier","OK")</f>
        <v>OK</v>
      </c>
      <c r="O627" t="str">
        <f>IF(OR(C627&lt;0,C627&gt;1),"Outlier","OK")</f>
        <v>OK</v>
      </c>
      <c r="P627" t="str">
        <f>IF(OR(D627&lt;0,D627&gt;1),"Outlier","OK")</f>
        <v>Outlier</v>
      </c>
      <c r="Q627" t="str">
        <f t="shared" si="74"/>
        <v>40-60%</v>
      </c>
      <c r="R627" t="str">
        <f>IF(B627="","Missing","OK")</f>
        <v>OK</v>
      </c>
      <c r="S627" t="str">
        <f>IF(E627="","Missing","OK")</f>
        <v>OK</v>
      </c>
      <c r="T627" t="str">
        <f t="shared" si="75"/>
        <v>OK</v>
      </c>
      <c r="U627">
        <f>COUNTIF($A:$A,A627)</f>
        <v>1</v>
      </c>
      <c r="V627" t="str">
        <f t="shared" si="76"/>
        <v>OK</v>
      </c>
      <c r="W627" t="str">
        <f>IF(I627&gt;B627,"ERROR","OK")</f>
        <v>OK</v>
      </c>
      <c r="X627">
        <f>(B627-I627)/B627</f>
        <v>0.47900849371440568</v>
      </c>
      <c r="Y627" s="2">
        <f t="shared" si="77"/>
        <v>6.6613381477509392E-16</v>
      </c>
      <c r="Z627" s="2" t="str">
        <f t="shared" si="78"/>
        <v>OK</v>
      </c>
      <c r="AA627" t="str">
        <f t="shared" si="79"/>
        <v>Unique</v>
      </c>
    </row>
    <row r="628" spans="1:27" x14ac:dyDescent="0.3">
      <c r="A628">
        <v>627</v>
      </c>
      <c r="B628">
        <v>1329869.23215989</v>
      </c>
      <c r="C628">
        <v>0.53656050753122297</v>
      </c>
      <c r="D628">
        <v>1.5302699822666599E-2</v>
      </c>
      <c r="E628">
        <v>0.545240844894751</v>
      </c>
      <c r="F628">
        <v>1</v>
      </c>
      <c r="G628" t="s">
        <v>12</v>
      </c>
      <c r="H628">
        <v>0</v>
      </c>
      <c r="I628">
        <v>725099.02374239301</v>
      </c>
      <c r="J628">
        <v>0.454759155105248</v>
      </c>
      <c r="K628" t="str">
        <f t="shared" si="72"/>
        <v>OK</v>
      </c>
      <c r="L628" t="str">
        <f t="shared" si="73"/>
        <v>OK</v>
      </c>
      <c r="M628" t="str">
        <f>IF(OR(B628&lt;$AE$20,B628&gt;$AF$20),"Outlier","OK")</f>
        <v>OK</v>
      </c>
      <c r="N628" t="str">
        <f>IF(OR(J628&lt;$AE$21,J628&gt;$AF$21),"Outlier","OK")</f>
        <v>OK</v>
      </c>
      <c r="O628" t="str">
        <f>IF(OR(C628&lt;0,C628&gt;1),"Outlier","OK")</f>
        <v>OK</v>
      </c>
      <c r="P628" t="str">
        <f>IF(OR(D628&lt;0,D628&gt;1),"Outlier","OK")</f>
        <v>OK</v>
      </c>
      <c r="Q628" t="str">
        <f t="shared" si="74"/>
        <v>40-60%</v>
      </c>
      <c r="R628" t="str">
        <f>IF(B628="","Missing","OK")</f>
        <v>OK</v>
      </c>
      <c r="S628" t="str">
        <f>IF(E628="","Missing","OK")</f>
        <v>OK</v>
      </c>
      <c r="T628" t="str">
        <f t="shared" si="75"/>
        <v>OK</v>
      </c>
      <c r="U628">
        <f>COUNTIF($A:$A,A628)</f>
        <v>1</v>
      </c>
      <c r="V628" t="str">
        <f t="shared" si="76"/>
        <v>OK</v>
      </c>
      <c r="W628" t="str">
        <f>IF(I628&gt;B628,"ERROR","OK")</f>
        <v>OK</v>
      </c>
      <c r="X628">
        <f>(B628-I628)/B628</f>
        <v>0.45475915510524839</v>
      </c>
      <c r="Y628" s="2">
        <f t="shared" si="77"/>
        <v>3.8857805861880479E-16</v>
      </c>
      <c r="Z628" s="2" t="str">
        <f t="shared" si="78"/>
        <v>OK</v>
      </c>
      <c r="AA628" t="str">
        <f t="shared" si="79"/>
        <v>Unique</v>
      </c>
    </row>
    <row r="629" spans="1:27" x14ac:dyDescent="0.3">
      <c r="A629">
        <v>628</v>
      </c>
      <c r="B629">
        <v>1312401.0338680199</v>
      </c>
      <c r="C629">
        <v>0.63326351525243796</v>
      </c>
      <c r="D629">
        <v>2.60432392635901E-2</v>
      </c>
      <c r="E629">
        <v>0.415008781506922</v>
      </c>
      <c r="F629">
        <v>1</v>
      </c>
      <c r="G629" t="s">
        <v>11</v>
      </c>
      <c r="H629">
        <v>0</v>
      </c>
      <c r="I629">
        <v>544657.95391399204</v>
      </c>
      <c r="J629">
        <v>0.584991218493077</v>
      </c>
      <c r="K629" t="str">
        <f t="shared" si="72"/>
        <v>OK</v>
      </c>
      <c r="L629" t="str">
        <f t="shared" si="73"/>
        <v>OK</v>
      </c>
      <c r="M629" t="str">
        <f>IF(OR(B629&lt;$AE$20,B629&gt;$AF$20),"Outlier","OK")</f>
        <v>OK</v>
      </c>
      <c r="N629" t="str">
        <f>IF(OR(J629&lt;$AE$21,J629&gt;$AF$21),"Outlier","OK")</f>
        <v>OK</v>
      </c>
      <c r="O629" t="str">
        <f>IF(OR(C629&lt;0,C629&gt;1),"Outlier","OK")</f>
        <v>OK</v>
      </c>
      <c r="P629" t="str">
        <f>IF(OR(D629&lt;0,D629&gt;1),"Outlier","OK")</f>
        <v>OK</v>
      </c>
      <c r="Q629" t="str">
        <f t="shared" si="74"/>
        <v>40-60%</v>
      </c>
      <c r="R629" t="str">
        <f>IF(B629="","Missing","OK")</f>
        <v>OK</v>
      </c>
      <c r="S629" t="str">
        <f>IF(E629="","Missing","OK")</f>
        <v>OK</v>
      </c>
      <c r="T629" t="str">
        <f t="shared" si="75"/>
        <v>OK</v>
      </c>
      <c r="U629">
        <f>COUNTIF($A:$A,A629)</f>
        <v>1</v>
      </c>
      <c r="V629" t="str">
        <f t="shared" si="76"/>
        <v>OK</v>
      </c>
      <c r="W629" t="str">
        <f>IF(I629&gt;B629,"ERROR","OK")</f>
        <v>OK</v>
      </c>
      <c r="X629">
        <f>(B629-I629)/B629</f>
        <v>0.58499121849307767</v>
      </c>
      <c r="Y629" s="2">
        <f t="shared" si="77"/>
        <v>6.6613381477509392E-16</v>
      </c>
      <c r="Z629" s="2" t="str">
        <f t="shared" si="78"/>
        <v>OK</v>
      </c>
      <c r="AA629" t="str">
        <f t="shared" si="79"/>
        <v>Unique</v>
      </c>
    </row>
    <row r="630" spans="1:27" x14ac:dyDescent="0.3">
      <c r="A630">
        <v>629</v>
      </c>
      <c r="B630">
        <v>687587.96235478099</v>
      </c>
      <c r="C630">
        <v>0.65585914845691295</v>
      </c>
      <c r="D630">
        <v>-2.45765830203497E-2</v>
      </c>
      <c r="E630">
        <v>0.30120944704319103</v>
      </c>
      <c r="F630">
        <v>1</v>
      </c>
      <c r="G630" t="s">
        <v>10</v>
      </c>
      <c r="H630">
        <v>1</v>
      </c>
      <c r="I630">
        <v>207107.989934438</v>
      </c>
      <c r="J630">
        <v>0.69879055295680803</v>
      </c>
      <c r="K630" t="str">
        <f t="shared" si="72"/>
        <v>OK</v>
      </c>
      <c r="L630" t="str">
        <f t="shared" si="73"/>
        <v>OK</v>
      </c>
      <c r="M630" t="str">
        <f>IF(OR(B630&lt;$AE$20,B630&gt;$AF$20),"Outlier","OK")</f>
        <v>OK</v>
      </c>
      <c r="N630" t="str">
        <f>IF(OR(J630&lt;$AE$21,J630&gt;$AF$21),"Outlier","OK")</f>
        <v>OK</v>
      </c>
      <c r="O630" t="str">
        <f>IF(OR(C630&lt;0,C630&gt;1),"Outlier","OK")</f>
        <v>OK</v>
      </c>
      <c r="P630" t="str">
        <f>IF(OR(D630&lt;0,D630&gt;1),"Outlier","OK")</f>
        <v>Outlier</v>
      </c>
      <c r="Q630" t="str">
        <f t="shared" si="74"/>
        <v>60-80%</v>
      </c>
      <c r="R630" t="str">
        <f>IF(B630="","Missing","OK")</f>
        <v>OK</v>
      </c>
      <c r="S630" t="str">
        <f>IF(E630="","Missing","OK")</f>
        <v>OK</v>
      </c>
      <c r="T630" t="str">
        <f t="shared" si="75"/>
        <v>OK</v>
      </c>
      <c r="U630">
        <f>COUNTIF($A:$A,A630)</f>
        <v>1</v>
      </c>
      <c r="V630" t="str">
        <f t="shared" si="76"/>
        <v>OK</v>
      </c>
      <c r="W630" t="str">
        <f>IF(I630&gt;B630,"ERROR","OK")</f>
        <v>OK</v>
      </c>
      <c r="X630">
        <f>(B630-I630)/B630</f>
        <v>0.69879055295680903</v>
      </c>
      <c r="Y630" s="2">
        <f t="shared" si="77"/>
        <v>9.9920072216264089E-16</v>
      </c>
      <c r="Z630" s="2" t="str">
        <f t="shared" si="78"/>
        <v>OK</v>
      </c>
      <c r="AA630" t="str">
        <f t="shared" si="79"/>
        <v>Unique</v>
      </c>
    </row>
    <row r="631" spans="1:27" x14ac:dyDescent="0.3">
      <c r="A631">
        <v>630</v>
      </c>
      <c r="B631">
        <v>399810.84057659801</v>
      </c>
      <c r="C631">
        <v>0.877862747766742</v>
      </c>
      <c r="D631">
        <v>-0.15972425135402499</v>
      </c>
      <c r="E631">
        <v>0.460683017676425</v>
      </c>
      <c r="F631">
        <v>1</v>
      </c>
      <c r="G631" t="s">
        <v>12</v>
      </c>
      <c r="H631">
        <v>0</v>
      </c>
      <c r="I631">
        <v>184186.064536575</v>
      </c>
      <c r="J631">
        <v>0.53931698232357395</v>
      </c>
      <c r="K631" t="str">
        <f t="shared" si="72"/>
        <v>OK</v>
      </c>
      <c r="L631" t="str">
        <f t="shared" si="73"/>
        <v>OK</v>
      </c>
      <c r="M631" t="str">
        <f>IF(OR(B631&lt;$AE$20,B631&gt;$AF$20),"Outlier","OK")</f>
        <v>OK</v>
      </c>
      <c r="N631" t="str">
        <f>IF(OR(J631&lt;$AE$21,J631&gt;$AF$21),"Outlier","OK")</f>
        <v>OK</v>
      </c>
      <c r="O631" t="str">
        <f>IF(OR(C631&lt;0,C631&gt;1),"Outlier","OK")</f>
        <v>OK</v>
      </c>
      <c r="P631" t="str">
        <f>IF(OR(D631&lt;0,D631&gt;1),"Outlier","OK")</f>
        <v>Outlier</v>
      </c>
      <c r="Q631" t="str">
        <f t="shared" si="74"/>
        <v>40-60%</v>
      </c>
      <c r="R631" t="str">
        <f>IF(B631="","Missing","OK")</f>
        <v>OK</v>
      </c>
      <c r="S631" t="str">
        <f>IF(E631="","Missing","OK")</f>
        <v>OK</v>
      </c>
      <c r="T631" t="str">
        <f t="shared" si="75"/>
        <v>OK</v>
      </c>
      <c r="U631">
        <f>COUNTIF($A:$A,A631)</f>
        <v>1</v>
      </c>
      <c r="V631" t="str">
        <f t="shared" si="76"/>
        <v>OK</v>
      </c>
      <c r="W631" t="str">
        <f>IF(I631&gt;B631,"ERROR","OK")</f>
        <v>OK</v>
      </c>
      <c r="X631">
        <f>(B631-I631)/B631</f>
        <v>0.53931698232357561</v>
      </c>
      <c r="Y631" s="2">
        <f t="shared" si="77"/>
        <v>1.6653345369377348E-15</v>
      </c>
      <c r="Z631" s="2" t="str">
        <f t="shared" si="78"/>
        <v>OK</v>
      </c>
      <c r="AA631" t="str">
        <f t="shared" si="79"/>
        <v>Unique</v>
      </c>
    </row>
    <row r="632" spans="1:27" x14ac:dyDescent="0.3">
      <c r="A632">
        <v>631</v>
      </c>
      <c r="B632">
        <v>960279.26105085795</v>
      </c>
      <c r="C632">
        <v>0.55759778319875597</v>
      </c>
      <c r="D632">
        <v>-0.166495722315425</v>
      </c>
      <c r="E632">
        <v>0.32392961589664299</v>
      </c>
      <c r="F632">
        <v>1</v>
      </c>
      <c r="G632" t="s">
        <v>13</v>
      </c>
      <c r="H632">
        <v>0</v>
      </c>
      <c r="I632">
        <v>311062.89218571701</v>
      </c>
      <c r="J632">
        <v>0.67607038410335596</v>
      </c>
      <c r="K632" t="str">
        <f t="shared" si="72"/>
        <v>OK</v>
      </c>
      <c r="L632" t="str">
        <f t="shared" si="73"/>
        <v>OK</v>
      </c>
      <c r="M632" t="str">
        <f>IF(OR(B632&lt;$AE$20,B632&gt;$AF$20),"Outlier","OK")</f>
        <v>OK</v>
      </c>
      <c r="N632" t="str">
        <f>IF(OR(J632&lt;$AE$21,J632&gt;$AF$21),"Outlier","OK")</f>
        <v>OK</v>
      </c>
      <c r="O632" t="str">
        <f>IF(OR(C632&lt;0,C632&gt;1),"Outlier","OK")</f>
        <v>OK</v>
      </c>
      <c r="P632" t="str">
        <f>IF(OR(D632&lt;0,D632&gt;1),"Outlier","OK")</f>
        <v>Outlier</v>
      </c>
      <c r="Q632" t="str">
        <f t="shared" si="74"/>
        <v>60-80%</v>
      </c>
      <c r="R632" t="str">
        <f>IF(B632="","Missing","OK")</f>
        <v>OK</v>
      </c>
      <c r="S632" t="str">
        <f>IF(E632="","Missing","OK")</f>
        <v>OK</v>
      </c>
      <c r="T632" t="str">
        <f t="shared" si="75"/>
        <v>OK</v>
      </c>
      <c r="U632">
        <f>COUNTIF($A:$A,A632)</f>
        <v>1</v>
      </c>
      <c r="V632" t="str">
        <f t="shared" si="76"/>
        <v>OK</v>
      </c>
      <c r="W632" t="str">
        <f>IF(I632&gt;B632,"ERROR","OK")</f>
        <v>OK</v>
      </c>
      <c r="X632">
        <f>(B632-I632)/B632</f>
        <v>0.67607038410335651</v>
      </c>
      <c r="Y632" s="2">
        <f t="shared" si="77"/>
        <v>5.5511151231257827E-16</v>
      </c>
      <c r="Z632" s="2" t="str">
        <f t="shared" si="78"/>
        <v>OK</v>
      </c>
      <c r="AA632" t="str">
        <f t="shared" si="79"/>
        <v>Unique</v>
      </c>
    </row>
    <row r="633" spans="1:27" x14ac:dyDescent="0.3">
      <c r="A633">
        <v>632</v>
      </c>
      <c r="B633">
        <v>563398.02079798502</v>
      </c>
      <c r="C633">
        <v>0.117923997817376</v>
      </c>
      <c r="D633">
        <v>-8.3155649868804193E-2</v>
      </c>
      <c r="E633">
        <v>0.19588629076844299</v>
      </c>
      <c r="F633">
        <v>1</v>
      </c>
      <c r="G633" t="s">
        <v>10</v>
      </c>
      <c r="H633">
        <v>0</v>
      </c>
      <c r="I633">
        <v>110361.948520399</v>
      </c>
      <c r="J633">
        <v>0.80411370923155601</v>
      </c>
      <c r="K633" t="str">
        <f t="shared" si="72"/>
        <v>OK</v>
      </c>
      <c r="L633" t="str">
        <f t="shared" si="73"/>
        <v>OK</v>
      </c>
      <c r="M633" t="str">
        <f>IF(OR(B633&lt;$AE$20,B633&gt;$AF$20),"Outlier","OK")</f>
        <v>OK</v>
      </c>
      <c r="N633" t="str">
        <f>IF(OR(J633&lt;$AE$21,J633&gt;$AF$21),"Outlier","OK")</f>
        <v>OK</v>
      </c>
      <c r="O633" t="str">
        <f>IF(OR(C633&lt;0,C633&gt;1),"Outlier","OK")</f>
        <v>OK</v>
      </c>
      <c r="P633" t="str">
        <f>IF(OR(D633&lt;0,D633&gt;1),"Outlier","OK")</f>
        <v>Outlier</v>
      </c>
      <c r="Q633" t="str">
        <f t="shared" si="74"/>
        <v>80-100%</v>
      </c>
      <c r="R633" t="str">
        <f>IF(B633="","Missing","OK")</f>
        <v>OK</v>
      </c>
      <c r="S633" t="str">
        <f>IF(E633="","Missing","OK")</f>
        <v>OK</v>
      </c>
      <c r="T633" t="str">
        <f t="shared" si="75"/>
        <v>OK</v>
      </c>
      <c r="U633">
        <f>COUNTIF($A:$A,A633)</f>
        <v>1</v>
      </c>
      <c r="V633" t="str">
        <f t="shared" si="76"/>
        <v>OK</v>
      </c>
      <c r="W633" t="str">
        <f>IF(I633&gt;B633,"ERROR","OK")</f>
        <v>OK</v>
      </c>
      <c r="X633">
        <f>(B633-I633)/B633</f>
        <v>0.80411370923155767</v>
      </c>
      <c r="Y633" s="2">
        <f t="shared" si="77"/>
        <v>1.6653345369377348E-15</v>
      </c>
      <c r="Z633" s="2" t="str">
        <f t="shared" si="78"/>
        <v>OK</v>
      </c>
      <c r="AA633" t="str">
        <f t="shared" si="79"/>
        <v>Unique</v>
      </c>
    </row>
    <row r="634" spans="1:27" x14ac:dyDescent="0.3">
      <c r="A634">
        <v>633</v>
      </c>
      <c r="B634">
        <v>742376.99641448399</v>
      </c>
      <c r="C634">
        <v>0.63419467204941504</v>
      </c>
      <c r="D634">
        <v>-0.17350350253280999</v>
      </c>
      <c r="E634">
        <v>0.287030397588735</v>
      </c>
      <c r="F634">
        <v>1</v>
      </c>
      <c r="G634" t="s">
        <v>10</v>
      </c>
      <c r="H634">
        <v>1</v>
      </c>
      <c r="I634">
        <v>213084.76444157999</v>
      </c>
      <c r="J634">
        <v>0.71296960241126495</v>
      </c>
      <c r="K634" t="str">
        <f t="shared" si="72"/>
        <v>OK</v>
      </c>
      <c r="L634" t="str">
        <f t="shared" si="73"/>
        <v>OK</v>
      </c>
      <c r="M634" t="str">
        <f>IF(OR(B634&lt;$AE$20,B634&gt;$AF$20),"Outlier","OK")</f>
        <v>OK</v>
      </c>
      <c r="N634" t="str">
        <f>IF(OR(J634&lt;$AE$21,J634&gt;$AF$21),"Outlier","OK")</f>
        <v>OK</v>
      </c>
      <c r="O634" t="str">
        <f>IF(OR(C634&lt;0,C634&gt;1),"Outlier","OK")</f>
        <v>OK</v>
      </c>
      <c r="P634" t="str">
        <f>IF(OR(D634&lt;0,D634&gt;1),"Outlier","OK")</f>
        <v>Outlier</v>
      </c>
      <c r="Q634" t="str">
        <f t="shared" si="74"/>
        <v>60-80%</v>
      </c>
      <c r="R634" t="str">
        <f>IF(B634="","Missing","OK")</f>
        <v>OK</v>
      </c>
      <c r="S634" t="str">
        <f>IF(E634="","Missing","OK")</f>
        <v>OK</v>
      </c>
      <c r="T634" t="str">
        <f t="shared" si="75"/>
        <v>OK</v>
      </c>
      <c r="U634">
        <f>COUNTIF($A:$A,A634)</f>
        <v>1</v>
      </c>
      <c r="V634" t="str">
        <f t="shared" si="76"/>
        <v>OK</v>
      </c>
      <c r="W634" t="str">
        <f>IF(I634&gt;B634,"ERROR","OK")</f>
        <v>OK</v>
      </c>
      <c r="X634">
        <f>(B634-I634)/B634</f>
        <v>0.71296960241126528</v>
      </c>
      <c r="Y634" s="2">
        <f t="shared" si="77"/>
        <v>3.3306690738754696E-16</v>
      </c>
      <c r="Z634" s="2" t="str">
        <f t="shared" si="78"/>
        <v>OK</v>
      </c>
      <c r="AA634" t="str">
        <f t="shared" si="79"/>
        <v>Unique</v>
      </c>
    </row>
    <row r="635" spans="1:27" x14ac:dyDescent="0.3">
      <c r="A635">
        <v>634</v>
      </c>
      <c r="B635">
        <v>1910580.7393519899</v>
      </c>
      <c r="C635">
        <v>0.39865750299709402</v>
      </c>
      <c r="D635">
        <v>0.14502780476077201</v>
      </c>
      <c r="E635">
        <v>0.36916098947036502</v>
      </c>
      <c r="F635">
        <v>1</v>
      </c>
      <c r="G635" t="s">
        <v>13</v>
      </c>
      <c r="H635">
        <v>1</v>
      </c>
      <c r="I635">
        <v>705311.87620220496</v>
      </c>
      <c r="J635">
        <v>0.63083901052963398</v>
      </c>
      <c r="K635" t="str">
        <f t="shared" si="72"/>
        <v>OK</v>
      </c>
      <c r="L635" t="str">
        <f t="shared" si="73"/>
        <v>OK</v>
      </c>
      <c r="M635" t="str">
        <f>IF(OR(B635&lt;$AE$20,B635&gt;$AF$20),"Outlier","OK")</f>
        <v>OK</v>
      </c>
      <c r="N635" t="str">
        <f>IF(OR(J635&lt;$AE$21,J635&gt;$AF$21),"Outlier","OK")</f>
        <v>OK</v>
      </c>
      <c r="O635" t="str">
        <f>IF(OR(C635&lt;0,C635&gt;1),"Outlier","OK")</f>
        <v>OK</v>
      </c>
      <c r="P635" t="str">
        <f>IF(OR(D635&lt;0,D635&gt;1),"Outlier","OK")</f>
        <v>OK</v>
      </c>
      <c r="Q635" t="str">
        <f t="shared" si="74"/>
        <v>60-80%</v>
      </c>
      <c r="R635" t="str">
        <f>IF(B635="","Missing","OK")</f>
        <v>OK</v>
      </c>
      <c r="S635" t="str">
        <f>IF(E635="","Missing","OK")</f>
        <v>OK</v>
      </c>
      <c r="T635" t="str">
        <f t="shared" si="75"/>
        <v>OK</v>
      </c>
      <c r="U635">
        <f>COUNTIF($A:$A,A635)</f>
        <v>1</v>
      </c>
      <c r="V635" t="str">
        <f t="shared" si="76"/>
        <v>OK</v>
      </c>
      <c r="W635" t="str">
        <f>IF(I635&gt;B635,"ERROR","OK")</f>
        <v>OK</v>
      </c>
      <c r="X635">
        <f>(B635-I635)/B635</f>
        <v>0.63083901052963354</v>
      </c>
      <c r="Y635" s="2">
        <f t="shared" si="77"/>
        <v>4.4408920985006262E-16</v>
      </c>
      <c r="Z635" s="2" t="str">
        <f t="shared" si="78"/>
        <v>OK</v>
      </c>
      <c r="AA635" t="str">
        <f t="shared" si="79"/>
        <v>Unique</v>
      </c>
    </row>
    <row r="636" spans="1:27" x14ac:dyDescent="0.3">
      <c r="A636">
        <v>635</v>
      </c>
      <c r="B636">
        <v>949218.84753773001</v>
      </c>
      <c r="C636">
        <v>0.55857667540909195</v>
      </c>
      <c r="D636">
        <v>-0.11800360411899199</v>
      </c>
      <c r="E636">
        <v>0.120109899851881</v>
      </c>
      <c r="F636">
        <v>1</v>
      </c>
      <c r="G636" t="s">
        <v>10</v>
      </c>
      <c r="H636">
        <v>0</v>
      </c>
      <c r="I636">
        <v>114010.580715274</v>
      </c>
      <c r="J636">
        <v>0.87989010014811897</v>
      </c>
      <c r="K636" t="str">
        <f t="shared" si="72"/>
        <v>OK</v>
      </c>
      <c r="L636" t="str">
        <f t="shared" si="73"/>
        <v>OK</v>
      </c>
      <c r="M636" t="str">
        <f>IF(OR(B636&lt;$AE$20,B636&gt;$AF$20),"Outlier","OK")</f>
        <v>OK</v>
      </c>
      <c r="N636" t="str">
        <f>IF(OR(J636&lt;$AE$21,J636&gt;$AF$21),"Outlier","OK")</f>
        <v>OK</v>
      </c>
      <c r="O636" t="str">
        <f>IF(OR(C636&lt;0,C636&gt;1),"Outlier","OK")</f>
        <v>OK</v>
      </c>
      <c r="P636" t="str">
        <f>IF(OR(D636&lt;0,D636&gt;1),"Outlier","OK")</f>
        <v>Outlier</v>
      </c>
      <c r="Q636" t="str">
        <f t="shared" si="74"/>
        <v>80-100%</v>
      </c>
      <c r="R636" t="str">
        <f>IF(B636="","Missing","OK")</f>
        <v>OK</v>
      </c>
      <c r="S636" t="str">
        <f>IF(E636="","Missing","OK")</f>
        <v>OK</v>
      </c>
      <c r="T636" t="str">
        <f t="shared" si="75"/>
        <v>OK</v>
      </c>
      <c r="U636">
        <f>COUNTIF($A:$A,A636)</f>
        <v>1</v>
      </c>
      <c r="V636" t="str">
        <f t="shared" si="76"/>
        <v>OK</v>
      </c>
      <c r="W636" t="str">
        <f>IF(I636&gt;B636,"ERROR","OK")</f>
        <v>OK</v>
      </c>
      <c r="X636">
        <f>(B636-I636)/B636</f>
        <v>0.87989010014811975</v>
      </c>
      <c r="Y636" s="2">
        <f t="shared" si="77"/>
        <v>7.7715611723760958E-16</v>
      </c>
      <c r="Z636" s="2" t="str">
        <f t="shared" si="78"/>
        <v>OK</v>
      </c>
      <c r="AA636" t="str">
        <f t="shared" si="79"/>
        <v>Unique</v>
      </c>
    </row>
    <row r="637" spans="1:27" x14ac:dyDescent="0.3">
      <c r="A637">
        <v>636</v>
      </c>
      <c r="B637">
        <v>1385538.3576793501</v>
      </c>
      <c r="C637">
        <v>0.43982489560926702</v>
      </c>
      <c r="D637">
        <v>0.13205924570177399</v>
      </c>
      <c r="E637">
        <v>0.35280436673922899</v>
      </c>
      <c r="F637">
        <v>1</v>
      </c>
      <c r="G637" t="s">
        <v>12</v>
      </c>
      <c r="H637">
        <v>0</v>
      </c>
      <c r="I637">
        <v>488823.98287397501</v>
      </c>
      <c r="J637">
        <v>0.64719563326077001</v>
      </c>
      <c r="K637" t="str">
        <f t="shared" si="72"/>
        <v>OK</v>
      </c>
      <c r="L637" t="str">
        <f t="shared" si="73"/>
        <v>OK</v>
      </c>
      <c r="M637" t="str">
        <f>IF(OR(B637&lt;$AE$20,B637&gt;$AF$20),"Outlier","OK")</f>
        <v>OK</v>
      </c>
      <c r="N637" t="str">
        <f>IF(OR(J637&lt;$AE$21,J637&gt;$AF$21),"Outlier","OK")</f>
        <v>OK</v>
      </c>
      <c r="O637" t="str">
        <f>IF(OR(C637&lt;0,C637&gt;1),"Outlier","OK")</f>
        <v>OK</v>
      </c>
      <c r="P637" t="str">
        <f>IF(OR(D637&lt;0,D637&gt;1),"Outlier","OK")</f>
        <v>OK</v>
      </c>
      <c r="Q637" t="str">
        <f t="shared" si="74"/>
        <v>60-80%</v>
      </c>
      <c r="R637" t="str">
        <f>IF(B637="","Missing","OK")</f>
        <v>OK</v>
      </c>
      <c r="S637" t="str">
        <f>IF(E637="","Missing","OK")</f>
        <v>OK</v>
      </c>
      <c r="T637" t="str">
        <f t="shared" si="75"/>
        <v>OK</v>
      </c>
      <c r="U637">
        <f>COUNTIF($A:$A,A637)</f>
        <v>1</v>
      </c>
      <c r="V637" t="str">
        <f t="shared" si="76"/>
        <v>OK</v>
      </c>
      <c r="W637" t="str">
        <f>IF(I637&gt;B637,"ERROR","OK")</f>
        <v>OK</v>
      </c>
      <c r="X637">
        <f>(B637-I637)/B637</f>
        <v>0.64719563326077056</v>
      </c>
      <c r="Y637" s="2">
        <f t="shared" si="77"/>
        <v>5.5511151231257827E-16</v>
      </c>
      <c r="Z637" s="2" t="str">
        <f t="shared" si="78"/>
        <v>OK</v>
      </c>
      <c r="AA637" t="str">
        <f t="shared" si="79"/>
        <v>Unique</v>
      </c>
    </row>
    <row r="638" spans="1:27" x14ac:dyDescent="0.3">
      <c r="A638">
        <v>637</v>
      </c>
      <c r="B638">
        <v>705648.29479692504</v>
      </c>
      <c r="C638">
        <v>0.82800863959801996</v>
      </c>
      <c r="D638">
        <v>-3.6341409485661898E-2</v>
      </c>
      <c r="E638">
        <v>0.25951988517777702</v>
      </c>
      <c r="F638">
        <v>1</v>
      </c>
      <c r="G638" t="s">
        <v>12</v>
      </c>
      <c r="H638">
        <v>0</v>
      </c>
      <c r="I638">
        <v>183129.76444159201</v>
      </c>
      <c r="J638">
        <v>0.74048011482222198</v>
      </c>
      <c r="K638" t="str">
        <f t="shared" si="72"/>
        <v>OK</v>
      </c>
      <c r="L638" t="str">
        <f t="shared" si="73"/>
        <v>OK</v>
      </c>
      <c r="M638" t="str">
        <f>IF(OR(B638&lt;$AE$20,B638&gt;$AF$20),"Outlier","OK")</f>
        <v>OK</v>
      </c>
      <c r="N638" t="str">
        <f>IF(OR(J638&lt;$AE$21,J638&gt;$AF$21),"Outlier","OK")</f>
        <v>OK</v>
      </c>
      <c r="O638" t="str">
        <f>IF(OR(C638&lt;0,C638&gt;1),"Outlier","OK")</f>
        <v>OK</v>
      </c>
      <c r="P638" t="str">
        <f>IF(OR(D638&lt;0,D638&gt;1),"Outlier","OK")</f>
        <v>Outlier</v>
      </c>
      <c r="Q638" t="str">
        <f t="shared" si="74"/>
        <v>60-80%</v>
      </c>
      <c r="R638" t="str">
        <f>IF(B638="","Missing","OK")</f>
        <v>OK</v>
      </c>
      <c r="S638" t="str">
        <f>IF(E638="","Missing","OK")</f>
        <v>OK</v>
      </c>
      <c r="T638" t="str">
        <f t="shared" si="75"/>
        <v>OK</v>
      </c>
      <c r="U638">
        <f>COUNTIF($A:$A,A638)</f>
        <v>1</v>
      </c>
      <c r="V638" t="str">
        <f t="shared" si="76"/>
        <v>OK</v>
      </c>
      <c r="W638" t="str">
        <f>IF(I638&gt;B638,"ERROR","OK")</f>
        <v>OK</v>
      </c>
      <c r="X638">
        <f>(B638-I638)/B638</f>
        <v>0.74048011482222309</v>
      </c>
      <c r="Y638" s="2">
        <f t="shared" si="77"/>
        <v>1.1102230246251565E-15</v>
      </c>
      <c r="Z638" s="2" t="str">
        <f t="shared" si="78"/>
        <v>OK</v>
      </c>
      <c r="AA638" t="str">
        <f t="shared" si="79"/>
        <v>Unique</v>
      </c>
    </row>
    <row r="639" spans="1:27" x14ac:dyDescent="0.3">
      <c r="A639">
        <v>638</v>
      </c>
      <c r="B639">
        <v>1991929.102979</v>
      </c>
      <c r="C639">
        <v>0.245036842990043</v>
      </c>
      <c r="D639">
        <v>0.19788427546353701</v>
      </c>
      <c r="E639">
        <v>0.30217770548652001</v>
      </c>
      <c r="F639">
        <v>1</v>
      </c>
      <c r="G639" t="s">
        <v>10</v>
      </c>
      <c r="H639">
        <v>0</v>
      </c>
      <c r="I639">
        <v>601916.56583001802</v>
      </c>
      <c r="J639">
        <v>0.69782229451347899</v>
      </c>
      <c r="K639" t="str">
        <f t="shared" si="72"/>
        <v>OK</v>
      </c>
      <c r="L639" t="str">
        <f t="shared" si="73"/>
        <v>OK</v>
      </c>
      <c r="M639" t="str">
        <f>IF(OR(B639&lt;$AE$20,B639&gt;$AF$20),"Outlier","OK")</f>
        <v>Outlier</v>
      </c>
      <c r="N639" t="str">
        <f>IF(OR(J639&lt;$AE$21,J639&gt;$AF$21),"Outlier","OK")</f>
        <v>OK</v>
      </c>
      <c r="O639" t="str">
        <f>IF(OR(C639&lt;0,C639&gt;1),"Outlier","OK")</f>
        <v>OK</v>
      </c>
      <c r="P639" t="str">
        <f>IF(OR(D639&lt;0,D639&gt;1),"Outlier","OK")</f>
        <v>OK</v>
      </c>
      <c r="Q639" t="str">
        <f t="shared" si="74"/>
        <v>60-80%</v>
      </c>
      <c r="R639" t="str">
        <f>IF(B639="","Missing","OK")</f>
        <v>OK</v>
      </c>
      <c r="S639" t="str">
        <f>IF(E639="","Missing","OK")</f>
        <v>OK</v>
      </c>
      <c r="T639" t="str">
        <f t="shared" si="75"/>
        <v>OK</v>
      </c>
      <c r="U639">
        <f>COUNTIF($A:$A,A639)</f>
        <v>1</v>
      </c>
      <c r="V639" t="str">
        <f t="shared" si="76"/>
        <v>OK</v>
      </c>
      <c r="W639" t="str">
        <f>IF(I639&gt;B639,"ERROR","OK")</f>
        <v>OK</v>
      </c>
      <c r="X639">
        <f>(B639-I639)/B639</f>
        <v>0.69782229451347899</v>
      </c>
      <c r="Y639" s="2">
        <f t="shared" si="77"/>
        <v>0</v>
      </c>
      <c r="Z639" s="2" t="str">
        <f t="shared" si="78"/>
        <v>OK</v>
      </c>
      <c r="AA639" t="str">
        <f t="shared" si="79"/>
        <v>Unique</v>
      </c>
    </row>
    <row r="640" spans="1:27" x14ac:dyDescent="0.3">
      <c r="A640">
        <v>639</v>
      </c>
      <c r="B640">
        <v>1334596.83178125</v>
      </c>
      <c r="C640">
        <v>0.48417773968856898</v>
      </c>
      <c r="D640">
        <v>0.19632618654616299</v>
      </c>
      <c r="E640">
        <v>1.51943286002491E-2</v>
      </c>
      <c r="F640">
        <v>1</v>
      </c>
      <c r="G640" t="s">
        <v>13</v>
      </c>
      <c r="H640">
        <v>0</v>
      </c>
      <c r="I640">
        <v>20278.3028109357</v>
      </c>
      <c r="J640">
        <v>0.98480567139974995</v>
      </c>
      <c r="K640" t="str">
        <f t="shared" si="72"/>
        <v>OK</v>
      </c>
      <c r="L640" t="str">
        <f t="shared" si="73"/>
        <v>OK</v>
      </c>
      <c r="M640" t="str">
        <f>IF(OR(B640&lt;$AE$20,B640&gt;$AF$20),"Outlier","OK")</f>
        <v>OK</v>
      </c>
      <c r="N640" t="str">
        <f>IF(OR(J640&lt;$AE$21,J640&gt;$AF$21),"Outlier","OK")</f>
        <v>Outlier</v>
      </c>
      <c r="O640" t="str">
        <f>IF(OR(C640&lt;0,C640&gt;1),"Outlier","OK")</f>
        <v>OK</v>
      </c>
      <c r="P640" t="str">
        <f>IF(OR(D640&lt;0,D640&gt;1),"Outlier","OK")</f>
        <v>OK</v>
      </c>
      <c r="Q640" t="str">
        <f t="shared" si="74"/>
        <v>80-100%</v>
      </c>
      <c r="R640" t="str">
        <f>IF(B640="","Missing","OK")</f>
        <v>OK</v>
      </c>
      <c r="S640" t="str">
        <f>IF(E640="","Missing","OK")</f>
        <v>OK</v>
      </c>
      <c r="T640" t="str">
        <f t="shared" si="75"/>
        <v>OK</v>
      </c>
      <c r="U640">
        <f>COUNTIF($A:$A,A640)</f>
        <v>1</v>
      </c>
      <c r="V640" t="str">
        <f t="shared" si="76"/>
        <v>OK</v>
      </c>
      <c r="W640" t="str">
        <f>IF(I640&gt;B640,"ERROR","OK")</f>
        <v>OK</v>
      </c>
      <c r="X640">
        <f>(B640-I640)/B640</f>
        <v>0.98480567139975084</v>
      </c>
      <c r="Y640" s="2">
        <f t="shared" si="77"/>
        <v>8.8817841970012523E-16</v>
      </c>
      <c r="Z640" s="2" t="str">
        <f t="shared" si="78"/>
        <v>OK</v>
      </c>
      <c r="AA640" t="str">
        <f t="shared" si="79"/>
        <v>Unique</v>
      </c>
    </row>
    <row r="641" spans="1:27" x14ac:dyDescent="0.3">
      <c r="A641">
        <v>640</v>
      </c>
      <c r="B641">
        <v>432218.45820388797</v>
      </c>
      <c r="C641">
        <v>0.64115064894218898</v>
      </c>
      <c r="D641">
        <v>1.7647613175243802E-2</v>
      </c>
      <c r="E641">
        <v>0.12698385995617201</v>
      </c>
      <c r="F641">
        <v>1</v>
      </c>
      <c r="G641" t="s">
        <v>12</v>
      </c>
      <c r="H641">
        <v>0</v>
      </c>
      <c r="I641">
        <v>54884.7681670354</v>
      </c>
      <c r="J641">
        <v>0.87301614004382699</v>
      </c>
      <c r="K641" t="str">
        <f t="shared" si="72"/>
        <v>OK</v>
      </c>
      <c r="L641" t="str">
        <f t="shared" si="73"/>
        <v>OK</v>
      </c>
      <c r="M641" t="str">
        <f>IF(OR(B641&lt;$AE$20,B641&gt;$AF$20),"Outlier","OK")</f>
        <v>OK</v>
      </c>
      <c r="N641" t="str">
        <f>IF(OR(J641&lt;$AE$21,J641&gt;$AF$21),"Outlier","OK")</f>
        <v>OK</v>
      </c>
      <c r="O641" t="str">
        <f>IF(OR(C641&lt;0,C641&gt;1),"Outlier","OK")</f>
        <v>OK</v>
      </c>
      <c r="P641" t="str">
        <f>IF(OR(D641&lt;0,D641&gt;1),"Outlier","OK")</f>
        <v>OK</v>
      </c>
      <c r="Q641" t="str">
        <f t="shared" si="74"/>
        <v>80-100%</v>
      </c>
      <c r="R641" t="str">
        <f>IF(B641="","Missing","OK")</f>
        <v>OK</v>
      </c>
      <c r="S641" t="str">
        <f>IF(E641="","Missing","OK")</f>
        <v>OK</v>
      </c>
      <c r="T641" t="str">
        <f t="shared" si="75"/>
        <v>OK</v>
      </c>
      <c r="U641">
        <f>COUNTIF($A:$A,A641)</f>
        <v>1</v>
      </c>
      <c r="V641" t="str">
        <f t="shared" si="76"/>
        <v>OK</v>
      </c>
      <c r="W641" t="str">
        <f>IF(I641&gt;B641,"ERROR","OK")</f>
        <v>OK</v>
      </c>
      <c r="X641">
        <f>(B641-I641)/B641</f>
        <v>0.87301614004382722</v>
      </c>
      <c r="Y641" s="2">
        <f t="shared" si="77"/>
        <v>2.2204460492503131E-16</v>
      </c>
      <c r="Z641" s="2" t="str">
        <f t="shared" si="78"/>
        <v>OK</v>
      </c>
      <c r="AA641" t="str">
        <f t="shared" si="79"/>
        <v>Unique</v>
      </c>
    </row>
    <row r="642" spans="1:27" x14ac:dyDescent="0.3">
      <c r="A642">
        <v>641</v>
      </c>
      <c r="B642">
        <v>241458.79731185999</v>
      </c>
      <c r="C642">
        <v>0.209286676034946</v>
      </c>
      <c r="D642">
        <v>3.5790797808632598E-2</v>
      </c>
      <c r="E642">
        <v>0.30130446513679299</v>
      </c>
      <c r="F642">
        <v>1</v>
      </c>
      <c r="G642" t="s">
        <v>11</v>
      </c>
      <c r="H642">
        <v>1</v>
      </c>
      <c r="I642">
        <v>72752.613776623606</v>
      </c>
      <c r="J642">
        <v>0.69869553486320601</v>
      </c>
      <c r="K642" t="str">
        <f t="shared" si="72"/>
        <v>OK</v>
      </c>
      <c r="L642" t="str">
        <f t="shared" si="73"/>
        <v>OK</v>
      </c>
      <c r="M642" t="str">
        <f>IF(OR(B642&lt;$AE$20,B642&gt;$AF$20),"Outlier","OK")</f>
        <v>OK</v>
      </c>
      <c r="N642" t="str">
        <f>IF(OR(J642&lt;$AE$21,J642&gt;$AF$21),"Outlier","OK")</f>
        <v>OK</v>
      </c>
      <c r="O642" t="str">
        <f>IF(OR(C642&lt;0,C642&gt;1),"Outlier","OK")</f>
        <v>OK</v>
      </c>
      <c r="P642" t="str">
        <f>IF(OR(D642&lt;0,D642&gt;1),"Outlier","OK")</f>
        <v>OK</v>
      </c>
      <c r="Q642" t="str">
        <f t="shared" si="74"/>
        <v>60-80%</v>
      </c>
      <c r="R642" t="str">
        <f>IF(B642="","Missing","OK")</f>
        <v>OK</v>
      </c>
      <c r="S642" t="str">
        <f>IF(E642="","Missing","OK")</f>
        <v>OK</v>
      </c>
      <c r="T642" t="str">
        <f t="shared" si="75"/>
        <v>OK</v>
      </c>
      <c r="U642">
        <f>COUNTIF($A:$A,A642)</f>
        <v>1</v>
      </c>
      <c r="V642" t="str">
        <f t="shared" si="76"/>
        <v>OK</v>
      </c>
      <c r="W642" t="str">
        <f>IF(I642&gt;B642,"ERROR","OK")</f>
        <v>OK</v>
      </c>
      <c r="X642">
        <f>(B642-I642)/B642</f>
        <v>0.69869553486320568</v>
      </c>
      <c r="Y642" s="2">
        <f t="shared" si="77"/>
        <v>3.3306690738754696E-16</v>
      </c>
      <c r="Z642" s="2" t="str">
        <f t="shared" si="78"/>
        <v>OK</v>
      </c>
      <c r="AA642" t="str">
        <f t="shared" si="79"/>
        <v>Unique</v>
      </c>
    </row>
    <row r="643" spans="1:27" x14ac:dyDescent="0.3">
      <c r="A643">
        <v>642</v>
      </c>
      <c r="B643">
        <v>1889202.11379531</v>
      </c>
      <c r="C643">
        <v>0.17003253871614399</v>
      </c>
      <c r="D643">
        <v>-0.105779207959696</v>
      </c>
      <c r="E643">
        <v>0.26909994313897301</v>
      </c>
      <c r="F643">
        <v>1</v>
      </c>
      <c r="G643" t="s">
        <v>13</v>
      </c>
      <c r="H643">
        <v>1</v>
      </c>
      <c r="I643">
        <v>508384.18140034599</v>
      </c>
      <c r="J643">
        <v>0.73090005686102599</v>
      </c>
      <c r="K643" t="str">
        <f t="shared" ref="K643:K706" si="80">IF(OR(J643&lt;0,J643&gt;1),"Error","OK")</f>
        <v>OK</v>
      </c>
      <c r="L643" t="str">
        <f t="shared" ref="L643:L706" si="81">IF(I643&gt;B643,"Error","OK")</f>
        <v>OK</v>
      </c>
      <c r="M643" t="str">
        <f>IF(OR(B643&lt;$AE$20,B643&gt;$AF$20),"Outlier","OK")</f>
        <v>OK</v>
      </c>
      <c r="N643" t="str">
        <f>IF(OR(J643&lt;$AE$21,J643&gt;$AF$21),"Outlier","OK")</f>
        <v>OK</v>
      </c>
      <c r="O643" t="str">
        <f>IF(OR(C643&lt;0,C643&gt;1),"Outlier","OK")</f>
        <v>OK</v>
      </c>
      <c r="P643" t="str">
        <f>IF(OR(D643&lt;0,D643&gt;1),"Outlier","OK")</f>
        <v>Outlier</v>
      </c>
      <c r="Q643" t="str">
        <f t="shared" ref="Q643:Q706" si="82">IF(J643&lt;=0.2,"0-20%",
 IF(J643&lt;=0.4,"20-40%",
 IF(J643&lt;=0.6,"40-60%",
 IF(J643&lt;=0.8,"60-80%","80-100%"))))</f>
        <v>60-80%</v>
      </c>
      <c r="R643" t="str">
        <f>IF(B643="","Missing","OK")</f>
        <v>OK</v>
      </c>
      <c r="S643" t="str">
        <f>IF(E643="","Missing","OK")</f>
        <v>OK</v>
      </c>
      <c r="T643" t="str">
        <f t="shared" ref="T643:T706" si="83">IF(J643="","Missing","OK")</f>
        <v>OK</v>
      </c>
      <c r="U643">
        <f>COUNTIF($A:$A,A643)</f>
        <v>1</v>
      </c>
      <c r="V643" t="str">
        <f t="shared" ref="V643:V706" si="84">IF(OR(J643&lt;0,J643&gt;1),"ERROR","OK")</f>
        <v>OK</v>
      </c>
      <c r="W643" t="str">
        <f>IF(I643&gt;B643,"ERROR","OK")</f>
        <v>OK</v>
      </c>
      <c r="X643">
        <f>(B643-I643)/B643</f>
        <v>0.73090005686102677</v>
      </c>
      <c r="Y643" s="2">
        <f t="shared" ref="Y643:Y706" si="85">ABS(J643-X643)</f>
        <v>7.7715611723760958E-16</v>
      </c>
      <c r="Z643" s="2" t="str">
        <f t="shared" ref="Z643:Z706" si="86">IF(OR(B643="",I643="",J643=""),"Missing","OK")</f>
        <v>OK</v>
      </c>
      <c r="AA643" t="str">
        <f t="shared" ref="AA643:AA706" si="87">IF(COUNTIF($A:$A,A643)&gt;1,"Duplicate","Unique")</f>
        <v>Unique</v>
      </c>
    </row>
    <row r="644" spans="1:27" x14ac:dyDescent="0.3">
      <c r="A644">
        <v>643</v>
      </c>
      <c r="B644">
        <v>1892316.7728107199</v>
      </c>
      <c r="C644">
        <v>0.44637533995863998</v>
      </c>
      <c r="D644">
        <v>-0.13285819950368399</v>
      </c>
      <c r="E644">
        <v>0.40334831704609803</v>
      </c>
      <c r="F644">
        <v>1</v>
      </c>
      <c r="G644" t="s">
        <v>10</v>
      </c>
      <c r="H644">
        <v>0</v>
      </c>
      <c r="I644">
        <v>763262.78563130798</v>
      </c>
      <c r="J644">
        <v>0.59665168295390103</v>
      </c>
      <c r="K644" t="str">
        <f t="shared" si="80"/>
        <v>OK</v>
      </c>
      <c r="L644" t="str">
        <f t="shared" si="81"/>
        <v>OK</v>
      </c>
      <c r="M644" t="str">
        <f>IF(OR(B644&lt;$AE$20,B644&gt;$AF$20),"Outlier","OK")</f>
        <v>OK</v>
      </c>
      <c r="N644" t="str">
        <f>IF(OR(J644&lt;$AE$21,J644&gt;$AF$21),"Outlier","OK")</f>
        <v>OK</v>
      </c>
      <c r="O644" t="str">
        <f>IF(OR(C644&lt;0,C644&gt;1),"Outlier","OK")</f>
        <v>OK</v>
      </c>
      <c r="P644" t="str">
        <f>IF(OR(D644&lt;0,D644&gt;1),"Outlier","OK")</f>
        <v>Outlier</v>
      </c>
      <c r="Q644" t="str">
        <f t="shared" si="82"/>
        <v>40-60%</v>
      </c>
      <c r="R644" t="str">
        <f>IF(B644="","Missing","OK")</f>
        <v>OK</v>
      </c>
      <c r="S644" t="str">
        <f>IF(E644="","Missing","OK")</f>
        <v>OK</v>
      </c>
      <c r="T644" t="str">
        <f t="shared" si="83"/>
        <v>OK</v>
      </c>
      <c r="U644">
        <f>COUNTIF($A:$A,A644)</f>
        <v>1</v>
      </c>
      <c r="V644" t="str">
        <f t="shared" si="84"/>
        <v>OK</v>
      </c>
      <c r="W644" t="str">
        <f>IF(I644&gt;B644,"ERROR","OK")</f>
        <v>OK</v>
      </c>
      <c r="X644">
        <f>(B644-I644)/B644</f>
        <v>0.5966516829539017</v>
      </c>
      <c r="Y644" s="2">
        <f t="shared" si="85"/>
        <v>6.6613381477509392E-16</v>
      </c>
      <c r="Z644" s="2" t="str">
        <f t="shared" si="86"/>
        <v>OK</v>
      </c>
      <c r="AA644" t="str">
        <f t="shared" si="87"/>
        <v>Unique</v>
      </c>
    </row>
    <row r="645" spans="1:27" x14ac:dyDescent="0.3">
      <c r="A645">
        <v>644</v>
      </c>
      <c r="B645">
        <v>1261590.33208446</v>
      </c>
      <c r="C645">
        <v>0.21468240222750501</v>
      </c>
      <c r="D645">
        <v>1.6083430668407599E-2</v>
      </c>
      <c r="E645">
        <v>0.151115652800764</v>
      </c>
      <c r="F645">
        <v>1</v>
      </c>
      <c r="G645" t="s">
        <v>11</v>
      </c>
      <c r="H645">
        <v>1</v>
      </c>
      <c r="I645">
        <v>190646.04660007701</v>
      </c>
      <c r="J645">
        <v>0.848884347199235</v>
      </c>
      <c r="K645" t="str">
        <f t="shared" si="80"/>
        <v>OK</v>
      </c>
      <c r="L645" t="str">
        <f t="shared" si="81"/>
        <v>OK</v>
      </c>
      <c r="M645" t="str">
        <f>IF(OR(B645&lt;$AE$20,B645&gt;$AF$20),"Outlier","OK")</f>
        <v>OK</v>
      </c>
      <c r="N645" t="str">
        <f>IF(OR(J645&lt;$AE$21,J645&gt;$AF$21),"Outlier","OK")</f>
        <v>OK</v>
      </c>
      <c r="O645" t="str">
        <f>IF(OR(C645&lt;0,C645&gt;1),"Outlier","OK")</f>
        <v>OK</v>
      </c>
      <c r="P645" t="str">
        <f>IF(OR(D645&lt;0,D645&gt;1),"Outlier","OK")</f>
        <v>OK</v>
      </c>
      <c r="Q645" t="str">
        <f t="shared" si="82"/>
        <v>80-100%</v>
      </c>
      <c r="R645" t="str">
        <f>IF(B645="","Missing","OK")</f>
        <v>OK</v>
      </c>
      <c r="S645" t="str">
        <f>IF(E645="","Missing","OK")</f>
        <v>OK</v>
      </c>
      <c r="T645" t="str">
        <f t="shared" si="83"/>
        <v>OK</v>
      </c>
      <c r="U645">
        <f>COUNTIF($A:$A,A645)</f>
        <v>1</v>
      </c>
      <c r="V645" t="str">
        <f t="shared" si="84"/>
        <v>OK</v>
      </c>
      <c r="W645" t="str">
        <f>IF(I645&gt;B645,"ERROR","OK")</f>
        <v>OK</v>
      </c>
      <c r="X645">
        <f>(B645-I645)/B645</f>
        <v>0.848884347199235</v>
      </c>
      <c r="Y645" s="2">
        <f t="shared" si="85"/>
        <v>0</v>
      </c>
      <c r="Z645" s="2" t="str">
        <f t="shared" si="86"/>
        <v>OK</v>
      </c>
      <c r="AA645" t="str">
        <f t="shared" si="87"/>
        <v>Unique</v>
      </c>
    </row>
    <row r="646" spans="1:27" x14ac:dyDescent="0.3">
      <c r="A646">
        <v>645</v>
      </c>
      <c r="B646">
        <v>83133.423725174202</v>
      </c>
      <c r="C646">
        <v>0.73287878979163101</v>
      </c>
      <c r="D646">
        <v>-0.105264926579278</v>
      </c>
      <c r="E646">
        <v>0.28109030326767298</v>
      </c>
      <c r="F646">
        <v>1</v>
      </c>
      <c r="G646" t="s">
        <v>13</v>
      </c>
      <c r="H646">
        <v>0</v>
      </c>
      <c r="I646">
        <v>23367.999286589202</v>
      </c>
      <c r="J646">
        <v>0.71890969673232596</v>
      </c>
      <c r="K646" t="str">
        <f t="shared" si="80"/>
        <v>OK</v>
      </c>
      <c r="L646" t="str">
        <f t="shared" si="81"/>
        <v>OK</v>
      </c>
      <c r="M646" t="str">
        <f>IF(OR(B646&lt;$AE$20,B646&gt;$AF$20),"Outlier","OK")</f>
        <v>OK</v>
      </c>
      <c r="N646" t="str">
        <f>IF(OR(J646&lt;$AE$21,J646&gt;$AF$21),"Outlier","OK")</f>
        <v>OK</v>
      </c>
      <c r="O646" t="str">
        <f>IF(OR(C646&lt;0,C646&gt;1),"Outlier","OK")</f>
        <v>OK</v>
      </c>
      <c r="P646" t="str">
        <f>IF(OR(D646&lt;0,D646&gt;1),"Outlier","OK")</f>
        <v>Outlier</v>
      </c>
      <c r="Q646" t="str">
        <f t="shared" si="82"/>
        <v>60-80%</v>
      </c>
      <c r="R646" t="str">
        <f>IF(B646="","Missing","OK")</f>
        <v>OK</v>
      </c>
      <c r="S646" t="str">
        <f>IF(E646="","Missing","OK")</f>
        <v>OK</v>
      </c>
      <c r="T646" t="str">
        <f t="shared" si="83"/>
        <v>OK</v>
      </c>
      <c r="U646">
        <f>COUNTIF($A:$A,A646)</f>
        <v>1</v>
      </c>
      <c r="V646" t="str">
        <f t="shared" si="84"/>
        <v>OK</v>
      </c>
      <c r="W646" t="str">
        <f>IF(I646&gt;B646,"ERROR","OK")</f>
        <v>OK</v>
      </c>
      <c r="X646">
        <f>(B646-I646)/B646</f>
        <v>0.71890969673232674</v>
      </c>
      <c r="Y646" s="2">
        <f t="shared" si="85"/>
        <v>7.7715611723760958E-16</v>
      </c>
      <c r="Z646" s="2" t="str">
        <f t="shared" si="86"/>
        <v>OK</v>
      </c>
      <c r="AA646" t="str">
        <f t="shared" si="87"/>
        <v>Unique</v>
      </c>
    </row>
    <row r="647" spans="1:27" x14ac:dyDescent="0.3">
      <c r="A647">
        <v>646</v>
      </c>
      <c r="B647">
        <v>489793.02433915099</v>
      </c>
      <c r="C647">
        <v>0.18814607018493701</v>
      </c>
      <c r="D647">
        <v>8.89397768690149E-2</v>
      </c>
      <c r="E647">
        <v>0.660309925132741</v>
      </c>
      <c r="F647">
        <v>1</v>
      </c>
      <c r="G647" t="s">
        <v>11</v>
      </c>
      <c r="H647">
        <v>1</v>
      </c>
      <c r="I647">
        <v>323415.19523192401</v>
      </c>
      <c r="J647">
        <v>0.339690074867258</v>
      </c>
      <c r="K647" t="str">
        <f t="shared" si="80"/>
        <v>OK</v>
      </c>
      <c r="L647" t="str">
        <f t="shared" si="81"/>
        <v>OK</v>
      </c>
      <c r="M647" t="str">
        <f>IF(OR(B647&lt;$AE$20,B647&gt;$AF$20),"Outlier","OK")</f>
        <v>OK</v>
      </c>
      <c r="N647" t="str">
        <f>IF(OR(J647&lt;$AE$21,J647&gt;$AF$21),"Outlier","OK")</f>
        <v>OK</v>
      </c>
      <c r="O647" t="str">
        <f>IF(OR(C647&lt;0,C647&gt;1),"Outlier","OK")</f>
        <v>OK</v>
      </c>
      <c r="P647" t="str">
        <f>IF(OR(D647&lt;0,D647&gt;1),"Outlier","OK")</f>
        <v>OK</v>
      </c>
      <c r="Q647" t="str">
        <f t="shared" si="82"/>
        <v>20-40%</v>
      </c>
      <c r="R647" t="str">
        <f>IF(B647="","Missing","OK")</f>
        <v>OK</v>
      </c>
      <c r="S647" t="str">
        <f>IF(E647="","Missing","OK")</f>
        <v>OK</v>
      </c>
      <c r="T647" t="str">
        <f t="shared" si="83"/>
        <v>OK</v>
      </c>
      <c r="U647">
        <f>COUNTIF($A:$A,A647)</f>
        <v>1</v>
      </c>
      <c r="V647" t="str">
        <f t="shared" si="84"/>
        <v>OK</v>
      </c>
      <c r="W647" t="str">
        <f>IF(I647&gt;B647,"ERROR","OK")</f>
        <v>OK</v>
      </c>
      <c r="X647">
        <f>(B647-I647)/B647</f>
        <v>0.33969007486725811</v>
      </c>
      <c r="Y647" s="2">
        <f t="shared" si="85"/>
        <v>1.1102230246251565E-16</v>
      </c>
      <c r="Z647" s="2" t="str">
        <f t="shared" si="86"/>
        <v>OK</v>
      </c>
      <c r="AA647" t="str">
        <f t="shared" si="87"/>
        <v>Unique</v>
      </c>
    </row>
    <row r="648" spans="1:27" x14ac:dyDescent="0.3">
      <c r="A648">
        <v>647</v>
      </c>
      <c r="B648">
        <v>1612489.72903112</v>
      </c>
      <c r="C648">
        <v>0.20519200688761499</v>
      </c>
      <c r="D648">
        <v>9.7518961202776505E-2</v>
      </c>
      <c r="E648">
        <v>0.29701570948635497</v>
      </c>
      <c r="F648">
        <v>1</v>
      </c>
      <c r="G648" t="s">
        <v>11</v>
      </c>
      <c r="H648">
        <v>0</v>
      </c>
      <c r="I648">
        <v>478934.78090764</v>
      </c>
      <c r="J648">
        <v>0.70298429051364397</v>
      </c>
      <c r="K648" t="str">
        <f t="shared" si="80"/>
        <v>OK</v>
      </c>
      <c r="L648" t="str">
        <f t="shared" si="81"/>
        <v>OK</v>
      </c>
      <c r="M648" t="str">
        <f>IF(OR(B648&lt;$AE$20,B648&gt;$AF$20),"Outlier","OK")</f>
        <v>OK</v>
      </c>
      <c r="N648" t="str">
        <f>IF(OR(J648&lt;$AE$21,J648&gt;$AF$21),"Outlier","OK")</f>
        <v>OK</v>
      </c>
      <c r="O648" t="str">
        <f>IF(OR(C648&lt;0,C648&gt;1),"Outlier","OK")</f>
        <v>OK</v>
      </c>
      <c r="P648" t="str">
        <f>IF(OR(D648&lt;0,D648&gt;1),"Outlier","OK")</f>
        <v>OK</v>
      </c>
      <c r="Q648" t="str">
        <f t="shared" si="82"/>
        <v>60-80%</v>
      </c>
      <c r="R648" t="str">
        <f>IF(B648="","Missing","OK")</f>
        <v>OK</v>
      </c>
      <c r="S648" t="str">
        <f>IF(E648="","Missing","OK")</f>
        <v>OK</v>
      </c>
      <c r="T648" t="str">
        <f t="shared" si="83"/>
        <v>OK</v>
      </c>
      <c r="U648">
        <f>COUNTIF($A:$A,A648)</f>
        <v>1</v>
      </c>
      <c r="V648" t="str">
        <f t="shared" si="84"/>
        <v>OK</v>
      </c>
      <c r="W648" t="str">
        <f>IF(I648&gt;B648,"ERROR","OK")</f>
        <v>OK</v>
      </c>
      <c r="X648">
        <f>(B648-I648)/B648</f>
        <v>0.70298429051364397</v>
      </c>
      <c r="Y648" s="2">
        <f t="shared" si="85"/>
        <v>0</v>
      </c>
      <c r="Z648" s="2" t="str">
        <f t="shared" si="86"/>
        <v>OK</v>
      </c>
      <c r="AA648" t="str">
        <f t="shared" si="87"/>
        <v>Unique</v>
      </c>
    </row>
    <row r="649" spans="1:27" x14ac:dyDescent="0.3">
      <c r="A649">
        <v>648</v>
      </c>
      <c r="B649">
        <v>1757146.66716042</v>
      </c>
      <c r="C649">
        <v>0.291739766964425</v>
      </c>
      <c r="D649">
        <v>-1.1705823441005E-2</v>
      </c>
      <c r="E649">
        <v>0.163807601276064</v>
      </c>
      <c r="F649">
        <v>1</v>
      </c>
      <c r="G649" t="s">
        <v>12</v>
      </c>
      <c r="H649">
        <v>0</v>
      </c>
      <c r="I649">
        <v>287833.98063778097</v>
      </c>
      <c r="J649">
        <v>0.83619239872393503</v>
      </c>
      <c r="K649" t="str">
        <f t="shared" si="80"/>
        <v>OK</v>
      </c>
      <c r="L649" t="str">
        <f t="shared" si="81"/>
        <v>OK</v>
      </c>
      <c r="M649" t="str">
        <f>IF(OR(B649&lt;$AE$20,B649&gt;$AF$20),"Outlier","OK")</f>
        <v>OK</v>
      </c>
      <c r="N649" t="str">
        <f>IF(OR(J649&lt;$AE$21,J649&gt;$AF$21),"Outlier","OK")</f>
        <v>OK</v>
      </c>
      <c r="O649" t="str">
        <f>IF(OR(C649&lt;0,C649&gt;1),"Outlier","OK")</f>
        <v>OK</v>
      </c>
      <c r="P649" t="str">
        <f>IF(OR(D649&lt;0,D649&gt;1),"Outlier","OK")</f>
        <v>Outlier</v>
      </c>
      <c r="Q649" t="str">
        <f t="shared" si="82"/>
        <v>80-100%</v>
      </c>
      <c r="R649" t="str">
        <f>IF(B649="","Missing","OK")</f>
        <v>OK</v>
      </c>
      <c r="S649" t="str">
        <f>IF(E649="","Missing","OK")</f>
        <v>OK</v>
      </c>
      <c r="T649" t="str">
        <f t="shared" si="83"/>
        <v>OK</v>
      </c>
      <c r="U649">
        <f>COUNTIF($A:$A,A649)</f>
        <v>1</v>
      </c>
      <c r="V649" t="str">
        <f t="shared" si="84"/>
        <v>OK</v>
      </c>
      <c r="W649" t="str">
        <f>IF(I649&gt;B649,"ERROR","OK")</f>
        <v>OK</v>
      </c>
      <c r="X649">
        <f>(B649-I649)/B649</f>
        <v>0.83619239872393469</v>
      </c>
      <c r="Y649" s="2">
        <f t="shared" si="85"/>
        <v>3.3306690738754696E-16</v>
      </c>
      <c r="Z649" s="2" t="str">
        <f t="shared" si="86"/>
        <v>OK</v>
      </c>
      <c r="AA649" t="str">
        <f t="shared" si="87"/>
        <v>Unique</v>
      </c>
    </row>
    <row r="650" spans="1:27" x14ac:dyDescent="0.3">
      <c r="A650">
        <v>649</v>
      </c>
      <c r="B650">
        <v>935280.13810467406</v>
      </c>
      <c r="C650">
        <v>0.106602731202129</v>
      </c>
      <c r="D650">
        <v>0.15489631936315301</v>
      </c>
      <c r="E650">
        <v>0.25018668053545501</v>
      </c>
      <c r="F650">
        <v>1</v>
      </c>
      <c r="G650" t="s">
        <v>12</v>
      </c>
      <c r="H650">
        <v>0</v>
      </c>
      <c r="I650">
        <v>233994.633123151</v>
      </c>
      <c r="J650">
        <v>0.74981331946454399</v>
      </c>
      <c r="K650" t="str">
        <f t="shared" si="80"/>
        <v>OK</v>
      </c>
      <c r="L650" t="str">
        <f t="shared" si="81"/>
        <v>OK</v>
      </c>
      <c r="M650" t="str">
        <f>IF(OR(B650&lt;$AE$20,B650&gt;$AF$20),"Outlier","OK")</f>
        <v>OK</v>
      </c>
      <c r="N650" t="str">
        <f>IF(OR(J650&lt;$AE$21,J650&gt;$AF$21),"Outlier","OK")</f>
        <v>OK</v>
      </c>
      <c r="O650" t="str">
        <f>IF(OR(C650&lt;0,C650&gt;1),"Outlier","OK")</f>
        <v>OK</v>
      </c>
      <c r="P650" t="str">
        <f>IF(OR(D650&lt;0,D650&gt;1),"Outlier","OK")</f>
        <v>OK</v>
      </c>
      <c r="Q650" t="str">
        <f t="shared" si="82"/>
        <v>60-80%</v>
      </c>
      <c r="R650" t="str">
        <f>IF(B650="","Missing","OK")</f>
        <v>OK</v>
      </c>
      <c r="S650" t="str">
        <f>IF(E650="","Missing","OK")</f>
        <v>OK</v>
      </c>
      <c r="T650" t="str">
        <f t="shared" si="83"/>
        <v>OK</v>
      </c>
      <c r="U650">
        <f>COUNTIF($A:$A,A650)</f>
        <v>1</v>
      </c>
      <c r="V650" t="str">
        <f t="shared" si="84"/>
        <v>OK</v>
      </c>
      <c r="W650" t="str">
        <f>IF(I650&gt;B650,"ERROR","OK")</f>
        <v>OK</v>
      </c>
      <c r="X650">
        <f>(B650-I650)/B650</f>
        <v>0.74981331946454421</v>
      </c>
      <c r="Y650" s="2">
        <f t="shared" si="85"/>
        <v>2.2204460492503131E-16</v>
      </c>
      <c r="Z650" s="2" t="str">
        <f t="shared" si="86"/>
        <v>OK</v>
      </c>
      <c r="AA650" t="str">
        <f t="shared" si="87"/>
        <v>Unique</v>
      </c>
    </row>
    <row r="651" spans="1:27" x14ac:dyDescent="0.3">
      <c r="A651">
        <v>650</v>
      </c>
      <c r="B651">
        <v>762765.20564101601</v>
      </c>
      <c r="C651">
        <v>0.15267632065664799</v>
      </c>
      <c r="D651">
        <v>3.6289036610130998E-2</v>
      </c>
      <c r="E651">
        <v>0.241547594505371</v>
      </c>
      <c r="F651">
        <v>1</v>
      </c>
      <c r="G651" t="s">
        <v>13</v>
      </c>
      <c r="H651">
        <v>1</v>
      </c>
      <c r="I651">
        <v>184244.10059498201</v>
      </c>
      <c r="J651">
        <v>0.758452405494628</v>
      </c>
      <c r="K651" t="str">
        <f t="shared" si="80"/>
        <v>OK</v>
      </c>
      <c r="L651" t="str">
        <f t="shared" si="81"/>
        <v>OK</v>
      </c>
      <c r="M651" t="str">
        <f>IF(OR(B651&lt;$AE$20,B651&gt;$AF$20),"Outlier","OK")</f>
        <v>OK</v>
      </c>
      <c r="N651" t="str">
        <f>IF(OR(J651&lt;$AE$21,J651&gt;$AF$21),"Outlier","OK")</f>
        <v>OK</v>
      </c>
      <c r="O651" t="str">
        <f>IF(OR(C651&lt;0,C651&gt;1),"Outlier","OK")</f>
        <v>OK</v>
      </c>
      <c r="P651" t="str">
        <f>IF(OR(D651&lt;0,D651&gt;1),"Outlier","OK")</f>
        <v>OK</v>
      </c>
      <c r="Q651" t="str">
        <f t="shared" si="82"/>
        <v>60-80%</v>
      </c>
      <c r="R651" t="str">
        <f>IF(B651="","Missing","OK")</f>
        <v>OK</v>
      </c>
      <c r="S651" t="str">
        <f>IF(E651="","Missing","OK")</f>
        <v>OK</v>
      </c>
      <c r="T651" t="str">
        <f t="shared" si="83"/>
        <v>OK</v>
      </c>
      <c r="U651">
        <f>COUNTIF($A:$A,A651)</f>
        <v>1</v>
      </c>
      <c r="V651" t="str">
        <f t="shared" si="84"/>
        <v>OK</v>
      </c>
      <c r="W651" t="str">
        <f>IF(I651&gt;B651,"ERROR","OK")</f>
        <v>OK</v>
      </c>
      <c r="X651">
        <f>(B651-I651)/B651</f>
        <v>0.758452405494629</v>
      </c>
      <c r="Y651" s="2">
        <f t="shared" si="85"/>
        <v>9.9920072216264089E-16</v>
      </c>
      <c r="Z651" s="2" t="str">
        <f t="shared" si="86"/>
        <v>OK</v>
      </c>
      <c r="AA651" t="str">
        <f t="shared" si="87"/>
        <v>Unique</v>
      </c>
    </row>
    <row r="652" spans="1:27" x14ac:dyDescent="0.3">
      <c r="A652">
        <v>651</v>
      </c>
      <c r="B652">
        <v>584738.77234318794</v>
      </c>
      <c r="C652">
        <v>0.20933989332014799</v>
      </c>
      <c r="D652">
        <v>0.13764609885326401</v>
      </c>
      <c r="E652">
        <v>0.48634874429866998</v>
      </c>
      <c r="F652">
        <v>1</v>
      </c>
      <c r="G652" t="s">
        <v>10</v>
      </c>
      <c r="H652">
        <v>1</v>
      </c>
      <c r="I652">
        <v>284386.967671855</v>
      </c>
      <c r="J652">
        <v>0.51365125570132897</v>
      </c>
      <c r="K652" t="str">
        <f t="shared" si="80"/>
        <v>OK</v>
      </c>
      <c r="L652" t="str">
        <f t="shared" si="81"/>
        <v>OK</v>
      </c>
      <c r="M652" t="str">
        <f>IF(OR(B652&lt;$AE$20,B652&gt;$AF$20),"Outlier","OK")</f>
        <v>OK</v>
      </c>
      <c r="N652" t="str">
        <f>IF(OR(J652&lt;$AE$21,J652&gt;$AF$21),"Outlier","OK")</f>
        <v>OK</v>
      </c>
      <c r="O652" t="str">
        <f>IF(OR(C652&lt;0,C652&gt;1),"Outlier","OK")</f>
        <v>OK</v>
      </c>
      <c r="P652" t="str">
        <f>IF(OR(D652&lt;0,D652&gt;1),"Outlier","OK")</f>
        <v>OK</v>
      </c>
      <c r="Q652" t="str">
        <f t="shared" si="82"/>
        <v>40-60%</v>
      </c>
      <c r="R652" t="str">
        <f>IF(B652="","Missing","OK")</f>
        <v>OK</v>
      </c>
      <c r="S652" t="str">
        <f>IF(E652="","Missing","OK")</f>
        <v>OK</v>
      </c>
      <c r="T652" t="str">
        <f t="shared" si="83"/>
        <v>OK</v>
      </c>
      <c r="U652">
        <f>COUNTIF($A:$A,A652)</f>
        <v>1</v>
      </c>
      <c r="V652" t="str">
        <f t="shared" si="84"/>
        <v>OK</v>
      </c>
      <c r="W652" t="str">
        <f>IF(I652&gt;B652,"ERROR","OK")</f>
        <v>OK</v>
      </c>
      <c r="X652">
        <f>(B652-I652)/B652</f>
        <v>0.51365125570133052</v>
      </c>
      <c r="Y652" s="2">
        <f t="shared" si="85"/>
        <v>1.5543122344752192E-15</v>
      </c>
      <c r="Z652" s="2" t="str">
        <f t="shared" si="86"/>
        <v>OK</v>
      </c>
      <c r="AA652" t="str">
        <f t="shared" si="87"/>
        <v>Unique</v>
      </c>
    </row>
    <row r="653" spans="1:27" x14ac:dyDescent="0.3">
      <c r="A653">
        <v>652</v>
      </c>
      <c r="B653">
        <v>278092.50184443098</v>
      </c>
      <c r="C653">
        <v>0.56615653921820797</v>
      </c>
      <c r="D653">
        <v>-0.115334951024056</v>
      </c>
      <c r="E653">
        <v>0.2459651014542</v>
      </c>
      <c r="F653">
        <v>1</v>
      </c>
      <c r="G653" t="s">
        <v>11</v>
      </c>
      <c r="H653">
        <v>0</v>
      </c>
      <c r="I653">
        <v>68401.050429817798</v>
      </c>
      <c r="J653">
        <v>0.75403489854579897</v>
      </c>
      <c r="K653" t="str">
        <f t="shared" si="80"/>
        <v>OK</v>
      </c>
      <c r="L653" t="str">
        <f t="shared" si="81"/>
        <v>OK</v>
      </c>
      <c r="M653" t="str">
        <f>IF(OR(B653&lt;$AE$20,B653&gt;$AF$20),"Outlier","OK")</f>
        <v>OK</v>
      </c>
      <c r="N653" t="str">
        <f>IF(OR(J653&lt;$AE$21,J653&gt;$AF$21),"Outlier","OK")</f>
        <v>OK</v>
      </c>
      <c r="O653" t="str">
        <f>IF(OR(C653&lt;0,C653&gt;1),"Outlier","OK")</f>
        <v>OK</v>
      </c>
      <c r="P653" t="str">
        <f>IF(OR(D653&lt;0,D653&gt;1),"Outlier","OK")</f>
        <v>Outlier</v>
      </c>
      <c r="Q653" t="str">
        <f t="shared" si="82"/>
        <v>60-80%</v>
      </c>
      <c r="R653" t="str">
        <f>IF(B653="","Missing","OK")</f>
        <v>OK</v>
      </c>
      <c r="S653" t="str">
        <f>IF(E653="","Missing","OK")</f>
        <v>OK</v>
      </c>
      <c r="T653" t="str">
        <f t="shared" si="83"/>
        <v>OK</v>
      </c>
      <c r="U653">
        <f>COUNTIF($A:$A,A653)</f>
        <v>1</v>
      </c>
      <c r="V653" t="str">
        <f t="shared" si="84"/>
        <v>OK</v>
      </c>
      <c r="W653" t="str">
        <f>IF(I653&gt;B653,"ERROR","OK")</f>
        <v>OK</v>
      </c>
      <c r="X653">
        <f>(B653-I653)/B653</f>
        <v>0.75403489854579986</v>
      </c>
      <c r="Y653" s="2">
        <f t="shared" si="85"/>
        <v>8.8817841970012523E-16</v>
      </c>
      <c r="Z653" s="2" t="str">
        <f t="shared" si="86"/>
        <v>OK</v>
      </c>
      <c r="AA653" t="str">
        <f t="shared" si="87"/>
        <v>Unique</v>
      </c>
    </row>
    <row r="654" spans="1:27" x14ac:dyDescent="0.3">
      <c r="A654">
        <v>653</v>
      </c>
      <c r="B654">
        <v>275701.84510073898</v>
      </c>
      <c r="C654">
        <v>0.46467976075553402</v>
      </c>
      <c r="D654">
        <v>-0.19836836613903</v>
      </c>
      <c r="E654">
        <v>0.26178856665605599</v>
      </c>
      <c r="F654">
        <v>1</v>
      </c>
      <c r="G654" t="s">
        <v>10</v>
      </c>
      <c r="H654">
        <v>0</v>
      </c>
      <c r="I654">
        <v>72175.590853352507</v>
      </c>
      <c r="J654">
        <v>0.73821143334394301</v>
      </c>
      <c r="K654" t="str">
        <f t="shared" si="80"/>
        <v>OK</v>
      </c>
      <c r="L654" t="str">
        <f t="shared" si="81"/>
        <v>OK</v>
      </c>
      <c r="M654" t="str">
        <f>IF(OR(B654&lt;$AE$20,B654&gt;$AF$20),"Outlier","OK")</f>
        <v>OK</v>
      </c>
      <c r="N654" t="str">
        <f>IF(OR(J654&lt;$AE$21,J654&gt;$AF$21),"Outlier","OK")</f>
        <v>OK</v>
      </c>
      <c r="O654" t="str">
        <f>IF(OR(C654&lt;0,C654&gt;1),"Outlier","OK")</f>
        <v>OK</v>
      </c>
      <c r="P654" t="str">
        <f>IF(OR(D654&lt;0,D654&gt;1),"Outlier","OK")</f>
        <v>Outlier</v>
      </c>
      <c r="Q654" t="str">
        <f t="shared" si="82"/>
        <v>60-80%</v>
      </c>
      <c r="R654" t="str">
        <f>IF(B654="","Missing","OK")</f>
        <v>OK</v>
      </c>
      <c r="S654" t="str">
        <f>IF(E654="","Missing","OK")</f>
        <v>OK</v>
      </c>
      <c r="T654" t="str">
        <f t="shared" si="83"/>
        <v>OK</v>
      </c>
      <c r="U654">
        <f>COUNTIF($A:$A,A654)</f>
        <v>1</v>
      </c>
      <c r="V654" t="str">
        <f t="shared" si="84"/>
        <v>OK</v>
      </c>
      <c r="W654" t="str">
        <f>IF(I654&gt;B654,"ERROR","OK")</f>
        <v>OK</v>
      </c>
      <c r="X654">
        <f>(B654-I654)/B654</f>
        <v>0.73821143334394368</v>
      </c>
      <c r="Y654" s="2">
        <f t="shared" si="85"/>
        <v>6.6613381477509392E-16</v>
      </c>
      <c r="Z654" s="2" t="str">
        <f t="shared" si="86"/>
        <v>OK</v>
      </c>
      <c r="AA654" t="str">
        <f t="shared" si="87"/>
        <v>Unique</v>
      </c>
    </row>
    <row r="655" spans="1:27" x14ac:dyDescent="0.3">
      <c r="A655">
        <v>654</v>
      </c>
      <c r="B655">
        <v>1907575.2618955199</v>
      </c>
      <c r="C655">
        <v>0.72172802830469296</v>
      </c>
      <c r="D655">
        <v>-0.14595486720897</v>
      </c>
      <c r="E655">
        <v>0.64476227565173305</v>
      </c>
      <c r="F655">
        <v>1</v>
      </c>
      <c r="G655" t="s">
        <v>13</v>
      </c>
      <c r="H655">
        <v>1</v>
      </c>
      <c r="I655">
        <v>1229932.5668367101</v>
      </c>
      <c r="J655">
        <v>0.355237724348266</v>
      </c>
      <c r="K655" t="str">
        <f t="shared" si="80"/>
        <v>OK</v>
      </c>
      <c r="L655" t="str">
        <f t="shared" si="81"/>
        <v>OK</v>
      </c>
      <c r="M655" t="str">
        <f>IF(OR(B655&lt;$AE$20,B655&gt;$AF$20),"Outlier","OK")</f>
        <v>OK</v>
      </c>
      <c r="N655" t="str">
        <f>IF(OR(J655&lt;$AE$21,J655&gt;$AF$21),"Outlier","OK")</f>
        <v>OK</v>
      </c>
      <c r="O655" t="str">
        <f>IF(OR(C655&lt;0,C655&gt;1),"Outlier","OK")</f>
        <v>OK</v>
      </c>
      <c r="P655" t="str">
        <f>IF(OR(D655&lt;0,D655&gt;1),"Outlier","OK")</f>
        <v>Outlier</v>
      </c>
      <c r="Q655" t="str">
        <f t="shared" si="82"/>
        <v>20-40%</v>
      </c>
      <c r="R655" t="str">
        <f>IF(B655="","Missing","OK")</f>
        <v>OK</v>
      </c>
      <c r="S655" t="str">
        <f>IF(E655="","Missing","OK")</f>
        <v>OK</v>
      </c>
      <c r="T655" t="str">
        <f t="shared" si="83"/>
        <v>OK</v>
      </c>
      <c r="U655">
        <f>COUNTIF($A:$A,A655)</f>
        <v>1</v>
      </c>
      <c r="V655" t="str">
        <f t="shared" si="84"/>
        <v>OK</v>
      </c>
      <c r="W655" t="str">
        <f>IF(I655&gt;B655,"ERROR","OK")</f>
        <v>OK</v>
      </c>
      <c r="X655">
        <f>(B655-I655)/B655</f>
        <v>0.35523772434826484</v>
      </c>
      <c r="Y655" s="2">
        <f t="shared" si="85"/>
        <v>1.1657341758564144E-15</v>
      </c>
      <c r="Z655" s="2" t="str">
        <f t="shared" si="86"/>
        <v>OK</v>
      </c>
      <c r="AA655" t="str">
        <f t="shared" si="87"/>
        <v>Unique</v>
      </c>
    </row>
    <row r="656" spans="1:27" x14ac:dyDescent="0.3">
      <c r="A656">
        <v>655</v>
      </c>
      <c r="B656">
        <v>1626820.9237147199</v>
      </c>
      <c r="C656">
        <v>0.39807190022102301</v>
      </c>
      <c r="D656">
        <v>5.7945910425615303E-2</v>
      </c>
      <c r="E656">
        <v>0.13797102394250499</v>
      </c>
      <c r="F656">
        <v>1</v>
      </c>
      <c r="G656" t="s">
        <v>11</v>
      </c>
      <c r="H656">
        <v>0</v>
      </c>
      <c r="I656">
        <v>224454.148616013</v>
      </c>
      <c r="J656">
        <v>0.86202897605749396</v>
      </c>
      <c r="K656" t="str">
        <f t="shared" si="80"/>
        <v>OK</v>
      </c>
      <c r="L656" t="str">
        <f t="shared" si="81"/>
        <v>OK</v>
      </c>
      <c r="M656" t="str">
        <f>IF(OR(B656&lt;$AE$20,B656&gt;$AF$20),"Outlier","OK")</f>
        <v>OK</v>
      </c>
      <c r="N656" t="str">
        <f>IF(OR(J656&lt;$AE$21,J656&gt;$AF$21),"Outlier","OK")</f>
        <v>OK</v>
      </c>
      <c r="O656" t="str">
        <f>IF(OR(C656&lt;0,C656&gt;1),"Outlier","OK")</f>
        <v>OK</v>
      </c>
      <c r="P656" t="str">
        <f>IF(OR(D656&lt;0,D656&gt;1),"Outlier","OK")</f>
        <v>OK</v>
      </c>
      <c r="Q656" t="str">
        <f t="shared" si="82"/>
        <v>80-100%</v>
      </c>
      <c r="R656" t="str">
        <f>IF(B656="","Missing","OK")</f>
        <v>OK</v>
      </c>
      <c r="S656" t="str">
        <f>IF(E656="","Missing","OK")</f>
        <v>OK</v>
      </c>
      <c r="T656" t="str">
        <f t="shared" si="83"/>
        <v>OK</v>
      </c>
      <c r="U656">
        <f>COUNTIF($A:$A,A656)</f>
        <v>1</v>
      </c>
      <c r="V656" t="str">
        <f t="shared" si="84"/>
        <v>OK</v>
      </c>
      <c r="W656" t="str">
        <f>IF(I656&gt;B656,"ERROR","OK")</f>
        <v>OK</v>
      </c>
      <c r="X656">
        <f>(B656-I656)/B656</f>
        <v>0.86202897605749429</v>
      </c>
      <c r="Y656" s="2">
        <f t="shared" si="85"/>
        <v>3.3306690738754696E-16</v>
      </c>
      <c r="Z656" s="2" t="str">
        <f t="shared" si="86"/>
        <v>OK</v>
      </c>
      <c r="AA656" t="str">
        <f t="shared" si="87"/>
        <v>Unique</v>
      </c>
    </row>
    <row r="657" spans="1:27" x14ac:dyDescent="0.3">
      <c r="A657">
        <v>656</v>
      </c>
      <c r="B657">
        <v>371319.753149511</v>
      </c>
      <c r="C657">
        <v>0.57348885192079802</v>
      </c>
      <c r="D657">
        <v>-0.18239546005723001</v>
      </c>
      <c r="E657">
        <v>0.16394933152329</v>
      </c>
      <c r="F657">
        <v>1</v>
      </c>
      <c r="G657" t="s">
        <v>12</v>
      </c>
      <c r="H657">
        <v>1</v>
      </c>
      <c r="I657">
        <v>60877.625310255498</v>
      </c>
      <c r="J657">
        <v>0.83605066847670895</v>
      </c>
      <c r="K657" t="str">
        <f t="shared" si="80"/>
        <v>OK</v>
      </c>
      <c r="L657" t="str">
        <f t="shared" si="81"/>
        <v>OK</v>
      </c>
      <c r="M657" t="str">
        <f>IF(OR(B657&lt;$AE$20,B657&gt;$AF$20),"Outlier","OK")</f>
        <v>OK</v>
      </c>
      <c r="N657" t="str">
        <f>IF(OR(J657&lt;$AE$21,J657&gt;$AF$21),"Outlier","OK")</f>
        <v>OK</v>
      </c>
      <c r="O657" t="str">
        <f>IF(OR(C657&lt;0,C657&gt;1),"Outlier","OK")</f>
        <v>OK</v>
      </c>
      <c r="P657" t="str">
        <f>IF(OR(D657&lt;0,D657&gt;1),"Outlier","OK")</f>
        <v>Outlier</v>
      </c>
      <c r="Q657" t="str">
        <f t="shared" si="82"/>
        <v>80-100%</v>
      </c>
      <c r="R657" t="str">
        <f>IF(B657="","Missing","OK")</f>
        <v>OK</v>
      </c>
      <c r="S657" t="str">
        <f>IF(E657="","Missing","OK")</f>
        <v>OK</v>
      </c>
      <c r="T657" t="str">
        <f t="shared" si="83"/>
        <v>OK</v>
      </c>
      <c r="U657">
        <f>COUNTIF($A:$A,A657)</f>
        <v>1</v>
      </c>
      <c r="V657" t="str">
        <f t="shared" si="84"/>
        <v>OK</v>
      </c>
      <c r="W657" t="str">
        <f>IF(I657&gt;B657,"ERROR","OK")</f>
        <v>OK</v>
      </c>
      <c r="X657">
        <f>(B657-I657)/B657</f>
        <v>0.83605066847670972</v>
      </c>
      <c r="Y657" s="2">
        <f t="shared" si="85"/>
        <v>7.7715611723760958E-16</v>
      </c>
      <c r="Z657" s="2" t="str">
        <f t="shared" si="86"/>
        <v>OK</v>
      </c>
      <c r="AA657" t="str">
        <f t="shared" si="87"/>
        <v>Unique</v>
      </c>
    </row>
    <row r="658" spans="1:27" x14ac:dyDescent="0.3">
      <c r="A658">
        <v>657</v>
      </c>
      <c r="B658">
        <v>453747.59727366897</v>
      </c>
      <c r="C658">
        <v>0.24266307023654499</v>
      </c>
      <c r="D658">
        <v>4.0050167088725601E-2</v>
      </c>
      <c r="E658">
        <v>0.25946145740302401</v>
      </c>
      <c r="F658">
        <v>1</v>
      </c>
      <c r="G658" t="s">
        <v>10</v>
      </c>
      <c r="H658">
        <v>1</v>
      </c>
      <c r="I658">
        <v>117730.012881747</v>
      </c>
      <c r="J658">
        <v>0.74053854259697505</v>
      </c>
      <c r="K658" t="str">
        <f t="shared" si="80"/>
        <v>OK</v>
      </c>
      <c r="L658" t="str">
        <f t="shared" si="81"/>
        <v>OK</v>
      </c>
      <c r="M658" t="str">
        <f>IF(OR(B658&lt;$AE$20,B658&gt;$AF$20),"Outlier","OK")</f>
        <v>OK</v>
      </c>
      <c r="N658" t="str">
        <f>IF(OR(J658&lt;$AE$21,J658&gt;$AF$21),"Outlier","OK")</f>
        <v>OK</v>
      </c>
      <c r="O658" t="str">
        <f>IF(OR(C658&lt;0,C658&gt;1),"Outlier","OK")</f>
        <v>OK</v>
      </c>
      <c r="P658" t="str">
        <f>IF(OR(D658&lt;0,D658&gt;1),"Outlier","OK")</f>
        <v>OK</v>
      </c>
      <c r="Q658" t="str">
        <f t="shared" si="82"/>
        <v>60-80%</v>
      </c>
      <c r="R658" t="str">
        <f>IF(B658="","Missing","OK")</f>
        <v>OK</v>
      </c>
      <c r="S658" t="str">
        <f>IF(E658="","Missing","OK")</f>
        <v>OK</v>
      </c>
      <c r="T658" t="str">
        <f t="shared" si="83"/>
        <v>OK</v>
      </c>
      <c r="U658">
        <f>COUNTIF($A:$A,A658)</f>
        <v>1</v>
      </c>
      <c r="V658" t="str">
        <f t="shared" si="84"/>
        <v>OK</v>
      </c>
      <c r="W658" t="str">
        <f>IF(I658&gt;B658,"ERROR","OK")</f>
        <v>OK</v>
      </c>
      <c r="X658">
        <f>(B658-I658)/B658</f>
        <v>0.74053854259697505</v>
      </c>
      <c r="Y658" s="2">
        <f t="shared" si="85"/>
        <v>0</v>
      </c>
      <c r="Z658" s="2" t="str">
        <f t="shared" si="86"/>
        <v>OK</v>
      </c>
      <c r="AA658" t="str">
        <f t="shared" si="87"/>
        <v>Unique</v>
      </c>
    </row>
    <row r="659" spans="1:27" x14ac:dyDescent="0.3">
      <c r="A659">
        <v>658</v>
      </c>
      <c r="B659">
        <v>1328325.52378783</v>
      </c>
      <c r="C659">
        <v>0.74237011977591105</v>
      </c>
      <c r="D659">
        <v>0.16206568068090399</v>
      </c>
      <c r="E659">
        <v>0.22623771788962599</v>
      </c>
      <c r="F659">
        <v>1</v>
      </c>
      <c r="G659" t="s">
        <v>11</v>
      </c>
      <c r="H659">
        <v>0</v>
      </c>
      <c r="I659">
        <v>300517.33511630102</v>
      </c>
      <c r="J659">
        <v>0.77376228211037301</v>
      </c>
      <c r="K659" t="str">
        <f t="shared" si="80"/>
        <v>OK</v>
      </c>
      <c r="L659" t="str">
        <f t="shared" si="81"/>
        <v>OK</v>
      </c>
      <c r="M659" t="str">
        <f>IF(OR(B659&lt;$AE$20,B659&gt;$AF$20),"Outlier","OK")</f>
        <v>OK</v>
      </c>
      <c r="N659" t="str">
        <f>IF(OR(J659&lt;$AE$21,J659&gt;$AF$21),"Outlier","OK")</f>
        <v>OK</v>
      </c>
      <c r="O659" t="str">
        <f>IF(OR(C659&lt;0,C659&gt;1),"Outlier","OK")</f>
        <v>OK</v>
      </c>
      <c r="P659" t="str">
        <f>IF(OR(D659&lt;0,D659&gt;1),"Outlier","OK")</f>
        <v>OK</v>
      </c>
      <c r="Q659" t="str">
        <f t="shared" si="82"/>
        <v>60-80%</v>
      </c>
      <c r="R659" t="str">
        <f>IF(B659="","Missing","OK")</f>
        <v>OK</v>
      </c>
      <c r="S659" t="str">
        <f>IF(E659="","Missing","OK")</f>
        <v>OK</v>
      </c>
      <c r="T659" t="str">
        <f t="shared" si="83"/>
        <v>OK</v>
      </c>
      <c r="U659">
        <f>COUNTIF($A:$A,A659)</f>
        <v>1</v>
      </c>
      <c r="V659" t="str">
        <f t="shared" si="84"/>
        <v>OK</v>
      </c>
      <c r="W659" t="str">
        <f>IF(I659&gt;B659,"ERROR","OK")</f>
        <v>OK</v>
      </c>
      <c r="X659">
        <f>(B659-I659)/B659</f>
        <v>0.7737622821103739</v>
      </c>
      <c r="Y659" s="2">
        <f t="shared" si="85"/>
        <v>8.8817841970012523E-16</v>
      </c>
      <c r="Z659" s="2" t="str">
        <f t="shared" si="86"/>
        <v>OK</v>
      </c>
      <c r="AA659" t="str">
        <f t="shared" si="87"/>
        <v>Unique</v>
      </c>
    </row>
    <row r="660" spans="1:27" x14ac:dyDescent="0.3">
      <c r="A660">
        <v>659</v>
      </c>
      <c r="B660">
        <v>1541095.2196080801</v>
      </c>
      <c r="C660">
        <v>0.58835964790199202</v>
      </c>
      <c r="D660">
        <v>5.6586847043673401E-2</v>
      </c>
      <c r="E660">
        <v>0.28994565015638502</v>
      </c>
      <c r="F660">
        <v>1</v>
      </c>
      <c r="G660" t="s">
        <v>10</v>
      </c>
      <c r="H660">
        <v>1</v>
      </c>
      <c r="I660">
        <v>446833.85540216102</v>
      </c>
      <c r="J660">
        <v>0.71005434984361404</v>
      </c>
      <c r="K660" t="str">
        <f t="shared" si="80"/>
        <v>OK</v>
      </c>
      <c r="L660" t="str">
        <f t="shared" si="81"/>
        <v>OK</v>
      </c>
      <c r="M660" t="str">
        <f>IF(OR(B660&lt;$AE$20,B660&gt;$AF$20),"Outlier","OK")</f>
        <v>OK</v>
      </c>
      <c r="N660" t="str">
        <f>IF(OR(J660&lt;$AE$21,J660&gt;$AF$21),"Outlier","OK")</f>
        <v>OK</v>
      </c>
      <c r="O660" t="str">
        <f>IF(OR(C660&lt;0,C660&gt;1),"Outlier","OK")</f>
        <v>OK</v>
      </c>
      <c r="P660" t="str">
        <f>IF(OR(D660&lt;0,D660&gt;1),"Outlier","OK")</f>
        <v>OK</v>
      </c>
      <c r="Q660" t="str">
        <f t="shared" si="82"/>
        <v>60-80%</v>
      </c>
      <c r="R660" t="str">
        <f>IF(B660="","Missing","OK")</f>
        <v>OK</v>
      </c>
      <c r="S660" t="str">
        <f>IF(E660="","Missing","OK")</f>
        <v>OK</v>
      </c>
      <c r="T660" t="str">
        <f t="shared" si="83"/>
        <v>OK</v>
      </c>
      <c r="U660">
        <f>COUNTIF($A:$A,A660)</f>
        <v>1</v>
      </c>
      <c r="V660" t="str">
        <f t="shared" si="84"/>
        <v>OK</v>
      </c>
      <c r="W660" t="str">
        <f>IF(I660&gt;B660,"ERROR","OK")</f>
        <v>OK</v>
      </c>
      <c r="X660">
        <f>(B660-I660)/B660</f>
        <v>0.71005434984361548</v>
      </c>
      <c r="Y660" s="2">
        <f t="shared" si="85"/>
        <v>1.4432899320127035E-15</v>
      </c>
      <c r="Z660" s="2" t="str">
        <f t="shared" si="86"/>
        <v>OK</v>
      </c>
      <c r="AA660" t="str">
        <f t="shared" si="87"/>
        <v>Unique</v>
      </c>
    </row>
    <row r="661" spans="1:27" x14ac:dyDescent="0.3">
      <c r="A661">
        <v>660</v>
      </c>
      <c r="B661">
        <v>1630113.94825787</v>
      </c>
      <c r="C661">
        <v>0.66013666354505596</v>
      </c>
      <c r="D661">
        <v>2.8413711454745898E-2</v>
      </c>
      <c r="E661">
        <v>0.40676884525947898</v>
      </c>
      <c r="F661">
        <v>1</v>
      </c>
      <c r="G661" t="s">
        <v>10</v>
      </c>
      <c r="H661">
        <v>0</v>
      </c>
      <c r="I661">
        <v>663079.56837422505</v>
      </c>
      <c r="J661">
        <v>0.59323115474052002</v>
      </c>
      <c r="K661" t="str">
        <f t="shared" si="80"/>
        <v>OK</v>
      </c>
      <c r="L661" t="str">
        <f t="shared" si="81"/>
        <v>OK</v>
      </c>
      <c r="M661" t="str">
        <f>IF(OR(B661&lt;$AE$20,B661&gt;$AF$20),"Outlier","OK")</f>
        <v>OK</v>
      </c>
      <c r="N661" t="str">
        <f>IF(OR(J661&lt;$AE$21,J661&gt;$AF$21),"Outlier","OK")</f>
        <v>OK</v>
      </c>
      <c r="O661" t="str">
        <f>IF(OR(C661&lt;0,C661&gt;1),"Outlier","OK")</f>
        <v>OK</v>
      </c>
      <c r="P661" t="str">
        <f>IF(OR(D661&lt;0,D661&gt;1),"Outlier","OK")</f>
        <v>OK</v>
      </c>
      <c r="Q661" t="str">
        <f t="shared" si="82"/>
        <v>40-60%</v>
      </c>
      <c r="R661" t="str">
        <f>IF(B661="","Missing","OK")</f>
        <v>OK</v>
      </c>
      <c r="S661" t="str">
        <f>IF(E661="","Missing","OK")</f>
        <v>OK</v>
      </c>
      <c r="T661" t="str">
        <f t="shared" si="83"/>
        <v>OK</v>
      </c>
      <c r="U661">
        <f>COUNTIF($A:$A,A661)</f>
        <v>1</v>
      </c>
      <c r="V661" t="str">
        <f t="shared" si="84"/>
        <v>OK</v>
      </c>
      <c r="W661" t="str">
        <f>IF(I661&gt;B661,"ERROR","OK")</f>
        <v>OK</v>
      </c>
      <c r="X661">
        <f>(B661-I661)/B661</f>
        <v>0.59323115474052024</v>
      </c>
      <c r="Y661" s="2">
        <f t="shared" si="85"/>
        <v>2.2204460492503131E-16</v>
      </c>
      <c r="Z661" s="2" t="str">
        <f t="shared" si="86"/>
        <v>OK</v>
      </c>
      <c r="AA661" t="str">
        <f t="shared" si="87"/>
        <v>Unique</v>
      </c>
    </row>
    <row r="662" spans="1:27" x14ac:dyDescent="0.3">
      <c r="A662">
        <v>661</v>
      </c>
      <c r="B662">
        <v>368508.498105946</v>
      </c>
      <c r="C662">
        <v>0.14449159311742801</v>
      </c>
      <c r="D662">
        <v>-0.122408510729743</v>
      </c>
      <c r="E662">
        <v>0.37699061892832803</v>
      </c>
      <c r="F662">
        <v>1</v>
      </c>
      <c r="G662" t="s">
        <v>13</v>
      </c>
      <c r="H662">
        <v>1</v>
      </c>
      <c r="I662">
        <v>138924.24678130899</v>
      </c>
      <c r="J662">
        <v>0.62300938107167103</v>
      </c>
      <c r="K662" t="str">
        <f t="shared" si="80"/>
        <v>OK</v>
      </c>
      <c r="L662" t="str">
        <f t="shared" si="81"/>
        <v>OK</v>
      </c>
      <c r="M662" t="str">
        <f>IF(OR(B662&lt;$AE$20,B662&gt;$AF$20),"Outlier","OK")</f>
        <v>OK</v>
      </c>
      <c r="N662" t="str">
        <f>IF(OR(J662&lt;$AE$21,J662&gt;$AF$21),"Outlier","OK")</f>
        <v>OK</v>
      </c>
      <c r="O662" t="str">
        <f>IF(OR(C662&lt;0,C662&gt;1),"Outlier","OK")</f>
        <v>OK</v>
      </c>
      <c r="P662" t="str">
        <f>IF(OR(D662&lt;0,D662&gt;1),"Outlier","OK")</f>
        <v>Outlier</v>
      </c>
      <c r="Q662" t="str">
        <f t="shared" si="82"/>
        <v>60-80%</v>
      </c>
      <c r="R662" t="str">
        <f>IF(B662="","Missing","OK")</f>
        <v>OK</v>
      </c>
      <c r="S662" t="str">
        <f>IF(E662="","Missing","OK")</f>
        <v>OK</v>
      </c>
      <c r="T662" t="str">
        <f t="shared" si="83"/>
        <v>OK</v>
      </c>
      <c r="U662">
        <f>COUNTIF($A:$A,A662)</f>
        <v>1</v>
      </c>
      <c r="V662" t="str">
        <f t="shared" si="84"/>
        <v>OK</v>
      </c>
      <c r="W662" t="str">
        <f>IF(I662&gt;B662,"ERROR","OK")</f>
        <v>OK</v>
      </c>
      <c r="X662">
        <f>(B662-I662)/B662</f>
        <v>0.62300938107167247</v>
      </c>
      <c r="Y662" s="2">
        <f t="shared" si="85"/>
        <v>1.4432899320127035E-15</v>
      </c>
      <c r="Z662" s="2" t="str">
        <f t="shared" si="86"/>
        <v>OK</v>
      </c>
      <c r="AA662" t="str">
        <f t="shared" si="87"/>
        <v>Unique</v>
      </c>
    </row>
    <row r="663" spans="1:27" x14ac:dyDescent="0.3">
      <c r="A663">
        <v>662</v>
      </c>
      <c r="B663">
        <v>1969050.1616462001</v>
      </c>
      <c r="C663">
        <v>0.76627220214247604</v>
      </c>
      <c r="D663">
        <v>0.11474248516888499</v>
      </c>
      <c r="E663">
        <v>0.12955247268565201</v>
      </c>
      <c r="F663">
        <v>1</v>
      </c>
      <c r="G663" t="s">
        <v>10</v>
      </c>
      <c r="H663">
        <v>0</v>
      </c>
      <c r="I663">
        <v>255095.317283349</v>
      </c>
      <c r="J663">
        <v>0.87044752731434705</v>
      </c>
      <c r="K663" t="str">
        <f t="shared" si="80"/>
        <v>OK</v>
      </c>
      <c r="L663" t="str">
        <f t="shared" si="81"/>
        <v>OK</v>
      </c>
      <c r="M663" t="str">
        <f>IF(OR(B663&lt;$AE$20,B663&gt;$AF$20),"Outlier","OK")</f>
        <v>OK</v>
      </c>
      <c r="N663" t="str">
        <f>IF(OR(J663&lt;$AE$21,J663&gt;$AF$21),"Outlier","OK")</f>
        <v>OK</v>
      </c>
      <c r="O663" t="str">
        <f>IF(OR(C663&lt;0,C663&gt;1),"Outlier","OK")</f>
        <v>OK</v>
      </c>
      <c r="P663" t="str">
        <f>IF(OR(D663&lt;0,D663&gt;1),"Outlier","OK")</f>
        <v>OK</v>
      </c>
      <c r="Q663" t="str">
        <f t="shared" si="82"/>
        <v>80-100%</v>
      </c>
      <c r="R663" t="str">
        <f>IF(B663="","Missing","OK")</f>
        <v>OK</v>
      </c>
      <c r="S663" t="str">
        <f>IF(E663="","Missing","OK")</f>
        <v>OK</v>
      </c>
      <c r="T663" t="str">
        <f t="shared" si="83"/>
        <v>OK</v>
      </c>
      <c r="U663">
        <f>COUNTIF($A:$A,A663)</f>
        <v>1</v>
      </c>
      <c r="V663" t="str">
        <f t="shared" si="84"/>
        <v>OK</v>
      </c>
      <c r="W663" t="str">
        <f>IF(I663&gt;B663,"ERROR","OK")</f>
        <v>OK</v>
      </c>
      <c r="X663">
        <f>(B663-I663)/B663</f>
        <v>0.8704475273143476</v>
      </c>
      <c r="Y663" s="2">
        <f t="shared" si="85"/>
        <v>5.5511151231257827E-16</v>
      </c>
      <c r="Z663" s="2" t="str">
        <f t="shared" si="86"/>
        <v>OK</v>
      </c>
      <c r="AA663" t="str">
        <f t="shared" si="87"/>
        <v>Unique</v>
      </c>
    </row>
    <row r="664" spans="1:27" x14ac:dyDescent="0.3">
      <c r="A664">
        <v>663</v>
      </c>
      <c r="B664">
        <v>494214.028339301</v>
      </c>
      <c r="C664">
        <v>0.39394856982034598</v>
      </c>
      <c r="D664">
        <v>0.117650701928427</v>
      </c>
      <c r="E664">
        <v>0.26682557288669201</v>
      </c>
      <c r="F664">
        <v>1</v>
      </c>
      <c r="G664" t="s">
        <v>10</v>
      </c>
      <c r="H664">
        <v>0</v>
      </c>
      <c r="I664">
        <v>131868.941240274</v>
      </c>
      <c r="J664">
        <v>0.73317442711330705</v>
      </c>
      <c r="K664" t="str">
        <f t="shared" si="80"/>
        <v>OK</v>
      </c>
      <c r="L664" t="str">
        <f t="shared" si="81"/>
        <v>OK</v>
      </c>
      <c r="M664" t="str">
        <f>IF(OR(B664&lt;$AE$20,B664&gt;$AF$20),"Outlier","OK")</f>
        <v>OK</v>
      </c>
      <c r="N664" t="str">
        <f>IF(OR(J664&lt;$AE$21,J664&gt;$AF$21),"Outlier","OK")</f>
        <v>OK</v>
      </c>
      <c r="O664" t="str">
        <f>IF(OR(C664&lt;0,C664&gt;1),"Outlier","OK")</f>
        <v>OK</v>
      </c>
      <c r="P664" t="str">
        <f>IF(OR(D664&lt;0,D664&gt;1),"Outlier","OK")</f>
        <v>OK</v>
      </c>
      <c r="Q664" t="str">
        <f t="shared" si="82"/>
        <v>60-80%</v>
      </c>
      <c r="R664" t="str">
        <f>IF(B664="","Missing","OK")</f>
        <v>OK</v>
      </c>
      <c r="S664" t="str">
        <f>IF(E664="","Missing","OK")</f>
        <v>OK</v>
      </c>
      <c r="T664" t="str">
        <f t="shared" si="83"/>
        <v>OK</v>
      </c>
      <c r="U664">
        <f>COUNTIF($A:$A,A664)</f>
        <v>1</v>
      </c>
      <c r="V664" t="str">
        <f t="shared" si="84"/>
        <v>OK</v>
      </c>
      <c r="W664" t="str">
        <f>IF(I664&gt;B664,"ERROR","OK")</f>
        <v>OK</v>
      </c>
      <c r="X664">
        <f>(B664-I664)/B664</f>
        <v>0.7331744271133076</v>
      </c>
      <c r="Y664" s="2">
        <f t="shared" si="85"/>
        <v>5.5511151231257827E-16</v>
      </c>
      <c r="Z664" s="2" t="str">
        <f t="shared" si="86"/>
        <v>OK</v>
      </c>
      <c r="AA664" t="str">
        <f t="shared" si="87"/>
        <v>Unique</v>
      </c>
    </row>
    <row r="665" spans="1:27" x14ac:dyDescent="0.3">
      <c r="A665">
        <v>664</v>
      </c>
      <c r="B665">
        <v>1199360.09460485</v>
      </c>
      <c r="C665">
        <v>0.47352311990446699</v>
      </c>
      <c r="D665">
        <v>-2.0908585903166601E-2</v>
      </c>
      <c r="E665">
        <v>0.211446304230238</v>
      </c>
      <c r="F665">
        <v>1</v>
      </c>
      <c r="G665" t="s">
        <v>12</v>
      </c>
      <c r="H665">
        <v>1</v>
      </c>
      <c r="I665">
        <v>253600.25944542699</v>
      </c>
      <c r="J665">
        <v>0.78855369576976098</v>
      </c>
      <c r="K665" t="str">
        <f t="shared" si="80"/>
        <v>OK</v>
      </c>
      <c r="L665" t="str">
        <f t="shared" si="81"/>
        <v>OK</v>
      </c>
      <c r="M665" t="str">
        <f>IF(OR(B665&lt;$AE$20,B665&gt;$AF$20),"Outlier","OK")</f>
        <v>OK</v>
      </c>
      <c r="N665" t="str">
        <f>IF(OR(J665&lt;$AE$21,J665&gt;$AF$21),"Outlier","OK")</f>
        <v>OK</v>
      </c>
      <c r="O665" t="str">
        <f>IF(OR(C665&lt;0,C665&gt;1),"Outlier","OK")</f>
        <v>OK</v>
      </c>
      <c r="P665" t="str">
        <f>IF(OR(D665&lt;0,D665&gt;1),"Outlier","OK")</f>
        <v>Outlier</v>
      </c>
      <c r="Q665" t="str">
        <f t="shared" si="82"/>
        <v>60-80%</v>
      </c>
      <c r="R665" t="str">
        <f>IF(B665="","Missing","OK")</f>
        <v>OK</v>
      </c>
      <c r="S665" t="str">
        <f>IF(E665="","Missing","OK")</f>
        <v>OK</v>
      </c>
      <c r="T665" t="str">
        <f t="shared" si="83"/>
        <v>OK</v>
      </c>
      <c r="U665">
        <f>COUNTIF($A:$A,A665)</f>
        <v>1</v>
      </c>
      <c r="V665" t="str">
        <f t="shared" si="84"/>
        <v>OK</v>
      </c>
      <c r="W665" t="str">
        <f>IF(I665&gt;B665,"ERROR","OK")</f>
        <v>OK</v>
      </c>
      <c r="X665">
        <f>(B665-I665)/B665</f>
        <v>0.78855369576975964</v>
      </c>
      <c r="Y665" s="2">
        <f t="shared" si="85"/>
        <v>1.3322676295501878E-15</v>
      </c>
      <c r="Z665" s="2" t="str">
        <f t="shared" si="86"/>
        <v>OK</v>
      </c>
      <c r="AA665" t="str">
        <f t="shared" si="87"/>
        <v>Unique</v>
      </c>
    </row>
    <row r="666" spans="1:27" x14ac:dyDescent="0.3">
      <c r="A666">
        <v>665</v>
      </c>
      <c r="B666">
        <v>1195850.72287167</v>
      </c>
      <c r="C666">
        <v>0.28044040735991399</v>
      </c>
      <c r="D666">
        <v>9.4525969791668496E-2</v>
      </c>
      <c r="E666">
        <v>0.34213060651611998</v>
      </c>
      <c r="F666">
        <v>1</v>
      </c>
      <c r="G666" t="s">
        <v>11</v>
      </c>
      <c r="H666">
        <v>1</v>
      </c>
      <c r="I666">
        <v>409137.133118828</v>
      </c>
      <c r="J666">
        <v>0.65786939348387896</v>
      </c>
      <c r="K666" t="str">
        <f t="shared" si="80"/>
        <v>OK</v>
      </c>
      <c r="L666" t="str">
        <f t="shared" si="81"/>
        <v>OK</v>
      </c>
      <c r="M666" t="str">
        <f>IF(OR(B666&lt;$AE$20,B666&gt;$AF$20),"Outlier","OK")</f>
        <v>OK</v>
      </c>
      <c r="N666" t="str">
        <f>IF(OR(J666&lt;$AE$21,J666&gt;$AF$21),"Outlier","OK")</f>
        <v>OK</v>
      </c>
      <c r="O666" t="str">
        <f>IF(OR(C666&lt;0,C666&gt;1),"Outlier","OK")</f>
        <v>OK</v>
      </c>
      <c r="P666" t="str">
        <f>IF(OR(D666&lt;0,D666&gt;1),"Outlier","OK")</f>
        <v>OK</v>
      </c>
      <c r="Q666" t="str">
        <f t="shared" si="82"/>
        <v>60-80%</v>
      </c>
      <c r="R666" t="str">
        <f>IF(B666="","Missing","OK")</f>
        <v>OK</v>
      </c>
      <c r="S666" t="str">
        <f>IF(E666="","Missing","OK")</f>
        <v>OK</v>
      </c>
      <c r="T666" t="str">
        <f t="shared" si="83"/>
        <v>OK</v>
      </c>
      <c r="U666">
        <f>COUNTIF($A:$A,A666)</f>
        <v>1</v>
      </c>
      <c r="V666" t="str">
        <f t="shared" si="84"/>
        <v>OK</v>
      </c>
      <c r="W666" t="str">
        <f>IF(I666&gt;B666,"ERROR","OK")</f>
        <v>OK</v>
      </c>
      <c r="X666">
        <f>(B666-I666)/B666</f>
        <v>0.65786939348387741</v>
      </c>
      <c r="Y666" s="2">
        <f t="shared" si="85"/>
        <v>1.5543122344752192E-15</v>
      </c>
      <c r="Z666" s="2" t="str">
        <f t="shared" si="86"/>
        <v>OK</v>
      </c>
      <c r="AA666" t="str">
        <f t="shared" si="87"/>
        <v>Unique</v>
      </c>
    </row>
    <row r="667" spans="1:27" x14ac:dyDescent="0.3">
      <c r="A667">
        <v>666</v>
      </c>
      <c r="B667">
        <v>1936355.67700322</v>
      </c>
      <c r="C667">
        <v>0.76732532384412999</v>
      </c>
      <c r="D667">
        <v>0.167332417629032</v>
      </c>
      <c r="E667">
        <v>0.41699276565362903</v>
      </c>
      <c r="F667">
        <v>1</v>
      </c>
      <c r="G667" t="s">
        <v>11</v>
      </c>
      <c r="H667">
        <v>0</v>
      </c>
      <c r="I667">
        <v>807446.30904268206</v>
      </c>
      <c r="J667">
        <v>0.58300723434637003</v>
      </c>
      <c r="K667" t="str">
        <f t="shared" si="80"/>
        <v>OK</v>
      </c>
      <c r="L667" t="str">
        <f t="shared" si="81"/>
        <v>OK</v>
      </c>
      <c r="M667" t="str">
        <f>IF(OR(B667&lt;$AE$20,B667&gt;$AF$20),"Outlier","OK")</f>
        <v>OK</v>
      </c>
      <c r="N667" t="str">
        <f>IF(OR(J667&lt;$AE$21,J667&gt;$AF$21),"Outlier","OK")</f>
        <v>OK</v>
      </c>
      <c r="O667" t="str">
        <f>IF(OR(C667&lt;0,C667&gt;1),"Outlier","OK")</f>
        <v>OK</v>
      </c>
      <c r="P667" t="str">
        <f>IF(OR(D667&lt;0,D667&gt;1),"Outlier","OK")</f>
        <v>OK</v>
      </c>
      <c r="Q667" t="str">
        <f t="shared" si="82"/>
        <v>40-60%</v>
      </c>
      <c r="R667" t="str">
        <f>IF(B667="","Missing","OK")</f>
        <v>OK</v>
      </c>
      <c r="S667" t="str">
        <f>IF(E667="","Missing","OK")</f>
        <v>OK</v>
      </c>
      <c r="T667" t="str">
        <f t="shared" si="83"/>
        <v>OK</v>
      </c>
      <c r="U667">
        <f>COUNTIF($A:$A,A667)</f>
        <v>1</v>
      </c>
      <c r="V667" t="str">
        <f t="shared" si="84"/>
        <v>OK</v>
      </c>
      <c r="W667" t="str">
        <f>IF(I667&gt;B667,"ERROR","OK")</f>
        <v>OK</v>
      </c>
      <c r="X667">
        <f>(B667-I667)/B667</f>
        <v>0.58300723434636881</v>
      </c>
      <c r="Y667" s="2">
        <f t="shared" si="85"/>
        <v>1.2212453270876722E-15</v>
      </c>
      <c r="Z667" s="2" t="str">
        <f t="shared" si="86"/>
        <v>OK</v>
      </c>
      <c r="AA667" t="str">
        <f t="shared" si="87"/>
        <v>Unique</v>
      </c>
    </row>
    <row r="668" spans="1:27" x14ac:dyDescent="0.3">
      <c r="A668">
        <v>667</v>
      </c>
      <c r="B668">
        <v>1332451.5139965501</v>
      </c>
      <c r="C668">
        <v>0.55208967015946198</v>
      </c>
      <c r="D668">
        <v>0.15940619367254999</v>
      </c>
      <c r="E668">
        <v>0.55864549097324001</v>
      </c>
      <c r="F668">
        <v>1</v>
      </c>
      <c r="G668" t="s">
        <v>12</v>
      </c>
      <c r="H668">
        <v>1</v>
      </c>
      <c r="I668">
        <v>744368.03023464396</v>
      </c>
      <c r="J668">
        <v>0.44135450902675899</v>
      </c>
      <c r="K668" t="str">
        <f t="shared" si="80"/>
        <v>OK</v>
      </c>
      <c r="L668" t="str">
        <f t="shared" si="81"/>
        <v>OK</v>
      </c>
      <c r="M668" t="str">
        <f>IF(OR(B668&lt;$AE$20,B668&gt;$AF$20),"Outlier","OK")</f>
        <v>OK</v>
      </c>
      <c r="N668" t="str">
        <f>IF(OR(J668&lt;$AE$21,J668&gt;$AF$21),"Outlier","OK")</f>
        <v>OK</v>
      </c>
      <c r="O668" t="str">
        <f>IF(OR(C668&lt;0,C668&gt;1),"Outlier","OK")</f>
        <v>OK</v>
      </c>
      <c r="P668" t="str">
        <f>IF(OR(D668&lt;0,D668&gt;1),"Outlier","OK")</f>
        <v>OK</v>
      </c>
      <c r="Q668" t="str">
        <f t="shared" si="82"/>
        <v>40-60%</v>
      </c>
      <c r="R668" t="str">
        <f>IF(B668="","Missing","OK")</f>
        <v>OK</v>
      </c>
      <c r="S668" t="str">
        <f>IF(E668="","Missing","OK")</f>
        <v>OK</v>
      </c>
      <c r="T668" t="str">
        <f t="shared" si="83"/>
        <v>OK</v>
      </c>
      <c r="U668">
        <f>COUNTIF($A:$A,A668)</f>
        <v>1</v>
      </c>
      <c r="V668" t="str">
        <f t="shared" si="84"/>
        <v>OK</v>
      </c>
      <c r="W668" t="str">
        <f>IF(I668&gt;B668,"ERROR","OK")</f>
        <v>OK</v>
      </c>
      <c r="X668">
        <f>(B668-I668)/B668</f>
        <v>0.44135450902675682</v>
      </c>
      <c r="Y668" s="2">
        <f t="shared" si="85"/>
        <v>2.1649348980190553E-15</v>
      </c>
      <c r="Z668" s="2" t="str">
        <f t="shared" si="86"/>
        <v>OK</v>
      </c>
      <c r="AA668" t="str">
        <f t="shared" si="87"/>
        <v>Unique</v>
      </c>
    </row>
    <row r="669" spans="1:27" x14ac:dyDescent="0.3">
      <c r="A669">
        <v>668</v>
      </c>
      <c r="B669">
        <v>1190563.31932691</v>
      </c>
      <c r="C669">
        <v>0.118937622786374</v>
      </c>
      <c r="D669">
        <v>8.4025021520885798E-2</v>
      </c>
      <c r="E669">
        <v>0.62997030859006797</v>
      </c>
      <c r="F669">
        <v>1</v>
      </c>
      <c r="G669" t="s">
        <v>12</v>
      </c>
      <c r="H669">
        <v>0</v>
      </c>
      <c r="I669">
        <v>750019.54167239403</v>
      </c>
      <c r="J669">
        <v>0.37002969140993103</v>
      </c>
      <c r="K669" t="str">
        <f t="shared" si="80"/>
        <v>OK</v>
      </c>
      <c r="L669" t="str">
        <f t="shared" si="81"/>
        <v>OK</v>
      </c>
      <c r="M669" t="str">
        <f>IF(OR(B669&lt;$AE$20,B669&gt;$AF$20),"Outlier","OK")</f>
        <v>OK</v>
      </c>
      <c r="N669" t="str">
        <f>IF(OR(J669&lt;$AE$21,J669&gt;$AF$21),"Outlier","OK")</f>
        <v>OK</v>
      </c>
      <c r="O669" t="str">
        <f>IF(OR(C669&lt;0,C669&gt;1),"Outlier","OK")</f>
        <v>OK</v>
      </c>
      <c r="P669" t="str">
        <f>IF(OR(D669&lt;0,D669&gt;1),"Outlier","OK")</f>
        <v>OK</v>
      </c>
      <c r="Q669" t="str">
        <f t="shared" si="82"/>
        <v>20-40%</v>
      </c>
      <c r="R669" t="str">
        <f>IF(B669="","Missing","OK")</f>
        <v>OK</v>
      </c>
      <c r="S669" t="str">
        <f>IF(E669="","Missing","OK")</f>
        <v>OK</v>
      </c>
      <c r="T669" t="str">
        <f t="shared" si="83"/>
        <v>OK</v>
      </c>
      <c r="U669">
        <f>COUNTIF($A:$A,A669)</f>
        <v>1</v>
      </c>
      <c r="V669" t="str">
        <f t="shared" si="84"/>
        <v>OK</v>
      </c>
      <c r="W669" t="str">
        <f>IF(I669&gt;B669,"ERROR","OK")</f>
        <v>OK</v>
      </c>
      <c r="X669">
        <f>(B669-I669)/B669</f>
        <v>0.37002969140992786</v>
      </c>
      <c r="Y669" s="2">
        <f t="shared" si="85"/>
        <v>3.1641356201816961E-15</v>
      </c>
      <c r="Z669" s="2" t="str">
        <f t="shared" si="86"/>
        <v>OK</v>
      </c>
      <c r="AA669" t="str">
        <f t="shared" si="87"/>
        <v>Unique</v>
      </c>
    </row>
    <row r="670" spans="1:27" x14ac:dyDescent="0.3">
      <c r="A670">
        <v>669</v>
      </c>
      <c r="B670">
        <v>1061606.5283947501</v>
      </c>
      <c r="C670">
        <v>0.14558393156073601</v>
      </c>
      <c r="D670">
        <v>8.7897216858602106E-2</v>
      </c>
      <c r="E670">
        <v>0.14228802552404801</v>
      </c>
      <c r="F670">
        <v>1</v>
      </c>
      <c r="G670" t="s">
        <v>13</v>
      </c>
      <c r="H670">
        <v>0</v>
      </c>
      <c r="I670">
        <v>151053.89680872799</v>
      </c>
      <c r="J670">
        <v>0.85771197447595104</v>
      </c>
      <c r="K670" t="str">
        <f t="shared" si="80"/>
        <v>OK</v>
      </c>
      <c r="L670" t="str">
        <f t="shared" si="81"/>
        <v>OK</v>
      </c>
      <c r="M670" t="str">
        <f>IF(OR(B670&lt;$AE$20,B670&gt;$AF$20),"Outlier","OK")</f>
        <v>OK</v>
      </c>
      <c r="N670" t="str">
        <f>IF(OR(J670&lt;$AE$21,J670&gt;$AF$21),"Outlier","OK")</f>
        <v>OK</v>
      </c>
      <c r="O670" t="str">
        <f>IF(OR(C670&lt;0,C670&gt;1),"Outlier","OK")</f>
        <v>OK</v>
      </c>
      <c r="P670" t="str">
        <f>IF(OR(D670&lt;0,D670&gt;1),"Outlier","OK")</f>
        <v>OK</v>
      </c>
      <c r="Q670" t="str">
        <f t="shared" si="82"/>
        <v>80-100%</v>
      </c>
      <c r="R670" t="str">
        <f>IF(B670="","Missing","OK")</f>
        <v>OK</v>
      </c>
      <c r="S670" t="str">
        <f>IF(E670="","Missing","OK")</f>
        <v>OK</v>
      </c>
      <c r="T670" t="str">
        <f t="shared" si="83"/>
        <v>OK</v>
      </c>
      <c r="U670">
        <f>COUNTIF($A:$A,A670)</f>
        <v>1</v>
      </c>
      <c r="V670" t="str">
        <f t="shared" si="84"/>
        <v>OK</v>
      </c>
      <c r="W670" t="str">
        <f>IF(I670&gt;B670,"ERROR","OK")</f>
        <v>OK</v>
      </c>
      <c r="X670">
        <f>(B670-I670)/B670</f>
        <v>0.85771197447595215</v>
      </c>
      <c r="Y670" s="2">
        <f t="shared" si="85"/>
        <v>1.1102230246251565E-15</v>
      </c>
      <c r="Z670" s="2" t="str">
        <f t="shared" si="86"/>
        <v>OK</v>
      </c>
      <c r="AA670" t="str">
        <f t="shared" si="87"/>
        <v>Unique</v>
      </c>
    </row>
    <row r="671" spans="1:27" x14ac:dyDescent="0.3">
      <c r="A671">
        <v>670</v>
      </c>
      <c r="B671">
        <v>1541082.1992901801</v>
      </c>
      <c r="C671">
        <v>0.12522978255564601</v>
      </c>
      <c r="D671">
        <v>-2.4545014865986599E-2</v>
      </c>
      <c r="E671">
        <v>0.33458388190004401</v>
      </c>
      <c r="F671">
        <v>1</v>
      </c>
      <c r="G671" t="s">
        <v>12</v>
      </c>
      <c r="H671">
        <v>0</v>
      </c>
      <c r="I671">
        <v>515621.26456556597</v>
      </c>
      <c r="J671">
        <v>0.66541611809995604</v>
      </c>
      <c r="K671" t="str">
        <f t="shared" si="80"/>
        <v>OK</v>
      </c>
      <c r="L671" t="str">
        <f t="shared" si="81"/>
        <v>OK</v>
      </c>
      <c r="M671" t="str">
        <f>IF(OR(B671&lt;$AE$20,B671&gt;$AF$20),"Outlier","OK")</f>
        <v>OK</v>
      </c>
      <c r="N671" t="str">
        <f>IF(OR(J671&lt;$AE$21,J671&gt;$AF$21),"Outlier","OK")</f>
        <v>OK</v>
      </c>
      <c r="O671" t="str">
        <f>IF(OR(C671&lt;0,C671&gt;1),"Outlier","OK")</f>
        <v>OK</v>
      </c>
      <c r="P671" t="str">
        <f>IF(OR(D671&lt;0,D671&gt;1),"Outlier","OK")</f>
        <v>Outlier</v>
      </c>
      <c r="Q671" t="str">
        <f t="shared" si="82"/>
        <v>60-80%</v>
      </c>
      <c r="R671" t="str">
        <f>IF(B671="","Missing","OK")</f>
        <v>OK</v>
      </c>
      <c r="S671" t="str">
        <f>IF(E671="","Missing","OK")</f>
        <v>OK</v>
      </c>
      <c r="T671" t="str">
        <f t="shared" si="83"/>
        <v>OK</v>
      </c>
      <c r="U671">
        <f>COUNTIF($A:$A,A671)</f>
        <v>1</v>
      </c>
      <c r="V671" t="str">
        <f t="shared" si="84"/>
        <v>OK</v>
      </c>
      <c r="W671" t="str">
        <f>IF(I671&gt;B671,"ERROR","OK")</f>
        <v>OK</v>
      </c>
      <c r="X671">
        <f>(B671-I671)/B671</f>
        <v>0.66541611809995582</v>
      </c>
      <c r="Y671" s="2">
        <f t="shared" si="85"/>
        <v>2.2204460492503131E-16</v>
      </c>
      <c r="Z671" s="2" t="str">
        <f t="shared" si="86"/>
        <v>OK</v>
      </c>
      <c r="AA671" t="str">
        <f t="shared" si="87"/>
        <v>Unique</v>
      </c>
    </row>
    <row r="672" spans="1:27" x14ac:dyDescent="0.3">
      <c r="A672">
        <v>671</v>
      </c>
      <c r="B672">
        <v>256807.75814586799</v>
      </c>
      <c r="C672">
        <v>0.184987907871209</v>
      </c>
      <c r="D672">
        <v>0.18853224471869801</v>
      </c>
      <c r="E672">
        <v>0.33629822438568702</v>
      </c>
      <c r="F672">
        <v>1</v>
      </c>
      <c r="G672" t="s">
        <v>11</v>
      </c>
      <c r="H672">
        <v>0</v>
      </c>
      <c r="I672">
        <v>86363.993072924699</v>
      </c>
      <c r="J672">
        <v>0.66370177561431198</v>
      </c>
      <c r="K672" t="str">
        <f t="shared" si="80"/>
        <v>OK</v>
      </c>
      <c r="L672" t="str">
        <f t="shared" si="81"/>
        <v>OK</v>
      </c>
      <c r="M672" t="str">
        <f>IF(OR(B672&lt;$AE$20,B672&gt;$AF$20),"Outlier","OK")</f>
        <v>OK</v>
      </c>
      <c r="N672" t="str">
        <f>IF(OR(J672&lt;$AE$21,J672&gt;$AF$21),"Outlier","OK")</f>
        <v>OK</v>
      </c>
      <c r="O672" t="str">
        <f>IF(OR(C672&lt;0,C672&gt;1),"Outlier","OK")</f>
        <v>OK</v>
      </c>
      <c r="P672" t="str">
        <f>IF(OR(D672&lt;0,D672&gt;1),"Outlier","OK")</f>
        <v>OK</v>
      </c>
      <c r="Q672" t="str">
        <f t="shared" si="82"/>
        <v>60-80%</v>
      </c>
      <c r="R672" t="str">
        <f>IF(B672="","Missing","OK")</f>
        <v>OK</v>
      </c>
      <c r="S672" t="str">
        <f>IF(E672="","Missing","OK")</f>
        <v>OK</v>
      </c>
      <c r="T672" t="str">
        <f t="shared" si="83"/>
        <v>OK</v>
      </c>
      <c r="U672">
        <f>COUNTIF($A:$A,A672)</f>
        <v>1</v>
      </c>
      <c r="V672" t="str">
        <f t="shared" si="84"/>
        <v>OK</v>
      </c>
      <c r="W672" t="str">
        <f>IF(I672&gt;B672,"ERROR","OK")</f>
        <v>OK</v>
      </c>
      <c r="X672">
        <f>(B672-I672)/B672</f>
        <v>0.66370177561431165</v>
      </c>
      <c r="Y672" s="2">
        <f t="shared" si="85"/>
        <v>3.3306690738754696E-16</v>
      </c>
      <c r="Z672" s="2" t="str">
        <f t="shared" si="86"/>
        <v>OK</v>
      </c>
      <c r="AA672" t="str">
        <f t="shared" si="87"/>
        <v>Unique</v>
      </c>
    </row>
    <row r="673" spans="1:27" x14ac:dyDescent="0.3">
      <c r="A673">
        <v>672</v>
      </c>
      <c r="B673">
        <v>54079.207307293502</v>
      </c>
      <c r="C673">
        <v>0.84324951428614203</v>
      </c>
      <c r="D673">
        <v>7.7007771362613706E-2</v>
      </c>
      <c r="E673">
        <v>0.50245110505938295</v>
      </c>
      <c r="F673">
        <v>1</v>
      </c>
      <c r="G673" t="s">
        <v>12</v>
      </c>
      <c r="H673">
        <v>1</v>
      </c>
      <c r="I673">
        <v>27172.1574722851</v>
      </c>
      <c r="J673">
        <v>0.49754889494061599</v>
      </c>
      <c r="K673" t="str">
        <f t="shared" si="80"/>
        <v>OK</v>
      </c>
      <c r="L673" t="str">
        <f t="shared" si="81"/>
        <v>OK</v>
      </c>
      <c r="M673" t="str">
        <f>IF(OR(B673&lt;$AE$20,B673&gt;$AF$20),"Outlier","OK")</f>
        <v>Outlier</v>
      </c>
      <c r="N673" t="str">
        <f>IF(OR(J673&lt;$AE$21,J673&gt;$AF$21),"Outlier","OK")</f>
        <v>OK</v>
      </c>
      <c r="O673" t="str">
        <f>IF(OR(C673&lt;0,C673&gt;1),"Outlier","OK")</f>
        <v>OK</v>
      </c>
      <c r="P673" t="str">
        <f>IF(OR(D673&lt;0,D673&gt;1),"Outlier","OK")</f>
        <v>OK</v>
      </c>
      <c r="Q673" t="str">
        <f t="shared" si="82"/>
        <v>40-60%</v>
      </c>
      <c r="R673" t="str">
        <f>IF(B673="","Missing","OK")</f>
        <v>OK</v>
      </c>
      <c r="S673" t="str">
        <f>IF(E673="","Missing","OK")</f>
        <v>OK</v>
      </c>
      <c r="T673" t="str">
        <f t="shared" si="83"/>
        <v>OK</v>
      </c>
      <c r="U673">
        <f>COUNTIF($A:$A,A673)</f>
        <v>1</v>
      </c>
      <c r="V673" t="str">
        <f t="shared" si="84"/>
        <v>OK</v>
      </c>
      <c r="W673" t="str">
        <f>IF(I673&gt;B673,"ERROR","OK")</f>
        <v>OK</v>
      </c>
      <c r="X673">
        <f>(B673-I673)/B673</f>
        <v>0.4975488949406166</v>
      </c>
      <c r="Y673" s="2">
        <f t="shared" si="85"/>
        <v>6.106226635438361E-16</v>
      </c>
      <c r="Z673" s="2" t="str">
        <f t="shared" si="86"/>
        <v>OK</v>
      </c>
      <c r="AA673" t="str">
        <f t="shared" si="87"/>
        <v>Unique</v>
      </c>
    </row>
    <row r="674" spans="1:27" x14ac:dyDescent="0.3">
      <c r="A674">
        <v>673</v>
      </c>
      <c r="B674">
        <v>1907353.29218945</v>
      </c>
      <c r="C674">
        <v>0.75882782294309403</v>
      </c>
      <c r="D674">
        <v>-1.9545677526161102E-2</v>
      </c>
      <c r="E674">
        <v>0.28355461196875098</v>
      </c>
      <c r="F674">
        <v>1</v>
      </c>
      <c r="G674" t="s">
        <v>10</v>
      </c>
      <c r="H674">
        <v>1</v>
      </c>
      <c r="I674">
        <v>540838.822654102</v>
      </c>
      <c r="J674">
        <v>0.71644538803124802</v>
      </c>
      <c r="K674" t="str">
        <f t="shared" si="80"/>
        <v>OK</v>
      </c>
      <c r="L674" t="str">
        <f t="shared" si="81"/>
        <v>OK</v>
      </c>
      <c r="M674" t="str">
        <f>IF(OR(B674&lt;$AE$20,B674&gt;$AF$20),"Outlier","OK")</f>
        <v>OK</v>
      </c>
      <c r="N674" t="str">
        <f>IF(OR(J674&lt;$AE$21,J674&gt;$AF$21),"Outlier","OK")</f>
        <v>OK</v>
      </c>
      <c r="O674" t="str">
        <f>IF(OR(C674&lt;0,C674&gt;1),"Outlier","OK")</f>
        <v>OK</v>
      </c>
      <c r="P674" t="str">
        <f>IF(OR(D674&lt;0,D674&gt;1),"Outlier","OK")</f>
        <v>Outlier</v>
      </c>
      <c r="Q674" t="str">
        <f t="shared" si="82"/>
        <v>60-80%</v>
      </c>
      <c r="R674" t="str">
        <f>IF(B674="","Missing","OK")</f>
        <v>OK</v>
      </c>
      <c r="S674" t="str">
        <f>IF(E674="","Missing","OK")</f>
        <v>OK</v>
      </c>
      <c r="T674" t="str">
        <f t="shared" si="83"/>
        <v>OK</v>
      </c>
      <c r="U674">
        <f>COUNTIF($A:$A,A674)</f>
        <v>1</v>
      </c>
      <c r="V674" t="str">
        <f t="shared" si="84"/>
        <v>OK</v>
      </c>
      <c r="W674" t="str">
        <f>IF(I674&gt;B674,"ERROR","OK")</f>
        <v>OK</v>
      </c>
      <c r="X674">
        <f>(B674-I674)/B674</f>
        <v>0.71644538803124758</v>
      </c>
      <c r="Y674" s="2">
        <f t="shared" si="85"/>
        <v>4.4408920985006262E-16</v>
      </c>
      <c r="Z674" s="2" t="str">
        <f t="shared" si="86"/>
        <v>OK</v>
      </c>
      <c r="AA674" t="str">
        <f t="shared" si="87"/>
        <v>Unique</v>
      </c>
    </row>
    <row r="675" spans="1:27" x14ac:dyDescent="0.3">
      <c r="A675">
        <v>674</v>
      </c>
      <c r="B675">
        <v>1022382.47502536</v>
      </c>
      <c r="C675">
        <v>0.40828923830213698</v>
      </c>
      <c r="D675">
        <v>5.8522908024093703E-3</v>
      </c>
      <c r="E675">
        <v>0.65725989911554805</v>
      </c>
      <c r="F675">
        <v>1</v>
      </c>
      <c r="G675" t="s">
        <v>10</v>
      </c>
      <c r="H675">
        <v>1</v>
      </c>
      <c r="I675">
        <v>671971.00239267305</v>
      </c>
      <c r="J675">
        <v>0.342740100884451</v>
      </c>
      <c r="K675" t="str">
        <f t="shared" si="80"/>
        <v>OK</v>
      </c>
      <c r="L675" t="str">
        <f t="shared" si="81"/>
        <v>OK</v>
      </c>
      <c r="M675" t="str">
        <f>IF(OR(B675&lt;$AE$20,B675&gt;$AF$20),"Outlier","OK")</f>
        <v>OK</v>
      </c>
      <c r="N675" t="str">
        <f>IF(OR(J675&lt;$AE$21,J675&gt;$AF$21),"Outlier","OK")</f>
        <v>OK</v>
      </c>
      <c r="O675" t="str">
        <f>IF(OR(C675&lt;0,C675&gt;1),"Outlier","OK")</f>
        <v>OK</v>
      </c>
      <c r="P675" t="str">
        <f>IF(OR(D675&lt;0,D675&gt;1),"Outlier","OK")</f>
        <v>OK</v>
      </c>
      <c r="Q675" t="str">
        <f t="shared" si="82"/>
        <v>20-40%</v>
      </c>
      <c r="R675" t="str">
        <f>IF(B675="","Missing","OK")</f>
        <v>OK</v>
      </c>
      <c r="S675" t="str">
        <f>IF(E675="","Missing","OK")</f>
        <v>OK</v>
      </c>
      <c r="T675" t="str">
        <f t="shared" si="83"/>
        <v>OK</v>
      </c>
      <c r="U675">
        <f>COUNTIF($A:$A,A675)</f>
        <v>1</v>
      </c>
      <c r="V675" t="str">
        <f t="shared" si="84"/>
        <v>OK</v>
      </c>
      <c r="W675" t="str">
        <f>IF(I675&gt;B675,"ERROR","OK")</f>
        <v>OK</v>
      </c>
      <c r="X675">
        <f>(B675-I675)/B675</f>
        <v>0.34274010088445134</v>
      </c>
      <c r="Y675" s="2">
        <f t="shared" si="85"/>
        <v>3.3306690738754696E-16</v>
      </c>
      <c r="Z675" s="2" t="str">
        <f t="shared" si="86"/>
        <v>OK</v>
      </c>
      <c r="AA675" t="str">
        <f t="shared" si="87"/>
        <v>Unique</v>
      </c>
    </row>
    <row r="676" spans="1:27" x14ac:dyDescent="0.3">
      <c r="A676">
        <v>675</v>
      </c>
      <c r="B676">
        <v>690253.98872901197</v>
      </c>
      <c r="C676">
        <v>0.35084648290793902</v>
      </c>
      <c r="D676">
        <v>-0.14811557183364801</v>
      </c>
      <c r="E676">
        <v>0.41394335246506597</v>
      </c>
      <c r="F676">
        <v>1</v>
      </c>
      <c r="G676" t="s">
        <v>11</v>
      </c>
      <c r="H676">
        <v>1</v>
      </c>
      <c r="I676">
        <v>285726.05014687101</v>
      </c>
      <c r="J676">
        <v>0.58605664753493403</v>
      </c>
      <c r="K676" t="str">
        <f t="shared" si="80"/>
        <v>OK</v>
      </c>
      <c r="L676" t="str">
        <f t="shared" si="81"/>
        <v>OK</v>
      </c>
      <c r="M676" t="str">
        <f>IF(OR(B676&lt;$AE$20,B676&gt;$AF$20),"Outlier","OK")</f>
        <v>OK</v>
      </c>
      <c r="N676" t="str">
        <f>IF(OR(J676&lt;$AE$21,J676&gt;$AF$21),"Outlier","OK")</f>
        <v>OK</v>
      </c>
      <c r="O676" t="str">
        <f>IF(OR(C676&lt;0,C676&gt;1),"Outlier","OK")</f>
        <v>OK</v>
      </c>
      <c r="P676" t="str">
        <f>IF(OR(D676&lt;0,D676&gt;1),"Outlier","OK")</f>
        <v>Outlier</v>
      </c>
      <c r="Q676" t="str">
        <f t="shared" si="82"/>
        <v>40-60%</v>
      </c>
      <c r="R676" t="str">
        <f>IF(B676="","Missing","OK")</f>
        <v>OK</v>
      </c>
      <c r="S676" t="str">
        <f>IF(E676="","Missing","OK")</f>
        <v>OK</v>
      </c>
      <c r="T676" t="str">
        <f t="shared" si="83"/>
        <v>OK</v>
      </c>
      <c r="U676">
        <f>COUNTIF($A:$A,A676)</f>
        <v>1</v>
      </c>
      <c r="V676" t="str">
        <f t="shared" si="84"/>
        <v>OK</v>
      </c>
      <c r="W676" t="str">
        <f>IF(I676&gt;B676,"ERROR","OK")</f>
        <v>OK</v>
      </c>
      <c r="X676">
        <f>(B676-I676)/B676</f>
        <v>0.58605664753493414</v>
      </c>
      <c r="Y676" s="2">
        <f t="shared" si="85"/>
        <v>1.1102230246251565E-16</v>
      </c>
      <c r="Z676" s="2" t="str">
        <f t="shared" si="86"/>
        <v>OK</v>
      </c>
      <c r="AA676" t="str">
        <f t="shared" si="87"/>
        <v>Unique</v>
      </c>
    </row>
    <row r="677" spans="1:27" x14ac:dyDescent="0.3">
      <c r="A677">
        <v>676</v>
      </c>
      <c r="B677">
        <v>767703.85716205603</v>
      </c>
      <c r="C677">
        <v>0.27224745342969903</v>
      </c>
      <c r="D677">
        <v>0.10671264116448199</v>
      </c>
      <c r="E677">
        <v>0.26819299501466698</v>
      </c>
      <c r="F677">
        <v>1</v>
      </c>
      <c r="G677" t="s">
        <v>13</v>
      </c>
      <c r="H677">
        <v>1</v>
      </c>
      <c r="I677">
        <v>205892.79673660401</v>
      </c>
      <c r="J677">
        <v>0.73180700498533202</v>
      </c>
      <c r="K677" t="str">
        <f t="shared" si="80"/>
        <v>OK</v>
      </c>
      <c r="L677" t="str">
        <f t="shared" si="81"/>
        <v>OK</v>
      </c>
      <c r="M677" t="str">
        <f>IF(OR(B677&lt;$AE$20,B677&gt;$AF$20),"Outlier","OK")</f>
        <v>OK</v>
      </c>
      <c r="N677" t="str">
        <f>IF(OR(J677&lt;$AE$21,J677&gt;$AF$21),"Outlier","OK")</f>
        <v>OK</v>
      </c>
      <c r="O677" t="str">
        <f>IF(OR(C677&lt;0,C677&gt;1),"Outlier","OK")</f>
        <v>OK</v>
      </c>
      <c r="P677" t="str">
        <f>IF(OR(D677&lt;0,D677&gt;1),"Outlier","OK")</f>
        <v>OK</v>
      </c>
      <c r="Q677" t="str">
        <f t="shared" si="82"/>
        <v>60-80%</v>
      </c>
      <c r="R677" t="str">
        <f>IF(B677="","Missing","OK")</f>
        <v>OK</v>
      </c>
      <c r="S677" t="str">
        <f>IF(E677="","Missing","OK")</f>
        <v>OK</v>
      </c>
      <c r="T677" t="str">
        <f t="shared" si="83"/>
        <v>OK</v>
      </c>
      <c r="U677">
        <f>COUNTIF($A:$A,A677)</f>
        <v>1</v>
      </c>
      <c r="V677" t="str">
        <f t="shared" si="84"/>
        <v>OK</v>
      </c>
      <c r="W677" t="str">
        <f>IF(I677&gt;B677,"ERROR","OK")</f>
        <v>OK</v>
      </c>
      <c r="X677">
        <f>(B677-I677)/B677</f>
        <v>0.7318070049853328</v>
      </c>
      <c r="Y677" s="2">
        <f t="shared" si="85"/>
        <v>7.7715611723760958E-16</v>
      </c>
      <c r="Z677" s="2" t="str">
        <f t="shared" si="86"/>
        <v>OK</v>
      </c>
      <c r="AA677" t="str">
        <f t="shared" si="87"/>
        <v>Unique</v>
      </c>
    </row>
    <row r="678" spans="1:27" x14ac:dyDescent="0.3">
      <c r="A678">
        <v>677</v>
      </c>
      <c r="B678">
        <v>1617494.4664318999</v>
      </c>
      <c r="C678">
        <v>0.76136662783132703</v>
      </c>
      <c r="D678">
        <v>3.87063694035348E-2</v>
      </c>
      <c r="E678">
        <v>3.1716954584219102E-2</v>
      </c>
      <c r="F678">
        <v>1</v>
      </c>
      <c r="G678" t="s">
        <v>11</v>
      </c>
      <c r="H678">
        <v>0</v>
      </c>
      <c r="I678">
        <v>51301.998532046397</v>
      </c>
      <c r="J678">
        <v>0.96828304541578003</v>
      </c>
      <c r="K678" t="str">
        <f t="shared" si="80"/>
        <v>OK</v>
      </c>
      <c r="L678" t="str">
        <f t="shared" si="81"/>
        <v>OK</v>
      </c>
      <c r="M678" t="str">
        <f>IF(OR(B678&lt;$AE$20,B678&gt;$AF$20),"Outlier","OK")</f>
        <v>OK</v>
      </c>
      <c r="N678" t="str">
        <f>IF(OR(J678&lt;$AE$21,J678&gt;$AF$21),"Outlier","OK")</f>
        <v>OK</v>
      </c>
      <c r="O678" t="str">
        <f>IF(OR(C678&lt;0,C678&gt;1),"Outlier","OK")</f>
        <v>OK</v>
      </c>
      <c r="P678" t="str">
        <f>IF(OR(D678&lt;0,D678&gt;1),"Outlier","OK")</f>
        <v>OK</v>
      </c>
      <c r="Q678" t="str">
        <f t="shared" si="82"/>
        <v>80-100%</v>
      </c>
      <c r="R678" t="str">
        <f>IF(B678="","Missing","OK")</f>
        <v>OK</v>
      </c>
      <c r="S678" t="str">
        <f>IF(E678="","Missing","OK")</f>
        <v>OK</v>
      </c>
      <c r="T678" t="str">
        <f t="shared" si="83"/>
        <v>OK</v>
      </c>
      <c r="U678">
        <f>COUNTIF($A:$A,A678)</f>
        <v>1</v>
      </c>
      <c r="V678" t="str">
        <f t="shared" si="84"/>
        <v>OK</v>
      </c>
      <c r="W678" t="str">
        <f>IF(I678&gt;B678,"ERROR","OK")</f>
        <v>OK</v>
      </c>
      <c r="X678">
        <f>(B678-I678)/B678</f>
        <v>0.96828304541578092</v>
      </c>
      <c r="Y678" s="2">
        <f t="shared" si="85"/>
        <v>8.8817841970012523E-16</v>
      </c>
      <c r="Z678" s="2" t="str">
        <f t="shared" si="86"/>
        <v>OK</v>
      </c>
      <c r="AA678" t="str">
        <f t="shared" si="87"/>
        <v>Unique</v>
      </c>
    </row>
    <row r="679" spans="1:27" x14ac:dyDescent="0.3">
      <c r="A679">
        <v>678</v>
      </c>
      <c r="B679">
        <v>795621.91421656497</v>
      </c>
      <c r="C679">
        <v>0.809328038388197</v>
      </c>
      <c r="D679">
        <v>0.167092740813018</v>
      </c>
      <c r="E679">
        <v>7.1469885178126205E-2</v>
      </c>
      <c r="F679">
        <v>1</v>
      </c>
      <c r="G679" t="s">
        <v>12</v>
      </c>
      <c r="H679">
        <v>0</v>
      </c>
      <c r="I679">
        <v>56863.0068542589</v>
      </c>
      <c r="J679">
        <v>0.92853011482187298</v>
      </c>
      <c r="K679" t="str">
        <f t="shared" si="80"/>
        <v>OK</v>
      </c>
      <c r="L679" t="str">
        <f t="shared" si="81"/>
        <v>OK</v>
      </c>
      <c r="M679" t="str">
        <f>IF(OR(B679&lt;$AE$20,B679&gt;$AF$20),"Outlier","OK")</f>
        <v>OK</v>
      </c>
      <c r="N679" t="str">
        <f>IF(OR(J679&lt;$AE$21,J679&gt;$AF$21),"Outlier","OK")</f>
        <v>OK</v>
      </c>
      <c r="O679" t="str">
        <f>IF(OR(C679&lt;0,C679&gt;1),"Outlier","OK")</f>
        <v>OK</v>
      </c>
      <c r="P679" t="str">
        <f>IF(OR(D679&lt;0,D679&gt;1),"Outlier","OK")</f>
        <v>OK</v>
      </c>
      <c r="Q679" t="str">
        <f t="shared" si="82"/>
        <v>80-100%</v>
      </c>
      <c r="R679" t="str">
        <f>IF(B679="","Missing","OK")</f>
        <v>OK</v>
      </c>
      <c r="S679" t="str">
        <f>IF(E679="","Missing","OK")</f>
        <v>OK</v>
      </c>
      <c r="T679" t="str">
        <f t="shared" si="83"/>
        <v>OK</v>
      </c>
      <c r="U679">
        <f>COUNTIF($A:$A,A679)</f>
        <v>1</v>
      </c>
      <c r="V679" t="str">
        <f t="shared" si="84"/>
        <v>OK</v>
      </c>
      <c r="W679" t="str">
        <f>IF(I679&gt;B679,"ERROR","OK")</f>
        <v>OK</v>
      </c>
      <c r="X679">
        <f>(B679-I679)/B679</f>
        <v>0.92853011482187375</v>
      </c>
      <c r="Y679" s="2">
        <f t="shared" si="85"/>
        <v>7.7715611723760958E-16</v>
      </c>
      <c r="Z679" s="2" t="str">
        <f t="shared" si="86"/>
        <v>OK</v>
      </c>
      <c r="AA679" t="str">
        <f t="shared" si="87"/>
        <v>Unique</v>
      </c>
    </row>
    <row r="680" spans="1:27" x14ac:dyDescent="0.3">
      <c r="A680">
        <v>679</v>
      </c>
      <c r="B680">
        <v>1551829.8892876999</v>
      </c>
      <c r="C680">
        <v>0.81218904893336596</v>
      </c>
      <c r="D680">
        <v>-1.18801055773343E-2</v>
      </c>
      <c r="E680">
        <v>0.24826817343104701</v>
      </c>
      <c r="F680">
        <v>1</v>
      </c>
      <c r="G680" t="s">
        <v>12</v>
      </c>
      <c r="H680">
        <v>1</v>
      </c>
      <c r="I680">
        <v>385269.97208916099</v>
      </c>
      <c r="J680">
        <v>0.75173182656895199</v>
      </c>
      <c r="K680" t="str">
        <f t="shared" si="80"/>
        <v>OK</v>
      </c>
      <c r="L680" t="str">
        <f t="shared" si="81"/>
        <v>OK</v>
      </c>
      <c r="M680" t="str">
        <f>IF(OR(B680&lt;$AE$20,B680&gt;$AF$20),"Outlier","OK")</f>
        <v>OK</v>
      </c>
      <c r="N680" t="str">
        <f>IF(OR(J680&lt;$AE$21,J680&gt;$AF$21),"Outlier","OK")</f>
        <v>OK</v>
      </c>
      <c r="O680" t="str">
        <f>IF(OR(C680&lt;0,C680&gt;1),"Outlier","OK")</f>
        <v>OK</v>
      </c>
      <c r="P680" t="str">
        <f>IF(OR(D680&lt;0,D680&gt;1),"Outlier","OK")</f>
        <v>Outlier</v>
      </c>
      <c r="Q680" t="str">
        <f t="shared" si="82"/>
        <v>60-80%</v>
      </c>
      <c r="R680" t="str">
        <f>IF(B680="","Missing","OK")</f>
        <v>OK</v>
      </c>
      <c r="S680" t="str">
        <f>IF(E680="","Missing","OK")</f>
        <v>OK</v>
      </c>
      <c r="T680" t="str">
        <f t="shared" si="83"/>
        <v>OK</v>
      </c>
      <c r="U680">
        <f>COUNTIF($A:$A,A680)</f>
        <v>1</v>
      </c>
      <c r="V680" t="str">
        <f t="shared" si="84"/>
        <v>OK</v>
      </c>
      <c r="W680" t="str">
        <f>IF(I680&gt;B680,"ERROR","OK")</f>
        <v>OK</v>
      </c>
      <c r="X680">
        <f>(B680-I680)/B680</f>
        <v>0.7517318265689531</v>
      </c>
      <c r="Y680" s="2">
        <f t="shared" si="85"/>
        <v>1.1102230246251565E-15</v>
      </c>
      <c r="Z680" s="2" t="str">
        <f t="shared" si="86"/>
        <v>OK</v>
      </c>
      <c r="AA680" t="str">
        <f t="shared" si="87"/>
        <v>Unique</v>
      </c>
    </row>
    <row r="681" spans="1:27" x14ac:dyDescent="0.3">
      <c r="A681">
        <v>680</v>
      </c>
      <c r="B681">
        <v>908900.90407131496</v>
      </c>
      <c r="C681">
        <v>0.48701346172830901</v>
      </c>
      <c r="D681">
        <v>-2.19423557123406E-2</v>
      </c>
      <c r="E681">
        <v>0.21146892846298901</v>
      </c>
      <c r="F681">
        <v>1</v>
      </c>
      <c r="G681" t="s">
        <v>11</v>
      </c>
      <c r="H681">
        <v>1</v>
      </c>
      <c r="I681">
        <v>192204.30026300301</v>
      </c>
      <c r="J681">
        <v>0.78853107153700996</v>
      </c>
      <c r="K681" t="str">
        <f t="shared" si="80"/>
        <v>OK</v>
      </c>
      <c r="L681" t="str">
        <f t="shared" si="81"/>
        <v>OK</v>
      </c>
      <c r="M681" t="str">
        <f>IF(OR(B681&lt;$AE$20,B681&gt;$AF$20),"Outlier","OK")</f>
        <v>OK</v>
      </c>
      <c r="N681" t="str">
        <f>IF(OR(J681&lt;$AE$21,J681&gt;$AF$21),"Outlier","OK")</f>
        <v>OK</v>
      </c>
      <c r="O681" t="str">
        <f>IF(OR(C681&lt;0,C681&gt;1),"Outlier","OK")</f>
        <v>OK</v>
      </c>
      <c r="P681" t="str">
        <f>IF(OR(D681&lt;0,D681&gt;1),"Outlier","OK")</f>
        <v>Outlier</v>
      </c>
      <c r="Q681" t="str">
        <f t="shared" si="82"/>
        <v>60-80%</v>
      </c>
      <c r="R681" t="str">
        <f>IF(B681="","Missing","OK")</f>
        <v>OK</v>
      </c>
      <c r="S681" t="str">
        <f>IF(E681="","Missing","OK")</f>
        <v>OK</v>
      </c>
      <c r="T681" t="str">
        <f t="shared" si="83"/>
        <v>OK</v>
      </c>
      <c r="U681">
        <f>COUNTIF($A:$A,A681)</f>
        <v>1</v>
      </c>
      <c r="V681" t="str">
        <f t="shared" si="84"/>
        <v>OK</v>
      </c>
      <c r="W681" t="str">
        <f>IF(I681&gt;B681,"ERROR","OK")</f>
        <v>OK</v>
      </c>
      <c r="X681">
        <f>(B681-I681)/B681</f>
        <v>0.78853107153701096</v>
      </c>
      <c r="Y681" s="2">
        <f t="shared" si="85"/>
        <v>9.9920072216264089E-16</v>
      </c>
      <c r="Z681" s="2" t="str">
        <f t="shared" si="86"/>
        <v>OK</v>
      </c>
      <c r="AA681" t="str">
        <f t="shared" si="87"/>
        <v>Unique</v>
      </c>
    </row>
    <row r="682" spans="1:27" x14ac:dyDescent="0.3">
      <c r="A682">
        <v>681</v>
      </c>
      <c r="B682">
        <v>1695951.0523633601</v>
      </c>
      <c r="C682">
        <v>0.67408172017453905</v>
      </c>
      <c r="D682">
        <v>7.10734211618721E-3</v>
      </c>
      <c r="E682">
        <v>0.23281715405884401</v>
      </c>
      <c r="F682">
        <v>1</v>
      </c>
      <c r="G682" t="s">
        <v>10</v>
      </c>
      <c r="H682">
        <v>0</v>
      </c>
      <c r="I682">
        <v>394846.49743433902</v>
      </c>
      <c r="J682">
        <v>0.76718284594115504</v>
      </c>
      <c r="K682" t="str">
        <f t="shared" si="80"/>
        <v>OK</v>
      </c>
      <c r="L682" t="str">
        <f t="shared" si="81"/>
        <v>OK</v>
      </c>
      <c r="M682" t="str">
        <f>IF(OR(B682&lt;$AE$20,B682&gt;$AF$20),"Outlier","OK")</f>
        <v>OK</v>
      </c>
      <c r="N682" t="str">
        <f>IF(OR(J682&lt;$AE$21,J682&gt;$AF$21),"Outlier","OK")</f>
        <v>OK</v>
      </c>
      <c r="O682" t="str">
        <f>IF(OR(C682&lt;0,C682&gt;1),"Outlier","OK")</f>
        <v>OK</v>
      </c>
      <c r="P682" t="str">
        <f>IF(OR(D682&lt;0,D682&gt;1),"Outlier","OK")</f>
        <v>OK</v>
      </c>
      <c r="Q682" t="str">
        <f t="shared" si="82"/>
        <v>60-80%</v>
      </c>
      <c r="R682" t="str">
        <f>IF(B682="","Missing","OK")</f>
        <v>OK</v>
      </c>
      <c r="S682" t="str">
        <f>IF(E682="","Missing","OK")</f>
        <v>OK</v>
      </c>
      <c r="T682" t="str">
        <f t="shared" si="83"/>
        <v>OK</v>
      </c>
      <c r="U682">
        <f>COUNTIF($A:$A,A682)</f>
        <v>1</v>
      </c>
      <c r="V682" t="str">
        <f t="shared" si="84"/>
        <v>OK</v>
      </c>
      <c r="W682" t="str">
        <f>IF(I682&gt;B682,"ERROR","OK")</f>
        <v>OK</v>
      </c>
      <c r="X682">
        <f>(B682-I682)/B682</f>
        <v>0.76718284594115604</v>
      </c>
      <c r="Y682" s="2">
        <f t="shared" si="85"/>
        <v>9.9920072216264089E-16</v>
      </c>
      <c r="Z682" s="2" t="str">
        <f t="shared" si="86"/>
        <v>OK</v>
      </c>
      <c r="AA682" t="str">
        <f t="shared" si="87"/>
        <v>Unique</v>
      </c>
    </row>
    <row r="683" spans="1:27" x14ac:dyDescent="0.3">
      <c r="A683">
        <v>682</v>
      </c>
      <c r="B683">
        <v>198597.924896237</v>
      </c>
      <c r="C683">
        <v>0.59636157260494904</v>
      </c>
      <c r="D683">
        <v>0.160653929369443</v>
      </c>
      <c r="E683">
        <v>6.7248685344009906E-2</v>
      </c>
      <c r="F683">
        <v>1</v>
      </c>
      <c r="G683" t="s">
        <v>11</v>
      </c>
      <c r="H683">
        <v>0</v>
      </c>
      <c r="I683">
        <v>13355.449361320299</v>
      </c>
      <c r="J683">
        <v>0.93275131465599004</v>
      </c>
      <c r="K683" t="str">
        <f t="shared" si="80"/>
        <v>OK</v>
      </c>
      <c r="L683" t="str">
        <f t="shared" si="81"/>
        <v>OK</v>
      </c>
      <c r="M683" t="str">
        <f>IF(OR(B683&lt;$AE$20,B683&gt;$AF$20),"Outlier","OK")</f>
        <v>OK</v>
      </c>
      <c r="N683" t="str">
        <f>IF(OR(J683&lt;$AE$21,J683&gt;$AF$21),"Outlier","OK")</f>
        <v>OK</v>
      </c>
      <c r="O683" t="str">
        <f>IF(OR(C683&lt;0,C683&gt;1),"Outlier","OK")</f>
        <v>OK</v>
      </c>
      <c r="P683" t="str">
        <f>IF(OR(D683&lt;0,D683&gt;1),"Outlier","OK")</f>
        <v>OK</v>
      </c>
      <c r="Q683" t="str">
        <f t="shared" si="82"/>
        <v>80-100%</v>
      </c>
      <c r="R683" t="str">
        <f>IF(B683="","Missing","OK")</f>
        <v>OK</v>
      </c>
      <c r="S683" t="str">
        <f>IF(E683="","Missing","OK")</f>
        <v>OK</v>
      </c>
      <c r="T683" t="str">
        <f t="shared" si="83"/>
        <v>OK</v>
      </c>
      <c r="U683">
        <f>COUNTIF($A:$A,A683)</f>
        <v>1</v>
      </c>
      <c r="V683" t="str">
        <f t="shared" si="84"/>
        <v>OK</v>
      </c>
      <c r="W683" t="str">
        <f>IF(I683&gt;B683,"ERROR","OK")</f>
        <v>OK</v>
      </c>
      <c r="X683">
        <f>(B683-I683)/B683</f>
        <v>0.93275131465599037</v>
      </c>
      <c r="Y683" s="2">
        <f t="shared" si="85"/>
        <v>3.3306690738754696E-16</v>
      </c>
      <c r="Z683" s="2" t="str">
        <f t="shared" si="86"/>
        <v>OK</v>
      </c>
      <c r="AA683" t="str">
        <f t="shared" si="87"/>
        <v>Unique</v>
      </c>
    </row>
    <row r="684" spans="1:27" x14ac:dyDescent="0.3">
      <c r="A684">
        <v>683</v>
      </c>
      <c r="B684">
        <v>988200.23878126498</v>
      </c>
      <c r="C684">
        <v>0.36901610101030802</v>
      </c>
      <c r="D684">
        <v>-5.8282650263589697E-2</v>
      </c>
      <c r="E684">
        <v>0.37057004875528599</v>
      </c>
      <c r="F684">
        <v>1</v>
      </c>
      <c r="G684" t="s">
        <v>11</v>
      </c>
      <c r="H684">
        <v>0</v>
      </c>
      <c r="I684">
        <v>366197.410665159</v>
      </c>
      <c r="J684">
        <v>0.62942995124471302</v>
      </c>
      <c r="K684" t="str">
        <f t="shared" si="80"/>
        <v>OK</v>
      </c>
      <c r="L684" t="str">
        <f t="shared" si="81"/>
        <v>OK</v>
      </c>
      <c r="M684" t="str">
        <f>IF(OR(B684&lt;$AE$20,B684&gt;$AF$20),"Outlier","OK")</f>
        <v>OK</v>
      </c>
      <c r="N684" t="str">
        <f>IF(OR(J684&lt;$AE$21,J684&gt;$AF$21),"Outlier","OK")</f>
        <v>OK</v>
      </c>
      <c r="O684" t="str">
        <f>IF(OR(C684&lt;0,C684&gt;1),"Outlier","OK")</f>
        <v>OK</v>
      </c>
      <c r="P684" t="str">
        <f>IF(OR(D684&lt;0,D684&gt;1),"Outlier","OK")</f>
        <v>Outlier</v>
      </c>
      <c r="Q684" t="str">
        <f t="shared" si="82"/>
        <v>60-80%</v>
      </c>
      <c r="R684" t="str">
        <f>IF(B684="","Missing","OK")</f>
        <v>OK</v>
      </c>
      <c r="S684" t="str">
        <f>IF(E684="","Missing","OK")</f>
        <v>OK</v>
      </c>
      <c r="T684" t="str">
        <f t="shared" si="83"/>
        <v>OK</v>
      </c>
      <c r="U684">
        <f>COUNTIF($A:$A,A684)</f>
        <v>1</v>
      </c>
      <c r="V684" t="str">
        <f t="shared" si="84"/>
        <v>OK</v>
      </c>
      <c r="W684" t="str">
        <f>IF(I684&gt;B684,"ERROR","OK")</f>
        <v>OK</v>
      </c>
      <c r="X684">
        <f>(B684-I684)/B684</f>
        <v>0.62942995124471368</v>
      </c>
      <c r="Y684" s="2">
        <f t="shared" si="85"/>
        <v>6.6613381477509392E-16</v>
      </c>
      <c r="Z684" s="2" t="str">
        <f t="shared" si="86"/>
        <v>OK</v>
      </c>
      <c r="AA684" t="str">
        <f t="shared" si="87"/>
        <v>Unique</v>
      </c>
    </row>
    <row r="685" spans="1:27" x14ac:dyDescent="0.3">
      <c r="A685">
        <v>684</v>
      </c>
      <c r="B685">
        <v>960356.93491610803</v>
      </c>
      <c r="C685">
        <v>0.35412710162428401</v>
      </c>
      <c r="D685">
        <v>0.136220816085242</v>
      </c>
      <c r="E685">
        <v>0.224983429624598</v>
      </c>
      <c r="F685">
        <v>1</v>
      </c>
      <c r="G685" t="s">
        <v>10</v>
      </c>
      <c r="H685">
        <v>1</v>
      </c>
      <c r="I685">
        <v>216064.39688119301</v>
      </c>
      <c r="J685">
        <v>0.77501657037540095</v>
      </c>
      <c r="K685" t="str">
        <f t="shared" si="80"/>
        <v>OK</v>
      </c>
      <c r="L685" t="str">
        <f t="shared" si="81"/>
        <v>OK</v>
      </c>
      <c r="M685" t="str">
        <f>IF(OR(B685&lt;$AE$20,B685&gt;$AF$20),"Outlier","OK")</f>
        <v>OK</v>
      </c>
      <c r="N685" t="str">
        <f>IF(OR(J685&lt;$AE$21,J685&gt;$AF$21),"Outlier","OK")</f>
        <v>OK</v>
      </c>
      <c r="O685" t="str">
        <f>IF(OR(C685&lt;0,C685&gt;1),"Outlier","OK")</f>
        <v>OK</v>
      </c>
      <c r="P685" t="str">
        <f>IF(OR(D685&lt;0,D685&gt;1),"Outlier","OK")</f>
        <v>OK</v>
      </c>
      <c r="Q685" t="str">
        <f t="shared" si="82"/>
        <v>60-80%</v>
      </c>
      <c r="R685" t="str">
        <f>IF(B685="","Missing","OK")</f>
        <v>OK</v>
      </c>
      <c r="S685" t="str">
        <f>IF(E685="","Missing","OK")</f>
        <v>OK</v>
      </c>
      <c r="T685" t="str">
        <f t="shared" si="83"/>
        <v>OK</v>
      </c>
      <c r="U685">
        <f>COUNTIF($A:$A,A685)</f>
        <v>1</v>
      </c>
      <c r="V685" t="str">
        <f t="shared" si="84"/>
        <v>OK</v>
      </c>
      <c r="W685" t="str">
        <f>IF(I685&gt;B685,"ERROR","OK")</f>
        <v>OK</v>
      </c>
      <c r="X685">
        <f>(B685-I685)/B685</f>
        <v>0.77501657037540184</v>
      </c>
      <c r="Y685" s="2">
        <f t="shared" si="85"/>
        <v>8.8817841970012523E-16</v>
      </c>
      <c r="Z685" s="2" t="str">
        <f t="shared" si="86"/>
        <v>OK</v>
      </c>
      <c r="AA685" t="str">
        <f t="shared" si="87"/>
        <v>Unique</v>
      </c>
    </row>
    <row r="686" spans="1:27" x14ac:dyDescent="0.3">
      <c r="A686">
        <v>685</v>
      </c>
      <c r="B686">
        <v>565439.55965851201</v>
      </c>
      <c r="C686">
        <v>0.63229749917535605</v>
      </c>
      <c r="D686">
        <v>0.11579798299010401</v>
      </c>
      <c r="E686">
        <v>0.29202161138792398</v>
      </c>
      <c r="F686">
        <v>1</v>
      </c>
      <c r="G686" t="s">
        <v>13</v>
      </c>
      <c r="H686">
        <v>1</v>
      </c>
      <c r="I686">
        <v>165120.571353957</v>
      </c>
      <c r="J686">
        <v>0.70797838861207496</v>
      </c>
      <c r="K686" t="str">
        <f t="shared" si="80"/>
        <v>OK</v>
      </c>
      <c r="L686" t="str">
        <f t="shared" si="81"/>
        <v>OK</v>
      </c>
      <c r="M686" t="str">
        <f>IF(OR(B686&lt;$AE$20,B686&gt;$AF$20),"Outlier","OK")</f>
        <v>OK</v>
      </c>
      <c r="N686" t="str">
        <f>IF(OR(J686&lt;$AE$21,J686&gt;$AF$21),"Outlier","OK")</f>
        <v>OK</v>
      </c>
      <c r="O686" t="str">
        <f>IF(OR(C686&lt;0,C686&gt;1),"Outlier","OK")</f>
        <v>OK</v>
      </c>
      <c r="P686" t="str">
        <f>IF(OR(D686&lt;0,D686&gt;1),"Outlier","OK")</f>
        <v>OK</v>
      </c>
      <c r="Q686" t="str">
        <f t="shared" si="82"/>
        <v>60-80%</v>
      </c>
      <c r="R686" t="str">
        <f>IF(B686="","Missing","OK")</f>
        <v>OK</v>
      </c>
      <c r="S686" t="str">
        <f>IF(E686="","Missing","OK")</f>
        <v>OK</v>
      </c>
      <c r="T686" t="str">
        <f t="shared" si="83"/>
        <v>OK</v>
      </c>
      <c r="U686">
        <f>COUNTIF($A:$A,A686)</f>
        <v>1</v>
      </c>
      <c r="V686" t="str">
        <f t="shared" si="84"/>
        <v>OK</v>
      </c>
      <c r="W686" t="str">
        <f>IF(I686&gt;B686,"ERROR","OK")</f>
        <v>OK</v>
      </c>
      <c r="X686">
        <f>(B686-I686)/B686</f>
        <v>0.70797838861207574</v>
      </c>
      <c r="Y686" s="2">
        <f t="shared" si="85"/>
        <v>7.7715611723760958E-16</v>
      </c>
      <c r="Z686" s="2" t="str">
        <f t="shared" si="86"/>
        <v>OK</v>
      </c>
      <c r="AA686" t="str">
        <f t="shared" si="87"/>
        <v>Unique</v>
      </c>
    </row>
    <row r="687" spans="1:27" x14ac:dyDescent="0.3">
      <c r="A687">
        <v>686</v>
      </c>
      <c r="B687">
        <v>1890048.75264208</v>
      </c>
      <c r="C687">
        <v>0.25734876920356098</v>
      </c>
      <c r="D687">
        <v>0.179638192962146</v>
      </c>
      <c r="E687">
        <v>0.21411648081071499</v>
      </c>
      <c r="F687">
        <v>1</v>
      </c>
      <c r="G687" t="s">
        <v>10</v>
      </c>
      <c r="H687">
        <v>0</v>
      </c>
      <c r="I687">
        <v>404690.58747640502</v>
      </c>
      <c r="J687">
        <v>0.78588351918928401</v>
      </c>
      <c r="K687" t="str">
        <f t="shared" si="80"/>
        <v>OK</v>
      </c>
      <c r="L687" t="str">
        <f t="shared" si="81"/>
        <v>OK</v>
      </c>
      <c r="M687" t="str">
        <f>IF(OR(B687&lt;$AE$20,B687&gt;$AF$20),"Outlier","OK")</f>
        <v>OK</v>
      </c>
      <c r="N687" t="str">
        <f>IF(OR(J687&lt;$AE$21,J687&gt;$AF$21),"Outlier","OK")</f>
        <v>OK</v>
      </c>
      <c r="O687" t="str">
        <f>IF(OR(C687&lt;0,C687&gt;1),"Outlier","OK")</f>
        <v>OK</v>
      </c>
      <c r="P687" t="str">
        <f>IF(OR(D687&lt;0,D687&gt;1),"Outlier","OK")</f>
        <v>OK</v>
      </c>
      <c r="Q687" t="str">
        <f t="shared" si="82"/>
        <v>60-80%</v>
      </c>
      <c r="R687" t="str">
        <f>IF(B687="","Missing","OK")</f>
        <v>OK</v>
      </c>
      <c r="S687" t="str">
        <f>IF(E687="","Missing","OK")</f>
        <v>OK</v>
      </c>
      <c r="T687" t="str">
        <f t="shared" si="83"/>
        <v>OK</v>
      </c>
      <c r="U687">
        <f>COUNTIF($A:$A,A687)</f>
        <v>1</v>
      </c>
      <c r="V687" t="str">
        <f t="shared" si="84"/>
        <v>OK</v>
      </c>
      <c r="W687" t="str">
        <f>IF(I687&gt;B687,"ERROR","OK")</f>
        <v>OK</v>
      </c>
      <c r="X687">
        <f>(B687-I687)/B687</f>
        <v>0.78588351918928434</v>
      </c>
      <c r="Y687" s="2">
        <f t="shared" si="85"/>
        <v>3.3306690738754696E-16</v>
      </c>
      <c r="Z687" s="2" t="str">
        <f t="shared" si="86"/>
        <v>OK</v>
      </c>
      <c r="AA687" t="str">
        <f t="shared" si="87"/>
        <v>Unique</v>
      </c>
    </row>
    <row r="688" spans="1:27" x14ac:dyDescent="0.3">
      <c r="A688">
        <v>687</v>
      </c>
      <c r="B688">
        <v>1814805.49282514</v>
      </c>
      <c r="C688">
        <v>0.30620367545433502</v>
      </c>
      <c r="D688">
        <v>-3.86870242362422E-2</v>
      </c>
      <c r="E688">
        <v>0.62216158880763595</v>
      </c>
      <c r="F688">
        <v>1</v>
      </c>
      <c r="G688" t="s">
        <v>12</v>
      </c>
      <c r="H688">
        <v>0</v>
      </c>
      <c r="I688">
        <v>1129102.26879292</v>
      </c>
      <c r="J688">
        <v>0.377838411192363</v>
      </c>
      <c r="K688" t="str">
        <f t="shared" si="80"/>
        <v>OK</v>
      </c>
      <c r="L688" t="str">
        <f t="shared" si="81"/>
        <v>OK</v>
      </c>
      <c r="M688" t="str">
        <f>IF(OR(B688&lt;$AE$20,B688&gt;$AF$20),"Outlier","OK")</f>
        <v>OK</v>
      </c>
      <c r="N688" t="str">
        <f>IF(OR(J688&lt;$AE$21,J688&gt;$AF$21),"Outlier","OK")</f>
        <v>OK</v>
      </c>
      <c r="O688" t="str">
        <f>IF(OR(C688&lt;0,C688&gt;1),"Outlier","OK")</f>
        <v>OK</v>
      </c>
      <c r="P688" t="str">
        <f>IF(OR(D688&lt;0,D688&gt;1),"Outlier","OK")</f>
        <v>Outlier</v>
      </c>
      <c r="Q688" t="str">
        <f t="shared" si="82"/>
        <v>20-40%</v>
      </c>
      <c r="R688" t="str">
        <f>IF(B688="","Missing","OK")</f>
        <v>OK</v>
      </c>
      <c r="S688" t="str">
        <f>IF(E688="","Missing","OK")</f>
        <v>OK</v>
      </c>
      <c r="T688" t="str">
        <f t="shared" si="83"/>
        <v>OK</v>
      </c>
      <c r="U688">
        <f>COUNTIF($A:$A,A688)</f>
        <v>1</v>
      </c>
      <c r="V688" t="str">
        <f t="shared" si="84"/>
        <v>OK</v>
      </c>
      <c r="W688" t="str">
        <f>IF(I688&gt;B688,"ERROR","OK")</f>
        <v>OK</v>
      </c>
      <c r="X688">
        <f>(B688-I688)/B688</f>
        <v>0.37783841119236067</v>
      </c>
      <c r="Y688" s="2">
        <f t="shared" si="85"/>
        <v>2.3314683517128287E-15</v>
      </c>
      <c r="Z688" s="2" t="str">
        <f t="shared" si="86"/>
        <v>OK</v>
      </c>
      <c r="AA688" t="str">
        <f t="shared" si="87"/>
        <v>Unique</v>
      </c>
    </row>
    <row r="689" spans="1:27" x14ac:dyDescent="0.3">
      <c r="A689">
        <v>688</v>
      </c>
      <c r="B689">
        <v>915012.78879451903</v>
      </c>
      <c r="C689">
        <v>0.80366905718047399</v>
      </c>
      <c r="D689">
        <v>0.15402205320805101</v>
      </c>
      <c r="E689">
        <v>0.36081567173882301</v>
      </c>
      <c r="F689">
        <v>1</v>
      </c>
      <c r="G689" t="s">
        <v>13</v>
      </c>
      <c r="H689">
        <v>0</v>
      </c>
      <c r="I689">
        <v>330150.954038508</v>
      </c>
      <c r="J689">
        <v>0.63918432826117599</v>
      </c>
      <c r="K689" t="str">
        <f t="shared" si="80"/>
        <v>OK</v>
      </c>
      <c r="L689" t="str">
        <f t="shared" si="81"/>
        <v>OK</v>
      </c>
      <c r="M689" t="str">
        <f>IF(OR(B689&lt;$AE$20,B689&gt;$AF$20),"Outlier","OK")</f>
        <v>OK</v>
      </c>
      <c r="N689" t="str">
        <f>IF(OR(J689&lt;$AE$21,J689&gt;$AF$21),"Outlier","OK")</f>
        <v>OK</v>
      </c>
      <c r="O689" t="str">
        <f>IF(OR(C689&lt;0,C689&gt;1),"Outlier","OK")</f>
        <v>OK</v>
      </c>
      <c r="P689" t="str">
        <f>IF(OR(D689&lt;0,D689&gt;1),"Outlier","OK")</f>
        <v>OK</v>
      </c>
      <c r="Q689" t="str">
        <f t="shared" si="82"/>
        <v>60-80%</v>
      </c>
      <c r="R689" t="str">
        <f>IF(B689="","Missing","OK")</f>
        <v>OK</v>
      </c>
      <c r="S689" t="str">
        <f>IF(E689="","Missing","OK")</f>
        <v>OK</v>
      </c>
      <c r="T689" t="str">
        <f t="shared" si="83"/>
        <v>OK</v>
      </c>
      <c r="U689">
        <f>COUNTIF($A:$A,A689)</f>
        <v>1</v>
      </c>
      <c r="V689" t="str">
        <f t="shared" si="84"/>
        <v>OK</v>
      </c>
      <c r="W689" t="str">
        <f>IF(I689&gt;B689,"ERROR","OK")</f>
        <v>OK</v>
      </c>
      <c r="X689">
        <f>(B689-I689)/B689</f>
        <v>0.63918432826117721</v>
      </c>
      <c r="Y689" s="2">
        <f t="shared" si="85"/>
        <v>1.2212453270876722E-15</v>
      </c>
      <c r="Z689" s="2" t="str">
        <f t="shared" si="86"/>
        <v>OK</v>
      </c>
      <c r="AA689" t="str">
        <f t="shared" si="87"/>
        <v>Unique</v>
      </c>
    </row>
    <row r="690" spans="1:27" x14ac:dyDescent="0.3">
      <c r="A690">
        <v>689</v>
      </c>
      <c r="B690">
        <v>239461.23114516499</v>
      </c>
      <c r="C690">
        <v>0.24457663271278299</v>
      </c>
      <c r="D690">
        <v>4.0190942219670497E-2</v>
      </c>
      <c r="E690">
        <v>0.371353833920396</v>
      </c>
      <c r="F690">
        <v>1</v>
      </c>
      <c r="G690" t="s">
        <v>12</v>
      </c>
      <c r="H690">
        <v>1</v>
      </c>
      <c r="I690">
        <v>88924.846261055296</v>
      </c>
      <c r="J690">
        <v>0.628646166079603</v>
      </c>
      <c r="K690" t="str">
        <f t="shared" si="80"/>
        <v>OK</v>
      </c>
      <c r="L690" t="str">
        <f t="shared" si="81"/>
        <v>OK</v>
      </c>
      <c r="M690" t="str">
        <f>IF(OR(B690&lt;$AE$20,B690&gt;$AF$20),"Outlier","OK")</f>
        <v>OK</v>
      </c>
      <c r="N690" t="str">
        <f>IF(OR(J690&lt;$AE$21,J690&gt;$AF$21),"Outlier","OK")</f>
        <v>OK</v>
      </c>
      <c r="O690" t="str">
        <f>IF(OR(C690&lt;0,C690&gt;1),"Outlier","OK")</f>
        <v>OK</v>
      </c>
      <c r="P690" t="str">
        <f>IF(OR(D690&lt;0,D690&gt;1),"Outlier","OK")</f>
        <v>OK</v>
      </c>
      <c r="Q690" t="str">
        <f t="shared" si="82"/>
        <v>60-80%</v>
      </c>
      <c r="R690" t="str">
        <f>IF(B690="","Missing","OK")</f>
        <v>OK</v>
      </c>
      <c r="S690" t="str">
        <f>IF(E690="","Missing","OK")</f>
        <v>OK</v>
      </c>
      <c r="T690" t="str">
        <f t="shared" si="83"/>
        <v>OK</v>
      </c>
      <c r="U690">
        <f>COUNTIF($A:$A,A690)</f>
        <v>1</v>
      </c>
      <c r="V690" t="str">
        <f t="shared" si="84"/>
        <v>OK</v>
      </c>
      <c r="W690" t="str">
        <f>IF(I690&gt;B690,"ERROR","OK")</f>
        <v>OK</v>
      </c>
      <c r="X690">
        <f>(B690-I690)/B690</f>
        <v>0.62864616607960344</v>
      </c>
      <c r="Y690" s="2">
        <f t="shared" si="85"/>
        <v>4.4408920985006262E-16</v>
      </c>
      <c r="Z690" s="2" t="str">
        <f t="shared" si="86"/>
        <v>OK</v>
      </c>
      <c r="AA690" t="str">
        <f t="shared" si="87"/>
        <v>Unique</v>
      </c>
    </row>
    <row r="691" spans="1:27" x14ac:dyDescent="0.3">
      <c r="A691">
        <v>690</v>
      </c>
      <c r="B691">
        <v>453227.14034858299</v>
      </c>
      <c r="C691">
        <v>0.42668127747596202</v>
      </c>
      <c r="D691">
        <v>0.168910236981589</v>
      </c>
      <c r="E691">
        <v>0.25362935611536702</v>
      </c>
      <c r="F691">
        <v>1</v>
      </c>
      <c r="G691" t="s">
        <v>12</v>
      </c>
      <c r="H691">
        <v>0</v>
      </c>
      <c r="I691">
        <v>114951.70778062</v>
      </c>
      <c r="J691">
        <v>0.74637064388463203</v>
      </c>
      <c r="K691" t="str">
        <f t="shared" si="80"/>
        <v>OK</v>
      </c>
      <c r="L691" t="str">
        <f t="shared" si="81"/>
        <v>OK</v>
      </c>
      <c r="M691" t="str">
        <f>IF(OR(B691&lt;$AE$20,B691&gt;$AF$20),"Outlier","OK")</f>
        <v>OK</v>
      </c>
      <c r="N691" t="str">
        <f>IF(OR(J691&lt;$AE$21,J691&gt;$AF$21),"Outlier","OK")</f>
        <v>OK</v>
      </c>
      <c r="O691" t="str">
        <f>IF(OR(C691&lt;0,C691&gt;1),"Outlier","OK")</f>
        <v>OK</v>
      </c>
      <c r="P691" t="str">
        <f>IF(OR(D691&lt;0,D691&gt;1),"Outlier","OK")</f>
        <v>OK</v>
      </c>
      <c r="Q691" t="str">
        <f t="shared" si="82"/>
        <v>60-80%</v>
      </c>
      <c r="R691" t="str">
        <f>IF(B691="","Missing","OK")</f>
        <v>OK</v>
      </c>
      <c r="S691" t="str">
        <f>IF(E691="","Missing","OK")</f>
        <v>OK</v>
      </c>
      <c r="T691" t="str">
        <f t="shared" si="83"/>
        <v>OK</v>
      </c>
      <c r="U691">
        <f>COUNTIF($A:$A,A691)</f>
        <v>1</v>
      </c>
      <c r="V691" t="str">
        <f t="shared" si="84"/>
        <v>OK</v>
      </c>
      <c r="W691" t="str">
        <f>IF(I691&gt;B691,"ERROR","OK")</f>
        <v>OK</v>
      </c>
      <c r="X691">
        <f>(B691-I691)/B691</f>
        <v>0.74637064388463348</v>
      </c>
      <c r="Y691" s="2">
        <f t="shared" si="85"/>
        <v>1.4432899320127035E-15</v>
      </c>
      <c r="Z691" s="2" t="str">
        <f t="shared" si="86"/>
        <v>OK</v>
      </c>
      <c r="AA691" t="str">
        <f t="shared" si="87"/>
        <v>Unique</v>
      </c>
    </row>
    <row r="692" spans="1:27" x14ac:dyDescent="0.3">
      <c r="A692">
        <v>691</v>
      </c>
      <c r="B692">
        <v>579409.08110374305</v>
      </c>
      <c r="C692">
        <v>0.57083607974718897</v>
      </c>
      <c r="D692">
        <v>-0.12751371679768</v>
      </c>
      <c r="E692">
        <v>0.390960010725248</v>
      </c>
      <c r="F692">
        <v>1</v>
      </c>
      <c r="G692" t="s">
        <v>13</v>
      </c>
      <c r="H692">
        <v>0</v>
      </c>
      <c r="I692">
        <v>226525.78056262599</v>
      </c>
      <c r="J692">
        <v>0.609039989274751</v>
      </c>
      <c r="K692" t="str">
        <f t="shared" si="80"/>
        <v>OK</v>
      </c>
      <c r="L692" t="str">
        <f t="shared" si="81"/>
        <v>OK</v>
      </c>
      <c r="M692" t="str">
        <f>IF(OR(B692&lt;$AE$20,B692&gt;$AF$20),"Outlier","OK")</f>
        <v>OK</v>
      </c>
      <c r="N692" t="str">
        <f>IF(OR(J692&lt;$AE$21,J692&gt;$AF$21),"Outlier","OK")</f>
        <v>OK</v>
      </c>
      <c r="O692" t="str">
        <f>IF(OR(C692&lt;0,C692&gt;1),"Outlier","OK")</f>
        <v>OK</v>
      </c>
      <c r="P692" t="str">
        <f>IF(OR(D692&lt;0,D692&gt;1),"Outlier","OK")</f>
        <v>Outlier</v>
      </c>
      <c r="Q692" t="str">
        <f t="shared" si="82"/>
        <v>60-80%</v>
      </c>
      <c r="R692" t="str">
        <f>IF(B692="","Missing","OK")</f>
        <v>OK</v>
      </c>
      <c r="S692" t="str">
        <f>IF(E692="","Missing","OK")</f>
        <v>OK</v>
      </c>
      <c r="T692" t="str">
        <f t="shared" si="83"/>
        <v>OK</v>
      </c>
      <c r="U692">
        <f>COUNTIF($A:$A,A692)</f>
        <v>1</v>
      </c>
      <c r="V692" t="str">
        <f t="shared" si="84"/>
        <v>OK</v>
      </c>
      <c r="W692" t="str">
        <f>IF(I692&gt;B692,"ERROR","OK")</f>
        <v>OK</v>
      </c>
      <c r="X692">
        <f>(B692-I692)/B692</f>
        <v>0.60903998927475111</v>
      </c>
      <c r="Y692" s="2">
        <f t="shared" si="85"/>
        <v>1.1102230246251565E-16</v>
      </c>
      <c r="Z692" s="2" t="str">
        <f t="shared" si="86"/>
        <v>OK</v>
      </c>
      <c r="AA692" t="str">
        <f t="shared" si="87"/>
        <v>Unique</v>
      </c>
    </row>
    <row r="693" spans="1:27" x14ac:dyDescent="0.3">
      <c r="A693">
        <v>692</v>
      </c>
      <c r="B693">
        <v>994228.55836680601</v>
      </c>
      <c r="C693">
        <v>0.14102614651037201</v>
      </c>
      <c r="D693">
        <v>-0.18090458202962501</v>
      </c>
      <c r="E693">
        <v>0.163058068926828</v>
      </c>
      <c r="F693">
        <v>1</v>
      </c>
      <c r="G693" t="s">
        <v>11</v>
      </c>
      <c r="H693">
        <v>1</v>
      </c>
      <c r="I693">
        <v>162116.988799196</v>
      </c>
      <c r="J693">
        <v>0.83694193107317105</v>
      </c>
      <c r="K693" t="str">
        <f t="shared" si="80"/>
        <v>OK</v>
      </c>
      <c r="L693" t="str">
        <f t="shared" si="81"/>
        <v>OK</v>
      </c>
      <c r="M693" t="str">
        <f>IF(OR(B693&lt;$AE$20,B693&gt;$AF$20),"Outlier","OK")</f>
        <v>OK</v>
      </c>
      <c r="N693" t="str">
        <f>IF(OR(J693&lt;$AE$21,J693&gt;$AF$21),"Outlier","OK")</f>
        <v>OK</v>
      </c>
      <c r="O693" t="str">
        <f>IF(OR(C693&lt;0,C693&gt;1),"Outlier","OK")</f>
        <v>OK</v>
      </c>
      <c r="P693" t="str">
        <f>IF(OR(D693&lt;0,D693&gt;1),"Outlier","OK")</f>
        <v>Outlier</v>
      </c>
      <c r="Q693" t="str">
        <f t="shared" si="82"/>
        <v>80-100%</v>
      </c>
      <c r="R693" t="str">
        <f>IF(B693="","Missing","OK")</f>
        <v>OK</v>
      </c>
      <c r="S693" t="str">
        <f>IF(E693="","Missing","OK")</f>
        <v>OK</v>
      </c>
      <c r="T693" t="str">
        <f t="shared" si="83"/>
        <v>OK</v>
      </c>
      <c r="U693">
        <f>COUNTIF($A:$A,A693)</f>
        <v>1</v>
      </c>
      <c r="V693" t="str">
        <f t="shared" si="84"/>
        <v>OK</v>
      </c>
      <c r="W693" t="str">
        <f>IF(I693&gt;B693,"ERROR","OK")</f>
        <v>OK</v>
      </c>
      <c r="X693">
        <f>(B693-I693)/B693</f>
        <v>0.8369419310731715</v>
      </c>
      <c r="Y693" s="2">
        <f t="shared" si="85"/>
        <v>4.4408920985006262E-16</v>
      </c>
      <c r="Z693" s="2" t="str">
        <f t="shared" si="86"/>
        <v>OK</v>
      </c>
      <c r="AA693" t="str">
        <f t="shared" si="87"/>
        <v>Unique</v>
      </c>
    </row>
    <row r="694" spans="1:27" x14ac:dyDescent="0.3">
      <c r="A694">
        <v>693</v>
      </c>
      <c r="B694">
        <v>709835.36687651905</v>
      </c>
      <c r="C694">
        <v>0.86198246632763698</v>
      </c>
      <c r="D694">
        <v>-3.4584711693663797E-2</v>
      </c>
      <c r="E694">
        <v>7.4843378453551199E-2</v>
      </c>
      <c r="F694">
        <v>1</v>
      </c>
      <c r="G694" t="s">
        <v>10</v>
      </c>
      <c r="H694">
        <v>0</v>
      </c>
      <c r="I694">
        <v>53126.477002854699</v>
      </c>
      <c r="J694">
        <v>0.92515662154644795</v>
      </c>
      <c r="K694" t="str">
        <f t="shared" si="80"/>
        <v>OK</v>
      </c>
      <c r="L694" t="str">
        <f t="shared" si="81"/>
        <v>OK</v>
      </c>
      <c r="M694" t="str">
        <f>IF(OR(B694&lt;$AE$20,B694&gt;$AF$20),"Outlier","OK")</f>
        <v>OK</v>
      </c>
      <c r="N694" t="str">
        <f>IF(OR(J694&lt;$AE$21,J694&gt;$AF$21),"Outlier","OK")</f>
        <v>OK</v>
      </c>
      <c r="O694" t="str">
        <f>IF(OR(C694&lt;0,C694&gt;1),"Outlier","OK")</f>
        <v>OK</v>
      </c>
      <c r="P694" t="str">
        <f>IF(OR(D694&lt;0,D694&gt;1),"Outlier","OK")</f>
        <v>Outlier</v>
      </c>
      <c r="Q694" t="str">
        <f t="shared" si="82"/>
        <v>80-100%</v>
      </c>
      <c r="R694" t="str">
        <f>IF(B694="","Missing","OK")</f>
        <v>OK</v>
      </c>
      <c r="S694" t="str">
        <f>IF(E694="","Missing","OK")</f>
        <v>OK</v>
      </c>
      <c r="T694" t="str">
        <f t="shared" si="83"/>
        <v>OK</v>
      </c>
      <c r="U694">
        <f>COUNTIF($A:$A,A694)</f>
        <v>1</v>
      </c>
      <c r="V694" t="str">
        <f t="shared" si="84"/>
        <v>OK</v>
      </c>
      <c r="W694" t="str">
        <f>IF(I694&gt;B694,"ERROR","OK")</f>
        <v>OK</v>
      </c>
      <c r="X694">
        <f>(B694-I694)/B694</f>
        <v>0.92515662154644873</v>
      </c>
      <c r="Y694" s="2">
        <f t="shared" si="85"/>
        <v>7.7715611723760958E-16</v>
      </c>
      <c r="Z694" s="2" t="str">
        <f t="shared" si="86"/>
        <v>OK</v>
      </c>
      <c r="AA694" t="str">
        <f t="shared" si="87"/>
        <v>Unique</v>
      </c>
    </row>
    <row r="695" spans="1:27" x14ac:dyDescent="0.3">
      <c r="A695">
        <v>694</v>
      </c>
      <c r="B695">
        <v>1559565.33611094</v>
      </c>
      <c r="C695">
        <v>0.83582428586834501</v>
      </c>
      <c r="D695">
        <v>-0.18671164209282401</v>
      </c>
      <c r="E695">
        <v>0.37997908435079403</v>
      </c>
      <c r="F695">
        <v>1</v>
      </c>
      <c r="G695" t="s">
        <v>12</v>
      </c>
      <c r="H695">
        <v>0</v>
      </c>
      <c r="I695">
        <v>592602.20840067498</v>
      </c>
      <c r="J695">
        <v>0.62002091564920503</v>
      </c>
      <c r="K695" t="str">
        <f t="shared" si="80"/>
        <v>OK</v>
      </c>
      <c r="L695" t="str">
        <f t="shared" si="81"/>
        <v>OK</v>
      </c>
      <c r="M695" t="str">
        <f>IF(OR(B695&lt;$AE$20,B695&gt;$AF$20),"Outlier","OK")</f>
        <v>OK</v>
      </c>
      <c r="N695" t="str">
        <f>IF(OR(J695&lt;$AE$21,J695&gt;$AF$21),"Outlier","OK")</f>
        <v>OK</v>
      </c>
      <c r="O695" t="str">
        <f>IF(OR(C695&lt;0,C695&gt;1),"Outlier","OK")</f>
        <v>OK</v>
      </c>
      <c r="P695" t="str">
        <f>IF(OR(D695&lt;0,D695&gt;1),"Outlier","OK")</f>
        <v>Outlier</v>
      </c>
      <c r="Q695" t="str">
        <f t="shared" si="82"/>
        <v>60-80%</v>
      </c>
      <c r="R695" t="str">
        <f>IF(B695="","Missing","OK")</f>
        <v>OK</v>
      </c>
      <c r="S695" t="str">
        <f>IF(E695="","Missing","OK")</f>
        <v>OK</v>
      </c>
      <c r="T695" t="str">
        <f t="shared" si="83"/>
        <v>OK</v>
      </c>
      <c r="U695">
        <f>COUNTIF($A:$A,A695)</f>
        <v>1</v>
      </c>
      <c r="V695" t="str">
        <f t="shared" si="84"/>
        <v>OK</v>
      </c>
      <c r="W695" t="str">
        <f>IF(I695&gt;B695,"ERROR","OK")</f>
        <v>OK</v>
      </c>
      <c r="X695">
        <f>(B695-I695)/B695</f>
        <v>0.62002091564920492</v>
      </c>
      <c r="Y695" s="2">
        <f t="shared" si="85"/>
        <v>1.1102230246251565E-16</v>
      </c>
      <c r="Z695" s="2" t="str">
        <f t="shared" si="86"/>
        <v>OK</v>
      </c>
      <c r="AA695" t="str">
        <f t="shared" si="87"/>
        <v>Unique</v>
      </c>
    </row>
    <row r="696" spans="1:27" x14ac:dyDescent="0.3">
      <c r="A696">
        <v>695</v>
      </c>
      <c r="B696">
        <v>978251.88488841301</v>
      </c>
      <c r="C696">
        <v>0.830391428848821</v>
      </c>
      <c r="D696">
        <v>8.8659557449126694E-2</v>
      </c>
      <c r="E696">
        <v>0.31209156424703199</v>
      </c>
      <c r="F696">
        <v>1</v>
      </c>
      <c r="G696" t="s">
        <v>13</v>
      </c>
      <c r="H696">
        <v>0</v>
      </c>
      <c r="I696">
        <v>305304.16098243202</v>
      </c>
      <c r="J696">
        <v>0.68790843575296701</v>
      </c>
      <c r="K696" t="str">
        <f t="shared" si="80"/>
        <v>OK</v>
      </c>
      <c r="L696" t="str">
        <f t="shared" si="81"/>
        <v>OK</v>
      </c>
      <c r="M696" t="str">
        <f>IF(OR(B696&lt;$AE$20,B696&gt;$AF$20),"Outlier","OK")</f>
        <v>OK</v>
      </c>
      <c r="N696" t="str">
        <f>IF(OR(J696&lt;$AE$21,J696&gt;$AF$21),"Outlier","OK")</f>
        <v>OK</v>
      </c>
      <c r="O696" t="str">
        <f>IF(OR(C696&lt;0,C696&gt;1),"Outlier","OK")</f>
        <v>OK</v>
      </c>
      <c r="P696" t="str">
        <f>IF(OR(D696&lt;0,D696&gt;1),"Outlier","OK")</f>
        <v>OK</v>
      </c>
      <c r="Q696" t="str">
        <f t="shared" si="82"/>
        <v>60-80%</v>
      </c>
      <c r="R696" t="str">
        <f>IF(B696="","Missing","OK")</f>
        <v>OK</v>
      </c>
      <c r="S696" t="str">
        <f>IF(E696="","Missing","OK")</f>
        <v>OK</v>
      </c>
      <c r="T696" t="str">
        <f t="shared" si="83"/>
        <v>OK</v>
      </c>
      <c r="U696">
        <f>COUNTIF($A:$A,A696)</f>
        <v>1</v>
      </c>
      <c r="V696" t="str">
        <f t="shared" si="84"/>
        <v>OK</v>
      </c>
      <c r="W696" t="str">
        <f>IF(I696&gt;B696,"ERROR","OK")</f>
        <v>OK</v>
      </c>
      <c r="X696">
        <f>(B696-I696)/B696</f>
        <v>0.68790843575296834</v>
      </c>
      <c r="Y696" s="2">
        <f t="shared" si="85"/>
        <v>1.3322676295501878E-15</v>
      </c>
      <c r="Z696" s="2" t="str">
        <f t="shared" si="86"/>
        <v>OK</v>
      </c>
      <c r="AA696" t="str">
        <f t="shared" si="87"/>
        <v>Unique</v>
      </c>
    </row>
    <row r="697" spans="1:27" x14ac:dyDescent="0.3">
      <c r="A697">
        <v>696</v>
      </c>
      <c r="B697">
        <v>1747222.4836647301</v>
      </c>
      <c r="C697">
        <v>0.16652482921836101</v>
      </c>
      <c r="D697">
        <v>7.2768019720049704E-2</v>
      </c>
      <c r="E697">
        <v>5.62173153936988E-2</v>
      </c>
      <c r="F697">
        <v>1</v>
      </c>
      <c r="G697" t="s">
        <v>10</v>
      </c>
      <c r="H697">
        <v>1</v>
      </c>
      <c r="I697">
        <v>98224.1574271422</v>
      </c>
      <c r="J697">
        <v>0.94378268460630099</v>
      </c>
      <c r="K697" t="str">
        <f t="shared" si="80"/>
        <v>OK</v>
      </c>
      <c r="L697" t="str">
        <f t="shared" si="81"/>
        <v>OK</v>
      </c>
      <c r="M697" t="str">
        <f>IF(OR(B697&lt;$AE$20,B697&gt;$AF$20),"Outlier","OK")</f>
        <v>OK</v>
      </c>
      <c r="N697" t="str">
        <f>IF(OR(J697&lt;$AE$21,J697&gt;$AF$21),"Outlier","OK")</f>
        <v>OK</v>
      </c>
      <c r="O697" t="str">
        <f>IF(OR(C697&lt;0,C697&gt;1),"Outlier","OK")</f>
        <v>OK</v>
      </c>
      <c r="P697" t="str">
        <f>IF(OR(D697&lt;0,D697&gt;1),"Outlier","OK")</f>
        <v>OK</v>
      </c>
      <c r="Q697" t="str">
        <f t="shared" si="82"/>
        <v>80-100%</v>
      </c>
      <c r="R697" t="str">
        <f>IF(B697="","Missing","OK")</f>
        <v>OK</v>
      </c>
      <c r="S697" t="str">
        <f>IF(E697="","Missing","OK")</f>
        <v>OK</v>
      </c>
      <c r="T697" t="str">
        <f t="shared" si="83"/>
        <v>OK</v>
      </c>
      <c r="U697">
        <f>COUNTIF($A:$A,A697)</f>
        <v>1</v>
      </c>
      <c r="V697" t="str">
        <f t="shared" si="84"/>
        <v>OK</v>
      </c>
      <c r="W697" t="str">
        <f>IF(I697&gt;B697,"ERROR","OK")</f>
        <v>OK</v>
      </c>
      <c r="X697">
        <f>(B697-I697)/B697</f>
        <v>0.9437826846063011</v>
      </c>
      <c r="Y697" s="2">
        <f t="shared" si="85"/>
        <v>1.1102230246251565E-16</v>
      </c>
      <c r="Z697" s="2" t="str">
        <f t="shared" si="86"/>
        <v>OK</v>
      </c>
      <c r="AA697" t="str">
        <f t="shared" si="87"/>
        <v>Unique</v>
      </c>
    </row>
    <row r="698" spans="1:27" x14ac:dyDescent="0.3">
      <c r="A698">
        <v>697</v>
      </c>
      <c r="B698">
        <v>1991774.41276379</v>
      </c>
      <c r="C698">
        <v>0.112048502128214</v>
      </c>
      <c r="D698">
        <v>8.7628990055746703E-2</v>
      </c>
      <c r="E698">
        <v>0.56872405833123696</v>
      </c>
      <c r="F698">
        <v>1</v>
      </c>
      <c r="G698" t="s">
        <v>10</v>
      </c>
      <c r="H698">
        <v>1</v>
      </c>
      <c r="I698">
        <v>1132770.0273073399</v>
      </c>
      <c r="J698">
        <v>0.43127594166876199</v>
      </c>
      <c r="K698" t="str">
        <f t="shared" si="80"/>
        <v>OK</v>
      </c>
      <c r="L698" t="str">
        <f t="shared" si="81"/>
        <v>OK</v>
      </c>
      <c r="M698" t="str">
        <f>IF(OR(B698&lt;$AE$20,B698&gt;$AF$20),"Outlier","OK")</f>
        <v>Outlier</v>
      </c>
      <c r="N698" t="str">
        <f>IF(OR(J698&lt;$AE$21,J698&gt;$AF$21),"Outlier","OK")</f>
        <v>OK</v>
      </c>
      <c r="O698" t="str">
        <f>IF(OR(C698&lt;0,C698&gt;1),"Outlier","OK")</f>
        <v>OK</v>
      </c>
      <c r="P698" t="str">
        <f>IF(OR(D698&lt;0,D698&gt;1),"Outlier","OK")</f>
        <v>OK</v>
      </c>
      <c r="Q698" t="str">
        <f t="shared" si="82"/>
        <v>40-60%</v>
      </c>
      <c r="R698" t="str">
        <f>IF(B698="","Missing","OK")</f>
        <v>OK</v>
      </c>
      <c r="S698" t="str">
        <f>IF(E698="","Missing","OK")</f>
        <v>OK</v>
      </c>
      <c r="T698" t="str">
        <f t="shared" si="83"/>
        <v>OK</v>
      </c>
      <c r="U698">
        <f>COUNTIF($A:$A,A698)</f>
        <v>1</v>
      </c>
      <c r="V698" t="str">
        <f t="shared" si="84"/>
        <v>OK</v>
      </c>
      <c r="W698" t="str">
        <f>IF(I698&gt;B698,"ERROR","OK")</f>
        <v>OK</v>
      </c>
      <c r="X698">
        <f>(B698-I698)/B698</f>
        <v>0.43127594166876254</v>
      </c>
      <c r="Y698" s="2">
        <f t="shared" si="85"/>
        <v>5.5511151231257827E-16</v>
      </c>
      <c r="Z698" s="2" t="str">
        <f t="shared" si="86"/>
        <v>OK</v>
      </c>
      <c r="AA698" t="str">
        <f t="shared" si="87"/>
        <v>Unique</v>
      </c>
    </row>
    <row r="699" spans="1:27" x14ac:dyDescent="0.3">
      <c r="A699">
        <v>698</v>
      </c>
      <c r="B699">
        <v>478680.10250251001</v>
      </c>
      <c r="C699">
        <v>0.219871182367365</v>
      </c>
      <c r="D699">
        <v>1.5944143462046E-2</v>
      </c>
      <c r="E699">
        <v>0.61237956565441198</v>
      </c>
      <c r="F699">
        <v>1</v>
      </c>
      <c r="G699" t="s">
        <v>11</v>
      </c>
      <c r="H699">
        <v>0</v>
      </c>
      <c r="I699">
        <v>293133.91325789603</v>
      </c>
      <c r="J699">
        <v>0.38762043434558702</v>
      </c>
      <c r="K699" t="str">
        <f t="shared" si="80"/>
        <v>OK</v>
      </c>
      <c r="L699" t="str">
        <f t="shared" si="81"/>
        <v>OK</v>
      </c>
      <c r="M699" t="str">
        <f>IF(OR(B699&lt;$AE$20,B699&gt;$AF$20),"Outlier","OK")</f>
        <v>OK</v>
      </c>
      <c r="N699" t="str">
        <f>IF(OR(J699&lt;$AE$21,J699&gt;$AF$21),"Outlier","OK")</f>
        <v>OK</v>
      </c>
      <c r="O699" t="str">
        <f>IF(OR(C699&lt;0,C699&gt;1),"Outlier","OK")</f>
        <v>OK</v>
      </c>
      <c r="P699" t="str">
        <f>IF(OR(D699&lt;0,D699&gt;1),"Outlier","OK")</f>
        <v>OK</v>
      </c>
      <c r="Q699" t="str">
        <f t="shared" si="82"/>
        <v>20-40%</v>
      </c>
      <c r="R699" t="str">
        <f>IF(B699="","Missing","OK")</f>
        <v>OK</v>
      </c>
      <c r="S699" t="str">
        <f>IF(E699="","Missing","OK")</f>
        <v>OK</v>
      </c>
      <c r="T699" t="str">
        <f t="shared" si="83"/>
        <v>OK</v>
      </c>
      <c r="U699">
        <f>COUNTIF($A:$A,A699)</f>
        <v>1</v>
      </c>
      <c r="V699" t="str">
        <f t="shared" si="84"/>
        <v>OK</v>
      </c>
      <c r="W699" t="str">
        <f>IF(I699&gt;B699,"ERROR","OK")</f>
        <v>OK</v>
      </c>
      <c r="X699">
        <f>(B699-I699)/B699</f>
        <v>0.38762043434558896</v>
      </c>
      <c r="Y699" s="2">
        <f t="shared" si="85"/>
        <v>1.9428902930940239E-15</v>
      </c>
      <c r="Z699" s="2" t="str">
        <f t="shared" si="86"/>
        <v>OK</v>
      </c>
      <c r="AA699" t="str">
        <f t="shared" si="87"/>
        <v>Unique</v>
      </c>
    </row>
    <row r="700" spans="1:27" x14ac:dyDescent="0.3">
      <c r="A700">
        <v>699</v>
      </c>
      <c r="B700">
        <v>1242759.1854914499</v>
      </c>
      <c r="C700">
        <v>0.50163897235313504</v>
      </c>
      <c r="D700">
        <v>6.08420395453584E-3</v>
      </c>
      <c r="E700">
        <v>0.22709131346758199</v>
      </c>
      <c r="F700">
        <v>1</v>
      </c>
      <c r="G700" t="s">
        <v>13</v>
      </c>
      <c r="H700">
        <v>0</v>
      </c>
      <c r="I700">
        <v>282219.815757156</v>
      </c>
      <c r="J700">
        <v>0.77290868653241696</v>
      </c>
      <c r="K700" t="str">
        <f t="shared" si="80"/>
        <v>OK</v>
      </c>
      <c r="L700" t="str">
        <f t="shared" si="81"/>
        <v>OK</v>
      </c>
      <c r="M700" t="str">
        <f>IF(OR(B700&lt;$AE$20,B700&gt;$AF$20),"Outlier","OK")</f>
        <v>OK</v>
      </c>
      <c r="N700" t="str">
        <f>IF(OR(J700&lt;$AE$21,J700&gt;$AF$21),"Outlier","OK")</f>
        <v>OK</v>
      </c>
      <c r="O700" t="str">
        <f>IF(OR(C700&lt;0,C700&gt;1),"Outlier","OK")</f>
        <v>OK</v>
      </c>
      <c r="P700" t="str">
        <f>IF(OR(D700&lt;0,D700&gt;1),"Outlier","OK")</f>
        <v>OK</v>
      </c>
      <c r="Q700" t="str">
        <f t="shared" si="82"/>
        <v>60-80%</v>
      </c>
      <c r="R700" t="str">
        <f>IF(B700="","Missing","OK")</f>
        <v>OK</v>
      </c>
      <c r="S700" t="str">
        <f>IF(E700="","Missing","OK")</f>
        <v>OK</v>
      </c>
      <c r="T700" t="str">
        <f t="shared" si="83"/>
        <v>OK</v>
      </c>
      <c r="U700">
        <f>COUNTIF($A:$A,A700)</f>
        <v>1</v>
      </c>
      <c r="V700" t="str">
        <f t="shared" si="84"/>
        <v>OK</v>
      </c>
      <c r="W700" t="str">
        <f>IF(I700&gt;B700,"ERROR","OK")</f>
        <v>OK</v>
      </c>
      <c r="X700">
        <f>(B700-I700)/B700</f>
        <v>0.77290868653241773</v>
      </c>
      <c r="Y700" s="2">
        <f t="shared" si="85"/>
        <v>7.7715611723760958E-16</v>
      </c>
      <c r="Z700" s="2" t="str">
        <f t="shared" si="86"/>
        <v>OK</v>
      </c>
      <c r="AA700" t="str">
        <f t="shared" si="87"/>
        <v>Unique</v>
      </c>
    </row>
    <row r="701" spans="1:27" x14ac:dyDescent="0.3">
      <c r="A701">
        <v>700</v>
      </c>
      <c r="B701">
        <v>1702629.50552987</v>
      </c>
      <c r="C701">
        <v>0.36867720976222301</v>
      </c>
      <c r="D701">
        <v>-8.66117001313087E-2</v>
      </c>
      <c r="E701">
        <v>0.13429845200673499</v>
      </c>
      <c r="F701">
        <v>1</v>
      </c>
      <c r="G701" t="s">
        <v>12</v>
      </c>
      <c r="H701">
        <v>1</v>
      </c>
      <c r="I701">
        <v>228660.50693365501</v>
      </c>
      <c r="J701">
        <v>0.86570154799326404</v>
      </c>
      <c r="K701" t="str">
        <f t="shared" si="80"/>
        <v>OK</v>
      </c>
      <c r="L701" t="str">
        <f t="shared" si="81"/>
        <v>OK</v>
      </c>
      <c r="M701" t="str">
        <f>IF(OR(B701&lt;$AE$20,B701&gt;$AF$20),"Outlier","OK")</f>
        <v>OK</v>
      </c>
      <c r="N701" t="str">
        <f>IF(OR(J701&lt;$AE$21,J701&gt;$AF$21),"Outlier","OK")</f>
        <v>OK</v>
      </c>
      <c r="O701" t="str">
        <f>IF(OR(C701&lt;0,C701&gt;1),"Outlier","OK")</f>
        <v>OK</v>
      </c>
      <c r="P701" t="str">
        <f>IF(OR(D701&lt;0,D701&gt;1),"Outlier","OK")</f>
        <v>Outlier</v>
      </c>
      <c r="Q701" t="str">
        <f t="shared" si="82"/>
        <v>80-100%</v>
      </c>
      <c r="R701" t="str">
        <f>IF(B701="","Missing","OK")</f>
        <v>OK</v>
      </c>
      <c r="S701" t="str">
        <f>IF(E701="","Missing","OK")</f>
        <v>OK</v>
      </c>
      <c r="T701" t="str">
        <f t="shared" si="83"/>
        <v>OK</v>
      </c>
      <c r="U701">
        <f>COUNTIF($A:$A,A701)</f>
        <v>1</v>
      </c>
      <c r="V701" t="str">
        <f t="shared" si="84"/>
        <v>OK</v>
      </c>
      <c r="W701" t="str">
        <f>IF(I701&gt;B701,"ERROR","OK")</f>
        <v>OK</v>
      </c>
      <c r="X701">
        <f>(B701-I701)/B701</f>
        <v>0.8657015479932646</v>
      </c>
      <c r="Y701" s="2">
        <f t="shared" si="85"/>
        <v>5.5511151231257827E-16</v>
      </c>
      <c r="Z701" s="2" t="str">
        <f t="shared" si="86"/>
        <v>OK</v>
      </c>
      <c r="AA701" t="str">
        <f t="shared" si="87"/>
        <v>Unique</v>
      </c>
    </row>
    <row r="702" spans="1:27" x14ac:dyDescent="0.3">
      <c r="A702">
        <v>701</v>
      </c>
      <c r="B702">
        <v>1893211.4381429099</v>
      </c>
      <c r="C702">
        <v>0.78952569568769004</v>
      </c>
      <c r="D702">
        <v>-2.2470206516139801E-2</v>
      </c>
      <c r="E702">
        <v>0.51125043223167199</v>
      </c>
      <c r="F702">
        <v>1</v>
      </c>
      <c r="G702" t="s">
        <v>13</v>
      </c>
      <c r="H702">
        <v>1</v>
      </c>
      <c r="I702">
        <v>967905.16605650994</v>
      </c>
      <c r="J702">
        <v>0.48874956776832801</v>
      </c>
      <c r="K702" t="str">
        <f t="shared" si="80"/>
        <v>OK</v>
      </c>
      <c r="L702" t="str">
        <f t="shared" si="81"/>
        <v>OK</v>
      </c>
      <c r="M702" t="str">
        <f>IF(OR(B702&lt;$AE$20,B702&gt;$AF$20),"Outlier","OK")</f>
        <v>OK</v>
      </c>
      <c r="N702" t="str">
        <f>IF(OR(J702&lt;$AE$21,J702&gt;$AF$21),"Outlier","OK")</f>
        <v>OK</v>
      </c>
      <c r="O702" t="str">
        <f>IF(OR(C702&lt;0,C702&gt;1),"Outlier","OK")</f>
        <v>OK</v>
      </c>
      <c r="P702" t="str">
        <f>IF(OR(D702&lt;0,D702&gt;1),"Outlier","OK")</f>
        <v>Outlier</v>
      </c>
      <c r="Q702" t="str">
        <f t="shared" si="82"/>
        <v>40-60%</v>
      </c>
      <c r="R702" t="str">
        <f>IF(B702="","Missing","OK")</f>
        <v>OK</v>
      </c>
      <c r="S702" t="str">
        <f>IF(E702="","Missing","OK")</f>
        <v>OK</v>
      </c>
      <c r="T702" t="str">
        <f t="shared" si="83"/>
        <v>OK</v>
      </c>
      <c r="U702">
        <f>COUNTIF($A:$A,A702)</f>
        <v>1</v>
      </c>
      <c r="V702" t="str">
        <f t="shared" si="84"/>
        <v>OK</v>
      </c>
      <c r="W702" t="str">
        <f>IF(I702&gt;B702,"ERROR","OK")</f>
        <v>OK</v>
      </c>
      <c r="X702">
        <f>(B702-I702)/B702</f>
        <v>0.48874956776832701</v>
      </c>
      <c r="Y702" s="2">
        <f t="shared" si="85"/>
        <v>9.9920072216264089E-16</v>
      </c>
      <c r="Z702" s="2" t="str">
        <f t="shared" si="86"/>
        <v>OK</v>
      </c>
      <c r="AA702" t="str">
        <f t="shared" si="87"/>
        <v>Unique</v>
      </c>
    </row>
    <row r="703" spans="1:27" x14ac:dyDescent="0.3">
      <c r="A703">
        <v>702</v>
      </c>
      <c r="B703">
        <v>615668.52884434198</v>
      </c>
      <c r="C703">
        <v>0.82360808545848296</v>
      </c>
      <c r="D703">
        <v>3.1993093977030297E-2</v>
      </c>
      <c r="E703">
        <v>0.17202886776715301</v>
      </c>
      <c r="F703">
        <v>1</v>
      </c>
      <c r="G703" t="s">
        <v>12</v>
      </c>
      <c r="H703">
        <v>0</v>
      </c>
      <c r="I703">
        <v>105912.759936961</v>
      </c>
      <c r="J703">
        <v>0.82797113223284602</v>
      </c>
      <c r="K703" t="str">
        <f t="shared" si="80"/>
        <v>OK</v>
      </c>
      <c r="L703" t="str">
        <f t="shared" si="81"/>
        <v>OK</v>
      </c>
      <c r="M703" t="str">
        <f>IF(OR(B703&lt;$AE$20,B703&gt;$AF$20),"Outlier","OK")</f>
        <v>OK</v>
      </c>
      <c r="N703" t="str">
        <f>IF(OR(J703&lt;$AE$21,J703&gt;$AF$21),"Outlier","OK")</f>
        <v>OK</v>
      </c>
      <c r="O703" t="str">
        <f>IF(OR(C703&lt;0,C703&gt;1),"Outlier","OK")</f>
        <v>OK</v>
      </c>
      <c r="P703" t="str">
        <f>IF(OR(D703&lt;0,D703&gt;1),"Outlier","OK")</f>
        <v>OK</v>
      </c>
      <c r="Q703" t="str">
        <f t="shared" si="82"/>
        <v>80-100%</v>
      </c>
      <c r="R703" t="str">
        <f>IF(B703="","Missing","OK")</f>
        <v>OK</v>
      </c>
      <c r="S703" t="str">
        <f>IF(E703="","Missing","OK")</f>
        <v>OK</v>
      </c>
      <c r="T703" t="str">
        <f t="shared" si="83"/>
        <v>OK</v>
      </c>
      <c r="U703">
        <f>COUNTIF($A:$A,A703)</f>
        <v>1</v>
      </c>
      <c r="V703" t="str">
        <f t="shared" si="84"/>
        <v>OK</v>
      </c>
      <c r="W703" t="str">
        <f>IF(I703&gt;B703,"ERROR","OK")</f>
        <v>OK</v>
      </c>
      <c r="X703">
        <f>(B703-I703)/B703</f>
        <v>0.82797113223284691</v>
      </c>
      <c r="Y703" s="2">
        <f t="shared" si="85"/>
        <v>8.8817841970012523E-16</v>
      </c>
      <c r="Z703" s="2" t="str">
        <f t="shared" si="86"/>
        <v>OK</v>
      </c>
      <c r="AA703" t="str">
        <f t="shared" si="87"/>
        <v>Unique</v>
      </c>
    </row>
    <row r="704" spans="1:27" x14ac:dyDescent="0.3">
      <c r="A704">
        <v>703</v>
      </c>
      <c r="B704">
        <v>1467733.3506954401</v>
      </c>
      <c r="C704">
        <v>0.44215138494950201</v>
      </c>
      <c r="D704">
        <v>5.7022566621159398E-2</v>
      </c>
      <c r="E704">
        <v>0.271694993321833</v>
      </c>
      <c r="F704">
        <v>1</v>
      </c>
      <c r="G704" t="s">
        <v>10</v>
      </c>
      <c r="H704">
        <v>1</v>
      </c>
      <c r="I704">
        <v>398775.80291542999</v>
      </c>
      <c r="J704">
        <v>0.728305006678166</v>
      </c>
      <c r="K704" t="str">
        <f t="shared" si="80"/>
        <v>OK</v>
      </c>
      <c r="L704" t="str">
        <f t="shared" si="81"/>
        <v>OK</v>
      </c>
      <c r="M704" t="str">
        <f>IF(OR(B704&lt;$AE$20,B704&gt;$AF$20),"Outlier","OK")</f>
        <v>OK</v>
      </c>
      <c r="N704" t="str">
        <f>IF(OR(J704&lt;$AE$21,J704&gt;$AF$21),"Outlier","OK")</f>
        <v>OK</v>
      </c>
      <c r="O704" t="str">
        <f>IF(OR(C704&lt;0,C704&gt;1),"Outlier","OK")</f>
        <v>OK</v>
      </c>
      <c r="P704" t="str">
        <f>IF(OR(D704&lt;0,D704&gt;1),"Outlier","OK")</f>
        <v>OK</v>
      </c>
      <c r="Q704" t="str">
        <f t="shared" si="82"/>
        <v>60-80%</v>
      </c>
      <c r="R704" t="str">
        <f>IF(B704="","Missing","OK")</f>
        <v>OK</v>
      </c>
      <c r="S704" t="str">
        <f>IF(E704="","Missing","OK")</f>
        <v>OK</v>
      </c>
      <c r="T704" t="str">
        <f t="shared" si="83"/>
        <v>OK</v>
      </c>
      <c r="U704">
        <f>COUNTIF($A:$A,A704)</f>
        <v>1</v>
      </c>
      <c r="V704" t="str">
        <f t="shared" si="84"/>
        <v>OK</v>
      </c>
      <c r="W704" t="str">
        <f>IF(I704&gt;B704,"ERROR","OK")</f>
        <v>OK</v>
      </c>
      <c r="X704">
        <f>(B704-I704)/B704</f>
        <v>0.72830500667816644</v>
      </c>
      <c r="Y704" s="2">
        <f t="shared" si="85"/>
        <v>4.4408920985006262E-16</v>
      </c>
      <c r="Z704" s="2" t="str">
        <f t="shared" si="86"/>
        <v>OK</v>
      </c>
      <c r="AA704" t="str">
        <f t="shared" si="87"/>
        <v>Unique</v>
      </c>
    </row>
    <row r="705" spans="1:27" x14ac:dyDescent="0.3">
      <c r="A705">
        <v>704</v>
      </c>
      <c r="B705">
        <v>79281.489413336705</v>
      </c>
      <c r="C705">
        <v>0.70727341622238105</v>
      </c>
      <c r="D705">
        <v>0.17318457005207799</v>
      </c>
      <c r="E705">
        <v>0.37436882060020799</v>
      </c>
      <c r="F705">
        <v>1</v>
      </c>
      <c r="G705" t="s">
        <v>13</v>
      </c>
      <c r="H705">
        <v>0</v>
      </c>
      <c r="I705">
        <v>29680.5176870988</v>
      </c>
      <c r="J705">
        <v>0.62563117939979096</v>
      </c>
      <c r="K705" t="str">
        <f t="shared" si="80"/>
        <v>OK</v>
      </c>
      <c r="L705" t="str">
        <f t="shared" si="81"/>
        <v>OK</v>
      </c>
      <c r="M705" t="str">
        <f>IF(OR(B705&lt;$AE$20,B705&gt;$AF$20),"Outlier","OK")</f>
        <v>OK</v>
      </c>
      <c r="N705" t="str">
        <f>IF(OR(J705&lt;$AE$21,J705&gt;$AF$21),"Outlier","OK")</f>
        <v>OK</v>
      </c>
      <c r="O705" t="str">
        <f>IF(OR(C705&lt;0,C705&gt;1),"Outlier","OK")</f>
        <v>OK</v>
      </c>
      <c r="P705" t="str">
        <f>IF(OR(D705&lt;0,D705&gt;1),"Outlier","OK")</f>
        <v>OK</v>
      </c>
      <c r="Q705" t="str">
        <f t="shared" si="82"/>
        <v>60-80%</v>
      </c>
      <c r="R705" t="str">
        <f>IF(B705="","Missing","OK")</f>
        <v>OK</v>
      </c>
      <c r="S705" t="str">
        <f>IF(E705="","Missing","OK")</f>
        <v>OK</v>
      </c>
      <c r="T705" t="str">
        <f t="shared" si="83"/>
        <v>OK</v>
      </c>
      <c r="U705">
        <f>COUNTIF($A:$A,A705)</f>
        <v>1</v>
      </c>
      <c r="V705" t="str">
        <f t="shared" si="84"/>
        <v>OK</v>
      </c>
      <c r="W705" t="str">
        <f>IF(I705&gt;B705,"ERROR","OK")</f>
        <v>OK</v>
      </c>
      <c r="X705">
        <f>(B705-I705)/B705</f>
        <v>0.62563117939979118</v>
      </c>
      <c r="Y705" s="2">
        <f t="shared" si="85"/>
        <v>2.2204460492503131E-16</v>
      </c>
      <c r="Z705" s="2" t="str">
        <f t="shared" si="86"/>
        <v>OK</v>
      </c>
      <c r="AA705" t="str">
        <f t="shared" si="87"/>
        <v>Unique</v>
      </c>
    </row>
    <row r="706" spans="1:27" x14ac:dyDescent="0.3">
      <c r="A706">
        <v>705</v>
      </c>
      <c r="B706">
        <v>1764327.75485959</v>
      </c>
      <c r="C706">
        <v>0.35822880241335597</v>
      </c>
      <c r="D706">
        <v>0.164533335569401</v>
      </c>
      <c r="E706">
        <v>3.9888536416103702E-2</v>
      </c>
      <c r="F706">
        <v>1</v>
      </c>
      <c r="G706" t="s">
        <v>11</v>
      </c>
      <c r="H706">
        <v>0</v>
      </c>
      <c r="I706">
        <v>70376.451899659296</v>
      </c>
      <c r="J706">
        <v>0.96011146358389599</v>
      </c>
      <c r="K706" t="str">
        <f t="shared" si="80"/>
        <v>OK</v>
      </c>
      <c r="L706" t="str">
        <f t="shared" si="81"/>
        <v>OK</v>
      </c>
      <c r="M706" t="str">
        <f>IF(OR(B706&lt;$AE$20,B706&gt;$AF$20),"Outlier","OK")</f>
        <v>OK</v>
      </c>
      <c r="N706" t="str">
        <f>IF(OR(J706&lt;$AE$21,J706&gt;$AF$21),"Outlier","OK")</f>
        <v>OK</v>
      </c>
      <c r="O706" t="str">
        <f>IF(OR(C706&lt;0,C706&gt;1),"Outlier","OK")</f>
        <v>OK</v>
      </c>
      <c r="P706" t="str">
        <f>IF(OR(D706&lt;0,D706&gt;1),"Outlier","OK")</f>
        <v>OK</v>
      </c>
      <c r="Q706" t="str">
        <f t="shared" si="82"/>
        <v>80-100%</v>
      </c>
      <c r="R706" t="str">
        <f>IF(B706="","Missing","OK")</f>
        <v>OK</v>
      </c>
      <c r="S706" t="str">
        <f>IF(E706="","Missing","OK")</f>
        <v>OK</v>
      </c>
      <c r="T706" t="str">
        <f t="shared" si="83"/>
        <v>OK</v>
      </c>
      <c r="U706">
        <f>COUNTIF($A:$A,A706)</f>
        <v>1</v>
      </c>
      <c r="V706" t="str">
        <f t="shared" si="84"/>
        <v>OK</v>
      </c>
      <c r="W706" t="str">
        <f>IF(I706&gt;B706,"ERROR","OK")</f>
        <v>OK</v>
      </c>
      <c r="X706">
        <f>(B706-I706)/B706</f>
        <v>0.96011146358389621</v>
      </c>
      <c r="Y706" s="2">
        <f t="shared" si="85"/>
        <v>2.2204460492503131E-16</v>
      </c>
      <c r="Z706" s="2" t="str">
        <f t="shared" si="86"/>
        <v>OK</v>
      </c>
      <c r="AA706" t="str">
        <f t="shared" si="87"/>
        <v>Unique</v>
      </c>
    </row>
    <row r="707" spans="1:27" x14ac:dyDescent="0.3">
      <c r="A707">
        <v>706</v>
      </c>
      <c r="B707">
        <v>174680.17077348501</v>
      </c>
      <c r="C707">
        <v>0.831948821251146</v>
      </c>
      <c r="D707">
        <v>-0.16002035032112299</v>
      </c>
      <c r="E707">
        <v>0.64034358563246796</v>
      </c>
      <c r="F707">
        <v>1</v>
      </c>
      <c r="G707" t="s">
        <v>13</v>
      </c>
      <c r="H707">
        <v>0</v>
      </c>
      <c r="I707">
        <v>111855.32689198499</v>
      </c>
      <c r="J707">
        <v>0.35965641436753099</v>
      </c>
      <c r="K707" t="str">
        <f t="shared" ref="K707:K770" si="88">IF(OR(J707&lt;0,J707&gt;1),"Error","OK")</f>
        <v>OK</v>
      </c>
      <c r="L707" t="str">
        <f t="shared" ref="L707:L770" si="89">IF(I707&gt;B707,"Error","OK")</f>
        <v>OK</v>
      </c>
      <c r="M707" t="str">
        <f>IF(OR(B707&lt;$AE$20,B707&gt;$AF$20),"Outlier","OK")</f>
        <v>OK</v>
      </c>
      <c r="N707" t="str">
        <f>IF(OR(J707&lt;$AE$21,J707&gt;$AF$21),"Outlier","OK")</f>
        <v>OK</v>
      </c>
      <c r="O707" t="str">
        <f>IF(OR(C707&lt;0,C707&gt;1),"Outlier","OK")</f>
        <v>OK</v>
      </c>
      <c r="P707" t="str">
        <f>IF(OR(D707&lt;0,D707&gt;1),"Outlier","OK")</f>
        <v>Outlier</v>
      </c>
      <c r="Q707" t="str">
        <f t="shared" ref="Q707:Q770" si="90">IF(J707&lt;=0.2,"0-20%",
 IF(J707&lt;=0.4,"20-40%",
 IF(J707&lt;=0.6,"40-60%",
 IF(J707&lt;=0.8,"60-80%","80-100%"))))</f>
        <v>20-40%</v>
      </c>
      <c r="R707" t="str">
        <f>IF(B707="","Missing","OK")</f>
        <v>OK</v>
      </c>
      <c r="S707" t="str">
        <f>IF(E707="","Missing","OK")</f>
        <v>OK</v>
      </c>
      <c r="T707" t="str">
        <f t="shared" ref="T707:T770" si="91">IF(J707="","Missing","OK")</f>
        <v>OK</v>
      </c>
      <c r="U707">
        <f>COUNTIF($A:$A,A707)</f>
        <v>1</v>
      </c>
      <c r="V707" t="str">
        <f t="shared" ref="V707:V770" si="92">IF(OR(J707&lt;0,J707&gt;1),"ERROR","OK")</f>
        <v>OK</v>
      </c>
      <c r="W707" t="str">
        <f>IF(I707&gt;B707,"ERROR","OK")</f>
        <v>OK</v>
      </c>
      <c r="X707">
        <f>(B707-I707)/B707</f>
        <v>0.35965641436753337</v>
      </c>
      <c r="Y707" s="2">
        <f t="shared" ref="Y707:Y770" si="93">ABS(J707-X707)</f>
        <v>2.3869795029440866E-15</v>
      </c>
      <c r="Z707" s="2" t="str">
        <f t="shared" ref="Z707:Z770" si="94">IF(OR(B707="",I707="",J707=""),"Missing","OK")</f>
        <v>OK</v>
      </c>
      <c r="AA707" t="str">
        <f t="shared" ref="AA707:AA770" si="95">IF(COUNTIF($A:$A,A707)&gt;1,"Duplicate","Unique")</f>
        <v>Unique</v>
      </c>
    </row>
    <row r="708" spans="1:27" x14ac:dyDescent="0.3">
      <c r="A708">
        <v>707</v>
      </c>
      <c r="B708">
        <v>1480121.02740614</v>
      </c>
      <c r="C708">
        <v>0.22390719120163599</v>
      </c>
      <c r="D708">
        <v>5.7048238975200199E-2</v>
      </c>
      <c r="E708">
        <v>0.38908496375177498</v>
      </c>
      <c r="F708">
        <v>1</v>
      </c>
      <c r="G708" t="s">
        <v>13</v>
      </c>
      <c r="H708">
        <v>0</v>
      </c>
      <c r="I708">
        <v>575892.83629656199</v>
      </c>
      <c r="J708">
        <v>0.61091503624822396</v>
      </c>
      <c r="K708" t="str">
        <f t="shared" si="88"/>
        <v>OK</v>
      </c>
      <c r="L708" t="str">
        <f t="shared" si="89"/>
        <v>OK</v>
      </c>
      <c r="M708" t="str">
        <f>IF(OR(B708&lt;$AE$20,B708&gt;$AF$20),"Outlier","OK")</f>
        <v>OK</v>
      </c>
      <c r="N708" t="str">
        <f>IF(OR(J708&lt;$AE$21,J708&gt;$AF$21),"Outlier","OK")</f>
        <v>OK</v>
      </c>
      <c r="O708" t="str">
        <f>IF(OR(C708&lt;0,C708&gt;1),"Outlier","OK")</f>
        <v>OK</v>
      </c>
      <c r="P708" t="str">
        <f>IF(OR(D708&lt;0,D708&gt;1),"Outlier","OK")</f>
        <v>OK</v>
      </c>
      <c r="Q708" t="str">
        <f t="shared" si="90"/>
        <v>60-80%</v>
      </c>
      <c r="R708" t="str">
        <f>IF(B708="","Missing","OK")</f>
        <v>OK</v>
      </c>
      <c r="S708" t="str">
        <f>IF(E708="","Missing","OK")</f>
        <v>OK</v>
      </c>
      <c r="T708" t="str">
        <f t="shared" si="91"/>
        <v>OK</v>
      </c>
      <c r="U708">
        <f>COUNTIF($A:$A,A708)</f>
        <v>1</v>
      </c>
      <c r="V708" t="str">
        <f t="shared" si="92"/>
        <v>OK</v>
      </c>
      <c r="W708" t="str">
        <f>IF(I708&gt;B708,"ERROR","OK")</f>
        <v>OK</v>
      </c>
      <c r="X708">
        <f>(B708-I708)/B708</f>
        <v>0.6109150362482223</v>
      </c>
      <c r="Y708" s="2">
        <f t="shared" si="93"/>
        <v>1.6653345369377348E-15</v>
      </c>
      <c r="Z708" s="2" t="str">
        <f t="shared" si="94"/>
        <v>OK</v>
      </c>
      <c r="AA708" t="str">
        <f t="shared" si="95"/>
        <v>Unique</v>
      </c>
    </row>
    <row r="709" spans="1:27" x14ac:dyDescent="0.3">
      <c r="A709">
        <v>708</v>
      </c>
      <c r="B709">
        <v>1989490.2543919301</v>
      </c>
      <c r="C709">
        <v>0.68502588335826098</v>
      </c>
      <c r="D709">
        <v>1.6571386536127299E-2</v>
      </c>
      <c r="E709">
        <v>0.32730746937861299</v>
      </c>
      <c r="F709">
        <v>1</v>
      </c>
      <c r="G709" t="s">
        <v>10</v>
      </c>
      <c r="H709">
        <v>0</v>
      </c>
      <c r="I709">
        <v>651175.02051843796</v>
      </c>
      <c r="J709">
        <v>0.67269253062138601</v>
      </c>
      <c r="K709" t="str">
        <f t="shared" si="88"/>
        <v>OK</v>
      </c>
      <c r="L709" t="str">
        <f t="shared" si="89"/>
        <v>OK</v>
      </c>
      <c r="M709" t="str">
        <f>IF(OR(B709&lt;$AE$20,B709&gt;$AF$20),"Outlier","OK")</f>
        <v>Outlier</v>
      </c>
      <c r="N709" t="str">
        <f>IF(OR(J709&lt;$AE$21,J709&gt;$AF$21),"Outlier","OK")</f>
        <v>OK</v>
      </c>
      <c r="O709" t="str">
        <f>IF(OR(C709&lt;0,C709&gt;1),"Outlier","OK")</f>
        <v>OK</v>
      </c>
      <c r="P709" t="str">
        <f>IF(OR(D709&lt;0,D709&gt;1),"Outlier","OK")</f>
        <v>OK</v>
      </c>
      <c r="Q709" t="str">
        <f t="shared" si="90"/>
        <v>60-80%</v>
      </c>
      <c r="R709" t="str">
        <f>IF(B709="","Missing","OK")</f>
        <v>OK</v>
      </c>
      <c r="S709" t="str">
        <f>IF(E709="","Missing","OK")</f>
        <v>OK</v>
      </c>
      <c r="T709" t="str">
        <f t="shared" si="91"/>
        <v>OK</v>
      </c>
      <c r="U709">
        <f>COUNTIF($A:$A,A709)</f>
        <v>1</v>
      </c>
      <c r="V709" t="str">
        <f t="shared" si="92"/>
        <v>OK</v>
      </c>
      <c r="W709" t="str">
        <f>IF(I709&gt;B709,"ERROR","OK")</f>
        <v>OK</v>
      </c>
      <c r="X709">
        <f>(B709-I709)/B709</f>
        <v>0.67269253062138579</v>
      </c>
      <c r="Y709" s="2">
        <f t="shared" si="93"/>
        <v>2.2204460492503131E-16</v>
      </c>
      <c r="Z709" s="2" t="str">
        <f t="shared" si="94"/>
        <v>OK</v>
      </c>
      <c r="AA709" t="str">
        <f t="shared" si="95"/>
        <v>Unique</v>
      </c>
    </row>
    <row r="710" spans="1:27" x14ac:dyDescent="0.3">
      <c r="A710">
        <v>709</v>
      </c>
      <c r="B710">
        <v>1027320.07254572</v>
      </c>
      <c r="C710">
        <v>0.79516431059053805</v>
      </c>
      <c r="D710">
        <v>0.18770663256470099</v>
      </c>
      <c r="E710">
        <v>4.3859491337960597E-2</v>
      </c>
      <c r="F710">
        <v>1</v>
      </c>
      <c r="G710" t="s">
        <v>11</v>
      </c>
      <c r="H710">
        <v>0</v>
      </c>
      <c r="I710">
        <v>45057.7358231322</v>
      </c>
      <c r="J710">
        <v>0.95614050866203903</v>
      </c>
      <c r="K710" t="str">
        <f t="shared" si="88"/>
        <v>OK</v>
      </c>
      <c r="L710" t="str">
        <f t="shared" si="89"/>
        <v>OK</v>
      </c>
      <c r="M710" t="str">
        <f>IF(OR(B710&lt;$AE$20,B710&gt;$AF$20),"Outlier","OK")</f>
        <v>OK</v>
      </c>
      <c r="N710" t="str">
        <f>IF(OR(J710&lt;$AE$21,J710&gt;$AF$21),"Outlier","OK")</f>
        <v>OK</v>
      </c>
      <c r="O710" t="str">
        <f>IF(OR(C710&lt;0,C710&gt;1),"Outlier","OK")</f>
        <v>OK</v>
      </c>
      <c r="P710" t="str">
        <f>IF(OR(D710&lt;0,D710&gt;1),"Outlier","OK")</f>
        <v>OK</v>
      </c>
      <c r="Q710" t="str">
        <f t="shared" si="90"/>
        <v>80-100%</v>
      </c>
      <c r="R710" t="str">
        <f>IF(B710="","Missing","OK")</f>
        <v>OK</v>
      </c>
      <c r="S710" t="str">
        <f>IF(E710="","Missing","OK")</f>
        <v>OK</v>
      </c>
      <c r="T710" t="str">
        <f t="shared" si="91"/>
        <v>OK</v>
      </c>
      <c r="U710">
        <f>COUNTIF($A:$A,A710)</f>
        <v>1</v>
      </c>
      <c r="V710" t="str">
        <f t="shared" si="92"/>
        <v>OK</v>
      </c>
      <c r="W710" t="str">
        <f>IF(I710&gt;B710,"ERROR","OK")</f>
        <v>OK</v>
      </c>
      <c r="X710">
        <f>(B710-I710)/B710</f>
        <v>0.95614050866203926</v>
      </c>
      <c r="Y710" s="2">
        <f t="shared" si="93"/>
        <v>2.2204460492503131E-16</v>
      </c>
      <c r="Z710" s="2" t="str">
        <f t="shared" si="94"/>
        <v>OK</v>
      </c>
      <c r="AA710" t="str">
        <f t="shared" si="95"/>
        <v>Unique</v>
      </c>
    </row>
    <row r="711" spans="1:27" x14ac:dyDescent="0.3">
      <c r="A711">
        <v>710</v>
      </c>
      <c r="B711">
        <v>458201.28193007002</v>
      </c>
      <c r="C711">
        <v>0.50635720673712803</v>
      </c>
      <c r="D711">
        <v>-7.8047704836045298E-2</v>
      </c>
      <c r="E711">
        <v>0.27824095963384299</v>
      </c>
      <c r="F711">
        <v>1</v>
      </c>
      <c r="G711" t="s">
        <v>13</v>
      </c>
      <c r="H711">
        <v>1</v>
      </c>
      <c r="I711">
        <v>127490.36438968001</v>
      </c>
      <c r="J711">
        <v>0.72175904036615601</v>
      </c>
      <c r="K711" t="str">
        <f t="shared" si="88"/>
        <v>OK</v>
      </c>
      <c r="L711" t="str">
        <f t="shared" si="89"/>
        <v>OK</v>
      </c>
      <c r="M711" t="str">
        <f>IF(OR(B711&lt;$AE$20,B711&gt;$AF$20),"Outlier","OK")</f>
        <v>OK</v>
      </c>
      <c r="N711" t="str">
        <f>IF(OR(J711&lt;$AE$21,J711&gt;$AF$21),"Outlier","OK")</f>
        <v>OK</v>
      </c>
      <c r="O711" t="str">
        <f>IF(OR(C711&lt;0,C711&gt;1),"Outlier","OK")</f>
        <v>OK</v>
      </c>
      <c r="P711" t="str">
        <f>IF(OR(D711&lt;0,D711&gt;1),"Outlier","OK")</f>
        <v>Outlier</v>
      </c>
      <c r="Q711" t="str">
        <f t="shared" si="90"/>
        <v>60-80%</v>
      </c>
      <c r="R711" t="str">
        <f>IF(B711="","Missing","OK")</f>
        <v>OK</v>
      </c>
      <c r="S711" t="str">
        <f>IF(E711="","Missing","OK")</f>
        <v>OK</v>
      </c>
      <c r="T711" t="str">
        <f t="shared" si="91"/>
        <v>OK</v>
      </c>
      <c r="U711">
        <f>COUNTIF($A:$A,A711)</f>
        <v>1</v>
      </c>
      <c r="V711" t="str">
        <f t="shared" si="92"/>
        <v>OK</v>
      </c>
      <c r="W711" t="str">
        <f>IF(I711&gt;B711,"ERROR","OK")</f>
        <v>OK</v>
      </c>
      <c r="X711">
        <f>(B711-I711)/B711</f>
        <v>0.72175904036615646</v>
      </c>
      <c r="Y711" s="2">
        <f t="shared" si="93"/>
        <v>4.4408920985006262E-16</v>
      </c>
      <c r="Z711" s="2" t="str">
        <f t="shared" si="94"/>
        <v>OK</v>
      </c>
      <c r="AA711" t="str">
        <f t="shared" si="95"/>
        <v>Unique</v>
      </c>
    </row>
    <row r="712" spans="1:27" x14ac:dyDescent="0.3">
      <c r="A712">
        <v>711</v>
      </c>
      <c r="B712">
        <v>1209554.9866287201</v>
      </c>
      <c r="C712">
        <v>0.29860548600655401</v>
      </c>
      <c r="D712">
        <v>-0.192914217253006</v>
      </c>
      <c r="E712">
        <v>7.4836185276015404E-2</v>
      </c>
      <c r="F712">
        <v>1</v>
      </c>
      <c r="G712" t="s">
        <v>12</v>
      </c>
      <c r="H712">
        <v>0</v>
      </c>
      <c r="I712">
        <v>90518.481080875499</v>
      </c>
      <c r="J712">
        <v>0.92516381472398401</v>
      </c>
      <c r="K712" t="str">
        <f t="shared" si="88"/>
        <v>OK</v>
      </c>
      <c r="L712" t="str">
        <f t="shared" si="89"/>
        <v>OK</v>
      </c>
      <c r="M712" t="str">
        <f>IF(OR(B712&lt;$AE$20,B712&gt;$AF$20),"Outlier","OK")</f>
        <v>OK</v>
      </c>
      <c r="N712" t="str">
        <f>IF(OR(J712&lt;$AE$21,J712&gt;$AF$21),"Outlier","OK")</f>
        <v>OK</v>
      </c>
      <c r="O712" t="str">
        <f>IF(OR(C712&lt;0,C712&gt;1),"Outlier","OK")</f>
        <v>OK</v>
      </c>
      <c r="P712" t="str">
        <f>IF(OR(D712&lt;0,D712&gt;1),"Outlier","OK")</f>
        <v>Outlier</v>
      </c>
      <c r="Q712" t="str">
        <f t="shared" si="90"/>
        <v>80-100%</v>
      </c>
      <c r="R712" t="str">
        <f>IF(B712="","Missing","OK")</f>
        <v>OK</v>
      </c>
      <c r="S712" t="str">
        <f>IF(E712="","Missing","OK")</f>
        <v>OK</v>
      </c>
      <c r="T712" t="str">
        <f t="shared" si="91"/>
        <v>OK</v>
      </c>
      <c r="U712">
        <f>COUNTIF($A:$A,A712)</f>
        <v>1</v>
      </c>
      <c r="V712" t="str">
        <f t="shared" si="92"/>
        <v>OK</v>
      </c>
      <c r="W712" t="str">
        <f>IF(I712&gt;B712,"ERROR","OK")</f>
        <v>OK</v>
      </c>
      <c r="X712">
        <f>(B712-I712)/B712</f>
        <v>0.92516381472398435</v>
      </c>
      <c r="Y712" s="2">
        <f t="shared" si="93"/>
        <v>3.3306690738754696E-16</v>
      </c>
      <c r="Z712" s="2" t="str">
        <f t="shared" si="94"/>
        <v>OK</v>
      </c>
      <c r="AA712" t="str">
        <f t="shared" si="95"/>
        <v>Unique</v>
      </c>
    </row>
    <row r="713" spans="1:27" x14ac:dyDescent="0.3">
      <c r="A713">
        <v>712</v>
      </c>
      <c r="B713">
        <v>1267092.4604888801</v>
      </c>
      <c r="C713">
        <v>0.78883488969210103</v>
      </c>
      <c r="D713">
        <v>-0.16440175476209801</v>
      </c>
      <c r="E713">
        <v>0.225425928575196</v>
      </c>
      <c r="F713">
        <v>1</v>
      </c>
      <c r="G713" t="s">
        <v>10</v>
      </c>
      <c r="H713">
        <v>0</v>
      </c>
      <c r="I713">
        <v>285635.49449633801</v>
      </c>
      <c r="J713">
        <v>0.77457407142480295</v>
      </c>
      <c r="K713" t="str">
        <f t="shared" si="88"/>
        <v>OK</v>
      </c>
      <c r="L713" t="str">
        <f t="shared" si="89"/>
        <v>OK</v>
      </c>
      <c r="M713" t="str">
        <f>IF(OR(B713&lt;$AE$20,B713&gt;$AF$20),"Outlier","OK")</f>
        <v>OK</v>
      </c>
      <c r="N713" t="str">
        <f>IF(OR(J713&lt;$AE$21,J713&gt;$AF$21),"Outlier","OK")</f>
        <v>OK</v>
      </c>
      <c r="O713" t="str">
        <f>IF(OR(C713&lt;0,C713&gt;1),"Outlier","OK")</f>
        <v>OK</v>
      </c>
      <c r="P713" t="str">
        <f>IF(OR(D713&lt;0,D713&gt;1),"Outlier","OK")</f>
        <v>Outlier</v>
      </c>
      <c r="Q713" t="str">
        <f t="shared" si="90"/>
        <v>60-80%</v>
      </c>
      <c r="R713" t="str">
        <f>IF(B713="","Missing","OK")</f>
        <v>OK</v>
      </c>
      <c r="S713" t="str">
        <f>IF(E713="","Missing","OK")</f>
        <v>OK</v>
      </c>
      <c r="T713" t="str">
        <f t="shared" si="91"/>
        <v>OK</v>
      </c>
      <c r="U713">
        <f>COUNTIF($A:$A,A713)</f>
        <v>1</v>
      </c>
      <c r="V713" t="str">
        <f t="shared" si="92"/>
        <v>OK</v>
      </c>
      <c r="W713" t="str">
        <f>IF(I713&gt;B713,"ERROR","OK")</f>
        <v>OK</v>
      </c>
      <c r="X713">
        <f>(B713-I713)/B713</f>
        <v>0.77457407142480206</v>
      </c>
      <c r="Y713" s="2">
        <f t="shared" si="93"/>
        <v>8.8817841970012523E-16</v>
      </c>
      <c r="Z713" s="2" t="str">
        <f t="shared" si="94"/>
        <v>OK</v>
      </c>
      <c r="AA713" t="str">
        <f t="shared" si="95"/>
        <v>Unique</v>
      </c>
    </row>
    <row r="714" spans="1:27" x14ac:dyDescent="0.3">
      <c r="A714">
        <v>713</v>
      </c>
      <c r="B714">
        <v>1352741.8377908601</v>
      </c>
      <c r="C714">
        <v>0.77847917941771405</v>
      </c>
      <c r="D714">
        <v>0.134256660862036</v>
      </c>
      <c r="E714">
        <v>9.8135720697023004E-2</v>
      </c>
      <c r="F714">
        <v>1</v>
      </c>
      <c r="G714" t="s">
        <v>12</v>
      </c>
      <c r="H714">
        <v>0</v>
      </c>
      <c r="I714">
        <v>132752.295168621</v>
      </c>
      <c r="J714">
        <v>0.90186427930297697</v>
      </c>
      <c r="K714" t="str">
        <f t="shared" si="88"/>
        <v>OK</v>
      </c>
      <c r="L714" t="str">
        <f t="shared" si="89"/>
        <v>OK</v>
      </c>
      <c r="M714" t="str">
        <f>IF(OR(B714&lt;$AE$20,B714&gt;$AF$20),"Outlier","OK")</f>
        <v>OK</v>
      </c>
      <c r="N714" t="str">
        <f>IF(OR(J714&lt;$AE$21,J714&gt;$AF$21),"Outlier","OK")</f>
        <v>OK</v>
      </c>
      <c r="O714" t="str">
        <f>IF(OR(C714&lt;0,C714&gt;1),"Outlier","OK")</f>
        <v>OK</v>
      </c>
      <c r="P714" t="str">
        <f>IF(OR(D714&lt;0,D714&gt;1),"Outlier","OK")</f>
        <v>OK</v>
      </c>
      <c r="Q714" t="str">
        <f t="shared" si="90"/>
        <v>80-100%</v>
      </c>
      <c r="R714" t="str">
        <f>IF(B714="","Missing","OK")</f>
        <v>OK</v>
      </c>
      <c r="S714" t="str">
        <f>IF(E714="","Missing","OK")</f>
        <v>OK</v>
      </c>
      <c r="T714" t="str">
        <f t="shared" si="91"/>
        <v>OK</v>
      </c>
      <c r="U714">
        <f>COUNTIF($A:$A,A714)</f>
        <v>1</v>
      </c>
      <c r="V714" t="str">
        <f t="shared" si="92"/>
        <v>OK</v>
      </c>
      <c r="W714" t="str">
        <f>IF(I714&gt;B714,"ERROR","OK")</f>
        <v>OK</v>
      </c>
      <c r="X714">
        <f>(B714-I714)/B714</f>
        <v>0.9018642793029773</v>
      </c>
      <c r="Y714" s="2">
        <f t="shared" si="93"/>
        <v>3.3306690738754696E-16</v>
      </c>
      <c r="Z714" s="2" t="str">
        <f t="shared" si="94"/>
        <v>OK</v>
      </c>
      <c r="AA714" t="str">
        <f t="shared" si="95"/>
        <v>Unique</v>
      </c>
    </row>
    <row r="715" spans="1:27" x14ac:dyDescent="0.3">
      <c r="A715">
        <v>714</v>
      </c>
      <c r="B715">
        <v>386592.89723715698</v>
      </c>
      <c r="C715">
        <v>0.81624112904212698</v>
      </c>
      <c r="D715">
        <v>-4.1124059300682601E-2</v>
      </c>
      <c r="E715">
        <v>0.16654607016807399</v>
      </c>
      <c r="F715">
        <v>1</v>
      </c>
      <c r="G715" t="s">
        <v>12</v>
      </c>
      <c r="H715">
        <v>1</v>
      </c>
      <c r="I715">
        <v>64385.5277897388</v>
      </c>
      <c r="J715">
        <v>0.83345392983192501</v>
      </c>
      <c r="K715" t="str">
        <f t="shared" si="88"/>
        <v>OK</v>
      </c>
      <c r="L715" t="str">
        <f t="shared" si="89"/>
        <v>OK</v>
      </c>
      <c r="M715" t="str">
        <f>IF(OR(B715&lt;$AE$20,B715&gt;$AF$20),"Outlier","OK")</f>
        <v>OK</v>
      </c>
      <c r="N715" t="str">
        <f>IF(OR(J715&lt;$AE$21,J715&gt;$AF$21),"Outlier","OK")</f>
        <v>OK</v>
      </c>
      <c r="O715" t="str">
        <f>IF(OR(C715&lt;0,C715&gt;1),"Outlier","OK")</f>
        <v>OK</v>
      </c>
      <c r="P715" t="str">
        <f>IF(OR(D715&lt;0,D715&gt;1),"Outlier","OK")</f>
        <v>Outlier</v>
      </c>
      <c r="Q715" t="str">
        <f t="shared" si="90"/>
        <v>80-100%</v>
      </c>
      <c r="R715" t="str">
        <f>IF(B715="","Missing","OK")</f>
        <v>OK</v>
      </c>
      <c r="S715" t="str">
        <f>IF(E715="","Missing","OK")</f>
        <v>OK</v>
      </c>
      <c r="T715" t="str">
        <f t="shared" si="91"/>
        <v>OK</v>
      </c>
      <c r="U715">
        <f>COUNTIF($A:$A,A715)</f>
        <v>1</v>
      </c>
      <c r="V715" t="str">
        <f t="shared" si="92"/>
        <v>OK</v>
      </c>
      <c r="W715" t="str">
        <f>IF(I715&gt;B715,"ERROR","OK")</f>
        <v>OK</v>
      </c>
      <c r="X715">
        <f>(B715-I715)/B715</f>
        <v>0.83345392983192546</v>
      </c>
      <c r="Y715" s="2">
        <f t="shared" si="93"/>
        <v>4.4408920985006262E-16</v>
      </c>
      <c r="Z715" s="2" t="str">
        <f t="shared" si="94"/>
        <v>OK</v>
      </c>
      <c r="AA715" t="str">
        <f t="shared" si="95"/>
        <v>Unique</v>
      </c>
    </row>
    <row r="716" spans="1:27" x14ac:dyDescent="0.3">
      <c r="A716">
        <v>715</v>
      </c>
      <c r="B716">
        <v>1802489.75024319</v>
      </c>
      <c r="C716">
        <v>0.84544370805487601</v>
      </c>
      <c r="D716">
        <v>5.2245803953343203E-2</v>
      </c>
      <c r="E716">
        <v>0.53453683055316603</v>
      </c>
      <c r="F716">
        <v>1</v>
      </c>
      <c r="G716" t="s">
        <v>10</v>
      </c>
      <c r="H716">
        <v>1</v>
      </c>
      <c r="I716">
        <v>963497.15819956595</v>
      </c>
      <c r="J716">
        <v>0.46546316944683302</v>
      </c>
      <c r="K716" t="str">
        <f t="shared" si="88"/>
        <v>OK</v>
      </c>
      <c r="L716" t="str">
        <f t="shared" si="89"/>
        <v>OK</v>
      </c>
      <c r="M716" t="str">
        <f>IF(OR(B716&lt;$AE$20,B716&gt;$AF$20),"Outlier","OK")</f>
        <v>OK</v>
      </c>
      <c r="N716" t="str">
        <f>IF(OR(J716&lt;$AE$21,J716&gt;$AF$21),"Outlier","OK")</f>
        <v>OK</v>
      </c>
      <c r="O716" t="str">
        <f>IF(OR(C716&lt;0,C716&gt;1),"Outlier","OK")</f>
        <v>OK</v>
      </c>
      <c r="P716" t="str">
        <f>IF(OR(D716&lt;0,D716&gt;1),"Outlier","OK")</f>
        <v>OK</v>
      </c>
      <c r="Q716" t="str">
        <f t="shared" si="90"/>
        <v>40-60%</v>
      </c>
      <c r="R716" t="str">
        <f>IF(B716="","Missing","OK")</f>
        <v>OK</v>
      </c>
      <c r="S716" t="str">
        <f>IF(E716="","Missing","OK")</f>
        <v>OK</v>
      </c>
      <c r="T716" t="str">
        <f t="shared" si="91"/>
        <v>OK</v>
      </c>
      <c r="U716">
        <f>COUNTIF($A:$A,A716)</f>
        <v>1</v>
      </c>
      <c r="V716" t="str">
        <f t="shared" si="92"/>
        <v>OK</v>
      </c>
      <c r="W716" t="str">
        <f>IF(I716&gt;B716,"ERROR","OK")</f>
        <v>OK</v>
      </c>
      <c r="X716">
        <f>(B716-I716)/B716</f>
        <v>0.46546316944683214</v>
      </c>
      <c r="Y716" s="2">
        <f t="shared" si="93"/>
        <v>8.8817841970012523E-16</v>
      </c>
      <c r="Z716" s="2" t="str">
        <f t="shared" si="94"/>
        <v>OK</v>
      </c>
      <c r="AA716" t="str">
        <f t="shared" si="95"/>
        <v>Unique</v>
      </c>
    </row>
    <row r="717" spans="1:27" x14ac:dyDescent="0.3">
      <c r="A717">
        <v>716</v>
      </c>
      <c r="B717">
        <v>1260933.16662593</v>
      </c>
      <c r="C717">
        <v>0.44416705815012397</v>
      </c>
      <c r="D717">
        <v>-4.37168639470625E-3</v>
      </c>
      <c r="E717">
        <v>0.199285991802573</v>
      </c>
      <c r="F717">
        <v>1</v>
      </c>
      <c r="G717" t="s">
        <v>10</v>
      </c>
      <c r="H717">
        <v>1</v>
      </c>
      <c r="I717">
        <v>251286.316707808</v>
      </c>
      <c r="J717">
        <v>0.800714008197426</v>
      </c>
      <c r="K717" t="str">
        <f t="shared" si="88"/>
        <v>OK</v>
      </c>
      <c r="L717" t="str">
        <f t="shared" si="89"/>
        <v>OK</v>
      </c>
      <c r="M717" t="str">
        <f>IF(OR(B717&lt;$AE$20,B717&gt;$AF$20),"Outlier","OK")</f>
        <v>OK</v>
      </c>
      <c r="N717" t="str">
        <f>IF(OR(J717&lt;$AE$21,J717&gt;$AF$21),"Outlier","OK")</f>
        <v>OK</v>
      </c>
      <c r="O717" t="str">
        <f>IF(OR(C717&lt;0,C717&gt;1),"Outlier","OK")</f>
        <v>OK</v>
      </c>
      <c r="P717" t="str">
        <f>IF(OR(D717&lt;0,D717&gt;1),"Outlier","OK")</f>
        <v>Outlier</v>
      </c>
      <c r="Q717" t="str">
        <f t="shared" si="90"/>
        <v>80-100%</v>
      </c>
      <c r="R717" t="str">
        <f>IF(B717="","Missing","OK")</f>
        <v>OK</v>
      </c>
      <c r="S717" t="str">
        <f>IF(E717="","Missing","OK")</f>
        <v>OK</v>
      </c>
      <c r="T717" t="str">
        <f t="shared" si="91"/>
        <v>OK</v>
      </c>
      <c r="U717">
        <f>COUNTIF($A:$A,A717)</f>
        <v>1</v>
      </c>
      <c r="V717" t="str">
        <f t="shared" si="92"/>
        <v>OK</v>
      </c>
      <c r="W717" t="str">
        <f>IF(I717&gt;B717,"ERROR","OK")</f>
        <v>OK</v>
      </c>
      <c r="X717">
        <f>(B717-I717)/B717</f>
        <v>0.80071400819742655</v>
      </c>
      <c r="Y717" s="2">
        <f t="shared" si="93"/>
        <v>5.5511151231257827E-16</v>
      </c>
      <c r="Z717" s="2" t="str">
        <f t="shared" si="94"/>
        <v>OK</v>
      </c>
      <c r="AA717" t="str">
        <f t="shared" si="95"/>
        <v>Unique</v>
      </c>
    </row>
    <row r="718" spans="1:27" x14ac:dyDescent="0.3">
      <c r="A718">
        <v>717</v>
      </c>
      <c r="B718">
        <v>134958.97387783599</v>
      </c>
      <c r="C718">
        <v>0.33532940567303898</v>
      </c>
      <c r="D718">
        <v>9.7609065867292292E-3</v>
      </c>
      <c r="E718">
        <v>0.28984873731465199</v>
      </c>
      <c r="F718">
        <v>1</v>
      </c>
      <c r="G718" t="s">
        <v>12</v>
      </c>
      <c r="H718">
        <v>1</v>
      </c>
      <c r="I718">
        <v>39117.688167772103</v>
      </c>
      <c r="J718">
        <v>0.71015126268534701</v>
      </c>
      <c r="K718" t="str">
        <f t="shared" si="88"/>
        <v>OK</v>
      </c>
      <c r="L718" t="str">
        <f t="shared" si="89"/>
        <v>OK</v>
      </c>
      <c r="M718" t="str">
        <f>IF(OR(B718&lt;$AE$20,B718&gt;$AF$20),"Outlier","OK")</f>
        <v>OK</v>
      </c>
      <c r="N718" t="str">
        <f>IF(OR(J718&lt;$AE$21,J718&gt;$AF$21),"Outlier","OK")</f>
        <v>OK</v>
      </c>
      <c r="O718" t="str">
        <f>IF(OR(C718&lt;0,C718&gt;1),"Outlier","OK")</f>
        <v>OK</v>
      </c>
      <c r="P718" t="str">
        <f>IF(OR(D718&lt;0,D718&gt;1),"Outlier","OK")</f>
        <v>OK</v>
      </c>
      <c r="Q718" t="str">
        <f t="shared" si="90"/>
        <v>60-80%</v>
      </c>
      <c r="R718" t="str">
        <f>IF(B718="","Missing","OK")</f>
        <v>OK</v>
      </c>
      <c r="S718" t="str">
        <f>IF(E718="","Missing","OK")</f>
        <v>OK</v>
      </c>
      <c r="T718" t="str">
        <f t="shared" si="91"/>
        <v>OK</v>
      </c>
      <c r="U718">
        <f>COUNTIF($A:$A,A718)</f>
        <v>1</v>
      </c>
      <c r="V718" t="str">
        <f t="shared" si="92"/>
        <v>OK</v>
      </c>
      <c r="W718" t="str">
        <f>IF(I718&gt;B718,"ERROR","OK")</f>
        <v>OK</v>
      </c>
      <c r="X718">
        <f>(B718-I718)/B718</f>
        <v>0.71015126268534623</v>
      </c>
      <c r="Y718" s="2">
        <f t="shared" si="93"/>
        <v>7.7715611723760958E-16</v>
      </c>
      <c r="Z718" s="2" t="str">
        <f t="shared" si="94"/>
        <v>OK</v>
      </c>
      <c r="AA718" t="str">
        <f t="shared" si="95"/>
        <v>Unique</v>
      </c>
    </row>
    <row r="719" spans="1:27" x14ac:dyDescent="0.3">
      <c r="A719">
        <v>718</v>
      </c>
      <c r="B719">
        <v>1383880.0761786599</v>
      </c>
      <c r="C719">
        <v>0.23364708032741099</v>
      </c>
      <c r="D719">
        <v>9.4763558859372293E-2</v>
      </c>
      <c r="E719">
        <v>0.21398745292927401</v>
      </c>
      <c r="F719">
        <v>1</v>
      </c>
      <c r="G719" t="s">
        <v>10</v>
      </c>
      <c r="H719">
        <v>0</v>
      </c>
      <c r="I719">
        <v>296132.972661042</v>
      </c>
      <c r="J719">
        <v>0.78601254707072499</v>
      </c>
      <c r="K719" t="str">
        <f t="shared" si="88"/>
        <v>OK</v>
      </c>
      <c r="L719" t="str">
        <f t="shared" si="89"/>
        <v>OK</v>
      </c>
      <c r="M719" t="str">
        <f>IF(OR(B719&lt;$AE$20,B719&gt;$AF$20),"Outlier","OK")</f>
        <v>OK</v>
      </c>
      <c r="N719" t="str">
        <f>IF(OR(J719&lt;$AE$21,J719&gt;$AF$21),"Outlier","OK")</f>
        <v>OK</v>
      </c>
      <c r="O719" t="str">
        <f>IF(OR(C719&lt;0,C719&gt;1),"Outlier","OK")</f>
        <v>OK</v>
      </c>
      <c r="P719" t="str">
        <f>IF(OR(D719&lt;0,D719&gt;1),"Outlier","OK")</f>
        <v>OK</v>
      </c>
      <c r="Q719" t="str">
        <f t="shared" si="90"/>
        <v>60-80%</v>
      </c>
      <c r="R719" t="str">
        <f>IF(B719="","Missing","OK")</f>
        <v>OK</v>
      </c>
      <c r="S719" t="str">
        <f>IF(E719="","Missing","OK")</f>
        <v>OK</v>
      </c>
      <c r="T719" t="str">
        <f t="shared" si="91"/>
        <v>OK</v>
      </c>
      <c r="U719">
        <f>COUNTIF($A:$A,A719)</f>
        <v>1</v>
      </c>
      <c r="V719" t="str">
        <f t="shared" si="92"/>
        <v>OK</v>
      </c>
      <c r="W719" t="str">
        <f>IF(I719&gt;B719,"ERROR","OK")</f>
        <v>OK</v>
      </c>
      <c r="X719">
        <f>(B719-I719)/B719</f>
        <v>0.78601254707072543</v>
      </c>
      <c r="Y719" s="2">
        <f t="shared" si="93"/>
        <v>4.4408920985006262E-16</v>
      </c>
      <c r="Z719" s="2" t="str">
        <f t="shared" si="94"/>
        <v>OK</v>
      </c>
      <c r="AA719" t="str">
        <f t="shared" si="95"/>
        <v>Unique</v>
      </c>
    </row>
    <row r="720" spans="1:27" x14ac:dyDescent="0.3">
      <c r="A720">
        <v>719</v>
      </c>
      <c r="B720">
        <v>432363.89092654898</v>
      </c>
      <c r="C720">
        <v>0.55059657405811802</v>
      </c>
      <c r="D720">
        <v>-0.11515472815139199</v>
      </c>
      <c r="E720">
        <v>0.18225261500629</v>
      </c>
      <c r="F720">
        <v>1</v>
      </c>
      <c r="G720" t="s">
        <v>13</v>
      </c>
      <c r="H720">
        <v>1</v>
      </c>
      <c r="I720">
        <v>78799.449755658206</v>
      </c>
      <c r="J720">
        <v>0.81774738499370903</v>
      </c>
      <c r="K720" t="str">
        <f t="shared" si="88"/>
        <v>OK</v>
      </c>
      <c r="L720" t="str">
        <f t="shared" si="89"/>
        <v>OK</v>
      </c>
      <c r="M720" t="str">
        <f>IF(OR(B720&lt;$AE$20,B720&gt;$AF$20),"Outlier","OK")</f>
        <v>OK</v>
      </c>
      <c r="N720" t="str">
        <f>IF(OR(J720&lt;$AE$21,J720&gt;$AF$21),"Outlier","OK")</f>
        <v>OK</v>
      </c>
      <c r="O720" t="str">
        <f>IF(OR(C720&lt;0,C720&gt;1),"Outlier","OK")</f>
        <v>OK</v>
      </c>
      <c r="P720" t="str">
        <f>IF(OR(D720&lt;0,D720&gt;1),"Outlier","OK")</f>
        <v>Outlier</v>
      </c>
      <c r="Q720" t="str">
        <f t="shared" si="90"/>
        <v>80-100%</v>
      </c>
      <c r="R720" t="str">
        <f>IF(B720="","Missing","OK")</f>
        <v>OK</v>
      </c>
      <c r="S720" t="str">
        <f>IF(E720="","Missing","OK")</f>
        <v>OK</v>
      </c>
      <c r="T720" t="str">
        <f t="shared" si="91"/>
        <v>OK</v>
      </c>
      <c r="U720">
        <f>COUNTIF($A:$A,A720)</f>
        <v>1</v>
      </c>
      <c r="V720" t="str">
        <f t="shared" si="92"/>
        <v>OK</v>
      </c>
      <c r="W720" t="str">
        <f>IF(I720&gt;B720,"ERROR","OK")</f>
        <v>OK</v>
      </c>
      <c r="X720">
        <f>(B720-I720)/B720</f>
        <v>0.81774738499370925</v>
      </c>
      <c r="Y720" s="2">
        <f t="shared" si="93"/>
        <v>2.2204460492503131E-16</v>
      </c>
      <c r="Z720" s="2" t="str">
        <f t="shared" si="94"/>
        <v>OK</v>
      </c>
      <c r="AA720" t="str">
        <f t="shared" si="95"/>
        <v>Unique</v>
      </c>
    </row>
    <row r="721" spans="1:27" x14ac:dyDescent="0.3">
      <c r="A721">
        <v>720</v>
      </c>
      <c r="B721">
        <v>103314.523572936</v>
      </c>
      <c r="C721">
        <v>0.13447928957463401</v>
      </c>
      <c r="D721">
        <v>-5.5828303410100297E-2</v>
      </c>
      <c r="E721">
        <v>0.15495766049582399</v>
      </c>
      <c r="F721">
        <v>1</v>
      </c>
      <c r="G721" t="s">
        <v>10</v>
      </c>
      <c r="H721">
        <v>1</v>
      </c>
      <c r="I721">
        <v>16009.3768681029</v>
      </c>
      <c r="J721">
        <v>0.84504233950417496</v>
      </c>
      <c r="K721" t="str">
        <f t="shared" si="88"/>
        <v>OK</v>
      </c>
      <c r="L721" t="str">
        <f t="shared" si="89"/>
        <v>OK</v>
      </c>
      <c r="M721" t="str">
        <f>IF(OR(B721&lt;$AE$20,B721&gt;$AF$20),"Outlier","OK")</f>
        <v>OK</v>
      </c>
      <c r="N721" t="str">
        <f>IF(OR(J721&lt;$AE$21,J721&gt;$AF$21),"Outlier","OK")</f>
        <v>OK</v>
      </c>
      <c r="O721" t="str">
        <f>IF(OR(C721&lt;0,C721&gt;1),"Outlier","OK")</f>
        <v>OK</v>
      </c>
      <c r="P721" t="str">
        <f>IF(OR(D721&lt;0,D721&gt;1),"Outlier","OK")</f>
        <v>Outlier</v>
      </c>
      <c r="Q721" t="str">
        <f t="shared" si="90"/>
        <v>80-100%</v>
      </c>
      <c r="R721" t="str">
        <f>IF(B721="","Missing","OK")</f>
        <v>OK</v>
      </c>
      <c r="S721" t="str">
        <f>IF(E721="","Missing","OK")</f>
        <v>OK</v>
      </c>
      <c r="T721" t="str">
        <f t="shared" si="91"/>
        <v>OK</v>
      </c>
      <c r="U721">
        <f>COUNTIF($A:$A,A721)</f>
        <v>1</v>
      </c>
      <c r="V721" t="str">
        <f t="shared" si="92"/>
        <v>OK</v>
      </c>
      <c r="W721" t="str">
        <f>IF(I721&gt;B721,"ERROR","OK")</f>
        <v>OK</v>
      </c>
      <c r="X721">
        <f>(B721-I721)/B721</f>
        <v>0.84504233950417518</v>
      </c>
      <c r="Y721" s="2">
        <f t="shared" si="93"/>
        <v>2.2204460492503131E-16</v>
      </c>
      <c r="Z721" s="2" t="str">
        <f t="shared" si="94"/>
        <v>OK</v>
      </c>
      <c r="AA721" t="str">
        <f t="shared" si="95"/>
        <v>Unique</v>
      </c>
    </row>
    <row r="722" spans="1:27" x14ac:dyDescent="0.3">
      <c r="A722">
        <v>721</v>
      </c>
      <c r="B722">
        <v>1124358.88670484</v>
      </c>
      <c r="C722">
        <v>0.130676521477154</v>
      </c>
      <c r="D722">
        <v>-2.99225977758176E-2</v>
      </c>
      <c r="E722">
        <v>0.16063820719690899</v>
      </c>
      <c r="F722">
        <v>1</v>
      </c>
      <c r="G722" t="s">
        <v>11</v>
      </c>
      <c r="H722">
        <v>1</v>
      </c>
      <c r="I722">
        <v>180614.99580617901</v>
      </c>
      <c r="J722">
        <v>0.83936179280308998</v>
      </c>
      <c r="K722" t="str">
        <f t="shared" si="88"/>
        <v>OK</v>
      </c>
      <c r="L722" t="str">
        <f t="shared" si="89"/>
        <v>OK</v>
      </c>
      <c r="M722" t="str">
        <f>IF(OR(B722&lt;$AE$20,B722&gt;$AF$20),"Outlier","OK")</f>
        <v>OK</v>
      </c>
      <c r="N722" t="str">
        <f>IF(OR(J722&lt;$AE$21,J722&gt;$AF$21),"Outlier","OK")</f>
        <v>OK</v>
      </c>
      <c r="O722" t="str">
        <f>IF(OR(C722&lt;0,C722&gt;1),"Outlier","OK")</f>
        <v>OK</v>
      </c>
      <c r="P722" t="str">
        <f>IF(OR(D722&lt;0,D722&gt;1),"Outlier","OK")</f>
        <v>Outlier</v>
      </c>
      <c r="Q722" t="str">
        <f t="shared" si="90"/>
        <v>80-100%</v>
      </c>
      <c r="R722" t="str">
        <f>IF(B722="","Missing","OK")</f>
        <v>OK</v>
      </c>
      <c r="S722" t="str">
        <f>IF(E722="","Missing","OK")</f>
        <v>OK</v>
      </c>
      <c r="T722" t="str">
        <f t="shared" si="91"/>
        <v>OK</v>
      </c>
      <c r="U722">
        <f>COUNTIF($A:$A,A722)</f>
        <v>1</v>
      </c>
      <c r="V722" t="str">
        <f t="shared" si="92"/>
        <v>OK</v>
      </c>
      <c r="W722" t="str">
        <f>IF(I722&gt;B722,"ERROR","OK")</f>
        <v>OK</v>
      </c>
      <c r="X722">
        <f>(B722-I722)/B722</f>
        <v>0.83936179280309009</v>
      </c>
      <c r="Y722" s="2">
        <f t="shared" si="93"/>
        <v>1.1102230246251565E-16</v>
      </c>
      <c r="Z722" s="2" t="str">
        <f t="shared" si="94"/>
        <v>OK</v>
      </c>
      <c r="AA722" t="str">
        <f t="shared" si="95"/>
        <v>Unique</v>
      </c>
    </row>
    <row r="723" spans="1:27" x14ac:dyDescent="0.3">
      <c r="A723">
        <v>722</v>
      </c>
      <c r="B723">
        <v>1635961.59523294</v>
      </c>
      <c r="C723">
        <v>0.375068102238301</v>
      </c>
      <c r="D723">
        <v>5.65766525200075E-2</v>
      </c>
      <c r="E723">
        <v>0.28726318493118802</v>
      </c>
      <c r="F723">
        <v>1</v>
      </c>
      <c r="G723" t="s">
        <v>12</v>
      </c>
      <c r="H723">
        <v>0</v>
      </c>
      <c r="I723">
        <v>469951.53827172302</v>
      </c>
      <c r="J723">
        <v>0.71273681506881104</v>
      </c>
      <c r="K723" t="str">
        <f t="shared" si="88"/>
        <v>OK</v>
      </c>
      <c r="L723" t="str">
        <f t="shared" si="89"/>
        <v>OK</v>
      </c>
      <c r="M723" t="str">
        <f>IF(OR(B723&lt;$AE$20,B723&gt;$AF$20),"Outlier","OK")</f>
        <v>OK</v>
      </c>
      <c r="N723" t="str">
        <f>IF(OR(J723&lt;$AE$21,J723&gt;$AF$21),"Outlier","OK")</f>
        <v>OK</v>
      </c>
      <c r="O723" t="str">
        <f>IF(OR(C723&lt;0,C723&gt;1),"Outlier","OK")</f>
        <v>OK</v>
      </c>
      <c r="P723" t="str">
        <f>IF(OR(D723&lt;0,D723&gt;1),"Outlier","OK")</f>
        <v>OK</v>
      </c>
      <c r="Q723" t="str">
        <f t="shared" si="90"/>
        <v>60-80%</v>
      </c>
      <c r="R723" t="str">
        <f>IF(B723="","Missing","OK")</f>
        <v>OK</v>
      </c>
      <c r="S723" t="str">
        <f>IF(E723="","Missing","OK")</f>
        <v>OK</v>
      </c>
      <c r="T723" t="str">
        <f t="shared" si="91"/>
        <v>OK</v>
      </c>
      <c r="U723">
        <f>COUNTIF($A:$A,A723)</f>
        <v>1</v>
      </c>
      <c r="V723" t="str">
        <f t="shared" si="92"/>
        <v>OK</v>
      </c>
      <c r="W723" t="str">
        <f>IF(I723&gt;B723,"ERROR","OK")</f>
        <v>OK</v>
      </c>
      <c r="X723">
        <f>(B723-I723)/B723</f>
        <v>0.71273681506881092</v>
      </c>
      <c r="Y723" s="2">
        <f t="shared" si="93"/>
        <v>1.1102230246251565E-16</v>
      </c>
      <c r="Z723" s="2" t="str">
        <f t="shared" si="94"/>
        <v>OK</v>
      </c>
      <c r="AA723" t="str">
        <f t="shared" si="95"/>
        <v>Unique</v>
      </c>
    </row>
    <row r="724" spans="1:27" x14ac:dyDescent="0.3">
      <c r="A724">
        <v>723</v>
      </c>
      <c r="B724">
        <v>1726885.23915116</v>
      </c>
      <c r="C724">
        <v>0.29059384368423202</v>
      </c>
      <c r="D724">
        <v>0.19338340236999199</v>
      </c>
      <c r="E724">
        <v>0.176248454560613</v>
      </c>
      <c r="F724">
        <v>1</v>
      </c>
      <c r="G724" t="s">
        <v>12</v>
      </c>
      <c r="H724">
        <v>0</v>
      </c>
      <c r="I724">
        <v>304360.85460392799</v>
      </c>
      <c r="J724">
        <v>0.823751545439386</v>
      </c>
      <c r="K724" t="str">
        <f t="shared" si="88"/>
        <v>OK</v>
      </c>
      <c r="L724" t="str">
        <f t="shared" si="89"/>
        <v>OK</v>
      </c>
      <c r="M724" t="str">
        <f>IF(OR(B724&lt;$AE$20,B724&gt;$AF$20),"Outlier","OK")</f>
        <v>OK</v>
      </c>
      <c r="N724" t="str">
        <f>IF(OR(J724&lt;$AE$21,J724&gt;$AF$21),"Outlier","OK")</f>
        <v>OK</v>
      </c>
      <c r="O724" t="str">
        <f>IF(OR(C724&lt;0,C724&gt;1),"Outlier","OK")</f>
        <v>OK</v>
      </c>
      <c r="P724" t="str">
        <f>IF(OR(D724&lt;0,D724&gt;1),"Outlier","OK")</f>
        <v>OK</v>
      </c>
      <c r="Q724" t="str">
        <f t="shared" si="90"/>
        <v>80-100%</v>
      </c>
      <c r="R724" t="str">
        <f>IF(B724="","Missing","OK")</f>
        <v>OK</v>
      </c>
      <c r="S724" t="str">
        <f>IF(E724="","Missing","OK")</f>
        <v>OK</v>
      </c>
      <c r="T724" t="str">
        <f t="shared" si="91"/>
        <v>OK</v>
      </c>
      <c r="U724">
        <f>COUNTIF($A:$A,A724)</f>
        <v>1</v>
      </c>
      <c r="V724" t="str">
        <f t="shared" si="92"/>
        <v>OK</v>
      </c>
      <c r="W724" t="str">
        <f>IF(I724&gt;B724,"ERROR","OK")</f>
        <v>OK</v>
      </c>
      <c r="X724">
        <f>(B724-I724)/B724</f>
        <v>0.82375154543938611</v>
      </c>
      <c r="Y724" s="2">
        <f t="shared" si="93"/>
        <v>1.1102230246251565E-16</v>
      </c>
      <c r="Z724" s="2" t="str">
        <f t="shared" si="94"/>
        <v>OK</v>
      </c>
      <c r="AA724" t="str">
        <f t="shared" si="95"/>
        <v>Unique</v>
      </c>
    </row>
    <row r="725" spans="1:27" x14ac:dyDescent="0.3">
      <c r="A725">
        <v>724</v>
      </c>
      <c r="B725">
        <v>251865.80404085701</v>
      </c>
      <c r="C725">
        <v>0.74483278071991499</v>
      </c>
      <c r="D725">
        <v>4.52086303624709E-2</v>
      </c>
      <c r="E725">
        <v>0.43888167827429703</v>
      </c>
      <c r="F725">
        <v>1</v>
      </c>
      <c r="G725" t="s">
        <v>13</v>
      </c>
      <c r="H725">
        <v>0</v>
      </c>
      <c r="I725">
        <v>110539.286777356</v>
      </c>
      <c r="J725">
        <v>0.56111832172570197</v>
      </c>
      <c r="K725" t="str">
        <f t="shared" si="88"/>
        <v>OK</v>
      </c>
      <c r="L725" t="str">
        <f t="shared" si="89"/>
        <v>OK</v>
      </c>
      <c r="M725" t="str">
        <f>IF(OR(B725&lt;$AE$20,B725&gt;$AF$20),"Outlier","OK")</f>
        <v>OK</v>
      </c>
      <c r="N725" t="str">
        <f>IF(OR(J725&lt;$AE$21,J725&gt;$AF$21),"Outlier","OK")</f>
        <v>OK</v>
      </c>
      <c r="O725" t="str">
        <f>IF(OR(C725&lt;0,C725&gt;1),"Outlier","OK")</f>
        <v>OK</v>
      </c>
      <c r="P725" t="str">
        <f>IF(OR(D725&lt;0,D725&gt;1),"Outlier","OK")</f>
        <v>OK</v>
      </c>
      <c r="Q725" t="str">
        <f t="shared" si="90"/>
        <v>40-60%</v>
      </c>
      <c r="R725" t="str">
        <f>IF(B725="","Missing","OK")</f>
        <v>OK</v>
      </c>
      <c r="S725" t="str">
        <f>IF(E725="","Missing","OK")</f>
        <v>OK</v>
      </c>
      <c r="T725" t="str">
        <f t="shared" si="91"/>
        <v>OK</v>
      </c>
      <c r="U725">
        <f>COUNTIF($A:$A,A725)</f>
        <v>1</v>
      </c>
      <c r="V725" t="str">
        <f t="shared" si="92"/>
        <v>OK</v>
      </c>
      <c r="W725" t="str">
        <f>IF(I725&gt;B725,"ERROR","OK")</f>
        <v>OK</v>
      </c>
      <c r="X725">
        <f>(B725-I725)/B725</f>
        <v>0.56111832172570519</v>
      </c>
      <c r="Y725" s="2">
        <f t="shared" si="93"/>
        <v>3.219646771412954E-15</v>
      </c>
      <c r="Z725" s="2" t="str">
        <f t="shared" si="94"/>
        <v>OK</v>
      </c>
      <c r="AA725" t="str">
        <f t="shared" si="95"/>
        <v>Unique</v>
      </c>
    </row>
    <row r="726" spans="1:27" x14ac:dyDescent="0.3">
      <c r="A726">
        <v>725</v>
      </c>
      <c r="B726">
        <v>1342933.4320827699</v>
      </c>
      <c r="C726">
        <v>0.12538925220584099</v>
      </c>
      <c r="D726">
        <v>0.174770692588094</v>
      </c>
      <c r="E726">
        <v>9.4606279011248504E-2</v>
      </c>
      <c r="F726">
        <v>1</v>
      </c>
      <c r="G726" t="s">
        <v>12</v>
      </c>
      <c r="H726">
        <v>0</v>
      </c>
      <c r="I726">
        <v>127049.93496915601</v>
      </c>
      <c r="J726">
        <v>0.90539372098875104</v>
      </c>
      <c r="K726" t="str">
        <f t="shared" si="88"/>
        <v>OK</v>
      </c>
      <c r="L726" t="str">
        <f t="shared" si="89"/>
        <v>OK</v>
      </c>
      <c r="M726" t="str">
        <f>IF(OR(B726&lt;$AE$20,B726&gt;$AF$20),"Outlier","OK")</f>
        <v>OK</v>
      </c>
      <c r="N726" t="str">
        <f>IF(OR(J726&lt;$AE$21,J726&gt;$AF$21),"Outlier","OK")</f>
        <v>OK</v>
      </c>
      <c r="O726" t="str">
        <f>IF(OR(C726&lt;0,C726&gt;1),"Outlier","OK")</f>
        <v>OK</v>
      </c>
      <c r="P726" t="str">
        <f>IF(OR(D726&lt;0,D726&gt;1),"Outlier","OK")</f>
        <v>OK</v>
      </c>
      <c r="Q726" t="str">
        <f t="shared" si="90"/>
        <v>80-100%</v>
      </c>
      <c r="R726" t="str">
        <f>IF(B726="","Missing","OK")</f>
        <v>OK</v>
      </c>
      <c r="S726" t="str">
        <f>IF(E726="","Missing","OK")</f>
        <v>OK</v>
      </c>
      <c r="T726" t="str">
        <f t="shared" si="91"/>
        <v>OK</v>
      </c>
      <c r="U726">
        <f>COUNTIF($A:$A,A726)</f>
        <v>1</v>
      </c>
      <c r="V726" t="str">
        <f t="shared" si="92"/>
        <v>OK</v>
      </c>
      <c r="W726" t="str">
        <f>IF(I726&gt;B726,"ERROR","OK")</f>
        <v>OK</v>
      </c>
      <c r="X726">
        <f>(B726-I726)/B726</f>
        <v>0.90539372098875148</v>
      </c>
      <c r="Y726" s="2">
        <f t="shared" si="93"/>
        <v>4.4408920985006262E-16</v>
      </c>
      <c r="Z726" s="2" t="str">
        <f t="shared" si="94"/>
        <v>OK</v>
      </c>
      <c r="AA726" t="str">
        <f t="shared" si="95"/>
        <v>Unique</v>
      </c>
    </row>
    <row r="727" spans="1:27" x14ac:dyDescent="0.3">
      <c r="A727">
        <v>726</v>
      </c>
      <c r="B727">
        <v>1434646.6876930399</v>
      </c>
      <c r="C727">
        <v>0.77064668681117399</v>
      </c>
      <c r="D727">
        <v>-0.192613149582195</v>
      </c>
      <c r="E727">
        <v>0.186551650811838</v>
      </c>
      <c r="F727">
        <v>1</v>
      </c>
      <c r="G727" t="s">
        <v>10</v>
      </c>
      <c r="H727">
        <v>0</v>
      </c>
      <c r="I727">
        <v>267635.70792087301</v>
      </c>
      <c r="J727">
        <v>0.813448349188161</v>
      </c>
      <c r="K727" t="str">
        <f t="shared" si="88"/>
        <v>OK</v>
      </c>
      <c r="L727" t="str">
        <f t="shared" si="89"/>
        <v>OK</v>
      </c>
      <c r="M727" t="str">
        <f>IF(OR(B727&lt;$AE$20,B727&gt;$AF$20),"Outlier","OK")</f>
        <v>OK</v>
      </c>
      <c r="N727" t="str">
        <f>IF(OR(J727&lt;$AE$21,J727&gt;$AF$21),"Outlier","OK")</f>
        <v>OK</v>
      </c>
      <c r="O727" t="str">
        <f>IF(OR(C727&lt;0,C727&gt;1),"Outlier","OK")</f>
        <v>OK</v>
      </c>
      <c r="P727" t="str">
        <f>IF(OR(D727&lt;0,D727&gt;1),"Outlier","OK")</f>
        <v>Outlier</v>
      </c>
      <c r="Q727" t="str">
        <f t="shared" si="90"/>
        <v>80-100%</v>
      </c>
      <c r="R727" t="str">
        <f>IF(B727="","Missing","OK")</f>
        <v>OK</v>
      </c>
      <c r="S727" t="str">
        <f>IF(E727="","Missing","OK")</f>
        <v>OK</v>
      </c>
      <c r="T727" t="str">
        <f t="shared" si="91"/>
        <v>OK</v>
      </c>
      <c r="U727">
        <f>COUNTIF($A:$A,A727)</f>
        <v>1</v>
      </c>
      <c r="V727" t="str">
        <f t="shared" si="92"/>
        <v>OK</v>
      </c>
      <c r="W727" t="str">
        <f>IF(I727&gt;B727,"ERROR","OK")</f>
        <v>OK</v>
      </c>
      <c r="X727">
        <f>(B727-I727)/B727</f>
        <v>0.81344834918816122</v>
      </c>
      <c r="Y727" s="2">
        <f t="shared" si="93"/>
        <v>2.2204460492503131E-16</v>
      </c>
      <c r="Z727" s="2" t="str">
        <f t="shared" si="94"/>
        <v>OK</v>
      </c>
      <c r="AA727" t="str">
        <f t="shared" si="95"/>
        <v>Unique</v>
      </c>
    </row>
    <row r="728" spans="1:27" x14ac:dyDescent="0.3">
      <c r="A728">
        <v>727</v>
      </c>
      <c r="B728">
        <v>624308.13843940396</v>
      </c>
      <c r="C728">
        <v>0.66314777801041203</v>
      </c>
      <c r="D728">
        <v>-0.117126155906161</v>
      </c>
      <c r="E728">
        <v>2.55813874770166E-2</v>
      </c>
      <c r="F728">
        <v>1</v>
      </c>
      <c r="G728" t="s">
        <v>13</v>
      </c>
      <c r="H728">
        <v>0</v>
      </c>
      <c r="I728">
        <v>15970.668394473299</v>
      </c>
      <c r="J728">
        <v>0.97441861252298301</v>
      </c>
      <c r="K728" t="str">
        <f t="shared" si="88"/>
        <v>OK</v>
      </c>
      <c r="L728" t="str">
        <f t="shared" si="89"/>
        <v>OK</v>
      </c>
      <c r="M728" t="str">
        <f>IF(OR(B728&lt;$AE$20,B728&gt;$AF$20),"Outlier","OK")</f>
        <v>OK</v>
      </c>
      <c r="N728" t="str">
        <f>IF(OR(J728&lt;$AE$21,J728&gt;$AF$21),"Outlier","OK")</f>
        <v>Outlier</v>
      </c>
      <c r="O728" t="str">
        <f>IF(OR(C728&lt;0,C728&gt;1),"Outlier","OK")</f>
        <v>OK</v>
      </c>
      <c r="P728" t="str">
        <f>IF(OR(D728&lt;0,D728&gt;1),"Outlier","OK")</f>
        <v>Outlier</v>
      </c>
      <c r="Q728" t="str">
        <f t="shared" si="90"/>
        <v>80-100%</v>
      </c>
      <c r="R728" t="str">
        <f>IF(B728="","Missing","OK")</f>
        <v>OK</v>
      </c>
      <c r="S728" t="str">
        <f>IF(E728="","Missing","OK")</f>
        <v>OK</v>
      </c>
      <c r="T728" t="str">
        <f t="shared" si="91"/>
        <v>OK</v>
      </c>
      <c r="U728">
        <f>COUNTIF($A:$A,A728)</f>
        <v>1</v>
      </c>
      <c r="V728" t="str">
        <f t="shared" si="92"/>
        <v>OK</v>
      </c>
      <c r="W728" t="str">
        <f>IF(I728&gt;B728,"ERROR","OK")</f>
        <v>OK</v>
      </c>
      <c r="X728">
        <f>(B728-I728)/B728</f>
        <v>0.97441861252298345</v>
      </c>
      <c r="Y728" s="2">
        <f t="shared" si="93"/>
        <v>4.4408920985006262E-16</v>
      </c>
      <c r="Z728" s="2" t="str">
        <f t="shared" si="94"/>
        <v>OK</v>
      </c>
      <c r="AA728" t="str">
        <f t="shared" si="95"/>
        <v>Unique</v>
      </c>
    </row>
    <row r="729" spans="1:27" x14ac:dyDescent="0.3">
      <c r="A729">
        <v>728</v>
      </c>
      <c r="B729">
        <v>1944159.7974352599</v>
      </c>
      <c r="C729">
        <v>0.68852000935353297</v>
      </c>
      <c r="D729">
        <v>-0.15420969239198301</v>
      </c>
      <c r="E729">
        <v>0.30194678406956399</v>
      </c>
      <c r="F729">
        <v>1</v>
      </c>
      <c r="G729" t="s">
        <v>12</v>
      </c>
      <c r="H729">
        <v>1</v>
      </c>
      <c r="I729">
        <v>587032.79855291604</v>
      </c>
      <c r="J729">
        <v>0.69805321593043501</v>
      </c>
      <c r="K729" t="str">
        <f t="shared" si="88"/>
        <v>OK</v>
      </c>
      <c r="L729" t="str">
        <f t="shared" si="89"/>
        <v>OK</v>
      </c>
      <c r="M729" t="str">
        <f>IF(OR(B729&lt;$AE$20,B729&gt;$AF$20),"Outlier","OK")</f>
        <v>OK</v>
      </c>
      <c r="N729" t="str">
        <f>IF(OR(J729&lt;$AE$21,J729&gt;$AF$21),"Outlier","OK")</f>
        <v>OK</v>
      </c>
      <c r="O729" t="str">
        <f>IF(OR(C729&lt;0,C729&gt;1),"Outlier","OK")</f>
        <v>OK</v>
      </c>
      <c r="P729" t="str">
        <f>IF(OR(D729&lt;0,D729&gt;1),"Outlier","OK")</f>
        <v>Outlier</v>
      </c>
      <c r="Q729" t="str">
        <f t="shared" si="90"/>
        <v>60-80%</v>
      </c>
      <c r="R729" t="str">
        <f>IF(B729="","Missing","OK")</f>
        <v>OK</v>
      </c>
      <c r="S729" t="str">
        <f>IF(E729="","Missing","OK")</f>
        <v>OK</v>
      </c>
      <c r="T729" t="str">
        <f t="shared" si="91"/>
        <v>OK</v>
      </c>
      <c r="U729">
        <f>COUNTIF($A:$A,A729)</f>
        <v>1</v>
      </c>
      <c r="V729" t="str">
        <f t="shared" si="92"/>
        <v>OK</v>
      </c>
      <c r="W729" t="str">
        <f>IF(I729&gt;B729,"ERROR","OK")</f>
        <v>OK</v>
      </c>
      <c r="X729">
        <f>(B729-I729)/B729</f>
        <v>0.69805321593043379</v>
      </c>
      <c r="Y729" s="2">
        <f t="shared" si="93"/>
        <v>1.2212453270876722E-15</v>
      </c>
      <c r="Z729" s="2" t="str">
        <f t="shared" si="94"/>
        <v>OK</v>
      </c>
      <c r="AA729" t="str">
        <f t="shared" si="95"/>
        <v>Unique</v>
      </c>
    </row>
    <row r="730" spans="1:27" x14ac:dyDescent="0.3">
      <c r="A730">
        <v>729</v>
      </c>
      <c r="B730">
        <v>593440.56663269096</v>
      </c>
      <c r="C730">
        <v>0.115323234220659</v>
      </c>
      <c r="D730">
        <v>-1.6444788090352401E-2</v>
      </c>
      <c r="E730">
        <v>0.16726334160900899</v>
      </c>
      <c r="F730">
        <v>1</v>
      </c>
      <c r="G730" t="s">
        <v>12</v>
      </c>
      <c r="H730">
        <v>0</v>
      </c>
      <c r="I730">
        <v>99260.852221328198</v>
      </c>
      <c r="J730">
        <v>0.83273665839098998</v>
      </c>
      <c r="K730" t="str">
        <f t="shared" si="88"/>
        <v>OK</v>
      </c>
      <c r="L730" t="str">
        <f t="shared" si="89"/>
        <v>OK</v>
      </c>
      <c r="M730" t="str">
        <f>IF(OR(B730&lt;$AE$20,B730&gt;$AF$20),"Outlier","OK")</f>
        <v>OK</v>
      </c>
      <c r="N730" t="str">
        <f>IF(OR(J730&lt;$AE$21,J730&gt;$AF$21),"Outlier","OK")</f>
        <v>OK</v>
      </c>
      <c r="O730" t="str">
        <f>IF(OR(C730&lt;0,C730&gt;1),"Outlier","OK")</f>
        <v>OK</v>
      </c>
      <c r="P730" t="str">
        <f>IF(OR(D730&lt;0,D730&gt;1),"Outlier","OK")</f>
        <v>Outlier</v>
      </c>
      <c r="Q730" t="str">
        <f t="shared" si="90"/>
        <v>80-100%</v>
      </c>
      <c r="R730" t="str">
        <f>IF(B730="","Missing","OK")</f>
        <v>OK</v>
      </c>
      <c r="S730" t="str">
        <f>IF(E730="","Missing","OK")</f>
        <v>OK</v>
      </c>
      <c r="T730" t="str">
        <f t="shared" si="91"/>
        <v>OK</v>
      </c>
      <c r="U730">
        <f>COUNTIF($A:$A,A730)</f>
        <v>1</v>
      </c>
      <c r="V730" t="str">
        <f t="shared" si="92"/>
        <v>OK</v>
      </c>
      <c r="W730" t="str">
        <f>IF(I730&gt;B730,"ERROR","OK")</f>
        <v>OK</v>
      </c>
      <c r="X730">
        <f>(B730-I730)/B730</f>
        <v>0.83273665839099009</v>
      </c>
      <c r="Y730" s="2">
        <f t="shared" si="93"/>
        <v>1.1102230246251565E-16</v>
      </c>
      <c r="Z730" s="2" t="str">
        <f t="shared" si="94"/>
        <v>OK</v>
      </c>
      <c r="AA730" t="str">
        <f t="shared" si="95"/>
        <v>Unique</v>
      </c>
    </row>
    <row r="731" spans="1:27" x14ac:dyDescent="0.3">
      <c r="A731">
        <v>730</v>
      </c>
      <c r="B731">
        <v>186465.26930051501</v>
      </c>
      <c r="C731">
        <v>0.78497128504009595</v>
      </c>
      <c r="D731">
        <v>-4.0499280001868698E-2</v>
      </c>
      <c r="E731">
        <v>0.107633942441466</v>
      </c>
      <c r="F731">
        <v>1</v>
      </c>
      <c r="G731" t="s">
        <v>13</v>
      </c>
      <c r="H731">
        <v>0</v>
      </c>
      <c r="I731">
        <v>20069.992063224199</v>
      </c>
      <c r="J731">
        <v>0.89236605755853304</v>
      </c>
      <c r="K731" t="str">
        <f t="shared" si="88"/>
        <v>OK</v>
      </c>
      <c r="L731" t="str">
        <f t="shared" si="89"/>
        <v>OK</v>
      </c>
      <c r="M731" t="str">
        <f>IF(OR(B731&lt;$AE$20,B731&gt;$AF$20),"Outlier","OK")</f>
        <v>OK</v>
      </c>
      <c r="N731" t="str">
        <f>IF(OR(J731&lt;$AE$21,J731&gt;$AF$21),"Outlier","OK")</f>
        <v>OK</v>
      </c>
      <c r="O731" t="str">
        <f>IF(OR(C731&lt;0,C731&gt;1),"Outlier","OK")</f>
        <v>OK</v>
      </c>
      <c r="P731" t="str">
        <f>IF(OR(D731&lt;0,D731&gt;1),"Outlier","OK")</f>
        <v>Outlier</v>
      </c>
      <c r="Q731" t="str">
        <f t="shared" si="90"/>
        <v>80-100%</v>
      </c>
      <c r="R731" t="str">
        <f>IF(B731="","Missing","OK")</f>
        <v>OK</v>
      </c>
      <c r="S731" t="str">
        <f>IF(E731="","Missing","OK")</f>
        <v>OK</v>
      </c>
      <c r="T731" t="str">
        <f t="shared" si="91"/>
        <v>OK</v>
      </c>
      <c r="U731">
        <f>COUNTIF($A:$A,A731)</f>
        <v>1</v>
      </c>
      <c r="V731" t="str">
        <f t="shared" si="92"/>
        <v>OK</v>
      </c>
      <c r="W731" t="str">
        <f>IF(I731&gt;B731,"ERROR","OK")</f>
        <v>OK</v>
      </c>
      <c r="X731">
        <f>(B731-I731)/B731</f>
        <v>0.89236605755853338</v>
      </c>
      <c r="Y731" s="2">
        <f t="shared" si="93"/>
        <v>3.3306690738754696E-16</v>
      </c>
      <c r="Z731" s="2" t="str">
        <f t="shared" si="94"/>
        <v>OK</v>
      </c>
      <c r="AA731" t="str">
        <f t="shared" si="95"/>
        <v>Unique</v>
      </c>
    </row>
    <row r="732" spans="1:27" x14ac:dyDescent="0.3">
      <c r="A732">
        <v>731</v>
      </c>
      <c r="B732">
        <v>1062596.7042285099</v>
      </c>
      <c r="C732">
        <v>0.61805853643587805</v>
      </c>
      <c r="D732">
        <v>-0.110723253163688</v>
      </c>
      <c r="E732">
        <v>0.42190033411862099</v>
      </c>
      <c r="F732">
        <v>1</v>
      </c>
      <c r="G732" t="s">
        <v>12</v>
      </c>
      <c r="H732">
        <v>1</v>
      </c>
      <c r="I732">
        <v>448309.90454735397</v>
      </c>
      <c r="J732">
        <v>0.57809966588137796</v>
      </c>
      <c r="K732" t="str">
        <f t="shared" si="88"/>
        <v>OK</v>
      </c>
      <c r="L732" t="str">
        <f t="shared" si="89"/>
        <v>OK</v>
      </c>
      <c r="M732" t="str">
        <f>IF(OR(B732&lt;$AE$20,B732&gt;$AF$20),"Outlier","OK")</f>
        <v>OK</v>
      </c>
      <c r="N732" t="str">
        <f>IF(OR(J732&lt;$AE$21,J732&gt;$AF$21),"Outlier","OK")</f>
        <v>OK</v>
      </c>
      <c r="O732" t="str">
        <f>IF(OR(C732&lt;0,C732&gt;1),"Outlier","OK")</f>
        <v>OK</v>
      </c>
      <c r="P732" t="str">
        <f>IF(OR(D732&lt;0,D732&gt;1),"Outlier","OK")</f>
        <v>Outlier</v>
      </c>
      <c r="Q732" t="str">
        <f t="shared" si="90"/>
        <v>40-60%</v>
      </c>
      <c r="R732" t="str">
        <f>IF(B732="","Missing","OK")</f>
        <v>OK</v>
      </c>
      <c r="S732" t="str">
        <f>IF(E732="","Missing","OK")</f>
        <v>OK</v>
      </c>
      <c r="T732" t="str">
        <f t="shared" si="91"/>
        <v>OK</v>
      </c>
      <c r="U732">
        <f>COUNTIF($A:$A,A732)</f>
        <v>1</v>
      </c>
      <c r="V732" t="str">
        <f t="shared" si="92"/>
        <v>OK</v>
      </c>
      <c r="W732" t="str">
        <f>IF(I732&gt;B732,"ERROR","OK")</f>
        <v>OK</v>
      </c>
      <c r="X732">
        <f>(B732-I732)/B732</f>
        <v>0.57809966588137884</v>
      </c>
      <c r="Y732" s="2">
        <f t="shared" si="93"/>
        <v>8.8817841970012523E-16</v>
      </c>
      <c r="Z732" s="2" t="str">
        <f t="shared" si="94"/>
        <v>OK</v>
      </c>
      <c r="AA732" t="str">
        <f t="shared" si="95"/>
        <v>Unique</v>
      </c>
    </row>
    <row r="733" spans="1:27" x14ac:dyDescent="0.3">
      <c r="A733">
        <v>732</v>
      </c>
      <c r="B733">
        <v>1403914.0280438899</v>
      </c>
      <c r="C733">
        <v>0.42362651350953301</v>
      </c>
      <c r="D733">
        <v>0.18600860245547199</v>
      </c>
      <c r="E733">
        <v>0.44691556505117802</v>
      </c>
      <c r="F733">
        <v>1</v>
      </c>
      <c r="G733" t="s">
        <v>11</v>
      </c>
      <c r="H733">
        <v>0</v>
      </c>
      <c r="I733">
        <v>627431.03112651396</v>
      </c>
      <c r="J733">
        <v>0.55308443494882098</v>
      </c>
      <c r="K733" t="str">
        <f t="shared" si="88"/>
        <v>OK</v>
      </c>
      <c r="L733" t="str">
        <f t="shared" si="89"/>
        <v>OK</v>
      </c>
      <c r="M733" t="str">
        <f>IF(OR(B733&lt;$AE$20,B733&gt;$AF$20),"Outlier","OK")</f>
        <v>OK</v>
      </c>
      <c r="N733" t="str">
        <f>IF(OR(J733&lt;$AE$21,J733&gt;$AF$21),"Outlier","OK")</f>
        <v>OK</v>
      </c>
      <c r="O733" t="str">
        <f>IF(OR(C733&lt;0,C733&gt;1),"Outlier","OK")</f>
        <v>OK</v>
      </c>
      <c r="P733" t="str">
        <f>IF(OR(D733&lt;0,D733&gt;1),"Outlier","OK")</f>
        <v>OK</v>
      </c>
      <c r="Q733" t="str">
        <f t="shared" si="90"/>
        <v>40-60%</v>
      </c>
      <c r="R733" t="str">
        <f>IF(B733="","Missing","OK")</f>
        <v>OK</v>
      </c>
      <c r="S733" t="str">
        <f>IF(E733="","Missing","OK")</f>
        <v>OK</v>
      </c>
      <c r="T733" t="str">
        <f t="shared" si="91"/>
        <v>OK</v>
      </c>
      <c r="U733">
        <f>COUNTIF($A:$A,A733)</f>
        <v>1</v>
      </c>
      <c r="V733" t="str">
        <f t="shared" si="92"/>
        <v>OK</v>
      </c>
      <c r="W733" t="str">
        <f>IF(I733&gt;B733,"ERROR","OK")</f>
        <v>OK</v>
      </c>
      <c r="X733">
        <f>(B733-I733)/B733</f>
        <v>0.55308443494881943</v>
      </c>
      <c r="Y733" s="2">
        <f t="shared" si="93"/>
        <v>1.5543122344752192E-15</v>
      </c>
      <c r="Z733" s="2" t="str">
        <f t="shared" si="94"/>
        <v>OK</v>
      </c>
      <c r="AA733" t="str">
        <f t="shared" si="95"/>
        <v>Unique</v>
      </c>
    </row>
    <row r="734" spans="1:27" x14ac:dyDescent="0.3">
      <c r="A734">
        <v>733</v>
      </c>
      <c r="B734">
        <v>527086.58477213804</v>
      </c>
      <c r="C734">
        <v>0.56347244157875997</v>
      </c>
      <c r="D734">
        <v>8.0457366349346499E-2</v>
      </c>
      <c r="E734">
        <v>0.21055069908896901</v>
      </c>
      <c r="F734">
        <v>1</v>
      </c>
      <c r="G734" t="s">
        <v>13</v>
      </c>
      <c r="H734">
        <v>0</v>
      </c>
      <c r="I734">
        <v>110978.448904191</v>
      </c>
      <c r="J734">
        <v>0.78944930091103005</v>
      </c>
      <c r="K734" t="str">
        <f t="shared" si="88"/>
        <v>OK</v>
      </c>
      <c r="L734" t="str">
        <f t="shared" si="89"/>
        <v>OK</v>
      </c>
      <c r="M734" t="str">
        <f>IF(OR(B734&lt;$AE$20,B734&gt;$AF$20),"Outlier","OK")</f>
        <v>OK</v>
      </c>
      <c r="N734" t="str">
        <f>IF(OR(J734&lt;$AE$21,J734&gt;$AF$21),"Outlier","OK")</f>
        <v>OK</v>
      </c>
      <c r="O734" t="str">
        <f>IF(OR(C734&lt;0,C734&gt;1),"Outlier","OK")</f>
        <v>OK</v>
      </c>
      <c r="P734" t="str">
        <f>IF(OR(D734&lt;0,D734&gt;1),"Outlier","OK")</f>
        <v>OK</v>
      </c>
      <c r="Q734" t="str">
        <f t="shared" si="90"/>
        <v>60-80%</v>
      </c>
      <c r="R734" t="str">
        <f>IF(B734="","Missing","OK")</f>
        <v>OK</v>
      </c>
      <c r="S734" t="str">
        <f>IF(E734="","Missing","OK")</f>
        <v>OK</v>
      </c>
      <c r="T734" t="str">
        <f t="shared" si="91"/>
        <v>OK</v>
      </c>
      <c r="U734">
        <f>COUNTIF($A:$A,A734)</f>
        <v>1</v>
      </c>
      <c r="V734" t="str">
        <f t="shared" si="92"/>
        <v>OK</v>
      </c>
      <c r="W734" t="str">
        <f>IF(I734&gt;B734,"ERROR","OK")</f>
        <v>OK</v>
      </c>
      <c r="X734">
        <f>(B734-I734)/B734</f>
        <v>0.78944930091103049</v>
      </c>
      <c r="Y734" s="2">
        <f t="shared" si="93"/>
        <v>4.4408920985006262E-16</v>
      </c>
      <c r="Z734" s="2" t="str">
        <f t="shared" si="94"/>
        <v>OK</v>
      </c>
      <c r="AA734" t="str">
        <f t="shared" si="95"/>
        <v>Unique</v>
      </c>
    </row>
    <row r="735" spans="1:27" x14ac:dyDescent="0.3">
      <c r="A735">
        <v>734</v>
      </c>
      <c r="B735">
        <v>710235.29434841604</v>
      </c>
      <c r="C735">
        <v>0.82273789615175696</v>
      </c>
      <c r="D735">
        <v>7.5514974260064802E-2</v>
      </c>
      <c r="E735">
        <v>7.8642113714891104E-2</v>
      </c>
      <c r="F735">
        <v>1</v>
      </c>
      <c r="G735" t="s">
        <v>13</v>
      </c>
      <c r="H735">
        <v>0</v>
      </c>
      <c r="I735">
        <v>55854.404782477301</v>
      </c>
      <c r="J735">
        <v>0.92135788628510795</v>
      </c>
      <c r="K735" t="str">
        <f t="shared" si="88"/>
        <v>OK</v>
      </c>
      <c r="L735" t="str">
        <f t="shared" si="89"/>
        <v>OK</v>
      </c>
      <c r="M735" t="str">
        <f>IF(OR(B735&lt;$AE$20,B735&gt;$AF$20),"Outlier","OK")</f>
        <v>OK</v>
      </c>
      <c r="N735" t="str">
        <f>IF(OR(J735&lt;$AE$21,J735&gt;$AF$21),"Outlier","OK")</f>
        <v>OK</v>
      </c>
      <c r="O735" t="str">
        <f>IF(OR(C735&lt;0,C735&gt;1),"Outlier","OK")</f>
        <v>OK</v>
      </c>
      <c r="P735" t="str">
        <f>IF(OR(D735&lt;0,D735&gt;1),"Outlier","OK")</f>
        <v>OK</v>
      </c>
      <c r="Q735" t="str">
        <f t="shared" si="90"/>
        <v>80-100%</v>
      </c>
      <c r="R735" t="str">
        <f>IF(B735="","Missing","OK")</f>
        <v>OK</v>
      </c>
      <c r="S735" t="str">
        <f>IF(E735="","Missing","OK")</f>
        <v>OK</v>
      </c>
      <c r="T735" t="str">
        <f t="shared" si="91"/>
        <v>OK</v>
      </c>
      <c r="U735">
        <f>COUNTIF($A:$A,A735)</f>
        <v>1</v>
      </c>
      <c r="V735" t="str">
        <f t="shared" si="92"/>
        <v>OK</v>
      </c>
      <c r="W735" t="str">
        <f>IF(I735&gt;B735,"ERROR","OK")</f>
        <v>OK</v>
      </c>
      <c r="X735">
        <f>(B735-I735)/B735</f>
        <v>0.92135788628510884</v>
      </c>
      <c r="Y735" s="2">
        <f t="shared" si="93"/>
        <v>8.8817841970012523E-16</v>
      </c>
      <c r="Z735" s="2" t="str">
        <f t="shared" si="94"/>
        <v>OK</v>
      </c>
      <c r="AA735" t="str">
        <f t="shared" si="95"/>
        <v>Unique</v>
      </c>
    </row>
    <row r="736" spans="1:27" x14ac:dyDescent="0.3">
      <c r="A736">
        <v>735</v>
      </c>
      <c r="B736">
        <v>1149074.56691156</v>
      </c>
      <c r="C736">
        <v>0.359307224819158</v>
      </c>
      <c r="D736">
        <v>0.172706718952708</v>
      </c>
      <c r="E736">
        <v>0.72192904991791795</v>
      </c>
      <c r="F736">
        <v>1</v>
      </c>
      <c r="G736" t="s">
        <v>12</v>
      </c>
      <c r="H736">
        <v>0</v>
      </c>
      <c r="I736">
        <v>829550.31037530606</v>
      </c>
      <c r="J736">
        <v>0.27807095008208099</v>
      </c>
      <c r="K736" t="str">
        <f t="shared" si="88"/>
        <v>OK</v>
      </c>
      <c r="L736" t="str">
        <f t="shared" si="89"/>
        <v>OK</v>
      </c>
      <c r="M736" t="str">
        <f>IF(OR(B736&lt;$AE$20,B736&gt;$AF$20),"Outlier","OK")</f>
        <v>OK</v>
      </c>
      <c r="N736" t="str">
        <f>IF(OR(J736&lt;$AE$21,J736&gt;$AF$21),"Outlier","OK")</f>
        <v>Outlier</v>
      </c>
      <c r="O736" t="str">
        <f>IF(OR(C736&lt;0,C736&gt;1),"Outlier","OK")</f>
        <v>OK</v>
      </c>
      <c r="P736" t="str">
        <f>IF(OR(D736&lt;0,D736&gt;1),"Outlier","OK")</f>
        <v>OK</v>
      </c>
      <c r="Q736" t="str">
        <f t="shared" si="90"/>
        <v>20-40%</v>
      </c>
      <c r="R736" t="str">
        <f>IF(B736="","Missing","OK")</f>
        <v>OK</v>
      </c>
      <c r="S736" t="str">
        <f>IF(E736="","Missing","OK")</f>
        <v>OK</v>
      </c>
      <c r="T736" t="str">
        <f t="shared" si="91"/>
        <v>OK</v>
      </c>
      <c r="U736">
        <f>COUNTIF($A:$A,A736)</f>
        <v>1</v>
      </c>
      <c r="V736" t="str">
        <f t="shared" si="92"/>
        <v>OK</v>
      </c>
      <c r="W736" t="str">
        <f>IF(I736&gt;B736,"ERROR","OK")</f>
        <v>OK</v>
      </c>
      <c r="X736">
        <f>(B736-I736)/B736</f>
        <v>0.2780709500820816</v>
      </c>
      <c r="Y736" s="2">
        <f t="shared" si="93"/>
        <v>6.106226635438361E-16</v>
      </c>
      <c r="Z736" s="2" t="str">
        <f t="shared" si="94"/>
        <v>OK</v>
      </c>
      <c r="AA736" t="str">
        <f t="shared" si="95"/>
        <v>Unique</v>
      </c>
    </row>
    <row r="737" spans="1:27" x14ac:dyDescent="0.3">
      <c r="A737">
        <v>736</v>
      </c>
      <c r="B737">
        <v>1779022.42328954</v>
      </c>
      <c r="C737">
        <v>0.70009194845476697</v>
      </c>
      <c r="D737">
        <v>8.6659170971851995E-2</v>
      </c>
      <c r="E737">
        <v>0.27458630404475398</v>
      </c>
      <c r="F737">
        <v>1</v>
      </c>
      <c r="G737" t="s">
        <v>13</v>
      </c>
      <c r="H737">
        <v>0</v>
      </c>
      <c r="I737">
        <v>488495.19202381797</v>
      </c>
      <c r="J737">
        <v>0.72541369595524496</v>
      </c>
      <c r="K737" t="str">
        <f t="shared" si="88"/>
        <v>OK</v>
      </c>
      <c r="L737" t="str">
        <f t="shared" si="89"/>
        <v>OK</v>
      </c>
      <c r="M737" t="str">
        <f>IF(OR(B737&lt;$AE$20,B737&gt;$AF$20),"Outlier","OK")</f>
        <v>OK</v>
      </c>
      <c r="N737" t="str">
        <f>IF(OR(J737&lt;$AE$21,J737&gt;$AF$21),"Outlier","OK")</f>
        <v>OK</v>
      </c>
      <c r="O737" t="str">
        <f>IF(OR(C737&lt;0,C737&gt;1),"Outlier","OK")</f>
        <v>OK</v>
      </c>
      <c r="P737" t="str">
        <f>IF(OR(D737&lt;0,D737&gt;1),"Outlier","OK")</f>
        <v>OK</v>
      </c>
      <c r="Q737" t="str">
        <f t="shared" si="90"/>
        <v>60-80%</v>
      </c>
      <c r="R737" t="str">
        <f>IF(B737="","Missing","OK")</f>
        <v>OK</v>
      </c>
      <c r="S737" t="str">
        <f>IF(E737="","Missing","OK")</f>
        <v>OK</v>
      </c>
      <c r="T737" t="str">
        <f t="shared" si="91"/>
        <v>OK</v>
      </c>
      <c r="U737">
        <f>COUNTIF($A:$A,A737)</f>
        <v>1</v>
      </c>
      <c r="V737" t="str">
        <f t="shared" si="92"/>
        <v>OK</v>
      </c>
      <c r="W737" t="str">
        <f>IF(I737&gt;B737,"ERROR","OK")</f>
        <v>OK</v>
      </c>
      <c r="X737">
        <f>(B737-I737)/B737</f>
        <v>0.7254136959552453</v>
      </c>
      <c r="Y737" s="2">
        <f t="shared" si="93"/>
        <v>3.3306690738754696E-16</v>
      </c>
      <c r="Z737" s="2" t="str">
        <f t="shared" si="94"/>
        <v>OK</v>
      </c>
      <c r="AA737" t="str">
        <f t="shared" si="95"/>
        <v>Unique</v>
      </c>
    </row>
    <row r="738" spans="1:27" x14ac:dyDescent="0.3">
      <c r="A738">
        <v>737</v>
      </c>
      <c r="B738">
        <v>1507285.51657795</v>
      </c>
      <c r="C738">
        <v>0.74578205611535198</v>
      </c>
      <c r="D738">
        <v>0.14749276033738601</v>
      </c>
      <c r="E738">
        <v>2.2508925775116598E-2</v>
      </c>
      <c r="F738">
        <v>1</v>
      </c>
      <c r="G738" t="s">
        <v>10</v>
      </c>
      <c r="H738">
        <v>1</v>
      </c>
      <c r="I738">
        <v>33927.3778145615</v>
      </c>
      <c r="J738">
        <v>0.97749107422488302</v>
      </c>
      <c r="K738" t="str">
        <f t="shared" si="88"/>
        <v>OK</v>
      </c>
      <c r="L738" t="str">
        <f t="shared" si="89"/>
        <v>OK</v>
      </c>
      <c r="M738" t="str">
        <f>IF(OR(B738&lt;$AE$20,B738&gt;$AF$20),"Outlier","OK")</f>
        <v>OK</v>
      </c>
      <c r="N738" t="str">
        <f>IF(OR(J738&lt;$AE$21,J738&gt;$AF$21),"Outlier","OK")</f>
        <v>Outlier</v>
      </c>
      <c r="O738" t="str">
        <f>IF(OR(C738&lt;0,C738&gt;1),"Outlier","OK")</f>
        <v>OK</v>
      </c>
      <c r="P738" t="str">
        <f>IF(OR(D738&lt;0,D738&gt;1),"Outlier","OK")</f>
        <v>OK</v>
      </c>
      <c r="Q738" t="str">
        <f t="shared" si="90"/>
        <v>80-100%</v>
      </c>
      <c r="R738" t="str">
        <f>IF(B738="","Missing","OK")</f>
        <v>OK</v>
      </c>
      <c r="S738" t="str">
        <f>IF(E738="","Missing","OK")</f>
        <v>OK</v>
      </c>
      <c r="T738" t="str">
        <f t="shared" si="91"/>
        <v>OK</v>
      </c>
      <c r="U738">
        <f>COUNTIF($A:$A,A738)</f>
        <v>1</v>
      </c>
      <c r="V738" t="str">
        <f t="shared" si="92"/>
        <v>OK</v>
      </c>
      <c r="W738" t="str">
        <f>IF(I738&gt;B738,"ERROR","OK")</f>
        <v>OK</v>
      </c>
      <c r="X738">
        <f>(B738-I738)/B738</f>
        <v>0.97749107422488324</v>
      </c>
      <c r="Y738" s="2">
        <f t="shared" si="93"/>
        <v>2.2204460492503131E-16</v>
      </c>
      <c r="Z738" s="2" t="str">
        <f t="shared" si="94"/>
        <v>OK</v>
      </c>
      <c r="AA738" t="str">
        <f t="shared" si="95"/>
        <v>Unique</v>
      </c>
    </row>
    <row r="739" spans="1:27" x14ac:dyDescent="0.3">
      <c r="A739">
        <v>738</v>
      </c>
      <c r="B739">
        <v>458704.320273822</v>
      </c>
      <c r="C739">
        <v>0.51074681245084197</v>
      </c>
      <c r="D739">
        <v>0.151584618773137</v>
      </c>
      <c r="E739">
        <v>0.31538618188221001</v>
      </c>
      <c r="F739">
        <v>1</v>
      </c>
      <c r="G739" t="s">
        <v>10</v>
      </c>
      <c r="H739">
        <v>1</v>
      </c>
      <c r="I739">
        <v>144669.004184035</v>
      </c>
      <c r="J739">
        <v>0.68461381811778899</v>
      </c>
      <c r="K739" t="str">
        <f t="shared" si="88"/>
        <v>OK</v>
      </c>
      <c r="L739" t="str">
        <f t="shared" si="89"/>
        <v>OK</v>
      </c>
      <c r="M739" t="str">
        <f>IF(OR(B739&lt;$AE$20,B739&gt;$AF$20),"Outlier","OK")</f>
        <v>OK</v>
      </c>
      <c r="N739" t="str">
        <f>IF(OR(J739&lt;$AE$21,J739&gt;$AF$21),"Outlier","OK")</f>
        <v>OK</v>
      </c>
      <c r="O739" t="str">
        <f>IF(OR(C739&lt;0,C739&gt;1),"Outlier","OK")</f>
        <v>OK</v>
      </c>
      <c r="P739" t="str">
        <f>IF(OR(D739&lt;0,D739&gt;1),"Outlier","OK")</f>
        <v>OK</v>
      </c>
      <c r="Q739" t="str">
        <f t="shared" si="90"/>
        <v>60-80%</v>
      </c>
      <c r="R739" t="str">
        <f>IF(B739="","Missing","OK")</f>
        <v>OK</v>
      </c>
      <c r="S739" t="str">
        <f>IF(E739="","Missing","OK")</f>
        <v>OK</v>
      </c>
      <c r="T739" t="str">
        <f t="shared" si="91"/>
        <v>OK</v>
      </c>
      <c r="U739">
        <f>COUNTIF($A:$A,A739)</f>
        <v>1</v>
      </c>
      <c r="V739" t="str">
        <f t="shared" si="92"/>
        <v>OK</v>
      </c>
      <c r="W739" t="str">
        <f>IF(I739&gt;B739,"ERROR","OK")</f>
        <v>OK</v>
      </c>
      <c r="X739">
        <f>(B739-I739)/B739</f>
        <v>0.68461381811779032</v>
      </c>
      <c r="Y739" s="2">
        <f t="shared" si="93"/>
        <v>1.3322676295501878E-15</v>
      </c>
      <c r="Z739" s="2" t="str">
        <f t="shared" si="94"/>
        <v>OK</v>
      </c>
      <c r="AA739" t="str">
        <f t="shared" si="95"/>
        <v>Unique</v>
      </c>
    </row>
    <row r="740" spans="1:27" x14ac:dyDescent="0.3">
      <c r="A740">
        <v>739</v>
      </c>
      <c r="B740">
        <v>540965.28790614998</v>
      </c>
      <c r="C740">
        <v>0.85723625075591603</v>
      </c>
      <c r="D740">
        <v>-0.178681863845327</v>
      </c>
      <c r="E740">
        <v>0.125854525932036</v>
      </c>
      <c r="F740">
        <v>1</v>
      </c>
      <c r="G740" t="s">
        <v>13</v>
      </c>
      <c r="H740">
        <v>0</v>
      </c>
      <c r="I740">
        <v>68082.929855116294</v>
      </c>
      <c r="J740">
        <v>0.87414547406796295</v>
      </c>
      <c r="K740" t="str">
        <f t="shared" si="88"/>
        <v>OK</v>
      </c>
      <c r="L740" t="str">
        <f t="shared" si="89"/>
        <v>OK</v>
      </c>
      <c r="M740" t="str">
        <f>IF(OR(B740&lt;$AE$20,B740&gt;$AF$20),"Outlier","OK")</f>
        <v>OK</v>
      </c>
      <c r="N740" t="str">
        <f>IF(OR(J740&lt;$AE$21,J740&gt;$AF$21),"Outlier","OK")</f>
        <v>OK</v>
      </c>
      <c r="O740" t="str">
        <f>IF(OR(C740&lt;0,C740&gt;1),"Outlier","OK")</f>
        <v>OK</v>
      </c>
      <c r="P740" t="str">
        <f>IF(OR(D740&lt;0,D740&gt;1),"Outlier","OK")</f>
        <v>Outlier</v>
      </c>
      <c r="Q740" t="str">
        <f t="shared" si="90"/>
        <v>80-100%</v>
      </c>
      <c r="R740" t="str">
        <f>IF(B740="","Missing","OK")</f>
        <v>OK</v>
      </c>
      <c r="S740" t="str">
        <f>IF(E740="","Missing","OK")</f>
        <v>OK</v>
      </c>
      <c r="T740" t="str">
        <f t="shared" si="91"/>
        <v>OK</v>
      </c>
      <c r="U740">
        <f>COUNTIF($A:$A,A740)</f>
        <v>1</v>
      </c>
      <c r="V740" t="str">
        <f t="shared" si="92"/>
        <v>OK</v>
      </c>
      <c r="W740" t="str">
        <f>IF(I740&gt;B740,"ERROR","OK")</f>
        <v>OK</v>
      </c>
      <c r="X740">
        <f>(B740-I740)/B740</f>
        <v>0.87414547406796317</v>
      </c>
      <c r="Y740" s="2">
        <f t="shared" si="93"/>
        <v>2.2204460492503131E-16</v>
      </c>
      <c r="Z740" s="2" t="str">
        <f t="shared" si="94"/>
        <v>OK</v>
      </c>
      <c r="AA740" t="str">
        <f t="shared" si="95"/>
        <v>Unique</v>
      </c>
    </row>
    <row r="741" spans="1:27" x14ac:dyDescent="0.3">
      <c r="A741">
        <v>740</v>
      </c>
      <c r="B741">
        <v>1071567.34387661</v>
      </c>
      <c r="C741">
        <v>0.74189606181207601</v>
      </c>
      <c r="D741">
        <v>-1.1405673879223499E-2</v>
      </c>
      <c r="E741">
        <v>0.21004754270903001</v>
      </c>
      <c r="F741">
        <v>1</v>
      </c>
      <c r="G741" t="s">
        <v>10</v>
      </c>
      <c r="H741">
        <v>1</v>
      </c>
      <c r="I741">
        <v>225080.087428525</v>
      </c>
      <c r="J741">
        <v>0.78995245729096897</v>
      </c>
      <c r="K741" t="str">
        <f t="shared" si="88"/>
        <v>OK</v>
      </c>
      <c r="L741" t="str">
        <f t="shared" si="89"/>
        <v>OK</v>
      </c>
      <c r="M741" t="str">
        <f>IF(OR(B741&lt;$AE$20,B741&gt;$AF$20),"Outlier","OK")</f>
        <v>OK</v>
      </c>
      <c r="N741" t="str">
        <f>IF(OR(J741&lt;$AE$21,J741&gt;$AF$21),"Outlier","OK")</f>
        <v>OK</v>
      </c>
      <c r="O741" t="str">
        <f>IF(OR(C741&lt;0,C741&gt;1),"Outlier","OK")</f>
        <v>OK</v>
      </c>
      <c r="P741" t="str">
        <f>IF(OR(D741&lt;0,D741&gt;1),"Outlier","OK")</f>
        <v>Outlier</v>
      </c>
      <c r="Q741" t="str">
        <f t="shared" si="90"/>
        <v>60-80%</v>
      </c>
      <c r="R741" t="str">
        <f>IF(B741="","Missing","OK")</f>
        <v>OK</v>
      </c>
      <c r="S741" t="str">
        <f>IF(E741="","Missing","OK")</f>
        <v>OK</v>
      </c>
      <c r="T741" t="str">
        <f t="shared" si="91"/>
        <v>OK</v>
      </c>
      <c r="U741">
        <f>COUNTIF($A:$A,A741)</f>
        <v>1</v>
      </c>
      <c r="V741" t="str">
        <f t="shared" si="92"/>
        <v>OK</v>
      </c>
      <c r="W741" t="str">
        <f>IF(I741&gt;B741,"ERROR","OK")</f>
        <v>OK</v>
      </c>
      <c r="X741">
        <f>(B741-I741)/B741</f>
        <v>0.78995245729096919</v>
      </c>
      <c r="Y741" s="2">
        <f t="shared" si="93"/>
        <v>2.2204460492503131E-16</v>
      </c>
      <c r="Z741" s="2" t="str">
        <f t="shared" si="94"/>
        <v>OK</v>
      </c>
      <c r="AA741" t="str">
        <f t="shared" si="95"/>
        <v>Unique</v>
      </c>
    </row>
    <row r="742" spans="1:27" x14ac:dyDescent="0.3">
      <c r="A742">
        <v>741</v>
      </c>
      <c r="B742">
        <v>1549469.4551814799</v>
      </c>
      <c r="C742">
        <v>0.23245144006694099</v>
      </c>
      <c r="D742">
        <v>-0.15650710134373</v>
      </c>
      <c r="E742">
        <v>0.394292209290592</v>
      </c>
      <c r="F742">
        <v>1</v>
      </c>
      <c r="G742" t="s">
        <v>10</v>
      </c>
      <c r="H742">
        <v>1</v>
      </c>
      <c r="I742">
        <v>610943.73471179896</v>
      </c>
      <c r="J742">
        <v>0.60570779070940695</v>
      </c>
      <c r="K742" t="str">
        <f t="shared" si="88"/>
        <v>OK</v>
      </c>
      <c r="L742" t="str">
        <f t="shared" si="89"/>
        <v>OK</v>
      </c>
      <c r="M742" t="str">
        <f>IF(OR(B742&lt;$AE$20,B742&gt;$AF$20),"Outlier","OK")</f>
        <v>OK</v>
      </c>
      <c r="N742" t="str">
        <f>IF(OR(J742&lt;$AE$21,J742&gt;$AF$21),"Outlier","OK")</f>
        <v>OK</v>
      </c>
      <c r="O742" t="str">
        <f>IF(OR(C742&lt;0,C742&gt;1),"Outlier","OK")</f>
        <v>OK</v>
      </c>
      <c r="P742" t="str">
        <f>IF(OR(D742&lt;0,D742&gt;1),"Outlier","OK")</f>
        <v>Outlier</v>
      </c>
      <c r="Q742" t="str">
        <f t="shared" si="90"/>
        <v>60-80%</v>
      </c>
      <c r="R742" t="str">
        <f>IF(B742="","Missing","OK")</f>
        <v>OK</v>
      </c>
      <c r="S742" t="str">
        <f>IF(E742="","Missing","OK")</f>
        <v>OK</v>
      </c>
      <c r="T742" t="str">
        <f t="shared" si="91"/>
        <v>OK</v>
      </c>
      <c r="U742">
        <f>COUNTIF($A:$A,A742)</f>
        <v>1</v>
      </c>
      <c r="V742" t="str">
        <f t="shared" si="92"/>
        <v>OK</v>
      </c>
      <c r="W742" t="str">
        <f>IF(I742&gt;B742,"ERROR","OK")</f>
        <v>OK</v>
      </c>
      <c r="X742">
        <f>(B742-I742)/B742</f>
        <v>0.60570779070940584</v>
      </c>
      <c r="Y742" s="2">
        <f t="shared" si="93"/>
        <v>1.1102230246251565E-15</v>
      </c>
      <c r="Z742" s="2" t="str">
        <f t="shared" si="94"/>
        <v>OK</v>
      </c>
      <c r="AA742" t="str">
        <f t="shared" si="95"/>
        <v>Unique</v>
      </c>
    </row>
    <row r="743" spans="1:27" x14ac:dyDescent="0.3">
      <c r="A743">
        <v>742</v>
      </c>
      <c r="B743">
        <v>1256585.4674758301</v>
      </c>
      <c r="C743">
        <v>0.60075756306524097</v>
      </c>
      <c r="D743">
        <v>2.5913855703890099E-2</v>
      </c>
      <c r="E743">
        <v>0.36415820878445698</v>
      </c>
      <c r="F743">
        <v>1</v>
      </c>
      <c r="G743" t="s">
        <v>12</v>
      </c>
      <c r="H743">
        <v>1</v>
      </c>
      <c r="I743">
        <v>457595.91302058002</v>
      </c>
      <c r="J743">
        <v>0.63584179121554196</v>
      </c>
      <c r="K743" t="str">
        <f t="shared" si="88"/>
        <v>OK</v>
      </c>
      <c r="L743" t="str">
        <f t="shared" si="89"/>
        <v>OK</v>
      </c>
      <c r="M743" t="str">
        <f>IF(OR(B743&lt;$AE$20,B743&gt;$AF$20),"Outlier","OK")</f>
        <v>OK</v>
      </c>
      <c r="N743" t="str">
        <f>IF(OR(J743&lt;$AE$21,J743&gt;$AF$21),"Outlier","OK")</f>
        <v>OK</v>
      </c>
      <c r="O743" t="str">
        <f>IF(OR(C743&lt;0,C743&gt;1),"Outlier","OK")</f>
        <v>OK</v>
      </c>
      <c r="P743" t="str">
        <f>IF(OR(D743&lt;0,D743&gt;1),"Outlier","OK")</f>
        <v>OK</v>
      </c>
      <c r="Q743" t="str">
        <f t="shared" si="90"/>
        <v>60-80%</v>
      </c>
      <c r="R743" t="str">
        <f>IF(B743="","Missing","OK")</f>
        <v>OK</v>
      </c>
      <c r="S743" t="str">
        <f>IF(E743="","Missing","OK")</f>
        <v>OK</v>
      </c>
      <c r="T743" t="str">
        <f t="shared" si="91"/>
        <v>OK</v>
      </c>
      <c r="U743">
        <f>COUNTIF($A:$A,A743)</f>
        <v>1</v>
      </c>
      <c r="V743" t="str">
        <f t="shared" si="92"/>
        <v>OK</v>
      </c>
      <c r="W743" t="str">
        <f>IF(I743&gt;B743,"ERROR","OK")</f>
        <v>OK</v>
      </c>
      <c r="X743">
        <f>(B743-I743)/B743</f>
        <v>0.63584179121554119</v>
      </c>
      <c r="Y743" s="2">
        <f t="shared" si="93"/>
        <v>7.7715611723760958E-16</v>
      </c>
      <c r="Z743" s="2" t="str">
        <f t="shared" si="94"/>
        <v>OK</v>
      </c>
      <c r="AA743" t="str">
        <f t="shared" si="95"/>
        <v>Unique</v>
      </c>
    </row>
    <row r="744" spans="1:27" x14ac:dyDescent="0.3">
      <c r="A744">
        <v>743</v>
      </c>
      <c r="B744">
        <v>1027582.31928678</v>
      </c>
      <c r="C744">
        <v>0.36264042996226198</v>
      </c>
      <c r="D744">
        <v>-0.104361199979752</v>
      </c>
      <c r="E744">
        <v>0.42234906339898398</v>
      </c>
      <c r="F744">
        <v>1</v>
      </c>
      <c r="G744" t="s">
        <v>12</v>
      </c>
      <c r="H744">
        <v>1</v>
      </c>
      <c r="I744">
        <v>433998.43011612998</v>
      </c>
      <c r="J744">
        <v>0.57765093660101496</v>
      </c>
      <c r="K744" t="str">
        <f t="shared" si="88"/>
        <v>OK</v>
      </c>
      <c r="L744" t="str">
        <f t="shared" si="89"/>
        <v>OK</v>
      </c>
      <c r="M744" t="str">
        <f>IF(OR(B744&lt;$AE$20,B744&gt;$AF$20),"Outlier","OK")</f>
        <v>OK</v>
      </c>
      <c r="N744" t="str">
        <f>IF(OR(J744&lt;$AE$21,J744&gt;$AF$21),"Outlier","OK")</f>
        <v>OK</v>
      </c>
      <c r="O744" t="str">
        <f>IF(OR(C744&lt;0,C744&gt;1),"Outlier","OK")</f>
        <v>OK</v>
      </c>
      <c r="P744" t="str">
        <f>IF(OR(D744&lt;0,D744&gt;1),"Outlier","OK")</f>
        <v>Outlier</v>
      </c>
      <c r="Q744" t="str">
        <f t="shared" si="90"/>
        <v>40-60%</v>
      </c>
      <c r="R744" t="str">
        <f>IF(B744="","Missing","OK")</f>
        <v>OK</v>
      </c>
      <c r="S744" t="str">
        <f>IF(E744="","Missing","OK")</f>
        <v>OK</v>
      </c>
      <c r="T744" t="str">
        <f t="shared" si="91"/>
        <v>OK</v>
      </c>
      <c r="U744">
        <f>COUNTIF($A:$A,A744)</f>
        <v>1</v>
      </c>
      <c r="V744" t="str">
        <f t="shared" si="92"/>
        <v>OK</v>
      </c>
      <c r="W744" t="str">
        <f>IF(I744&gt;B744,"ERROR","OK")</f>
        <v>OK</v>
      </c>
      <c r="X744">
        <f>(B744-I744)/B744</f>
        <v>0.5776509366010133</v>
      </c>
      <c r="Y744" s="2">
        <f t="shared" si="93"/>
        <v>1.6653345369377348E-15</v>
      </c>
      <c r="Z744" s="2" t="str">
        <f t="shared" si="94"/>
        <v>OK</v>
      </c>
      <c r="AA744" t="str">
        <f t="shared" si="95"/>
        <v>Unique</v>
      </c>
    </row>
    <row r="745" spans="1:27" x14ac:dyDescent="0.3">
      <c r="A745">
        <v>744</v>
      </c>
      <c r="B745">
        <v>1214394.41268847</v>
      </c>
      <c r="C745">
        <v>0.71262602936767105</v>
      </c>
      <c r="D745">
        <v>0.16685230312958599</v>
      </c>
      <c r="E745">
        <v>0.33356125665088399</v>
      </c>
      <c r="F745">
        <v>1</v>
      </c>
      <c r="G745" t="s">
        <v>13</v>
      </c>
      <c r="H745">
        <v>0</v>
      </c>
      <c r="I745">
        <v>405074.92636617902</v>
      </c>
      <c r="J745">
        <v>0.66643874334911501</v>
      </c>
      <c r="K745" t="str">
        <f t="shared" si="88"/>
        <v>OK</v>
      </c>
      <c r="L745" t="str">
        <f t="shared" si="89"/>
        <v>OK</v>
      </c>
      <c r="M745" t="str">
        <f>IF(OR(B745&lt;$AE$20,B745&gt;$AF$20),"Outlier","OK")</f>
        <v>OK</v>
      </c>
      <c r="N745" t="str">
        <f>IF(OR(J745&lt;$AE$21,J745&gt;$AF$21),"Outlier","OK")</f>
        <v>OK</v>
      </c>
      <c r="O745" t="str">
        <f>IF(OR(C745&lt;0,C745&gt;1),"Outlier","OK")</f>
        <v>OK</v>
      </c>
      <c r="P745" t="str">
        <f>IF(OR(D745&lt;0,D745&gt;1),"Outlier","OK")</f>
        <v>OK</v>
      </c>
      <c r="Q745" t="str">
        <f t="shared" si="90"/>
        <v>60-80%</v>
      </c>
      <c r="R745" t="str">
        <f>IF(B745="","Missing","OK")</f>
        <v>OK</v>
      </c>
      <c r="S745" t="str">
        <f>IF(E745="","Missing","OK")</f>
        <v>OK</v>
      </c>
      <c r="T745" t="str">
        <f t="shared" si="91"/>
        <v>OK</v>
      </c>
      <c r="U745">
        <f>COUNTIF($A:$A,A745)</f>
        <v>1</v>
      </c>
      <c r="V745" t="str">
        <f t="shared" si="92"/>
        <v>OK</v>
      </c>
      <c r="W745" t="str">
        <f>IF(I745&gt;B745,"ERROR","OK")</f>
        <v>OK</v>
      </c>
      <c r="X745">
        <f>(B745-I745)/B745</f>
        <v>0.66643874334911535</v>
      </c>
      <c r="Y745" s="2">
        <f t="shared" si="93"/>
        <v>3.3306690738754696E-16</v>
      </c>
      <c r="Z745" s="2" t="str">
        <f t="shared" si="94"/>
        <v>OK</v>
      </c>
      <c r="AA745" t="str">
        <f t="shared" si="95"/>
        <v>Unique</v>
      </c>
    </row>
    <row r="746" spans="1:27" x14ac:dyDescent="0.3">
      <c r="A746">
        <v>745</v>
      </c>
      <c r="B746">
        <v>1524317.05680283</v>
      </c>
      <c r="C746">
        <v>0.74594686674527599</v>
      </c>
      <c r="D746">
        <v>4.3062363808518203E-2</v>
      </c>
      <c r="E746">
        <v>0.24237561117178</v>
      </c>
      <c r="F746">
        <v>1</v>
      </c>
      <c r="G746" t="s">
        <v>11</v>
      </c>
      <c r="H746">
        <v>0</v>
      </c>
      <c r="I746">
        <v>369457.278262156</v>
      </c>
      <c r="J746">
        <v>0.75762438882821903</v>
      </c>
      <c r="K746" t="str">
        <f t="shared" si="88"/>
        <v>OK</v>
      </c>
      <c r="L746" t="str">
        <f t="shared" si="89"/>
        <v>OK</v>
      </c>
      <c r="M746" t="str">
        <f>IF(OR(B746&lt;$AE$20,B746&gt;$AF$20),"Outlier","OK")</f>
        <v>OK</v>
      </c>
      <c r="N746" t="str">
        <f>IF(OR(J746&lt;$AE$21,J746&gt;$AF$21),"Outlier","OK")</f>
        <v>OK</v>
      </c>
      <c r="O746" t="str">
        <f>IF(OR(C746&lt;0,C746&gt;1),"Outlier","OK")</f>
        <v>OK</v>
      </c>
      <c r="P746" t="str">
        <f>IF(OR(D746&lt;0,D746&gt;1),"Outlier","OK")</f>
        <v>OK</v>
      </c>
      <c r="Q746" t="str">
        <f t="shared" si="90"/>
        <v>60-80%</v>
      </c>
      <c r="R746" t="str">
        <f>IF(B746="","Missing","OK")</f>
        <v>OK</v>
      </c>
      <c r="S746" t="str">
        <f>IF(E746="","Missing","OK")</f>
        <v>OK</v>
      </c>
      <c r="T746" t="str">
        <f t="shared" si="91"/>
        <v>OK</v>
      </c>
      <c r="U746">
        <f>COUNTIF($A:$A,A746)</f>
        <v>1</v>
      </c>
      <c r="V746" t="str">
        <f t="shared" si="92"/>
        <v>OK</v>
      </c>
      <c r="W746" t="str">
        <f>IF(I746&gt;B746,"ERROR","OK")</f>
        <v>OK</v>
      </c>
      <c r="X746">
        <f>(B746-I746)/B746</f>
        <v>0.75762438882821914</v>
      </c>
      <c r="Y746" s="2">
        <f t="shared" si="93"/>
        <v>1.1102230246251565E-16</v>
      </c>
      <c r="Z746" s="2" t="str">
        <f t="shared" si="94"/>
        <v>OK</v>
      </c>
      <c r="AA746" t="str">
        <f t="shared" si="95"/>
        <v>Unique</v>
      </c>
    </row>
    <row r="747" spans="1:27" x14ac:dyDescent="0.3">
      <c r="A747">
        <v>746</v>
      </c>
      <c r="B747">
        <v>1097305.5979106701</v>
      </c>
      <c r="C747">
        <v>0.43921282372538101</v>
      </c>
      <c r="D747">
        <v>0.10403320333887101</v>
      </c>
      <c r="E747">
        <v>0.22112175844260401</v>
      </c>
      <c r="F747">
        <v>1</v>
      </c>
      <c r="G747" t="s">
        <v>13</v>
      </c>
      <c r="H747">
        <v>1</v>
      </c>
      <c r="I747">
        <v>242638.14335892</v>
      </c>
      <c r="J747">
        <v>0.77887824155739505</v>
      </c>
      <c r="K747" t="str">
        <f t="shared" si="88"/>
        <v>OK</v>
      </c>
      <c r="L747" t="str">
        <f t="shared" si="89"/>
        <v>OK</v>
      </c>
      <c r="M747" t="str">
        <f>IF(OR(B747&lt;$AE$20,B747&gt;$AF$20),"Outlier","OK")</f>
        <v>OK</v>
      </c>
      <c r="N747" t="str">
        <f>IF(OR(J747&lt;$AE$21,J747&gt;$AF$21),"Outlier","OK")</f>
        <v>OK</v>
      </c>
      <c r="O747" t="str">
        <f>IF(OR(C747&lt;0,C747&gt;1),"Outlier","OK")</f>
        <v>OK</v>
      </c>
      <c r="P747" t="str">
        <f>IF(OR(D747&lt;0,D747&gt;1),"Outlier","OK")</f>
        <v>OK</v>
      </c>
      <c r="Q747" t="str">
        <f t="shared" si="90"/>
        <v>60-80%</v>
      </c>
      <c r="R747" t="str">
        <f>IF(B747="","Missing","OK")</f>
        <v>OK</v>
      </c>
      <c r="S747" t="str">
        <f>IF(E747="","Missing","OK")</f>
        <v>OK</v>
      </c>
      <c r="T747" t="str">
        <f t="shared" si="91"/>
        <v>OK</v>
      </c>
      <c r="U747">
        <f>COUNTIF($A:$A,A747)</f>
        <v>1</v>
      </c>
      <c r="V747" t="str">
        <f t="shared" si="92"/>
        <v>OK</v>
      </c>
      <c r="W747" t="str">
        <f>IF(I747&gt;B747,"ERROR","OK")</f>
        <v>OK</v>
      </c>
      <c r="X747">
        <f>(B747-I747)/B747</f>
        <v>0.77887824155739627</v>
      </c>
      <c r="Y747" s="2">
        <f t="shared" si="93"/>
        <v>1.2212453270876722E-15</v>
      </c>
      <c r="Z747" s="2" t="str">
        <f t="shared" si="94"/>
        <v>OK</v>
      </c>
      <c r="AA747" t="str">
        <f t="shared" si="95"/>
        <v>Unique</v>
      </c>
    </row>
    <row r="748" spans="1:27" x14ac:dyDescent="0.3">
      <c r="A748">
        <v>747</v>
      </c>
      <c r="B748">
        <v>1800617.85119787</v>
      </c>
      <c r="C748">
        <v>0.80303237590068499</v>
      </c>
      <c r="D748">
        <v>-8.8773815205500803E-2</v>
      </c>
      <c r="E748">
        <v>0.384493542104552</v>
      </c>
      <c r="F748">
        <v>1</v>
      </c>
      <c r="G748" t="s">
        <v>11</v>
      </c>
      <c r="H748">
        <v>0</v>
      </c>
      <c r="I748">
        <v>692325.935583757</v>
      </c>
      <c r="J748">
        <v>0.615506457895447</v>
      </c>
      <c r="K748" t="str">
        <f t="shared" si="88"/>
        <v>OK</v>
      </c>
      <c r="L748" t="str">
        <f t="shared" si="89"/>
        <v>OK</v>
      </c>
      <c r="M748" t="str">
        <f>IF(OR(B748&lt;$AE$20,B748&gt;$AF$20),"Outlier","OK")</f>
        <v>OK</v>
      </c>
      <c r="N748" t="str">
        <f>IF(OR(J748&lt;$AE$21,J748&gt;$AF$21),"Outlier","OK")</f>
        <v>OK</v>
      </c>
      <c r="O748" t="str">
        <f>IF(OR(C748&lt;0,C748&gt;1),"Outlier","OK")</f>
        <v>OK</v>
      </c>
      <c r="P748" t="str">
        <f>IF(OR(D748&lt;0,D748&gt;1),"Outlier","OK")</f>
        <v>Outlier</v>
      </c>
      <c r="Q748" t="str">
        <f t="shared" si="90"/>
        <v>60-80%</v>
      </c>
      <c r="R748" t="str">
        <f>IF(B748="","Missing","OK")</f>
        <v>OK</v>
      </c>
      <c r="S748" t="str">
        <f>IF(E748="","Missing","OK")</f>
        <v>OK</v>
      </c>
      <c r="T748" t="str">
        <f t="shared" si="91"/>
        <v>OK</v>
      </c>
      <c r="U748">
        <f>COUNTIF($A:$A,A748)</f>
        <v>1</v>
      </c>
      <c r="V748" t="str">
        <f t="shared" si="92"/>
        <v>OK</v>
      </c>
      <c r="W748" t="str">
        <f>IF(I748&gt;B748,"ERROR","OK")</f>
        <v>OK</v>
      </c>
      <c r="X748">
        <f>(B748-I748)/B748</f>
        <v>0.61550645789544756</v>
      </c>
      <c r="Y748" s="2">
        <f t="shared" si="93"/>
        <v>5.5511151231257827E-16</v>
      </c>
      <c r="Z748" s="2" t="str">
        <f t="shared" si="94"/>
        <v>OK</v>
      </c>
      <c r="AA748" t="str">
        <f t="shared" si="95"/>
        <v>Unique</v>
      </c>
    </row>
    <row r="749" spans="1:27" x14ac:dyDescent="0.3">
      <c r="A749">
        <v>748</v>
      </c>
      <c r="B749">
        <v>1896781.6064560399</v>
      </c>
      <c r="C749">
        <v>0.41271028059674297</v>
      </c>
      <c r="D749">
        <v>5.6120195530445303E-2</v>
      </c>
      <c r="E749">
        <v>0.37719336258820002</v>
      </c>
      <c r="F749">
        <v>1</v>
      </c>
      <c r="G749" t="s">
        <v>10</v>
      </c>
      <c r="H749">
        <v>0</v>
      </c>
      <c r="I749">
        <v>715453.43223460403</v>
      </c>
      <c r="J749">
        <v>0.62280663741179898</v>
      </c>
      <c r="K749" t="str">
        <f t="shared" si="88"/>
        <v>OK</v>
      </c>
      <c r="L749" t="str">
        <f t="shared" si="89"/>
        <v>OK</v>
      </c>
      <c r="M749" t="str">
        <f>IF(OR(B749&lt;$AE$20,B749&gt;$AF$20),"Outlier","OK")</f>
        <v>OK</v>
      </c>
      <c r="N749" t="str">
        <f>IF(OR(J749&lt;$AE$21,J749&gt;$AF$21),"Outlier","OK")</f>
        <v>OK</v>
      </c>
      <c r="O749" t="str">
        <f>IF(OR(C749&lt;0,C749&gt;1),"Outlier","OK")</f>
        <v>OK</v>
      </c>
      <c r="P749" t="str">
        <f>IF(OR(D749&lt;0,D749&gt;1),"Outlier","OK")</f>
        <v>OK</v>
      </c>
      <c r="Q749" t="str">
        <f t="shared" si="90"/>
        <v>60-80%</v>
      </c>
      <c r="R749" t="str">
        <f>IF(B749="","Missing","OK")</f>
        <v>OK</v>
      </c>
      <c r="S749" t="str">
        <f>IF(E749="","Missing","OK")</f>
        <v>OK</v>
      </c>
      <c r="T749" t="str">
        <f t="shared" si="91"/>
        <v>OK</v>
      </c>
      <c r="U749">
        <f>COUNTIF($A:$A,A749)</f>
        <v>1</v>
      </c>
      <c r="V749" t="str">
        <f t="shared" si="92"/>
        <v>OK</v>
      </c>
      <c r="W749" t="str">
        <f>IF(I749&gt;B749,"ERROR","OK")</f>
        <v>OK</v>
      </c>
      <c r="X749">
        <f>(B749-I749)/B749</f>
        <v>0.62280663741179876</v>
      </c>
      <c r="Y749" s="2">
        <f t="shared" si="93"/>
        <v>2.2204460492503131E-16</v>
      </c>
      <c r="Z749" s="2" t="str">
        <f t="shared" si="94"/>
        <v>OK</v>
      </c>
      <c r="AA749" t="str">
        <f t="shared" si="95"/>
        <v>Unique</v>
      </c>
    </row>
    <row r="750" spans="1:27" x14ac:dyDescent="0.3">
      <c r="A750">
        <v>749</v>
      </c>
      <c r="B750">
        <v>1834941.2879196999</v>
      </c>
      <c r="C750">
        <v>0.80860368563373397</v>
      </c>
      <c r="D750">
        <v>-7.2220179582410296E-2</v>
      </c>
      <c r="E750">
        <v>0.22740234918010399</v>
      </c>
      <c r="F750">
        <v>1</v>
      </c>
      <c r="G750" t="s">
        <v>11</v>
      </c>
      <c r="H750">
        <v>1</v>
      </c>
      <c r="I750">
        <v>417269.95948050899</v>
      </c>
      <c r="J750">
        <v>0.77259765081989495</v>
      </c>
      <c r="K750" t="str">
        <f t="shared" si="88"/>
        <v>OK</v>
      </c>
      <c r="L750" t="str">
        <f t="shared" si="89"/>
        <v>OK</v>
      </c>
      <c r="M750" t="str">
        <f>IF(OR(B750&lt;$AE$20,B750&gt;$AF$20),"Outlier","OK")</f>
        <v>OK</v>
      </c>
      <c r="N750" t="str">
        <f>IF(OR(J750&lt;$AE$21,J750&gt;$AF$21),"Outlier","OK")</f>
        <v>OK</v>
      </c>
      <c r="O750" t="str">
        <f>IF(OR(C750&lt;0,C750&gt;1),"Outlier","OK")</f>
        <v>OK</v>
      </c>
      <c r="P750" t="str">
        <f>IF(OR(D750&lt;0,D750&gt;1),"Outlier","OK")</f>
        <v>Outlier</v>
      </c>
      <c r="Q750" t="str">
        <f t="shared" si="90"/>
        <v>60-80%</v>
      </c>
      <c r="R750" t="str">
        <f>IF(B750="","Missing","OK")</f>
        <v>OK</v>
      </c>
      <c r="S750" t="str">
        <f>IF(E750="","Missing","OK")</f>
        <v>OK</v>
      </c>
      <c r="T750" t="str">
        <f t="shared" si="91"/>
        <v>OK</v>
      </c>
      <c r="U750">
        <f>COUNTIF($A:$A,A750)</f>
        <v>1</v>
      </c>
      <c r="V750" t="str">
        <f t="shared" si="92"/>
        <v>OK</v>
      </c>
      <c r="W750" t="str">
        <f>IF(I750&gt;B750,"ERROR","OK")</f>
        <v>OK</v>
      </c>
      <c r="X750">
        <f>(B750-I750)/B750</f>
        <v>0.77259765081989407</v>
      </c>
      <c r="Y750" s="2">
        <f t="shared" si="93"/>
        <v>8.8817841970012523E-16</v>
      </c>
      <c r="Z750" s="2" t="str">
        <f t="shared" si="94"/>
        <v>OK</v>
      </c>
      <c r="AA750" t="str">
        <f t="shared" si="95"/>
        <v>Unique</v>
      </c>
    </row>
    <row r="751" spans="1:27" x14ac:dyDescent="0.3">
      <c r="A751">
        <v>750</v>
      </c>
      <c r="B751">
        <v>1521310.76311704</v>
      </c>
      <c r="C751">
        <v>0.437274492279836</v>
      </c>
      <c r="D751">
        <v>-0.12432376326417</v>
      </c>
      <c r="E751">
        <v>7.57240436837162E-2</v>
      </c>
      <c r="F751">
        <v>1</v>
      </c>
      <c r="G751" t="s">
        <v>12</v>
      </c>
      <c r="H751">
        <v>0</v>
      </c>
      <c r="I751">
        <v>115199.802682782</v>
      </c>
      <c r="J751">
        <v>0.92427595631628301</v>
      </c>
      <c r="K751" t="str">
        <f t="shared" si="88"/>
        <v>OK</v>
      </c>
      <c r="L751" t="str">
        <f t="shared" si="89"/>
        <v>OK</v>
      </c>
      <c r="M751" t="str">
        <f>IF(OR(B751&lt;$AE$20,B751&gt;$AF$20),"Outlier","OK")</f>
        <v>OK</v>
      </c>
      <c r="N751" t="str">
        <f>IF(OR(J751&lt;$AE$21,J751&gt;$AF$21),"Outlier","OK")</f>
        <v>OK</v>
      </c>
      <c r="O751" t="str">
        <f>IF(OR(C751&lt;0,C751&gt;1),"Outlier","OK")</f>
        <v>OK</v>
      </c>
      <c r="P751" t="str">
        <f>IF(OR(D751&lt;0,D751&gt;1),"Outlier","OK")</f>
        <v>Outlier</v>
      </c>
      <c r="Q751" t="str">
        <f t="shared" si="90"/>
        <v>80-100%</v>
      </c>
      <c r="R751" t="str">
        <f>IF(B751="","Missing","OK")</f>
        <v>OK</v>
      </c>
      <c r="S751" t="str">
        <f>IF(E751="","Missing","OK")</f>
        <v>OK</v>
      </c>
      <c r="T751" t="str">
        <f t="shared" si="91"/>
        <v>OK</v>
      </c>
      <c r="U751">
        <f>COUNTIF($A:$A,A751)</f>
        <v>1</v>
      </c>
      <c r="V751" t="str">
        <f t="shared" si="92"/>
        <v>OK</v>
      </c>
      <c r="W751" t="str">
        <f>IF(I751&gt;B751,"ERROR","OK")</f>
        <v>OK</v>
      </c>
      <c r="X751">
        <f>(B751-I751)/B751</f>
        <v>0.92427595631628401</v>
      </c>
      <c r="Y751" s="2">
        <f t="shared" si="93"/>
        <v>9.9920072216264089E-16</v>
      </c>
      <c r="Z751" s="2" t="str">
        <f t="shared" si="94"/>
        <v>OK</v>
      </c>
      <c r="AA751" t="str">
        <f t="shared" si="95"/>
        <v>Unique</v>
      </c>
    </row>
    <row r="752" spans="1:27" x14ac:dyDescent="0.3">
      <c r="A752">
        <v>751</v>
      </c>
      <c r="B752">
        <v>530325.95778288401</v>
      </c>
      <c r="C752">
        <v>0.22298287695162899</v>
      </c>
      <c r="D752">
        <v>-0.18586570988217699</v>
      </c>
      <c r="E752">
        <v>0.18243822565180901</v>
      </c>
      <c r="F752">
        <v>1</v>
      </c>
      <c r="G752" t="s">
        <v>10</v>
      </c>
      <c r="H752">
        <v>0</v>
      </c>
      <c r="I752">
        <v>96751.7267550057</v>
      </c>
      <c r="J752">
        <v>0.81756177434819</v>
      </c>
      <c r="K752" t="str">
        <f t="shared" si="88"/>
        <v>OK</v>
      </c>
      <c r="L752" t="str">
        <f t="shared" si="89"/>
        <v>OK</v>
      </c>
      <c r="M752" t="str">
        <f>IF(OR(B752&lt;$AE$20,B752&gt;$AF$20),"Outlier","OK")</f>
        <v>OK</v>
      </c>
      <c r="N752" t="str">
        <f>IF(OR(J752&lt;$AE$21,J752&gt;$AF$21),"Outlier","OK")</f>
        <v>OK</v>
      </c>
      <c r="O752" t="str">
        <f>IF(OR(C752&lt;0,C752&gt;1),"Outlier","OK")</f>
        <v>OK</v>
      </c>
      <c r="P752" t="str">
        <f>IF(OR(D752&lt;0,D752&gt;1),"Outlier","OK")</f>
        <v>Outlier</v>
      </c>
      <c r="Q752" t="str">
        <f t="shared" si="90"/>
        <v>80-100%</v>
      </c>
      <c r="R752" t="str">
        <f>IF(B752="","Missing","OK")</f>
        <v>OK</v>
      </c>
      <c r="S752" t="str">
        <f>IF(E752="","Missing","OK")</f>
        <v>OK</v>
      </c>
      <c r="T752" t="str">
        <f t="shared" si="91"/>
        <v>OK</v>
      </c>
      <c r="U752">
        <f>COUNTIF($A:$A,A752)</f>
        <v>1</v>
      </c>
      <c r="V752" t="str">
        <f t="shared" si="92"/>
        <v>OK</v>
      </c>
      <c r="W752" t="str">
        <f>IF(I752&gt;B752,"ERROR","OK")</f>
        <v>OK</v>
      </c>
      <c r="X752">
        <f>(B752-I752)/B752</f>
        <v>0.81756177434819066</v>
      </c>
      <c r="Y752" s="2">
        <f t="shared" si="93"/>
        <v>6.6613381477509392E-16</v>
      </c>
      <c r="Z752" s="2" t="str">
        <f t="shared" si="94"/>
        <v>OK</v>
      </c>
      <c r="AA752" t="str">
        <f t="shared" si="95"/>
        <v>Unique</v>
      </c>
    </row>
    <row r="753" spans="1:27" x14ac:dyDescent="0.3">
      <c r="A753">
        <v>752</v>
      </c>
      <c r="B753">
        <v>801279.31971733004</v>
      </c>
      <c r="C753">
        <v>0.23814519610898599</v>
      </c>
      <c r="D753">
        <v>-9.0431031075748305E-2</v>
      </c>
      <c r="E753">
        <v>0.68695946540550401</v>
      </c>
      <c r="F753">
        <v>1</v>
      </c>
      <c r="G753" t="s">
        <v>13</v>
      </c>
      <c r="H753">
        <v>0</v>
      </c>
      <c r="I753">
        <v>550446.41311350302</v>
      </c>
      <c r="J753">
        <v>0.31304053459449499</v>
      </c>
      <c r="K753" t="str">
        <f t="shared" si="88"/>
        <v>OK</v>
      </c>
      <c r="L753" t="str">
        <f t="shared" si="89"/>
        <v>OK</v>
      </c>
      <c r="M753" t="str">
        <f>IF(OR(B753&lt;$AE$20,B753&gt;$AF$20),"Outlier","OK")</f>
        <v>OK</v>
      </c>
      <c r="N753" t="str">
        <f>IF(OR(J753&lt;$AE$21,J753&gt;$AF$21),"Outlier","OK")</f>
        <v>OK</v>
      </c>
      <c r="O753" t="str">
        <f>IF(OR(C753&lt;0,C753&gt;1),"Outlier","OK")</f>
        <v>OK</v>
      </c>
      <c r="P753" t="str">
        <f>IF(OR(D753&lt;0,D753&gt;1),"Outlier","OK")</f>
        <v>Outlier</v>
      </c>
      <c r="Q753" t="str">
        <f t="shared" si="90"/>
        <v>20-40%</v>
      </c>
      <c r="R753" t="str">
        <f>IF(B753="","Missing","OK")</f>
        <v>OK</v>
      </c>
      <c r="S753" t="str">
        <f>IF(E753="","Missing","OK")</f>
        <v>OK</v>
      </c>
      <c r="T753" t="str">
        <f t="shared" si="91"/>
        <v>OK</v>
      </c>
      <c r="U753">
        <f>COUNTIF($A:$A,A753)</f>
        <v>1</v>
      </c>
      <c r="V753" t="str">
        <f t="shared" si="92"/>
        <v>OK</v>
      </c>
      <c r="W753" t="str">
        <f>IF(I753&gt;B753,"ERROR","OK")</f>
        <v>OK</v>
      </c>
      <c r="X753">
        <f>(B753-I753)/B753</f>
        <v>0.31304053459449593</v>
      </c>
      <c r="Y753" s="2">
        <f t="shared" si="93"/>
        <v>9.4368957093138306E-16</v>
      </c>
      <c r="Z753" s="2" t="str">
        <f t="shared" si="94"/>
        <v>OK</v>
      </c>
      <c r="AA753" t="str">
        <f t="shared" si="95"/>
        <v>Unique</v>
      </c>
    </row>
    <row r="754" spans="1:27" x14ac:dyDescent="0.3">
      <c r="A754">
        <v>753</v>
      </c>
      <c r="B754">
        <v>595999.90457938297</v>
      </c>
      <c r="C754">
        <v>0.45795376711825803</v>
      </c>
      <c r="D754">
        <v>-0.177767309045752</v>
      </c>
      <c r="E754">
        <v>0.276383806655147</v>
      </c>
      <c r="F754">
        <v>1</v>
      </c>
      <c r="G754" t="s">
        <v>12</v>
      </c>
      <c r="H754">
        <v>0</v>
      </c>
      <c r="I754">
        <v>164724.722393754</v>
      </c>
      <c r="J754">
        <v>0.72361619334485205</v>
      </c>
      <c r="K754" t="str">
        <f t="shared" si="88"/>
        <v>OK</v>
      </c>
      <c r="L754" t="str">
        <f t="shared" si="89"/>
        <v>OK</v>
      </c>
      <c r="M754" t="str">
        <f>IF(OR(B754&lt;$AE$20,B754&gt;$AF$20),"Outlier","OK")</f>
        <v>OK</v>
      </c>
      <c r="N754" t="str">
        <f>IF(OR(J754&lt;$AE$21,J754&gt;$AF$21),"Outlier","OK")</f>
        <v>OK</v>
      </c>
      <c r="O754" t="str">
        <f>IF(OR(C754&lt;0,C754&gt;1),"Outlier","OK")</f>
        <v>OK</v>
      </c>
      <c r="P754" t="str">
        <f>IF(OR(D754&lt;0,D754&gt;1),"Outlier","OK")</f>
        <v>Outlier</v>
      </c>
      <c r="Q754" t="str">
        <f t="shared" si="90"/>
        <v>60-80%</v>
      </c>
      <c r="R754" t="str">
        <f>IF(B754="","Missing","OK")</f>
        <v>OK</v>
      </c>
      <c r="S754" t="str">
        <f>IF(E754="","Missing","OK")</f>
        <v>OK</v>
      </c>
      <c r="T754" t="str">
        <f t="shared" si="91"/>
        <v>OK</v>
      </c>
      <c r="U754">
        <f>COUNTIF($A:$A,A754)</f>
        <v>1</v>
      </c>
      <c r="V754" t="str">
        <f t="shared" si="92"/>
        <v>OK</v>
      </c>
      <c r="W754" t="str">
        <f>IF(I754&gt;B754,"ERROR","OK")</f>
        <v>OK</v>
      </c>
      <c r="X754">
        <f>(B754-I754)/B754</f>
        <v>0.72361619334485339</v>
      </c>
      <c r="Y754" s="2">
        <f t="shared" si="93"/>
        <v>1.3322676295501878E-15</v>
      </c>
      <c r="Z754" s="2" t="str">
        <f t="shared" si="94"/>
        <v>OK</v>
      </c>
      <c r="AA754" t="str">
        <f t="shared" si="95"/>
        <v>Unique</v>
      </c>
    </row>
    <row r="755" spans="1:27" x14ac:dyDescent="0.3">
      <c r="A755">
        <v>754</v>
      </c>
      <c r="B755">
        <v>1332437.4700652501</v>
      </c>
      <c r="C755">
        <v>0.343369598346011</v>
      </c>
      <c r="D755">
        <v>8.5533620269937702E-2</v>
      </c>
      <c r="E755">
        <v>0.32683834568852999</v>
      </c>
      <c r="F755">
        <v>1</v>
      </c>
      <c r="G755" t="s">
        <v>12</v>
      </c>
      <c r="H755">
        <v>1</v>
      </c>
      <c r="I755">
        <v>435491.65844953799</v>
      </c>
      <c r="J755">
        <v>0.67316165431147001</v>
      </c>
      <c r="K755" t="str">
        <f t="shared" si="88"/>
        <v>OK</v>
      </c>
      <c r="L755" t="str">
        <f t="shared" si="89"/>
        <v>OK</v>
      </c>
      <c r="M755" t="str">
        <f>IF(OR(B755&lt;$AE$20,B755&gt;$AF$20),"Outlier","OK")</f>
        <v>OK</v>
      </c>
      <c r="N755" t="str">
        <f>IF(OR(J755&lt;$AE$21,J755&gt;$AF$21),"Outlier","OK")</f>
        <v>OK</v>
      </c>
      <c r="O755" t="str">
        <f>IF(OR(C755&lt;0,C755&gt;1),"Outlier","OK")</f>
        <v>OK</v>
      </c>
      <c r="P755" t="str">
        <f>IF(OR(D755&lt;0,D755&gt;1),"Outlier","OK")</f>
        <v>OK</v>
      </c>
      <c r="Q755" t="str">
        <f t="shared" si="90"/>
        <v>60-80%</v>
      </c>
      <c r="R755" t="str">
        <f>IF(B755="","Missing","OK")</f>
        <v>OK</v>
      </c>
      <c r="S755" t="str">
        <f>IF(E755="","Missing","OK")</f>
        <v>OK</v>
      </c>
      <c r="T755" t="str">
        <f t="shared" si="91"/>
        <v>OK</v>
      </c>
      <c r="U755">
        <f>COUNTIF($A:$A,A755)</f>
        <v>1</v>
      </c>
      <c r="V755" t="str">
        <f t="shared" si="92"/>
        <v>OK</v>
      </c>
      <c r="W755" t="str">
        <f>IF(I755&gt;B755,"ERROR","OK")</f>
        <v>OK</v>
      </c>
      <c r="X755">
        <f>(B755-I755)/B755</f>
        <v>0.6731616543114689</v>
      </c>
      <c r="Y755" s="2">
        <f t="shared" si="93"/>
        <v>1.1102230246251565E-15</v>
      </c>
      <c r="Z755" s="2" t="str">
        <f t="shared" si="94"/>
        <v>OK</v>
      </c>
      <c r="AA755" t="str">
        <f t="shared" si="95"/>
        <v>Unique</v>
      </c>
    </row>
    <row r="756" spans="1:27" x14ac:dyDescent="0.3">
      <c r="A756">
        <v>755</v>
      </c>
      <c r="B756">
        <v>682232.16766128701</v>
      </c>
      <c r="C756">
        <v>0.63235657577569504</v>
      </c>
      <c r="D756">
        <v>-1.2062119091287999E-2</v>
      </c>
      <c r="E756">
        <v>0.14026752855882599</v>
      </c>
      <c r="F756">
        <v>1</v>
      </c>
      <c r="G756" t="s">
        <v>12</v>
      </c>
      <c r="H756">
        <v>0</v>
      </c>
      <c r="I756">
        <v>95695.020061179806</v>
      </c>
      <c r="J756">
        <v>0.85973247144117304</v>
      </c>
      <c r="K756" t="str">
        <f t="shared" si="88"/>
        <v>OK</v>
      </c>
      <c r="L756" t="str">
        <f t="shared" si="89"/>
        <v>OK</v>
      </c>
      <c r="M756" t="str">
        <f>IF(OR(B756&lt;$AE$20,B756&gt;$AF$20),"Outlier","OK")</f>
        <v>OK</v>
      </c>
      <c r="N756" t="str">
        <f>IF(OR(J756&lt;$AE$21,J756&gt;$AF$21),"Outlier","OK")</f>
        <v>OK</v>
      </c>
      <c r="O756" t="str">
        <f>IF(OR(C756&lt;0,C756&gt;1),"Outlier","OK")</f>
        <v>OK</v>
      </c>
      <c r="P756" t="str">
        <f>IF(OR(D756&lt;0,D756&gt;1),"Outlier","OK")</f>
        <v>Outlier</v>
      </c>
      <c r="Q756" t="str">
        <f t="shared" si="90"/>
        <v>80-100%</v>
      </c>
      <c r="R756" t="str">
        <f>IF(B756="","Missing","OK")</f>
        <v>OK</v>
      </c>
      <c r="S756" t="str">
        <f>IF(E756="","Missing","OK")</f>
        <v>OK</v>
      </c>
      <c r="T756" t="str">
        <f t="shared" si="91"/>
        <v>OK</v>
      </c>
      <c r="U756">
        <f>COUNTIF($A:$A,A756)</f>
        <v>1</v>
      </c>
      <c r="V756" t="str">
        <f t="shared" si="92"/>
        <v>OK</v>
      </c>
      <c r="W756" t="str">
        <f>IF(I756&gt;B756,"ERROR","OK")</f>
        <v>OK</v>
      </c>
      <c r="X756">
        <f>(B756-I756)/B756</f>
        <v>0.85973247144117337</v>
      </c>
      <c r="Y756" s="2">
        <f t="shared" si="93"/>
        <v>3.3306690738754696E-16</v>
      </c>
      <c r="Z756" s="2" t="str">
        <f t="shared" si="94"/>
        <v>OK</v>
      </c>
      <c r="AA756" t="str">
        <f t="shared" si="95"/>
        <v>Unique</v>
      </c>
    </row>
    <row r="757" spans="1:27" x14ac:dyDescent="0.3">
      <c r="A757">
        <v>756</v>
      </c>
      <c r="B757">
        <v>1521063.6295634501</v>
      </c>
      <c r="C757">
        <v>0.47751748210873002</v>
      </c>
      <c r="D757">
        <v>3.4987175147482098E-2</v>
      </c>
      <c r="E757">
        <v>8.8494100272670503E-2</v>
      </c>
      <c r="F757">
        <v>1</v>
      </c>
      <c r="G757" t="s">
        <v>10</v>
      </c>
      <c r="H757">
        <v>0</v>
      </c>
      <c r="I757">
        <v>134605.15735570001</v>
      </c>
      <c r="J757">
        <v>0.91150589972732898</v>
      </c>
      <c r="K757" t="str">
        <f t="shared" si="88"/>
        <v>OK</v>
      </c>
      <c r="L757" t="str">
        <f t="shared" si="89"/>
        <v>OK</v>
      </c>
      <c r="M757" t="str">
        <f>IF(OR(B757&lt;$AE$20,B757&gt;$AF$20),"Outlier","OK")</f>
        <v>OK</v>
      </c>
      <c r="N757" t="str">
        <f>IF(OR(J757&lt;$AE$21,J757&gt;$AF$21),"Outlier","OK")</f>
        <v>OK</v>
      </c>
      <c r="O757" t="str">
        <f>IF(OR(C757&lt;0,C757&gt;1),"Outlier","OK")</f>
        <v>OK</v>
      </c>
      <c r="P757" t="str">
        <f>IF(OR(D757&lt;0,D757&gt;1),"Outlier","OK")</f>
        <v>OK</v>
      </c>
      <c r="Q757" t="str">
        <f t="shared" si="90"/>
        <v>80-100%</v>
      </c>
      <c r="R757" t="str">
        <f>IF(B757="","Missing","OK")</f>
        <v>OK</v>
      </c>
      <c r="S757" t="str">
        <f>IF(E757="","Missing","OK")</f>
        <v>OK</v>
      </c>
      <c r="T757" t="str">
        <f t="shared" si="91"/>
        <v>OK</v>
      </c>
      <c r="U757">
        <f>COUNTIF($A:$A,A757)</f>
        <v>1</v>
      </c>
      <c r="V757" t="str">
        <f t="shared" si="92"/>
        <v>OK</v>
      </c>
      <c r="W757" t="str">
        <f>IF(I757&gt;B757,"ERROR","OK")</f>
        <v>OK</v>
      </c>
      <c r="X757">
        <f>(B757-I757)/B757</f>
        <v>0.91150589972732965</v>
      </c>
      <c r="Y757" s="2">
        <f t="shared" si="93"/>
        <v>6.6613381477509392E-16</v>
      </c>
      <c r="Z757" s="2" t="str">
        <f t="shared" si="94"/>
        <v>OK</v>
      </c>
      <c r="AA757" t="str">
        <f t="shared" si="95"/>
        <v>Unique</v>
      </c>
    </row>
    <row r="758" spans="1:27" x14ac:dyDescent="0.3">
      <c r="A758">
        <v>757</v>
      </c>
      <c r="B758">
        <v>271342.70289810002</v>
      </c>
      <c r="C758">
        <v>0.66004313358710198</v>
      </c>
      <c r="D758">
        <v>2.2697904286568399E-2</v>
      </c>
      <c r="E758">
        <v>0.32079834073029101</v>
      </c>
      <c r="F758">
        <v>1</v>
      </c>
      <c r="G758" t="s">
        <v>13</v>
      </c>
      <c r="H758">
        <v>0</v>
      </c>
      <c r="I758">
        <v>87046.288858982996</v>
      </c>
      <c r="J758">
        <v>0.67920165926970799</v>
      </c>
      <c r="K758" t="str">
        <f t="shared" si="88"/>
        <v>OK</v>
      </c>
      <c r="L758" t="str">
        <f t="shared" si="89"/>
        <v>OK</v>
      </c>
      <c r="M758" t="str">
        <f>IF(OR(B758&lt;$AE$20,B758&gt;$AF$20),"Outlier","OK")</f>
        <v>OK</v>
      </c>
      <c r="N758" t="str">
        <f>IF(OR(J758&lt;$AE$21,J758&gt;$AF$21),"Outlier","OK")</f>
        <v>OK</v>
      </c>
      <c r="O758" t="str">
        <f>IF(OR(C758&lt;0,C758&gt;1),"Outlier","OK")</f>
        <v>OK</v>
      </c>
      <c r="P758" t="str">
        <f>IF(OR(D758&lt;0,D758&gt;1),"Outlier","OK")</f>
        <v>OK</v>
      </c>
      <c r="Q758" t="str">
        <f t="shared" si="90"/>
        <v>60-80%</v>
      </c>
      <c r="R758" t="str">
        <f>IF(B758="","Missing","OK")</f>
        <v>OK</v>
      </c>
      <c r="S758" t="str">
        <f>IF(E758="","Missing","OK")</f>
        <v>OK</v>
      </c>
      <c r="T758" t="str">
        <f t="shared" si="91"/>
        <v>OK</v>
      </c>
      <c r="U758">
        <f>COUNTIF($A:$A,A758)</f>
        <v>1</v>
      </c>
      <c r="V758" t="str">
        <f t="shared" si="92"/>
        <v>OK</v>
      </c>
      <c r="W758" t="str">
        <f>IF(I758&gt;B758,"ERROR","OK")</f>
        <v>OK</v>
      </c>
      <c r="X758">
        <f>(B758-I758)/B758</f>
        <v>0.67920165926970832</v>
      </c>
      <c r="Y758" s="2">
        <f t="shared" si="93"/>
        <v>3.3306690738754696E-16</v>
      </c>
      <c r="Z758" s="2" t="str">
        <f t="shared" si="94"/>
        <v>OK</v>
      </c>
      <c r="AA758" t="str">
        <f t="shared" si="95"/>
        <v>Unique</v>
      </c>
    </row>
    <row r="759" spans="1:27" x14ac:dyDescent="0.3">
      <c r="A759">
        <v>758</v>
      </c>
      <c r="B759">
        <v>1561961.28754324</v>
      </c>
      <c r="C759">
        <v>0.170545705464659</v>
      </c>
      <c r="D759">
        <v>0.108460352108514</v>
      </c>
      <c r="E759">
        <v>0.19793908579937899</v>
      </c>
      <c r="F759">
        <v>1</v>
      </c>
      <c r="G759" t="s">
        <v>12</v>
      </c>
      <c r="H759">
        <v>1</v>
      </c>
      <c r="I759">
        <v>309173.189310332</v>
      </c>
      <c r="J759">
        <v>0.80206091420061998</v>
      </c>
      <c r="K759" t="str">
        <f t="shared" si="88"/>
        <v>OK</v>
      </c>
      <c r="L759" t="str">
        <f t="shared" si="89"/>
        <v>OK</v>
      </c>
      <c r="M759" t="str">
        <f>IF(OR(B759&lt;$AE$20,B759&gt;$AF$20),"Outlier","OK")</f>
        <v>OK</v>
      </c>
      <c r="N759" t="str">
        <f>IF(OR(J759&lt;$AE$21,J759&gt;$AF$21),"Outlier","OK")</f>
        <v>OK</v>
      </c>
      <c r="O759" t="str">
        <f>IF(OR(C759&lt;0,C759&gt;1),"Outlier","OK")</f>
        <v>OK</v>
      </c>
      <c r="P759" t="str">
        <f>IF(OR(D759&lt;0,D759&gt;1),"Outlier","OK")</f>
        <v>OK</v>
      </c>
      <c r="Q759" t="str">
        <f t="shared" si="90"/>
        <v>80-100%</v>
      </c>
      <c r="R759" t="str">
        <f>IF(B759="","Missing","OK")</f>
        <v>OK</v>
      </c>
      <c r="S759" t="str">
        <f>IF(E759="","Missing","OK")</f>
        <v>OK</v>
      </c>
      <c r="T759" t="str">
        <f t="shared" si="91"/>
        <v>OK</v>
      </c>
      <c r="U759">
        <f>COUNTIF($A:$A,A759)</f>
        <v>1</v>
      </c>
      <c r="V759" t="str">
        <f t="shared" si="92"/>
        <v>OK</v>
      </c>
      <c r="W759" t="str">
        <f>IF(I759&gt;B759,"ERROR","OK")</f>
        <v>OK</v>
      </c>
      <c r="X759">
        <f>(B759-I759)/B759</f>
        <v>0.80206091420061965</v>
      </c>
      <c r="Y759" s="2">
        <f t="shared" si="93"/>
        <v>3.3306690738754696E-16</v>
      </c>
      <c r="Z759" s="2" t="str">
        <f t="shared" si="94"/>
        <v>OK</v>
      </c>
      <c r="AA759" t="str">
        <f t="shared" si="95"/>
        <v>Unique</v>
      </c>
    </row>
    <row r="760" spans="1:27" x14ac:dyDescent="0.3">
      <c r="A760">
        <v>759</v>
      </c>
      <c r="B760">
        <v>1192508.850574</v>
      </c>
      <c r="C760">
        <v>0.31805594959650901</v>
      </c>
      <c r="D760">
        <v>3.8866007150779203E-2</v>
      </c>
      <c r="E760">
        <v>0.42774222321591698</v>
      </c>
      <c r="F760">
        <v>1</v>
      </c>
      <c r="G760" t="s">
        <v>12</v>
      </c>
      <c r="H760">
        <v>1</v>
      </c>
      <c r="I760">
        <v>510086.38694918202</v>
      </c>
      <c r="J760">
        <v>0.57225777678408196</v>
      </c>
      <c r="K760" t="str">
        <f t="shared" si="88"/>
        <v>OK</v>
      </c>
      <c r="L760" t="str">
        <f t="shared" si="89"/>
        <v>OK</v>
      </c>
      <c r="M760" t="str">
        <f>IF(OR(B760&lt;$AE$20,B760&gt;$AF$20),"Outlier","OK")</f>
        <v>OK</v>
      </c>
      <c r="N760" t="str">
        <f>IF(OR(J760&lt;$AE$21,J760&gt;$AF$21),"Outlier","OK")</f>
        <v>OK</v>
      </c>
      <c r="O760" t="str">
        <f>IF(OR(C760&lt;0,C760&gt;1),"Outlier","OK")</f>
        <v>OK</v>
      </c>
      <c r="P760" t="str">
        <f>IF(OR(D760&lt;0,D760&gt;1),"Outlier","OK")</f>
        <v>OK</v>
      </c>
      <c r="Q760" t="str">
        <f t="shared" si="90"/>
        <v>40-60%</v>
      </c>
      <c r="R760" t="str">
        <f>IF(B760="","Missing","OK")</f>
        <v>OK</v>
      </c>
      <c r="S760" t="str">
        <f>IF(E760="","Missing","OK")</f>
        <v>OK</v>
      </c>
      <c r="T760" t="str">
        <f t="shared" si="91"/>
        <v>OK</v>
      </c>
      <c r="U760">
        <f>COUNTIF($A:$A,A760)</f>
        <v>1</v>
      </c>
      <c r="V760" t="str">
        <f t="shared" si="92"/>
        <v>OK</v>
      </c>
      <c r="W760" t="str">
        <f>IF(I760&gt;B760,"ERROR","OK")</f>
        <v>OK</v>
      </c>
      <c r="X760">
        <f>(B760-I760)/B760</f>
        <v>0.57225777678408174</v>
      </c>
      <c r="Y760" s="2">
        <f t="shared" si="93"/>
        <v>2.2204460492503131E-16</v>
      </c>
      <c r="Z760" s="2" t="str">
        <f t="shared" si="94"/>
        <v>OK</v>
      </c>
      <c r="AA760" t="str">
        <f t="shared" si="95"/>
        <v>Unique</v>
      </c>
    </row>
    <row r="761" spans="1:27" x14ac:dyDescent="0.3">
      <c r="A761">
        <v>760</v>
      </c>
      <c r="B761">
        <v>1679007.93993567</v>
      </c>
      <c r="C761">
        <v>0.66651199637051595</v>
      </c>
      <c r="D761">
        <v>0.17764077539572101</v>
      </c>
      <c r="E761">
        <v>0.16656656688306101</v>
      </c>
      <c r="F761">
        <v>1</v>
      </c>
      <c r="G761" t="s">
        <v>10</v>
      </c>
      <c r="H761">
        <v>0</v>
      </c>
      <c r="I761">
        <v>279666.58832448698</v>
      </c>
      <c r="J761">
        <v>0.83343343311693796</v>
      </c>
      <c r="K761" t="str">
        <f t="shared" si="88"/>
        <v>OK</v>
      </c>
      <c r="L761" t="str">
        <f t="shared" si="89"/>
        <v>OK</v>
      </c>
      <c r="M761" t="str">
        <f>IF(OR(B761&lt;$AE$20,B761&gt;$AF$20),"Outlier","OK")</f>
        <v>OK</v>
      </c>
      <c r="N761" t="str">
        <f>IF(OR(J761&lt;$AE$21,J761&gt;$AF$21),"Outlier","OK")</f>
        <v>OK</v>
      </c>
      <c r="O761" t="str">
        <f>IF(OR(C761&lt;0,C761&gt;1),"Outlier","OK")</f>
        <v>OK</v>
      </c>
      <c r="P761" t="str">
        <f>IF(OR(D761&lt;0,D761&gt;1),"Outlier","OK")</f>
        <v>OK</v>
      </c>
      <c r="Q761" t="str">
        <f t="shared" si="90"/>
        <v>80-100%</v>
      </c>
      <c r="R761" t="str">
        <f>IF(B761="","Missing","OK")</f>
        <v>OK</v>
      </c>
      <c r="S761" t="str">
        <f>IF(E761="","Missing","OK")</f>
        <v>OK</v>
      </c>
      <c r="T761" t="str">
        <f t="shared" si="91"/>
        <v>OK</v>
      </c>
      <c r="U761">
        <f>COUNTIF($A:$A,A761)</f>
        <v>1</v>
      </c>
      <c r="V761" t="str">
        <f t="shared" si="92"/>
        <v>OK</v>
      </c>
      <c r="W761" t="str">
        <f>IF(I761&gt;B761,"ERROR","OK")</f>
        <v>OK</v>
      </c>
      <c r="X761">
        <f>(B761-I761)/B761</f>
        <v>0.83343343311693796</v>
      </c>
      <c r="Y761" s="2">
        <f t="shared" si="93"/>
        <v>0</v>
      </c>
      <c r="Z761" s="2" t="str">
        <f t="shared" si="94"/>
        <v>OK</v>
      </c>
      <c r="AA761" t="str">
        <f t="shared" si="95"/>
        <v>Unique</v>
      </c>
    </row>
    <row r="762" spans="1:27" x14ac:dyDescent="0.3">
      <c r="A762">
        <v>761</v>
      </c>
      <c r="B762">
        <v>890207.52165488806</v>
      </c>
      <c r="C762">
        <v>0.66971611691889998</v>
      </c>
      <c r="D762">
        <v>-2.69811042051986E-2</v>
      </c>
      <c r="E762">
        <v>3.6993458860016801E-2</v>
      </c>
      <c r="F762">
        <v>1</v>
      </c>
      <c r="G762" t="s">
        <v>10</v>
      </c>
      <c r="H762">
        <v>0</v>
      </c>
      <c r="I762">
        <v>32931.8553292176</v>
      </c>
      <c r="J762">
        <v>0.96300654113998296</v>
      </c>
      <c r="K762" t="str">
        <f t="shared" si="88"/>
        <v>OK</v>
      </c>
      <c r="L762" t="str">
        <f t="shared" si="89"/>
        <v>OK</v>
      </c>
      <c r="M762" t="str">
        <f>IF(OR(B762&lt;$AE$20,B762&gt;$AF$20),"Outlier","OK")</f>
        <v>OK</v>
      </c>
      <c r="N762" t="str">
        <f>IF(OR(J762&lt;$AE$21,J762&gt;$AF$21),"Outlier","OK")</f>
        <v>OK</v>
      </c>
      <c r="O762" t="str">
        <f>IF(OR(C762&lt;0,C762&gt;1),"Outlier","OK")</f>
        <v>OK</v>
      </c>
      <c r="P762" t="str">
        <f>IF(OR(D762&lt;0,D762&gt;1),"Outlier","OK")</f>
        <v>Outlier</v>
      </c>
      <c r="Q762" t="str">
        <f t="shared" si="90"/>
        <v>80-100%</v>
      </c>
      <c r="R762" t="str">
        <f>IF(B762="","Missing","OK")</f>
        <v>OK</v>
      </c>
      <c r="S762" t="str">
        <f>IF(E762="","Missing","OK")</f>
        <v>OK</v>
      </c>
      <c r="T762" t="str">
        <f t="shared" si="91"/>
        <v>OK</v>
      </c>
      <c r="U762">
        <f>COUNTIF($A:$A,A762)</f>
        <v>1</v>
      </c>
      <c r="V762" t="str">
        <f t="shared" si="92"/>
        <v>OK</v>
      </c>
      <c r="W762" t="str">
        <f>IF(I762&gt;B762,"ERROR","OK")</f>
        <v>OK</v>
      </c>
      <c r="X762">
        <f>(B762-I762)/B762</f>
        <v>0.96300654113998319</v>
      </c>
      <c r="Y762" s="2">
        <f t="shared" si="93"/>
        <v>2.2204460492503131E-16</v>
      </c>
      <c r="Z762" s="2" t="str">
        <f t="shared" si="94"/>
        <v>OK</v>
      </c>
      <c r="AA762" t="str">
        <f t="shared" si="95"/>
        <v>Unique</v>
      </c>
    </row>
    <row r="763" spans="1:27" x14ac:dyDescent="0.3">
      <c r="A763">
        <v>762</v>
      </c>
      <c r="B763">
        <v>1268680.68375726</v>
      </c>
      <c r="C763">
        <v>0.44614234889306698</v>
      </c>
      <c r="D763">
        <v>-6.5542257833583598E-2</v>
      </c>
      <c r="E763">
        <v>0.34241508690873101</v>
      </c>
      <c r="F763">
        <v>1</v>
      </c>
      <c r="G763" t="s">
        <v>10</v>
      </c>
      <c r="H763">
        <v>0</v>
      </c>
      <c r="I763">
        <v>434415.40658817202</v>
      </c>
      <c r="J763">
        <v>0.65758491309126799</v>
      </c>
      <c r="K763" t="str">
        <f t="shared" si="88"/>
        <v>OK</v>
      </c>
      <c r="L763" t="str">
        <f t="shared" si="89"/>
        <v>OK</v>
      </c>
      <c r="M763" t="str">
        <f>IF(OR(B763&lt;$AE$20,B763&gt;$AF$20),"Outlier","OK")</f>
        <v>OK</v>
      </c>
      <c r="N763" t="str">
        <f>IF(OR(J763&lt;$AE$21,J763&gt;$AF$21),"Outlier","OK")</f>
        <v>OK</v>
      </c>
      <c r="O763" t="str">
        <f>IF(OR(C763&lt;0,C763&gt;1),"Outlier","OK")</f>
        <v>OK</v>
      </c>
      <c r="P763" t="str">
        <f>IF(OR(D763&lt;0,D763&gt;1),"Outlier","OK")</f>
        <v>Outlier</v>
      </c>
      <c r="Q763" t="str">
        <f t="shared" si="90"/>
        <v>60-80%</v>
      </c>
      <c r="R763" t="str">
        <f>IF(B763="","Missing","OK")</f>
        <v>OK</v>
      </c>
      <c r="S763" t="str">
        <f>IF(E763="","Missing","OK")</f>
        <v>OK</v>
      </c>
      <c r="T763" t="str">
        <f t="shared" si="91"/>
        <v>OK</v>
      </c>
      <c r="U763">
        <f>COUNTIF($A:$A,A763)</f>
        <v>1</v>
      </c>
      <c r="V763" t="str">
        <f t="shared" si="92"/>
        <v>OK</v>
      </c>
      <c r="W763" t="str">
        <f>IF(I763&gt;B763,"ERROR","OK")</f>
        <v>OK</v>
      </c>
      <c r="X763">
        <f>(B763-I763)/B763</f>
        <v>0.65758491309126776</v>
      </c>
      <c r="Y763" s="2">
        <f t="shared" si="93"/>
        <v>2.2204460492503131E-16</v>
      </c>
      <c r="Z763" s="2" t="str">
        <f t="shared" si="94"/>
        <v>OK</v>
      </c>
      <c r="AA763" t="str">
        <f t="shared" si="95"/>
        <v>Unique</v>
      </c>
    </row>
    <row r="764" spans="1:27" x14ac:dyDescent="0.3">
      <c r="A764">
        <v>763</v>
      </c>
      <c r="B764">
        <v>1131103.6565527499</v>
      </c>
      <c r="C764">
        <v>0.59076795120520798</v>
      </c>
      <c r="D764">
        <v>0.14020634702096901</v>
      </c>
      <c r="E764">
        <v>0.38720020809254002</v>
      </c>
      <c r="F764">
        <v>1</v>
      </c>
      <c r="G764" t="s">
        <v>12</v>
      </c>
      <c r="H764">
        <v>0</v>
      </c>
      <c r="I764">
        <v>437963.57119145902</v>
      </c>
      <c r="J764">
        <v>0.61279979190745903</v>
      </c>
      <c r="K764" t="str">
        <f t="shared" si="88"/>
        <v>OK</v>
      </c>
      <c r="L764" t="str">
        <f t="shared" si="89"/>
        <v>OK</v>
      </c>
      <c r="M764" t="str">
        <f>IF(OR(B764&lt;$AE$20,B764&gt;$AF$20),"Outlier","OK")</f>
        <v>OK</v>
      </c>
      <c r="N764" t="str">
        <f>IF(OR(J764&lt;$AE$21,J764&gt;$AF$21),"Outlier","OK")</f>
        <v>OK</v>
      </c>
      <c r="O764" t="str">
        <f>IF(OR(C764&lt;0,C764&gt;1),"Outlier","OK")</f>
        <v>OK</v>
      </c>
      <c r="P764" t="str">
        <f>IF(OR(D764&lt;0,D764&gt;1),"Outlier","OK")</f>
        <v>OK</v>
      </c>
      <c r="Q764" t="str">
        <f t="shared" si="90"/>
        <v>60-80%</v>
      </c>
      <c r="R764" t="str">
        <f>IF(B764="","Missing","OK")</f>
        <v>OK</v>
      </c>
      <c r="S764" t="str">
        <f>IF(E764="","Missing","OK")</f>
        <v>OK</v>
      </c>
      <c r="T764" t="str">
        <f t="shared" si="91"/>
        <v>OK</v>
      </c>
      <c r="U764">
        <f>COUNTIF($A:$A,A764)</f>
        <v>1</v>
      </c>
      <c r="V764" t="str">
        <f t="shared" si="92"/>
        <v>OK</v>
      </c>
      <c r="W764" t="str">
        <f>IF(I764&gt;B764,"ERROR","OK")</f>
        <v>OK</v>
      </c>
      <c r="X764">
        <f>(B764-I764)/B764</f>
        <v>0.61279979190745881</v>
      </c>
      <c r="Y764" s="2">
        <f t="shared" si="93"/>
        <v>2.2204460492503131E-16</v>
      </c>
      <c r="Z764" s="2" t="str">
        <f t="shared" si="94"/>
        <v>OK</v>
      </c>
      <c r="AA764" t="str">
        <f t="shared" si="95"/>
        <v>Unique</v>
      </c>
    </row>
    <row r="765" spans="1:27" x14ac:dyDescent="0.3">
      <c r="A765">
        <v>764</v>
      </c>
      <c r="B765">
        <v>1952558.9693885001</v>
      </c>
      <c r="C765">
        <v>0.86338269885748298</v>
      </c>
      <c r="D765">
        <v>-3.80977214818638E-2</v>
      </c>
      <c r="E765">
        <v>0.14004522217021401</v>
      </c>
      <c r="F765">
        <v>1</v>
      </c>
      <c r="G765" t="s">
        <v>11</v>
      </c>
      <c r="H765">
        <v>0</v>
      </c>
      <c r="I765">
        <v>273446.554668458</v>
      </c>
      <c r="J765">
        <v>0.85995477782978502</v>
      </c>
      <c r="K765" t="str">
        <f t="shared" si="88"/>
        <v>OK</v>
      </c>
      <c r="L765" t="str">
        <f t="shared" si="89"/>
        <v>OK</v>
      </c>
      <c r="M765" t="str">
        <f>IF(OR(B765&lt;$AE$20,B765&gt;$AF$20),"Outlier","OK")</f>
        <v>OK</v>
      </c>
      <c r="N765" t="str">
        <f>IF(OR(J765&lt;$AE$21,J765&gt;$AF$21),"Outlier","OK")</f>
        <v>OK</v>
      </c>
      <c r="O765" t="str">
        <f>IF(OR(C765&lt;0,C765&gt;1),"Outlier","OK")</f>
        <v>OK</v>
      </c>
      <c r="P765" t="str">
        <f>IF(OR(D765&lt;0,D765&gt;1),"Outlier","OK")</f>
        <v>Outlier</v>
      </c>
      <c r="Q765" t="str">
        <f t="shared" si="90"/>
        <v>80-100%</v>
      </c>
      <c r="R765" t="str">
        <f>IF(B765="","Missing","OK")</f>
        <v>OK</v>
      </c>
      <c r="S765" t="str">
        <f>IF(E765="","Missing","OK")</f>
        <v>OK</v>
      </c>
      <c r="T765" t="str">
        <f t="shared" si="91"/>
        <v>OK</v>
      </c>
      <c r="U765">
        <f>COUNTIF($A:$A,A765)</f>
        <v>1</v>
      </c>
      <c r="V765" t="str">
        <f t="shared" si="92"/>
        <v>OK</v>
      </c>
      <c r="W765" t="str">
        <f>IF(I765&gt;B765,"ERROR","OK")</f>
        <v>OK</v>
      </c>
      <c r="X765">
        <f>(B765-I765)/B765</f>
        <v>0.85995477782978524</v>
      </c>
      <c r="Y765" s="2">
        <f t="shared" si="93"/>
        <v>2.2204460492503131E-16</v>
      </c>
      <c r="Z765" s="2" t="str">
        <f t="shared" si="94"/>
        <v>OK</v>
      </c>
      <c r="AA765" t="str">
        <f t="shared" si="95"/>
        <v>Unique</v>
      </c>
    </row>
    <row r="766" spans="1:27" x14ac:dyDescent="0.3">
      <c r="A766">
        <v>765</v>
      </c>
      <c r="B766">
        <v>1523175.0632653099</v>
      </c>
      <c r="C766">
        <v>0.59647420347997704</v>
      </c>
      <c r="D766">
        <v>9.5870350672643295E-2</v>
      </c>
      <c r="E766">
        <v>0.37174675257501599</v>
      </c>
      <c r="F766">
        <v>1</v>
      </c>
      <c r="G766" t="s">
        <v>13</v>
      </c>
      <c r="H766">
        <v>1</v>
      </c>
      <c r="I766">
        <v>566235.38337212603</v>
      </c>
      <c r="J766">
        <v>0.62825324742498301</v>
      </c>
      <c r="K766" t="str">
        <f t="shared" si="88"/>
        <v>OK</v>
      </c>
      <c r="L766" t="str">
        <f t="shared" si="89"/>
        <v>OK</v>
      </c>
      <c r="M766" t="str">
        <f>IF(OR(B766&lt;$AE$20,B766&gt;$AF$20),"Outlier","OK")</f>
        <v>OK</v>
      </c>
      <c r="N766" t="str">
        <f>IF(OR(J766&lt;$AE$21,J766&gt;$AF$21),"Outlier","OK")</f>
        <v>OK</v>
      </c>
      <c r="O766" t="str">
        <f>IF(OR(C766&lt;0,C766&gt;1),"Outlier","OK")</f>
        <v>OK</v>
      </c>
      <c r="P766" t="str">
        <f>IF(OR(D766&lt;0,D766&gt;1),"Outlier","OK")</f>
        <v>OK</v>
      </c>
      <c r="Q766" t="str">
        <f t="shared" si="90"/>
        <v>60-80%</v>
      </c>
      <c r="R766" t="str">
        <f>IF(B766="","Missing","OK")</f>
        <v>OK</v>
      </c>
      <c r="S766" t="str">
        <f>IF(E766="","Missing","OK")</f>
        <v>OK</v>
      </c>
      <c r="T766" t="str">
        <f t="shared" si="91"/>
        <v>OK</v>
      </c>
      <c r="U766">
        <f>COUNTIF($A:$A,A766)</f>
        <v>1</v>
      </c>
      <c r="V766" t="str">
        <f t="shared" si="92"/>
        <v>OK</v>
      </c>
      <c r="W766" t="str">
        <f>IF(I766&gt;B766,"ERROR","OK")</f>
        <v>OK</v>
      </c>
      <c r="X766">
        <f>(B766-I766)/B766</f>
        <v>0.62825324742498234</v>
      </c>
      <c r="Y766" s="2">
        <f t="shared" si="93"/>
        <v>6.6613381477509392E-16</v>
      </c>
      <c r="Z766" s="2" t="str">
        <f t="shared" si="94"/>
        <v>OK</v>
      </c>
      <c r="AA766" t="str">
        <f t="shared" si="95"/>
        <v>Unique</v>
      </c>
    </row>
    <row r="767" spans="1:27" x14ac:dyDescent="0.3">
      <c r="A767">
        <v>766</v>
      </c>
      <c r="B767">
        <v>1112385.83634485</v>
      </c>
      <c r="C767">
        <v>0.19616340465625201</v>
      </c>
      <c r="D767">
        <v>-7.1563277708615897E-2</v>
      </c>
      <c r="E767">
        <v>0.35560436491782199</v>
      </c>
      <c r="F767">
        <v>1</v>
      </c>
      <c r="G767" t="s">
        <v>13</v>
      </c>
      <c r="H767">
        <v>0</v>
      </c>
      <c r="I767">
        <v>395569.25887699198</v>
      </c>
      <c r="J767">
        <v>0.64439563508217701</v>
      </c>
      <c r="K767" t="str">
        <f t="shared" si="88"/>
        <v>OK</v>
      </c>
      <c r="L767" t="str">
        <f t="shared" si="89"/>
        <v>OK</v>
      </c>
      <c r="M767" t="str">
        <f>IF(OR(B767&lt;$AE$20,B767&gt;$AF$20),"Outlier","OK")</f>
        <v>OK</v>
      </c>
      <c r="N767" t="str">
        <f>IF(OR(J767&lt;$AE$21,J767&gt;$AF$21),"Outlier","OK")</f>
        <v>OK</v>
      </c>
      <c r="O767" t="str">
        <f>IF(OR(C767&lt;0,C767&gt;1),"Outlier","OK")</f>
        <v>OK</v>
      </c>
      <c r="P767" t="str">
        <f>IF(OR(D767&lt;0,D767&gt;1),"Outlier","OK")</f>
        <v>Outlier</v>
      </c>
      <c r="Q767" t="str">
        <f t="shared" si="90"/>
        <v>60-80%</v>
      </c>
      <c r="R767" t="str">
        <f>IF(B767="","Missing","OK")</f>
        <v>OK</v>
      </c>
      <c r="S767" t="str">
        <f>IF(E767="","Missing","OK")</f>
        <v>OK</v>
      </c>
      <c r="T767" t="str">
        <f t="shared" si="91"/>
        <v>OK</v>
      </c>
      <c r="U767">
        <f>COUNTIF($A:$A,A767)</f>
        <v>1</v>
      </c>
      <c r="V767" t="str">
        <f t="shared" si="92"/>
        <v>OK</v>
      </c>
      <c r="W767" t="str">
        <f>IF(I767&gt;B767,"ERROR","OK")</f>
        <v>OK</v>
      </c>
      <c r="X767">
        <f>(B767-I767)/B767</f>
        <v>0.6443956350821769</v>
      </c>
      <c r="Y767" s="2">
        <f t="shared" si="93"/>
        <v>1.1102230246251565E-16</v>
      </c>
      <c r="Z767" s="2" t="str">
        <f t="shared" si="94"/>
        <v>OK</v>
      </c>
      <c r="AA767" t="str">
        <f t="shared" si="95"/>
        <v>Unique</v>
      </c>
    </row>
    <row r="768" spans="1:27" x14ac:dyDescent="0.3">
      <c r="A768">
        <v>767</v>
      </c>
      <c r="B768">
        <v>389362.57655050402</v>
      </c>
      <c r="C768">
        <v>0.55980400114550199</v>
      </c>
      <c r="D768">
        <v>4.2360187012816297E-2</v>
      </c>
      <c r="E768">
        <v>0.23414113032968301</v>
      </c>
      <c r="F768">
        <v>1</v>
      </c>
      <c r="G768" t="s">
        <v>12</v>
      </c>
      <c r="H768">
        <v>0</v>
      </c>
      <c r="I768">
        <v>91165.793781613</v>
      </c>
      <c r="J768">
        <v>0.76585886967031602</v>
      </c>
      <c r="K768" t="str">
        <f t="shared" si="88"/>
        <v>OK</v>
      </c>
      <c r="L768" t="str">
        <f t="shared" si="89"/>
        <v>OK</v>
      </c>
      <c r="M768" t="str">
        <f>IF(OR(B768&lt;$AE$20,B768&gt;$AF$20),"Outlier","OK")</f>
        <v>OK</v>
      </c>
      <c r="N768" t="str">
        <f>IF(OR(J768&lt;$AE$21,J768&gt;$AF$21),"Outlier","OK")</f>
        <v>OK</v>
      </c>
      <c r="O768" t="str">
        <f>IF(OR(C768&lt;0,C768&gt;1),"Outlier","OK")</f>
        <v>OK</v>
      </c>
      <c r="P768" t="str">
        <f>IF(OR(D768&lt;0,D768&gt;1),"Outlier","OK")</f>
        <v>OK</v>
      </c>
      <c r="Q768" t="str">
        <f t="shared" si="90"/>
        <v>60-80%</v>
      </c>
      <c r="R768" t="str">
        <f>IF(B768="","Missing","OK")</f>
        <v>OK</v>
      </c>
      <c r="S768" t="str">
        <f>IF(E768="","Missing","OK")</f>
        <v>OK</v>
      </c>
      <c r="T768" t="str">
        <f t="shared" si="91"/>
        <v>OK</v>
      </c>
      <c r="U768">
        <f>COUNTIF($A:$A,A768)</f>
        <v>1</v>
      </c>
      <c r="V768" t="str">
        <f t="shared" si="92"/>
        <v>OK</v>
      </c>
      <c r="W768" t="str">
        <f>IF(I768&gt;B768,"ERROR","OK")</f>
        <v>OK</v>
      </c>
      <c r="X768">
        <f>(B768-I768)/B768</f>
        <v>0.76585886967031636</v>
      </c>
      <c r="Y768" s="2">
        <f t="shared" si="93"/>
        <v>3.3306690738754696E-16</v>
      </c>
      <c r="Z768" s="2" t="str">
        <f t="shared" si="94"/>
        <v>OK</v>
      </c>
      <c r="AA768" t="str">
        <f t="shared" si="95"/>
        <v>Unique</v>
      </c>
    </row>
    <row r="769" spans="1:27" x14ac:dyDescent="0.3">
      <c r="A769">
        <v>768</v>
      </c>
      <c r="B769">
        <v>1813022.72285775</v>
      </c>
      <c r="C769">
        <v>0.14296844743346501</v>
      </c>
      <c r="D769">
        <v>-7.9242306302137994E-2</v>
      </c>
      <c r="E769">
        <v>7.9302862566168794E-2</v>
      </c>
      <c r="F769">
        <v>1</v>
      </c>
      <c r="G769" t="s">
        <v>11</v>
      </c>
      <c r="H769">
        <v>1</v>
      </c>
      <c r="I769">
        <v>143777.89182013</v>
      </c>
      <c r="J769">
        <v>0.92069713743383097</v>
      </c>
      <c r="K769" t="str">
        <f t="shared" si="88"/>
        <v>OK</v>
      </c>
      <c r="L769" t="str">
        <f t="shared" si="89"/>
        <v>OK</v>
      </c>
      <c r="M769" t="str">
        <f>IF(OR(B769&lt;$AE$20,B769&gt;$AF$20),"Outlier","OK")</f>
        <v>OK</v>
      </c>
      <c r="N769" t="str">
        <f>IF(OR(J769&lt;$AE$21,J769&gt;$AF$21),"Outlier","OK")</f>
        <v>OK</v>
      </c>
      <c r="O769" t="str">
        <f>IF(OR(C769&lt;0,C769&gt;1),"Outlier","OK")</f>
        <v>OK</v>
      </c>
      <c r="P769" t="str">
        <f>IF(OR(D769&lt;0,D769&gt;1),"Outlier","OK")</f>
        <v>Outlier</v>
      </c>
      <c r="Q769" t="str">
        <f t="shared" si="90"/>
        <v>80-100%</v>
      </c>
      <c r="R769" t="str">
        <f>IF(B769="","Missing","OK")</f>
        <v>OK</v>
      </c>
      <c r="S769" t="str">
        <f>IF(E769="","Missing","OK")</f>
        <v>OK</v>
      </c>
      <c r="T769" t="str">
        <f t="shared" si="91"/>
        <v>OK</v>
      </c>
      <c r="U769">
        <f>COUNTIF($A:$A,A769)</f>
        <v>1</v>
      </c>
      <c r="V769" t="str">
        <f t="shared" si="92"/>
        <v>OK</v>
      </c>
      <c r="W769" t="str">
        <f>IF(I769&gt;B769,"ERROR","OK")</f>
        <v>OK</v>
      </c>
      <c r="X769">
        <f>(B769-I769)/B769</f>
        <v>0.92069713743383086</v>
      </c>
      <c r="Y769" s="2">
        <f t="shared" si="93"/>
        <v>1.1102230246251565E-16</v>
      </c>
      <c r="Z769" s="2" t="str">
        <f t="shared" si="94"/>
        <v>OK</v>
      </c>
      <c r="AA769" t="str">
        <f t="shared" si="95"/>
        <v>Unique</v>
      </c>
    </row>
    <row r="770" spans="1:27" x14ac:dyDescent="0.3">
      <c r="A770">
        <v>769</v>
      </c>
      <c r="B770">
        <v>451383.67623245402</v>
      </c>
      <c r="C770">
        <v>0.39837368146197899</v>
      </c>
      <c r="D770">
        <v>0.180751698769164</v>
      </c>
      <c r="E770">
        <v>0.28973376489852198</v>
      </c>
      <c r="F770">
        <v>1</v>
      </c>
      <c r="G770" t="s">
        <v>12</v>
      </c>
      <c r="H770">
        <v>1</v>
      </c>
      <c r="I770">
        <v>130781.091928564</v>
      </c>
      <c r="J770">
        <v>0.71026623510147702</v>
      </c>
      <c r="K770" t="str">
        <f t="shared" si="88"/>
        <v>OK</v>
      </c>
      <c r="L770" t="str">
        <f t="shared" si="89"/>
        <v>OK</v>
      </c>
      <c r="M770" t="str">
        <f>IF(OR(B770&lt;$AE$20,B770&gt;$AF$20),"Outlier","OK")</f>
        <v>OK</v>
      </c>
      <c r="N770" t="str">
        <f>IF(OR(J770&lt;$AE$21,J770&gt;$AF$21),"Outlier","OK")</f>
        <v>OK</v>
      </c>
      <c r="O770" t="str">
        <f>IF(OR(C770&lt;0,C770&gt;1),"Outlier","OK")</f>
        <v>OK</v>
      </c>
      <c r="P770" t="str">
        <f>IF(OR(D770&lt;0,D770&gt;1),"Outlier","OK")</f>
        <v>OK</v>
      </c>
      <c r="Q770" t="str">
        <f t="shared" si="90"/>
        <v>60-80%</v>
      </c>
      <c r="R770" t="str">
        <f>IF(B770="","Missing","OK")</f>
        <v>OK</v>
      </c>
      <c r="S770" t="str">
        <f>IF(E770="","Missing","OK")</f>
        <v>OK</v>
      </c>
      <c r="T770" t="str">
        <f t="shared" si="91"/>
        <v>OK</v>
      </c>
      <c r="U770">
        <f>COUNTIF($A:$A,A770)</f>
        <v>1</v>
      </c>
      <c r="V770" t="str">
        <f t="shared" si="92"/>
        <v>OK</v>
      </c>
      <c r="W770" t="str">
        <f>IF(I770&gt;B770,"ERROR","OK")</f>
        <v>OK</v>
      </c>
      <c r="X770">
        <f>(B770-I770)/B770</f>
        <v>0.7102662351014789</v>
      </c>
      <c r="Y770" s="2">
        <f t="shared" si="93"/>
        <v>1.8873791418627661E-15</v>
      </c>
      <c r="Z770" s="2" t="str">
        <f t="shared" si="94"/>
        <v>OK</v>
      </c>
      <c r="AA770" t="str">
        <f t="shared" si="95"/>
        <v>Unique</v>
      </c>
    </row>
    <row r="771" spans="1:27" x14ac:dyDescent="0.3">
      <c r="A771">
        <v>770</v>
      </c>
      <c r="B771">
        <v>1317584.3507407999</v>
      </c>
      <c r="C771">
        <v>0.30461135667237199</v>
      </c>
      <c r="D771">
        <v>5.9917619968175302E-2</v>
      </c>
      <c r="E771">
        <v>0.24460322086304301</v>
      </c>
      <c r="F771">
        <v>1</v>
      </c>
      <c r="G771" t="s">
        <v>12</v>
      </c>
      <c r="H771">
        <v>1</v>
      </c>
      <c r="I771">
        <v>322285.37594994297</v>
      </c>
      <c r="J771">
        <v>0.75539677913695602</v>
      </c>
      <c r="K771" t="str">
        <f t="shared" ref="K771:K834" si="96">IF(OR(J771&lt;0,J771&gt;1),"Error","OK")</f>
        <v>OK</v>
      </c>
      <c r="L771" t="str">
        <f t="shared" ref="L771:L834" si="97">IF(I771&gt;B771,"Error","OK")</f>
        <v>OK</v>
      </c>
      <c r="M771" t="str">
        <f>IF(OR(B771&lt;$AE$20,B771&gt;$AF$20),"Outlier","OK")</f>
        <v>OK</v>
      </c>
      <c r="N771" t="str">
        <f>IF(OR(J771&lt;$AE$21,J771&gt;$AF$21),"Outlier","OK")</f>
        <v>OK</v>
      </c>
      <c r="O771" t="str">
        <f>IF(OR(C771&lt;0,C771&gt;1),"Outlier","OK")</f>
        <v>OK</v>
      </c>
      <c r="P771" t="str">
        <f>IF(OR(D771&lt;0,D771&gt;1),"Outlier","OK")</f>
        <v>OK</v>
      </c>
      <c r="Q771" t="str">
        <f t="shared" ref="Q771:Q834" si="98">IF(J771&lt;=0.2,"0-20%",
 IF(J771&lt;=0.4,"20-40%",
 IF(J771&lt;=0.6,"40-60%",
 IF(J771&lt;=0.8,"60-80%","80-100%"))))</f>
        <v>60-80%</v>
      </c>
      <c r="R771" t="str">
        <f>IF(B771="","Missing","OK")</f>
        <v>OK</v>
      </c>
      <c r="S771" t="str">
        <f>IF(E771="","Missing","OK")</f>
        <v>OK</v>
      </c>
      <c r="T771" t="str">
        <f t="shared" ref="T771:T834" si="99">IF(J771="","Missing","OK")</f>
        <v>OK</v>
      </c>
      <c r="U771">
        <f>COUNTIF($A:$A,A771)</f>
        <v>1</v>
      </c>
      <c r="V771" t="str">
        <f t="shared" ref="V771:V834" si="100">IF(OR(J771&lt;0,J771&gt;1),"ERROR","OK")</f>
        <v>OK</v>
      </c>
      <c r="W771" t="str">
        <f>IF(I771&gt;B771,"ERROR","OK")</f>
        <v>OK</v>
      </c>
      <c r="X771">
        <f>(B771-I771)/B771</f>
        <v>0.75539677913695547</v>
      </c>
      <c r="Y771" s="2">
        <f t="shared" ref="Y771:Y834" si="101">ABS(J771-X771)</f>
        <v>5.5511151231257827E-16</v>
      </c>
      <c r="Z771" s="2" t="str">
        <f t="shared" ref="Z771:Z834" si="102">IF(OR(B771="",I771="",J771=""),"Missing","OK")</f>
        <v>OK</v>
      </c>
      <c r="AA771" t="str">
        <f t="shared" ref="AA771:AA834" si="103">IF(COUNTIF($A:$A,A771)&gt;1,"Duplicate","Unique")</f>
        <v>Unique</v>
      </c>
    </row>
    <row r="772" spans="1:27" x14ac:dyDescent="0.3">
      <c r="A772">
        <v>771</v>
      </c>
      <c r="B772">
        <v>1876120.1133006499</v>
      </c>
      <c r="C772">
        <v>0.88107902109524106</v>
      </c>
      <c r="D772">
        <v>0.165892951675844</v>
      </c>
      <c r="E772">
        <v>0.13650338044876301</v>
      </c>
      <c r="F772">
        <v>1</v>
      </c>
      <c r="G772" t="s">
        <v>12</v>
      </c>
      <c r="H772">
        <v>0</v>
      </c>
      <c r="I772">
        <v>256096.73759345699</v>
      </c>
      <c r="J772">
        <v>0.86349661955123602</v>
      </c>
      <c r="K772" t="str">
        <f t="shared" si="96"/>
        <v>OK</v>
      </c>
      <c r="L772" t="str">
        <f t="shared" si="97"/>
        <v>OK</v>
      </c>
      <c r="M772" t="str">
        <f>IF(OR(B772&lt;$AE$20,B772&gt;$AF$20),"Outlier","OK")</f>
        <v>OK</v>
      </c>
      <c r="N772" t="str">
        <f>IF(OR(J772&lt;$AE$21,J772&gt;$AF$21),"Outlier","OK")</f>
        <v>OK</v>
      </c>
      <c r="O772" t="str">
        <f>IF(OR(C772&lt;0,C772&gt;1),"Outlier","OK")</f>
        <v>OK</v>
      </c>
      <c r="P772" t="str">
        <f>IF(OR(D772&lt;0,D772&gt;1),"Outlier","OK")</f>
        <v>OK</v>
      </c>
      <c r="Q772" t="str">
        <f t="shared" si="98"/>
        <v>80-100%</v>
      </c>
      <c r="R772" t="str">
        <f>IF(B772="","Missing","OK")</f>
        <v>OK</v>
      </c>
      <c r="S772" t="str">
        <f>IF(E772="","Missing","OK")</f>
        <v>OK</v>
      </c>
      <c r="T772" t="str">
        <f t="shared" si="99"/>
        <v>OK</v>
      </c>
      <c r="U772">
        <f>COUNTIF($A:$A,A772)</f>
        <v>1</v>
      </c>
      <c r="V772" t="str">
        <f t="shared" si="100"/>
        <v>OK</v>
      </c>
      <c r="W772" t="str">
        <f>IF(I772&gt;B772,"ERROR","OK")</f>
        <v>OK</v>
      </c>
      <c r="X772">
        <f>(B772-I772)/B772</f>
        <v>0.86349661955123591</v>
      </c>
      <c r="Y772" s="2">
        <f t="shared" si="101"/>
        <v>1.1102230246251565E-16</v>
      </c>
      <c r="Z772" s="2" t="str">
        <f t="shared" si="102"/>
        <v>OK</v>
      </c>
      <c r="AA772" t="str">
        <f t="shared" si="103"/>
        <v>Unique</v>
      </c>
    </row>
    <row r="773" spans="1:27" x14ac:dyDescent="0.3">
      <c r="A773">
        <v>772</v>
      </c>
      <c r="B773">
        <v>485980.27891279798</v>
      </c>
      <c r="C773">
        <v>0.12808353342670001</v>
      </c>
      <c r="D773">
        <v>-0.12749445769053999</v>
      </c>
      <c r="E773">
        <v>0.25613460968527801</v>
      </c>
      <c r="F773">
        <v>1</v>
      </c>
      <c r="G773" t="s">
        <v>10</v>
      </c>
      <c r="H773">
        <v>0</v>
      </c>
      <c r="I773">
        <v>124476.369054072</v>
      </c>
      <c r="J773">
        <v>0.74386539031472099</v>
      </c>
      <c r="K773" t="str">
        <f t="shared" si="96"/>
        <v>OK</v>
      </c>
      <c r="L773" t="str">
        <f t="shared" si="97"/>
        <v>OK</v>
      </c>
      <c r="M773" t="str">
        <f>IF(OR(B773&lt;$AE$20,B773&gt;$AF$20),"Outlier","OK")</f>
        <v>OK</v>
      </c>
      <c r="N773" t="str">
        <f>IF(OR(J773&lt;$AE$21,J773&gt;$AF$21),"Outlier","OK")</f>
        <v>OK</v>
      </c>
      <c r="O773" t="str">
        <f>IF(OR(C773&lt;0,C773&gt;1),"Outlier","OK")</f>
        <v>OK</v>
      </c>
      <c r="P773" t="str">
        <f>IF(OR(D773&lt;0,D773&gt;1),"Outlier","OK")</f>
        <v>Outlier</v>
      </c>
      <c r="Q773" t="str">
        <f t="shared" si="98"/>
        <v>60-80%</v>
      </c>
      <c r="R773" t="str">
        <f>IF(B773="","Missing","OK")</f>
        <v>OK</v>
      </c>
      <c r="S773" t="str">
        <f>IF(E773="","Missing","OK")</f>
        <v>OK</v>
      </c>
      <c r="T773" t="str">
        <f t="shared" si="99"/>
        <v>OK</v>
      </c>
      <c r="U773">
        <f>COUNTIF($A:$A,A773)</f>
        <v>1</v>
      </c>
      <c r="V773" t="str">
        <f t="shared" si="100"/>
        <v>OK</v>
      </c>
      <c r="W773" t="str">
        <f>IF(I773&gt;B773,"ERROR","OK")</f>
        <v>OK</v>
      </c>
      <c r="X773">
        <f>(B773-I773)/B773</f>
        <v>0.7438653903147221</v>
      </c>
      <c r="Y773" s="2">
        <f t="shared" si="101"/>
        <v>1.1102230246251565E-15</v>
      </c>
      <c r="Z773" s="2" t="str">
        <f t="shared" si="102"/>
        <v>OK</v>
      </c>
      <c r="AA773" t="str">
        <f t="shared" si="103"/>
        <v>Unique</v>
      </c>
    </row>
    <row r="774" spans="1:27" x14ac:dyDescent="0.3">
      <c r="A774">
        <v>773</v>
      </c>
      <c r="B774">
        <v>490550.904436009</v>
      </c>
      <c r="C774">
        <v>0.52821766198814402</v>
      </c>
      <c r="D774">
        <v>2.0699585187203901E-2</v>
      </c>
      <c r="E774">
        <v>0.20507540423762299</v>
      </c>
      <c r="F774">
        <v>1</v>
      </c>
      <c r="G774" t="s">
        <v>12</v>
      </c>
      <c r="H774">
        <v>0</v>
      </c>
      <c r="I774">
        <v>100599.925026346</v>
      </c>
      <c r="J774">
        <v>0.79492459576237695</v>
      </c>
      <c r="K774" t="str">
        <f t="shared" si="96"/>
        <v>OK</v>
      </c>
      <c r="L774" t="str">
        <f t="shared" si="97"/>
        <v>OK</v>
      </c>
      <c r="M774" t="str">
        <f>IF(OR(B774&lt;$AE$20,B774&gt;$AF$20),"Outlier","OK")</f>
        <v>OK</v>
      </c>
      <c r="N774" t="str">
        <f>IF(OR(J774&lt;$AE$21,J774&gt;$AF$21),"Outlier","OK")</f>
        <v>OK</v>
      </c>
      <c r="O774" t="str">
        <f>IF(OR(C774&lt;0,C774&gt;1),"Outlier","OK")</f>
        <v>OK</v>
      </c>
      <c r="P774" t="str">
        <f>IF(OR(D774&lt;0,D774&gt;1),"Outlier","OK")</f>
        <v>OK</v>
      </c>
      <c r="Q774" t="str">
        <f t="shared" si="98"/>
        <v>60-80%</v>
      </c>
      <c r="R774" t="str">
        <f>IF(B774="","Missing","OK")</f>
        <v>OK</v>
      </c>
      <c r="S774" t="str">
        <f>IF(E774="","Missing","OK")</f>
        <v>OK</v>
      </c>
      <c r="T774" t="str">
        <f t="shared" si="99"/>
        <v>OK</v>
      </c>
      <c r="U774">
        <f>COUNTIF($A:$A,A774)</f>
        <v>1</v>
      </c>
      <c r="V774" t="str">
        <f t="shared" si="100"/>
        <v>OK</v>
      </c>
      <c r="W774" t="str">
        <f>IF(I774&gt;B774,"ERROR","OK")</f>
        <v>OK</v>
      </c>
      <c r="X774">
        <f>(B774-I774)/B774</f>
        <v>0.79492459576237728</v>
      </c>
      <c r="Y774" s="2">
        <f t="shared" si="101"/>
        <v>3.3306690738754696E-16</v>
      </c>
      <c r="Z774" s="2" t="str">
        <f t="shared" si="102"/>
        <v>OK</v>
      </c>
      <c r="AA774" t="str">
        <f t="shared" si="103"/>
        <v>Unique</v>
      </c>
    </row>
    <row r="775" spans="1:27" x14ac:dyDescent="0.3">
      <c r="A775">
        <v>774</v>
      </c>
      <c r="B775">
        <v>1711046.8753229401</v>
      </c>
      <c r="C775">
        <v>0.777415013252159</v>
      </c>
      <c r="D775">
        <v>2.0735921893804399E-2</v>
      </c>
      <c r="E775">
        <v>0.138290397687828</v>
      </c>
      <c r="F775">
        <v>1</v>
      </c>
      <c r="G775" t="s">
        <v>13</v>
      </c>
      <c r="H775">
        <v>0</v>
      </c>
      <c r="I775">
        <v>236621.35285092701</v>
      </c>
      <c r="J775">
        <v>0.86170960231217097</v>
      </c>
      <c r="K775" t="str">
        <f t="shared" si="96"/>
        <v>OK</v>
      </c>
      <c r="L775" t="str">
        <f t="shared" si="97"/>
        <v>OK</v>
      </c>
      <c r="M775" t="str">
        <f>IF(OR(B775&lt;$AE$20,B775&gt;$AF$20),"Outlier","OK")</f>
        <v>OK</v>
      </c>
      <c r="N775" t="str">
        <f>IF(OR(J775&lt;$AE$21,J775&gt;$AF$21),"Outlier","OK")</f>
        <v>OK</v>
      </c>
      <c r="O775" t="str">
        <f>IF(OR(C775&lt;0,C775&gt;1),"Outlier","OK")</f>
        <v>OK</v>
      </c>
      <c r="P775" t="str">
        <f>IF(OR(D775&lt;0,D775&gt;1),"Outlier","OK")</f>
        <v>OK</v>
      </c>
      <c r="Q775" t="str">
        <f t="shared" si="98"/>
        <v>80-100%</v>
      </c>
      <c r="R775" t="str">
        <f>IF(B775="","Missing","OK")</f>
        <v>OK</v>
      </c>
      <c r="S775" t="str">
        <f>IF(E775="","Missing","OK")</f>
        <v>OK</v>
      </c>
      <c r="T775" t="str">
        <f t="shared" si="99"/>
        <v>OK</v>
      </c>
      <c r="U775">
        <f>COUNTIF($A:$A,A775)</f>
        <v>1</v>
      </c>
      <c r="V775" t="str">
        <f t="shared" si="100"/>
        <v>OK</v>
      </c>
      <c r="W775" t="str">
        <f>IF(I775&gt;B775,"ERROR","OK")</f>
        <v>OK</v>
      </c>
      <c r="X775">
        <f>(B775-I775)/B775</f>
        <v>0.86170960231217075</v>
      </c>
      <c r="Y775" s="2">
        <f t="shared" si="101"/>
        <v>2.2204460492503131E-16</v>
      </c>
      <c r="Z775" s="2" t="str">
        <f t="shared" si="102"/>
        <v>OK</v>
      </c>
      <c r="AA775" t="str">
        <f t="shared" si="103"/>
        <v>Unique</v>
      </c>
    </row>
    <row r="776" spans="1:27" x14ac:dyDescent="0.3">
      <c r="A776">
        <v>775</v>
      </c>
      <c r="B776">
        <v>1663927.3006393199</v>
      </c>
      <c r="C776">
        <v>0.40371632235903698</v>
      </c>
      <c r="D776">
        <v>-0.19682957885059399</v>
      </c>
      <c r="E776">
        <v>0.304356143567375</v>
      </c>
      <c r="F776">
        <v>1</v>
      </c>
      <c r="G776" t="s">
        <v>12</v>
      </c>
      <c r="H776">
        <v>0</v>
      </c>
      <c r="I776">
        <v>506426.49639905803</v>
      </c>
      <c r="J776">
        <v>0.69564385643262405</v>
      </c>
      <c r="K776" t="str">
        <f t="shared" si="96"/>
        <v>OK</v>
      </c>
      <c r="L776" t="str">
        <f t="shared" si="97"/>
        <v>OK</v>
      </c>
      <c r="M776" t="str">
        <f>IF(OR(B776&lt;$AE$20,B776&gt;$AF$20),"Outlier","OK")</f>
        <v>OK</v>
      </c>
      <c r="N776" t="str">
        <f>IF(OR(J776&lt;$AE$21,J776&gt;$AF$21),"Outlier","OK")</f>
        <v>OK</v>
      </c>
      <c r="O776" t="str">
        <f>IF(OR(C776&lt;0,C776&gt;1),"Outlier","OK")</f>
        <v>OK</v>
      </c>
      <c r="P776" t="str">
        <f>IF(OR(D776&lt;0,D776&gt;1),"Outlier","OK")</f>
        <v>Outlier</v>
      </c>
      <c r="Q776" t="str">
        <f t="shared" si="98"/>
        <v>60-80%</v>
      </c>
      <c r="R776" t="str">
        <f>IF(B776="","Missing","OK")</f>
        <v>OK</v>
      </c>
      <c r="S776" t="str">
        <f>IF(E776="","Missing","OK")</f>
        <v>OK</v>
      </c>
      <c r="T776" t="str">
        <f t="shared" si="99"/>
        <v>OK</v>
      </c>
      <c r="U776">
        <f>COUNTIF($A:$A,A776)</f>
        <v>1</v>
      </c>
      <c r="V776" t="str">
        <f t="shared" si="100"/>
        <v>OK</v>
      </c>
      <c r="W776" t="str">
        <f>IF(I776&gt;B776,"ERROR","OK")</f>
        <v>OK</v>
      </c>
      <c r="X776">
        <f>(B776-I776)/B776</f>
        <v>0.6956438564326235</v>
      </c>
      <c r="Y776" s="2">
        <f t="shared" si="101"/>
        <v>5.5511151231257827E-16</v>
      </c>
      <c r="Z776" s="2" t="str">
        <f t="shared" si="102"/>
        <v>OK</v>
      </c>
      <c r="AA776" t="str">
        <f t="shared" si="103"/>
        <v>Unique</v>
      </c>
    </row>
    <row r="777" spans="1:27" x14ac:dyDescent="0.3">
      <c r="A777">
        <v>776</v>
      </c>
      <c r="B777">
        <v>735821.538306523</v>
      </c>
      <c r="C777">
        <v>0.82879069378991999</v>
      </c>
      <c r="D777">
        <v>-5.8434705799781297E-4</v>
      </c>
      <c r="E777">
        <v>0.186421476944404</v>
      </c>
      <c r="F777">
        <v>1</v>
      </c>
      <c r="G777" t="s">
        <v>13</v>
      </c>
      <c r="H777">
        <v>1</v>
      </c>
      <c r="I777">
        <v>137172.937938605</v>
      </c>
      <c r="J777">
        <v>0.81357852305559497</v>
      </c>
      <c r="K777" t="str">
        <f t="shared" si="96"/>
        <v>OK</v>
      </c>
      <c r="L777" t="str">
        <f t="shared" si="97"/>
        <v>OK</v>
      </c>
      <c r="M777" t="str">
        <f>IF(OR(B777&lt;$AE$20,B777&gt;$AF$20),"Outlier","OK")</f>
        <v>OK</v>
      </c>
      <c r="N777" t="str">
        <f>IF(OR(J777&lt;$AE$21,J777&gt;$AF$21),"Outlier","OK")</f>
        <v>OK</v>
      </c>
      <c r="O777" t="str">
        <f>IF(OR(C777&lt;0,C777&gt;1),"Outlier","OK")</f>
        <v>OK</v>
      </c>
      <c r="P777" t="str">
        <f>IF(OR(D777&lt;0,D777&gt;1),"Outlier","OK")</f>
        <v>Outlier</v>
      </c>
      <c r="Q777" t="str">
        <f t="shared" si="98"/>
        <v>80-100%</v>
      </c>
      <c r="R777" t="str">
        <f>IF(B777="","Missing","OK")</f>
        <v>OK</v>
      </c>
      <c r="S777" t="str">
        <f>IF(E777="","Missing","OK")</f>
        <v>OK</v>
      </c>
      <c r="T777" t="str">
        <f t="shared" si="99"/>
        <v>OK</v>
      </c>
      <c r="U777">
        <f>COUNTIF($A:$A,A777)</f>
        <v>1</v>
      </c>
      <c r="V777" t="str">
        <f t="shared" si="100"/>
        <v>OK</v>
      </c>
      <c r="W777" t="str">
        <f>IF(I777&gt;B777,"ERROR","OK")</f>
        <v>OK</v>
      </c>
      <c r="X777">
        <f>(B777-I777)/B777</f>
        <v>0.81357852305559653</v>
      </c>
      <c r="Y777" s="2">
        <f t="shared" si="101"/>
        <v>1.5543122344752192E-15</v>
      </c>
      <c r="Z777" s="2" t="str">
        <f t="shared" si="102"/>
        <v>OK</v>
      </c>
      <c r="AA777" t="str">
        <f t="shared" si="103"/>
        <v>Unique</v>
      </c>
    </row>
    <row r="778" spans="1:27" x14ac:dyDescent="0.3">
      <c r="A778">
        <v>777</v>
      </c>
      <c r="B778">
        <v>566937.76292959705</v>
      </c>
      <c r="C778">
        <v>0.86200357735036703</v>
      </c>
      <c r="D778">
        <v>-8.8933069561068501E-2</v>
      </c>
      <c r="E778">
        <v>0.15133527920527101</v>
      </c>
      <c r="F778">
        <v>1</v>
      </c>
      <c r="G778" t="s">
        <v>12</v>
      </c>
      <c r="H778">
        <v>0</v>
      </c>
      <c r="I778">
        <v>85797.684644962399</v>
      </c>
      <c r="J778">
        <v>0.84866472079472799</v>
      </c>
      <c r="K778" t="str">
        <f t="shared" si="96"/>
        <v>OK</v>
      </c>
      <c r="L778" t="str">
        <f t="shared" si="97"/>
        <v>OK</v>
      </c>
      <c r="M778" t="str">
        <f>IF(OR(B778&lt;$AE$20,B778&gt;$AF$20),"Outlier","OK")</f>
        <v>OK</v>
      </c>
      <c r="N778" t="str">
        <f>IF(OR(J778&lt;$AE$21,J778&gt;$AF$21),"Outlier","OK")</f>
        <v>OK</v>
      </c>
      <c r="O778" t="str">
        <f>IF(OR(C778&lt;0,C778&gt;1),"Outlier","OK")</f>
        <v>OK</v>
      </c>
      <c r="P778" t="str">
        <f>IF(OR(D778&lt;0,D778&gt;1),"Outlier","OK")</f>
        <v>Outlier</v>
      </c>
      <c r="Q778" t="str">
        <f t="shared" si="98"/>
        <v>80-100%</v>
      </c>
      <c r="R778" t="str">
        <f>IF(B778="","Missing","OK")</f>
        <v>OK</v>
      </c>
      <c r="S778" t="str">
        <f>IF(E778="","Missing","OK")</f>
        <v>OK</v>
      </c>
      <c r="T778" t="str">
        <f t="shared" si="99"/>
        <v>OK</v>
      </c>
      <c r="U778">
        <f>COUNTIF($A:$A,A778)</f>
        <v>1</v>
      </c>
      <c r="V778" t="str">
        <f t="shared" si="100"/>
        <v>OK</v>
      </c>
      <c r="W778" t="str">
        <f>IF(I778&gt;B778,"ERROR","OK")</f>
        <v>OK</v>
      </c>
      <c r="X778">
        <f>(B778-I778)/B778</f>
        <v>0.84866472079472877</v>
      </c>
      <c r="Y778" s="2">
        <f t="shared" si="101"/>
        <v>7.7715611723760958E-16</v>
      </c>
      <c r="Z778" s="2" t="str">
        <f t="shared" si="102"/>
        <v>OK</v>
      </c>
      <c r="AA778" t="str">
        <f t="shared" si="103"/>
        <v>Unique</v>
      </c>
    </row>
    <row r="779" spans="1:27" x14ac:dyDescent="0.3">
      <c r="A779">
        <v>778</v>
      </c>
      <c r="B779">
        <v>298407.52091043699</v>
      </c>
      <c r="C779">
        <v>0.81980477527147899</v>
      </c>
      <c r="D779">
        <v>5.3883359990410599E-2</v>
      </c>
      <c r="E779">
        <v>0.19936477940987199</v>
      </c>
      <c r="F779">
        <v>1</v>
      </c>
      <c r="G779" t="s">
        <v>11</v>
      </c>
      <c r="H779">
        <v>1</v>
      </c>
      <c r="I779">
        <v>59491.949580556102</v>
      </c>
      <c r="J779">
        <v>0.80063522059012704</v>
      </c>
      <c r="K779" t="str">
        <f t="shared" si="96"/>
        <v>OK</v>
      </c>
      <c r="L779" t="str">
        <f t="shared" si="97"/>
        <v>OK</v>
      </c>
      <c r="M779" t="str">
        <f>IF(OR(B779&lt;$AE$20,B779&gt;$AF$20),"Outlier","OK")</f>
        <v>OK</v>
      </c>
      <c r="N779" t="str">
        <f>IF(OR(J779&lt;$AE$21,J779&gt;$AF$21),"Outlier","OK")</f>
        <v>OK</v>
      </c>
      <c r="O779" t="str">
        <f>IF(OR(C779&lt;0,C779&gt;1),"Outlier","OK")</f>
        <v>OK</v>
      </c>
      <c r="P779" t="str">
        <f>IF(OR(D779&lt;0,D779&gt;1),"Outlier","OK")</f>
        <v>OK</v>
      </c>
      <c r="Q779" t="str">
        <f t="shared" si="98"/>
        <v>80-100%</v>
      </c>
      <c r="R779" t="str">
        <f>IF(B779="","Missing","OK")</f>
        <v>OK</v>
      </c>
      <c r="S779" t="str">
        <f>IF(E779="","Missing","OK")</f>
        <v>OK</v>
      </c>
      <c r="T779" t="str">
        <f t="shared" si="99"/>
        <v>OK</v>
      </c>
      <c r="U779">
        <f>COUNTIF($A:$A,A779)</f>
        <v>1</v>
      </c>
      <c r="V779" t="str">
        <f t="shared" si="100"/>
        <v>OK</v>
      </c>
      <c r="W779" t="str">
        <f>IF(I779&gt;B779,"ERROR","OK")</f>
        <v>OK</v>
      </c>
      <c r="X779">
        <f>(B779-I779)/B779</f>
        <v>0.80063522059012782</v>
      </c>
      <c r="Y779" s="2">
        <f t="shared" si="101"/>
        <v>7.7715611723760958E-16</v>
      </c>
      <c r="Z779" s="2" t="str">
        <f t="shared" si="102"/>
        <v>OK</v>
      </c>
      <c r="AA779" t="str">
        <f t="shared" si="103"/>
        <v>Unique</v>
      </c>
    </row>
    <row r="780" spans="1:27" x14ac:dyDescent="0.3">
      <c r="A780">
        <v>779</v>
      </c>
      <c r="B780">
        <v>1976475.40104528</v>
      </c>
      <c r="C780">
        <v>0.85504815327001804</v>
      </c>
      <c r="D780">
        <v>0.16025766423787899</v>
      </c>
      <c r="E780">
        <v>0.27492592853773001</v>
      </c>
      <c r="F780">
        <v>1</v>
      </c>
      <c r="G780" t="s">
        <v>13</v>
      </c>
      <c r="H780">
        <v>0</v>
      </c>
      <c r="I780">
        <v>543384.33486435597</v>
      </c>
      <c r="J780">
        <v>0.72507407146226899</v>
      </c>
      <c r="K780" t="str">
        <f t="shared" si="96"/>
        <v>OK</v>
      </c>
      <c r="L780" t="str">
        <f t="shared" si="97"/>
        <v>OK</v>
      </c>
      <c r="M780" t="str">
        <f>IF(OR(B780&lt;$AE$20,B780&gt;$AF$20),"Outlier","OK")</f>
        <v>OK</v>
      </c>
      <c r="N780" t="str">
        <f>IF(OR(J780&lt;$AE$21,J780&gt;$AF$21),"Outlier","OK")</f>
        <v>OK</v>
      </c>
      <c r="O780" t="str">
        <f>IF(OR(C780&lt;0,C780&gt;1),"Outlier","OK")</f>
        <v>OK</v>
      </c>
      <c r="P780" t="str">
        <f>IF(OR(D780&lt;0,D780&gt;1),"Outlier","OK")</f>
        <v>OK</v>
      </c>
      <c r="Q780" t="str">
        <f t="shared" si="98"/>
        <v>60-80%</v>
      </c>
      <c r="R780" t="str">
        <f>IF(B780="","Missing","OK")</f>
        <v>OK</v>
      </c>
      <c r="S780" t="str">
        <f>IF(E780="","Missing","OK")</f>
        <v>OK</v>
      </c>
      <c r="T780" t="str">
        <f t="shared" si="99"/>
        <v>OK</v>
      </c>
      <c r="U780">
        <f>COUNTIF($A:$A,A780)</f>
        <v>1</v>
      </c>
      <c r="V780" t="str">
        <f t="shared" si="100"/>
        <v>OK</v>
      </c>
      <c r="W780" t="str">
        <f>IF(I780&gt;B780,"ERROR","OK")</f>
        <v>OK</v>
      </c>
      <c r="X780">
        <f>(B780-I780)/B780</f>
        <v>0.72507407146226988</v>
      </c>
      <c r="Y780" s="2">
        <f t="shared" si="101"/>
        <v>8.8817841970012523E-16</v>
      </c>
      <c r="Z780" s="2" t="str">
        <f t="shared" si="102"/>
        <v>OK</v>
      </c>
      <c r="AA780" t="str">
        <f t="shared" si="103"/>
        <v>Unique</v>
      </c>
    </row>
    <row r="781" spans="1:27" x14ac:dyDescent="0.3">
      <c r="A781">
        <v>780</v>
      </c>
      <c r="B781">
        <v>1678919.0467165101</v>
      </c>
      <c r="C781">
        <v>0.43719043362918703</v>
      </c>
      <c r="D781">
        <v>0.10730337945172599</v>
      </c>
      <c r="E781">
        <v>0.28196583269846798</v>
      </c>
      <c r="F781">
        <v>1</v>
      </c>
      <c r="G781" t="s">
        <v>12</v>
      </c>
      <c r="H781">
        <v>0</v>
      </c>
      <c r="I781">
        <v>473397.80704074202</v>
      </c>
      <c r="J781">
        <v>0.71803416730153102</v>
      </c>
      <c r="K781" t="str">
        <f t="shared" si="96"/>
        <v>OK</v>
      </c>
      <c r="L781" t="str">
        <f t="shared" si="97"/>
        <v>OK</v>
      </c>
      <c r="M781" t="str">
        <f>IF(OR(B781&lt;$AE$20,B781&gt;$AF$20),"Outlier","OK")</f>
        <v>OK</v>
      </c>
      <c r="N781" t="str">
        <f>IF(OR(J781&lt;$AE$21,J781&gt;$AF$21),"Outlier","OK")</f>
        <v>OK</v>
      </c>
      <c r="O781" t="str">
        <f>IF(OR(C781&lt;0,C781&gt;1),"Outlier","OK")</f>
        <v>OK</v>
      </c>
      <c r="P781" t="str">
        <f>IF(OR(D781&lt;0,D781&gt;1),"Outlier","OK")</f>
        <v>OK</v>
      </c>
      <c r="Q781" t="str">
        <f t="shared" si="98"/>
        <v>60-80%</v>
      </c>
      <c r="R781" t="str">
        <f>IF(B781="","Missing","OK")</f>
        <v>OK</v>
      </c>
      <c r="S781" t="str">
        <f>IF(E781="","Missing","OK")</f>
        <v>OK</v>
      </c>
      <c r="T781" t="str">
        <f t="shared" si="99"/>
        <v>OK</v>
      </c>
      <c r="U781">
        <f>COUNTIF($A:$A,A781)</f>
        <v>1</v>
      </c>
      <c r="V781" t="str">
        <f t="shared" si="100"/>
        <v>OK</v>
      </c>
      <c r="W781" t="str">
        <f>IF(I781&gt;B781,"ERROR","OK")</f>
        <v>OK</v>
      </c>
      <c r="X781">
        <f>(B781-I781)/B781</f>
        <v>0.71803416730153025</v>
      </c>
      <c r="Y781" s="2">
        <f t="shared" si="101"/>
        <v>7.7715611723760958E-16</v>
      </c>
      <c r="Z781" s="2" t="str">
        <f t="shared" si="102"/>
        <v>OK</v>
      </c>
      <c r="AA781" t="str">
        <f t="shared" si="103"/>
        <v>Unique</v>
      </c>
    </row>
    <row r="782" spans="1:27" x14ac:dyDescent="0.3">
      <c r="A782">
        <v>781</v>
      </c>
      <c r="B782">
        <v>1803813.62963112</v>
      </c>
      <c r="C782">
        <v>0.33495982517711298</v>
      </c>
      <c r="D782">
        <v>-7.4974812736844296E-2</v>
      </c>
      <c r="E782">
        <v>0.13673005264424801</v>
      </c>
      <c r="F782">
        <v>1</v>
      </c>
      <c r="G782" t="s">
        <v>13</v>
      </c>
      <c r="H782">
        <v>1</v>
      </c>
      <c r="I782">
        <v>246635.532539876</v>
      </c>
      <c r="J782">
        <v>0.86326994735575102</v>
      </c>
      <c r="K782" t="str">
        <f t="shared" si="96"/>
        <v>OK</v>
      </c>
      <c r="L782" t="str">
        <f t="shared" si="97"/>
        <v>OK</v>
      </c>
      <c r="M782" t="str">
        <f>IF(OR(B782&lt;$AE$20,B782&gt;$AF$20),"Outlier","OK")</f>
        <v>OK</v>
      </c>
      <c r="N782" t="str">
        <f>IF(OR(J782&lt;$AE$21,J782&gt;$AF$21),"Outlier","OK")</f>
        <v>OK</v>
      </c>
      <c r="O782" t="str">
        <f>IF(OR(C782&lt;0,C782&gt;1),"Outlier","OK")</f>
        <v>OK</v>
      </c>
      <c r="P782" t="str">
        <f>IF(OR(D782&lt;0,D782&gt;1),"Outlier","OK")</f>
        <v>Outlier</v>
      </c>
      <c r="Q782" t="str">
        <f t="shared" si="98"/>
        <v>80-100%</v>
      </c>
      <c r="R782" t="str">
        <f>IF(B782="","Missing","OK")</f>
        <v>OK</v>
      </c>
      <c r="S782" t="str">
        <f>IF(E782="","Missing","OK")</f>
        <v>OK</v>
      </c>
      <c r="T782" t="str">
        <f t="shared" si="99"/>
        <v>OK</v>
      </c>
      <c r="U782">
        <f>COUNTIF($A:$A,A782)</f>
        <v>1</v>
      </c>
      <c r="V782" t="str">
        <f t="shared" si="100"/>
        <v>OK</v>
      </c>
      <c r="W782" t="str">
        <f>IF(I782&gt;B782,"ERROR","OK")</f>
        <v>OK</v>
      </c>
      <c r="X782">
        <f>(B782-I782)/B782</f>
        <v>0.86326994735575158</v>
      </c>
      <c r="Y782" s="2">
        <f t="shared" si="101"/>
        <v>5.5511151231257827E-16</v>
      </c>
      <c r="Z782" s="2" t="str">
        <f t="shared" si="102"/>
        <v>OK</v>
      </c>
      <c r="AA782" t="str">
        <f t="shared" si="103"/>
        <v>Unique</v>
      </c>
    </row>
    <row r="783" spans="1:27" x14ac:dyDescent="0.3">
      <c r="A783">
        <v>782</v>
      </c>
      <c r="B783">
        <v>1051674.6857202901</v>
      </c>
      <c r="C783">
        <v>0.17285831735724</v>
      </c>
      <c r="D783">
        <v>1.9152250171275401E-3</v>
      </c>
      <c r="E783">
        <v>0.202555620172054</v>
      </c>
      <c r="F783">
        <v>1</v>
      </c>
      <c r="G783" t="s">
        <v>12</v>
      </c>
      <c r="H783">
        <v>0</v>
      </c>
      <c r="I783">
        <v>213022.61818532401</v>
      </c>
      <c r="J783">
        <v>0.79744437982794503</v>
      </c>
      <c r="K783" t="str">
        <f t="shared" si="96"/>
        <v>OK</v>
      </c>
      <c r="L783" t="str">
        <f t="shared" si="97"/>
        <v>OK</v>
      </c>
      <c r="M783" t="str">
        <f>IF(OR(B783&lt;$AE$20,B783&gt;$AF$20),"Outlier","OK")</f>
        <v>OK</v>
      </c>
      <c r="N783" t="str">
        <f>IF(OR(J783&lt;$AE$21,J783&gt;$AF$21),"Outlier","OK")</f>
        <v>OK</v>
      </c>
      <c r="O783" t="str">
        <f>IF(OR(C783&lt;0,C783&gt;1),"Outlier","OK")</f>
        <v>OK</v>
      </c>
      <c r="P783" t="str">
        <f>IF(OR(D783&lt;0,D783&gt;1),"Outlier","OK")</f>
        <v>OK</v>
      </c>
      <c r="Q783" t="str">
        <f t="shared" si="98"/>
        <v>60-80%</v>
      </c>
      <c r="R783" t="str">
        <f>IF(B783="","Missing","OK")</f>
        <v>OK</v>
      </c>
      <c r="S783" t="str">
        <f>IF(E783="","Missing","OK")</f>
        <v>OK</v>
      </c>
      <c r="T783" t="str">
        <f t="shared" si="99"/>
        <v>OK</v>
      </c>
      <c r="U783">
        <f>COUNTIF($A:$A,A783)</f>
        <v>1</v>
      </c>
      <c r="V783" t="str">
        <f t="shared" si="100"/>
        <v>OK</v>
      </c>
      <c r="W783" t="str">
        <f>IF(I783&gt;B783,"ERROR","OK")</f>
        <v>OK</v>
      </c>
      <c r="X783">
        <f>(B783-I783)/B783</f>
        <v>0.79744437982794536</v>
      </c>
      <c r="Y783" s="2">
        <f t="shared" si="101"/>
        <v>3.3306690738754696E-16</v>
      </c>
      <c r="Z783" s="2" t="str">
        <f t="shared" si="102"/>
        <v>OK</v>
      </c>
      <c r="AA783" t="str">
        <f t="shared" si="103"/>
        <v>Unique</v>
      </c>
    </row>
    <row r="784" spans="1:27" x14ac:dyDescent="0.3">
      <c r="A784">
        <v>783</v>
      </c>
      <c r="B784">
        <v>273050.42295823398</v>
      </c>
      <c r="C784">
        <v>0.73999800849506703</v>
      </c>
      <c r="D784">
        <v>6.6169407861526499E-3</v>
      </c>
      <c r="E784">
        <v>0.28929561091247802</v>
      </c>
      <c r="F784">
        <v>1</v>
      </c>
      <c r="G784" t="s">
        <v>13</v>
      </c>
      <c r="H784">
        <v>0</v>
      </c>
      <c r="I784">
        <v>78992.288919612998</v>
      </c>
      <c r="J784">
        <v>0.71070438908752098</v>
      </c>
      <c r="K784" t="str">
        <f t="shared" si="96"/>
        <v>OK</v>
      </c>
      <c r="L784" t="str">
        <f t="shared" si="97"/>
        <v>OK</v>
      </c>
      <c r="M784" t="str">
        <f>IF(OR(B784&lt;$AE$20,B784&gt;$AF$20),"Outlier","OK")</f>
        <v>OK</v>
      </c>
      <c r="N784" t="str">
        <f>IF(OR(J784&lt;$AE$21,J784&gt;$AF$21),"Outlier","OK")</f>
        <v>OK</v>
      </c>
      <c r="O784" t="str">
        <f>IF(OR(C784&lt;0,C784&gt;1),"Outlier","OK")</f>
        <v>OK</v>
      </c>
      <c r="P784" t="str">
        <f>IF(OR(D784&lt;0,D784&gt;1),"Outlier","OK")</f>
        <v>OK</v>
      </c>
      <c r="Q784" t="str">
        <f t="shared" si="98"/>
        <v>60-80%</v>
      </c>
      <c r="R784" t="str">
        <f>IF(B784="","Missing","OK")</f>
        <v>OK</v>
      </c>
      <c r="S784" t="str">
        <f>IF(E784="","Missing","OK")</f>
        <v>OK</v>
      </c>
      <c r="T784" t="str">
        <f t="shared" si="99"/>
        <v>OK</v>
      </c>
      <c r="U784">
        <f>COUNTIF($A:$A,A784)</f>
        <v>1</v>
      </c>
      <c r="V784" t="str">
        <f t="shared" si="100"/>
        <v>OK</v>
      </c>
      <c r="W784" t="str">
        <f>IF(I784&gt;B784,"ERROR","OK")</f>
        <v>OK</v>
      </c>
      <c r="X784">
        <f>(B784-I784)/B784</f>
        <v>0.71070438908752132</v>
      </c>
      <c r="Y784" s="2">
        <f t="shared" si="101"/>
        <v>3.3306690738754696E-16</v>
      </c>
      <c r="Z784" s="2" t="str">
        <f t="shared" si="102"/>
        <v>OK</v>
      </c>
      <c r="AA784" t="str">
        <f t="shared" si="103"/>
        <v>Unique</v>
      </c>
    </row>
    <row r="785" spans="1:27" x14ac:dyDescent="0.3">
      <c r="A785">
        <v>784</v>
      </c>
      <c r="B785">
        <v>152531.65997810301</v>
      </c>
      <c r="C785">
        <v>0.32163052761480199</v>
      </c>
      <c r="D785">
        <v>-0.108043963683486</v>
      </c>
      <c r="E785">
        <v>0.20752904032600999</v>
      </c>
      <c r="F785">
        <v>1</v>
      </c>
      <c r="G785" t="s">
        <v>13</v>
      </c>
      <c r="H785">
        <v>1</v>
      </c>
      <c r="I785">
        <v>31654.749014589001</v>
      </c>
      <c r="J785">
        <v>0.79247095967398895</v>
      </c>
      <c r="K785" t="str">
        <f t="shared" si="96"/>
        <v>OK</v>
      </c>
      <c r="L785" t="str">
        <f t="shared" si="97"/>
        <v>OK</v>
      </c>
      <c r="M785" t="str">
        <f>IF(OR(B785&lt;$AE$20,B785&gt;$AF$20),"Outlier","OK")</f>
        <v>OK</v>
      </c>
      <c r="N785" t="str">
        <f>IF(OR(J785&lt;$AE$21,J785&gt;$AF$21),"Outlier","OK")</f>
        <v>OK</v>
      </c>
      <c r="O785" t="str">
        <f>IF(OR(C785&lt;0,C785&gt;1),"Outlier","OK")</f>
        <v>OK</v>
      </c>
      <c r="P785" t="str">
        <f>IF(OR(D785&lt;0,D785&gt;1),"Outlier","OK")</f>
        <v>Outlier</v>
      </c>
      <c r="Q785" t="str">
        <f t="shared" si="98"/>
        <v>60-80%</v>
      </c>
      <c r="R785" t="str">
        <f>IF(B785="","Missing","OK")</f>
        <v>OK</v>
      </c>
      <c r="S785" t="str">
        <f>IF(E785="","Missing","OK")</f>
        <v>OK</v>
      </c>
      <c r="T785" t="str">
        <f t="shared" si="99"/>
        <v>OK</v>
      </c>
      <c r="U785">
        <f>COUNTIF($A:$A,A785)</f>
        <v>1</v>
      </c>
      <c r="V785" t="str">
        <f t="shared" si="100"/>
        <v>OK</v>
      </c>
      <c r="W785" t="str">
        <f>IF(I785&gt;B785,"ERROR","OK")</f>
        <v>OK</v>
      </c>
      <c r="X785">
        <f>(B785-I785)/B785</f>
        <v>0.79247095967398984</v>
      </c>
      <c r="Y785" s="2">
        <f t="shared" si="101"/>
        <v>8.8817841970012523E-16</v>
      </c>
      <c r="Z785" s="2" t="str">
        <f t="shared" si="102"/>
        <v>OK</v>
      </c>
      <c r="AA785" t="str">
        <f t="shared" si="103"/>
        <v>Unique</v>
      </c>
    </row>
    <row r="786" spans="1:27" x14ac:dyDescent="0.3">
      <c r="A786">
        <v>785</v>
      </c>
      <c r="B786">
        <v>694635.10048915097</v>
      </c>
      <c r="C786">
        <v>0.73841290743170196</v>
      </c>
      <c r="D786">
        <v>5.6439599168412201E-2</v>
      </c>
      <c r="E786">
        <v>0.42212749596694599</v>
      </c>
      <c r="F786">
        <v>1</v>
      </c>
      <c r="G786" t="s">
        <v>11</v>
      </c>
      <c r="H786">
        <v>1</v>
      </c>
      <c r="I786">
        <v>293224.57558023301</v>
      </c>
      <c r="J786">
        <v>0.57787250403305301</v>
      </c>
      <c r="K786" t="str">
        <f t="shared" si="96"/>
        <v>OK</v>
      </c>
      <c r="L786" t="str">
        <f t="shared" si="97"/>
        <v>OK</v>
      </c>
      <c r="M786" t="str">
        <f>IF(OR(B786&lt;$AE$20,B786&gt;$AF$20),"Outlier","OK")</f>
        <v>OK</v>
      </c>
      <c r="N786" t="str">
        <f>IF(OR(J786&lt;$AE$21,J786&gt;$AF$21),"Outlier","OK")</f>
        <v>OK</v>
      </c>
      <c r="O786" t="str">
        <f>IF(OR(C786&lt;0,C786&gt;1),"Outlier","OK")</f>
        <v>OK</v>
      </c>
      <c r="P786" t="str">
        <f>IF(OR(D786&lt;0,D786&gt;1),"Outlier","OK")</f>
        <v>OK</v>
      </c>
      <c r="Q786" t="str">
        <f t="shared" si="98"/>
        <v>40-60%</v>
      </c>
      <c r="R786" t="str">
        <f>IF(B786="","Missing","OK")</f>
        <v>OK</v>
      </c>
      <c r="S786" t="str">
        <f>IF(E786="","Missing","OK")</f>
        <v>OK</v>
      </c>
      <c r="T786" t="str">
        <f t="shared" si="99"/>
        <v>OK</v>
      </c>
      <c r="U786">
        <f>COUNTIF($A:$A,A786)</f>
        <v>1</v>
      </c>
      <c r="V786" t="str">
        <f t="shared" si="100"/>
        <v>OK</v>
      </c>
      <c r="W786" t="str">
        <f>IF(I786&gt;B786,"ERROR","OK")</f>
        <v>OK</v>
      </c>
      <c r="X786">
        <f>(B786-I786)/B786</f>
        <v>0.57787250403305424</v>
      </c>
      <c r="Y786" s="2">
        <f t="shared" si="101"/>
        <v>1.2212453270876722E-15</v>
      </c>
      <c r="Z786" s="2" t="str">
        <f t="shared" si="102"/>
        <v>OK</v>
      </c>
      <c r="AA786" t="str">
        <f t="shared" si="103"/>
        <v>Unique</v>
      </c>
    </row>
    <row r="787" spans="1:27" x14ac:dyDescent="0.3">
      <c r="A787">
        <v>786</v>
      </c>
      <c r="B787">
        <v>1844644.3443243301</v>
      </c>
      <c r="C787">
        <v>0.23910894188276599</v>
      </c>
      <c r="D787">
        <v>-0.112722381463643</v>
      </c>
      <c r="E787">
        <v>0.58516607427504397</v>
      </c>
      <c r="F787">
        <v>1</v>
      </c>
      <c r="G787" t="s">
        <v>12</v>
      </c>
      <c r="H787">
        <v>1</v>
      </c>
      <c r="I787">
        <v>1079423.2894019301</v>
      </c>
      <c r="J787">
        <v>0.41483392572495498</v>
      </c>
      <c r="K787" t="str">
        <f t="shared" si="96"/>
        <v>OK</v>
      </c>
      <c r="L787" t="str">
        <f t="shared" si="97"/>
        <v>OK</v>
      </c>
      <c r="M787" t="str">
        <f>IF(OR(B787&lt;$AE$20,B787&gt;$AF$20),"Outlier","OK")</f>
        <v>OK</v>
      </c>
      <c r="N787" t="str">
        <f>IF(OR(J787&lt;$AE$21,J787&gt;$AF$21),"Outlier","OK")</f>
        <v>OK</v>
      </c>
      <c r="O787" t="str">
        <f>IF(OR(C787&lt;0,C787&gt;1),"Outlier","OK")</f>
        <v>OK</v>
      </c>
      <c r="P787" t="str">
        <f>IF(OR(D787&lt;0,D787&gt;1),"Outlier","OK")</f>
        <v>Outlier</v>
      </c>
      <c r="Q787" t="str">
        <f t="shared" si="98"/>
        <v>40-60%</v>
      </c>
      <c r="R787" t="str">
        <f>IF(B787="","Missing","OK")</f>
        <v>OK</v>
      </c>
      <c r="S787" t="str">
        <f>IF(E787="","Missing","OK")</f>
        <v>OK</v>
      </c>
      <c r="T787" t="str">
        <f t="shared" si="99"/>
        <v>OK</v>
      </c>
      <c r="U787">
        <f>COUNTIF($A:$A,A787)</f>
        <v>1</v>
      </c>
      <c r="V787" t="str">
        <f t="shared" si="100"/>
        <v>OK</v>
      </c>
      <c r="W787" t="str">
        <f>IF(I787&gt;B787,"ERROR","OK")</f>
        <v>OK</v>
      </c>
      <c r="X787">
        <f>(B787-I787)/B787</f>
        <v>0.41483392572495642</v>
      </c>
      <c r="Y787" s="2">
        <f t="shared" si="101"/>
        <v>1.4432899320127035E-15</v>
      </c>
      <c r="Z787" s="2" t="str">
        <f t="shared" si="102"/>
        <v>OK</v>
      </c>
      <c r="AA787" t="str">
        <f t="shared" si="103"/>
        <v>Unique</v>
      </c>
    </row>
    <row r="788" spans="1:27" x14ac:dyDescent="0.3">
      <c r="A788">
        <v>787</v>
      </c>
      <c r="B788">
        <v>1897784.57851802</v>
      </c>
      <c r="C788">
        <v>0.121834058423143</v>
      </c>
      <c r="D788">
        <v>7.5852301093495098E-2</v>
      </c>
      <c r="E788">
        <v>0.40947466011726003</v>
      </c>
      <c r="F788">
        <v>1</v>
      </c>
      <c r="G788" t="s">
        <v>10</v>
      </c>
      <c r="H788">
        <v>0</v>
      </c>
      <c r="I788">
        <v>777094.69526444504</v>
      </c>
      <c r="J788">
        <v>0.59052533988273903</v>
      </c>
      <c r="K788" t="str">
        <f t="shared" si="96"/>
        <v>OK</v>
      </c>
      <c r="L788" t="str">
        <f t="shared" si="97"/>
        <v>OK</v>
      </c>
      <c r="M788" t="str">
        <f>IF(OR(B788&lt;$AE$20,B788&gt;$AF$20),"Outlier","OK")</f>
        <v>OK</v>
      </c>
      <c r="N788" t="str">
        <f>IF(OR(J788&lt;$AE$21,J788&gt;$AF$21),"Outlier","OK")</f>
        <v>OK</v>
      </c>
      <c r="O788" t="str">
        <f>IF(OR(C788&lt;0,C788&gt;1),"Outlier","OK")</f>
        <v>OK</v>
      </c>
      <c r="P788" t="str">
        <f>IF(OR(D788&lt;0,D788&gt;1),"Outlier","OK")</f>
        <v>OK</v>
      </c>
      <c r="Q788" t="str">
        <f t="shared" si="98"/>
        <v>40-60%</v>
      </c>
      <c r="R788" t="str">
        <f>IF(B788="","Missing","OK")</f>
        <v>OK</v>
      </c>
      <c r="S788" t="str">
        <f>IF(E788="","Missing","OK")</f>
        <v>OK</v>
      </c>
      <c r="T788" t="str">
        <f t="shared" si="99"/>
        <v>OK</v>
      </c>
      <c r="U788">
        <f>COUNTIF($A:$A,A788)</f>
        <v>1</v>
      </c>
      <c r="V788" t="str">
        <f t="shared" si="100"/>
        <v>OK</v>
      </c>
      <c r="W788" t="str">
        <f>IF(I788&gt;B788,"ERROR","OK")</f>
        <v>OK</v>
      </c>
      <c r="X788">
        <f>(B788-I788)/B788</f>
        <v>0.59052533988273925</v>
      </c>
      <c r="Y788" s="2">
        <f t="shared" si="101"/>
        <v>2.2204460492503131E-16</v>
      </c>
      <c r="Z788" s="2" t="str">
        <f t="shared" si="102"/>
        <v>OK</v>
      </c>
      <c r="AA788" t="str">
        <f t="shared" si="103"/>
        <v>Unique</v>
      </c>
    </row>
    <row r="789" spans="1:27" x14ac:dyDescent="0.3">
      <c r="A789">
        <v>788</v>
      </c>
      <c r="B789">
        <v>1690269.53824981</v>
      </c>
      <c r="C789">
        <v>0.73051664361777202</v>
      </c>
      <c r="D789">
        <v>-4.64613255803469E-2</v>
      </c>
      <c r="E789">
        <v>0.421415168663821</v>
      </c>
      <c r="F789">
        <v>1</v>
      </c>
      <c r="G789" t="s">
        <v>10</v>
      </c>
      <c r="H789">
        <v>0</v>
      </c>
      <c r="I789">
        <v>712305.22254886501</v>
      </c>
      <c r="J789">
        <v>0.578584831336178</v>
      </c>
      <c r="K789" t="str">
        <f t="shared" si="96"/>
        <v>OK</v>
      </c>
      <c r="L789" t="str">
        <f t="shared" si="97"/>
        <v>OK</v>
      </c>
      <c r="M789" t="str">
        <f>IF(OR(B789&lt;$AE$20,B789&gt;$AF$20),"Outlier","OK")</f>
        <v>OK</v>
      </c>
      <c r="N789" t="str">
        <f>IF(OR(J789&lt;$AE$21,J789&gt;$AF$21),"Outlier","OK")</f>
        <v>OK</v>
      </c>
      <c r="O789" t="str">
        <f>IF(OR(C789&lt;0,C789&gt;1),"Outlier","OK")</f>
        <v>OK</v>
      </c>
      <c r="P789" t="str">
        <f>IF(OR(D789&lt;0,D789&gt;1),"Outlier","OK")</f>
        <v>Outlier</v>
      </c>
      <c r="Q789" t="str">
        <f t="shared" si="98"/>
        <v>40-60%</v>
      </c>
      <c r="R789" t="str">
        <f>IF(B789="","Missing","OK")</f>
        <v>OK</v>
      </c>
      <c r="S789" t="str">
        <f>IF(E789="","Missing","OK")</f>
        <v>OK</v>
      </c>
      <c r="T789" t="str">
        <f t="shared" si="99"/>
        <v>OK</v>
      </c>
      <c r="U789">
        <f>COUNTIF($A:$A,A789)</f>
        <v>1</v>
      </c>
      <c r="V789" t="str">
        <f t="shared" si="100"/>
        <v>OK</v>
      </c>
      <c r="W789" t="str">
        <f>IF(I789&gt;B789,"ERROR","OK")</f>
        <v>OK</v>
      </c>
      <c r="X789">
        <f>(B789-I789)/B789</f>
        <v>0.57858483133617755</v>
      </c>
      <c r="Y789" s="2">
        <f t="shared" si="101"/>
        <v>4.4408920985006262E-16</v>
      </c>
      <c r="Z789" s="2" t="str">
        <f t="shared" si="102"/>
        <v>OK</v>
      </c>
      <c r="AA789" t="str">
        <f t="shared" si="103"/>
        <v>Unique</v>
      </c>
    </row>
    <row r="790" spans="1:27" x14ac:dyDescent="0.3">
      <c r="A790">
        <v>789</v>
      </c>
      <c r="B790">
        <v>359424.32976755401</v>
      </c>
      <c r="C790">
        <v>0.22171199072803399</v>
      </c>
      <c r="D790">
        <v>0.16929402720259301</v>
      </c>
      <c r="E790">
        <v>0.18776107848491899</v>
      </c>
      <c r="F790">
        <v>1</v>
      </c>
      <c r="G790" t="s">
        <v>12</v>
      </c>
      <c r="H790">
        <v>0</v>
      </c>
      <c r="I790">
        <v>67485.899790875395</v>
      </c>
      <c r="J790">
        <v>0.81223892151508004</v>
      </c>
      <c r="K790" t="str">
        <f t="shared" si="96"/>
        <v>OK</v>
      </c>
      <c r="L790" t="str">
        <f t="shared" si="97"/>
        <v>OK</v>
      </c>
      <c r="M790" t="str">
        <f>IF(OR(B790&lt;$AE$20,B790&gt;$AF$20),"Outlier","OK")</f>
        <v>OK</v>
      </c>
      <c r="N790" t="str">
        <f>IF(OR(J790&lt;$AE$21,J790&gt;$AF$21),"Outlier","OK")</f>
        <v>OK</v>
      </c>
      <c r="O790" t="str">
        <f>IF(OR(C790&lt;0,C790&gt;1),"Outlier","OK")</f>
        <v>OK</v>
      </c>
      <c r="P790" t="str">
        <f>IF(OR(D790&lt;0,D790&gt;1),"Outlier","OK")</f>
        <v>OK</v>
      </c>
      <c r="Q790" t="str">
        <f t="shared" si="98"/>
        <v>80-100%</v>
      </c>
      <c r="R790" t="str">
        <f>IF(B790="","Missing","OK")</f>
        <v>OK</v>
      </c>
      <c r="S790" t="str">
        <f>IF(E790="","Missing","OK")</f>
        <v>OK</v>
      </c>
      <c r="T790" t="str">
        <f t="shared" si="99"/>
        <v>OK</v>
      </c>
      <c r="U790">
        <f>COUNTIF($A:$A,A790)</f>
        <v>1</v>
      </c>
      <c r="V790" t="str">
        <f t="shared" si="100"/>
        <v>OK</v>
      </c>
      <c r="W790" t="str">
        <f>IF(I790&gt;B790,"ERROR","OK")</f>
        <v>OK</v>
      </c>
      <c r="X790">
        <f>(B790-I790)/B790</f>
        <v>0.81223892151508026</v>
      </c>
      <c r="Y790" s="2">
        <f t="shared" si="101"/>
        <v>2.2204460492503131E-16</v>
      </c>
      <c r="Z790" s="2" t="str">
        <f t="shared" si="102"/>
        <v>OK</v>
      </c>
      <c r="AA790" t="str">
        <f t="shared" si="103"/>
        <v>Unique</v>
      </c>
    </row>
    <row r="791" spans="1:27" x14ac:dyDescent="0.3">
      <c r="A791">
        <v>790</v>
      </c>
      <c r="B791">
        <v>868850.18366660399</v>
      </c>
      <c r="C791">
        <v>0.73211715866910898</v>
      </c>
      <c r="D791">
        <v>-0.15949525397096101</v>
      </c>
      <c r="E791">
        <v>0.27850895402925802</v>
      </c>
      <c r="F791">
        <v>1</v>
      </c>
      <c r="G791" t="s">
        <v>13</v>
      </c>
      <c r="H791">
        <v>0</v>
      </c>
      <c r="I791">
        <v>241982.55586111499</v>
      </c>
      <c r="J791">
        <v>0.72149104597074099</v>
      </c>
      <c r="K791" t="str">
        <f t="shared" si="96"/>
        <v>OK</v>
      </c>
      <c r="L791" t="str">
        <f t="shared" si="97"/>
        <v>OK</v>
      </c>
      <c r="M791" t="str">
        <f>IF(OR(B791&lt;$AE$20,B791&gt;$AF$20),"Outlier","OK")</f>
        <v>OK</v>
      </c>
      <c r="N791" t="str">
        <f>IF(OR(J791&lt;$AE$21,J791&gt;$AF$21),"Outlier","OK")</f>
        <v>OK</v>
      </c>
      <c r="O791" t="str">
        <f>IF(OR(C791&lt;0,C791&gt;1),"Outlier","OK")</f>
        <v>OK</v>
      </c>
      <c r="P791" t="str">
        <f>IF(OR(D791&lt;0,D791&gt;1),"Outlier","OK")</f>
        <v>Outlier</v>
      </c>
      <c r="Q791" t="str">
        <f t="shared" si="98"/>
        <v>60-80%</v>
      </c>
      <c r="R791" t="str">
        <f>IF(B791="","Missing","OK")</f>
        <v>OK</v>
      </c>
      <c r="S791" t="str">
        <f>IF(E791="","Missing","OK")</f>
        <v>OK</v>
      </c>
      <c r="T791" t="str">
        <f t="shared" si="99"/>
        <v>OK</v>
      </c>
      <c r="U791">
        <f>COUNTIF($A:$A,A791)</f>
        <v>1</v>
      </c>
      <c r="V791" t="str">
        <f t="shared" si="100"/>
        <v>OK</v>
      </c>
      <c r="W791" t="str">
        <f>IF(I791&gt;B791,"ERROR","OK")</f>
        <v>OK</v>
      </c>
      <c r="X791">
        <f>(B791-I791)/B791</f>
        <v>0.72149104597074154</v>
      </c>
      <c r="Y791" s="2">
        <f t="shared" si="101"/>
        <v>5.5511151231257827E-16</v>
      </c>
      <c r="Z791" s="2" t="str">
        <f t="shared" si="102"/>
        <v>OK</v>
      </c>
      <c r="AA791" t="str">
        <f t="shared" si="103"/>
        <v>Unique</v>
      </c>
    </row>
    <row r="792" spans="1:27" x14ac:dyDescent="0.3">
      <c r="A792">
        <v>791</v>
      </c>
      <c r="B792">
        <v>530173.69146524603</v>
      </c>
      <c r="C792">
        <v>0.803905198198272</v>
      </c>
      <c r="D792">
        <v>2.7032561593864302E-2</v>
      </c>
      <c r="E792">
        <v>0.313972623355113</v>
      </c>
      <c r="F792">
        <v>1</v>
      </c>
      <c r="G792" t="s">
        <v>12</v>
      </c>
      <c r="H792">
        <v>0</v>
      </c>
      <c r="I792">
        <v>166460.024743207</v>
      </c>
      <c r="J792">
        <v>0.686027376644886</v>
      </c>
      <c r="K792" t="str">
        <f t="shared" si="96"/>
        <v>OK</v>
      </c>
      <c r="L792" t="str">
        <f t="shared" si="97"/>
        <v>OK</v>
      </c>
      <c r="M792" t="str">
        <f>IF(OR(B792&lt;$AE$20,B792&gt;$AF$20),"Outlier","OK")</f>
        <v>OK</v>
      </c>
      <c r="N792" t="str">
        <f>IF(OR(J792&lt;$AE$21,J792&gt;$AF$21),"Outlier","OK")</f>
        <v>OK</v>
      </c>
      <c r="O792" t="str">
        <f>IF(OR(C792&lt;0,C792&gt;1),"Outlier","OK")</f>
        <v>OK</v>
      </c>
      <c r="P792" t="str">
        <f>IF(OR(D792&lt;0,D792&gt;1),"Outlier","OK")</f>
        <v>OK</v>
      </c>
      <c r="Q792" t="str">
        <f t="shared" si="98"/>
        <v>60-80%</v>
      </c>
      <c r="R792" t="str">
        <f>IF(B792="","Missing","OK")</f>
        <v>OK</v>
      </c>
      <c r="S792" t="str">
        <f>IF(E792="","Missing","OK")</f>
        <v>OK</v>
      </c>
      <c r="T792" t="str">
        <f t="shared" si="99"/>
        <v>OK</v>
      </c>
      <c r="U792">
        <f>COUNTIF($A:$A,A792)</f>
        <v>1</v>
      </c>
      <c r="V792" t="str">
        <f t="shared" si="100"/>
        <v>OK</v>
      </c>
      <c r="W792" t="str">
        <f>IF(I792&gt;B792,"ERROR","OK")</f>
        <v>OK</v>
      </c>
      <c r="X792">
        <f>(B792-I792)/B792</f>
        <v>0.686027376644888</v>
      </c>
      <c r="Y792" s="2">
        <f t="shared" si="101"/>
        <v>1.9984014443252818E-15</v>
      </c>
      <c r="Z792" s="2" t="str">
        <f t="shared" si="102"/>
        <v>OK</v>
      </c>
      <c r="AA792" t="str">
        <f t="shared" si="103"/>
        <v>Unique</v>
      </c>
    </row>
    <row r="793" spans="1:27" x14ac:dyDescent="0.3">
      <c r="A793">
        <v>792</v>
      </c>
      <c r="B793">
        <v>450432.060720312</v>
      </c>
      <c r="C793">
        <v>0.23407969897719799</v>
      </c>
      <c r="D793">
        <v>0.121549390694453</v>
      </c>
      <c r="E793">
        <v>2.5691596706475799E-2</v>
      </c>
      <c r="F793">
        <v>1</v>
      </c>
      <c r="G793" t="s">
        <v>12</v>
      </c>
      <c r="H793">
        <v>1</v>
      </c>
      <c r="I793">
        <v>11572.318847693101</v>
      </c>
      <c r="J793">
        <v>0.97430840329352397</v>
      </c>
      <c r="K793" t="str">
        <f t="shared" si="96"/>
        <v>OK</v>
      </c>
      <c r="L793" t="str">
        <f t="shared" si="97"/>
        <v>OK</v>
      </c>
      <c r="M793" t="str">
        <f>IF(OR(B793&lt;$AE$20,B793&gt;$AF$20),"Outlier","OK")</f>
        <v>OK</v>
      </c>
      <c r="N793" t="str">
        <f>IF(OR(J793&lt;$AE$21,J793&gt;$AF$21),"Outlier","OK")</f>
        <v>Outlier</v>
      </c>
      <c r="O793" t="str">
        <f>IF(OR(C793&lt;0,C793&gt;1),"Outlier","OK")</f>
        <v>OK</v>
      </c>
      <c r="P793" t="str">
        <f>IF(OR(D793&lt;0,D793&gt;1),"Outlier","OK")</f>
        <v>OK</v>
      </c>
      <c r="Q793" t="str">
        <f t="shared" si="98"/>
        <v>80-100%</v>
      </c>
      <c r="R793" t="str">
        <f>IF(B793="","Missing","OK")</f>
        <v>OK</v>
      </c>
      <c r="S793" t="str">
        <f>IF(E793="","Missing","OK")</f>
        <v>OK</v>
      </c>
      <c r="T793" t="str">
        <f t="shared" si="99"/>
        <v>OK</v>
      </c>
      <c r="U793">
        <f>COUNTIF($A:$A,A793)</f>
        <v>1</v>
      </c>
      <c r="V793" t="str">
        <f t="shared" si="100"/>
        <v>OK</v>
      </c>
      <c r="W793" t="str">
        <f>IF(I793&gt;B793,"ERROR","OK")</f>
        <v>OK</v>
      </c>
      <c r="X793">
        <f>(B793-I793)/B793</f>
        <v>0.97430840329352419</v>
      </c>
      <c r="Y793" s="2">
        <f t="shared" si="101"/>
        <v>2.2204460492503131E-16</v>
      </c>
      <c r="Z793" s="2" t="str">
        <f t="shared" si="102"/>
        <v>OK</v>
      </c>
      <c r="AA793" t="str">
        <f t="shared" si="103"/>
        <v>Unique</v>
      </c>
    </row>
    <row r="794" spans="1:27" x14ac:dyDescent="0.3">
      <c r="A794">
        <v>793</v>
      </c>
      <c r="B794">
        <v>1385410.4077157599</v>
      </c>
      <c r="C794">
        <v>0.79320163701428004</v>
      </c>
      <c r="D794">
        <v>-0.17812944003846001</v>
      </c>
      <c r="E794">
        <v>7.2878064682473306E-2</v>
      </c>
      <c r="F794">
        <v>1</v>
      </c>
      <c r="G794" t="s">
        <v>12</v>
      </c>
      <c r="H794">
        <v>0</v>
      </c>
      <c r="I794">
        <v>100966.029305281</v>
      </c>
      <c r="J794">
        <v>0.92712193531752596</v>
      </c>
      <c r="K794" t="str">
        <f t="shared" si="96"/>
        <v>OK</v>
      </c>
      <c r="L794" t="str">
        <f t="shared" si="97"/>
        <v>OK</v>
      </c>
      <c r="M794" t="str">
        <f>IF(OR(B794&lt;$AE$20,B794&gt;$AF$20),"Outlier","OK")</f>
        <v>OK</v>
      </c>
      <c r="N794" t="str">
        <f>IF(OR(J794&lt;$AE$21,J794&gt;$AF$21),"Outlier","OK")</f>
        <v>OK</v>
      </c>
      <c r="O794" t="str">
        <f>IF(OR(C794&lt;0,C794&gt;1),"Outlier","OK")</f>
        <v>OK</v>
      </c>
      <c r="P794" t="str">
        <f>IF(OR(D794&lt;0,D794&gt;1),"Outlier","OK")</f>
        <v>Outlier</v>
      </c>
      <c r="Q794" t="str">
        <f t="shared" si="98"/>
        <v>80-100%</v>
      </c>
      <c r="R794" t="str">
        <f>IF(B794="","Missing","OK")</f>
        <v>OK</v>
      </c>
      <c r="S794" t="str">
        <f>IF(E794="","Missing","OK")</f>
        <v>OK</v>
      </c>
      <c r="T794" t="str">
        <f t="shared" si="99"/>
        <v>OK</v>
      </c>
      <c r="U794">
        <f>COUNTIF($A:$A,A794)</f>
        <v>1</v>
      </c>
      <c r="V794" t="str">
        <f t="shared" si="100"/>
        <v>OK</v>
      </c>
      <c r="W794" t="str">
        <f>IF(I794&gt;B794,"ERROR","OK")</f>
        <v>OK</v>
      </c>
      <c r="X794">
        <f>(B794-I794)/B794</f>
        <v>0.92712193531752674</v>
      </c>
      <c r="Y794" s="2">
        <f t="shared" si="101"/>
        <v>7.7715611723760958E-16</v>
      </c>
      <c r="Z794" s="2" t="str">
        <f t="shared" si="102"/>
        <v>OK</v>
      </c>
      <c r="AA794" t="str">
        <f t="shared" si="103"/>
        <v>Unique</v>
      </c>
    </row>
    <row r="795" spans="1:27" x14ac:dyDescent="0.3">
      <c r="A795">
        <v>794</v>
      </c>
      <c r="B795">
        <v>997917.75205354404</v>
      </c>
      <c r="C795">
        <v>0.85317894899199398</v>
      </c>
      <c r="D795">
        <v>-0.17075899248110499</v>
      </c>
      <c r="E795">
        <v>0.113156674517609</v>
      </c>
      <c r="F795">
        <v>1</v>
      </c>
      <c r="G795" t="s">
        <v>11</v>
      </c>
      <c r="H795">
        <v>1</v>
      </c>
      <c r="I795">
        <v>112921.05426446701</v>
      </c>
      <c r="J795">
        <v>0.88684332548238998</v>
      </c>
      <c r="K795" t="str">
        <f t="shared" si="96"/>
        <v>OK</v>
      </c>
      <c r="L795" t="str">
        <f t="shared" si="97"/>
        <v>OK</v>
      </c>
      <c r="M795" t="str">
        <f>IF(OR(B795&lt;$AE$20,B795&gt;$AF$20),"Outlier","OK")</f>
        <v>OK</v>
      </c>
      <c r="N795" t="str">
        <f>IF(OR(J795&lt;$AE$21,J795&gt;$AF$21),"Outlier","OK")</f>
        <v>OK</v>
      </c>
      <c r="O795" t="str">
        <f>IF(OR(C795&lt;0,C795&gt;1),"Outlier","OK")</f>
        <v>OK</v>
      </c>
      <c r="P795" t="str">
        <f>IF(OR(D795&lt;0,D795&gt;1),"Outlier","OK")</f>
        <v>Outlier</v>
      </c>
      <c r="Q795" t="str">
        <f t="shared" si="98"/>
        <v>80-100%</v>
      </c>
      <c r="R795" t="str">
        <f>IF(B795="","Missing","OK")</f>
        <v>OK</v>
      </c>
      <c r="S795" t="str">
        <f>IF(E795="","Missing","OK")</f>
        <v>OK</v>
      </c>
      <c r="T795" t="str">
        <f t="shared" si="99"/>
        <v>OK</v>
      </c>
      <c r="U795">
        <f>COUNTIF($A:$A,A795)</f>
        <v>1</v>
      </c>
      <c r="V795" t="str">
        <f t="shared" si="100"/>
        <v>OK</v>
      </c>
      <c r="W795" t="str">
        <f>IF(I795&gt;B795,"ERROR","OK")</f>
        <v>OK</v>
      </c>
      <c r="X795">
        <f>(B795-I795)/B795</f>
        <v>0.88684332548239098</v>
      </c>
      <c r="Y795" s="2">
        <f t="shared" si="101"/>
        <v>9.9920072216264089E-16</v>
      </c>
      <c r="Z795" s="2" t="str">
        <f t="shared" si="102"/>
        <v>OK</v>
      </c>
      <c r="AA795" t="str">
        <f t="shared" si="103"/>
        <v>Unique</v>
      </c>
    </row>
    <row r="796" spans="1:27" x14ac:dyDescent="0.3">
      <c r="A796">
        <v>795</v>
      </c>
      <c r="B796">
        <v>683573.80770285998</v>
      </c>
      <c r="C796">
        <v>0.14669104407505801</v>
      </c>
      <c r="D796">
        <v>8.4340853580298802E-2</v>
      </c>
      <c r="E796">
        <v>0.10883171602165601</v>
      </c>
      <c r="F796">
        <v>1</v>
      </c>
      <c r="G796" t="s">
        <v>12</v>
      </c>
      <c r="H796">
        <v>0</v>
      </c>
      <c r="I796">
        <v>74394.510519760297</v>
      </c>
      <c r="J796">
        <v>0.89116828397834302</v>
      </c>
      <c r="K796" t="str">
        <f t="shared" si="96"/>
        <v>OK</v>
      </c>
      <c r="L796" t="str">
        <f t="shared" si="97"/>
        <v>OK</v>
      </c>
      <c r="M796" t="str">
        <f>IF(OR(B796&lt;$AE$20,B796&gt;$AF$20),"Outlier","OK")</f>
        <v>OK</v>
      </c>
      <c r="N796" t="str">
        <f>IF(OR(J796&lt;$AE$21,J796&gt;$AF$21),"Outlier","OK")</f>
        <v>OK</v>
      </c>
      <c r="O796" t="str">
        <f>IF(OR(C796&lt;0,C796&gt;1),"Outlier","OK")</f>
        <v>OK</v>
      </c>
      <c r="P796" t="str">
        <f>IF(OR(D796&lt;0,D796&gt;1),"Outlier","OK")</f>
        <v>OK</v>
      </c>
      <c r="Q796" t="str">
        <f t="shared" si="98"/>
        <v>80-100%</v>
      </c>
      <c r="R796" t="str">
        <f>IF(B796="","Missing","OK")</f>
        <v>OK</v>
      </c>
      <c r="S796" t="str">
        <f>IF(E796="","Missing","OK")</f>
        <v>OK</v>
      </c>
      <c r="T796" t="str">
        <f t="shared" si="99"/>
        <v>OK</v>
      </c>
      <c r="U796">
        <f>COUNTIF($A:$A,A796)</f>
        <v>1</v>
      </c>
      <c r="V796" t="str">
        <f t="shared" si="100"/>
        <v>OK</v>
      </c>
      <c r="W796" t="str">
        <f>IF(I796&gt;B796,"ERROR","OK")</f>
        <v>OK</v>
      </c>
      <c r="X796">
        <f>(B796-I796)/B796</f>
        <v>0.89116828397834313</v>
      </c>
      <c r="Y796" s="2">
        <f t="shared" si="101"/>
        <v>1.1102230246251565E-16</v>
      </c>
      <c r="Z796" s="2" t="str">
        <f t="shared" si="102"/>
        <v>OK</v>
      </c>
      <c r="AA796" t="str">
        <f t="shared" si="103"/>
        <v>Unique</v>
      </c>
    </row>
    <row r="797" spans="1:27" x14ac:dyDescent="0.3">
      <c r="A797">
        <v>796</v>
      </c>
      <c r="B797">
        <v>245418.201552902</v>
      </c>
      <c r="C797">
        <v>0.26411543221734002</v>
      </c>
      <c r="D797">
        <v>0.14539329477630999</v>
      </c>
      <c r="E797">
        <v>0.36878062251501498</v>
      </c>
      <c r="F797">
        <v>1</v>
      </c>
      <c r="G797" t="s">
        <v>12</v>
      </c>
      <c r="H797">
        <v>0</v>
      </c>
      <c r="I797">
        <v>90505.477145194702</v>
      </c>
      <c r="J797">
        <v>0.63121937748498402</v>
      </c>
      <c r="K797" t="str">
        <f t="shared" si="96"/>
        <v>OK</v>
      </c>
      <c r="L797" t="str">
        <f t="shared" si="97"/>
        <v>OK</v>
      </c>
      <c r="M797" t="str">
        <f>IF(OR(B797&lt;$AE$20,B797&gt;$AF$20),"Outlier","OK")</f>
        <v>OK</v>
      </c>
      <c r="N797" t="str">
        <f>IF(OR(J797&lt;$AE$21,J797&gt;$AF$21),"Outlier","OK")</f>
        <v>OK</v>
      </c>
      <c r="O797" t="str">
        <f>IF(OR(C797&lt;0,C797&gt;1),"Outlier","OK")</f>
        <v>OK</v>
      </c>
      <c r="P797" t="str">
        <f>IF(OR(D797&lt;0,D797&gt;1),"Outlier","OK")</f>
        <v>OK</v>
      </c>
      <c r="Q797" t="str">
        <f t="shared" si="98"/>
        <v>60-80%</v>
      </c>
      <c r="R797" t="str">
        <f>IF(B797="","Missing","OK")</f>
        <v>OK</v>
      </c>
      <c r="S797" t="str">
        <f>IF(E797="","Missing","OK")</f>
        <v>OK</v>
      </c>
      <c r="T797" t="str">
        <f t="shared" si="99"/>
        <v>OK</v>
      </c>
      <c r="U797">
        <f>COUNTIF($A:$A,A797)</f>
        <v>1</v>
      </c>
      <c r="V797" t="str">
        <f t="shared" si="100"/>
        <v>OK</v>
      </c>
      <c r="W797" t="str">
        <f>IF(I797&gt;B797,"ERROR","OK")</f>
        <v>OK</v>
      </c>
      <c r="X797">
        <f>(B797-I797)/B797</f>
        <v>0.63121937748498458</v>
      </c>
      <c r="Y797" s="2">
        <f t="shared" si="101"/>
        <v>5.5511151231257827E-16</v>
      </c>
      <c r="Z797" s="2" t="str">
        <f t="shared" si="102"/>
        <v>OK</v>
      </c>
      <c r="AA797" t="str">
        <f t="shared" si="103"/>
        <v>Unique</v>
      </c>
    </row>
    <row r="798" spans="1:27" x14ac:dyDescent="0.3">
      <c r="A798">
        <v>797</v>
      </c>
      <c r="B798">
        <v>1112288.57343367</v>
      </c>
      <c r="C798">
        <v>0.72399353121997001</v>
      </c>
      <c r="D798">
        <v>0.19264712554385</v>
      </c>
      <c r="E798">
        <v>0.15726082019194099</v>
      </c>
      <c r="F798">
        <v>1</v>
      </c>
      <c r="G798" t="s">
        <v>10</v>
      </c>
      <c r="H798">
        <v>1</v>
      </c>
      <c r="I798">
        <v>174919.41334830399</v>
      </c>
      <c r="J798">
        <v>0.84273917980805801</v>
      </c>
      <c r="K798" t="str">
        <f t="shared" si="96"/>
        <v>OK</v>
      </c>
      <c r="L798" t="str">
        <f t="shared" si="97"/>
        <v>OK</v>
      </c>
      <c r="M798" t="str">
        <f>IF(OR(B798&lt;$AE$20,B798&gt;$AF$20),"Outlier","OK")</f>
        <v>OK</v>
      </c>
      <c r="N798" t="str">
        <f>IF(OR(J798&lt;$AE$21,J798&gt;$AF$21),"Outlier","OK")</f>
        <v>OK</v>
      </c>
      <c r="O798" t="str">
        <f>IF(OR(C798&lt;0,C798&gt;1),"Outlier","OK")</f>
        <v>OK</v>
      </c>
      <c r="P798" t="str">
        <f>IF(OR(D798&lt;0,D798&gt;1),"Outlier","OK")</f>
        <v>OK</v>
      </c>
      <c r="Q798" t="str">
        <f t="shared" si="98"/>
        <v>80-100%</v>
      </c>
      <c r="R798" t="str">
        <f>IF(B798="","Missing","OK")</f>
        <v>OK</v>
      </c>
      <c r="S798" t="str">
        <f>IF(E798="","Missing","OK")</f>
        <v>OK</v>
      </c>
      <c r="T798" t="str">
        <f t="shared" si="99"/>
        <v>OK</v>
      </c>
      <c r="U798">
        <f>COUNTIF($A:$A,A798)</f>
        <v>1</v>
      </c>
      <c r="V798" t="str">
        <f t="shared" si="100"/>
        <v>OK</v>
      </c>
      <c r="W798" t="str">
        <f>IF(I798&gt;B798,"ERROR","OK")</f>
        <v>OK</v>
      </c>
      <c r="X798">
        <f>(B798-I798)/B798</f>
        <v>0.84273917980805801</v>
      </c>
      <c r="Y798" s="2">
        <f t="shared" si="101"/>
        <v>0</v>
      </c>
      <c r="Z798" s="2" t="str">
        <f t="shared" si="102"/>
        <v>OK</v>
      </c>
      <c r="AA798" t="str">
        <f t="shared" si="103"/>
        <v>Unique</v>
      </c>
    </row>
    <row r="799" spans="1:27" x14ac:dyDescent="0.3">
      <c r="A799">
        <v>798</v>
      </c>
      <c r="B799">
        <v>726699.04848044901</v>
      </c>
      <c r="C799">
        <v>0.64308089549371905</v>
      </c>
      <c r="D799">
        <v>-1.7808027150299499E-2</v>
      </c>
      <c r="E799">
        <v>9.6117487344025504E-2</v>
      </c>
      <c r="F799">
        <v>1</v>
      </c>
      <c r="G799" t="s">
        <v>12</v>
      </c>
      <c r="H799">
        <v>0</v>
      </c>
      <c r="I799">
        <v>69848.486595234994</v>
      </c>
      <c r="J799">
        <v>0.90388251265597397</v>
      </c>
      <c r="K799" t="str">
        <f t="shared" si="96"/>
        <v>OK</v>
      </c>
      <c r="L799" t="str">
        <f t="shared" si="97"/>
        <v>OK</v>
      </c>
      <c r="M799" t="str">
        <f>IF(OR(B799&lt;$AE$20,B799&gt;$AF$20),"Outlier","OK")</f>
        <v>OK</v>
      </c>
      <c r="N799" t="str">
        <f>IF(OR(J799&lt;$AE$21,J799&gt;$AF$21),"Outlier","OK")</f>
        <v>OK</v>
      </c>
      <c r="O799" t="str">
        <f>IF(OR(C799&lt;0,C799&gt;1),"Outlier","OK")</f>
        <v>OK</v>
      </c>
      <c r="P799" t="str">
        <f>IF(OR(D799&lt;0,D799&gt;1),"Outlier","OK")</f>
        <v>Outlier</v>
      </c>
      <c r="Q799" t="str">
        <f t="shared" si="98"/>
        <v>80-100%</v>
      </c>
      <c r="R799" t="str">
        <f>IF(B799="","Missing","OK")</f>
        <v>OK</v>
      </c>
      <c r="S799" t="str">
        <f>IF(E799="","Missing","OK")</f>
        <v>OK</v>
      </c>
      <c r="T799" t="str">
        <f t="shared" si="99"/>
        <v>OK</v>
      </c>
      <c r="U799">
        <f>COUNTIF($A:$A,A799)</f>
        <v>1</v>
      </c>
      <c r="V799" t="str">
        <f t="shared" si="100"/>
        <v>OK</v>
      </c>
      <c r="W799" t="str">
        <f>IF(I799&gt;B799,"ERROR","OK")</f>
        <v>OK</v>
      </c>
      <c r="X799">
        <f>(B799-I799)/B799</f>
        <v>0.90388251265597452</v>
      </c>
      <c r="Y799" s="2">
        <f t="shared" si="101"/>
        <v>5.5511151231257827E-16</v>
      </c>
      <c r="Z799" s="2" t="str">
        <f t="shared" si="102"/>
        <v>OK</v>
      </c>
      <c r="AA799" t="str">
        <f t="shared" si="103"/>
        <v>Unique</v>
      </c>
    </row>
    <row r="800" spans="1:27" x14ac:dyDescent="0.3">
      <c r="A800">
        <v>799</v>
      </c>
      <c r="B800">
        <v>812636.82199339499</v>
      </c>
      <c r="C800">
        <v>0.86180784057898896</v>
      </c>
      <c r="D800">
        <v>7.0715357648162294E-2</v>
      </c>
      <c r="E800">
        <v>0.13650308429310001</v>
      </c>
      <c r="F800">
        <v>1</v>
      </c>
      <c r="G800" t="s">
        <v>12</v>
      </c>
      <c r="H800">
        <v>0</v>
      </c>
      <c r="I800">
        <v>110927.432612241</v>
      </c>
      <c r="J800">
        <v>0.86349691570689902</v>
      </c>
      <c r="K800" t="str">
        <f t="shared" si="96"/>
        <v>OK</v>
      </c>
      <c r="L800" t="str">
        <f t="shared" si="97"/>
        <v>OK</v>
      </c>
      <c r="M800" t="str">
        <f>IF(OR(B800&lt;$AE$20,B800&gt;$AF$20),"Outlier","OK")</f>
        <v>OK</v>
      </c>
      <c r="N800" t="str">
        <f>IF(OR(J800&lt;$AE$21,J800&gt;$AF$21),"Outlier","OK")</f>
        <v>OK</v>
      </c>
      <c r="O800" t="str">
        <f>IF(OR(C800&lt;0,C800&gt;1),"Outlier","OK")</f>
        <v>OK</v>
      </c>
      <c r="P800" t="str">
        <f>IF(OR(D800&lt;0,D800&gt;1),"Outlier","OK")</f>
        <v>OK</v>
      </c>
      <c r="Q800" t="str">
        <f t="shared" si="98"/>
        <v>80-100%</v>
      </c>
      <c r="R800" t="str">
        <f>IF(B800="","Missing","OK")</f>
        <v>OK</v>
      </c>
      <c r="S800" t="str">
        <f>IF(E800="","Missing","OK")</f>
        <v>OK</v>
      </c>
      <c r="T800" t="str">
        <f t="shared" si="99"/>
        <v>OK</v>
      </c>
      <c r="U800">
        <f>COUNTIF($A:$A,A800)</f>
        <v>1</v>
      </c>
      <c r="V800" t="str">
        <f t="shared" si="100"/>
        <v>OK</v>
      </c>
      <c r="W800" t="str">
        <f>IF(I800&gt;B800,"ERROR","OK")</f>
        <v>OK</v>
      </c>
      <c r="X800">
        <f>(B800-I800)/B800</f>
        <v>0.86349691570690035</v>
      </c>
      <c r="Y800" s="2">
        <f t="shared" si="101"/>
        <v>1.3322676295501878E-15</v>
      </c>
      <c r="Z800" s="2" t="str">
        <f t="shared" si="102"/>
        <v>OK</v>
      </c>
      <c r="AA800" t="str">
        <f t="shared" si="103"/>
        <v>Unique</v>
      </c>
    </row>
    <row r="801" spans="1:27" x14ac:dyDescent="0.3">
      <c r="A801">
        <v>800</v>
      </c>
      <c r="B801">
        <v>655492.046499677</v>
      </c>
      <c r="C801">
        <v>0.39986539568045099</v>
      </c>
      <c r="D801">
        <v>-0.104195669982178</v>
      </c>
      <c r="E801">
        <v>0.51369877322457302</v>
      </c>
      <c r="F801">
        <v>1</v>
      </c>
      <c r="G801" t="s">
        <v>12</v>
      </c>
      <c r="H801">
        <v>0</v>
      </c>
      <c r="I801">
        <v>336725.46014534897</v>
      </c>
      <c r="J801">
        <v>0.48630122677542598</v>
      </c>
      <c r="K801" t="str">
        <f t="shared" si="96"/>
        <v>OK</v>
      </c>
      <c r="L801" t="str">
        <f t="shared" si="97"/>
        <v>OK</v>
      </c>
      <c r="M801" t="str">
        <f>IF(OR(B801&lt;$AE$20,B801&gt;$AF$20),"Outlier","OK")</f>
        <v>OK</v>
      </c>
      <c r="N801" t="str">
        <f>IF(OR(J801&lt;$AE$21,J801&gt;$AF$21),"Outlier","OK")</f>
        <v>OK</v>
      </c>
      <c r="O801" t="str">
        <f>IF(OR(C801&lt;0,C801&gt;1),"Outlier","OK")</f>
        <v>OK</v>
      </c>
      <c r="P801" t="str">
        <f>IF(OR(D801&lt;0,D801&gt;1),"Outlier","OK")</f>
        <v>Outlier</v>
      </c>
      <c r="Q801" t="str">
        <f t="shared" si="98"/>
        <v>40-60%</v>
      </c>
      <c r="R801" t="str">
        <f>IF(B801="","Missing","OK")</f>
        <v>OK</v>
      </c>
      <c r="S801" t="str">
        <f>IF(E801="","Missing","OK")</f>
        <v>OK</v>
      </c>
      <c r="T801" t="str">
        <f t="shared" si="99"/>
        <v>OK</v>
      </c>
      <c r="U801">
        <f>COUNTIF($A:$A,A801)</f>
        <v>1</v>
      </c>
      <c r="V801" t="str">
        <f t="shared" si="100"/>
        <v>OK</v>
      </c>
      <c r="W801" t="str">
        <f>IF(I801&gt;B801,"ERROR","OK")</f>
        <v>OK</v>
      </c>
      <c r="X801">
        <f>(B801-I801)/B801</f>
        <v>0.48630122677542681</v>
      </c>
      <c r="Y801" s="2">
        <f t="shared" si="101"/>
        <v>8.3266726846886741E-16</v>
      </c>
      <c r="Z801" s="2" t="str">
        <f t="shared" si="102"/>
        <v>OK</v>
      </c>
      <c r="AA801" t="str">
        <f t="shared" si="103"/>
        <v>Unique</v>
      </c>
    </row>
    <row r="802" spans="1:27" x14ac:dyDescent="0.3">
      <c r="A802">
        <v>801</v>
      </c>
      <c r="B802">
        <v>805030.64959305804</v>
      </c>
      <c r="C802">
        <v>0.62655710820071397</v>
      </c>
      <c r="D802">
        <v>-0.17086239371289699</v>
      </c>
      <c r="E802">
        <v>0.26261304928679002</v>
      </c>
      <c r="F802">
        <v>1</v>
      </c>
      <c r="G802" t="s">
        <v>11</v>
      </c>
      <c r="H802">
        <v>0</v>
      </c>
      <c r="I802">
        <v>211411.553658958</v>
      </c>
      <c r="J802">
        <v>0.73738695071320903</v>
      </c>
      <c r="K802" t="str">
        <f t="shared" si="96"/>
        <v>OK</v>
      </c>
      <c r="L802" t="str">
        <f t="shared" si="97"/>
        <v>OK</v>
      </c>
      <c r="M802" t="str">
        <f>IF(OR(B802&lt;$AE$20,B802&gt;$AF$20),"Outlier","OK")</f>
        <v>OK</v>
      </c>
      <c r="N802" t="str">
        <f>IF(OR(J802&lt;$AE$21,J802&gt;$AF$21),"Outlier","OK")</f>
        <v>OK</v>
      </c>
      <c r="O802" t="str">
        <f>IF(OR(C802&lt;0,C802&gt;1),"Outlier","OK")</f>
        <v>OK</v>
      </c>
      <c r="P802" t="str">
        <f>IF(OR(D802&lt;0,D802&gt;1),"Outlier","OK")</f>
        <v>Outlier</v>
      </c>
      <c r="Q802" t="str">
        <f t="shared" si="98"/>
        <v>60-80%</v>
      </c>
      <c r="R802" t="str">
        <f>IF(B802="","Missing","OK")</f>
        <v>OK</v>
      </c>
      <c r="S802" t="str">
        <f>IF(E802="","Missing","OK")</f>
        <v>OK</v>
      </c>
      <c r="T802" t="str">
        <f t="shared" si="99"/>
        <v>OK</v>
      </c>
      <c r="U802">
        <f>COUNTIF($A:$A,A802)</f>
        <v>1</v>
      </c>
      <c r="V802" t="str">
        <f t="shared" si="100"/>
        <v>OK</v>
      </c>
      <c r="W802" t="str">
        <f>IF(I802&gt;B802,"ERROR","OK")</f>
        <v>OK</v>
      </c>
      <c r="X802">
        <f>(B802-I802)/B802</f>
        <v>0.73738695071321037</v>
      </c>
      <c r="Y802" s="2">
        <f t="shared" si="101"/>
        <v>1.3322676295501878E-15</v>
      </c>
      <c r="Z802" s="2" t="str">
        <f t="shared" si="102"/>
        <v>OK</v>
      </c>
      <c r="AA802" t="str">
        <f t="shared" si="103"/>
        <v>Unique</v>
      </c>
    </row>
    <row r="803" spans="1:27" x14ac:dyDescent="0.3">
      <c r="A803">
        <v>802</v>
      </c>
      <c r="B803">
        <v>1133926.18992656</v>
      </c>
      <c r="C803">
        <v>0.29795065890322397</v>
      </c>
      <c r="D803">
        <v>-3.2985555502655899E-3</v>
      </c>
      <c r="E803">
        <v>0.13849315136356399</v>
      </c>
      <c r="F803">
        <v>1</v>
      </c>
      <c r="G803" t="s">
        <v>11</v>
      </c>
      <c r="H803">
        <v>1</v>
      </c>
      <c r="I803">
        <v>157041.01145660999</v>
      </c>
      <c r="J803">
        <v>0.86150684863643501</v>
      </c>
      <c r="K803" t="str">
        <f t="shared" si="96"/>
        <v>OK</v>
      </c>
      <c r="L803" t="str">
        <f t="shared" si="97"/>
        <v>OK</v>
      </c>
      <c r="M803" t="str">
        <f>IF(OR(B803&lt;$AE$20,B803&gt;$AF$20),"Outlier","OK")</f>
        <v>OK</v>
      </c>
      <c r="N803" t="str">
        <f>IF(OR(J803&lt;$AE$21,J803&gt;$AF$21),"Outlier","OK")</f>
        <v>OK</v>
      </c>
      <c r="O803" t="str">
        <f>IF(OR(C803&lt;0,C803&gt;1),"Outlier","OK")</f>
        <v>OK</v>
      </c>
      <c r="P803" t="str">
        <f>IF(OR(D803&lt;0,D803&gt;1),"Outlier","OK")</f>
        <v>Outlier</v>
      </c>
      <c r="Q803" t="str">
        <f t="shared" si="98"/>
        <v>80-100%</v>
      </c>
      <c r="R803" t="str">
        <f>IF(B803="","Missing","OK")</f>
        <v>OK</v>
      </c>
      <c r="S803" t="str">
        <f>IF(E803="","Missing","OK")</f>
        <v>OK</v>
      </c>
      <c r="T803" t="str">
        <f t="shared" si="99"/>
        <v>OK</v>
      </c>
      <c r="U803">
        <f>COUNTIF($A:$A,A803)</f>
        <v>1</v>
      </c>
      <c r="V803" t="str">
        <f t="shared" si="100"/>
        <v>OK</v>
      </c>
      <c r="W803" t="str">
        <f>IF(I803&gt;B803,"ERROR","OK")</f>
        <v>OK</v>
      </c>
      <c r="X803">
        <f>(B803-I803)/B803</f>
        <v>0.86150684863643479</v>
      </c>
      <c r="Y803" s="2">
        <f t="shared" si="101"/>
        <v>2.2204460492503131E-16</v>
      </c>
      <c r="Z803" s="2" t="str">
        <f t="shared" si="102"/>
        <v>OK</v>
      </c>
      <c r="AA803" t="str">
        <f t="shared" si="103"/>
        <v>Unique</v>
      </c>
    </row>
    <row r="804" spans="1:27" x14ac:dyDescent="0.3">
      <c r="A804">
        <v>803</v>
      </c>
      <c r="B804">
        <v>77580.420914233793</v>
      </c>
      <c r="C804">
        <v>0.37325660027506602</v>
      </c>
      <c r="D804">
        <v>5.24699272330926E-2</v>
      </c>
      <c r="E804">
        <v>0.12972126344208501</v>
      </c>
      <c r="F804">
        <v>1</v>
      </c>
      <c r="G804" t="s">
        <v>11</v>
      </c>
      <c r="H804">
        <v>0</v>
      </c>
      <c r="I804">
        <v>10063.830219363201</v>
      </c>
      <c r="J804">
        <v>0.87027873655791399</v>
      </c>
      <c r="K804" t="str">
        <f t="shared" si="96"/>
        <v>OK</v>
      </c>
      <c r="L804" t="str">
        <f t="shared" si="97"/>
        <v>OK</v>
      </c>
      <c r="M804" t="str">
        <f>IF(OR(B804&lt;$AE$20,B804&gt;$AF$20),"Outlier","OK")</f>
        <v>OK</v>
      </c>
      <c r="N804" t="str">
        <f>IF(OR(J804&lt;$AE$21,J804&gt;$AF$21),"Outlier","OK")</f>
        <v>OK</v>
      </c>
      <c r="O804" t="str">
        <f>IF(OR(C804&lt;0,C804&gt;1),"Outlier","OK")</f>
        <v>OK</v>
      </c>
      <c r="P804" t="str">
        <f>IF(OR(D804&lt;0,D804&gt;1),"Outlier","OK")</f>
        <v>OK</v>
      </c>
      <c r="Q804" t="str">
        <f t="shared" si="98"/>
        <v>80-100%</v>
      </c>
      <c r="R804" t="str">
        <f>IF(B804="","Missing","OK")</f>
        <v>OK</v>
      </c>
      <c r="S804" t="str">
        <f>IF(E804="","Missing","OK")</f>
        <v>OK</v>
      </c>
      <c r="T804" t="str">
        <f t="shared" si="99"/>
        <v>OK</v>
      </c>
      <c r="U804">
        <f>COUNTIF($A:$A,A804)</f>
        <v>1</v>
      </c>
      <c r="V804" t="str">
        <f t="shared" si="100"/>
        <v>OK</v>
      </c>
      <c r="W804" t="str">
        <f>IF(I804&gt;B804,"ERROR","OK")</f>
        <v>OK</v>
      </c>
      <c r="X804">
        <f>(B804-I804)/B804</f>
        <v>0.87027873655791455</v>
      </c>
      <c r="Y804" s="2">
        <f t="shared" si="101"/>
        <v>5.5511151231257827E-16</v>
      </c>
      <c r="Z804" s="2" t="str">
        <f t="shared" si="102"/>
        <v>OK</v>
      </c>
      <c r="AA804" t="str">
        <f t="shared" si="103"/>
        <v>Unique</v>
      </c>
    </row>
    <row r="805" spans="1:27" x14ac:dyDescent="0.3">
      <c r="A805">
        <v>804</v>
      </c>
      <c r="B805">
        <v>1702911.64068578</v>
      </c>
      <c r="C805">
        <v>0.65395506826289496</v>
      </c>
      <c r="D805">
        <v>0.183737295185189</v>
      </c>
      <c r="E805">
        <v>0.308629196266893</v>
      </c>
      <c r="F805">
        <v>1</v>
      </c>
      <c r="G805" t="s">
        <v>13</v>
      </c>
      <c r="H805">
        <v>0</v>
      </c>
      <c r="I805">
        <v>525568.25097838999</v>
      </c>
      <c r="J805">
        <v>0.691370803733106</v>
      </c>
      <c r="K805" t="str">
        <f t="shared" si="96"/>
        <v>OK</v>
      </c>
      <c r="L805" t="str">
        <f t="shared" si="97"/>
        <v>OK</v>
      </c>
      <c r="M805" t="str">
        <f>IF(OR(B805&lt;$AE$20,B805&gt;$AF$20),"Outlier","OK")</f>
        <v>OK</v>
      </c>
      <c r="N805" t="str">
        <f>IF(OR(J805&lt;$AE$21,J805&gt;$AF$21),"Outlier","OK")</f>
        <v>OK</v>
      </c>
      <c r="O805" t="str">
        <f>IF(OR(C805&lt;0,C805&gt;1),"Outlier","OK")</f>
        <v>OK</v>
      </c>
      <c r="P805" t="str">
        <f>IF(OR(D805&lt;0,D805&gt;1),"Outlier","OK")</f>
        <v>OK</v>
      </c>
      <c r="Q805" t="str">
        <f t="shared" si="98"/>
        <v>60-80%</v>
      </c>
      <c r="R805" t="str">
        <f>IF(B805="","Missing","OK")</f>
        <v>OK</v>
      </c>
      <c r="S805" t="str">
        <f>IF(E805="","Missing","OK")</f>
        <v>OK</v>
      </c>
      <c r="T805" t="str">
        <f t="shared" si="99"/>
        <v>OK</v>
      </c>
      <c r="U805">
        <f>COUNTIF($A:$A,A805)</f>
        <v>1</v>
      </c>
      <c r="V805" t="str">
        <f t="shared" si="100"/>
        <v>OK</v>
      </c>
      <c r="W805" t="str">
        <f>IF(I805&gt;B805,"ERROR","OK")</f>
        <v>OK</v>
      </c>
      <c r="X805">
        <f>(B805-I805)/B805</f>
        <v>0.691370803733106</v>
      </c>
      <c r="Y805" s="2">
        <f t="shared" si="101"/>
        <v>0</v>
      </c>
      <c r="Z805" s="2" t="str">
        <f t="shared" si="102"/>
        <v>OK</v>
      </c>
      <c r="AA805" t="str">
        <f t="shared" si="103"/>
        <v>Unique</v>
      </c>
    </row>
    <row r="806" spans="1:27" x14ac:dyDescent="0.3">
      <c r="A806">
        <v>805</v>
      </c>
      <c r="B806">
        <v>1847743.7301763601</v>
      </c>
      <c r="C806">
        <v>0.73448713415822497</v>
      </c>
      <c r="D806">
        <v>0.18150924653893899</v>
      </c>
      <c r="E806">
        <v>0.22293442700281399</v>
      </c>
      <c r="F806">
        <v>1</v>
      </c>
      <c r="G806" t="s">
        <v>11</v>
      </c>
      <c r="H806">
        <v>0</v>
      </c>
      <c r="I806">
        <v>411925.68973491201</v>
      </c>
      <c r="J806">
        <v>0.77706557299718504</v>
      </c>
      <c r="K806" t="str">
        <f t="shared" si="96"/>
        <v>OK</v>
      </c>
      <c r="L806" t="str">
        <f t="shared" si="97"/>
        <v>OK</v>
      </c>
      <c r="M806" t="str">
        <f>IF(OR(B806&lt;$AE$20,B806&gt;$AF$20),"Outlier","OK")</f>
        <v>OK</v>
      </c>
      <c r="N806" t="str">
        <f>IF(OR(J806&lt;$AE$21,J806&gt;$AF$21),"Outlier","OK")</f>
        <v>OK</v>
      </c>
      <c r="O806" t="str">
        <f>IF(OR(C806&lt;0,C806&gt;1),"Outlier","OK")</f>
        <v>OK</v>
      </c>
      <c r="P806" t="str">
        <f>IF(OR(D806&lt;0,D806&gt;1),"Outlier","OK")</f>
        <v>OK</v>
      </c>
      <c r="Q806" t="str">
        <f t="shared" si="98"/>
        <v>60-80%</v>
      </c>
      <c r="R806" t="str">
        <f>IF(B806="","Missing","OK")</f>
        <v>OK</v>
      </c>
      <c r="S806" t="str">
        <f>IF(E806="","Missing","OK")</f>
        <v>OK</v>
      </c>
      <c r="T806" t="str">
        <f t="shared" si="99"/>
        <v>OK</v>
      </c>
      <c r="U806">
        <f>COUNTIF($A:$A,A806)</f>
        <v>1</v>
      </c>
      <c r="V806" t="str">
        <f t="shared" si="100"/>
        <v>OK</v>
      </c>
      <c r="W806" t="str">
        <f>IF(I806&gt;B806,"ERROR","OK")</f>
        <v>OK</v>
      </c>
      <c r="X806">
        <f>(B806-I806)/B806</f>
        <v>0.77706557299718437</v>
      </c>
      <c r="Y806" s="2">
        <f t="shared" si="101"/>
        <v>6.6613381477509392E-16</v>
      </c>
      <c r="Z806" s="2" t="str">
        <f t="shared" si="102"/>
        <v>OK</v>
      </c>
      <c r="AA806" t="str">
        <f t="shared" si="103"/>
        <v>Unique</v>
      </c>
    </row>
    <row r="807" spans="1:27" x14ac:dyDescent="0.3">
      <c r="A807">
        <v>806</v>
      </c>
      <c r="B807">
        <v>1123532.89639447</v>
      </c>
      <c r="C807">
        <v>0.39860322546857702</v>
      </c>
      <c r="D807">
        <v>-3.7578799619260903E-2</v>
      </c>
      <c r="E807">
        <v>0.49965992260210901</v>
      </c>
      <c r="F807">
        <v>1</v>
      </c>
      <c r="G807" t="s">
        <v>12</v>
      </c>
      <c r="H807">
        <v>1</v>
      </c>
      <c r="I807">
        <v>561384.36005338503</v>
      </c>
      <c r="J807">
        <v>0.50034007739788999</v>
      </c>
      <c r="K807" t="str">
        <f t="shared" si="96"/>
        <v>OK</v>
      </c>
      <c r="L807" t="str">
        <f t="shared" si="97"/>
        <v>OK</v>
      </c>
      <c r="M807" t="str">
        <f>IF(OR(B807&lt;$AE$20,B807&gt;$AF$20),"Outlier","OK")</f>
        <v>OK</v>
      </c>
      <c r="N807" t="str">
        <f>IF(OR(J807&lt;$AE$21,J807&gt;$AF$21),"Outlier","OK")</f>
        <v>OK</v>
      </c>
      <c r="O807" t="str">
        <f>IF(OR(C807&lt;0,C807&gt;1),"Outlier","OK")</f>
        <v>OK</v>
      </c>
      <c r="P807" t="str">
        <f>IF(OR(D807&lt;0,D807&gt;1),"Outlier","OK")</f>
        <v>Outlier</v>
      </c>
      <c r="Q807" t="str">
        <f t="shared" si="98"/>
        <v>40-60%</v>
      </c>
      <c r="R807" t="str">
        <f>IF(B807="","Missing","OK")</f>
        <v>OK</v>
      </c>
      <c r="S807" t="str">
        <f>IF(E807="","Missing","OK")</f>
        <v>OK</v>
      </c>
      <c r="T807" t="str">
        <f t="shared" si="99"/>
        <v>OK</v>
      </c>
      <c r="U807">
        <f>COUNTIF($A:$A,A807)</f>
        <v>1</v>
      </c>
      <c r="V807" t="str">
        <f t="shared" si="100"/>
        <v>OK</v>
      </c>
      <c r="W807" t="str">
        <f>IF(I807&gt;B807,"ERROR","OK")</f>
        <v>OK</v>
      </c>
      <c r="X807">
        <f>(B807-I807)/B807</f>
        <v>0.50034007739789033</v>
      </c>
      <c r="Y807" s="2">
        <f t="shared" si="101"/>
        <v>3.3306690738754696E-16</v>
      </c>
      <c r="Z807" s="2" t="str">
        <f t="shared" si="102"/>
        <v>OK</v>
      </c>
      <c r="AA807" t="str">
        <f t="shared" si="103"/>
        <v>Unique</v>
      </c>
    </row>
    <row r="808" spans="1:27" x14ac:dyDescent="0.3">
      <c r="A808">
        <v>807</v>
      </c>
      <c r="B808">
        <v>572641.17773000104</v>
      </c>
      <c r="C808">
        <v>0.26798995123023001</v>
      </c>
      <c r="D808">
        <v>7.7813715874431394E-2</v>
      </c>
      <c r="E808">
        <v>0.50090209136080899</v>
      </c>
      <c r="F808">
        <v>1</v>
      </c>
      <c r="G808" t="s">
        <v>10</v>
      </c>
      <c r="H808">
        <v>0</v>
      </c>
      <c r="I808">
        <v>286837.16352427402</v>
      </c>
      <c r="J808">
        <v>0.49909790863919001</v>
      </c>
      <c r="K808" t="str">
        <f t="shared" si="96"/>
        <v>OK</v>
      </c>
      <c r="L808" t="str">
        <f t="shared" si="97"/>
        <v>OK</v>
      </c>
      <c r="M808" t="str">
        <f>IF(OR(B808&lt;$AE$20,B808&gt;$AF$20),"Outlier","OK")</f>
        <v>OK</v>
      </c>
      <c r="N808" t="str">
        <f>IF(OR(J808&lt;$AE$21,J808&gt;$AF$21),"Outlier","OK")</f>
        <v>OK</v>
      </c>
      <c r="O808" t="str">
        <f>IF(OR(C808&lt;0,C808&gt;1),"Outlier","OK")</f>
        <v>OK</v>
      </c>
      <c r="P808" t="str">
        <f>IF(OR(D808&lt;0,D808&gt;1),"Outlier","OK")</f>
        <v>OK</v>
      </c>
      <c r="Q808" t="str">
        <f t="shared" si="98"/>
        <v>40-60%</v>
      </c>
      <c r="R808" t="str">
        <f>IF(B808="","Missing","OK")</f>
        <v>OK</v>
      </c>
      <c r="S808" t="str">
        <f>IF(E808="","Missing","OK")</f>
        <v>OK</v>
      </c>
      <c r="T808" t="str">
        <f t="shared" si="99"/>
        <v>OK</v>
      </c>
      <c r="U808">
        <f>COUNTIF($A:$A,A808)</f>
        <v>1</v>
      </c>
      <c r="V808" t="str">
        <f t="shared" si="100"/>
        <v>OK</v>
      </c>
      <c r="W808" t="str">
        <f>IF(I808&gt;B808,"ERROR","OK")</f>
        <v>OK</v>
      </c>
      <c r="X808">
        <f>(B808-I808)/B808</f>
        <v>0.4990979086391914</v>
      </c>
      <c r="Y808" s="2">
        <f t="shared" si="101"/>
        <v>1.3877787807814457E-15</v>
      </c>
      <c r="Z808" s="2" t="str">
        <f t="shared" si="102"/>
        <v>OK</v>
      </c>
      <c r="AA808" t="str">
        <f t="shared" si="103"/>
        <v>Unique</v>
      </c>
    </row>
    <row r="809" spans="1:27" x14ac:dyDescent="0.3">
      <c r="A809">
        <v>808</v>
      </c>
      <c r="B809">
        <v>1980966.05041745</v>
      </c>
      <c r="C809">
        <v>0.321963746639992</v>
      </c>
      <c r="D809">
        <v>3.2893407299827003E-2</v>
      </c>
      <c r="E809">
        <v>0.22590333358907999</v>
      </c>
      <c r="F809">
        <v>1</v>
      </c>
      <c r="G809" t="s">
        <v>12</v>
      </c>
      <c r="H809">
        <v>0</v>
      </c>
      <c r="I809">
        <v>447506.83451609698</v>
      </c>
      <c r="J809">
        <v>0.77409666641091901</v>
      </c>
      <c r="K809" t="str">
        <f t="shared" si="96"/>
        <v>OK</v>
      </c>
      <c r="L809" t="str">
        <f t="shared" si="97"/>
        <v>OK</v>
      </c>
      <c r="M809" t="str">
        <f>IF(OR(B809&lt;$AE$20,B809&gt;$AF$20),"Outlier","OK")</f>
        <v>OK</v>
      </c>
      <c r="N809" t="str">
        <f>IF(OR(J809&lt;$AE$21,J809&gt;$AF$21),"Outlier","OK")</f>
        <v>OK</v>
      </c>
      <c r="O809" t="str">
        <f>IF(OR(C809&lt;0,C809&gt;1),"Outlier","OK")</f>
        <v>OK</v>
      </c>
      <c r="P809" t="str">
        <f>IF(OR(D809&lt;0,D809&gt;1),"Outlier","OK")</f>
        <v>OK</v>
      </c>
      <c r="Q809" t="str">
        <f t="shared" si="98"/>
        <v>60-80%</v>
      </c>
      <c r="R809" t="str">
        <f>IF(B809="","Missing","OK")</f>
        <v>OK</v>
      </c>
      <c r="S809" t="str">
        <f>IF(E809="","Missing","OK")</f>
        <v>OK</v>
      </c>
      <c r="T809" t="str">
        <f t="shared" si="99"/>
        <v>OK</v>
      </c>
      <c r="U809">
        <f>COUNTIF($A:$A,A809)</f>
        <v>1</v>
      </c>
      <c r="V809" t="str">
        <f t="shared" si="100"/>
        <v>OK</v>
      </c>
      <c r="W809" t="str">
        <f>IF(I809&gt;B809,"ERROR","OK")</f>
        <v>OK</v>
      </c>
      <c r="X809">
        <f>(B809-I809)/B809</f>
        <v>0.77409666641091923</v>
      </c>
      <c r="Y809" s="2">
        <f t="shared" si="101"/>
        <v>2.2204460492503131E-16</v>
      </c>
      <c r="Z809" s="2" t="str">
        <f t="shared" si="102"/>
        <v>OK</v>
      </c>
      <c r="AA809" t="str">
        <f t="shared" si="103"/>
        <v>Unique</v>
      </c>
    </row>
    <row r="810" spans="1:27" x14ac:dyDescent="0.3">
      <c r="A810">
        <v>809</v>
      </c>
      <c r="B810">
        <v>797228.35851251497</v>
      </c>
      <c r="C810">
        <v>0.124176013618535</v>
      </c>
      <c r="D810">
        <v>3.5629759391823702E-2</v>
      </c>
      <c r="E810">
        <v>0.14225163015012901</v>
      </c>
      <c r="F810">
        <v>1</v>
      </c>
      <c r="G810" t="s">
        <v>13</v>
      </c>
      <c r="H810">
        <v>1</v>
      </c>
      <c r="I810">
        <v>113407.033600316</v>
      </c>
      <c r="J810">
        <v>0.85774836984987002</v>
      </c>
      <c r="K810" t="str">
        <f t="shared" si="96"/>
        <v>OK</v>
      </c>
      <c r="L810" t="str">
        <f t="shared" si="97"/>
        <v>OK</v>
      </c>
      <c r="M810" t="str">
        <f>IF(OR(B810&lt;$AE$20,B810&gt;$AF$20),"Outlier","OK")</f>
        <v>OK</v>
      </c>
      <c r="N810" t="str">
        <f>IF(OR(J810&lt;$AE$21,J810&gt;$AF$21),"Outlier","OK")</f>
        <v>OK</v>
      </c>
      <c r="O810" t="str">
        <f>IF(OR(C810&lt;0,C810&gt;1),"Outlier","OK")</f>
        <v>OK</v>
      </c>
      <c r="P810" t="str">
        <f>IF(OR(D810&lt;0,D810&gt;1),"Outlier","OK")</f>
        <v>OK</v>
      </c>
      <c r="Q810" t="str">
        <f t="shared" si="98"/>
        <v>80-100%</v>
      </c>
      <c r="R810" t="str">
        <f>IF(B810="","Missing","OK")</f>
        <v>OK</v>
      </c>
      <c r="S810" t="str">
        <f>IF(E810="","Missing","OK")</f>
        <v>OK</v>
      </c>
      <c r="T810" t="str">
        <f t="shared" si="99"/>
        <v>OK</v>
      </c>
      <c r="U810">
        <f>COUNTIF($A:$A,A810)</f>
        <v>1</v>
      </c>
      <c r="V810" t="str">
        <f t="shared" si="100"/>
        <v>OK</v>
      </c>
      <c r="W810" t="str">
        <f>IF(I810&gt;B810,"ERROR","OK")</f>
        <v>OK</v>
      </c>
      <c r="X810">
        <f>(B810-I810)/B810</f>
        <v>0.85774836984987191</v>
      </c>
      <c r="Y810" s="2">
        <f t="shared" si="101"/>
        <v>1.8873791418627661E-15</v>
      </c>
      <c r="Z810" s="2" t="str">
        <f t="shared" si="102"/>
        <v>OK</v>
      </c>
      <c r="AA810" t="str">
        <f t="shared" si="103"/>
        <v>Unique</v>
      </c>
    </row>
    <row r="811" spans="1:27" x14ac:dyDescent="0.3">
      <c r="A811">
        <v>810</v>
      </c>
      <c r="B811">
        <v>1402628.0188664601</v>
      </c>
      <c r="C811">
        <v>0.59435067911041195</v>
      </c>
      <c r="D811">
        <v>2.6080709484903899E-2</v>
      </c>
      <c r="E811">
        <v>0.279128634139855</v>
      </c>
      <c r="F811">
        <v>1</v>
      </c>
      <c r="G811" t="s">
        <v>13</v>
      </c>
      <c r="H811">
        <v>1</v>
      </c>
      <c r="I811">
        <v>391513.64311248902</v>
      </c>
      <c r="J811">
        <v>0.720871365860144</v>
      </c>
      <c r="K811" t="str">
        <f t="shared" si="96"/>
        <v>OK</v>
      </c>
      <c r="L811" t="str">
        <f t="shared" si="97"/>
        <v>OK</v>
      </c>
      <c r="M811" t="str">
        <f>IF(OR(B811&lt;$AE$20,B811&gt;$AF$20),"Outlier","OK")</f>
        <v>OK</v>
      </c>
      <c r="N811" t="str">
        <f>IF(OR(J811&lt;$AE$21,J811&gt;$AF$21),"Outlier","OK")</f>
        <v>OK</v>
      </c>
      <c r="O811" t="str">
        <f>IF(OR(C811&lt;0,C811&gt;1),"Outlier","OK")</f>
        <v>OK</v>
      </c>
      <c r="P811" t="str">
        <f>IF(OR(D811&lt;0,D811&gt;1),"Outlier","OK")</f>
        <v>OK</v>
      </c>
      <c r="Q811" t="str">
        <f t="shared" si="98"/>
        <v>60-80%</v>
      </c>
      <c r="R811" t="str">
        <f>IF(B811="","Missing","OK")</f>
        <v>OK</v>
      </c>
      <c r="S811" t="str">
        <f>IF(E811="","Missing","OK")</f>
        <v>OK</v>
      </c>
      <c r="T811" t="str">
        <f t="shared" si="99"/>
        <v>OK</v>
      </c>
      <c r="U811">
        <f>COUNTIF($A:$A,A811)</f>
        <v>1</v>
      </c>
      <c r="V811" t="str">
        <f t="shared" si="100"/>
        <v>OK</v>
      </c>
      <c r="W811" t="str">
        <f>IF(I811&gt;B811,"ERROR","OK")</f>
        <v>OK</v>
      </c>
      <c r="X811">
        <f>(B811-I811)/B811</f>
        <v>0.72087136586014267</v>
      </c>
      <c r="Y811" s="2">
        <f t="shared" si="101"/>
        <v>1.3322676295501878E-15</v>
      </c>
      <c r="Z811" s="2" t="str">
        <f t="shared" si="102"/>
        <v>OK</v>
      </c>
      <c r="AA811" t="str">
        <f t="shared" si="103"/>
        <v>Unique</v>
      </c>
    </row>
    <row r="812" spans="1:27" x14ac:dyDescent="0.3">
      <c r="A812">
        <v>811</v>
      </c>
      <c r="B812">
        <v>1395407.4671278801</v>
      </c>
      <c r="C812">
        <v>0.59300810862651299</v>
      </c>
      <c r="D812">
        <v>0.153185947365271</v>
      </c>
      <c r="E812">
        <v>0.69911728853106503</v>
      </c>
      <c r="F812">
        <v>1</v>
      </c>
      <c r="G812" t="s">
        <v>13</v>
      </c>
      <c r="H812">
        <v>1</v>
      </c>
      <c r="I812">
        <v>975553.48481444898</v>
      </c>
      <c r="J812">
        <v>0.30088271146893403</v>
      </c>
      <c r="K812" t="str">
        <f t="shared" si="96"/>
        <v>OK</v>
      </c>
      <c r="L812" t="str">
        <f t="shared" si="97"/>
        <v>OK</v>
      </c>
      <c r="M812" t="str">
        <f>IF(OR(B812&lt;$AE$20,B812&gt;$AF$20),"Outlier","OK")</f>
        <v>OK</v>
      </c>
      <c r="N812" t="str">
        <f>IF(OR(J812&lt;$AE$21,J812&gt;$AF$21),"Outlier","OK")</f>
        <v>Outlier</v>
      </c>
      <c r="O812" t="str">
        <f>IF(OR(C812&lt;0,C812&gt;1),"Outlier","OK")</f>
        <v>OK</v>
      </c>
      <c r="P812" t="str">
        <f>IF(OR(D812&lt;0,D812&gt;1),"Outlier","OK")</f>
        <v>OK</v>
      </c>
      <c r="Q812" t="str">
        <f t="shared" si="98"/>
        <v>20-40%</v>
      </c>
      <c r="R812" t="str">
        <f>IF(B812="","Missing","OK")</f>
        <v>OK</v>
      </c>
      <c r="S812" t="str">
        <f>IF(E812="","Missing","OK")</f>
        <v>OK</v>
      </c>
      <c r="T812" t="str">
        <f t="shared" si="99"/>
        <v>OK</v>
      </c>
      <c r="U812">
        <f>COUNTIF($A:$A,A812)</f>
        <v>1</v>
      </c>
      <c r="V812" t="str">
        <f t="shared" si="100"/>
        <v>OK</v>
      </c>
      <c r="W812" t="str">
        <f>IF(I812&gt;B812,"ERROR","OK")</f>
        <v>OK</v>
      </c>
      <c r="X812">
        <f>(B812-I812)/B812</f>
        <v>0.30088271146893197</v>
      </c>
      <c r="Y812" s="2">
        <f t="shared" si="101"/>
        <v>2.0539125955565396E-15</v>
      </c>
      <c r="Z812" s="2" t="str">
        <f t="shared" si="102"/>
        <v>OK</v>
      </c>
      <c r="AA812" t="str">
        <f t="shared" si="103"/>
        <v>Unique</v>
      </c>
    </row>
    <row r="813" spans="1:27" x14ac:dyDescent="0.3">
      <c r="A813">
        <v>812</v>
      </c>
      <c r="B813">
        <v>896902.67608538095</v>
      </c>
      <c r="C813">
        <v>0.24713082252840701</v>
      </c>
      <c r="D813">
        <v>0.16506963562913801</v>
      </c>
      <c r="E813">
        <v>0.39344984895423002</v>
      </c>
      <c r="F813">
        <v>1</v>
      </c>
      <c r="G813" t="s">
        <v>12</v>
      </c>
      <c r="H813">
        <v>1</v>
      </c>
      <c r="I813">
        <v>352886.22243243799</v>
      </c>
      <c r="J813">
        <v>0.60655015104576904</v>
      </c>
      <c r="K813" t="str">
        <f t="shared" si="96"/>
        <v>OK</v>
      </c>
      <c r="L813" t="str">
        <f t="shared" si="97"/>
        <v>OK</v>
      </c>
      <c r="M813" t="str">
        <f>IF(OR(B813&lt;$AE$20,B813&gt;$AF$20),"Outlier","OK")</f>
        <v>OK</v>
      </c>
      <c r="N813" t="str">
        <f>IF(OR(J813&lt;$AE$21,J813&gt;$AF$21),"Outlier","OK")</f>
        <v>OK</v>
      </c>
      <c r="O813" t="str">
        <f>IF(OR(C813&lt;0,C813&gt;1),"Outlier","OK")</f>
        <v>OK</v>
      </c>
      <c r="P813" t="str">
        <f>IF(OR(D813&lt;0,D813&gt;1),"Outlier","OK")</f>
        <v>OK</v>
      </c>
      <c r="Q813" t="str">
        <f t="shared" si="98"/>
        <v>60-80%</v>
      </c>
      <c r="R813" t="str">
        <f>IF(B813="","Missing","OK")</f>
        <v>OK</v>
      </c>
      <c r="S813" t="str">
        <f>IF(E813="","Missing","OK")</f>
        <v>OK</v>
      </c>
      <c r="T813" t="str">
        <f t="shared" si="99"/>
        <v>OK</v>
      </c>
      <c r="U813">
        <f>COUNTIF($A:$A,A813)</f>
        <v>1</v>
      </c>
      <c r="V813" t="str">
        <f t="shared" si="100"/>
        <v>OK</v>
      </c>
      <c r="W813" t="str">
        <f>IF(I813&gt;B813,"ERROR","OK")</f>
        <v>OK</v>
      </c>
      <c r="X813">
        <f>(B813-I813)/B813</f>
        <v>0.60655015104576981</v>
      </c>
      <c r="Y813" s="2">
        <f t="shared" si="101"/>
        <v>7.7715611723760958E-16</v>
      </c>
      <c r="Z813" s="2" t="str">
        <f t="shared" si="102"/>
        <v>OK</v>
      </c>
      <c r="AA813" t="str">
        <f t="shared" si="103"/>
        <v>Unique</v>
      </c>
    </row>
    <row r="814" spans="1:27" x14ac:dyDescent="0.3">
      <c r="A814">
        <v>813</v>
      </c>
      <c r="B814">
        <v>438358.40680017398</v>
      </c>
      <c r="C814">
        <v>0.26547644597058101</v>
      </c>
      <c r="D814">
        <v>-0.157948138918933</v>
      </c>
      <c r="E814">
        <v>0.32417778328479402</v>
      </c>
      <c r="F814">
        <v>1</v>
      </c>
      <c r="G814" t="s">
        <v>10</v>
      </c>
      <c r="H814">
        <v>0</v>
      </c>
      <c r="I814">
        <v>142106.05660073401</v>
      </c>
      <c r="J814">
        <v>0.67582221671520504</v>
      </c>
      <c r="K814" t="str">
        <f t="shared" si="96"/>
        <v>OK</v>
      </c>
      <c r="L814" t="str">
        <f t="shared" si="97"/>
        <v>OK</v>
      </c>
      <c r="M814" t="str">
        <f>IF(OR(B814&lt;$AE$20,B814&gt;$AF$20),"Outlier","OK")</f>
        <v>OK</v>
      </c>
      <c r="N814" t="str">
        <f>IF(OR(J814&lt;$AE$21,J814&gt;$AF$21),"Outlier","OK")</f>
        <v>OK</v>
      </c>
      <c r="O814" t="str">
        <f>IF(OR(C814&lt;0,C814&gt;1),"Outlier","OK")</f>
        <v>OK</v>
      </c>
      <c r="P814" t="str">
        <f>IF(OR(D814&lt;0,D814&gt;1),"Outlier","OK")</f>
        <v>Outlier</v>
      </c>
      <c r="Q814" t="str">
        <f t="shared" si="98"/>
        <v>60-80%</v>
      </c>
      <c r="R814" t="str">
        <f>IF(B814="","Missing","OK")</f>
        <v>OK</v>
      </c>
      <c r="S814" t="str">
        <f>IF(E814="","Missing","OK")</f>
        <v>OK</v>
      </c>
      <c r="T814" t="str">
        <f t="shared" si="99"/>
        <v>OK</v>
      </c>
      <c r="U814">
        <f>COUNTIF($A:$A,A814)</f>
        <v>1</v>
      </c>
      <c r="V814" t="str">
        <f t="shared" si="100"/>
        <v>OK</v>
      </c>
      <c r="W814" t="str">
        <f>IF(I814&gt;B814,"ERROR","OK")</f>
        <v>OK</v>
      </c>
      <c r="X814">
        <f>(B814-I814)/B814</f>
        <v>0.67582221671520681</v>
      </c>
      <c r="Y814" s="2">
        <f t="shared" si="101"/>
        <v>1.7763568394002505E-15</v>
      </c>
      <c r="Z814" s="2" t="str">
        <f t="shared" si="102"/>
        <v>OK</v>
      </c>
      <c r="AA814" t="str">
        <f t="shared" si="103"/>
        <v>Unique</v>
      </c>
    </row>
    <row r="815" spans="1:27" x14ac:dyDescent="0.3">
      <c r="A815">
        <v>814</v>
      </c>
      <c r="B815">
        <v>1934829.7829804099</v>
      </c>
      <c r="C815">
        <v>0.52252606456140605</v>
      </c>
      <c r="D815">
        <v>-0.113540135636181</v>
      </c>
      <c r="E815">
        <v>8.5745815262634098E-2</v>
      </c>
      <c r="F815">
        <v>1</v>
      </c>
      <c r="G815" t="s">
        <v>12</v>
      </c>
      <c r="H815">
        <v>0</v>
      </c>
      <c r="I815">
        <v>165903.55713607999</v>
      </c>
      <c r="J815">
        <v>0.91425418473736497</v>
      </c>
      <c r="K815" t="str">
        <f t="shared" si="96"/>
        <v>OK</v>
      </c>
      <c r="L815" t="str">
        <f t="shared" si="97"/>
        <v>OK</v>
      </c>
      <c r="M815" t="str">
        <f>IF(OR(B815&lt;$AE$20,B815&gt;$AF$20),"Outlier","OK")</f>
        <v>OK</v>
      </c>
      <c r="N815" t="str">
        <f>IF(OR(J815&lt;$AE$21,J815&gt;$AF$21),"Outlier","OK")</f>
        <v>OK</v>
      </c>
      <c r="O815" t="str">
        <f>IF(OR(C815&lt;0,C815&gt;1),"Outlier","OK")</f>
        <v>OK</v>
      </c>
      <c r="P815" t="str">
        <f>IF(OR(D815&lt;0,D815&gt;1),"Outlier","OK")</f>
        <v>Outlier</v>
      </c>
      <c r="Q815" t="str">
        <f t="shared" si="98"/>
        <v>80-100%</v>
      </c>
      <c r="R815" t="str">
        <f>IF(B815="","Missing","OK")</f>
        <v>OK</v>
      </c>
      <c r="S815" t="str">
        <f>IF(E815="","Missing","OK")</f>
        <v>OK</v>
      </c>
      <c r="T815" t="str">
        <f t="shared" si="99"/>
        <v>OK</v>
      </c>
      <c r="U815">
        <f>COUNTIF($A:$A,A815)</f>
        <v>1</v>
      </c>
      <c r="V815" t="str">
        <f t="shared" si="100"/>
        <v>OK</v>
      </c>
      <c r="W815" t="str">
        <f>IF(I815&gt;B815,"ERROR","OK")</f>
        <v>OK</v>
      </c>
      <c r="X815">
        <f>(B815-I815)/B815</f>
        <v>0.91425418473736619</v>
      </c>
      <c r="Y815" s="2">
        <f t="shared" si="101"/>
        <v>1.2212453270876722E-15</v>
      </c>
      <c r="Z815" s="2" t="str">
        <f t="shared" si="102"/>
        <v>OK</v>
      </c>
      <c r="AA815" t="str">
        <f t="shared" si="103"/>
        <v>Unique</v>
      </c>
    </row>
    <row r="816" spans="1:27" x14ac:dyDescent="0.3">
      <c r="A816">
        <v>815</v>
      </c>
      <c r="B816">
        <v>174197.175673747</v>
      </c>
      <c r="C816">
        <v>0.77717668712383603</v>
      </c>
      <c r="D816">
        <v>-0.13532285489109899</v>
      </c>
      <c r="E816">
        <v>0.20271724404856301</v>
      </c>
      <c r="F816">
        <v>1</v>
      </c>
      <c r="G816" t="s">
        <v>10</v>
      </c>
      <c r="H816">
        <v>0</v>
      </c>
      <c r="I816">
        <v>35312.771373625597</v>
      </c>
      <c r="J816">
        <v>0.79728275595143605</v>
      </c>
      <c r="K816" t="str">
        <f t="shared" si="96"/>
        <v>OK</v>
      </c>
      <c r="L816" t="str">
        <f t="shared" si="97"/>
        <v>OK</v>
      </c>
      <c r="M816" t="str">
        <f>IF(OR(B816&lt;$AE$20,B816&gt;$AF$20),"Outlier","OK")</f>
        <v>OK</v>
      </c>
      <c r="N816" t="str">
        <f>IF(OR(J816&lt;$AE$21,J816&gt;$AF$21),"Outlier","OK")</f>
        <v>OK</v>
      </c>
      <c r="O816" t="str">
        <f>IF(OR(C816&lt;0,C816&gt;1),"Outlier","OK")</f>
        <v>OK</v>
      </c>
      <c r="P816" t="str">
        <f>IF(OR(D816&lt;0,D816&gt;1),"Outlier","OK")</f>
        <v>Outlier</v>
      </c>
      <c r="Q816" t="str">
        <f t="shared" si="98"/>
        <v>60-80%</v>
      </c>
      <c r="R816" t="str">
        <f>IF(B816="","Missing","OK")</f>
        <v>OK</v>
      </c>
      <c r="S816" t="str">
        <f>IF(E816="","Missing","OK")</f>
        <v>OK</v>
      </c>
      <c r="T816" t="str">
        <f t="shared" si="99"/>
        <v>OK</v>
      </c>
      <c r="U816">
        <f>COUNTIF($A:$A,A816)</f>
        <v>1</v>
      </c>
      <c r="V816" t="str">
        <f t="shared" si="100"/>
        <v>OK</v>
      </c>
      <c r="W816" t="str">
        <f>IF(I816&gt;B816,"ERROR","OK")</f>
        <v>OK</v>
      </c>
      <c r="X816">
        <f>(B816-I816)/B816</f>
        <v>0.79728275595143583</v>
      </c>
      <c r="Y816" s="2">
        <f t="shared" si="101"/>
        <v>2.2204460492503131E-16</v>
      </c>
      <c r="Z816" s="2" t="str">
        <f t="shared" si="102"/>
        <v>OK</v>
      </c>
      <c r="AA816" t="str">
        <f t="shared" si="103"/>
        <v>Unique</v>
      </c>
    </row>
    <row r="817" spans="1:27" x14ac:dyDescent="0.3">
      <c r="A817">
        <v>816</v>
      </c>
      <c r="B817">
        <v>996041.30625494104</v>
      </c>
      <c r="C817">
        <v>0.50857595096860797</v>
      </c>
      <c r="D817">
        <v>-3.3963209541559E-2</v>
      </c>
      <c r="E817">
        <v>0.26371579230293002</v>
      </c>
      <c r="F817">
        <v>1</v>
      </c>
      <c r="G817" t="s">
        <v>10</v>
      </c>
      <c r="H817">
        <v>0</v>
      </c>
      <c r="I817">
        <v>262671.82224546699</v>
      </c>
      <c r="J817">
        <v>0.73628420769706904</v>
      </c>
      <c r="K817" t="str">
        <f t="shared" si="96"/>
        <v>OK</v>
      </c>
      <c r="L817" t="str">
        <f t="shared" si="97"/>
        <v>OK</v>
      </c>
      <c r="M817" t="str">
        <f>IF(OR(B817&lt;$AE$20,B817&gt;$AF$20),"Outlier","OK")</f>
        <v>OK</v>
      </c>
      <c r="N817" t="str">
        <f>IF(OR(J817&lt;$AE$21,J817&gt;$AF$21),"Outlier","OK")</f>
        <v>OK</v>
      </c>
      <c r="O817" t="str">
        <f>IF(OR(C817&lt;0,C817&gt;1),"Outlier","OK")</f>
        <v>OK</v>
      </c>
      <c r="P817" t="str">
        <f>IF(OR(D817&lt;0,D817&gt;1),"Outlier","OK")</f>
        <v>Outlier</v>
      </c>
      <c r="Q817" t="str">
        <f t="shared" si="98"/>
        <v>60-80%</v>
      </c>
      <c r="R817" t="str">
        <f>IF(B817="","Missing","OK")</f>
        <v>OK</v>
      </c>
      <c r="S817" t="str">
        <f>IF(E817="","Missing","OK")</f>
        <v>OK</v>
      </c>
      <c r="T817" t="str">
        <f t="shared" si="99"/>
        <v>OK</v>
      </c>
      <c r="U817">
        <f>COUNTIF($A:$A,A817)</f>
        <v>1</v>
      </c>
      <c r="V817" t="str">
        <f t="shared" si="100"/>
        <v>OK</v>
      </c>
      <c r="W817" t="str">
        <f>IF(I817&gt;B817,"ERROR","OK")</f>
        <v>OK</v>
      </c>
      <c r="X817">
        <f>(B817-I817)/B817</f>
        <v>0.73628420769707015</v>
      </c>
      <c r="Y817" s="2">
        <f t="shared" si="101"/>
        <v>1.1102230246251565E-15</v>
      </c>
      <c r="Z817" s="2" t="str">
        <f t="shared" si="102"/>
        <v>OK</v>
      </c>
      <c r="AA817" t="str">
        <f t="shared" si="103"/>
        <v>Unique</v>
      </c>
    </row>
    <row r="818" spans="1:27" x14ac:dyDescent="0.3">
      <c r="A818">
        <v>817</v>
      </c>
      <c r="B818">
        <v>480424.88409104402</v>
      </c>
      <c r="C818">
        <v>0.105071570547286</v>
      </c>
      <c r="D818">
        <v>-1.5725413968314599E-2</v>
      </c>
      <c r="E818">
        <v>0.39601982463553698</v>
      </c>
      <c r="F818">
        <v>1</v>
      </c>
      <c r="G818" t="s">
        <v>12</v>
      </c>
      <c r="H818">
        <v>0</v>
      </c>
      <c r="I818">
        <v>190257.77834828399</v>
      </c>
      <c r="J818">
        <v>0.60398017536446202</v>
      </c>
      <c r="K818" t="str">
        <f t="shared" si="96"/>
        <v>OK</v>
      </c>
      <c r="L818" t="str">
        <f t="shared" si="97"/>
        <v>OK</v>
      </c>
      <c r="M818" t="str">
        <f>IF(OR(B818&lt;$AE$20,B818&gt;$AF$20),"Outlier","OK")</f>
        <v>OK</v>
      </c>
      <c r="N818" t="str">
        <f>IF(OR(J818&lt;$AE$21,J818&gt;$AF$21),"Outlier","OK")</f>
        <v>OK</v>
      </c>
      <c r="O818" t="str">
        <f>IF(OR(C818&lt;0,C818&gt;1),"Outlier","OK")</f>
        <v>OK</v>
      </c>
      <c r="P818" t="str">
        <f>IF(OR(D818&lt;0,D818&gt;1),"Outlier","OK")</f>
        <v>Outlier</v>
      </c>
      <c r="Q818" t="str">
        <f t="shared" si="98"/>
        <v>60-80%</v>
      </c>
      <c r="R818" t="str">
        <f>IF(B818="","Missing","OK")</f>
        <v>OK</v>
      </c>
      <c r="S818" t="str">
        <f>IF(E818="","Missing","OK")</f>
        <v>OK</v>
      </c>
      <c r="T818" t="str">
        <f t="shared" si="99"/>
        <v>OK</v>
      </c>
      <c r="U818">
        <f>COUNTIF($A:$A,A818)</f>
        <v>1</v>
      </c>
      <c r="V818" t="str">
        <f t="shared" si="100"/>
        <v>OK</v>
      </c>
      <c r="W818" t="str">
        <f>IF(I818&gt;B818,"ERROR","OK")</f>
        <v>OK</v>
      </c>
      <c r="X818">
        <f>(B818-I818)/B818</f>
        <v>0.6039801753644618</v>
      </c>
      <c r="Y818" s="2">
        <f t="shared" si="101"/>
        <v>2.2204460492503131E-16</v>
      </c>
      <c r="Z818" s="2" t="str">
        <f t="shared" si="102"/>
        <v>OK</v>
      </c>
      <c r="AA818" t="str">
        <f t="shared" si="103"/>
        <v>Unique</v>
      </c>
    </row>
    <row r="819" spans="1:27" x14ac:dyDescent="0.3">
      <c r="A819">
        <v>818</v>
      </c>
      <c r="B819">
        <v>623249.55784423195</v>
      </c>
      <c r="C819">
        <v>0.223316516601688</v>
      </c>
      <c r="D819">
        <v>0.14692118904861701</v>
      </c>
      <c r="E819">
        <v>0.25738284891329999</v>
      </c>
      <c r="F819">
        <v>1</v>
      </c>
      <c r="G819" t="s">
        <v>12</v>
      </c>
      <c r="H819">
        <v>1</v>
      </c>
      <c r="I819">
        <v>160413.746781903</v>
      </c>
      <c r="J819">
        <v>0.74261715108669901</v>
      </c>
      <c r="K819" t="str">
        <f t="shared" si="96"/>
        <v>OK</v>
      </c>
      <c r="L819" t="str">
        <f t="shared" si="97"/>
        <v>OK</v>
      </c>
      <c r="M819" t="str">
        <f>IF(OR(B819&lt;$AE$20,B819&gt;$AF$20),"Outlier","OK")</f>
        <v>OK</v>
      </c>
      <c r="N819" t="str">
        <f>IF(OR(J819&lt;$AE$21,J819&gt;$AF$21),"Outlier","OK")</f>
        <v>OK</v>
      </c>
      <c r="O819" t="str">
        <f>IF(OR(C819&lt;0,C819&gt;1),"Outlier","OK")</f>
        <v>OK</v>
      </c>
      <c r="P819" t="str">
        <f>IF(OR(D819&lt;0,D819&gt;1),"Outlier","OK")</f>
        <v>OK</v>
      </c>
      <c r="Q819" t="str">
        <f t="shared" si="98"/>
        <v>60-80%</v>
      </c>
      <c r="R819" t="str">
        <f>IF(B819="","Missing","OK")</f>
        <v>OK</v>
      </c>
      <c r="S819" t="str">
        <f>IF(E819="","Missing","OK")</f>
        <v>OK</v>
      </c>
      <c r="T819" t="str">
        <f t="shared" si="99"/>
        <v>OK</v>
      </c>
      <c r="U819">
        <f>COUNTIF($A:$A,A819)</f>
        <v>1</v>
      </c>
      <c r="V819" t="str">
        <f t="shared" si="100"/>
        <v>OK</v>
      </c>
      <c r="W819" t="str">
        <f>IF(I819&gt;B819,"ERROR","OK")</f>
        <v>OK</v>
      </c>
      <c r="X819">
        <f>(B819-I819)/B819</f>
        <v>0.74261715108670001</v>
      </c>
      <c r="Y819" s="2">
        <f t="shared" si="101"/>
        <v>9.9920072216264089E-16</v>
      </c>
      <c r="Z819" s="2" t="str">
        <f t="shared" si="102"/>
        <v>OK</v>
      </c>
      <c r="AA819" t="str">
        <f t="shared" si="103"/>
        <v>Unique</v>
      </c>
    </row>
    <row r="820" spans="1:27" x14ac:dyDescent="0.3">
      <c r="A820">
        <v>819</v>
      </c>
      <c r="B820">
        <v>1665628.2782793301</v>
      </c>
      <c r="C820">
        <v>0.51220025372818301</v>
      </c>
      <c r="D820">
        <v>-2.1929128176311999E-2</v>
      </c>
      <c r="E820">
        <v>0.361416504309717</v>
      </c>
      <c r="F820">
        <v>1</v>
      </c>
      <c r="G820" t="s">
        <v>13</v>
      </c>
      <c r="H820">
        <v>1</v>
      </c>
      <c r="I820">
        <v>601985.54981512995</v>
      </c>
      <c r="J820">
        <v>0.63858349569028205</v>
      </c>
      <c r="K820" t="str">
        <f t="shared" si="96"/>
        <v>OK</v>
      </c>
      <c r="L820" t="str">
        <f t="shared" si="97"/>
        <v>OK</v>
      </c>
      <c r="M820" t="str">
        <f>IF(OR(B820&lt;$AE$20,B820&gt;$AF$20),"Outlier","OK")</f>
        <v>OK</v>
      </c>
      <c r="N820" t="str">
        <f>IF(OR(J820&lt;$AE$21,J820&gt;$AF$21),"Outlier","OK")</f>
        <v>OK</v>
      </c>
      <c r="O820" t="str">
        <f>IF(OR(C820&lt;0,C820&gt;1),"Outlier","OK")</f>
        <v>OK</v>
      </c>
      <c r="P820" t="str">
        <f>IF(OR(D820&lt;0,D820&gt;1),"Outlier","OK")</f>
        <v>Outlier</v>
      </c>
      <c r="Q820" t="str">
        <f t="shared" si="98"/>
        <v>60-80%</v>
      </c>
      <c r="R820" t="str">
        <f>IF(B820="","Missing","OK")</f>
        <v>OK</v>
      </c>
      <c r="S820" t="str">
        <f>IF(E820="","Missing","OK")</f>
        <v>OK</v>
      </c>
      <c r="T820" t="str">
        <f t="shared" si="99"/>
        <v>OK</v>
      </c>
      <c r="U820">
        <f>COUNTIF($A:$A,A820)</f>
        <v>1</v>
      </c>
      <c r="V820" t="str">
        <f t="shared" si="100"/>
        <v>OK</v>
      </c>
      <c r="W820" t="str">
        <f>IF(I820&gt;B820,"ERROR","OK")</f>
        <v>OK</v>
      </c>
      <c r="X820">
        <f>(B820-I820)/B820</f>
        <v>0.63858349569028183</v>
      </c>
      <c r="Y820" s="2">
        <f t="shared" si="101"/>
        <v>2.2204460492503131E-16</v>
      </c>
      <c r="Z820" s="2" t="str">
        <f t="shared" si="102"/>
        <v>OK</v>
      </c>
      <c r="AA820" t="str">
        <f t="shared" si="103"/>
        <v>Unique</v>
      </c>
    </row>
    <row r="821" spans="1:27" x14ac:dyDescent="0.3">
      <c r="A821">
        <v>820</v>
      </c>
      <c r="B821">
        <v>766167.84781668906</v>
      </c>
      <c r="C821">
        <v>0.128713474247106</v>
      </c>
      <c r="D821">
        <v>0.18898937821432299</v>
      </c>
      <c r="E821">
        <v>0.42940583015111</v>
      </c>
      <c r="F821">
        <v>1</v>
      </c>
      <c r="G821" t="s">
        <v>13</v>
      </c>
      <c r="H821">
        <v>0</v>
      </c>
      <c r="I821">
        <v>328996.94072681502</v>
      </c>
      <c r="J821">
        <v>0.570594169848889</v>
      </c>
      <c r="K821" t="str">
        <f t="shared" si="96"/>
        <v>OK</v>
      </c>
      <c r="L821" t="str">
        <f t="shared" si="97"/>
        <v>OK</v>
      </c>
      <c r="M821" t="str">
        <f>IF(OR(B821&lt;$AE$20,B821&gt;$AF$20),"Outlier","OK")</f>
        <v>OK</v>
      </c>
      <c r="N821" t="str">
        <f>IF(OR(J821&lt;$AE$21,J821&gt;$AF$21),"Outlier","OK")</f>
        <v>OK</v>
      </c>
      <c r="O821" t="str">
        <f>IF(OR(C821&lt;0,C821&gt;1),"Outlier","OK")</f>
        <v>OK</v>
      </c>
      <c r="P821" t="str">
        <f>IF(OR(D821&lt;0,D821&gt;1),"Outlier","OK")</f>
        <v>OK</v>
      </c>
      <c r="Q821" t="str">
        <f t="shared" si="98"/>
        <v>40-60%</v>
      </c>
      <c r="R821" t="str">
        <f>IF(B821="","Missing","OK")</f>
        <v>OK</v>
      </c>
      <c r="S821" t="str">
        <f>IF(E821="","Missing","OK")</f>
        <v>OK</v>
      </c>
      <c r="T821" t="str">
        <f t="shared" si="99"/>
        <v>OK</v>
      </c>
      <c r="U821">
        <f>COUNTIF($A:$A,A821)</f>
        <v>1</v>
      </c>
      <c r="V821" t="str">
        <f t="shared" si="100"/>
        <v>OK</v>
      </c>
      <c r="W821" t="str">
        <f>IF(I821&gt;B821,"ERROR","OK")</f>
        <v>OK</v>
      </c>
      <c r="X821">
        <f>(B821-I821)/B821</f>
        <v>0.57059416984888955</v>
      </c>
      <c r="Y821" s="2">
        <f t="shared" si="101"/>
        <v>5.5511151231257827E-16</v>
      </c>
      <c r="Z821" s="2" t="str">
        <f t="shared" si="102"/>
        <v>OK</v>
      </c>
      <c r="AA821" t="str">
        <f t="shared" si="103"/>
        <v>Unique</v>
      </c>
    </row>
    <row r="822" spans="1:27" x14ac:dyDescent="0.3">
      <c r="A822">
        <v>821</v>
      </c>
      <c r="B822">
        <v>212529.12593225299</v>
      </c>
      <c r="C822">
        <v>0.15902042357145399</v>
      </c>
      <c r="D822">
        <v>-0.14772948555665799</v>
      </c>
      <c r="E822">
        <v>0.24181480287934601</v>
      </c>
      <c r="F822">
        <v>1</v>
      </c>
      <c r="G822" t="s">
        <v>12</v>
      </c>
      <c r="H822">
        <v>0</v>
      </c>
      <c r="I822">
        <v>51392.688693427699</v>
      </c>
      <c r="J822">
        <v>0.75818519712065302</v>
      </c>
      <c r="K822" t="str">
        <f t="shared" si="96"/>
        <v>OK</v>
      </c>
      <c r="L822" t="str">
        <f t="shared" si="97"/>
        <v>OK</v>
      </c>
      <c r="M822" t="str">
        <f>IF(OR(B822&lt;$AE$20,B822&gt;$AF$20),"Outlier","OK")</f>
        <v>OK</v>
      </c>
      <c r="N822" t="str">
        <f>IF(OR(J822&lt;$AE$21,J822&gt;$AF$21),"Outlier","OK")</f>
        <v>OK</v>
      </c>
      <c r="O822" t="str">
        <f>IF(OR(C822&lt;0,C822&gt;1),"Outlier","OK")</f>
        <v>OK</v>
      </c>
      <c r="P822" t="str">
        <f>IF(OR(D822&lt;0,D822&gt;1),"Outlier","OK")</f>
        <v>Outlier</v>
      </c>
      <c r="Q822" t="str">
        <f t="shared" si="98"/>
        <v>60-80%</v>
      </c>
      <c r="R822" t="str">
        <f>IF(B822="","Missing","OK")</f>
        <v>OK</v>
      </c>
      <c r="S822" t="str">
        <f>IF(E822="","Missing","OK")</f>
        <v>OK</v>
      </c>
      <c r="T822" t="str">
        <f t="shared" si="99"/>
        <v>OK</v>
      </c>
      <c r="U822">
        <f>COUNTIF($A:$A,A822)</f>
        <v>1</v>
      </c>
      <c r="V822" t="str">
        <f t="shared" si="100"/>
        <v>OK</v>
      </c>
      <c r="W822" t="str">
        <f>IF(I822&gt;B822,"ERROR","OK")</f>
        <v>OK</v>
      </c>
      <c r="X822">
        <f>(B822-I822)/B822</f>
        <v>0.75818519712065291</v>
      </c>
      <c r="Y822" s="2">
        <f t="shared" si="101"/>
        <v>1.1102230246251565E-16</v>
      </c>
      <c r="Z822" s="2" t="str">
        <f t="shared" si="102"/>
        <v>OK</v>
      </c>
      <c r="AA822" t="str">
        <f t="shared" si="103"/>
        <v>Unique</v>
      </c>
    </row>
    <row r="823" spans="1:27" x14ac:dyDescent="0.3">
      <c r="A823">
        <v>822</v>
      </c>
      <c r="B823">
        <v>432802.55998787098</v>
      </c>
      <c r="C823">
        <v>0.79804544042770298</v>
      </c>
      <c r="D823">
        <v>-5.1158698635764097E-2</v>
      </c>
      <c r="E823">
        <v>0.31411230002670099</v>
      </c>
      <c r="F823">
        <v>1</v>
      </c>
      <c r="G823" t="s">
        <v>12</v>
      </c>
      <c r="H823">
        <v>1</v>
      </c>
      <c r="I823">
        <v>135948.607575234</v>
      </c>
      <c r="J823">
        <v>0.68588769997329901</v>
      </c>
      <c r="K823" t="str">
        <f t="shared" si="96"/>
        <v>OK</v>
      </c>
      <c r="L823" t="str">
        <f t="shared" si="97"/>
        <v>OK</v>
      </c>
      <c r="M823" t="str">
        <f>IF(OR(B823&lt;$AE$20,B823&gt;$AF$20),"Outlier","OK")</f>
        <v>OK</v>
      </c>
      <c r="N823" t="str">
        <f>IF(OR(J823&lt;$AE$21,J823&gt;$AF$21),"Outlier","OK")</f>
        <v>OK</v>
      </c>
      <c r="O823" t="str">
        <f>IF(OR(C823&lt;0,C823&gt;1),"Outlier","OK")</f>
        <v>OK</v>
      </c>
      <c r="P823" t="str">
        <f>IF(OR(D823&lt;0,D823&gt;1),"Outlier","OK")</f>
        <v>Outlier</v>
      </c>
      <c r="Q823" t="str">
        <f t="shared" si="98"/>
        <v>60-80%</v>
      </c>
      <c r="R823" t="str">
        <f>IF(B823="","Missing","OK")</f>
        <v>OK</v>
      </c>
      <c r="S823" t="str">
        <f>IF(E823="","Missing","OK")</f>
        <v>OK</v>
      </c>
      <c r="T823" t="str">
        <f t="shared" si="99"/>
        <v>OK</v>
      </c>
      <c r="U823">
        <f>COUNTIF($A:$A,A823)</f>
        <v>1</v>
      </c>
      <c r="V823" t="str">
        <f t="shared" si="100"/>
        <v>OK</v>
      </c>
      <c r="W823" t="str">
        <f>IF(I823&gt;B823,"ERROR","OK")</f>
        <v>OK</v>
      </c>
      <c r="X823">
        <f>(B823-I823)/B823</f>
        <v>0.68588769997329979</v>
      </c>
      <c r="Y823" s="2">
        <f t="shared" si="101"/>
        <v>7.7715611723760958E-16</v>
      </c>
      <c r="Z823" s="2" t="str">
        <f t="shared" si="102"/>
        <v>OK</v>
      </c>
      <c r="AA823" t="str">
        <f t="shared" si="103"/>
        <v>Unique</v>
      </c>
    </row>
    <row r="824" spans="1:27" x14ac:dyDescent="0.3">
      <c r="A824">
        <v>823</v>
      </c>
      <c r="B824">
        <v>1727728.1500170999</v>
      </c>
      <c r="C824">
        <v>0.876539665128239</v>
      </c>
      <c r="D824">
        <v>-0.15506062628119599</v>
      </c>
      <c r="E824">
        <v>0.13902970350180299</v>
      </c>
      <c r="F824">
        <v>1</v>
      </c>
      <c r="G824" t="s">
        <v>12</v>
      </c>
      <c r="H824">
        <v>0</v>
      </c>
      <c r="I824">
        <v>240205.53242859701</v>
      </c>
      <c r="J824">
        <v>0.86097029649819601</v>
      </c>
      <c r="K824" t="str">
        <f t="shared" si="96"/>
        <v>OK</v>
      </c>
      <c r="L824" t="str">
        <f t="shared" si="97"/>
        <v>OK</v>
      </c>
      <c r="M824" t="str">
        <f>IF(OR(B824&lt;$AE$20,B824&gt;$AF$20),"Outlier","OK")</f>
        <v>OK</v>
      </c>
      <c r="N824" t="str">
        <f>IF(OR(J824&lt;$AE$21,J824&gt;$AF$21),"Outlier","OK")</f>
        <v>OK</v>
      </c>
      <c r="O824" t="str">
        <f>IF(OR(C824&lt;0,C824&gt;1),"Outlier","OK")</f>
        <v>OK</v>
      </c>
      <c r="P824" t="str">
        <f>IF(OR(D824&lt;0,D824&gt;1),"Outlier","OK")</f>
        <v>Outlier</v>
      </c>
      <c r="Q824" t="str">
        <f t="shared" si="98"/>
        <v>80-100%</v>
      </c>
      <c r="R824" t="str">
        <f>IF(B824="","Missing","OK")</f>
        <v>OK</v>
      </c>
      <c r="S824" t="str">
        <f>IF(E824="","Missing","OK")</f>
        <v>OK</v>
      </c>
      <c r="T824" t="str">
        <f t="shared" si="99"/>
        <v>OK</v>
      </c>
      <c r="U824">
        <f>COUNTIF($A:$A,A824)</f>
        <v>1</v>
      </c>
      <c r="V824" t="str">
        <f t="shared" si="100"/>
        <v>OK</v>
      </c>
      <c r="W824" t="str">
        <f>IF(I824&gt;B824,"ERROR","OK")</f>
        <v>OK</v>
      </c>
      <c r="X824">
        <f>(B824-I824)/B824</f>
        <v>0.86097029649819634</v>
      </c>
      <c r="Y824" s="2">
        <f t="shared" si="101"/>
        <v>3.3306690738754696E-16</v>
      </c>
      <c r="Z824" s="2" t="str">
        <f t="shared" si="102"/>
        <v>OK</v>
      </c>
      <c r="AA824" t="str">
        <f t="shared" si="103"/>
        <v>Unique</v>
      </c>
    </row>
    <row r="825" spans="1:27" x14ac:dyDescent="0.3">
      <c r="A825">
        <v>824</v>
      </c>
      <c r="B825">
        <v>1955206.2576173299</v>
      </c>
      <c r="C825">
        <v>0.37766915677863599</v>
      </c>
      <c r="D825">
        <v>0.10884760392088701</v>
      </c>
      <c r="E825">
        <v>0.35834175311884497</v>
      </c>
      <c r="F825">
        <v>1</v>
      </c>
      <c r="G825" t="s">
        <v>11</v>
      </c>
      <c r="H825">
        <v>0</v>
      </c>
      <c r="I825">
        <v>700632.03806353104</v>
      </c>
      <c r="J825">
        <v>0.64165824688115403</v>
      </c>
      <c r="K825" t="str">
        <f t="shared" si="96"/>
        <v>OK</v>
      </c>
      <c r="L825" t="str">
        <f t="shared" si="97"/>
        <v>OK</v>
      </c>
      <c r="M825" t="str">
        <f>IF(OR(B825&lt;$AE$20,B825&gt;$AF$20),"Outlier","OK")</f>
        <v>OK</v>
      </c>
      <c r="N825" t="str">
        <f>IF(OR(J825&lt;$AE$21,J825&gt;$AF$21),"Outlier","OK")</f>
        <v>OK</v>
      </c>
      <c r="O825" t="str">
        <f>IF(OR(C825&lt;0,C825&gt;1),"Outlier","OK")</f>
        <v>OK</v>
      </c>
      <c r="P825" t="str">
        <f>IF(OR(D825&lt;0,D825&gt;1),"Outlier","OK")</f>
        <v>OK</v>
      </c>
      <c r="Q825" t="str">
        <f t="shared" si="98"/>
        <v>60-80%</v>
      </c>
      <c r="R825" t="str">
        <f>IF(B825="","Missing","OK")</f>
        <v>OK</v>
      </c>
      <c r="S825" t="str">
        <f>IF(E825="","Missing","OK")</f>
        <v>OK</v>
      </c>
      <c r="T825" t="str">
        <f t="shared" si="99"/>
        <v>OK</v>
      </c>
      <c r="U825">
        <f>COUNTIF($A:$A,A825)</f>
        <v>1</v>
      </c>
      <c r="V825" t="str">
        <f t="shared" si="100"/>
        <v>OK</v>
      </c>
      <c r="W825" t="str">
        <f>IF(I825&gt;B825,"ERROR","OK")</f>
        <v>OK</v>
      </c>
      <c r="X825">
        <f>(B825-I825)/B825</f>
        <v>0.64165824688115447</v>
      </c>
      <c r="Y825" s="2">
        <f t="shared" si="101"/>
        <v>4.4408920985006262E-16</v>
      </c>
      <c r="Z825" s="2" t="str">
        <f t="shared" si="102"/>
        <v>OK</v>
      </c>
      <c r="AA825" t="str">
        <f t="shared" si="103"/>
        <v>Unique</v>
      </c>
    </row>
    <row r="826" spans="1:27" x14ac:dyDescent="0.3">
      <c r="A826">
        <v>825</v>
      </c>
      <c r="B826">
        <v>572565.21320192795</v>
      </c>
      <c r="C826">
        <v>0.29385790658660899</v>
      </c>
      <c r="D826">
        <v>-7.2316879399568403E-3</v>
      </c>
      <c r="E826">
        <v>0.27892265258351701</v>
      </c>
      <c r="F826">
        <v>1</v>
      </c>
      <c r="G826" t="s">
        <v>10</v>
      </c>
      <c r="H826">
        <v>1</v>
      </c>
      <c r="I826">
        <v>159701.40804332899</v>
      </c>
      <c r="J826">
        <v>0.721077347416482</v>
      </c>
      <c r="K826" t="str">
        <f t="shared" si="96"/>
        <v>OK</v>
      </c>
      <c r="L826" t="str">
        <f t="shared" si="97"/>
        <v>OK</v>
      </c>
      <c r="M826" t="str">
        <f>IF(OR(B826&lt;$AE$20,B826&gt;$AF$20),"Outlier","OK")</f>
        <v>OK</v>
      </c>
      <c r="N826" t="str">
        <f>IF(OR(J826&lt;$AE$21,J826&gt;$AF$21),"Outlier","OK")</f>
        <v>OK</v>
      </c>
      <c r="O826" t="str">
        <f>IF(OR(C826&lt;0,C826&gt;1),"Outlier","OK")</f>
        <v>OK</v>
      </c>
      <c r="P826" t="str">
        <f>IF(OR(D826&lt;0,D826&gt;1),"Outlier","OK")</f>
        <v>Outlier</v>
      </c>
      <c r="Q826" t="str">
        <f t="shared" si="98"/>
        <v>60-80%</v>
      </c>
      <c r="R826" t="str">
        <f>IF(B826="","Missing","OK")</f>
        <v>OK</v>
      </c>
      <c r="S826" t="str">
        <f>IF(E826="","Missing","OK")</f>
        <v>OK</v>
      </c>
      <c r="T826" t="str">
        <f t="shared" si="99"/>
        <v>OK</v>
      </c>
      <c r="U826">
        <f>COUNTIF($A:$A,A826)</f>
        <v>1</v>
      </c>
      <c r="V826" t="str">
        <f t="shared" si="100"/>
        <v>OK</v>
      </c>
      <c r="W826" t="str">
        <f>IF(I826&gt;B826,"ERROR","OK")</f>
        <v>OK</v>
      </c>
      <c r="X826">
        <f>(B826-I826)/B826</f>
        <v>0.72107734741648244</v>
      </c>
      <c r="Y826" s="2">
        <f t="shared" si="101"/>
        <v>4.4408920985006262E-16</v>
      </c>
      <c r="Z826" s="2" t="str">
        <f t="shared" si="102"/>
        <v>OK</v>
      </c>
      <c r="AA826" t="str">
        <f t="shared" si="103"/>
        <v>Unique</v>
      </c>
    </row>
    <row r="827" spans="1:27" x14ac:dyDescent="0.3">
      <c r="A827">
        <v>826</v>
      </c>
      <c r="B827">
        <v>1367047.52602121</v>
      </c>
      <c r="C827">
        <v>0.88799076944435296</v>
      </c>
      <c r="D827">
        <v>-2.4524979582852501E-2</v>
      </c>
      <c r="E827">
        <v>0.42233371301890898</v>
      </c>
      <c r="F827">
        <v>1</v>
      </c>
      <c r="G827" t="s">
        <v>10</v>
      </c>
      <c r="H827">
        <v>1</v>
      </c>
      <c r="I827">
        <v>577350.25753785495</v>
      </c>
      <c r="J827">
        <v>0.57766628698109102</v>
      </c>
      <c r="K827" t="str">
        <f t="shared" si="96"/>
        <v>OK</v>
      </c>
      <c r="L827" t="str">
        <f t="shared" si="97"/>
        <v>OK</v>
      </c>
      <c r="M827" t="str">
        <f>IF(OR(B827&lt;$AE$20,B827&gt;$AF$20),"Outlier","OK")</f>
        <v>OK</v>
      </c>
      <c r="N827" t="str">
        <f>IF(OR(J827&lt;$AE$21,J827&gt;$AF$21),"Outlier","OK")</f>
        <v>OK</v>
      </c>
      <c r="O827" t="str">
        <f>IF(OR(C827&lt;0,C827&gt;1),"Outlier","OK")</f>
        <v>OK</v>
      </c>
      <c r="P827" t="str">
        <f>IF(OR(D827&lt;0,D827&gt;1),"Outlier","OK")</f>
        <v>Outlier</v>
      </c>
      <c r="Q827" t="str">
        <f t="shared" si="98"/>
        <v>40-60%</v>
      </c>
      <c r="R827" t="str">
        <f>IF(B827="","Missing","OK")</f>
        <v>OK</v>
      </c>
      <c r="S827" t="str">
        <f>IF(E827="","Missing","OK")</f>
        <v>OK</v>
      </c>
      <c r="T827" t="str">
        <f t="shared" si="99"/>
        <v>OK</v>
      </c>
      <c r="U827">
        <f>COUNTIF($A:$A,A827)</f>
        <v>1</v>
      </c>
      <c r="V827" t="str">
        <f t="shared" si="100"/>
        <v>OK</v>
      </c>
      <c r="W827" t="str">
        <f>IF(I827&gt;B827,"ERROR","OK")</f>
        <v>OK</v>
      </c>
      <c r="X827">
        <f>(B827-I827)/B827</f>
        <v>0.57766628698108824</v>
      </c>
      <c r="Y827" s="2">
        <f t="shared" si="101"/>
        <v>2.7755575615628914E-15</v>
      </c>
      <c r="Z827" s="2" t="str">
        <f t="shared" si="102"/>
        <v>OK</v>
      </c>
      <c r="AA827" t="str">
        <f t="shared" si="103"/>
        <v>Unique</v>
      </c>
    </row>
    <row r="828" spans="1:27" x14ac:dyDescent="0.3">
      <c r="A828">
        <v>827</v>
      </c>
      <c r="B828">
        <v>208338.04512459101</v>
      </c>
      <c r="C828">
        <v>0.64152180328178499</v>
      </c>
      <c r="D828">
        <v>-6.3324923577583398E-3</v>
      </c>
      <c r="E828">
        <v>0.16389703577263201</v>
      </c>
      <c r="F828">
        <v>1</v>
      </c>
      <c r="G828" t="s">
        <v>12</v>
      </c>
      <c r="H828">
        <v>0</v>
      </c>
      <c r="I828">
        <v>34145.988034585498</v>
      </c>
      <c r="J828">
        <v>0.83610296422736696</v>
      </c>
      <c r="K828" t="str">
        <f t="shared" si="96"/>
        <v>OK</v>
      </c>
      <c r="L828" t="str">
        <f t="shared" si="97"/>
        <v>OK</v>
      </c>
      <c r="M828" t="str">
        <f>IF(OR(B828&lt;$AE$20,B828&gt;$AF$20),"Outlier","OK")</f>
        <v>OK</v>
      </c>
      <c r="N828" t="str">
        <f>IF(OR(J828&lt;$AE$21,J828&gt;$AF$21),"Outlier","OK")</f>
        <v>OK</v>
      </c>
      <c r="O828" t="str">
        <f>IF(OR(C828&lt;0,C828&gt;1),"Outlier","OK")</f>
        <v>OK</v>
      </c>
      <c r="P828" t="str">
        <f>IF(OR(D828&lt;0,D828&gt;1),"Outlier","OK")</f>
        <v>Outlier</v>
      </c>
      <c r="Q828" t="str">
        <f t="shared" si="98"/>
        <v>80-100%</v>
      </c>
      <c r="R828" t="str">
        <f>IF(B828="","Missing","OK")</f>
        <v>OK</v>
      </c>
      <c r="S828" t="str">
        <f>IF(E828="","Missing","OK")</f>
        <v>OK</v>
      </c>
      <c r="T828" t="str">
        <f t="shared" si="99"/>
        <v>OK</v>
      </c>
      <c r="U828">
        <f>COUNTIF($A:$A,A828)</f>
        <v>1</v>
      </c>
      <c r="V828" t="str">
        <f t="shared" si="100"/>
        <v>OK</v>
      </c>
      <c r="W828" t="str">
        <f>IF(I828&gt;B828,"ERROR","OK")</f>
        <v>OK</v>
      </c>
      <c r="X828">
        <f>(B828-I828)/B828</f>
        <v>0.83610296422736718</v>
      </c>
      <c r="Y828" s="2">
        <f t="shared" si="101"/>
        <v>2.2204460492503131E-16</v>
      </c>
      <c r="Z828" s="2" t="str">
        <f t="shared" si="102"/>
        <v>OK</v>
      </c>
      <c r="AA828" t="str">
        <f t="shared" si="103"/>
        <v>Unique</v>
      </c>
    </row>
    <row r="829" spans="1:27" x14ac:dyDescent="0.3">
      <c r="A829">
        <v>828</v>
      </c>
      <c r="B829">
        <v>1460757.9040711201</v>
      </c>
      <c r="C829">
        <v>0.34462615233789001</v>
      </c>
      <c r="D829">
        <v>0.18354593811584399</v>
      </c>
      <c r="E829">
        <v>0.64812924047375398</v>
      </c>
      <c r="F829">
        <v>1</v>
      </c>
      <c r="G829" t="s">
        <v>11</v>
      </c>
      <c r="H829">
        <v>0</v>
      </c>
      <c r="I829">
        <v>946759.91088165506</v>
      </c>
      <c r="J829">
        <v>0.35187075952624502</v>
      </c>
      <c r="K829" t="str">
        <f t="shared" si="96"/>
        <v>OK</v>
      </c>
      <c r="L829" t="str">
        <f t="shared" si="97"/>
        <v>OK</v>
      </c>
      <c r="M829" t="str">
        <f>IF(OR(B829&lt;$AE$20,B829&gt;$AF$20),"Outlier","OK")</f>
        <v>OK</v>
      </c>
      <c r="N829" t="str">
        <f>IF(OR(J829&lt;$AE$21,J829&gt;$AF$21),"Outlier","OK")</f>
        <v>OK</v>
      </c>
      <c r="O829" t="str">
        <f>IF(OR(C829&lt;0,C829&gt;1),"Outlier","OK")</f>
        <v>OK</v>
      </c>
      <c r="P829" t="str">
        <f>IF(OR(D829&lt;0,D829&gt;1),"Outlier","OK")</f>
        <v>OK</v>
      </c>
      <c r="Q829" t="str">
        <f t="shared" si="98"/>
        <v>20-40%</v>
      </c>
      <c r="R829" t="str">
        <f>IF(B829="","Missing","OK")</f>
        <v>OK</v>
      </c>
      <c r="S829" t="str">
        <f>IF(E829="","Missing","OK")</f>
        <v>OK</v>
      </c>
      <c r="T829" t="str">
        <f t="shared" si="99"/>
        <v>OK</v>
      </c>
      <c r="U829">
        <f>COUNTIF($A:$A,A829)</f>
        <v>1</v>
      </c>
      <c r="V829" t="str">
        <f t="shared" si="100"/>
        <v>OK</v>
      </c>
      <c r="W829" t="str">
        <f>IF(I829&gt;B829,"ERROR","OK")</f>
        <v>OK</v>
      </c>
      <c r="X829">
        <f>(B829-I829)/B829</f>
        <v>0.35187075952624108</v>
      </c>
      <c r="Y829" s="2">
        <f t="shared" si="101"/>
        <v>3.9412917374193057E-15</v>
      </c>
      <c r="Z829" s="2" t="str">
        <f t="shared" si="102"/>
        <v>OK</v>
      </c>
      <c r="AA829" t="str">
        <f t="shared" si="103"/>
        <v>Unique</v>
      </c>
    </row>
    <row r="830" spans="1:27" x14ac:dyDescent="0.3">
      <c r="A830">
        <v>829</v>
      </c>
      <c r="B830">
        <v>862051.39418089495</v>
      </c>
      <c r="C830">
        <v>0.193866190106153</v>
      </c>
      <c r="D830">
        <v>0.13744785500966999</v>
      </c>
      <c r="E830">
        <v>0.30111292249633298</v>
      </c>
      <c r="F830">
        <v>1</v>
      </c>
      <c r="G830" t="s">
        <v>12</v>
      </c>
      <c r="H830">
        <v>0</v>
      </c>
      <c r="I830">
        <v>259574.81464384799</v>
      </c>
      <c r="J830">
        <v>0.69888707750366597</v>
      </c>
      <c r="K830" t="str">
        <f t="shared" si="96"/>
        <v>OK</v>
      </c>
      <c r="L830" t="str">
        <f t="shared" si="97"/>
        <v>OK</v>
      </c>
      <c r="M830" t="str">
        <f>IF(OR(B830&lt;$AE$20,B830&gt;$AF$20),"Outlier","OK")</f>
        <v>OK</v>
      </c>
      <c r="N830" t="str">
        <f>IF(OR(J830&lt;$AE$21,J830&gt;$AF$21),"Outlier","OK")</f>
        <v>OK</v>
      </c>
      <c r="O830" t="str">
        <f>IF(OR(C830&lt;0,C830&gt;1),"Outlier","OK")</f>
        <v>OK</v>
      </c>
      <c r="P830" t="str">
        <f>IF(OR(D830&lt;0,D830&gt;1),"Outlier","OK")</f>
        <v>OK</v>
      </c>
      <c r="Q830" t="str">
        <f t="shared" si="98"/>
        <v>60-80%</v>
      </c>
      <c r="R830" t="str">
        <f>IF(B830="","Missing","OK")</f>
        <v>OK</v>
      </c>
      <c r="S830" t="str">
        <f>IF(E830="","Missing","OK")</f>
        <v>OK</v>
      </c>
      <c r="T830" t="str">
        <f t="shared" si="99"/>
        <v>OK</v>
      </c>
      <c r="U830">
        <f>COUNTIF($A:$A,A830)</f>
        <v>1</v>
      </c>
      <c r="V830" t="str">
        <f t="shared" si="100"/>
        <v>OK</v>
      </c>
      <c r="W830" t="str">
        <f>IF(I830&gt;B830,"ERROR","OK")</f>
        <v>OK</v>
      </c>
      <c r="X830">
        <f>(B830-I830)/B830</f>
        <v>0.69888707750366663</v>
      </c>
      <c r="Y830" s="2">
        <f t="shared" si="101"/>
        <v>6.6613381477509392E-16</v>
      </c>
      <c r="Z830" s="2" t="str">
        <f t="shared" si="102"/>
        <v>OK</v>
      </c>
      <c r="AA830" t="str">
        <f t="shared" si="103"/>
        <v>Unique</v>
      </c>
    </row>
    <row r="831" spans="1:27" x14ac:dyDescent="0.3">
      <c r="A831">
        <v>830</v>
      </c>
      <c r="B831">
        <v>1840411.84066138</v>
      </c>
      <c r="C831">
        <v>0.85223802904113399</v>
      </c>
      <c r="D831">
        <v>-0.17716381875725001</v>
      </c>
      <c r="E831">
        <v>0.21632027059914499</v>
      </c>
      <c r="F831">
        <v>1</v>
      </c>
      <c r="G831" t="s">
        <v>13</v>
      </c>
      <c r="H831">
        <v>1</v>
      </c>
      <c r="I831">
        <v>398118.38738574198</v>
      </c>
      <c r="J831">
        <v>0.78367972940085395</v>
      </c>
      <c r="K831" t="str">
        <f t="shared" si="96"/>
        <v>OK</v>
      </c>
      <c r="L831" t="str">
        <f t="shared" si="97"/>
        <v>OK</v>
      </c>
      <c r="M831" t="str">
        <f>IF(OR(B831&lt;$AE$20,B831&gt;$AF$20),"Outlier","OK")</f>
        <v>OK</v>
      </c>
      <c r="N831" t="str">
        <f>IF(OR(J831&lt;$AE$21,J831&gt;$AF$21),"Outlier","OK")</f>
        <v>OK</v>
      </c>
      <c r="O831" t="str">
        <f>IF(OR(C831&lt;0,C831&gt;1),"Outlier","OK")</f>
        <v>OK</v>
      </c>
      <c r="P831" t="str">
        <f>IF(OR(D831&lt;0,D831&gt;1),"Outlier","OK")</f>
        <v>Outlier</v>
      </c>
      <c r="Q831" t="str">
        <f t="shared" si="98"/>
        <v>60-80%</v>
      </c>
      <c r="R831" t="str">
        <f>IF(B831="","Missing","OK")</f>
        <v>OK</v>
      </c>
      <c r="S831" t="str">
        <f>IF(E831="","Missing","OK")</f>
        <v>OK</v>
      </c>
      <c r="T831" t="str">
        <f t="shared" si="99"/>
        <v>OK</v>
      </c>
      <c r="U831">
        <f>COUNTIF($A:$A,A831)</f>
        <v>1</v>
      </c>
      <c r="V831" t="str">
        <f t="shared" si="100"/>
        <v>OK</v>
      </c>
      <c r="W831" t="str">
        <f>IF(I831&gt;B831,"ERROR","OK")</f>
        <v>OK</v>
      </c>
      <c r="X831">
        <f>(B831-I831)/B831</f>
        <v>0.78367972940085406</v>
      </c>
      <c r="Y831" s="2">
        <f t="shared" si="101"/>
        <v>1.1102230246251565E-16</v>
      </c>
      <c r="Z831" s="2" t="str">
        <f t="shared" si="102"/>
        <v>OK</v>
      </c>
      <c r="AA831" t="str">
        <f t="shared" si="103"/>
        <v>Unique</v>
      </c>
    </row>
    <row r="832" spans="1:27" x14ac:dyDescent="0.3">
      <c r="A832">
        <v>831</v>
      </c>
      <c r="B832">
        <v>657495.53140901297</v>
      </c>
      <c r="C832">
        <v>0.65840310804419999</v>
      </c>
      <c r="D832">
        <v>-0.13634178245033701</v>
      </c>
      <c r="E832">
        <v>0.39648690823836202</v>
      </c>
      <c r="F832">
        <v>1</v>
      </c>
      <c r="G832" t="s">
        <v>12</v>
      </c>
      <c r="H832">
        <v>0</v>
      </c>
      <c r="I832">
        <v>260688.37042889901</v>
      </c>
      <c r="J832">
        <v>0.60351309176163703</v>
      </c>
      <c r="K832" t="str">
        <f t="shared" si="96"/>
        <v>OK</v>
      </c>
      <c r="L832" t="str">
        <f t="shared" si="97"/>
        <v>OK</v>
      </c>
      <c r="M832" t="str">
        <f>IF(OR(B832&lt;$AE$20,B832&gt;$AF$20),"Outlier","OK")</f>
        <v>OK</v>
      </c>
      <c r="N832" t="str">
        <f>IF(OR(J832&lt;$AE$21,J832&gt;$AF$21),"Outlier","OK")</f>
        <v>OK</v>
      </c>
      <c r="O832" t="str">
        <f>IF(OR(C832&lt;0,C832&gt;1),"Outlier","OK")</f>
        <v>OK</v>
      </c>
      <c r="P832" t="str">
        <f>IF(OR(D832&lt;0,D832&gt;1),"Outlier","OK")</f>
        <v>Outlier</v>
      </c>
      <c r="Q832" t="str">
        <f t="shared" si="98"/>
        <v>60-80%</v>
      </c>
      <c r="R832" t="str">
        <f>IF(B832="","Missing","OK")</f>
        <v>OK</v>
      </c>
      <c r="S832" t="str">
        <f>IF(E832="","Missing","OK")</f>
        <v>OK</v>
      </c>
      <c r="T832" t="str">
        <f t="shared" si="99"/>
        <v>OK</v>
      </c>
      <c r="U832">
        <f>COUNTIF($A:$A,A832)</f>
        <v>1</v>
      </c>
      <c r="V832" t="str">
        <f t="shared" si="100"/>
        <v>OK</v>
      </c>
      <c r="W832" t="str">
        <f>IF(I832&gt;B832,"ERROR","OK")</f>
        <v>OK</v>
      </c>
      <c r="X832">
        <f>(B832-I832)/B832</f>
        <v>0.60351309176163703</v>
      </c>
      <c r="Y832" s="2">
        <f t="shared" si="101"/>
        <v>0</v>
      </c>
      <c r="Z832" s="2" t="str">
        <f t="shared" si="102"/>
        <v>OK</v>
      </c>
      <c r="AA832" t="str">
        <f t="shared" si="103"/>
        <v>Unique</v>
      </c>
    </row>
    <row r="833" spans="1:27" x14ac:dyDescent="0.3">
      <c r="A833">
        <v>832</v>
      </c>
      <c r="B833">
        <v>1885860.64494077</v>
      </c>
      <c r="C833">
        <v>0.51079268996434601</v>
      </c>
      <c r="D833">
        <v>-8.2872573054685497E-2</v>
      </c>
      <c r="E833">
        <v>7.8980446935068893E-2</v>
      </c>
      <c r="F833">
        <v>1</v>
      </c>
      <c r="G833" t="s">
        <v>10</v>
      </c>
      <c r="H833">
        <v>1</v>
      </c>
      <c r="I833">
        <v>148946.11659467901</v>
      </c>
      <c r="J833">
        <v>0.921019553064931</v>
      </c>
      <c r="K833" t="str">
        <f t="shared" si="96"/>
        <v>OK</v>
      </c>
      <c r="L833" t="str">
        <f t="shared" si="97"/>
        <v>OK</v>
      </c>
      <c r="M833" t="str">
        <f>IF(OR(B833&lt;$AE$20,B833&gt;$AF$20),"Outlier","OK")</f>
        <v>OK</v>
      </c>
      <c r="N833" t="str">
        <f>IF(OR(J833&lt;$AE$21,J833&gt;$AF$21),"Outlier","OK")</f>
        <v>OK</v>
      </c>
      <c r="O833" t="str">
        <f>IF(OR(C833&lt;0,C833&gt;1),"Outlier","OK")</f>
        <v>OK</v>
      </c>
      <c r="P833" t="str">
        <f>IF(OR(D833&lt;0,D833&gt;1),"Outlier","OK")</f>
        <v>Outlier</v>
      </c>
      <c r="Q833" t="str">
        <f t="shared" si="98"/>
        <v>80-100%</v>
      </c>
      <c r="R833" t="str">
        <f>IF(B833="","Missing","OK")</f>
        <v>OK</v>
      </c>
      <c r="S833" t="str">
        <f>IF(E833="","Missing","OK")</f>
        <v>OK</v>
      </c>
      <c r="T833" t="str">
        <f t="shared" si="99"/>
        <v>OK</v>
      </c>
      <c r="U833">
        <f>COUNTIF($A:$A,A833)</f>
        <v>1</v>
      </c>
      <c r="V833" t="str">
        <f t="shared" si="100"/>
        <v>OK</v>
      </c>
      <c r="W833" t="str">
        <f>IF(I833&gt;B833,"ERROR","OK")</f>
        <v>OK</v>
      </c>
      <c r="X833">
        <f>(B833-I833)/B833</f>
        <v>0.92101955306493133</v>
      </c>
      <c r="Y833" s="2">
        <f t="shared" si="101"/>
        <v>3.3306690738754696E-16</v>
      </c>
      <c r="Z833" s="2" t="str">
        <f t="shared" si="102"/>
        <v>OK</v>
      </c>
      <c r="AA833" t="str">
        <f t="shared" si="103"/>
        <v>Unique</v>
      </c>
    </row>
    <row r="834" spans="1:27" x14ac:dyDescent="0.3">
      <c r="A834">
        <v>833</v>
      </c>
      <c r="B834">
        <v>1031332.4828108801</v>
      </c>
      <c r="C834">
        <v>0.72338528164222204</v>
      </c>
      <c r="D834">
        <v>-8.4137108247700695E-2</v>
      </c>
      <c r="E834">
        <v>0.26352186334049599</v>
      </c>
      <c r="F834">
        <v>1</v>
      </c>
      <c r="G834" t="s">
        <v>10</v>
      </c>
      <c r="H834">
        <v>1</v>
      </c>
      <c r="I834">
        <v>271778.657593904</v>
      </c>
      <c r="J834">
        <v>0.73647813665950301</v>
      </c>
      <c r="K834" t="str">
        <f t="shared" si="96"/>
        <v>OK</v>
      </c>
      <c r="L834" t="str">
        <f t="shared" si="97"/>
        <v>OK</v>
      </c>
      <c r="M834" t="str">
        <f>IF(OR(B834&lt;$AE$20,B834&gt;$AF$20),"Outlier","OK")</f>
        <v>OK</v>
      </c>
      <c r="N834" t="str">
        <f>IF(OR(J834&lt;$AE$21,J834&gt;$AF$21),"Outlier","OK")</f>
        <v>OK</v>
      </c>
      <c r="O834" t="str">
        <f>IF(OR(C834&lt;0,C834&gt;1),"Outlier","OK")</f>
        <v>OK</v>
      </c>
      <c r="P834" t="str">
        <f>IF(OR(D834&lt;0,D834&gt;1),"Outlier","OK")</f>
        <v>Outlier</v>
      </c>
      <c r="Q834" t="str">
        <f t="shared" si="98"/>
        <v>60-80%</v>
      </c>
      <c r="R834" t="str">
        <f>IF(B834="","Missing","OK")</f>
        <v>OK</v>
      </c>
      <c r="S834" t="str">
        <f>IF(E834="","Missing","OK")</f>
        <v>OK</v>
      </c>
      <c r="T834" t="str">
        <f t="shared" si="99"/>
        <v>OK</v>
      </c>
      <c r="U834">
        <f>COUNTIF($A:$A,A834)</f>
        <v>1</v>
      </c>
      <c r="V834" t="str">
        <f t="shared" si="100"/>
        <v>OK</v>
      </c>
      <c r="W834" t="str">
        <f>IF(I834&gt;B834,"ERROR","OK")</f>
        <v>OK</v>
      </c>
      <c r="X834">
        <f>(B834-I834)/B834</f>
        <v>0.73647813665950312</v>
      </c>
      <c r="Y834" s="2">
        <f t="shared" si="101"/>
        <v>1.1102230246251565E-16</v>
      </c>
      <c r="Z834" s="2" t="str">
        <f t="shared" si="102"/>
        <v>OK</v>
      </c>
      <c r="AA834" t="str">
        <f t="shared" si="103"/>
        <v>Unique</v>
      </c>
    </row>
    <row r="835" spans="1:27" x14ac:dyDescent="0.3">
      <c r="A835">
        <v>834</v>
      </c>
      <c r="B835">
        <v>730341.20186581102</v>
      </c>
      <c r="C835">
        <v>0.46706583279990699</v>
      </c>
      <c r="D835">
        <v>-0.14487082546998101</v>
      </c>
      <c r="E835">
        <v>0.50970258888251796</v>
      </c>
      <c r="F835">
        <v>1</v>
      </c>
      <c r="G835" t="s">
        <v>12</v>
      </c>
      <c r="H835">
        <v>0</v>
      </c>
      <c r="I835">
        <v>372256.80135857401</v>
      </c>
      <c r="J835">
        <v>0.49029741111748099</v>
      </c>
      <c r="K835" t="str">
        <f t="shared" ref="K835:K898" si="104">IF(OR(J835&lt;0,J835&gt;1),"Error","OK")</f>
        <v>OK</v>
      </c>
      <c r="L835" t="str">
        <f t="shared" ref="L835:L898" si="105">IF(I835&gt;B835,"Error","OK")</f>
        <v>OK</v>
      </c>
      <c r="M835" t="str">
        <f>IF(OR(B835&lt;$AE$20,B835&gt;$AF$20),"Outlier","OK")</f>
        <v>OK</v>
      </c>
      <c r="N835" t="str">
        <f>IF(OR(J835&lt;$AE$21,J835&gt;$AF$21),"Outlier","OK")</f>
        <v>OK</v>
      </c>
      <c r="O835" t="str">
        <f>IF(OR(C835&lt;0,C835&gt;1),"Outlier","OK")</f>
        <v>OK</v>
      </c>
      <c r="P835" t="str">
        <f>IF(OR(D835&lt;0,D835&gt;1),"Outlier","OK")</f>
        <v>Outlier</v>
      </c>
      <c r="Q835" t="str">
        <f t="shared" ref="Q835:Q898" si="106">IF(J835&lt;=0.2,"0-20%",
 IF(J835&lt;=0.4,"20-40%",
 IF(J835&lt;=0.6,"40-60%",
 IF(J835&lt;=0.8,"60-80%","80-100%"))))</f>
        <v>40-60%</v>
      </c>
      <c r="R835" t="str">
        <f>IF(B835="","Missing","OK")</f>
        <v>OK</v>
      </c>
      <c r="S835" t="str">
        <f>IF(E835="","Missing","OK")</f>
        <v>OK</v>
      </c>
      <c r="T835" t="str">
        <f t="shared" ref="T835:T898" si="107">IF(J835="","Missing","OK")</f>
        <v>OK</v>
      </c>
      <c r="U835">
        <f>COUNTIF($A:$A,A835)</f>
        <v>1</v>
      </c>
      <c r="V835" t="str">
        <f t="shared" ref="V835:V898" si="108">IF(OR(J835&lt;0,J835&gt;1),"ERROR","OK")</f>
        <v>OK</v>
      </c>
      <c r="W835" t="str">
        <f>IF(I835&gt;B835,"ERROR","OK")</f>
        <v>OK</v>
      </c>
      <c r="X835">
        <f>(B835-I835)/B835</f>
        <v>0.49029741111748137</v>
      </c>
      <c r="Y835" s="2">
        <f t="shared" ref="Y835:Y898" si="109">ABS(J835-X835)</f>
        <v>3.8857805861880479E-16</v>
      </c>
      <c r="Z835" s="2" t="str">
        <f t="shared" ref="Z835:Z898" si="110">IF(OR(B835="",I835="",J835=""),"Missing","OK")</f>
        <v>OK</v>
      </c>
      <c r="AA835" t="str">
        <f t="shared" ref="AA835:AA898" si="111">IF(COUNTIF($A:$A,A835)&gt;1,"Duplicate","Unique")</f>
        <v>Unique</v>
      </c>
    </row>
    <row r="836" spans="1:27" x14ac:dyDescent="0.3">
      <c r="A836">
        <v>835</v>
      </c>
      <c r="B836">
        <v>1311688.2105165799</v>
      </c>
      <c r="C836">
        <v>0.25227776514889</v>
      </c>
      <c r="D836">
        <v>-0.14554288657213699</v>
      </c>
      <c r="E836">
        <v>4.2510935357297698E-2</v>
      </c>
      <c r="F836">
        <v>1</v>
      </c>
      <c r="G836" t="s">
        <v>13</v>
      </c>
      <c r="H836">
        <v>1</v>
      </c>
      <c r="I836">
        <v>55761.092726199902</v>
      </c>
      <c r="J836">
        <v>0.957489064642702</v>
      </c>
      <c r="K836" t="str">
        <f t="shared" si="104"/>
        <v>OK</v>
      </c>
      <c r="L836" t="str">
        <f t="shared" si="105"/>
        <v>OK</v>
      </c>
      <c r="M836" t="str">
        <f>IF(OR(B836&lt;$AE$20,B836&gt;$AF$20),"Outlier","OK")</f>
        <v>OK</v>
      </c>
      <c r="N836" t="str">
        <f>IF(OR(J836&lt;$AE$21,J836&gt;$AF$21),"Outlier","OK")</f>
        <v>OK</v>
      </c>
      <c r="O836" t="str">
        <f>IF(OR(C836&lt;0,C836&gt;1),"Outlier","OK")</f>
        <v>OK</v>
      </c>
      <c r="P836" t="str">
        <f>IF(OR(D836&lt;0,D836&gt;1),"Outlier","OK")</f>
        <v>Outlier</v>
      </c>
      <c r="Q836" t="str">
        <f t="shared" si="106"/>
        <v>80-100%</v>
      </c>
      <c r="R836" t="str">
        <f>IF(B836="","Missing","OK")</f>
        <v>OK</v>
      </c>
      <c r="S836" t="str">
        <f>IF(E836="","Missing","OK")</f>
        <v>OK</v>
      </c>
      <c r="T836" t="str">
        <f t="shared" si="107"/>
        <v>OK</v>
      </c>
      <c r="U836">
        <f>COUNTIF($A:$A,A836)</f>
        <v>1</v>
      </c>
      <c r="V836" t="str">
        <f t="shared" si="108"/>
        <v>OK</v>
      </c>
      <c r="W836" t="str">
        <f>IF(I836&gt;B836,"ERROR","OK")</f>
        <v>OK</v>
      </c>
      <c r="X836">
        <f>(B836-I836)/B836</f>
        <v>0.95748906464270223</v>
      </c>
      <c r="Y836" s="2">
        <f t="shared" si="109"/>
        <v>2.2204460492503131E-16</v>
      </c>
      <c r="Z836" s="2" t="str">
        <f t="shared" si="110"/>
        <v>OK</v>
      </c>
      <c r="AA836" t="str">
        <f t="shared" si="111"/>
        <v>Unique</v>
      </c>
    </row>
    <row r="837" spans="1:27" x14ac:dyDescent="0.3">
      <c r="A837">
        <v>836</v>
      </c>
      <c r="B837">
        <v>537005.096456695</v>
      </c>
      <c r="C837">
        <v>0.112750005243062</v>
      </c>
      <c r="D837">
        <v>0.19347060167232399</v>
      </c>
      <c r="E837">
        <v>0.212865744778409</v>
      </c>
      <c r="F837">
        <v>1</v>
      </c>
      <c r="G837" t="s">
        <v>12</v>
      </c>
      <c r="H837">
        <v>0</v>
      </c>
      <c r="I837">
        <v>114309.989807056</v>
      </c>
      <c r="J837">
        <v>0.78713425522158997</v>
      </c>
      <c r="K837" t="str">
        <f t="shared" si="104"/>
        <v>OK</v>
      </c>
      <c r="L837" t="str">
        <f t="shared" si="105"/>
        <v>OK</v>
      </c>
      <c r="M837" t="str">
        <f>IF(OR(B837&lt;$AE$20,B837&gt;$AF$20),"Outlier","OK")</f>
        <v>OK</v>
      </c>
      <c r="N837" t="str">
        <f>IF(OR(J837&lt;$AE$21,J837&gt;$AF$21),"Outlier","OK")</f>
        <v>OK</v>
      </c>
      <c r="O837" t="str">
        <f>IF(OR(C837&lt;0,C837&gt;1),"Outlier","OK")</f>
        <v>OK</v>
      </c>
      <c r="P837" t="str">
        <f>IF(OR(D837&lt;0,D837&gt;1),"Outlier","OK")</f>
        <v>OK</v>
      </c>
      <c r="Q837" t="str">
        <f t="shared" si="106"/>
        <v>60-80%</v>
      </c>
      <c r="R837" t="str">
        <f>IF(B837="","Missing","OK")</f>
        <v>OK</v>
      </c>
      <c r="S837" t="str">
        <f>IF(E837="","Missing","OK")</f>
        <v>OK</v>
      </c>
      <c r="T837" t="str">
        <f t="shared" si="107"/>
        <v>OK</v>
      </c>
      <c r="U837">
        <f>COUNTIF($A:$A,A837)</f>
        <v>1</v>
      </c>
      <c r="V837" t="str">
        <f t="shared" si="108"/>
        <v>OK</v>
      </c>
      <c r="W837" t="str">
        <f>IF(I837&gt;B837,"ERROR","OK")</f>
        <v>OK</v>
      </c>
      <c r="X837">
        <f>(B837-I837)/B837</f>
        <v>0.78713425522159042</v>
      </c>
      <c r="Y837" s="2">
        <f t="shared" si="109"/>
        <v>4.4408920985006262E-16</v>
      </c>
      <c r="Z837" s="2" t="str">
        <f t="shared" si="110"/>
        <v>OK</v>
      </c>
      <c r="AA837" t="str">
        <f t="shared" si="111"/>
        <v>Unique</v>
      </c>
    </row>
    <row r="838" spans="1:27" x14ac:dyDescent="0.3">
      <c r="A838">
        <v>837</v>
      </c>
      <c r="B838">
        <v>498039.01483155403</v>
      </c>
      <c r="C838">
        <v>0.43146383549620898</v>
      </c>
      <c r="D838">
        <v>5.2533368354503597E-2</v>
      </c>
      <c r="E838">
        <v>0.43245672836202698</v>
      </c>
      <c r="F838">
        <v>1</v>
      </c>
      <c r="G838" t="s">
        <v>12</v>
      </c>
      <c r="H838">
        <v>0</v>
      </c>
      <c r="I838">
        <v>215380.322950701</v>
      </c>
      <c r="J838">
        <v>0.56754327163797202</v>
      </c>
      <c r="K838" t="str">
        <f t="shared" si="104"/>
        <v>OK</v>
      </c>
      <c r="L838" t="str">
        <f t="shared" si="105"/>
        <v>OK</v>
      </c>
      <c r="M838" t="str">
        <f>IF(OR(B838&lt;$AE$20,B838&gt;$AF$20),"Outlier","OK")</f>
        <v>OK</v>
      </c>
      <c r="N838" t="str">
        <f>IF(OR(J838&lt;$AE$21,J838&gt;$AF$21),"Outlier","OK")</f>
        <v>OK</v>
      </c>
      <c r="O838" t="str">
        <f>IF(OR(C838&lt;0,C838&gt;1),"Outlier","OK")</f>
        <v>OK</v>
      </c>
      <c r="P838" t="str">
        <f>IF(OR(D838&lt;0,D838&gt;1),"Outlier","OK")</f>
        <v>OK</v>
      </c>
      <c r="Q838" t="str">
        <f t="shared" si="106"/>
        <v>40-60%</v>
      </c>
      <c r="R838" t="str">
        <f>IF(B838="","Missing","OK")</f>
        <v>OK</v>
      </c>
      <c r="S838" t="str">
        <f>IF(E838="","Missing","OK")</f>
        <v>OK</v>
      </c>
      <c r="T838" t="str">
        <f t="shared" si="107"/>
        <v>OK</v>
      </c>
      <c r="U838">
        <f>COUNTIF($A:$A,A838)</f>
        <v>1</v>
      </c>
      <c r="V838" t="str">
        <f t="shared" si="108"/>
        <v>OK</v>
      </c>
      <c r="W838" t="str">
        <f>IF(I838&gt;B838,"ERROR","OK")</f>
        <v>OK</v>
      </c>
      <c r="X838">
        <f>(B838-I838)/B838</f>
        <v>0.5675432716379728</v>
      </c>
      <c r="Y838" s="2">
        <f t="shared" si="109"/>
        <v>7.7715611723760958E-16</v>
      </c>
      <c r="Z838" s="2" t="str">
        <f t="shared" si="110"/>
        <v>OK</v>
      </c>
      <c r="AA838" t="str">
        <f t="shared" si="111"/>
        <v>Unique</v>
      </c>
    </row>
    <row r="839" spans="1:27" x14ac:dyDescent="0.3">
      <c r="A839">
        <v>838</v>
      </c>
      <c r="B839">
        <v>432875.56701828499</v>
      </c>
      <c r="C839">
        <v>0.89447910375845097</v>
      </c>
      <c r="D839">
        <v>-0.139265180237331</v>
      </c>
      <c r="E839">
        <v>0.27822491822456102</v>
      </c>
      <c r="F839">
        <v>1</v>
      </c>
      <c r="G839" t="s">
        <v>10</v>
      </c>
      <c r="H839">
        <v>1</v>
      </c>
      <c r="I839">
        <v>120436.76923507301</v>
      </c>
      <c r="J839">
        <v>0.72177508177543803</v>
      </c>
      <c r="K839" t="str">
        <f t="shared" si="104"/>
        <v>OK</v>
      </c>
      <c r="L839" t="str">
        <f t="shared" si="105"/>
        <v>OK</v>
      </c>
      <c r="M839" t="str">
        <f>IF(OR(B839&lt;$AE$20,B839&gt;$AF$20),"Outlier","OK")</f>
        <v>OK</v>
      </c>
      <c r="N839" t="str">
        <f>IF(OR(J839&lt;$AE$21,J839&gt;$AF$21),"Outlier","OK")</f>
        <v>OK</v>
      </c>
      <c r="O839" t="str">
        <f>IF(OR(C839&lt;0,C839&gt;1),"Outlier","OK")</f>
        <v>OK</v>
      </c>
      <c r="P839" t="str">
        <f>IF(OR(D839&lt;0,D839&gt;1),"Outlier","OK")</f>
        <v>Outlier</v>
      </c>
      <c r="Q839" t="str">
        <f t="shared" si="106"/>
        <v>60-80%</v>
      </c>
      <c r="R839" t="str">
        <f>IF(B839="","Missing","OK")</f>
        <v>OK</v>
      </c>
      <c r="S839" t="str">
        <f>IF(E839="","Missing","OK")</f>
        <v>OK</v>
      </c>
      <c r="T839" t="str">
        <f t="shared" si="107"/>
        <v>OK</v>
      </c>
      <c r="U839">
        <f>COUNTIF($A:$A,A839)</f>
        <v>1</v>
      </c>
      <c r="V839" t="str">
        <f t="shared" si="108"/>
        <v>OK</v>
      </c>
      <c r="W839" t="str">
        <f>IF(I839&gt;B839,"ERROR","OK")</f>
        <v>OK</v>
      </c>
      <c r="X839">
        <f>(B839-I839)/B839</f>
        <v>0.72177508177543859</v>
      </c>
      <c r="Y839" s="2">
        <f t="shared" si="109"/>
        <v>5.5511151231257827E-16</v>
      </c>
      <c r="Z839" s="2" t="str">
        <f t="shared" si="110"/>
        <v>OK</v>
      </c>
      <c r="AA839" t="str">
        <f t="shared" si="111"/>
        <v>Unique</v>
      </c>
    </row>
    <row r="840" spans="1:27" x14ac:dyDescent="0.3">
      <c r="A840">
        <v>839</v>
      </c>
      <c r="B840">
        <v>1921804.1494603299</v>
      </c>
      <c r="C840">
        <v>0.48920225925281302</v>
      </c>
      <c r="D840">
        <v>0.15607561548729801</v>
      </c>
      <c r="E840">
        <v>0.11530330855095899</v>
      </c>
      <c r="F840">
        <v>1</v>
      </c>
      <c r="G840" t="s">
        <v>13</v>
      </c>
      <c r="H840">
        <v>0</v>
      </c>
      <c r="I840">
        <v>221590.37681973801</v>
      </c>
      <c r="J840">
        <v>0.88469669144903995</v>
      </c>
      <c r="K840" t="str">
        <f t="shared" si="104"/>
        <v>OK</v>
      </c>
      <c r="L840" t="str">
        <f t="shared" si="105"/>
        <v>OK</v>
      </c>
      <c r="M840" t="str">
        <f>IF(OR(B840&lt;$AE$20,B840&gt;$AF$20),"Outlier","OK")</f>
        <v>OK</v>
      </c>
      <c r="N840" t="str">
        <f>IF(OR(J840&lt;$AE$21,J840&gt;$AF$21),"Outlier","OK")</f>
        <v>OK</v>
      </c>
      <c r="O840" t="str">
        <f>IF(OR(C840&lt;0,C840&gt;1),"Outlier","OK")</f>
        <v>OK</v>
      </c>
      <c r="P840" t="str">
        <f>IF(OR(D840&lt;0,D840&gt;1),"Outlier","OK")</f>
        <v>OK</v>
      </c>
      <c r="Q840" t="str">
        <f t="shared" si="106"/>
        <v>80-100%</v>
      </c>
      <c r="R840" t="str">
        <f>IF(B840="","Missing","OK")</f>
        <v>OK</v>
      </c>
      <c r="S840" t="str">
        <f>IF(E840="","Missing","OK")</f>
        <v>OK</v>
      </c>
      <c r="T840" t="str">
        <f t="shared" si="107"/>
        <v>OK</v>
      </c>
      <c r="U840">
        <f>COUNTIF($A:$A,A840)</f>
        <v>1</v>
      </c>
      <c r="V840" t="str">
        <f t="shared" si="108"/>
        <v>OK</v>
      </c>
      <c r="W840" t="str">
        <f>IF(I840&gt;B840,"ERROR","OK")</f>
        <v>OK</v>
      </c>
      <c r="X840">
        <f>(B840-I840)/B840</f>
        <v>0.88469669144904084</v>
      </c>
      <c r="Y840" s="2">
        <f t="shared" si="109"/>
        <v>8.8817841970012523E-16</v>
      </c>
      <c r="Z840" s="2" t="str">
        <f t="shared" si="110"/>
        <v>OK</v>
      </c>
      <c r="AA840" t="str">
        <f t="shared" si="111"/>
        <v>Unique</v>
      </c>
    </row>
    <row r="841" spans="1:27" x14ac:dyDescent="0.3">
      <c r="A841">
        <v>840</v>
      </c>
      <c r="B841">
        <v>1011181.7688562101</v>
      </c>
      <c r="C841">
        <v>0.53768214879655196</v>
      </c>
      <c r="D841">
        <v>-7.3212942858665794E-2</v>
      </c>
      <c r="E841">
        <v>7.9978000426821197E-2</v>
      </c>
      <c r="F841">
        <v>1</v>
      </c>
      <c r="G841" t="s">
        <v>12</v>
      </c>
      <c r="H841">
        <v>1</v>
      </c>
      <c r="I841">
        <v>80872.295941176504</v>
      </c>
      <c r="J841">
        <v>0.92002199957317798</v>
      </c>
      <c r="K841" t="str">
        <f t="shared" si="104"/>
        <v>OK</v>
      </c>
      <c r="L841" t="str">
        <f t="shared" si="105"/>
        <v>OK</v>
      </c>
      <c r="M841" t="str">
        <f>IF(OR(B841&lt;$AE$20,B841&gt;$AF$20),"Outlier","OK")</f>
        <v>OK</v>
      </c>
      <c r="N841" t="str">
        <f>IF(OR(J841&lt;$AE$21,J841&gt;$AF$21),"Outlier","OK")</f>
        <v>OK</v>
      </c>
      <c r="O841" t="str">
        <f>IF(OR(C841&lt;0,C841&gt;1),"Outlier","OK")</f>
        <v>OK</v>
      </c>
      <c r="P841" t="str">
        <f>IF(OR(D841&lt;0,D841&gt;1),"Outlier","OK")</f>
        <v>Outlier</v>
      </c>
      <c r="Q841" t="str">
        <f t="shared" si="106"/>
        <v>80-100%</v>
      </c>
      <c r="R841" t="str">
        <f>IF(B841="","Missing","OK")</f>
        <v>OK</v>
      </c>
      <c r="S841" t="str">
        <f>IF(E841="","Missing","OK")</f>
        <v>OK</v>
      </c>
      <c r="T841" t="str">
        <f t="shared" si="107"/>
        <v>OK</v>
      </c>
      <c r="U841">
        <f>COUNTIF($A:$A,A841)</f>
        <v>1</v>
      </c>
      <c r="V841" t="str">
        <f t="shared" si="108"/>
        <v>OK</v>
      </c>
      <c r="W841" t="str">
        <f>IF(I841&gt;B841,"ERROR","OK")</f>
        <v>OK</v>
      </c>
      <c r="X841">
        <f>(B841-I841)/B841</f>
        <v>0.9200219995731781</v>
      </c>
      <c r="Y841" s="2">
        <f t="shared" si="109"/>
        <v>1.1102230246251565E-16</v>
      </c>
      <c r="Z841" s="2" t="str">
        <f t="shared" si="110"/>
        <v>OK</v>
      </c>
      <c r="AA841" t="str">
        <f t="shared" si="111"/>
        <v>Unique</v>
      </c>
    </row>
    <row r="842" spans="1:27" x14ac:dyDescent="0.3">
      <c r="A842">
        <v>841</v>
      </c>
      <c r="B842">
        <v>1515649.1775867301</v>
      </c>
      <c r="C842">
        <v>0.89417136955811505</v>
      </c>
      <c r="D842">
        <v>3.6371375510171097E-2</v>
      </c>
      <c r="E842">
        <v>0.47333116656781898</v>
      </c>
      <c r="F842">
        <v>1</v>
      </c>
      <c r="G842" t="s">
        <v>13</v>
      </c>
      <c r="H842">
        <v>0</v>
      </c>
      <c r="I842">
        <v>717403.99333468603</v>
      </c>
      <c r="J842">
        <v>0.52666883343217996</v>
      </c>
      <c r="K842" t="str">
        <f t="shared" si="104"/>
        <v>OK</v>
      </c>
      <c r="L842" t="str">
        <f t="shared" si="105"/>
        <v>OK</v>
      </c>
      <c r="M842" t="str">
        <f>IF(OR(B842&lt;$AE$20,B842&gt;$AF$20),"Outlier","OK")</f>
        <v>OK</v>
      </c>
      <c r="N842" t="str">
        <f>IF(OR(J842&lt;$AE$21,J842&gt;$AF$21),"Outlier","OK")</f>
        <v>OK</v>
      </c>
      <c r="O842" t="str">
        <f>IF(OR(C842&lt;0,C842&gt;1),"Outlier","OK")</f>
        <v>OK</v>
      </c>
      <c r="P842" t="str">
        <f>IF(OR(D842&lt;0,D842&gt;1),"Outlier","OK")</f>
        <v>OK</v>
      </c>
      <c r="Q842" t="str">
        <f t="shared" si="106"/>
        <v>40-60%</v>
      </c>
      <c r="R842" t="str">
        <f>IF(B842="","Missing","OK")</f>
        <v>OK</v>
      </c>
      <c r="S842" t="str">
        <f>IF(E842="","Missing","OK")</f>
        <v>OK</v>
      </c>
      <c r="T842" t="str">
        <f t="shared" si="107"/>
        <v>OK</v>
      </c>
      <c r="U842">
        <f>COUNTIF($A:$A,A842)</f>
        <v>1</v>
      </c>
      <c r="V842" t="str">
        <f t="shared" si="108"/>
        <v>OK</v>
      </c>
      <c r="W842" t="str">
        <f>IF(I842&gt;B842,"ERROR","OK")</f>
        <v>OK</v>
      </c>
      <c r="X842">
        <f>(B842-I842)/B842</f>
        <v>0.52666883343217863</v>
      </c>
      <c r="Y842" s="2">
        <f t="shared" si="109"/>
        <v>1.3322676295501878E-15</v>
      </c>
      <c r="Z842" s="2" t="str">
        <f t="shared" si="110"/>
        <v>OK</v>
      </c>
      <c r="AA842" t="str">
        <f t="shared" si="111"/>
        <v>Unique</v>
      </c>
    </row>
    <row r="843" spans="1:27" x14ac:dyDescent="0.3">
      <c r="A843">
        <v>842</v>
      </c>
      <c r="B843">
        <v>974284.16859479004</v>
      </c>
      <c r="C843">
        <v>0.43404060590457599</v>
      </c>
      <c r="D843">
        <v>-0.18000809430290399</v>
      </c>
      <c r="E843">
        <v>0.30212704068982099</v>
      </c>
      <c r="F843">
        <v>1</v>
      </c>
      <c r="G843" t="s">
        <v>10</v>
      </c>
      <c r="H843">
        <v>0</v>
      </c>
      <c r="I843">
        <v>294357.59264848602</v>
      </c>
      <c r="J843">
        <v>0.69787295931017801</v>
      </c>
      <c r="K843" t="str">
        <f t="shared" si="104"/>
        <v>OK</v>
      </c>
      <c r="L843" t="str">
        <f t="shared" si="105"/>
        <v>OK</v>
      </c>
      <c r="M843" t="str">
        <f>IF(OR(B843&lt;$AE$20,B843&gt;$AF$20),"Outlier","OK")</f>
        <v>OK</v>
      </c>
      <c r="N843" t="str">
        <f>IF(OR(J843&lt;$AE$21,J843&gt;$AF$21),"Outlier","OK")</f>
        <v>OK</v>
      </c>
      <c r="O843" t="str">
        <f>IF(OR(C843&lt;0,C843&gt;1),"Outlier","OK")</f>
        <v>OK</v>
      </c>
      <c r="P843" t="str">
        <f>IF(OR(D843&lt;0,D843&gt;1),"Outlier","OK")</f>
        <v>Outlier</v>
      </c>
      <c r="Q843" t="str">
        <f t="shared" si="106"/>
        <v>60-80%</v>
      </c>
      <c r="R843" t="str">
        <f>IF(B843="","Missing","OK")</f>
        <v>OK</v>
      </c>
      <c r="S843" t="str">
        <f>IF(E843="","Missing","OK")</f>
        <v>OK</v>
      </c>
      <c r="T843" t="str">
        <f t="shared" si="107"/>
        <v>OK</v>
      </c>
      <c r="U843">
        <f>COUNTIF($A:$A,A843)</f>
        <v>1</v>
      </c>
      <c r="V843" t="str">
        <f t="shared" si="108"/>
        <v>OK</v>
      </c>
      <c r="W843" t="str">
        <f>IF(I843&gt;B843,"ERROR","OK")</f>
        <v>OK</v>
      </c>
      <c r="X843">
        <f>(B843-I843)/B843</f>
        <v>0.69787295931017956</v>
      </c>
      <c r="Y843" s="2">
        <f t="shared" si="109"/>
        <v>1.5543122344752192E-15</v>
      </c>
      <c r="Z843" s="2" t="str">
        <f t="shared" si="110"/>
        <v>OK</v>
      </c>
      <c r="AA843" t="str">
        <f t="shared" si="111"/>
        <v>Unique</v>
      </c>
    </row>
    <row r="844" spans="1:27" x14ac:dyDescent="0.3">
      <c r="A844">
        <v>843</v>
      </c>
      <c r="B844">
        <v>1195703.3121308701</v>
      </c>
      <c r="C844">
        <v>0.61672568124914895</v>
      </c>
      <c r="D844">
        <v>0.169422139020935</v>
      </c>
      <c r="E844">
        <v>0.46246669617428399</v>
      </c>
      <c r="F844">
        <v>1</v>
      </c>
      <c r="G844" t="s">
        <v>12</v>
      </c>
      <c r="H844">
        <v>1</v>
      </c>
      <c r="I844">
        <v>552972.96036581602</v>
      </c>
      <c r="J844">
        <v>0.53753330382571496</v>
      </c>
      <c r="K844" t="str">
        <f t="shared" si="104"/>
        <v>OK</v>
      </c>
      <c r="L844" t="str">
        <f t="shared" si="105"/>
        <v>OK</v>
      </c>
      <c r="M844" t="str">
        <f>IF(OR(B844&lt;$AE$20,B844&gt;$AF$20),"Outlier","OK")</f>
        <v>OK</v>
      </c>
      <c r="N844" t="str">
        <f>IF(OR(J844&lt;$AE$21,J844&gt;$AF$21),"Outlier","OK")</f>
        <v>OK</v>
      </c>
      <c r="O844" t="str">
        <f>IF(OR(C844&lt;0,C844&gt;1),"Outlier","OK")</f>
        <v>OK</v>
      </c>
      <c r="P844" t="str">
        <f>IF(OR(D844&lt;0,D844&gt;1),"Outlier","OK")</f>
        <v>OK</v>
      </c>
      <c r="Q844" t="str">
        <f t="shared" si="106"/>
        <v>40-60%</v>
      </c>
      <c r="R844" t="str">
        <f>IF(B844="","Missing","OK")</f>
        <v>OK</v>
      </c>
      <c r="S844" t="str">
        <f>IF(E844="","Missing","OK")</f>
        <v>OK</v>
      </c>
      <c r="T844" t="str">
        <f t="shared" si="107"/>
        <v>OK</v>
      </c>
      <c r="U844">
        <f>COUNTIF($A:$A,A844)</f>
        <v>1</v>
      </c>
      <c r="V844" t="str">
        <f t="shared" si="108"/>
        <v>OK</v>
      </c>
      <c r="W844" t="str">
        <f>IF(I844&gt;B844,"ERROR","OK")</f>
        <v>OK</v>
      </c>
      <c r="X844">
        <f>(B844-I844)/B844</f>
        <v>0.53753330382571274</v>
      </c>
      <c r="Y844" s="2">
        <f t="shared" si="109"/>
        <v>2.2204460492503131E-15</v>
      </c>
      <c r="Z844" s="2" t="str">
        <f t="shared" si="110"/>
        <v>OK</v>
      </c>
      <c r="AA844" t="str">
        <f t="shared" si="111"/>
        <v>Unique</v>
      </c>
    </row>
    <row r="845" spans="1:27" x14ac:dyDescent="0.3">
      <c r="A845">
        <v>844</v>
      </c>
      <c r="B845">
        <v>1189071.01321519</v>
      </c>
      <c r="C845">
        <v>0.17596363338270599</v>
      </c>
      <c r="D845">
        <v>8.1983642963505604E-2</v>
      </c>
      <c r="E845">
        <v>0.39131518496941198</v>
      </c>
      <c r="F845">
        <v>1</v>
      </c>
      <c r="G845" t="s">
        <v>13</v>
      </c>
      <c r="H845">
        <v>1</v>
      </c>
      <c r="I845">
        <v>465301.54347807099</v>
      </c>
      <c r="J845">
        <v>0.60868481503058702</v>
      </c>
      <c r="K845" t="str">
        <f t="shared" si="104"/>
        <v>OK</v>
      </c>
      <c r="L845" t="str">
        <f t="shared" si="105"/>
        <v>OK</v>
      </c>
      <c r="M845" t="str">
        <f>IF(OR(B845&lt;$AE$20,B845&gt;$AF$20),"Outlier","OK")</f>
        <v>OK</v>
      </c>
      <c r="N845" t="str">
        <f>IF(OR(J845&lt;$AE$21,J845&gt;$AF$21),"Outlier","OK")</f>
        <v>OK</v>
      </c>
      <c r="O845" t="str">
        <f>IF(OR(C845&lt;0,C845&gt;1),"Outlier","OK")</f>
        <v>OK</v>
      </c>
      <c r="P845" t="str">
        <f>IF(OR(D845&lt;0,D845&gt;1),"Outlier","OK")</f>
        <v>OK</v>
      </c>
      <c r="Q845" t="str">
        <f t="shared" si="106"/>
        <v>60-80%</v>
      </c>
      <c r="R845" t="str">
        <f>IF(B845="","Missing","OK")</f>
        <v>OK</v>
      </c>
      <c r="S845" t="str">
        <f>IF(E845="","Missing","OK")</f>
        <v>OK</v>
      </c>
      <c r="T845" t="str">
        <f t="shared" si="107"/>
        <v>OK</v>
      </c>
      <c r="U845">
        <f>COUNTIF($A:$A,A845)</f>
        <v>1</v>
      </c>
      <c r="V845" t="str">
        <f t="shared" si="108"/>
        <v>OK</v>
      </c>
      <c r="W845" t="str">
        <f>IF(I845&gt;B845,"ERROR","OK")</f>
        <v>OK</v>
      </c>
      <c r="X845">
        <f>(B845-I845)/B845</f>
        <v>0.60868481503058569</v>
      </c>
      <c r="Y845" s="2">
        <f t="shared" si="109"/>
        <v>1.3322676295501878E-15</v>
      </c>
      <c r="Z845" s="2" t="str">
        <f t="shared" si="110"/>
        <v>OK</v>
      </c>
      <c r="AA845" t="str">
        <f t="shared" si="111"/>
        <v>Unique</v>
      </c>
    </row>
    <row r="846" spans="1:27" x14ac:dyDescent="0.3">
      <c r="A846">
        <v>845</v>
      </c>
      <c r="B846">
        <v>1960778.3004389</v>
      </c>
      <c r="C846">
        <v>0.38031367084177098</v>
      </c>
      <c r="D846">
        <v>3.2344254671694599E-2</v>
      </c>
      <c r="E846">
        <v>0.401999720011332</v>
      </c>
      <c r="F846">
        <v>1</v>
      </c>
      <c r="G846" t="s">
        <v>11</v>
      </c>
      <c r="H846">
        <v>1</v>
      </c>
      <c r="I846">
        <v>788232.32778073498</v>
      </c>
      <c r="J846">
        <v>0.598000279988668</v>
      </c>
      <c r="K846" t="str">
        <f t="shared" si="104"/>
        <v>OK</v>
      </c>
      <c r="L846" t="str">
        <f t="shared" si="105"/>
        <v>OK</v>
      </c>
      <c r="M846" t="str">
        <f>IF(OR(B846&lt;$AE$20,B846&gt;$AF$20),"Outlier","OK")</f>
        <v>OK</v>
      </c>
      <c r="N846" t="str">
        <f>IF(OR(J846&lt;$AE$21,J846&gt;$AF$21),"Outlier","OK")</f>
        <v>OK</v>
      </c>
      <c r="O846" t="str">
        <f>IF(OR(C846&lt;0,C846&gt;1),"Outlier","OK")</f>
        <v>OK</v>
      </c>
      <c r="P846" t="str">
        <f>IF(OR(D846&lt;0,D846&gt;1),"Outlier","OK")</f>
        <v>OK</v>
      </c>
      <c r="Q846" t="str">
        <f t="shared" si="106"/>
        <v>40-60%</v>
      </c>
      <c r="R846" t="str">
        <f>IF(B846="","Missing","OK")</f>
        <v>OK</v>
      </c>
      <c r="S846" t="str">
        <f>IF(E846="","Missing","OK")</f>
        <v>OK</v>
      </c>
      <c r="T846" t="str">
        <f t="shared" si="107"/>
        <v>OK</v>
      </c>
      <c r="U846">
        <f>COUNTIF($A:$A,A846)</f>
        <v>1</v>
      </c>
      <c r="V846" t="str">
        <f t="shared" si="108"/>
        <v>OK</v>
      </c>
      <c r="W846" t="str">
        <f>IF(I846&gt;B846,"ERROR","OK")</f>
        <v>OK</v>
      </c>
      <c r="X846">
        <f>(B846-I846)/B846</f>
        <v>0.59800027998866712</v>
      </c>
      <c r="Y846" s="2">
        <f t="shared" si="109"/>
        <v>8.8817841970012523E-16</v>
      </c>
      <c r="Z846" s="2" t="str">
        <f t="shared" si="110"/>
        <v>OK</v>
      </c>
      <c r="AA846" t="str">
        <f t="shared" si="111"/>
        <v>Unique</v>
      </c>
    </row>
    <row r="847" spans="1:27" x14ac:dyDescent="0.3">
      <c r="A847">
        <v>846</v>
      </c>
      <c r="B847">
        <v>1353444.59214928</v>
      </c>
      <c r="C847">
        <v>0.29303974348485401</v>
      </c>
      <c r="D847">
        <v>-1.95396187391653E-2</v>
      </c>
      <c r="E847">
        <v>0.47559408212894999</v>
      </c>
      <c r="F847">
        <v>1</v>
      </c>
      <c r="G847" t="s">
        <v>10</v>
      </c>
      <c r="H847">
        <v>1</v>
      </c>
      <c r="I847">
        <v>643690.23851563199</v>
      </c>
      <c r="J847">
        <v>0.52440591787104895</v>
      </c>
      <c r="K847" t="str">
        <f t="shared" si="104"/>
        <v>OK</v>
      </c>
      <c r="L847" t="str">
        <f t="shared" si="105"/>
        <v>OK</v>
      </c>
      <c r="M847" t="str">
        <f>IF(OR(B847&lt;$AE$20,B847&gt;$AF$20),"Outlier","OK")</f>
        <v>OK</v>
      </c>
      <c r="N847" t="str">
        <f>IF(OR(J847&lt;$AE$21,J847&gt;$AF$21),"Outlier","OK")</f>
        <v>OK</v>
      </c>
      <c r="O847" t="str">
        <f>IF(OR(C847&lt;0,C847&gt;1),"Outlier","OK")</f>
        <v>OK</v>
      </c>
      <c r="P847" t="str">
        <f>IF(OR(D847&lt;0,D847&gt;1),"Outlier","OK")</f>
        <v>Outlier</v>
      </c>
      <c r="Q847" t="str">
        <f t="shared" si="106"/>
        <v>40-60%</v>
      </c>
      <c r="R847" t="str">
        <f>IF(B847="","Missing","OK")</f>
        <v>OK</v>
      </c>
      <c r="S847" t="str">
        <f>IF(E847="","Missing","OK")</f>
        <v>OK</v>
      </c>
      <c r="T847" t="str">
        <f t="shared" si="107"/>
        <v>OK</v>
      </c>
      <c r="U847">
        <f>COUNTIF($A:$A,A847)</f>
        <v>1</v>
      </c>
      <c r="V847" t="str">
        <f t="shared" si="108"/>
        <v>OK</v>
      </c>
      <c r="W847" t="str">
        <f>IF(I847&gt;B847,"ERROR","OK")</f>
        <v>OK</v>
      </c>
      <c r="X847">
        <f>(B847-I847)/B847</f>
        <v>0.52440591787104696</v>
      </c>
      <c r="Y847" s="2">
        <f t="shared" si="109"/>
        <v>1.9984014443252818E-15</v>
      </c>
      <c r="Z847" s="2" t="str">
        <f t="shared" si="110"/>
        <v>OK</v>
      </c>
      <c r="AA847" t="str">
        <f t="shared" si="111"/>
        <v>Unique</v>
      </c>
    </row>
    <row r="848" spans="1:27" x14ac:dyDescent="0.3">
      <c r="A848">
        <v>847</v>
      </c>
      <c r="B848">
        <v>517550.469564308</v>
      </c>
      <c r="C848">
        <v>0.57864357408864897</v>
      </c>
      <c r="D848">
        <v>0.18977794332438699</v>
      </c>
      <c r="E848">
        <v>0.23373493676048199</v>
      </c>
      <c r="F848">
        <v>1</v>
      </c>
      <c r="G848" t="s">
        <v>11</v>
      </c>
      <c r="H848">
        <v>1</v>
      </c>
      <c r="I848">
        <v>120969.62627397099</v>
      </c>
      <c r="J848">
        <v>0.76626506323951704</v>
      </c>
      <c r="K848" t="str">
        <f t="shared" si="104"/>
        <v>OK</v>
      </c>
      <c r="L848" t="str">
        <f t="shared" si="105"/>
        <v>OK</v>
      </c>
      <c r="M848" t="str">
        <f>IF(OR(B848&lt;$AE$20,B848&gt;$AF$20),"Outlier","OK")</f>
        <v>OK</v>
      </c>
      <c r="N848" t="str">
        <f>IF(OR(J848&lt;$AE$21,J848&gt;$AF$21),"Outlier","OK")</f>
        <v>OK</v>
      </c>
      <c r="O848" t="str">
        <f>IF(OR(C848&lt;0,C848&gt;1),"Outlier","OK")</f>
        <v>OK</v>
      </c>
      <c r="P848" t="str">
        <f>IF(OR(D848&lt;0,D848&gt;1),"Outlier","OK")</f>
        <v>OK</v>
      </c>
      <c r="Q848" t="str">
        <f t="shared" si="106"/>
        <v>60-80%</v>
      </c>
      <c r="R848" t="str">
        <f>IF(B848="","Missing","OK")</f>
        <v>OK</v>
      </c>
      <c r="S848" t="str">
        <f>IF(E848="","Missing","OK")</f>
        <v>OK</v>
      </c>
      <c r="T848" t="str">
        <f t="shared" si="107"/>
        <v>OK</v>
      </c>
      <c r="U848">
        <f>COUNTIF($A:$A,A848)</f>
        <v>1</v>
      </c>
      <c r="V848" t="str">
        <f t="shared" si="108"/>
        <v>OK</v>
      </c>
      <c r="W848" t="str">
        <f>IF(I848&gt;B848,"ERROR","OK")</f>
        <v>OK</v>
      </c>
      <c r="X848">
        <f>(B848-I848)/B848</f>
        <v>0.7662650632395186</v>
      </c>
      <c r="Y848" s="2">
        <f t="shared" si="109"/>
        <v>1.5543122344752192E-15</v>
      </c>
      <c r="Z848" s="2" t="str">
        <f t="shared" si="110"/>
        <v>OK</v>
      </c>
      <c r="AA848" t="str">
        <f t="shared" si="111"/>
        <v>Unique</v>
      </c>
    </row>
    <row r="849" spans="1:27" x14ac:dyDescent="0.3">
      <c r="A849">
        <v>848</v>
      </c>
      <c r="B849">
        <v>79635.435369361003</v>
      </c>
      <c r="C849">
        <v>0.24180007626385</v>
      </c>
      <c r="D849">
        <v>0.13336796852427599</v>
      </c>
      <c r="E849">
        <v>0.18517133611950001</v>
      </c>
      <c r="F849">
        <v>1</v>
      </c>
      <c r="G849" t="s">
        <v>13</v>
      </c>
      <c r="H849">
        <v>0</v>
      </c>
      <c r="I849">
        <v>14746.199969802599</v>
      </c>
      <c r="J849">
        <v>0.81482866388049902</v>
      </c>
      <c r="K849" t="str">
        <f t="shared" si="104"/>
        <v>OK</v>
      </c>
      <c r="L849" t="str">
        <f t="shared" si="105"/>
        <v>OK</v>
      </c>
      <c r="M849" t="str">
        <f>IF(OR(B849&lt;$AE$20,B849&gt;$AF$20),"Outlier","OK")</f>
        <v>OK</v>
      </c>
      <c r="N849" t="str">
        <f>IF(OR(J849&lt;$AE$21,J849&gt;$AF$21),"Outlier","OK")</f>
        <v>OK</v>
      </c>
      <c r="O849" t="str">
        <f>IF(OR(C849&lt;0,C849&gt;1),"Outlier","OK")</f>
        <v>OK</v>
      </c>
      <c r="P849" t="str">
        <f>IF(OR(D849&lt;0,D849&gt;1),"Outlier","OK")</f>
        <v>OK</v>
      </c>
      <c r="Q849" t="str">
        <f t="shared" si="106"/>
        <v>80-100%</v>
      </c>
      <c r="R849" t="str">
        <f>IF(B849="","Missing","OK")</f>
        <v>OK</v>
      </c>
      <c r="S849" t="str">
        <f>IF(E849="","Missing","OK")</f>
        <v>OK</v>
      </c>
      <c r="T849" t="str">
        <f t="shared" si="107"/>
        <v>OK</v>
      </c>
      <c r="U849">
        <f>COUNTIF($A:$A,A849)</f>
        <v>1</v>
      </c>
      <c r="V849" t="str">
        <f t="shared" si="108"/>
        <v>OK</v>
      </c>
      <c r="W849" t="str">
        <f>IF(I849&gt;B849,"ERROR","OK")</f>
        <v>OK</v>
      </c>
      <c r="X849">
        <f>(B849-I849)/B849</f>
        <v>0.81482866388050079</v>
      </c>
      <c r="Y849" s="2">
        <f t="shared" si="109"/>
        <v>1.7763568394002505E-15</v>
      </c>
      <c r="Z849" s="2" t="str">
        <f t="shared" si="110"/>
        <v>OK</v>
      </c>
      <c r="AA849" t="str">
        <f t="shared" si="111"/>
        <v>Unique</v>
      </c>
    </row>
    <row r="850" spans="1:27" x14ac:dyDescent="0.3">
      <c r="A850">
        <v>849</v>
      </c>
      <c r="B850">
        <v>476430.17236569</v>
      </c>
      <c r="C850">
        <v>0.56794310696287997</v>
      </c>
      <c r="D850">
        <v>0.136927157991653</v>
      </c>
      <c r="E850">
        <v>0.36801306104584602</v>
      </c>
      <c r="F850">
        <v>1</v>
      </c>
      <c r="G850" t="s">
        <v>11</v>
      </c>
      <c r="H850">
        <v>1</v>
      </c>
      <c r="I850">
        <v>175332.526106898</v>
      </c>
      <c r="J850">
        <v>0.63198693895415303</v>
      </c>
      <c r="K850" t="str">
        <f t="shared" si="104"/>
        <v>OK</v>
      </c>
      <c r="L850" t="str">
        <f t="shared" si="105"/>
        <v>OK</v>
      </c>
      <c r="M850" t="str">
        <f>IF(OR(B850&lt;$AE$20,B850&gt;$AF$20),"Outlier","OK")</f>
        <v>OK</v>
      </c>
      <c r="N850" t="str">
        <f>IF(OR(J850&lt;$AE$21,J850&gt;$AF$21),"Outlier","OK")</f>
        <v>OK</v>
      </c>
      <c r="O850" t="str">
        <f>IF(OR(C850&lt;0,C850&gt;1),"Outlier","OK")</f>
        <v>OK</v>
      </c>
      <c r="P850" t="str">
        <f>IF(OR(D850&lt;0,D850&gt;1),"Outlier","OK")</f>
        <v>OK</v>
      </c>
      <c r="Q850" t="str">
        <f t="shared" si="106"/>
        <v>60-80%</v>
      </c>
      <c r="R850" t="str">
        <f>IF(B850="","Missing","OK")</f>
        <v>OK</v>
      </c>
      <c r="S850" t="str">
        <f>IF(E850="","Missing","OK")</f>
        <v>OK</v>
      </c>
      <c r="T850" t="str">
        <f t="shared" si="107"/>
        <v>OK</v>
      </c>
      <c r="U850">
        <f>COUNTIF($A:$A,A850)</f>
        <v>1</v>
      </c>
      <c r="V850" t="str">
        <f t="shared" si="108"/>
        <v>OK</v>
      </c>
      <c r="W850" t="str">
        <f>IF(I850&gt;B850,"ERROR","OK")</f>
        <v>OK</v>
      </c>
      <c r="X850">
        <f>(B850-I850)/B850</f>
        <v>0.63198693895415325</v>
      </c>
      <c r="Y850" s="2">
        <f t="shared" si="109"/>
        <v>2.2204460492503131E-16</v>
      </c>
      <c r="Z850" s="2" t="str">
        <f t="shared" si="110"/>
        <v>OK</v>
      </c>
      <c r="AA850" t="str">
        <f t="shared" si="111"/>
        <v>Unique</v>
      </c>
    </row>
    <row r="851" spans="1:27" x14ac:dyDescent="0.3">
      <c r="A851">
        <v>850</v>
      </c>
      <c r="B851">
        <v>938263.30248101498</v>
      </c>
      <c r="C851">
        <v>0.76930676207918502</v>
      </c>
      <c r="D851">
        <v>-0.19923232600891799</v>
      </c>
      <c r="E851">
        <v>0.42079627463799302</v>
      </c>
      <c r="F851">
        <v>1</v>
      </c>
      <c r="G851" t="s">
        <v>12</v>
      </c>
      <c r="H851">
        <v>0</v>
      </c>
      <c r="I851">
        <v>394817.70231355098</v>
      </c>
      <c r="J851">
        <v>0.57920372536200604</v>
      </c>
      <c r="K851" t="str">
        <f t="shared" si="104"/>
        <v>OK</v>
      </c>
      <c r="L851" t="str">
        <f t="shared" si="105"/>
        <v>OK</v>
      </c>
      <c r="M851" t="str">
        <f>IF(OR(B851&lt;$AE$20,B851&gt;$AF$20),"Outlier","OK")</f>
        <v>OK</v>
      </c>
      <c r="N851" t="str">
        <f>IF(OR(J851&lt;$AE$21,J851&gt;$AF$21),"Outlier","OK")</f>
        <v>OK</v>
      </c>
      <c r="O851" t="str">
        <f>IF(OR(C851&lt;0,C851&gt;1),"Outlier","OK")</f>
        <v>OK</v>
      </c>
      <c r="P851" t="str">
        <f>IF(OR(D851&lt;0,D851&gt;1),"Outlier","OK")</f>
        <v>Outlier</v>
      </c>
      <c r="Q851" t="str">
        <f t="shared" si="106"/>
        <v>40-60%</v>
      </c>
      <c r="R851" t="str">
        <f>IF(B851="","Missing","OK")</f>
        <v>OK</v>
      </c>
      <c r="S851" t="str">
        <f>IF(E851="","Missing","OK")</f>
        <v>OK</v>
      </c>
      <c r="T851" t="str">
        <f t="shared" si="107"/>
        <v>OK</v>
      </c>
      <c r="U851">
        <f>COUNTIF($A:$A,A851)</f>
        <v>1</v>
      </c>
      <c r="V851" t="str">
        <f t="shared" si="108"/>
        <v>OK</v>
      </c>
      <c r="W851" t="str">
        <f>IF(I851&gt;B851,"ERROR","OK")</f>
        <v>OK</v>
      </c>
      <c r="X851">
        <f>(B851-I851)/B851</f>
        <v>0.57920372536200748</v>
      </c>
      <c r="Y851" s="2">
        <f t="shared" si="109"/>
        <v>1.4432899320127035E-15</v>
      </c>
      <c r="Z851" s="2" t="str">
        <f t="shared" si="110"/>
        <v>OK</v>
      </c>
      <c r="AA851" t="str">
        <f t="shared" si="111"/>
        <v>Unique</v>
      </c>
    </row>
    <row r="852" spans="1:27" x14ac:dyDescent="0.3">
      <c r="A852">
        <v>851</v>
      </c>
      <c r="B852">
        <v>817169.65661663702</v>
      </c>
      <c r="C852">
        <v>0.40420550173893199</v>
      </c>
      <c r="D852">
        <v>-0.16648394710126799</v>
      </c>
      <c r="E852">
        <v>0.26781075282507999</v>
      </c>
      <c r="F852">
        <v>1</v>
      </c>
      <c r="G852" t="s">
        <v>10</v>
      </c>
      <c r="H852">
        <v>0</v>
      </c>
      <c r="I852">
        <v>218846.820924314</v>
      </c>
      <c r="J852">
        <v>0.73218924717491896</v>
      </c>
      <c r="K852" t="str">
        <f t="shared" si="104"/>
        <v>OK</v>
      </c>
      <c r="L852" t="str">
        <f t="shared" si="105"/>
        <v>OK</v>
      </c>
      <c r="M852" t="str">
        <f>IF(OR(B852&lt;$AE$20,B852&gt;$AF$20),"Outlier","OK")</f>
        <v>OK</v>
      </c>
      <c r="N852" t="str">
        <f>IF(OR(J852&lt;$AE$21,J852&gt;$AF$21),"Outlier","OK")</f>
        <v>OK</v>
      </c>
      <c r="O852" t="str">
        <f>IF(OR(C852&lt;0,C852&gt;1),"Outlier","OK")</f>
        <v>OK</v>
      </c>
      <c r="P852" t="str">
        <f>IF(OR(D852&lt;0,D852&gt;1),"Outlier","OK")</f>
        <v>Outlier</v>
      </c>
      <c r="Q852" t="str">
        <f t="shared" si="106"/>
        <v>60-80%</v>
      </c>
      <c r="R852" t="str">
        <f>IF(B852="","Missing","OK")</f>
        <v>OK</v>
      </c>
      <c r="S852" t="str">
        <f>IF(E852="","Missing","OK")</f>
        <v>OK</v>
      </c>
      <c r="T852" t="str">
        <f t="shared" si="107"/>
        <v>OK</v>
      </c>
      <c r="U852">
        <f>COUNTIF($A:$A,A852)</f>
        <v>1</v>
      </c>
      <c r="V852" t="str">
        <f t="shared" si="108"/>
        <v>OK</v>
      </c>
      <c r="W852" t="str">
        <f>IF(I852&gt;B852,"ERROR","OK")</f>
        <v>OK</v>
      </c>
      <c r="X852">
        <f>(B852-I852)/B852</f>
        <v>0.73218924717491962</v>
      </c>
      <c r="Y852" s="2">
        <f t="shared" si="109"/>
        <v>6.6613381477509392E-16</v>
      </c>
      <c r="Z852" s="2" t="str">
        <f t="shared" si="110"/>
        <v>OK</v>
      </c>
      <c r="AA852" t="str">
        <f t="shared" si="111"/>
        <v>Unique</v>
      </c>
    </row>
    <row r="853" spans="1:27" x14ac:dyDescent="0.3">
      <c r="A853">
        <v>852</v>
      </c>
      <c r="B853">
        <v>1634036.16666688</v>
      </c>
      <c r="C853">
        <v>0.82901702349625905</v>
      </c>
      <c r="D853">
        <v>-2.03863121178414E-2</v>
      </c>
      <c r="E853">
        <v>0.415743232531748</v>
      </c>
      <c r="F853">
        <v>1</v>
      </c>
      <c r="G853" t="s">
        <v>12</v>
      </c>
      <c r="H853">
        <v>1</v>
      </c>
      <c r="I853">
        <v>679339.478003875</v>
      </c>
      <c r="J853">
        <v>0.58425676746825095</v>
      </c>
      <c r="K853" t="str">
        <f t="shared" si="104"/>
        <v>OK</v>
      </c>
      <c r="L853" t="str">
        <f t="shared" si="105"/>
        <v>OK</v>
      </c>
      <c r="M853" t="str">
        <f>IF(OR(B853&lt;$AE$20,B853&gt;$AF$20),"Outlier","OK")</f>
        <v>OK</v>
      </c>
      <c r="N853" t="str">
        <f>IF(OR(J853&lt;$AE$21,J853&gt;$AF$21),"Outlier","OK")</f>
        <v>OK</v>
      </c>
      <c r="O853" t="str">
        <f>IF(OR(C853&lt;0,C853&gt;1),"Outlier","OK")</f>
        <v>OK</v>
      </c>
      <c r="P853" t="str">
        <f>IF(OR(D853&lt;0,D853&gt;1),"Outlier","OK")</f>
        <v>Outlier</v>
      </c>
      <c r="Q853" t="str">
        <f t="shared" si="106"/>
        <v>40-60%</v>
      </c>
      <c r="R853" t="str">
        <f>IF(B853="","Missing","OK")</f>
        <v>OK</v>
      </c>
      <c r="S853" t="str">
        <f>IF(E853="","Missing","OK")</f>
        <v>OK</v>
      </c>
      <c r="T853" t="str">
        <f t="shared" si="107"/>
        <v>OK</v>
      </c>
      <c r="U853">
        <f>COUNTIF($A:$A,A853)</f>
        <v>1</v>
      </c>
      <c r="V853" t="str">
        <f t="shared" si="108"/>
        <v>OK</v>
      </c>
      <c r="W853" t="str">
        <f>IF(I853&gt;B853,"ERROR","OK")</f>
        <v>OK</v>
      </c>
      <c r="X853">
        <f>(B853-I853)/B853</f>
        <v>0.58425676746825195</v>
      </c>
      <c r="Y853" s="2">
        <f t="shared" si="109"/>
        <v>9.9920072216264089E-16</v>
      </c>
      <c r="Z853" s="2" t="str">
        <f t="shared" si="110"/>
        <v>OK</v>
      </c>
      <c r="AA853" t="str">
        <f t="shared" si="111"/>
        <v>Unique</v>
      </c>
    </row>
    <row r="854" spans="1:27" x14ac:dyDescent="0.3">
      <c r="A854">
        <v>853</v>
      </c>
      <c r="B854">
        <v>1581835.6722524399</v>
      </c>
      <c r="C854">
        <v>0.55186887873067003</v>
      </c>
      <c r="D854">
        <v>0.12778548092582201</v>
      </c>
      <c r="E854">
        <v>0.44063847406849599</v>
      </c>
      <c r="F854">
        <v>1</v>
      </c>
      <c r="G854" t="s">
        <v>11</v>
      </c>
      <c r="H854">
        <v>0</v>
      </c>
      <c r="I854">
        <v>697017.65684843005</v>
      </c>
      <c r="J854">
        <v>0.55936152593150301</v>
      </c>
      <c r="K854" t="str">
        <f t="shared" si="104"/>
        <v>OK</v>
      </c>
      <c r="L854" t="str">
        <f t="shared" si="105"/>
        <v>OK</v>
      </c>
      <c r="M854" t="str">
        <f>IF(OR(B854&lt;$AE$20,B854&gt;$AF$20),"Outlier","OK")</f>
        <v>OK</v>
      </c>
      <c r="N854" t="str">
        <f>IF(OR(J854&lt;$AE$21,J854&gt;$AF$21),"Outlier","OK")</f>
        <v>OK</v>
      </c>
      <c r="O854" t="str">
        <f>IF(OR(C854&lt;0,C854&gt;1),"Outlier","OK")</f>
        <v>OK</v>
      </c>
      <c r="P854" t="str">
        <f>IF(OR(D854&lt;0,D854&gt;1),"Outlier","OK")</f>
        <v>OK</v>
      </c>
      <c r="Q854" t="str">
        <f t="shared" si="106"/>
        <v>40-60%</v>
      </c>
      <c r="R854" t="str">
        <f>IF(B854="","Missing","OK")</f>
        <v>OK</v>
      </c>
      <c r="S854" t="str">
        <f>IF(E854="","Missing","OK")</f>
        <v>OK</v>
      </c>
      <c r="T854" t="str">
        <f t="shared" si="107"/>
        <v>OK</v>
      </c>
      <c r="U854">
        <f>COUNTIF($A:$A,A854)</f>
        <v>1</v>
      </c>
      <c r="V854" t="str">
        <f t="shared" si="108"/>
        <v>OK</v>
      </c>
      <c r="W854" t="str">
        <f>IF(I854&gt;B854,"ERROR","OK")</f>
        <v>OK</v>
      </c>
      <c r="X854">
        <f>(B854-I854)/B854</f>
        <v>0.55936152593150312</v>
      </c>
      <c r="Y854" s="2">
        <f t="shared" si="109"/>
        <v>1.1102230246251565E-16</v>
      </c>
      <c r="Z854" s="2" t="str">
        <f t="shared" si="110"/>
        <v>OK</v>
      </c>
      <c r="AA854" t="str">
        <f t="shared" si="111"/>
        <v>Unique</v>
      </c>
    </row>
    <row r="855" spans="1:27" x14ac:dyDescent="0.3">
      <c r="A855">
        <v>854</v>
      </c>
      <c r="B855">
        <v>223737.13743116101</v>
      </c>
      <c r="C855">
        <v>0.88012111027155004</v>
      </c>
      <c r="D855">
        <v>9.5474384498642401E-2</v>
      </c>
      <c r="E855">
        <v>0.206056228631709</v>
      </c>
      <c r="F855">
        <v>1</v>
      </c>
      <c r="G855" t="s">
        <v>11</v>
      </c>
      <c r="H855">
        <v>1</v>
      </c>
      <c r="I855">
        <v>46102.430743919504</v>
      </c>
      <c r="J855">
        <v>0.79394377136828997</v>
      </c>
      <c r="K855" t="str">
        <f t="shared" si="104"/>
        <v>OK</v>
      </c>
      <c r="L855" t="str">
        <f t="shared" si="105"/>
        <v>OK</v>
      </c>
      <c r="M855" t="str">
        <f>IF(OR(B855&lt;$AE$20,B855&gt;$AF$20),"Outlier","OK")</f>
        <v>OK</v>
      </c>
      <c r="N855" t="str">
        <f>IF(OR(J855&lt;$AE$21,J855&gt;$AF$21),"Outlier","OK")</f>
        <v>OK</v>
      </c>
      <c r="O855" t="str">
        <f>IF(OR(C855&lt;0,C855&gt;1),"Outlier","OK")</f>
        <v>OK</v>
      </c>
      <c r="P855" t="str">
        <f>IF(OR(D855&lt;0,D855&gt;1),"Outlier","OK")</f>
        <v>OK</v>
      </c>
      <c r="Q855" t="str">
        <f t="shared" si="106"/>
        <v>60-80%</v>
      </c>
      <c r="R855" t="str">
        <f>IF(B855="","Missing","OK")</f>
        <v>OK</v>
      </c>
      <c r="S855" t="str">
        <f>IF(E855="","Missing","OK")</f>
        <v>OK</v>
      </c>
      <c r="T855" t="str">
        <f t="shared" si="107"/>
        <v>OK</v>
      </c>
      <c r="U855">
        <f>COUNTIF($A:$A,A855)</f>
        <v>1</v>
      </c>
      <c r="V855" t="str">
        <f t="shared" si="108"/>
        <v>OK</v>
      </c>
      <c r="W855" t="str">
        <f>IF(I855&gt;B855,"ERROR","OK")</f>
        <v>OK</v>
      </c>
      <c r="X855">
        <f>(B855-I855)/B855</f>
        <v>0.79394377136829053</v>
      </c>
      <c r="Y855" s="2">
        <f t="shared" si="109"/>
        <v>5.5511151231257827E-16</v>
      </c>
      <c r="Z855" s="2" t="str">
        <f t="shared" si="110"/>
        <v>OK</v>
      </c>
      <c r="AA855" t="str">
        <f t="shared" si="111"/>
        <v>Unique</v>
      </c>
    </row>
    <row r="856" spans="1:27" x14ac:dyDescent="0.3">
      <c r="A856">
        <v>855</v>
      </c>
      <c r="B856">
        <v>1906420.91368992</v>
      </c>
      <c r="C856">
        <v>0.18107130403240701</v>
      </c>
      <c r="D856">
        <v>-0.12107445574074401</v>
      </c>
      <c r="E856">
        <v>0.43774656495888298</v>
      </c>
      <c r="F856">
        <v>1</v>
      </c>
      <c r="G856" t="s">
        <v>10</v>
      </c>
      <c r="H856">
        <v>0</v>
      </c>
      <c r="I856">
        <v>834529.20633354201</v>
      </c>
      <c r="J856">
        <v>0.56225343504111602</v>
      </c>
      <c r="K856" t="str">
        <f t="shared" si="104"/>
        <v>OK</v>
      </c>
      <c r="L856" t="str">
        <f t="shared" si="105"/>
        <v>OK</v>
      </c>
      <c r="M856" t="str">
        <f>IF(OR(B856&lt;$AE$20,B856&gt;$AF$20),"Outlier","OK")</f>
        <v>OK</v>
      </c>
      <c r="N856" t="str">
        <f>IF(OR(J856&lt;$AE$21,J856&gt;$AF$21),"Outlier","OK")</f>
        <v>OK</v>
      </c>
      <c r="O856" t="str">
        <f>IF(OR(C856&lt;0,C856&gt;1),"Outlier","OK")</f>
        <v>OK</v>
      </c>
      <c r="P856" t="str">
        <f>IF(OR(D856&lt;0,D856&gt;1),"Outlier","OK")</f>
        <v>Outlier</v>
      </c>
      <c r="Q856" t="str">
        <f t="shared" si="106"/>
        <v>40-60%</v>
      </c>
      <c r="R856" t="str">
        <f>IF(B856="","Missing","OK")</f>
        <v>OK</v>
      </c>
      <c r="S856" t="str">
        <f>IF(E856="","Missing","OK")</f>
        <v>OK</v>
      </c>
      <c r="T856" t="str">
        <f t="shared" si="107"/>
        <v>OK</v>
      </c>
      <c r="U856">
        <f>COUNTIF($A:$A,A856)</f>
        <v>1</v>
      </c>
      <c r="V856" t="str">
        <f t="shared" si="108"/>
        <v>OK</v>
      </c>
      <c r="W856" t="str">
        <f>IF(I856&gt;B856,"ERROR","OK")</f>
        <v>OK</v>
      </c>
      <c r="X856">
        <f>(B856-I856)/B856</f>
        <v>0.56225343504111469</v>
      </c>
      <c r="Y856" s="2">
        <f t="shared" si="109"/>
        <v>1.3322676295501878E-15</v>
      </c>
      <c r="Z856" s="2" t="str">
        <f t="shared" si="110"/>
        <v>OK</v>
      </c>
      <c r="AA856" t="str">
        <f t="shared" si="111"/>
        <v>Unique</v>
      </c>
    </row>
    <row r="857" spans="1:27" x14ac:dyDescent="0.3">
      <c r="A857">
        <v>856</v>
      </c>
      <c r="B857">
        <v>1078540.52089709</v>
      </c>
      <c r="C857">
        <v>0.818804306654206</v>
      </c>
      <c r="D857">
        <v>-0.14377314913834299</v>
      </c>
      <c r="E857">
        <v>9.0249304076388107E-2</v>
      </c>
      <c r="F857">
        <v>1</v>
      </c>
      <c r="G857" t="s">
        <v>13</v>
      </c>
      <c r="H857">
        <v>0</v>
      </c>
      <c r="I857">
        <v>97337.531429148294</v>
      </c>
      <c r="J857">
        <v>0.90975069592361102</v>
      </c>
      <c r="K857" t="str">
        <f t="shared" si="104"/>
        <v>OK</v>
      </c>
      <c r="L857" t="str">
        <f t="shared" si="105"/>
        <v>OK</v>
      </c>
      <c r="M857" t="str">
        <f>IF(OR(B857&lt;$AE$20,B857&gt;$AF$20),"Outlier","OK")</f>
        <v>OK</v>
      </c>
      <c r="N857" t="str">
        <f>IF(OR(J857&lt;$AE$21,J857&gt;$AF$21),"Outlier","OK")</f>
        <v>OK</v>
      </c>
      <c r="O857" t="str">
        <f>IF(OR(C857&lt;0,C857&gt;1),"Outlier","OK")</f>
        <v>OK</v>
      </c>
      <c r="P857" t="str">
        <f>IF(OR(D857&lt;0,D857&gt;1),"Outlier","OK")</f>
        <v>Outlier</v>
      </c>
      <c r="Q857" t="str">
        <f t="shared" si="106"/>
        <v>80-100%</v>
      </c>
      <c r="R857" t="str">
        <f>IF(B857="","Missing","OK")</f>
        <v>OK</v>
      </c>
      <c r="S857" t="str">
        <f>IF(E857="","Missing","OK")</f>
        <v>OK</v>
      </c>
      <c r="T857" t="str">
        <f t="shared" si="107"/>
        <v>OK</v>
      </c>
      <c r="U857">
        <f>COUNTIF($A:$A,A857)</f>
        <v>1</v>
      </c>
      <c r="V857" t="str">
        <f t="shared" si="108"/>
        <v>OK</v>
      </c>
      <c r="W857" t="str">
        <f>IF(I857&gt;B857,"ERROR","OK")</f>
        <v>OK</v>
      </c>
      <c r="X857">
        <f>(B857-I857)/B857</f>
        <v>0.90975069592361113</v>
      </c>
      <c r="Y857" s="2">
        <f t="shared" si="109"/>
        <v>1.1102230246251565E-16</v>
      </c>
      <c r="Z857" s="2" t="str">
        <f t="shared" si="110"/>
        <v>OK</v>
      </c>
      <c r="AA857" t="str">
        <f t="shared" si="111"/>
        <v>Unique</v>
      </c>
    </row>
    <row r="858" spans="1:27" x14ac:dyDescent="0.3">
      <c r="A858">
        <v>857</v>
      </c>
      <c r="B858">
        <v>1212987.72757663</v>
      </c>
      <c r="C858">
        <v>0.46036500745741299</v>
      </c>
      <c r="D858">
        <v>0.163599091234718</v>
      </c>
      <c r="E858">
        <v>0.17459944821002499</v>
      </c>
      <c r="F858">
        <v>1</v>
      </c>
      <c r="G858" t="s">
        <v>10</v>
      </c>
      <c r="H858">
        <v>0</v>
      </c>
      <c r="I858">
        <v>211786.987920413</v>
      </c>
      <c r="J858">
        <v>0.82540055178997396</v>
      </c>
      <c r="K858" t="str">
        <f t="shared" si="104"/>
        <v>OK</v>
      </c>
      <c r="L858" t="str">
        <f t="shared" si="105"/>
        <v>OK</v>
      </c>
      <c r="M858" t="str">
        <f>IF(OR(B858&lt;$AE$20,B858&gt;$AF$20),"Outlier","OK")</f>
        <v>OK</v>
      </c>
      <c r="N858" t="str">
        <f>IF(OR(J858&lt;$AE$21,J858&gt;$AF$21),"Outlier","OK")</f>
        <v>OK</v>
      </c>
      <c r="O858" t="str">
        <f>IF(OR(C858&lt;0,C858&gt;1),"Outlier","OK")</f>
        <v>OK</v>
      </c>
      <c r="P858" t="str">
        <f>IF(OR(D858&lt;0,D858&gt;1),"Outlier","OK")</f>
        <v>OK</v>
      </c>
      <c r="Q858" t="str">
        <f t="shared" si="106"/>
        <v>80-100%</v>
      </c>
      <c r="R858" t="str">
        <f>IF(B858="","Missing","OK")</f>
        <v>OK</v>
      </c>
      <c r="S858" t="str">
        <f>IF(E858="","Missing","OK")</f>
        <v>OK</v>
      </c>
      <c r="T858" t="str">
        <f t="shared" si="107"/>
        <v>OK</v>
      </c>
      <c r="U858">
        <f>COUNTIF($A:$A,A858)</f>
        <v>1</v>
      </c>
      <c r="V858" t="str">
        <f t="shared" si="108"/>
        <v>OK</v>
      </c>
      <c r="W858" t="str">
        <f>IF(I858&gt;B858,"ERROR","OK")</f>
        <v>OK</v>
      </c>
      <c r="X858">
        <f>(B858-I858)/B858</f>
        <v>0.82540055178997396</v>
      </c>
      <c r="Y858" s="2">
        <f t="shared" si="109"/>
        <v>0</v>
      </c>
      <c r="Z858" s="2" t="str">
        <f t="shared" si="110"/>
        <v>OK</v>
      </c>
      <c r="AA858" t="str">
        <f t="shared" si="111"/>
        <v>Unique</v>
      </c>
    </row>
    <row r="859" spans="1:27" x14ac:dyDescent="0.3">
      <c r="A859">
        <v>858</v>
      </c>
      <c r="B859">
        <v>839860.70404930098</v>
      </c>
      <c r="C859">
        <v>0.48944976054439998</v>
      </c>
      <c r="D859">
        <v>-0.16556469669732099</v>
      </c>
      <c r="E859">
        <v>0.30600510864778002</v>
      </c>
      <c r="F859">
        <v>1</v>
      </c>
      <c r="G859" t="s">
        <v>11</v>
      </c>
      <c r="H859">
        <v>0</v>
      </c>
      <c r="I859">
        <v>257001.66599160701</v>
      </c>
      <c r="J859">
        <v>0.69399489135221903</v>
      </c>
      <c r="K859" t="str">
        <f t="shared" si="104"/>
        <v>OK</v>
      </c>
      <c r="L859" t="str">
        <f t="shared" si="105"/>
        <v>OK</v>
      </c>
      <c r="M859" t="str">
        <f>IF(OR(B859&lt;$AE$20,B859&gt;$AF$20),"Outlier","OK")</f>
        <v>OK</v>
      </c>
      <c r="N859" t="str">
        <f>IF(OR(J859&lt;$AE$21,J859&gt;$AF$21),"Outlier","OK")</f>
        <v>OK</v>
      </c>
      <c r="O859" t="str">
        <f>IF(OR(C859&lt;0,C859&gt;1),"Outlier","OK")</f>
        <v>OK</v>
      </c>
      <c r="P859" t="str">
        <f>IF(OR(D859&lt;0,D859&gt;1),"Outlier","OK")</f>
        <v>Outlier</v>
      </c>
      <c r="Q859" t="str">
        <f t="shared" si="106"/>
        <v>60-80%</v>
      </c>
      <c r="R859" t="str">
        <f>IF(B859="","Missing","OK")</f>
        <v>OK</v>
      </c>
      <c r="S859" t="str">
        <f>IF(E859="","Missing","OK")</f>
        <v>OK</v>
      </c>
      <c r="T859" t="str">
        <f t="shared" si="107"/>
        <v>OK</v>
      </c>
      <c r="U859">
        <f>COUNTIF($A:$A,A859)</f>
        <v>1</v>
      </c>
      <c r="V859" t="str">
        <f t="shared" si="108"/>
        <v>OK</v>
      </c>
      <c r="W859" t="str">
        <f>IF(I859&gt;B859,"ERROR","OK")</f>
        <v>OK</v>
      </c>
      <c r="X859">
        <f>(B859-I859)/B859</f>
        <v>0.69399489135222037</v>
      </c>
      <c r="Y859" s="2">
        <f t="shared" si="109"/>
        <v>1.3322676295501878E-15</v>
      </c>
      <c r="Z859" s="2" t="str">
        <f t="shared" si="110"/>
        <v>OK</v>
      </c>
      <c r="AA859" t="str">
        <f t="shared" si="111"/>
        <v>Unique</v>
      </c>
    </row>
    <row r="860" spans="1:27" x14ac:dyDescent="0.3">
      <c r="A860">
        <v>859</v>
      </c>
      <c r="B860">
        <v>1316526.8636062299</v>
      </c>
      <c r="C860">
        <v>0.62627475172730396</v>
      </c>
      <c r="D860">
        <v>0.11899677245349501</v>
      </c>
      <c r="E860">
        <v>0.116453336030975</v>
      </c>
      <c r="F860">
        <v>1</v>
      </c>
      <c r="G860" t="s">
        <v>11</v>
      </c>
      <c r="H860">
        <v>0</v>
      </c>
      <c r="I860">
        <v>153313.94524134201</v>
      </c>
      <c r="J860">
        <v>0.88354666396902404</v>
      </c>
      <c r="K860" t="str">
        <f t="shared" si="104"/>
        <v>OK</v>
      </c>
      <c r="L860" t="str">
        <f t="shared" si="105"/>
        <v>OK</v>
      </c>
      <c r="M860" t="str">
        <f>IF(OR(B860&lt;$AE$20,B860&gt;$AF$20),"Outlier","OK")</f>
        <v>OK</v>
      </c>
      <c r="N860" t="str">
        <f>IF(OR(J860&lt;$AE$21,J860&gt;$AF$21),"Outlier","OK")</f>
        <v>OK</v>
      </c>
      <c r="O860" t="str">
        <f>IF(OR(C860&lt;0,C860&gt;1),"Outlier","OK")</f>
        <v>OK</v>
      </c>
      <c r="P860" t="str">
        <f>IF(OR(D860&lt;0,D860&gt;1),"Outlier","OK")</f>
        <v>OK</v>
      </c>
      <c r="Q860" t="str">
        <f t="shared" si="106"/>
        <v>80-100%</v>
      </c>
      <c r="R860" t="str">
        <f>IF(B860="","Missing","OK")</f>
        <v>OK</v>
      </c>
      <c r="S860" t="str">
        <f>IF(E860="","Missing","OK")</f>
        <v>OK</v>
      </c>
      <c r="T860" t="str">
        <f t="shared" si="107"/>
        <v>OK</v>
      </c>
      <c r="U860">
        <f>COUNTIF($A:$A,A860)</f>
        <v>1</v>
      </c>
      <c r="V860" t="str">
        <f t="shared" si="108"/>
        <v>OK</v>
      </c>
      <c r="W860" t="str">
        <f>IF(I860&gt;B860,"ERROR","OK")</f>
        <v>OK</v>
      </c>
      <c r="X860">
        <f>(B860-I860)/B860</f>
        <v>0.88354666396902481</v>
      </c>
      <c r="Y860" s="2">
        <f t="shared" si="109"/>
        <v>7.7715611723760958E-16</v>
      </c>
      <c r="Z860" s="2" t="str">
        <f t="shared" si="110"/>
        <v>OK</v>
      </c>
      <c r="AA860" t="str">
        <f t="shared" si="111"/>
        <v>Unique</v>
      </c>
    </row>
    <row r="861" spans="1:27" x14ac:dyDescent="0.3">
      <c r="A861">
        <v>860</v>
      </c>
      <c r="B861">
        <v>1749086.2918239499</v>
      </c>
      <c r="C861">
        <v>0.71869660751538</v>
      </c>
      <c r="D861">
        <v>-9.2161491320551903E-2</v>
      </c>
      <c r="E861">
        <v>0.37505418435493798</v>
      </c>
      <c r="F861">
        <v>1</v>
      </c>
      <c r="G861" t="s">
        <v>10</v>
      </c>
      <c r="H861">
        <v>0</v>
      </c>
      <c r="I861">
        <v>656002.13254643802</v>
      </c>
      <c r="J861">
        <v>0.62494581564506102</v>
      </c>
      <c r="K861" t="str">
        <f t="shared" si="104"/>
        <v>OK</v>
      </c>
      <c r="L861" t="str">
        <f t="shared" si="105"/>
        <v>OK</v>
      </c>
      <c r="M861" t="str">
        <f>IF(OR(B861&lt;$AE$20,B861&gt;$AF$20),"Outlier","OK")</f>
        <v>OK</v>
      </c>
      <c r="N861" t="str">
        <f>IF(OR(J861&lt;$AE$21,J861&gt;$AF$21),"Outlier","OK")</f>
        <v>OK</v>
      </c>
      <c r="O861" t="str">
        <f>IF(OR(C861&lt;0,C861&gt;1),"Outlier","OK")</f>
        <v>OK</v>
      </c>
      <c r="P861" t="str">
        <f>IF(OR(D861&lt;0,D861&gt;1),"Outlier","OK")</f>
        <v>Outlier</v>
      </c>
      <c r="Q861" t="str">
        <f t="shared" si="106"/>
        <v>60-80%</v>
      </c>
      <c r="R861" t="str">
        <f>IF(B861="","Missing","OK")</f>
        <v>OK</v>
      </c>
      <c r="S861" t="str">
        <f>IF(E861="","Missing","OK")</f>
        <v>OK</v>
      </c>
      <c r="T861" t="str">
        <f t="shared" si="107"/>
        <v>OK</v>
      </c>
      <c r="U861">
        <f>COUNTIF($A:$A,A861)</f>
        <v>1</v>
      </c>
      <c r="V861" t="str">
        <f t="shared" si="108"/>
        <v>OK</v>
      </c>
      <c r="W861" t="str">
        <f>IF(I861&gt;B861,"ERROR","OK")</f>
        <v>OK</v>
      </c>
      <c r="X861">
        <f>(B861-I861)/B861</f>
        <v>0.62494581564506002</v>
      </c>
      <c r="Y861" s="2">
        <f t="shared" si="109"/>
        <v>9.9920072216264089E-16</v>
      </c>
      <c r="Z861" s="2" t="str">
        <f t="shared" si="110"/>
        <v>OK</v>
      </c>
      <c r="AA861" t="str">
        <f t="shared" si="111"/>
        <v>Unique</v>
      </c>
    </row>
    <row r="862" spans="1:27" x14ac:dyDescent="0.3">
      <c r="A862">
        <v>861</v>
      </c>
      <c r="B862">
        <v>1364175.13529802</v>
      </c>
      <c r="C862">
        <v>0.16132718193717699</v>
      </c>
      <c r="D862">
        <v>0.16061335817163999</v>
      </c>
      <c r="E862">
        <v>0.30360983090845101</v>
      </c>
      <c r="F862">
        <v>1</v>
      </c>
      <c r="G862" t="s">
        <v>11</v>
      </c>
      <c r="H862">
        <v>0</v>
      </c>
      <c r="I862">
        <v>414176.98215734598</v>
      </c>
      <c r="J862">
        <v>0.69639016909154805</v>
      </c>
      <c r="K862" t="str">
        <f t="shared" si="104"/>
        <v>OK</v>
      </c>
      <c r="L862" t="str">
        <f t="shared" si="105"/>
        <v>OK</v>
      </c>
      <c r="M862" t="str">
        <f>IF(OR(B862&lt;$AE$20,B862&gt;$AF$20),"Outlier","OK")</f>
        <v>OK</v>
      </c>
      <c r="N862" t="str">
        <f>IF(OR(J862&lt;$AE$21,J862&gt;$AF$21),"Outlier","OK")</f>
        <v>OK</v>
      </c>
      <c r="O862" t="str">
        <f>IF(OR(C862&lt;0,C862&gt;1),"Outlier","OK")</f>
        <v>OK</v>
      </c>
      <c r="P862" t="str">
        <f>IF(OR(D862&lt;0,D862&gt;1),"Outlier","OK")</f>
        <v>OK</v>
      </c>
      <c r="Q862" t="str">
        <f t="shared" si="106"/>
        <v>60-80%</v>
      </c>
      <c r="R862" t="str">
        <f>IF(B862="","Missing","OK")</f>
        <v>OK</v>
      </c>
      <c r="S862" t="str">
        <f>IF(E862="","Missing","OK")</f>
        <v>OK</v>
      </c>
      <c r="T862" t="str">
        <f t="shared" si="107"/>
        <v>OK</v>
      </c>
      <c r="U862">
        <f>COUNTIF($A:$A,A862)</f>
        <v>1</v>
      </c>
      <c r="V862" t="str">
        <f t="shared" si="108"/>
        <v>OK</v>
      </c>
      <c r="W862" t="str">
        <f>IF(I862&gt;B862,"ERROR","OK")</f>
        <v>OK</v>
      </c>
      <c r="X862">
        <f>(B862-I862)/B862</f>
        <v>0.69639016909154838</v>
      </c>
      <c r="Y862" s="2">
        <f t="shared" si="109"/>
        <v>3.3306690738754696E-16</v>
      </c>
      <c r="Z862" s="2" t="str">
        <f t="shared" si="110"/>
        <v>OK</v>
      </c>
      <c r="AA862" t="str">
        <f t="shared" si="111"/>
        <v>Unique</v>
      </c>
    </row>
    <row r="863" spans="1:27" x14ac:dyDescent="0.3">
      <c r="A863">
        <v>862</v>
      </c>
      <c r="B863">
        <v>1941692.1604480301</v>
      </c>
      <c r="C863">
        <v>0.390895966172427</v>
      </c>
      <c r="D863">
        <v>-1.16235732655613E-2</v>
      </c>
      <c r="E863">
        <v>0.34055177990045998</v>
      </c>
      <c r="F863">
        <v>1</v>
      </c>
      <c r="G863" t="s">
        <v>13</v>
      </c>
      <c r="H863">
        <v>1</v>
      </c>
      <c r="I863">
        <v>661246.721259346</v>
      </c>
      <c r="J863">
        <v>0.65944822009953996</v>
      </c>
      <c r="K863" t="str">
        <f t="shared" si="104"/>
        <v>OK</v>
      </c>
      <c r="L863" t="str">
        <f t="shared" si="105"/>
        <v>OK</v>
      </c>
      <c r="M863" t="str">
        <f>IF(OR(B863&lt;$AE$20,B863&gt;$AF$20),"Outlier","OK")</f>
        <v>OK</v>
      </c>
      <c r="N863" t="str">
        <f>IF(OR(J863&lt;$AE$21,J863&gt;$AF$21),"Outlier","OK")</f>
        <v>OK</v>
      </c>
      <c r="O863" t="str">
        <f>IF(OR(C863&lt;0,C863&gt;1),"Outlier","OK")</f>
        <v>OK</v>
      </c>
      <c r="P863" t="str">
        <f>IF(OR(D863&lt;0,D863&gt;1),"Outlier","OK")</f>
        <v>Outlier</v>
      </c>
      <c r="Q863" t="str">
        <f t="shared" si="106"/>
        <v>60-80%</v>
      </c>
      <c r="R863" t="str">
        <f>IF(B863="","Missing","OK")</f>
        <v>OK</v>
      </c>
      <c r="S863" t="str">
        <f>IF(E863="","Missing","OK")</f>
        <v>OK</v>
      </c>
      <c r="T863" t="str">
        <f t="shared" si="107"/>
        <v>OK</v>
      </c>
      <c r="U863">
        <f>COUNTIF($A:$A,A863)</f>
        <v>1</v>
      </c>
      <c r="V863" t="str">
        <f t="shared" si="108"/>
        <v>OK</v>
      </c>
      <c r="W863" t="str">
        <f>IF(I863&gt;B863,"ERROR","OK")</f>
        <v>OK</v>
      </c>
      <c r="X863">
        <f>(B863-I863)/B863</f>
        <v>0.65944822009954007</v>
      </c>
      <c r="Y863" s="2">
        <f t="shared" si="109"/>
        <v>1.1102230246251565E-16</v>
      </c>
      <c r="Z863" s="2" t="str">
        <f t="shared" si="110"/>
        <v>OK</v>
      </c>
      <c r="AA863" t="str">
        <f t="shared" si="111"/>
        <v>Unique</v>
      </c>
    </row>
    <row r="864" spans="1:27" x14ac:dyDescent="0.3">
      <c r="A864">
        <v>863</v>
      </c>
      <c r="B864">
        <v>1417188.38684093</v>
      </c>
      <c r="C864">
        <v>0.71000851792480402</v>
      </c>
      <c r="D864">
        <v>-8.8428318105483295E-2</v>
      </c>
      <c r="E864">
        <v>0.107902926235539</v>
      </c>
      <c r="F864">
        <v>1</v>
      </c>
      <c r="G864" t="s">
        <v>12</v>
      </c>
      <c r="H864">
        <v>1</v>
      </c>
      <c r="I864">
        <v>152918.77396716099</v>
      </c>
      <c r="J864">
        <v>0.89209707376446001</v>
      </c>
      <c r="K864" t="str">
        <f t="shared" si="104"/>
        <v>OK</v>
      </c>
      <c r="L864" t="str">
        <f t="shared" si="105"/>
        <v>OK</v>
      </c>
      <c r="M864" t="str">
        <f>IF(OR(B864&lt;$AE$20,B864&gt;$AF$20),"Outlier","OK")</f>
        <v>OK</v>
      </c>
      <c r="N864" t="str">
        <f>IF(OR(J864&lt;$AE$21,J864&gt;$AF$21),"Outlier","OK")</f>
        <v>OK</v>
      </c>
      <c r="O864" t="str">
        <f>IF(OR(C864&lt;0,C864&gt;1),"Outlier","OK")</f>
        <v>OK</v>
      </c>
      <c r="P864" t="str">
        <f>IF(OR(D864&lt;0,D864&gt;1),"Outlier","OK")</f>
        <v>Outlier</v>
      </c>
      <c r="Q864" t="str">
        <f t="shared" si="106"/>
        <v>80-100%</v>
      </c>
      <c r="R864" t="str">
        <f>IF(B864="","Missing","OK")</f>
        <v>OK</v>
      </c>
      <c r="S864" t="str">
        <f>IF(E864="","Missing","OK")</f>
        <v>OK</v>
      </c>
      <c r="T864" t="str">
        <f t="shared" si="107"/>
        <v>OK</v>
      </c>
      <c r="U864">
        <f>COUNTIF($A:$A,A864)</f>
        <v>1</v>
      </c>
      <c r="V864" t="str">
        <f t="shared" si="108"/>
        <v>OK</v>
      </c>
      <c r="W864" t="str">
        <f>IF(I864&gt;B864,"ERROR","OK")</f>
        <v>OK</v>
      </c>
      <c r="X864">
        <f>(B864-I864)/B864</f>
        <v>0.89209707376445979</v>
      </c>
      <c r="Y864" s="2">
        <f t="shared" si="109"/>
        <v>2.2204460492503131E-16</v>
      </c>
      <c r="Z864" s="2" t="str">
        <f t="shared" si="110"/>
        <v>OK</v>
      </c>
      <c r="AA864" t="str">
        <f t="shared" si="111"/>
        <v>Unique</v>
      </c>
    </row>
    <row r="865" spans="1:27" x14ac:dyDescent="0.3">
      <c r="A865">
        <v>864</v>
      </c>
      <c r="B865">
        <v>1652355.4360696501</v>
      </c>
      <c r="C865">
        <v>0.51262798409587695</v>
      </c>
      <c r="D865">
        <v>-4.9448667766347999E-3</v>
      </c>
      <c r="E865">
        <v>0.67147324930989205</v>
      </c>
      <c r="F865">
        <v>1</v>
      </c>
      <c r="G865" t="s">
        <v>13</v>
      </c>
      <c r="H865">
        <v>0</v>
      </c>
      <c r="I865">
        <v>1109512.4736725499</v>
      </c>
      <c r="J865">
        <v>0.32852675069010701</v>
      </c>
      <c r="K865" t="str">
        <f t="shared" si="104"/>
        <v>OK</v>
      </c>
      <c r="L865" t="str">
        <f t="shared" si="105"/>
        <v>OK</v>
      </c>
      <c r="M865" t="str">
        <f>IF(OR(B865&lt;$AE$20,B865&gt;$AF$20),"Outlier","OK")</f>
        <v>OK</v>
      </c>
      <c r="N865" t="str">
        <f>IF(OR(J865&lt;$AE$21,J865&gt;$AF$21),"Outlier","OK")</f>
        <v>OK</v>
      </c>
      <c r="O865" t="str">
        <f>IF(OR(C865&lt;0,C865&gt;1),"Outlier","OK")</f>
        <v>OK</v>
      </c>
      <c r="P865" t="str">
        <f>IF(OR(D865&lt;0,D865&gt;1),"Outlier","OK")</f>
        <v>Outlier</v>
      </c>
      <c r="Q865" t="str">
        <f t="shared" si="106"/>
        <v>20-40%</v>
      </c>
      <c r="R865" t="str">
        <f>IF(B865="","Missing","OK")</f>
        <v>OK</v>
      </c>
      <c r="S865" t="str">
        <f>IF(E865="","Missing","OK")</f>
        <v>OK</v>
      </c>
      <c r="T865" t="str">
        <f t="shared" si="107"/>
        <v>OK</v>
      </c>
      <c r="U865">
        <f>COUNTIF($A:$A,A865)</f>
        <v>1</v>
      </c>
      <c r="V865" t="str">
        <f t="shared" si="108"/>
        <v>OK</v>
      </c>
      <c r="W865" t="str">
        <f>IF(I865&gt;B865,"ERROR","OK")</f>
        <v>OK</v>
      </c>
      <c r="X865">
        <f>(B865-I865)/B865</f>
        <v>0.32852675069010895</v>
      </c>
      <c r="Y865" s="2">
        <f t="shared" si="109"/>
        <v>1.9428902930940239E-15</v>
      </c>
      <c r="Z865" s="2" t="str">
        <f t="shared" si="110"/>
        <v>OK</v>
      </c>
      <c r="AA865" t="str">
        <f t="shared" si="111"/>
        <v>Unique</v>
      </c>
    </row>
    <row r="866" spans="1:27" x14ac:dyDescent="0.3">
      <c r="A866">
        <v>865</v>
      </c>
      <c r="B866">
        <v>137827.188446727</v>
      </c>
      <c r="C866">
        <v>0.36200475601809201</v>
      </c>
      <c r="D866">
        <v>0.11583777179120699</v>
      </c>
      <c r="E866">
        <v>0.22473851826501501</v>
      </c>
      <c r="F866">
        <v>1</v>
      </c>
      <c r="G866" t="s">
        <v>12</v>
      </c>
      <c r="H866">
        <v>0</v>
      </c>
      <c r="I866">
        <v>30975.078108150399</v>
      </c>
      <c r="J866">
        <v>0.77526148173498399</v>
      </c>
      <c r="K866" t="str">
        <f t="shared" si="104"/>
        <v>OK</v>
      </c>
      <c r="L866" t="str">
        <f t="shared" si="105"/>
        <v>OK</v>
      </c>
      <c r="M866" t="str">
        <f>IF(OR(B866&lt;$AE$20,B866&gt;$AF$20),"Outlier","OK")</f>
        <v>OK</v>
      </c>
      <c r="N866" t="str">
        <f>IF(OR(J866&lt;$AE$21,J866&gt;$AF$21),"Outlier","OK")</f>
        <v>OK</v>
      </c>
      <c r="O866" t="str">
        <f>IF(OR(C866&lt;0,C866&gt;1),"Outlier","OK")</f>
        <v>OK</v>
      </c>
      <c r="P866" t="str">
        <f>IF(OR(D866&lt;0,D866&gt;1),"Outlier","OK")</f>
        <v>OK</v>
      </c>
      <c r="Q866" t="str">
        <f t="shared" si="106"/>
        <v>60-80%</v>
      </c>
      <c r="R866" t="str">
        <f>IF(B866="","Missing","OK")</f>
        <v>OK</v>
      </c>
      <c r="S866" t="str">
        <f>IF(E866="","Missing","OK")</f>
        <v>OK</v>
      </c>
      <c r="T866" t="str">
        <f t="shared" si="107"/>
        <v>OK</v>
      </c>
      <c r="U866">
        <f>COUNTIF($A:$A,A866)</f>
        <v>1</v>
      </c>
      <c r="V866" t="str">
        <f t="shared" si="108"/>
        <v>OK</v>
      </c>
      <c r="W866" t="str">
        <f>IF(I866&gt;B866,"ERROR","OK")</f>
        <v>OK</v>
      </c>
      <c r="X866">
        <f>(B866-I866)/B866</f>
        <v>0.77526148173498521</v>
      </c>
      <c r="Y866" s="2">
        <f t="shared" si="109"/>
        <v>1.2212453270876722E-15</v>
      </c>
      <c r="Z866" s="2" t="str">
        <f t="shared" si="110"/>
        <v>OK</v>
      </c>
      <c r="AA866" t="str">
        <f t="shared" si="111"/>
        <v>Unique</v>
      </c>
    </row>
    <row r="867" spans="1:27" x14ac:dyDescent="0.3">
      <c r="A867">
        <v>866</v>
      </c>
      <c r="B867">
        <v>1361762.1022952199</v>
      </c>
      <c r="C867">
        <v>0.78444702217089601</v>
      </c>
      <c r="D867">
        <v>-0.15415328107548101</v>
      </c>
      <c r="E867">
        <v>0.25433371734306198</v>
      </c>
      <c r="F867">
        <v>1</v>
      </c>
      <c r="G867" t="s">
        <v>13</v>
      </c>
      <c r="H867">
        <v>1</v>
      </c>
      <c r="I867">
        <v>346342.01761364698</v>
      </c>
      <c r="J867">
        <v>0.74566628265693702</v>
      </c>
      <c r="K867" t="str">
        <f t="shared" si="104"/>
        <v>OK</v>
      </c>
      <c r="L867" t="str">
        <f t="shared" si="105"/>
        <v>OK</v>
      </c>
      <c r="M867" t="str">
        <f>IF(OR(B867&lt;$AE$20,B867&gt;$AF$20),"Outlier","OK")</f>
        <v>OK</v>
      </c>
      <c r="N867" t="str">
        <f>IF(OR(J867&lt;$AE$21,J867&gt;$AF$21),"Outlier","OK")</f>
        <v>OK</v>
      </c>
      <c r="O867" t="str">
        <f>IF(OR(C867&lt;0,C867&gt;1),"Outlier","OK")</f>
        <v>OK</v>
      </c>
      <c r="P867" t="str">
        <f>IF(OR(D867&lt;0,D867&gt;1),"Outlier","OK")</f>
        <v>Outlier</v>
      </c>
      <c r="Q867" t="str">
        <f t="shared" si="106"/>
        <v>60-80%</v>
      </c>
      <c r="R867" t="str">
        <f>IF(B867="","Missing","OK")</f>
        <v>OK</v>
      </c>
      <c r="S867" t="str">
        <f>IF(E867="","Missing","OK")</f>
        <v>OK</v>
      </c>
      <c r="T867" t="str">
        <f t="shared" si="107"/>
        <v>OK</v>
      </c>
      <c r="U867">
        <f>COUNTIF($A:$A,A867)</f>
        <v>1</v>
      </c>
      <c r="V867" t="str">
        <f t="shared" si="108"/>
        <v>OK</v>
      </c>
      <c r="W867" t="str">
        <f>IF(I867&gt;B867,"ERROR","OK")</f>
        <v>OK</v>
      </c>
      <c r="X867">
        <f>(B867-I867)/B867</f>
        <v>0.74566628265693746</v>
      </c>
      <c r="Y867" s="2">
        <f t="shared" si="109"/>
        <v>4.4408920985006262E-16</v>
      </c>
      <c r="Z867" s="2" t="str">
        <f t="shared" si="110"/>
        <v>OK</v>
      </c>
      <c r="AA867" t="str">
        <f t="shared" si="111"/>
        <v>Unique</v>
      </c>
    </row>
    <row r="868" spans="1:27" x14ac:dyDescent="0.3">
      <c r="A868">
        <v>867</v>
      </c>
      <c r="B868">
        <v>1326767.65668513</v>
      </c>
      <c r="C868">
        <v>0.58387814884073996</v>
      </c>
      <c r="D868">
        <v>9.7548224894291199E-2</v>
      </c>
      <c r="E868">
        <v>0.45363590383374502</v>
      </c>
      <c r="F868">
        <v>1</v>
      </c>
      <c r="G868" t="s">
        <v>10</v>
      </c>
      <c r="H868">
        <v>0</v>
      </c>
      <c r="I868">
        <v>601869.44511774206</v>
      </c>
      <c r="J868">
        <v>0.54636409616625403</v>
      </c>
      <c r="K868" t="str">
        <f t="shared" si="104"/>
        <v>OK</v>
      </c>
      <c r="L868" t="str">
        <f t="shared" si="105"/>
        <v>OK</v>
      </c>
      <c r="M868" t="str">
        <f>IF(OR(B868&lt;$AE$20,B868&gt;$AF$20),"Outlier","OK")</f>
        <v>OK</v>
      </c>
      <c r="N868" t="str">
        <f>IF(OR(J868&lt;$AE$21,J868&gt;$AF$21),"Outlier","OK")</f>
        <v>OK</v>
      </c>
      <c r="O868" t="str">
        <f>IF(OR(C868&lt;0,C868&gt;1),"Outlier","OK")</f>
        <v>OK</v>
      </c>
      <c r="P868" t="str">
        <f>IF(OR(D868&lt;0,D868&gt;1),"Outlier","OK")</f>
        <v>OK</v>
      </c>
      <c r="Q868" t="str">
        <f t="shared" si="106"/>
        <v>40-60%</v>
      </c>
      <c r="R868" t="str">
        <f>IF(B868="","Missing","OK")</f>
        <v>OK</v>
      </c>
      <c r="S868" t="str">
        <f>IF(E868="","Missing","OK")</f>
        <v>OK</v>
      </c>
      <c r="T868" t="str">
        <f t="shared" si="107"/>
        <v>OK</v>
      </c>
      <c r="U868">
        <f>COUNTIF($A:$A,A868)</f>
        <v>1</v>
      </c>
      <c r="V868" t="str">
        <f t="shared" si="108"/>
        <v>OK</v>
      </c>
      <c r="W868" t="str">
        <f>IF(I868&gt;B868,"ERROR","OK")</f>
        <v>OK</v>
      </c>
      <c r="X868">
        <f>(B868-I868)/B868</f>
        <v>0.54636409616625259</v>
      </c>
      <c r="Y868" s="2">
        <f t="shared" si="109"/>
        <v>1.4432899320127035E-15</v>
      </c>
      <c r="Z868" s="2" t="str">
        <f t="shared" si="110"/>
        <v>OK</v>
      </c>
      <c r="AA868" t="str">
        <f t="shared" si="111"/>
        <v>Unique</v>
      </c>
    </row>
    <row r="869" spans="1:27" x14ac:dyDescent="0.3">
      <c r="A869">
        <v>868</v>
      </c>
      <c r="B869">
        <v>248404.79941416599</v>
      </c>
      <c r="C869">
        <v>0.34128043508212202</v>
      </c>
      <c r="D869">
        <v>-8.5057175898736704E-4</v>
      </c>
      <c r="E869">
        <v>0.25831500173487998</v>
      </c>
      <c r="F869">
        <v>1</v>
      </c>
      <c r="G869" t="s">
        <v>11</v>
      </c>
      <c r="H869">
        <v>0</v>
      </c>
      <c r="I869">
        <v>64166.686191622903</v>
      </c>
      <c r="J869">
        <v>0.74168499826511902</v>
      </c>
      <c r="K869" t="str">
        <f t="shared" si="104"/>
        <v>OK</v>
      </c>
      <c r="L869" t="str">
        <f t="shared" si="105"/>
        <v>OK</v>
      </c>
      <c r="M869" t="str">
        <f>IF(OR(B869&lt;$AE$20,B869&gt;$AF$20),"Outlier","OK")</f>
        <v>OK</v>
      </c>
      <c r="N869" t="str">
        <f>IF(OR(J869&lt;$AE$21,J869&gt;$AF$21),"Outlier","OK")</f>
        <v>OK</v>
      </c>
      <c r="O869" t="str">
        <f>IF(OR(C869&lt;0,C869&gt;1),"Outlier","OK")</f>
        <v>OK</v>
      </c>
      <c r="P869" t="str">
        <f>IF(OR(D869&lt;0,D869&gt;1),"Outlier","OK")</f>
        <v>Outlier</v>
      </c>
      <c r="Q869" t="str">
        <f t="shared" si="106"/>
        <v>60-80%</v>
      </c>
      <c r="R869" t="str">
        <f>IF(B869="","Missing","OK")</f>
        <v>OK</v>
      </c>
      <c r="S869" t="str">
        <f>IF(E869="","Missing","OK")</f>
        <v>OK</v>
      </c>
      <c r="T869" t="str">
        <f t="shared" si="107"/>
        <v>OK</v>
      </c>
      <c r="U869">
        <f>COUNTIF($A:$A,A869)</f>
        <v>1</v>
      </c>
      <c r="V869" t="str">
        <f t="shared" si="108"/>
        <v>OK</v>
      </c>
      <c r="W869" t="str">
        <f>IF(I869&gt;B869,"ERROR","OK")</f>
        <v>OK</v>
      </c>
      <c r="X869">
        <f>(B869-I869)/B869</f>
        <v>0.74168499826511969</v>
      </c>
      <c r="Y869" s="2">
        <f t="shared" si="109"/>
        <v>6.6613381477509392E-16</v>
      </c>
      <c r="Z869" s="2" t="str">
        <f t="shared" si="110"/>
        <v>OK</v>
      </c>
      <c r="AA869" t="str">
        <f t="shared" si="111"/>
        <v>Unique</v>
      </c>
    </row>
    <row r="870" spans="1:27" x14ac:dyDescent="0.3">
      <c r="A870">
        <v>869</v>
      </c>
      <c r="B870">
        <v>1692655.61732403</v>
      </c>
      <c r="C870">
        <v>0.80140261472524899</v>
      </c>
      <c r="D870">
        <v>0.181833373979257</v>
      </c>
      <c r="E870">
        <v>0.19534445004523401</v>
      </c>
      <c r="F870">
        <v>1</v>
      </c>
      <c r="G870" t="s">
        <v>13</v>
      </c>
      <c r="H870">
        <v>1</v>
      </c>
      <c r="I870">
        <v>330650.880682141</v>
      </c>
      <c r="J870">
        <v>0.80465554995476496</v>
      </c>
      <c r="K870" t="str">
        <f t="shared" si="104"/>
        <v>OK</v>
      </c>
      <c r="L870" t="str">
        <f t="shared" si="105"/>
        <v>OK</v>
      </c>
      <c r="M870" t="str">
        <f>IF(OR(B870&lt;$AE$20,B870&gt;$AF$20),"Outlier","OK")</f>
        <v>OK</v>
      </c>
      <c r="N870" t="str">
        <f>IF(OR(J870&lt;$AE$21,J870&gt;$AF$21),"Outlier","OK")</f>
        <v>OK</v>
      </c>
      <c r="O870" t="str">
        <f>IF(OR(C870&lt;0,C870&gt;1),"Outlier","OK")</f>
        <v>OK</v>
      </c>
      <c r="P870" t="str">
        <f>IF(OR(D870&lt;0,D870&gt;1),"Outlier","OK")</f>
        <v>OK</v>
      </c>
      <c r="Q870" t="str">
        <f t="shared" si="106"/>
        <v>80-100%</v>
      </c>
      <c r="R870" t="str">
        <f>IF(B870="","Missing","OK")</f>
        <v>OK</v>
      </c>
      <c r="S870" t="str">
        <f>IF(E870="","Missing","OK")</f>
        <v>OK</v>
      </c>
      <c r="T870" t="str">
        <f t="shared" si="107"/>
        <v>OK</v>
      </c>
      <c r="U870">
        <f>COUNTIF($A:$A,A870)</f>
        <v>1</v>
      </c>
      <c r="V870" t="str">
        <f t="shared" si="108"/>
        <v>OK</v>
      </c>
      <c r="W870" t="str">
        <f>IF(I870&gt;B870,"ERROR","OK")</f>
        <v>OK</v>
      </c>
      <c r="X870">
        <f>(B870-I870)/B870</f>
        <v>0.80465554995476463</v>
      </c>
      <c r="Y870" s="2">
        <f t="shared" si="109"/>
        <v>3.3306690738754696E-16</v>
      </c>
      <c r="Z870" s="2" t="str">
        <f t="shared" si="110"/>
        <v>OK</v>
      </c>
      <c r="AA870" t="str">
        <f t="shared" si="111"/>
        <v>Unique</v>
      </c>
    </row>
    <row r="871" spans="1:27" x14ac:dyDescent="0.3">
      <c r="A871">
        <v>870</v>
      </c>
      <c r="B871">
        <v>1247636.1876071999</v>
      </c>
      <c r="C871">
        <v>0.68075585523411297</v>
      </c>
      <c r="D871">
        <v>6.5119683936173706E-2</v>
      </c>
      <c r="E871">
        <v>2.73081293903682E-2</v>
      </c>
      <c r="F871">
        <v>1</v>
      </c>
      <c r="G871" t="s">
        <v>11</v>
      </c>
      <c r="H871">
        <v>0</v>
      </c>
      <c r="I871">
        <v>34070.6104432832</v>
      </c>
      <c r="J871">
        <v>0.97269187060963103</v>
      </c>
      <c r="K871" t="str">
        <f t="shared" si="104"/>
        <v>OK</v>
      </c>
      <c r="L871" t="str">
        <f t="shared" si="105"/>
        <v>OK</v>
      </c>
      <c r="M871" t="str">
        <f>IF(OR(B871&lt;$AE$20,B871&gt;$AF$20),"Outlier","OK")</f>
        <v>OK</v>
      </c>
      <c r="N871" t="str">
        <f>IF(OR(J871&lt;$AE$21,J871&gt;$AF$21),"Outlier","OK")</f>
        <v>Outlier</v>
      </c>
      <c r="O871" t="str">
        <f>IF(OR(C871&lt;0,C871&gt;1),"Outlier","OK")</f>
        <v>OK</v>
      </c>
      <c r="P871" t="str">
        <f>IF(OR(D871&lt;0,D871&gt;1),"Outlier","OK")</f>
        <v>OK</v>
      </c>
      <c r="Q871" t="str">
        <f t="shared" si="106"/>
        <v>80-100%</v>
      </c>
      <c r="R871" t="str">
        <f>IF(B871="","Missing","OK")</f>
        <v>OK</v>
      </c>
      <c r="S871" t="str">
        <f>IF(E871="","Missing","OK")</f>
        <v>OK</v>
      </c>
      <c r="T871" t="str">
        <f t="shared" si="107"/>
        <v>OK</v>
      </c>
      <c r="U871">
        <f>COUNTIF($A:$A,A871)</f>
        <v>1</v>
      </c>
      <c r="V871" t="str">
        <f t="shared" si="108"/>
        <v>OK</v>
      </c>
      <c r="W871" t="str">
        <f>IF(I871&gt;B871,"ERROR","OK")</f>
        <v>OK</v>
      </c>
      <c r="X871">
        <f>(B871-I871)/B871</f>
        <v>0.9726918706096318</v>
      </c>
      <c r="Y871" s="2">
        <f t="shared" si="109"/>
        <v>7.7715611723760958E-16</v>
      </c>
      <c r="Z871" s="2" t="str">
        <f t="shared" si="110"/>
        <v>OK</v>
      </c>
      <c r="AA871" t="str">
        <f t="shared" si="111"/>
        <v>Unique</v>
      </c>
    </row>
    <row r="872" spans="1:27" x14ac:dyDescent="0.3">
      <c r="A872">
        <v>871</v>
      </c>
      <c r="B872">
        <v>241739.776250619</v>
      </c>
      <c r="C872">
        <v>0.42119251004567998</v>
      </c>
      <c r="D872">
        <v>-1.8482830359618601E-2</v>
      </c>
      <c r="E872">
        <v>9.6501820046299897E-2</v>
      </c>
      <c r="F872">
        <v>1</v>
      </c>
      <c r="G872" t="s">
        <v>12</v>
      </c>
      <c r="H872">
        <v>0</v>
      </c>
      <c r="I872">
        <v>23328.328385770001</v>
      </c>
      <c r="J872">
        <v>0.90349817995369996</v>
      </c>
      <c r="K872" t="str">
        <f t="shared" si="104"/>
        <v>OK</v>
      </c>
      <c r="L872" t="str">
        <f t="shared" si="105"/>
        <v>OK</v>
      </c>
      <c r="M872" t="str">
        <f>IF(OR(B872&lt;$AE$20,B872&gt;$AF$20),"Outlier","OK")</f>
        <v>OK</v>
      </c>
      <c r="N872" t="str">
        <f>IF(OR(J872&lt;$AE$21,J872&gt;$AF$21),"Outlier","OK")</f>
        <v>OK</v>
      </c>
      <c r="O872" t="str">
        <f>IF(OR(C872&lt;0,C872&gt;1),"Outlier","OK")</f>
        <v>OK</v>
      </c>
      <c r="P872" t="str">
        <f>IF(OR(D872&lt;0,D872&gt;1),"Outlier","OK")</f>
        <v>Outlier</v>
      </c>
      <c r="Q872" t="str">
        <f t="shared" si="106"/>
        <v>80-100%</v>
      </c>
      <c r="R872" t="str">
        <f>IF(B872="","Missing","OK")</f>
        <v>OK</v>
      </c>
      <c r="S872" t="str">
        <f>IF(E872="","Missing","OK")</f>
        <v>OK</v>
      </c>
      <c r="T872" t="str">
        <f t="shared" si="107"/>
        <v>OK</v>
      </c>
      <c r="U872">
        <f>COUNTIF($A:$A,A872)</f>
        <v>1</v>
      </c>
      <c r="V872" t="str">
        <f t="shared" si="108"/>
        <v>OK</v>
      </c>
      <c r="W872" t="str">
        <f>IF(I872&gt;B872,"ERROR","OK")</f>
        <v>OK</v>
      </c>
      <c r="X872">
        <f>(B872-I872)/B872</f>
        <v>0.9034981799537003</v>
      </c>
      <c r="Y872" s="2">
        <f t="shared" si="109"/>
        <v>3.3306690738754696E-16</v>
      </c>
      <c r="Z872" s="2" t="str">
        <f t="shared" si="110"/>
        <v>OK</v>
      </c>
      <c r="AA872" t="str">
        <f t="shared" si="111"/>
        <v>Unique</v>
      </c>
    </row>
    <row r="873" spans="1:27" x14ac:dyDescent="0.3">
      <c r="A873">
        <v>872</v>
      </c>
      <c r="B873">
        <v>1209210.88150923</v>
      </c>
      <c r="C873">
        <v>0.585218672466711</v>
      </c>
      <c r="D873">
        <v>0.109766072454832</v>
      </c>
      <c r="E873">
        <v>0.28047979406694301</v>
      </c>
      <c r="F873">
        <v>1</v>
      </c>
      <c r="G873" t="s">
        <v>11</v>
      </c>
      <c r="H873">
        <v>1</v>
      </c>
      <c r="I873">
        <v>339159.21902921703</v>
      </c>
      <c r="J873">
        <v>0.71952020593305599</v>
      </c>
      <c r="K873" t="str">
        <f t="shared" si="104"/>
        <v>OK</v>
      </c>
      <c r="L873" t="str">
        <f t="shared" si="105"/>
        <v>OK</v>
      </c>
      <c r="M873" t="str">
        <f>IF(OR(B873&lt;$AE$20,B873&gt;$AF$20),"Outlier","OK")</f>
        <v>OK</v>
      </c>
      <c r="N873" t="str">
        <f>IF(OR(J873&lt;$AE$21,J873&gt;$AF$21),"Outlier","OK")</f>
        <v>OK</v>
      </c>
      <c r="O873" t="str">
        <f>IF(OR(C873&lt;0,C873&gt;1),"Outlier","OK")</f>
        <v>OK</v>
      </c>
      <c r="P873" t="str">
        <f>IF(OR(D873&lt;0,D873&gt;1),"Outlier","OK")</f>
        <v>OK</v>
      </c>
      <c r="Q873" t="str">
        <f t="shared" si="106"/>
        <v>60-80%</v>
      </c>
      <c r="R873" t="str">
        <f>IF(B873="","Missing","OK")</f>
        <v>OK</v>
      </c>
      <c r="S873" t="str">
        <f>IF(E873="","Missing","OK")</f>
        <v>OK</v>
      </c>
      <c r="T873" t="str">
        <f t="shared" si="107"/>
        <v>OK</v>
      </c>
      <c r="U873">
        <f>COUNTIF($A:$A,A873)</f>
        <v>1</v>
      </c>
      <c r="V873" t="str">
        <f t="shared" si="108"/>
        <v>OK</v>
      </c>
      <c r="W873" t="str">
        <f>IF(I873&gt;B873,"ERROR","OK")</f>
        <v>OK</v>
      </c>
      <c r="X873">
        <f>(B873-I873)/B873</f>
        <v>0.71952020593305566</v>
      </c>
      <c r="Y873" s="2">
        <f t="shared" si="109"/>
        <v>3.3306690738754696E-16</v>
      </c>
      <c r="Z873" s="2" t="str">
        <f t="shared" si="110"/>
        <v>OK</v>
      </c>
      <c r="AA873" t="str">
        <f t="shared" si="111"/>
        <v>Unique</v>
      </c>
    </row>
    <row r="874" spans="1:27" x14ac:dyDescent="0.3">
      <c r="A874">
        <v>873</v>
      </c>
      <c r="B874">
        <v>982910.90424149996</v>
      </c>
      <c r="C874">
        <v>0.74271018705469805</v>
      </c>
      <c r="D874">
        <v>0.141448293362716</v>
      </c>
      <c r="E874">
        <v>0.14386226987345699</v>
      </c>
      <c r="F874">
        <v>1</v>
      </c>
      <c r="G874" t="s">
        <v>11</v>
      </c>
      <c r="H874">
        <v>1</v>
      </c>
      <c r="I874">
        <v>141403.79376755399</v>
      </c>
      <c r="J874">
        <v>0.85613773012654204</v>
      </c>
      <c r="K874" t="str">
        <f t="shared" si="104"/>
        <v>OK</v>
      </c>
      <c r="L874" t="str">
        <f t="shared" si="105"/>
        <v>OK</v>
      </c>
      <c r="M874" t="str">
        <f>IF(OR(B874&lt;$AE$20,B874&gt;$AF$20),"Outlier","OK")</f>
        <v>OK</v>
      </c>
      <c r="N874" t="str">
        <f>IF(OR(J874&lt;$AE$21,J874&gt;$AF$21),"Outlier","OK")</f>
        <v>OK</v>
      </c>
      <c r="O874" t="str">
        <f>IF(OR(C874&lt;0,C874&gt;1),"Outlier","OK")</f>
        <v>OK</v>
      </c>
      <c r="P874" t="str">
        <f>IF(OR(D874&lt;0,D874&gt;1),"Outlier","OK")</f>
        <v>OK</v>
      </c>
      <c r="Q874" t="str">
        <f t="shared" si="106"/>
        <v>80-100%</v>
      </c>
      <c r="R874" t="str">
        <f>IF(B874="","Missing","OK")</f>
        <v>OK</v>
      </c>
      <c r="S874" t="str">
        <f>IF(E874="","Missing","OK")</f>
        <v>OK</v>
      </c>
      <c r="T874" t="str">
        <f t="shared" si="107"/>
        <v>OK</v>
      </c>
      <c r="U874">
        <f>COUNTIF($A:$A,A874)</f>
        <v>1</v>
      </c>
      <c r="V874" t="str">
        <f t="shared" si="108"/>
        <v>OK</v>
      </c>
      <c r="W874" t="str">
        <f>IF(I874&gt;B874,"ERROR","OK")</f>
        <v>OK</v>
      </c>
      <c r="X874">
        <f>(B874-I874)/B874</f>
        <v>0.85613773012654337</v>
      </c>
      <c r="Y874" s="2">
        <f t="shared" si="109"/>
        <v>1.3322676295501878E-15</v>
      </c>
      <c r="Z874" s="2" t="str">
        <f t="shared" si="110"/>
        <v>OK</v>
      </c>
      <c r="AA874" t="str">
        <f t="shared" si="111"/>
        <v>Unique</v>
      </c>
    </row>
    <row r="875" spans="1:27" x14ac:dyDescent="0.3">
      <c r="A875">
        <v>874</v>
      </c>
      <c r="B875">
        <v>504922.46128122002</v>
      </c>
      <c r="C875">
        <v>0.19504578496733499</v>
      </c>
      <c r="D875">
        <v>0.14413438444990101</v>
      </c>
      <c r="E875">
        <v>9.4644368132937001E-2</v>
      </c>
      <c r="F875">
        <v>1</v>
      </c>
      <c r="G875" t="s">
        <v>10</v>
      </c>
      <c r="H875">
        <v>0</v>
      </c>
      <c r="I875">
        <v>47788.067304088399</v>
      </c>
      <c r="J875">
        <v>0.90535563186706303</v>
      </c>
      <c r="K875" t="str">
        <f t="shared" si="104"/>
        <v>OK</v>
      </c>
      <c r="L875" t="str">
        <f t="shared" si="105"/>
        <v>OK</v>
      </c>
      <c r="M875" t="str">
        <f>IF(OR(B875&lt;$AE$20,B875&gt;$AF$20),"Outlier","OK")</f>
        <v>OK</v>
      </c>
      <c r="N875" t="str">
        <f>IF(OR(J875&lt;$AE$21,J875&gt;$AF$21),"Outlier","OK")</f>
        <v>OK</v>
      </c>
      <c r="O875" t="str">
        <f>IF(OR(C875&lt;0,C875&gt;1),"Outlier","OK")</f>
        <v>OK</v>
      </c>
      <c r="P875" t="str">
        <f>IF(OR(D875&lt;0,D875&gt;1),"Outlier","OK")</f>
        <v>OK</v>
      </c>
      <c r="Q875" t="str">
        <f t="shared" si="106"/>
        <v>80-100%</v>
      </c>
      <c r="R875" t="str">
        <f>IF(B875="","Missing","OK")</f>
        <v>OK</v>
      </c>
      <c r="S875" t="str">
        <f>IF(E875="","Missing","OK")</f>
        <v>OK</v>
      </c>
      <c r="T875" t="str">
        <f t="shared" si="107"/>
        <v>OK</v>
      </c>
      <c r="U875">
        <f>COUNTIF($A:$A,A875)</f>
        <v>1</v>
      </c>
      <c r="V875" t="str">
        <f t="shared" si="108"/>
        <v>OK</v>
      </c>
      <c r="W875" t="str">
        <f>IF(I875&gt;B875,"ERROR","OK")</f>
        <v>OK</v>
      </c>
      <c r="X875">
        <f>(B875-I875)/B875</f>
        <v>0.90535563186706303</v>
      </c>
      <c r="Y875" s="2">
        <f t="shared" si="109"/>
        <v>0</v>
      </c>
      <c r="Z875" s="2" t="str">
        <f t="shared" si="110"/>
        <v>OK</v>
      </c>
      <c r="AA875" t="str">
        <f t="shared" si="111"/>
        <v>Unique</v>
      </c>
    </row>
    <row r="876" spans="1:27" x14ac:dyDescent="0.3">
      <c r="A876">
        <v>875</v>
      </c>
      <c r="B876">
        <v>88524.376630358194</v>
      </c>
      <c r="C876">
        <v>0.71492477086223605</v>
      </c>
      <c r="D876">
        <v>0.195114429845925</v>
      </c>
      <c r="E876">
        <v>0.46291402109126101</v>
      </c>
      <c r="F876">
        <v>1</v>
      </c>
      <c r="G876" t="s">
        <v>11</v>
      </c>
      <c r="H876">
        <v>1</v>
      </c>
      <c r="I876">
        <v>40979.175150556301</v>
      </c>
      <c r="J876">
        <v>0.53708597890873799</v>
      </c>
      <c r="K876" t="str">
        <f t="shared" si="104"/>
        <v>OK</v>
      </c>
      <c r="L876" t="str">
        <f t="shared" si="105"/>
        <v>OK</v>
      </c>
      <c r="M876" t="str">
        <f>IF(OR(B876&lt;$AE$20,B876&gt;$AF$20),"Outlier","OK")</f>
        <v>OK</v>
      </c>
      <c r="N876" t="str">
        <f>IF(OR(J876&lt;$AE$21,J876&gt;$AF$21),"Outlier","OK")</f>
        <v>OK</v>
      </c>
      <c r="O876" t="str">
        <f>IF(OR(C876&lt;0,C876&gt;1),"Outlier","OK")</f>
        <v>OK</v>
      </c>
      <c r="P876" t="str">
        <f>IF(OR(D876&lt;0,D876&gt;1),"Outlier","OK")</f>
        <v>OK</v>
      </c>
      <c r="Q876" t="str">
        <f t="shared" si="106"/>
        <v>40-60%</v>
      </c>
      <c r="R876" t="str">
        <f>IF(B876="","Missing","OK")</f>
        <v>OK</v>
      </c>
      <c r="S876" t="str">
        <f>IF(E876="","Missing","OK")</f>
        <v>OK</v>
      </c>
      <c r="T876" t="str">
        <f t="shared" si="107"/>
        <v>OK</v>
      </c>
      <c r="U876">
        <f>COUNTIF($A:$A,A876)</f>
        <v>1</v>
      </c>
      <c r="V876" t="str">
        <f t="shared" si="108"/>
        <v>OK</v>
      </c>
      <c r="W876" t="str">
        <f>IF(I876&gt;B876,"ERROR","OK")</f>
        <v>OK</v>
      </c>
      <c r="X876">
        <f>(B876-I876)/B876</f>
        <v>0.53708597890873977</v>
      </c>
      <c r="Y876" s="2">
        <f t="shared" si="109"/>
        <v>1.7763568394002505E-15</v>
      </c>
      <c r="Z876" s="2" t="str">
        <f t="shared" si="110"/>
        <v>OK</v>
      </c>
      <c r="AA876" t="str">
        <f t="shared" si="111"/>
        <v>Unique</v>
      </c>
    </row>
    <row r="877" spans="1:27" x14ac:dyDescent="0.3">
      <c r="A877">
        <v>876</v>
      </c>
      <c r="B877">
        <v>762856.19831223495</v>
      </c>
      <c r="C877">
        <v>0.30975236069408801</v>
      </c>
      <c r="D877">
        <v>-6.8205108758419203E-2</v>
      </c>
      <c r="E877">
        <v>0.19469065334185601</v>
      </c>
      <c r="F877">
        <v>1</v>
      </c>
      <c r="G877" t="s">
        <v>10</v>
      </c>
      <c r="H877">
        <v>0</v>
      </c>
      <c r="I877">
        <v>148520.97165529299</v>
      </c>
      <c r="J877">
        <v>0.80530934665814302</v>
      </c>
      <c r="K877" t="str">
        <f t="shared" si="104"/>
        <v>OK</v>
      </c>
      <c r="L877" t="str">
        <f t="shared" si="105"/>
        <v>OK</v>
      </c>
      <c r="M877" t="str">
        <f>IF(OR(B877&lt;$AE$20,B877&gt;$AF$20),"Outlier","OK")</f>
        <v>OK</v>
      </c>
      <c r="N877" t="str">
        <f>IF(OR(J877&lt;$AE$21,J877&gt;$AF$21),"Outlier","OK")</f>
        <v>OK</v>
      </c>
      <c r="O877" t="str">
        <f>IF(OR(C877&lt;0,C877&gt;1),"Outlier","OK")</f>
        <v>OK</v>
      </c>
      <c r="P877" t="str">
        <f>IF(OR(D877&lt;0,D877&gt;1),"Outlier","OK")</f>
        <v>Outlier</v>
      </c>
      <c r="Q877" t="str">
        <f t="shared" si="106"/>
        <v>80-100%</v>
      </c>
      <c r="R877" t="str">
        <f>IF(B877="","Missing","OK")</f>
        <v>OK</v>
      </c>
      <c r="S877" t="str">
        <f>IF(E877="","Missing","OK")</f>
        <v>OK</v>
      </c>
      <c r="T877" t="str">
        <f t="shared" si="107"/>
        <v>OK</v>
      </c>
      <c r="U877">
        <f>COUNTIF($A:$A,A877)</f>
        <v>1</v>
      </c>
      <c r="V877" t="str">
        <f t="shared" si="108"/>
        <v>OK</v>
      </c>
      <c r="W877" t="str">
        <f>IF(I877&gt;B877,"ERROR","OK")</f>
        <v>OK</v>
      </c>
      <c r="X877">
        <f>(B877-I877)/B877</f>
        <v>0.80530934665814458</v>
      </c>
      <c r="Y877" s="2">
        <f t="shared" si="109"/>
        <v>1.5543122344752192E-15</v>
      </c>
      <c r="Z877" s="2" t="str">
        <f t="shared" si="110"/>
        <v>OK</v>
      </c>
      <c r="AA877" t="str">
        <f t="shared" si="111"/>
        <v>Unique</v>
      </c>
    </row>
    <row r="878" spans="1:27" x14ac:dyDescent="0.3">
      <c r="A878">
        <v>877</v>
      </c>
      <c r="B878">
        <v>1258709.6010666401</v>
      </c>
      <c r="C878">
        <v>0.40817495094547002</v>
      </c>
      <c r="D878">
        <v>0.19179939053628001</v>
      </c>
      <c r="E878">
        <v>0.34139192655443001</v>
      </c>
      <c r="F878">
        <v>1</v>
      </c>
      <c r="G878" t="s">
        <v>10</v>
      </c>
      <c r="H878">
        <v>0</v>
      </c>
      <c r="I878">
        <v>429713.29568070098</v>
      </c>
      <c r="J878">
        <v>0.65860807344556904</v>
      </c>
      <c r="K878" t="str">
        <f t="shared" si="104"/>
        <v>OK</v>
      </c>
      <c r="L878" t="str">
        <f t="shared" si="105"/>
        <v>OK</v>
      </c>
      <c r="M878" t="str">
        <f>IF(OR(B878&lt;$AE$20,B878&gt;$AF$20),"Outlier","OK")</f>
        <v>OK</v>
      </c>
      <c r="N878" t="str">
        <f>IF(OR(J878&lt;$AE$21,J878&gt;$AF$21),"Outlier","OK")</f>
        <v>OK</v>
      </c>
      <c r="O878" t="str">
        <f>IF(OR(C878&lt;0,C878&gt;1),"Outlier","OK")</f>
        <v>OK</v>
      </c>
      <c r="P878" t="str">
        <f>IF(OR(D878&lt;0,D878&gt;1),"Outlier","OK")</f>
        <v>OK</v>
      </c>
      <c r="Q878" t="str">
        <f t="shared" si="106"/>
        <v>60-80%</v>
      </c>
      <c r="R878" t="str">
        <f>IF(B878="","Missing","OK")</f>
        <v>OK</v>
      </c>
      <c r="S878" t="str">
        <f>IF(E878="","Missing","OK")</f>
        <v>OK</v>
      </c>
      <c r="T878" t="str">
        <f t="shared" si="107"/>
        <v>OK</v>
      </c>
      <c r="U878">
        <f>COUNTIF($A:$A,A878)</f>
        <v>1</v>
      </c>
      <c r="V878" t="str">
        <f t="shared" si="108"/>
        <v>OK</v>
      </c>
      <c r="W878" t="str">
        <f>IF(I878&gt;B878,"ERROR","OK")</f>
        <v>OK</v>
      </c>
      <c r="X878">
        <f>(B878-I878)/B878</f>
        <v>0.65860807344556782</v>
      </c>
      <c r="Y878" s="2">
        <f t="shared" si="109"/>
        <v>1.2212453270876722E-15</v>
      </c>
      <c r="Z878" s="2" t="str">
        <f t="shared" si="110"/>
        <v>OK</v>
      </c>
      <c r="AA878" t="str">
        <f t="shared" si="111"/>
        <v>Unique</v>
      </c>
    </row>
    <row r="879" spans="1:27" x14ac:dyDescent="0.3">
      <c r="A879">
        <v>878</v>
      </c>
      <c r="B879">
        <v>692094.31030022004</v>
      </c>
      <c r="C879">
        <v>0.25738061013765001</v>
      </c>
      <c r="D879">
        <v>3.1516351150191697E-2</v>
      </c>
      <c r="E879">
        <v>0.80065766469285105</v>
      </c>
      <c r="F879">
        <v>1</v>
      </c>
      <c r="G879" t="s">
        <v>13</v>
      </c>
      <c r="H879">
        <v>0</v>
      </c>
      <c r="I879">
        <v>554130.61423218402</v>
      </c>
      <c r="J879">
        <v>0.19934233530714801</v>
      </c>
      <c r="K879" t="str">
        <f t="shared" si="104"/>
        <v>OK</v>
      </c>
      <c r="L879" t="str">
        <f t="shared" si="105"/>
        <v>OK</v>
      </c>
      <c r="M879" t="str">
        <f>IF(OR(B879&lt;$AE$20,B879&gt;$AF$20),"Outlier","OK")</f>
        <v>OK</v>
      </c>
      <c r="N879" t="str">
        <f>IF(OR(J879&lt;$AE$21,J879&gt;$AF$21),"Outlier","OK")</f>
        <v>Outlier</v>
      </c>
      <c r="O879" t="str">
        <f>IF(OR(C879&lt;0,C879&gt;1),"Outlier","OK")</f>
        <v>OK</v>
      </c>
      <c r="P879" t="str">
        <f>IF(OR(D879&lt;0,D879&gt;1),"Outlier","OK")</f>
        <v>OK</v>
      </c>
      <c r="Q879" t="str">
        <f t="shared" si="106"/>
        <v>0-20%</v>
      </c>
      <c r="R879" t="str">
        <f>IF(B879="","Missing","OK")</f>
        <v>OK</v>
      </c>
      <c r="S879" t="str">
        <f>IF(E879="","Missing","OK")</f>
        <v>OK</v>
      </c>
      <c r="T879" t="str">
        <f t="shared" si="107"/>
        <v>OK</v>
      </c>
      <c r="U879">
        <f>COUNTIF($A:$A,A879)</f>
        <v>1</v>
      </c>
      <c r="V879" t="str">
        <f t="shared" si="108"/>
        <v>OK</v>
      </c>
      <c r="W879" t="str">
        <f>IF(I879&gt;B879,"ERROR","OK")</f>
        <v>OK</v>
      </c>
      <c r="X879">
        <f>(B879-I879)/B879</f>
        <v>0.19934233530714832</v>
      </c>
      <c r="Y879" s="2">
        <f t="shared" si="109"/>
        <v>3.0531133177191805E-16</v>
      </c>
      <c r="Z879" s="2" t="str">
        <f t="shared" si="110"/>
        <v>OK</v>
      </c>
      <c r="AA879" t="str">
        <f t="shared" si="111"/>
        <v>Unique</v>
      </c>
    </row>
    <row r="880" spans="1:27" x14ac:dyDescent="0.3">
      <c r="A880">
        <v>879</v>
      </c>
      <c r="B880">
        <v>649146.57240536495</v>
      </c>
      <c r="C880">
        <v>0.36888608470122702</v>
      </c>
      <c r="D880">
        <v>0.10953232593896001</v>
      </c>
      <c r="E880">
        <v>0.32539597100822198</v>
      </c>
      <c r="F880">
        <v>1</v>
      </c>
      <c r="G880" t="s">
        <v>13</v>
      </c>
      <c r="H880">
        <v>1</v>
      </c>
      <c r="I880">
        <v>211229.67925450299</v>
      </c>
      <c r="J880">
        <v>0.67460402899177696</v>
      </c>
      <c r="K880" t="str">
        <f t="shared" si="104"/>
        <v>OK</v>
      </c>
      <c r="L880" t="str">
        <f t="shared" si="105"/>
        <v>OK</v>
      </c>
      <c r="M880" t="str">
        <f>IF(OR(B880&lt;$AE$20,B880&gt;$AF$20),"Outlier","OK")</f>
        <v>OK</v>
      </c>
      <c r="N880" t="str">
        <f>IF(OR(J880&lt;$AE$21,J880&gt;$AF$21),"Outlier","OK")</f>
        <v>OK</v>
      </c>
      <c r="O880" t="str">
        <f>IF(OR(C880&lt;0,C880&gt;1),"Outlier","OK")</f>
        <v>OK</v>
      </c>
      <c r="P880" t="str">
        <f>IF(OR(D880&lt;0,D880&gt;1),"Outlier","OK")</f>
        <v>OK</v>
      </c>
      <c r="Q880" t="str">
        <f t="shared" si="106"/>
        <v>60-80%</v>
      </c>
      <c r="R880" t="str">
        <f>IF(B880="","Missing","OK")</f>
        <v>OK</v>
      </c>
      <c r="S880" t="str">
        <f>IF(E880="","Missing","OK")</f>
        <v>OK</v>
      </c>
      <c r="T880" t="str">
        <f t="shared" si="107"/>
        <v>OK</v>
      </c>
      <c r="U880">
        <f>COUNTIF($A:$A,A880)</f>
        <v>1</v>
      </c>
      <c r="V880" t="str">
        <f t="shared" si="108"/>
        <v>OK</v>
      </c>
      <c r="W880" t="str">
        <f>IF(I880&gt;B880,"ERROR","OK")</f>
        <v>OK</v>
      </c>
      <c r="X880">
        <f>(B880-I880)/B880</f>
        <v>0.67460402899177774</v>
      </c>
      <c r="Y880" s="2">
        <f t="shared" si="109"/>
        <v>7.7715611723760958E-16</v>
      </c>
      <c r="Z880" s="2" t="str">
        <f t="shared" si="110"/>
        <v>OK</v>
      </c>
      <c r="AA880" t="str">
        <f t="shared" si="111"/>
        <v>Unique</v>
      </c>
    </row>
    <row r="881" spans="1:27" x14ac:dyDescent="0.3">
      <c r="A881">
        <v>880</v>
      </c>
      <c r="B881">
        <v>1514686.4221411101</v>
      </c>
      <c r="C881">
        <v>0.62281300137062701</v>
      </c>
      <c r="D881">
        <v>-0.15358602597162599</v>
      </c>
      <c r="E881">
        <v>0.452222346522685</v>
      </c>
      <c r="F881">
        <v>1</v>
      </c>
      <c r="G881" t="s">
        <v>13</v>
      </c>
      <c r="H881">
        <v>0</v>
      </c>
      <c r="I881">
        <v>684975.04806670698</v>
      </c>
      <c r="J881">
        <v>0.547777653477314</v>
      </c>
      <c r="K881" t="str">
        <f t="shared" si="104"/>
        <v>OK</v>
      </c>
      <c r="L881" t="str">
        <f t="shared" si="105"/>
        <v>OK</v>
      </c>
      <c r="M881" t="str">
        <f>IF(OR(B881&lt;$AE$20,B881&gt;$AF$20),"Outlier","OK")</f>
        <v>OK</v>
      </c>
      <c r="N881" t="str">
        <f>IF(OR(J881&lt;$AE$21,J881&gt;$AF$21),"Outlier","OK")</f>
        <v>OK</v>
      </c>
      <c r="O881" t="str">
        <f>IF(OR(C881&lt;0,C881&gt;1),"Outlier","OK")</f>
        <v>OK</v>
      </c>
      <c r="P881" t="str">
        <f>IF(OR(D881&lt;0,D881&gt;1),"Outlier","OK")</f>
        <v>Outlier</v>
      </c>
      <c r="Q881" t="str">
        <f t="shared" si="106"/>
        <v>40-60%</v>
      </c>
      <c r="R881" t="str">
        <f>IF(B881="","Missing","OK")</f>
        <v>OK</v>
      </c>
      <c r="S881" t="str">
        <f>IF(E881="","Missing","OK")</f>
        <v>OK</v>
      </c>
      <c r="T881" t="str">
        <f t="shared" si="107"/>
        <v>OK</v>
      </c>
      <c r="U881">
        <f>COUNTIF($A:$A,A881)</f>
        <v>1</v>
      </c>
      <c r="V881" t="str">
        <f t="shared" si="108"/>
        <v>OK</v>
      </c>
      <c r="W881" t="str">
        <f>IF(I881&gt;B881,"ERROR","OK")</f>
        <v>OK</v>
      </c>
      <c r="X881">
        <f>(B881-I881)/B881</f>
        <v>0.54777765347731233</v>
      </c>
      <c r="Y881" s="2">
        <f t="shared" si="109"/>
        <v>1.6653345369377348E-15</v>
      </c>
      <c r="Z881" s="2" t="str">
        <f t="shared" si="110"/>
        <v>OK</v>
      </c>
      <c r="AA881" t="str">
        <f t="shared" si="111"/>
        <v>Unique</v>
      </c>
    </row>
    <row r="882" spans="1:27" x14ac:dyDescent="0.3">
      <c r="A882">
        <v>881</v>
      </c>
      <c r="B882">
        <v>1529318.06273383</v>
      </c>
      <c r="C882">
        <v>0.79460754830451497</v>
      </c>
      <c r="D882">
        <v>8.3581383230864198E-2</v>
      </c>
      <c r="E882">
        <v>0.28204961123908601</v>
      </c>
      <c r="F882">
        <v>1</v>
      </c>
      <c r="G882" t="s">
        <v>13</v>
      </c>
      <c r="H882">
        <v>0</v>
      </c>
      <c r="I882">
        <v>431343.56505499</v>
      </c>
      <c r="J882">
        <v>0.71795038876091299</v>
      </c>
      <c r="K882" t="str">
        <f t="shared" si="104"/>
        <v>OK</v>
      </c>
      <c r="L882" t="str">
        <f t="shared" si="105"/>
        <v>OK</v>
      </c>
      <c r="M882" t="str">
        <f>IF(OR(B882&lt;$AE$20,B882&gt;$AF$20),"Outlier","OK")</f>
        <v>OK</v>
      </c>
      <c r="N882" t="str">
        <f>IF(OR(J882&lt;$AE$21,J882&gt;$AF$21),"Outlier","OK")</f>
        <v>OK</v>
      </c>
      <c r="O882" t="str">
        <f>IF(OR(C882&lt;0,C882&gt;1),"Outlier","OK")</f>
        <v>OK</v>
      </c>
      <c r="P882" t="str">
        <f>IF(OR(D882&lt;0,D882&gt;1),"Outlier","OK")</f>
        <v>OK</v>
      </c>
      <c r="Q882" t="str">
        <f t="shared" si="106"/>
        <v>60-80%</v>
      </c>
      <c r="R882" t="str">
        <f>IF(B882="","Missing","OK")</f>
        <v>OK</v>
      </c>
      <c r="S882" t="str">
        <f>IF(E882="","Missing","OK")</f>
        <v>OK</v>
      </c>
      <c r="T882" t="str">
        <f t="shared" si="107"/>
        <v>OK</v>
      </c>
      <c r="U882">
        <f>COUNTIF($A:$A,A882)</f>
        <v>1</v>
      </c>
      <c r="V882" t="str">
        <f t="shared" si="108"/>
        <v>OK</v>
      </c>
      <c r="W882" t="str">
        <f>IF(I882&gt;B882,"ERROR","OK")</f>
        <v>OK</v>
      </c>
      <c r="X882">
        <f>(B882-I882)/B882</f>
        <v>0.71795038876091333</v>
      </c>
      <c r="Y882" s="2">
        <f t="shared" si="109"/>
        <v>3.3306690738754696E-16</v>
      </c>
      <c r="Z882" s="2" t="str">
        <f t="shared" si="110"/>
        <v>OK</v>
      </c>
      <c r="AA882" t="str">
        <f t="shared" si="111"/>
        <v>Unique</v>
      </c>
    </row>
    <row r="883" spans="1:27" x14ac:dyDescent="0.3">
      <c r="A883">
        <v>882</v>
      </c>
      <c r="B883">
        <v>1451593.37918439</v>
      </c>
      <c r="C883">
        <v>0.73736729364061604</v>
      </c>
      <c r="D883">
        <v>1.5822725327327002E-2</v>
      </c>
      <c r="E883">
        <v>0.55180176841296502</v>
      </c>
      <c r="F883">
        <v>1</v>
      </c>
      <c r="G883" t="s">
        <v>13</v>
      </c>
      <c r="H883">
        <v>0</v>
      </c>
      <c r="I883">
        <v>800991.79365049896</v>
      </c>
      <c r="J883">
        <v>0.44819823158703398</v>
      </c>
      <c r="K883" t="str">
        <f t="shared" si="104"/>
        <v>OK</v>
      </c>
      <c r="L883" t="str">
        <f t="shared" si="105"/>
        <v>OK</v>
      </c>
      <c r="M883" t="str">
        <f>IF(OR(B883&lt;$AE$20,B883&gt;$AF$20),"Outlier","OK")</f>
        <v>OK</v>
      </c>
      <c r="N883" t="str">
        <f>IF(OR(J883&lt;$AE$21,J883&gt;$AF$21),"Outlier","OK")</f>
        <v>OK</v>
      </c>
      <c r="O883" t="str">
        <f>IF(OR(C883&lt;0,C883&gt;1),"Outlier","OK")</f>
        <v>OK</v>
      </c>
      <c r="P883" t="str">
        <f>IF(OR(D883&lt;0,D883&gt;1),"Outlier","OK")</f>
        <v>OK</v>
      </c>
      <c r="Q883" t="str">
        <f t="shared" si="106"/>
        <v>40-60%</v>
      </c>
      <c r="R883" t="str">
        <f>IF(B883="","Missing","OK")</f>
        <v>OK</v>
      </c>
      <c r="S883" t="str">
        <f>IF(E883="","Missing","OK")</f>
        <v>OK</v>
      </c>
      <c r="T883" t="str">
        <f t="shared" si="107"/>
        <v>OK</v>
      </c>
      <c r="U883">
        <f>COUNTIF($A:$A,A883)</f>
        <v>1</v>
      </c>
      <c r="V883" t="str">
        <f t="shared" si="108"/>
        <v>OK</v>
      </c>
      <c r="W883" t="str">
        <f>IF(I883&gt;B883,"ERROR","OK")</f>
        <v>OK</v>
      </c>
      <c r="X883">
        <f>(B883-I883)/B883</f>
        <v>0.44819823158703437</v>
      </c>
      <c r="Y883" s="2">
        <f t="shared" si="109"/>
        <v>3.8857805861880479E-16</v>
      </c>
      <c r="Z883" s="2" t="str">
        <f t="shared" si="110"/>
        <v>OK</v>
      </c>
      <c r="AA883" t="str">
        <f t="shared" si="111"/>
        <v>Unique</v>
      </c>
    </row>
    <row r="884" spans="1:27" x14ac:dyDescent="0.3">
      <c r="A884">
        <v>883</v>
      </c>
      <c r="B884">
        <v>247304.81050511799</v>
      </c>
      <c r="C884">
        <v>0.84257387443308795</v>
      </c>
      <c r="D884">
        <v>-3.29667700382111E-2</v>
      </c>
      <c r="E884">
        <v>0.15218867334067601</v>
      </c>
      <c r="F884">
        <v>1</v>
      </c>
      <c r="G884" t="s">
        <v>13</v>
      </c>
      <c r="H884">
        <v>1</v>
      </c>
      <c r="I884">
        <v>37636.991021541398</v>
      </c>
      <c r="J884">
        <v>0.84781132665932302</v>
      </c>
      <c r="K884" t="str">
        <f t="shared" si="104"/>
        <v>OK</v>
      </c>
      <c r="L884" t="str">
        <f t="shared" si="105"/>
        <v>OK</v>
      </c>
      <c r="M884" t="str">
        <f>IF(OR(B884&lt;$AE$20,B884&gt;$AF$20),"Outlier","OK")</f>
        <v>OK</v>
      </c>
      <c r="N884" t="str">
        <f>IF(OR(J884&lt;$AE$21,J884&gt;$AF$21),"Outlier","OK")</f>
        <v>OK</v>
      </c>
      <c r="O884" t="str">
        <f>IF(OR(C884&lt;0,C884&gt;1),"Outlier","OK")</f>
        <v>OK</v>
      </c>
      <c r="P884" t="str">
        <f>IF(OR(D884&lt;0,D884&gt;1),"Outlier","OK")</f>
        <v>Outlier</v>
      </c>
      <c r="Q884" t="str">
        <f t="shared" si="106"/>
        <v>80-100%</v>
      </c>
      <c r="R884" t="str">
        <f>IF(B884="","Missing","OK")</f>
        <v>OK</v>
      </c>
      <c r="S884" t="str">
        <f>IF(E884="","Missing","OK")</f>
        <v>OK</v>
      </c>
      <c r="T884" t="str">
        <f t="shared" si="107"/>
        <v>OK</v>
      </c>
      <c r="U884">
        <f>COUNTIF($A:$A,A884)</f>
        <v>1</v>
      </c>
      <c r="V884" t="str">
        <f t="shared" si="108"/>
        <v>OK</v>
      </c>
      <c r="W884" t="str">
        <f>IF(I884&gt;B884,"ERROR","OK")</f>
        <v>OK</v>
      </c>
      <c r="X884">
        <f>(B884-I884)/B884</f>
        <v>0.84781132665932302</v>
      </c>
      <c r="Y884" s="2">
        <f t="shared" si="109"/>
        <v>0</v>
      </c>
      <c r="Z884" s="2" t="str">
        <f t="shared" si="110"/>
        <v>OK</v>
      </c>
      <c r="AA884" t="str">
        <f t="shared" si="111"/>
        <v>Unique</v>
      </c>
    </row>
    <row r="885" spans="1:27" x14ac:dyDescent="0.3">
      <c r="A885">
        <v>884</v>
      </c>
      <c r="B885">
        <v>1056523.61609528</v>
      </c>
      <c r="C885">
        <v>0.50875860731624301</v>
      </c>
      <c r="D885">
        <v>0.10695228588710499</v>
      </c>
      <c r="E885">
        <v>0.42074783108813901</v>
      </c>
      <c r="F885">
        <v>1</v>
      </c>
      <c r="G885" t="s">
        <v>12</v>
      </c>
      <c r="H885">
        <v>1</v>
      </c>
      <c r="I885">
        <v>444530.01996549102</v>
      </c>
      <c r="J885">
        <v>0.57925216891186004</v>
      </c>
      <c r="K885" t="str">
        <f t="shared" si="104"/>
        <v>OK</v>
      </c>
      <c r="L885" t="str">
        <f t="shared" si="105"/>
        <v>OK</v>
      </c>
      <c r="M885" t="str">
        <f>IF(OR(B885&lt;$AE$20,B885&gt;$AF$20),"Outlier","OK")</f>
        <v>OK</v>
      </c>
      <c r="N885" t="str">
        <f>IF(OR(J885&lt;$AE$21,J885&gt;$AF$21),"Outlier","OK")</f>
        <v>OK</v>
      </c>
      <c r="O885" t="str">
        <f>IF(OR(C885&lt;0,C885&gt;1),"Outlier","OK")</f>
        <v>OK</v>
      </c>
      <c r="P885" t="str">
        <f>IF(OR(D885&lt;0,D885&gt;1),"Outlier","OK")</f>
        <v>OK</v>
      </c>
      <c r="Q885" t="str">
        <f t="shared" si="106"/>
        <v>40-60%</v>
      </c>
      <c r="R885" t="str">
        <f>IF(B885="","Missing","OK")</f>
        <v>OK</v>
      </c>
      <c r="S885" t="str">
        <f>IF(E885="","Missing","OK")</f>
        <v>OK</v>
      </c>
      <c r="T885" t="str">
        <f t="shared" si="107"/>
        <v>OK</v>
      </c>
      <c r="U885">
        <f>COUNTIF($A:$A,A885)</f>
        <v>1</v>
      </c>
      <c r="V885" t="str">
        <f t="shared" si="108"/>
        <v>OK</v>
      </c>
      <c r="W885" t="str">
        <f>IF(I885&gt;B885,"ERROR","OK")</f>
        <v>OK</v>
      </c>
      <c r="X885">
        <f>(B885-I885)/B885</f>
        <v>0.57925216891185694</v>
      </c>
      <c r="Y885" s="2">
        <f t="shared" si="109"/>
        <v>3.1086244689504383E-15</v>
      </c>
      <c r="Z885" s="2" t="str">
        <f t="shared" si="110"/>
        <v>OK</v>
      </c>
      <c r="AA885" t="str">
        <f t="shared" si="111"/>
        <v>Unique</v>
      </c>
    </row>
    <row r="886" spans="1:27" x14ac:dyDescent="0.3">
      <c r="A886">
        <v>885</v>
      </c>
      <c r="B886">
        <v>1137707.3877121699</v>
      </c>
      <c r="C886">
        <v>0.89500526609414299</v>
      </c>
      <c r="D886">
        <v>-0.17907047048977701</v>
      </c>
      <c r="E886">
        <v>0.28211675441761802</v>
      </c>
      <c r="F886">
        <v>1</v>
      </c>
      <c r="G886" t="s">
        <v>12</v>
      </c>
      <c r="H886">
        <v>0</v>
      </c>
      <c r="I886">
        <v>320966.31569830602</v>
      </c>
      <c r="J886">
        <v>0.71788324558238104</v>
      </c>
      <c r="K886" t="str">
        <f t="shared" si="104"/>
        <v>OK</v>
      </c>
      <c r="L886" t="str">
        <f t="shared" si="105"/>
        <v>OK</v>
      </c>
      <c r="M886" t="str">
        <f>IF(OR(B886&lt;$AE$20,B886&gt;$AF$20),"Outlier","OK")</f>
        <v>OK</v>
      </c>
      <c r="N886" t="str">
        <f>IF(OR(J886&lt;$AE$21,J886&gt;$AF$21),"Outlier","OK")</f>
        <v>OK</v>
      </c>
      <c r="O886" t="str">
        <f>IF(OR(C886&lt;0,C886&gt;1),"Outlier","OK")</f>
        <v>OK</v>
      </c>
      <c r="P886" t="str">
        <f>IF(OR(D886&lt;0,D886&gt;1),"Outlier","OK")</f>
        <v>Outlier</v>
      </c>
      <c r="Q886" t="str">
        <f t="shared" si="106"/>
        <v>60-80%</v>
      </c>
      <c r="R886" t="str">
        <f>IF(B886="","Missing","OK")</f>
        <v>OK</v>
      </c>
      <c r="S886" t="str">
        <f>IF(E886="","Missing","OK")</f>
        <v>OK</v>
      </c>
      <c r="T886" t="str">
        <f t="shared" si="107"/>
        <v>OK</v>
      </c>
      <c r="U886">
        <f>COUNTIF($A:$A,A886)</f>
        <v>1</v>
      </c>
      <c r="V886" t="str">
        <f t="shared" si="108"/>
        <v>OK</v>
      </c>
      <c r="W886" t="str">
        <f>IF(I886&gt;B886,"ERROR","OK")</f>
        <v>OK</v>
      </c>
      <c r="X886">
        <f>(B886-I886)/B886</f>
        <v>0.71788324558238015</v>
      </c>
      <c r="Y886" s="2">
        <f t="shared" si="109"/>
        <v>8.8817841970012523E-16</v>
      </c>
      <c r="Z886" s="2" t="str">
        <f t="shared" si="110"/>
        <v>OK</v>
      </c>
      <c r="AA886" t="str">
        <f t="shared" si="111"/>
        <v>Unique</v>
      </c>
    </row>
    <row r="887" spans="1:27" x14ac:dyDescent="0.3">
      <c r="A887">
        <v>886</v>
      </c>
      <c r="B887">
        <v>1502368.8275337601</v>
      </c>
      <c r="C887">
        <v>0.46984706700022499</v>
      </c>
      <c r="D887">
        <v>0.17736290892347101</v>
      </c>
      <c r="E887">
        <v>0.14702531637206101</v>
      </c>
      <c r="F887">
        <v>1</v>
      </c>
      <c r="G887" t="s">
        <v>11</v>
      </c>
      <c r="H887">
        <v>0</v>
      </c>
      <c r="I887">
        <v>220886.25217567501</v>
      </c>
      <c r="J887">
        <v>0.85297468362793805</v>
      </c>
      <c r="K887" t="str">
        <f t="shared" si="104"/>
        <v>OK</v>
      </c>
      <c r="L887" t="str">
        <f t="shared" si="105"/>
        <v>OK</v>
      </c>
      <c r="M887" t="str">
        <f>IF(OR(B887&lt;$AE$20,B887&gt;$AF$20),"Outlier","OK")</f>
        <v>OK</v>
      </c>
      <c r="N887" t="str">
        <f>IF(OR(J887&lt;$AE$21,J887&gt;$AF$21),"Outlier","OK")</f>
        <v>OK</v>
      </c>
      <c r="O887" t="str">
        <f>IF(OR(C887&lt;0,C887&gt;1),"Outlier","OK")</f>
        <v>OK</v>
      </c>
      <c r="P887" t="str">
        <f>IF(OR(D887&lt;0,D887&gt;1),"Outlier","OK")</f>
        <v>OK</v>
      </c>
      <c r="Q887" t="str">
        <f t="shared" si="106"/>
        <v>80-100%</v>
      </c>
      <c r="R887" t="str">
        <f>IF(B887="","Missing","OK")</f>
        <v>OK</v>
      </c>
      <c r="S887" t="str">
        <f>IF(E887="","Missing","OK")</f>
        <v>OK</v>
      </c>
      <c r="T887" t="str">
        <f t="shared" si="107"/>
        <v>OK</v>
      </c>
      <c r="U887">
        <f>COUNTIF($A:$A,A887)</f>
        <v>1</v>
      </c>
      <c r="V887" t="str">
        <f t="shared" si="108"/>
        <v>OK</v>
      </c>
      <c r="W887" t="str">
        <f>IF(I887&gt;B887,"ERROR","OK")</f>
        <v>OK</v>
      </c>
      <c r="X887">
        <f>(B887-I887)/B887</f>
        <v>0.85297468362793794</v>
      </c>
      <c r="Y887" s="2">
        <f t="shared" si="109"/>
        <v>1.1102230246251565E-16</v>
      </c>
      <c r="Z887" s="2" t="str">
        <f t="shared" si="110"/>
        <v>OK</v>
      </c>
      <c r="AA887" t="str">
        <f t="shared" si="111"/>
        <v>Unique</v>
      </c>
    </row>
    <row r="888" spans="1:27" x14ac:dyDescent="0.3">
      <c r="A888">
        <v>887</v>
      </c>
      <c r="B888">
        <v>1811196.5584086899</v>
      </c>
      <c r="C888">
        <v>0.84229165296301101</v>
      </c>
      <c r="D888">
        <v>0.18524347509969399</v>
      </c>
      <c r="E888">
        <v>6.5148858866044199E-2</v>
      </c>
      <c r="F888">
        <v>1</v>
      </c>
      <c r="G888" t="s">
        <v>10</v>
      </c>
      <c r="H888">
        <v>0</v>
      </c>
      <c r="I888">
        <v>117997.388962432</v>
      </c>
      <c r="J888">
        <v>0.93485114113395495</v>
      </c>
      <c r="K888" t="str">
        <f t="shared" si="104"/>
        <v>OK</v>
      </c>
      <c r="L888" t="str">
        <f t="shared" si="105"/>
        <v>OK</v>
      </c>
      <c r="M888" t="str">
        <f>IF(OR(B888&lt;$AE$20,B888&gt;$AF$20),"Outlier","OK")</f>
        <v>OK</v>
      </c>
      <c r="N888" t="str">
        <f>IF(OR(J888&lt;$AE$21,J888&gt;$AF$21),"Outlier","OK")</f>
        <v>OK</v>
      </c>
      <c r="O888" t="str">
        <f>IF(OR(C888&lt;0,C888&gt;1),"Outlier","OK")</f>
        <v>OK</v>
      </c>
      <c r="P888" t="str">
        <f>IF(OR(D888&lt;0,D888&gt;1),"Outlier","OK")</f>
        <v>OK</v>
      </c>
      <c r="Q888" t="str">
        <f t="shared" si="106"/>
        <v>80-100%</v>
      </c>
      <c r="R888" t="str">
        <f>IF(B888="","Missing","OK")</f>
        <v>OK</v>
      </c>
      <c r="S888" t="str">
        <f>IF(E888="","Missing","OK")</f>
        <v>OK</v>
      </c>
      <c r="T888" t="str">
        <f t="shared" si="107"/>
        <v>OK</v>
      </c>
      <c r="U888">
        <f>COUNTIF($A:$A,A888)</f>
        <v>1</v>
      </c>
      <c r="V888" t="str">
        <f t="shared" si="108"/>
        <v>OK</v>
      </c>
      <c r="W888" t="str">
        <f>IF(I888&gt;B888,"ERROR","OK")</f>
        <v>OK</v>
      </c>
      <c r="X888">
        <f>(B888-I888)/B888</f>
        <v>0.93485114113395618</v>
      </c>
      <c r="Y888" s="2">
        <f t="shared" si="109"/>
        <v>1.2212453270876722E-15</v>
      </c>
      <c r="Z888" s="2" t="str">
        <f t="shared" si="110"/>
        <v>OK</v>
      </c>
      <c r="AA888" t="str">
        <f t="shared" si="111"/>
        <v>Unique</v>
      </c>
    </row>
    <row r="889" spans="1:27" x14ac:dyDescent="0.3">
      <c r="A889">
        <v>888</v>
      </c>
      <c r="B889">
        <v>769625.78877429804</v>
      </c>
      <c r="C889">
        <v>0.22394916668794099</v>
      </c>
      <c r="D889">
        <v>-9.8463542832356601E-2</v>
      </c>
      <c r="E889">
        <v>0.14725675592059301</v>
      </c>
      <c r="F889">
        <v>1</v>
      </c>
      <c r="G889" t="s">
        <v>10</v>
      </c>
      <c r="H889">
        <v>1</v>
      </c>
      <c r="I889">
        <v>113332.59692773101</v>
      </c>
      <c r="J889">
        <v>0.85274324407940605</v>
      </c>
      <c r="K889" t="str">
        <f t="shared" si="104"/>
        <v>OK</v>
      </c>
      <c r="L889" t="str">
        <f t="shared" si="105"/>
        <v>OK</v>
      </c>
      <c r="M889" t="str">
        <f>IF(OR(B889&lt;$AE$20,B889&gt;$AF$20),"Outlier","OK")</f>
        <v>OK</v>
      </c>
      <c r="N889" t="str">
        <f>IF(OR(J889&lt;$AE$21,J889&gt;$AF$21),"Outlier","OK")</f>
        <v>OK</v>
      </c>
      <c r="O889" t="str">
        <f>IF(OR(C889&lt;0,C889&gt;1),"Outlier","OK")</f>
        <v>OK</v>
      </c>
      <c r="P889" t="str">
        <f>IF(OR(D889&lt;0,D889&gt;1),"Outlier","OK")</f>
        <v>Outlier</v>
      </c>
      <c r="Q889" t="str">
        <f t="shared" si="106"/>
        <v>80-100%</v>
      </c>
      <c r="R889" t="str">
        <f>IF(B889="","Missing","OK")</f>
        <v>OK</v>
      </c>
      <c r="S889" t="str">
        <f>IF(E889="","Missing","OK")</f>
        <v>OK</v>
      </c>
      <c r="T889" t="str">
        <f t="shared" si="107"/>
        <v>OK</v>
      </c>
      <c r="U889">
        <f>COUNTIF($A:$A,A889)</f>
        <v>1</v>
      </c>
      <c r="V889" t="str">
        <f t="shared" si="108"/>
        <v>OK</v>
      </c>
      <c r="W889" t="str">
        <f>IF(I889&gt;B889,"ERROR","OK")</f>
        <v>OK</v>
      </c>
      <c r="X889">
        <f>(B889-I889)/B889</f>
        <v>0.85274324407940649</v>
      </c>
      <c r="Y889" s="2">
        <f t="shared" si="109"/>
        <v>4.4408920985006262E-16</v>
      </c>
      <c r="Z889" s="2" t="str">
        <f t="shared" si="110"/>
        <v>OK</v>
      </c>
      <c r="AA889" t="str">
        <f t="shared" si="111"/>
        <v>Unique</v>
      </c>
    </row>
    <row r="890" spans="1:27" x14ac:dyDescent="0.3">
      <c r="A890">
        <v>889</v>
      </c>
      <c r="B890">
        <v>885893.77106120496</v>
      </c>
      <c r="C890">
        <v>0.17783873752276999</v>
      </c>
      <c r="D890">
        <v>0.149098569853539</v>
      </c>
      <c r="E890">
        <v>0.29683058449121302</v>
      </c>
      <c r="F890">
        <v>1</v>
      </c>
      <c r="G890" t="s">
        <v>10</v>
      </c>
      <c r="H890">
        <v>0</v>
      </c>
      <c r="I890">
        <v>262960.36586122302</v>
      </c>
      <c r="J890">
        <v>0.70316941550878598</v>
      </c>
      <c r="K890" t="str">
        <f t="shared" si="104"/>
        <v>OK</v>
      </c>
      <c r="L890" t="str">
        <f t="shared" si="105"/>
        <v>OK</v>
      </c>
      <c r="M890" t="str">
        <f>IF(OR(B890&lt;$AE$20,B890&gt;$AF$20),"Outlier","OK")</f>
        <v>OK</v>
      </c>
      <c r="N890" t="str">
        <f>IF(OR(J890&lt;$AE$21,J890&gt;$AF$21),"Outlier","OK")</f>
        <v>OK</v>
      </c>
      <c r="O890" t="str">
        <f>IF(OR(C890&lt;0,C890&gt;1),"Outlier","OK")</f>
        <v>OK</v>
      </c>
      <c r="P890" t="str">
        <f>IF(OR(D890&lt;0,D890&gt;1),"Outlier","OK")</f>
        <v>OK</v>
      </c>
      <c r="Q890" t="str">
        <f t="shared" si="106"/>
        <v>60-80%</v>
      </c>
      <c r="R890" t="str">
        <f>IF(B890="","Missing","OK")</f>
        <v>OK</v>
      </c>
      <c r="S890" t="str">
        <f>IF(E890="","Missing","OK")</f>
        <v>OK</v>
      </c>
      <c r="T890" t="str">
        <f t="shared" si="107"/>
        <v>OK</v>
      </c>
      <c r="U890">
        <f>COUNTIF($A:$A,A890)</f>
        <v>1</v>
      </c>
      <c r="V890" t="str">
        <f t="shared" si="108"/>
        <v>OK</v>
      </c>
      <c r="W890" t="str">
        <f>IF(I890&gt;B890,"ERROR","OK")</f>
        <v>OK</v>
      </c>
      <c r="X890">
        <f>(B890-I890)/B890</f>
        <v>0.70316941550878631</v>
      </c>
      <c r="Y890" s="2">
        <f t="shared" si="109"/>
        <v>3.3306690738754696E-16</v>
      </c>
      <c r="Z890" s="2" t="str">
        <f t="shared" si="110"/>
        <v>OK</v>
      </c>
      <c r="AA890" t="str">
        <f t="shared" si="111"/>
        <v>Unique</v>
      </c>
    </row>
    <row r="891" spans="1:27" x14ac:dyDescent="0.3">
      <c r="A891">
        <v>890</v>
      </c>
      <c r="B891">
        <v>1478896.61017732</v>
      </c>
      <c r="C891">
        <v>0.34919267430954798</v>
      </c>
      <c r="D891">
        <v>-1.12114817539262E-2</v>
      </c>
      <c r="E891">
        <v>0.227136451349637</v>
      </c>
      <c r="F891">
        <v>1</v>
      </c>
      <c r="G891" t="s">
        <v>13</v>
      </c>
      <c r="H891">
        <v>1</v>
      </c>
      <c r="I891">
        <v>335911.32794868603</v>
      </c>
      <c r="J891">
        <v>0.772863548650362</v>
      </c>
      <c r="K891" t="str">
        <f t="shared" si="104"/>
        <v>OK</v>
      </c>
      <c r="L891" t="str">
        <f t="shared" si="105"/>
        <v>OK</v>
      </c>
      <c r="M891" t="str">
        <f>IF(OR(B891&lt;$AE$20,B891&gt;$AF$20),"Outlier","OK")</f>
        <v>OK</v>
      </c>
      <c r="N891" t="str">
        <f>IF(OR(J891&lt;$AE$21,J891&gt;$AF$21),"Outlier","OK")</f>
        <v>OK</v>
      </c>
      <c r="O891" t="str">
        <f>IF(OR(C891&lt;0,C891&gt;1),"Outlier","OK")</f>
        <v>OK</v>
      </c>
      <c r="P891" t="str">
        <f>IF(OR(D891&lt;0,D891&gt;1),"Outlier","OK")</f>
        <v>Outlier</v>
      </c>
      <c r="Q891" t="str">
        <f t="shared" si="106"/>
        <v>60-80%</v>
      </c>
      <c r="R891" t="str">
        <f>IF(B891="","Missing","OK")</f>
        <v>OK</v>
      </c>
      <c r="S891" t="str">
        <f>IF(E891="","Missing","OK")</f>
        <v>OK</v>
      </c>
      <c r="T891" t="str">
        <f t="shared" si="107"/>
        <v>OK</v>
      </c>
      <c r="U891">
        <f>COUNTIF($A:$A,A891)</f>
        <v>1</v>
      </c>
      <c r="V891" t="str">
        <f t="shared" si="108"/>
        <v>OK</v>
      </c>
      <c r="W891" t="str">
        <f>IF(I891&gt;B891,"ERROR","OK")</f>
        <v>OK</v>
      </c>
      <c r="X891">
        <f>(B891-I891)/B891</f>
        <v>0.77286354865036155</v>
      </c>
      <c r="Y891" s="2">
        <f t="shared" si="109"/>
        <v>4.4408920985006262E-16</v>
      </c>
      <c r="Z891" s="2" t="str">
        <f t="shared" si="110"/>
        <v>OK</v>
      </c>
      <c r="AA891" t="str">
        <f t="shared" si="111"/>
        <v>Unique</v>
      </c>
    </row>
    <row r="892" spans="1:27" x14ac:dyDescent="0.3">
      <c r="A892">
        <v>891</v>
      </c>
      <c r="B892">
        <v>1342141.0164069</v>
      </c>
      <c r="C892">
        <v>0.23109495043091099</v>
      </c>
      <c r="D892">
        <v>0.148584558871451</v>
      </c>
      <c r="E892">
        <v>0.22713405470261899</v>
      </c>
      <c r="F892">
        <v>1</v>
      </c>
      <c r="G892" t="s">
        <v>12</v>
      </c>
      <c r="H892">
        <v>1</v>
      </c>
      <c r="I892">
        <v>304845.93103919498</v>
      </c>
      <c r="J892">
        <v>0.77286594529737995</v>
      </c>
      <c r="K892" t="str">
        <f t="shared" si="104"/>
        <v>OK</v>
      </c>
      <c r="L892" t="str">
        <f t="shared" si="105"/>
        <v>OK</v>
      </c>
      <c r="M892" t="str">
        <f>IF(OR(B892&lt;$AE$20,B892&gt;$AF$20),"Outlier","OK")</f>
        <v>OK</v>
      </c>
      <c r="N892" t="str">
        <f>IF(OR(J892&lt;$AE$21,J892&gt;$AF$21),"Outlier","OK")</f>
        <v>OK</v>
      </c>
      <c r="O892" t="str">
        <f>IF(OR(C892&lt;0,C892&gt;1),"Outlier","OK")</f>
        <v>OK</v>
      </c>
      <c r="P892" t="str">
        <f>IF(OR(D892&lt;0,D892&gt;1),"Outlier","OK")</f>
        <v>OK</v>
      </c>
      <c r="Q892" t="str">
        <f t="shared" si="106"/>
        <v>60-80%</v>
      </c>
      <c r="R892" t="str">
        <f>IF(B892="","Missing","OK")</f>
        <v>OK</v>
      </c>
      <c r="S892" t="str">
        <f>IF(E892="","Missing","OK")</f>
        <v>OK</v>
      </c>
      <c r="T892" t="str">
        <f t="shared" si="107"/>
        <v>OK</v>
      </c>
      <c r="U892">
        <f>COUNTIF($A:$A,A892)</f>
        <v>1</v>
      </c>
      <c r="V892" t="str">
        <f t="shared" si="108"/>
        <v>OK</v>
      </c>
      <c r="W892" t="str">
        <f>IF(I892&gt;B892,"ERROR","OK")</f>
        <v>OK</v>
      </c>
      <c r="X892">
        <f>(B892-I892)/B892</f>
        <v>0.77286594529737984</v>
      </c>
      <c r="Y892" s="2">
        <f t="shared" si="109"/>
        <v>1.1102230246251565E-16</v>
      </c>
      <c r="Z892" s="2" t="str">
        <f t="shared" si="110"/>
        <v>OK</v>
      </c>
      <c r="AA892" t="str">
        <f t="shared" si="111"/>
        <v>Unique</v>
      </c>
    </row>
    <row r="893" spans="1:27" x14ac:dyDescent="0.3">
      <c r="A893">
        <v>892</v>
      </c>
      <c r="B893">
        <v>1137846.3067908599</v>
      </c>
      <c r="C893">
        <v>0.56299090308720501</v>
      </c>
      <c r="D893">
        <v>8.1321756211339996E-2</v>
      </c>
      <c r="E893">
        <v>0.278837056452511</v>
      </c>
      <c r="F893">
        <v>1</v>
      </c>
      <c r="G893" t="s">
        <v>10</v>
      </c>
      <c r="H893">
        <v>1</v>
      </c>
      <c r="I893">
        <v>317273.71488092502</v>
      </c>
      <c r="J893">
        <v>0.721162943547488</v>
      </c>
      <c r="K893" t="str">
        <f t="shared" si="104"/>
        <v>OK</v>
      </c>
      <c r="L893" t="str">
        <f t="shared" si="105"/>
        <v>OK</v>
      </c>
      <c r="M893" t="str">
        <f>IF(OR(B893&lt;$AE$20,B893&gt;$AF$20),"Outlier","OK")</f>
        <v>OK</v>
      </c>
      <c r="N893" t="str">
        <f>IF(OR(J893&lt;$AE$21,J893&gt;$AF$21),"Outlier","OK")</f>
        <v>OK</v>
      </c>
      <c r="O893" t="str">
        <f>IF(OR(C893&lt;0,C893&gt;1),"Outlier","OK")</f>
        <v>OK</v>
      </c>
      <c r="P893" t="str">
        <f>IF(OR(D893&lt;0,D893&gt;1),"Outlier","OK")</f>
        <v>OK</v>
      </c>
      <c r="Q893" t="str">
        <f t="shared" si="106"/>
        <v>60-80%</v>
      </c>
      <c r="R893" t="str">
        <f>IF(B893="","Missing","OK")</f>
        <v>OK</v>
      </c>
      <c r="S893" t="str">
        <f>IF(E893="","Missing","OK")</f>
        <v>OK</v>
      </c>
      <c r="T893" t="str">
        <f t="shared" si="107"/>
        <v>OK</v>
      </c>
      <c r="U893">
        <f>COUNTIF($A:$A,A893)</f>
        <v>1</v>
      </c>
      <c r="V893" t="str">
        <f t="shared" si="108"/>
        <v>OK</v>
      </c>
      <c r="W893" t="str">
        <f>IF(I893&gt;B893,"ERROR","OK")</f>
        <v>OK</v>
      </c>
      <c r="X893">
        <f>(B893-I893)/B893</f>
        <v>0.72116294354748822</v>
      </c>
      <c r="Y893" s="2">
        <f t="shared" si="109"/>
        <v>2.2204460492503131E-16</v>
      </c>
      <c r="Z893" s="2" t="str">
        <f t="shared" si="110"/>
        <v>OK</v>
      </c>
      <c r="AA893" t="str">
        <f t="shared" si="111"/>
        <v>Unique</v>
      </c>
    </row>
    <row r="894" spans="1:27" x14ac:dyDescent="0.3">
      <c r="A894">
        <v>893</v>
      </c>
      <c r="B894">
        <v>732772.282405757</v>
      </c>
      <c r="C894">
        <v>0.51857596536782402</v>
      </c>
      <c r="D894">
        <v>0.152646267108415</v>
      </c>
      <c r="E894">
        <v>0.23550271603016801</v>
      </c>
      <c r="F894">
        <v>1</v>
      </c>
      <c r="G894" t="s">
        <v>13</v>
      </c>
      <c r="H894">
        <v>0</v>
      </c>
      <c r="I894">
        <v>172569.86273818099</v>
      </c>
      <c r="J894">
        <v>0.76449728396983097</v>
      </c>
      <c r="K894" t="str">
        <f t="shared" si="104"/>
        <v>OK</v>
      </c>
      <c r="L894" t="str">
        <f t="shared" si="105"/>
        <v>OK</v>
      </c>
      <c r="M894" t="str">
        <f>IF(OR(B894&lt;$AE$20,B894&gt;$AF$20),"Outlier","OK")</f>
        <v>OK</v>
      </c>
      <c r="N894" t="str">
        <f>IF(OR(J894&lt;$AE$21,J894&gt;$AF$21),"Outlier","OK")</f>
        <v>OK</v>
      </c>
      <c r="O894" t="str">
        <f>IF(OR(C894&lt;0,C894&gt;1),"Outlier","OK")</f>
        <v>OK</v>
      </c>
      <c r="P894" t="str">
        <f>IF(OR(D894&lt;0,D894&gt;1),"Outlier","OK")</f>
        <v>OK</v>
      </c>
      <c r="Q894" t="str">
        <f t="shared" si="106"/>
        <v>60-80%</v>
      </c>
      <c r="R894" t="str">
        <f>IF(B894="","Missing","OK")</f>
        <v>OK</v>
      </c>
      <c r="S894" t="str">
        <f>IF(E894="","Missing","OK")</f>
        <v>OK</v>
      </c>
      <c r="T894" t="str">
        <f t="shared" si="107"/>
        <v>OK</v>
      </c>
      <c r="U894">
        <f>COUNTIF($A:$A,A894)</f>
        <v>1</v>
      </c>
      <c r="V894" t="str">
        <f t="shared" si="108"/>
        <v>OK</v>
      </c>
      <c r="W894" t="str">
        <f>IF(I894&gt;B894,"ERROR","OK")</f>
        <v>OK</v>
      </c>
      <c r="X894">
        <f>(B894-I894)/B894</f>
        <v>0.76449728396983208</v>
      </c>
      <c r="Y894" s="2">
        <f t="shared" si="109"/>
        <v>1.1102230246251565E-15</v>
      </c>
      <c r="Z894" s="2" t="str">
        <f t="shared" si="110"/>
        <v>OK</v>
      </c>
      <c r="AA894" t="str">
        <f t="shared" si="111"/>
        <v>Unique</v>
      </c>
    </row>
    <row r="895" spans="1:27" x14ac:dyDescent="0.3">
      <c r="A895">
        <v>894</v>
      </c>
      <c r="B895">
        <v>430937.07578636101</v>
      </c>
      <c r="C895">
        <v>0.80767601995879801</v>
      </c>
      <c r="D895">
        <v>-2.8751671125279599E-2</v>
      </c>
      <c r="E895">
        <v>0.26442786960120601</v>
      </c>
      <c r="F895">
        <v>1</v>
      </c>
      <c r="G895" t="s">
        <v>10</v>
      </c>
      <c r="H895">
        <v>0</v>
      </c>
      <c r="I895">
        <v>113951.77288236099</v>
      </c>
      <c r="J895">
        <v>0.73557213039879299</v>
      </c>
      <c r="K895" t="str">
        <f t="shared" si="104"/>
        <v>OK</v>
      </c>
      <c r="L895" t="str">
        <f t="shared" si="105"/>
        <v>OK</v>
      </c>
      <c r="M895" t="str">
        <f>IF(OR(B895&lt;$AE$20,B895&gt;$AF$20),"Outlier","OK")</f>
        <v>OK</v>
      </c>
      <c r="N895" t="str">
        <f>IF(OR(J895&lt;$AE$21,J895&gt;$AF$21),"Outlier","OK")</f>
        <v>OK</v>
      </c>
      <c r="O895" t="str">
        <f>IF(OR(C895&lt;0,C895&gt;1),"Outlier","OK")</f>
        <v>OK</v>
      </c>
      <c r="P895" t="str">
        <f>IF(OR(D895&lt;0,D895&gt;1),"Outlier","OK")</f>
        <v>Outlier</v>
      </c>
      <c r="Q895" t="str">
        <f t="shared" si="106"/>
        <v>60-80%</v>
      </c>
      <c r="R895" t="str">
        <f>IF(B895="","Missing","OK")</f>
        <v>OK</v>
      </c>
      <c r="S895" t="str">
        <f>IF(E895="","Missing","OK")</f>
        <v>OK</v>
      </c>
      <c r="T895" t="str">
        <f t="shared" si="107"/>
        <v>OK</v>
      </c>
      <c r="U895">
        <f>COUNTIF($A:$A,A895)</f>
        <v>1</v>
      </c>
      <c r="V895" t="str">
        <f t="shared" si="108"/>
        <v>OK</v>
      </c>
      <c r="W895" t="str">
        <f>IF(I895&gt;B895,"ERROR","OK")</f>
        <v>OK</v>
      </c>
      <c r="X895">
        <f>(B895-I895)/B895</f>
        <v>0.73557213039879388</v>
      </c>
      <c r="Y895" s="2">
        <f t="shared" si="109"/>
        <v>8.8817841970012523E-16</v>
      </c>
      <c r="Z895" s="2" t="str">
        <f t="shared" si="110"/>
        <v>OK</v>
      </c>
      <c r="AA895" t="str">
        <f t="shared" si="111"/>
        <v>Unique</v>
      </c>
    </row>
    <row r="896" spans="1:27" x14ac:dyDescent="0.3">
      <c r="A896">
        <v>895</v>
      </c>
      <c r="B896">
        <v>408424.37541513902</v>
      </c>
      <c r="C896">
        <v>0.63094550861588805</v>
      </c>
      <c r="D896">
        <v>0.17557972435247099</v>
      </c>
      <c r="E896">
        <v>0.343570636630043</v>
      </c>
      <c r="F896">
        <v>1</v>
      </c>
      <c r="G896" t="s">
        <v>12</v>
      </c>
      <c r="H896">
        <v>1</v>
      </c>
      <c r="I896">
        <v>140322.62267660699</v>
      </c>
      <c r="J896">
        <v>0.65642936336995605</v>
      </c>
      <c r="K896" t="str">
        <f t="shared" si="104"/>
        <v>OK</v>
      </c>
      <c r="L896" t="str">
        <f t="shared" si="105"/>
        <v>OK</v>
      </c>
      <c r="M896" t="str">
        <f>IF(OR(B896&lt;$AE$20,B896&gt;$AF$20),"Outlier","OK")</f>
        <v>OK</v>
      </c>
      <c r="N896" t="str">
        <f>IF(OR(J896&lt;$AE$21,J896&gt;$AF$21),"Outlier","OK")</f>
        <v>OK</v>
      </c>
      <c r="O896" t="str">
        <f>IF(OR(C896&lt;0,C896&gt;1),"Outlier","OK")</f>
        <v>OK</v>
      </c>
      <c r="P896" t="str">
        <f>IF(OR(D896&lt;0,D896&gt;1),"Outlier","OK")</f>
        <v>OK</v>
      </c>
      <c r="Q896" t="str">
        <f t="shared" si="106"/>
        <v>60-80%</v>
      </c>
      <c r="R896" t="str">
        <f>IF(B896="","Missing","OK")</f>
        <v>OK</v>
      </c>
      <c r="S896" t="str">
        <f>IF(E896="","Missing","OK")</f>
        <v>OK</v>
      </c>
      <c r="T896" t="str">
        <f t="shared" si="107"/>
        <v>OK</v>
      </c>
      <c r="U896">
        <f>COUNTIF($A:$A,A896)</f>
        <v>1</v>
      </c>
      <c r="V896" t="str">
        <f t="shared" si="108"/>
        <v>OK</v>
      </c>
      <c r="W896" t="str">
        <f>IF(I896&gt;B896,"ERROR","OK")</f>
        <v>OK</v>
      </c>
      <c r="X896">
        <f>(B896-I896)/B896</f>
        <v>0.65642936336995705</v>
      </c>
      <c r="Y896" s="2">
        <f t="shared" si="109"/>
        <v>9.9920072216264089E-16</v>
      </c>
      <c r="Z896" s="2" t="str">
        <f t="shared" si="110"/>
        <v>OK</v>
      </c>
      <c r="AA896" t="str">
        <f t="shared" si="111"/>
        <v>Unique</v>
      </c>
    </row>
    <row r="897" spans="1:27" x14ac:dyDescent="0.3">
      <c r="A897">
        <v>896</v>
      </c>
      <c r="B897">
        <v>209087.41637725101</v>
      </c>
      <c r="C897">
        <v>0.27246542619880898</v>
      </c>
      <c r="D897">
        <v>-0.167585601971425</v>
      </c>
      <c r="E897">
        <v>0.131848188706473</v>
      </c>
      <c r="F897">
        <v>1</v>
      </c>
      <c r="G897" t="s">
        <v>10</v>
      </c>
      <c r="H897">
        <v>1</v>
      </c>
      <c r="I897">
        <v>27567.797130656902</v>
      </c>
      <c r="J897">
        <v>0.86815181129352603</v>
      </c>
      <c r="K897" t="str">
        <f t="shared" si="104"/>
        <v>OK</v>
      </c>
      <c r="L897" t="str">
        <f t="shared" si="105"/>
        <v>OK</v>
      </c>
      <c r="M897" t="str">
        <f>IF(OR(B897&lt;$AE$20,B897&gt;$AF$20),"Outlier","OK")</f>
        <v>OK</v>
      </c>
      <c r="N897" t="str">
        <f>IF(OR(J897&lt;$AE$21,J897&gt;$AF$21),"Outlier","OK")</f>
        <v>OK</v>
      </c>
      <c r="O897" t="str">
        <f>IF(OR(C897&lt;0,C897&gt;1),"Outlier","OK")</f>
        <v>OK</v>
      </c>
      <c r="P897" t="str">
        <f>IF(OR(D897&lt;0,D897&gt;1),"Outlier","OK")</f>
        <v>Outlier</v>
      </c>
      <c r="Q897" t="str">
        <f t="shared" si="106"/>
        <v>80-100%</v>
      </c>
      <c r="R897" t="str">
        <f>IF(B897="","Missing","OK")</f>
        <v>OK</v>
      </c>
      <c r="S897" t="str">
        <f>IF(E897="","Missing","OK")</f>
        <v>OK</v>
      </c>
      <c r="T897" t="str">
        <f t="shared" si="107"/>
        <v>OK</v>
      </c>
      <c r="U897">
        <f>COUNTIF($A:$A,A897)</f>
        <v>1</v>
      </c>
      <c r="V897" t="str">
        <f t="shared" si="108"/>
        <v>OK</v>
      </c>
      <c r="W897" t="str">
        <f>IF(I897&gt;B897,"ERROR","OK")</f>
        <v>OK</v>
      </c>
      <c r="X897">
        <f>(B897-I897)/B897</f>
        <v>0.86815181129352603</v>
      </c>
      <c r="Y897" s="2">
        <f t="shared" si="109"/>
        <v>0</v>
      </c>
      <c r="Z897" s="2" t="str">
        <f t="shared" si="110"/>
        <v>OK</v>
      </c>
      <c r="AA897" t="str">
        <f t="shared" si="111"/>
        <v>Unique</v>
      </c>
    </row>
    <row r="898" spans="1:27" x14ac:dyDescent="0.3">
      <c r="A898">
        <v>897</v>
      </c>
      <c r="B898">
        <v>208341.65727787299</v>
      </c>
      <c r="C898">
        <v>0.41389102358740998</v>
      </c>
      <c r="D898">
        <v>-6.8447119200229098E-2</v>
      </c>
      <c r="E898">
        <v>0.222608697425801</v>
      </c>
      <c r="F898">
        <v>1</v>
      </c>
      <c r="G898" t="s">
        <v>10</v>
      </c>
      <c r="H898">
        <v>1</v>
      </c>
      <c r="I898">
        <v>46378.664946160097</v>
      </c>
      <c r="J898">
        <v>0.77739130257419797</v>
      </c>
      <c r="K898" t="str">
        <f t="shared" si="104"/>
        <v>OK</v>
      </c>
      <c r="L898" t="str">
        <f t="shared" si="105"/>
        <v>OK</v>
      </c>
      <c r="M898" t="str">
        <f>IF(OR(B898&lt;$AE$20,B898&gt;$AF$20),"Outlier","OK")</f>
        <v>OK</v>
      </c>
      <c r="N898" t="str">
        <f>IF(OR(J898&lt;$AE$21,J898&gt;$AF$21),"Outlier","OK")</f>
        <v>OK</v>
      </c>
      <c r="O898" t="str">
        <f>IF(OR(C898&lt;0,C898&gt;1),"Outlier","OK")</f>
        <v>OK</v>
      </c>
      <c r="P898" t="str">
        <f>IF(OR(D898&lt;0,D898&gt;1),"Outlier","OK")</f>
        <v>Outlier</v>
      </c>
      <c r="Q898" t="str">
        <f t="shared" si="106"/>
        <v>60-80%</v>
      </c>
      <c r="R898" t="str">
        <f>IF(B898="","Missing","OK")</f>
        <v>OK</v>
      </c>
      <c r="S898" t="str">
        <f>IF(E898="","Missing","OK")</f>
        <v>OK</v>
      </c>
      <c r="T898" t="str">
        <f t="shared" si="107"/>
        <v>OK</v>
      </c>
      <c r="U898">
        <f>COUNTIF($A:$A,A898)</f>
        <v>1</v>
      </c>
      <c r="V898" t="str">
        <f t="shared" si="108"/>
        <v>OK</v>
      </c>
      <c r="W898" t="str">
        <f>IF(I898&gt;B898,"ERROR","OK")</f>
        <v>OK</v>
      </c>
      <c r="X898">
        <f>(B898-I898)/B898</f>
        <v>0.77739130257419831</v>
      </c>
      <c r="Y898" s="2">
        <f t="shared" si="109"/>
        <v>3.3306690738754696E-16</v>
      </c>
      <c r="Z898" s="2" t="str">
        <f t="shared" si="110"/>
        <v>OK</v>
      </c>
      <c r="AA898" t="str">
        <f t="shared" si="111"/>
        <v>Unique</v>
      </c>
    </row>
    <row r="899" spans="1:27" x14ac:dyDescent="0.3">
      <c r="A899">
        <v>898</v>
      </c>
      <c r="B899">
        <v>1699306.5360858</v>
      </c>
      <c r="C899">
        <v>0.72862790598454896</v>
      </c>
      <c r="D899">
        <v>0.107037339263684</v>
      </c>
      <c r="E899">
        <v>0.137965271398683</v>
      </c>
      <c r="F899">
        <v>1</v>
      </c>
      <c r="G899" t="s">
        <v>13</v>
      </c>
      <c r="H899">
        <v>1</v>
      </c>
      <c r="I899">
        <v>234445.28744063401</v>
      </c>
      <c r="J899">
        <v>0.86203472860131602</v>
      </c>
      <c r="K899" t="str">
        <f t="shared" ref="K899:K962" si="112">IF(OR(J899&lt;0,J899&gt;1),"Error","OK")</f>
        <v>OK</v>
      </c>
      <c r="L899" t="str">
        <f t="shared" ref="L899:L962" si="113">IF(I899&gt;B899,"Error","OK")</f>
        <v>OK</v>
      </c>
      <c r="M899" t="str">
        <f>IF(OR(B899&lt;$AE$20,B899&gt;$AF$20),"Outlier","OK")</f>
        <v>OK</v>
      </c>
      <c r="N899" t="str">
        <f>IF(OR(J899&lt;$AE$21,J899&gt;$AF$21),"Outlier","OK")</f>
        <v>OK</v>
      </c>
      <c r="O899" t="str">
        <f>IF(OR(C899&lt;0,C899&gt;1),"Outlier","OK")</f>
        <v>OK</v>
      </c>
      <c r="P899" t="str">
        <f>IF(OR(D899&lt;0,D899&gt;1),"Outlier","OK")</f>
        <v>OK</v>
      </c>
      <c r="Q899" t="str">
        <f t="shared" ref="Q899:Q962" si="114">IF(J899&lt;=0.2,"0-20%",
 IF(J899&lt;=0.4,"20-40%",
 IF(J899&lt;=0.6,"40-60%",
 IF(J899&lt;=0.8,"60-80%","80-100%"))))</f>
        <v>80-100%</v>
      </c>
      <c r="R899" t="str">
        <f>IF(B899="","Missing","OK")</f>
        <v>OK</v>
      </c>
      <c r="S899" t="str">
        <f>IF(E899="","Missing","OK")</f>
        <v>OK</v>
      </c>
      <c r="T899" t="str">
        <f t="shared" ref="T899:T962" si="115">IF(J899="","Missing","OK")</f>
        <v>OK</v>
      </c>
      <c r="U899">
        <f>COUNTIF($A:$A,A899)</f>
        <v>1</v>
      </c>
      <c r="V899" t="str">
        <f t="shared" ref="V899:V962" si="116">IF(OR(J899&lt;0,J899&gt;1),"ERROR","OK")</f>
        <v>OK</v>
      </c>
      <c r="W899" t="str">
        <f>IF(I899&gt;B899,"ERROR","OK")</f>
        <v>OK</v>
      </c>
      <c r="X899">
        <f>(B899-I899)/B899</f>
        <v>0.86203472860131658</v>
      </c>
      <c r="Y899" s="2">
        <f t="shared" ref="Y899:Y962" si="117">ABS(J899-X899)</f>
        <v>5.5511151231257827E-16</v>
      </c>
      <c r="Z899" s="2" t="str">
        <f t="shared" ref="Z899:Z962" si="118">IF(OR(B899="",I899="",J899=""),"Missing","OK")</f>
        <v>OK</v>
      </c>
      <c r="AA899" t="str">
        <f t="shared" ref="AA899:AA962" si="119">IF(COUNTIF($A:$A,A899)&gt;1,"Duplicate","Unique")</f>
        <v>Unique</v>
      </c>
    </row>
    <row r="900" spans="1:27" x14ac:dyDescent="0.3">
      <c r="A900">
        <v>899</v>
      </c>
      <c r="B900">
        <v>798161.86088902096</v>
      </c>
      <c r="C900">
        <v>0.35920303583871599</v>
      </c>
      <c r="D900">
        <v>-0.12744291563847901</v>
      </c>
      <c r="E900">
        <v>0.224620390539363</v>
      </c>
      <c r="F900">
        <v>1</v>
      </c>
      <c r="G900" t="s">
        <v>13</v>
      </c>
      <c r="H900">
        <v>0</v>
      </c>
      <c r="I900">
        <v>179283.42890651699</v>
      </c>
      <c r="J900">
        <v>0.775379609460636</v>
      </c>
      <c r="K900" t="str">
        <f t="shared" si="112"/>
        <v>OK</v>
      </c>
      <c r="L900" t="str">
        <f t="shared" si="113"/>
        <v>OK</v>
      </c>
      <c r="M900" t="str">
        <f>IF(OR(B900&lt;$AE$20,B900&gt;$AF$20),"Outlier","OK")</f>
        <v>OK</v>
      </c>
      <c r="N900" t="str">
        <f>IF(OR(J900&lt;$AE$21,J900&gt;$AF$21),"Outlier","OK")</f>
        <v>OK</v>
      </c>
      <c r="O900" t="str">
        <f>IF(OR(C900&lt;0,C900&gt;1),"Outlier","OK")</f>
        <v>OK</v>
      </c>
      <c r="P900" t="str">
        <f>IF(OR(D900&lt;0,D900&gt;1),"Outlier","OK")</f>
        <v>Outlier</v>
      </c>
      <c r="Q900" t="str">
        <f t="shared" si="114"/>
        <v>60-80%</v>
      </c>
      <c r="R900" t="str">
        <f>IF(B900="","Missing","OK")</f>
        <v>OK</v>
      </c>
      <c r="S900" t="str">
        <f>IF(E900="","Missing","OK")</f>
        <v>OK</v>
      </c>
      <c r="T900" t="str">
        <f t="shared" si="115"/>
        <v>OK</v>
      </c>
      <c r="U900">
        <f>COUNTIF($A:$A,A900)</f>
        <v>1</v>
      </c>
      <c r="V900" t="str">
        <f t="shared" si="116"/>
        <v>OK</v>
      </c>
      <c r="W900" t="str">
        <f>IF(I900&gt;B900,"ERROR","OK")</f>
        <v>OK</v>
      </c>
      <c r="X900">
        <f>(B900-I900)/B900</f>
        <v>0.77537960946063655</v>
      </c>
      <c r="Y900" s="2">
        <f t="shared" si="117"/>
        <v>5.5511151231257827E-16</v>
      </c>
      <c r="Z900" s="2" t="str">
        <f t="shared" si="118"/>
        <v>OK</v>
      </c>
      <c r="AA900" t="str">
        <f t="shared" si="119"/>
        <v>Unique</v>
      </c>
    </row>
    <row r="901" spans="1:27" x14ac:dyDescent="0.3">
      <c r="A901">
        <v>900</v>
      </c>
      <c r="B901">
        <v>168442.26474947401</v>
      </c>
      <c r="C901">
        <v>0.87093477322772805</v>
      </c>
      <c r="D901">
        <v>0.180038663926256</v>
      </c>
      <c r="E901">
        <v>0.20201055863235101</v>
      </c>
      <c r="F901">
        <v>1</v>
      </c>
      <c r="G901" t="s">
        <v>10</v>
      </c>
      <c r="H901">
        <v>0</v>
      </c>
      <c r="I901">
        <v>34027.115999339803</v>
      </c>
      <c r="J901">
        <v>0.79798944136764804</v>
      </c>
      <c r="K901" t="str">
        <f t="shared" si="112"/>
        <v>OK</v>
      </c>
      <c r="L901" t="str">
        <f t="shared" si="113"/>
        <v>OK</v>
      </c>
      <c r="M901" t="str">
        <f>IF(OR(B901&lt;$AE$20,B901&gt;$AF$20),"Outlier","OK")</f>
        <v>OK</v>
      </c>
      <c r="N901" t="str">
        <f>IF(OR(J901&lt;$AE$21,J901&gt;$AF$21),"Outlier","OK")</f>
        <v>OK</v>
      </c>
      <c r="O901" t="str">
        <f>IF(OR(C901&lt;0,C901&gt;1),"Outlier","OK")</f>
        <v>OK</v>
      </c>
      <c r="P901" t="str">
        <f>IF(OR(D901&lt;0,D901&gt;1),"Outlier","OK")</f>
        <v>OK</v>
      </c>
      <c r="Q901" t="str">
        <f t="shared" si="114"/>
        <v>60-80%</v>
      </c>
      <c r="R901" t="str">
        <f>IF(B901="","Missing","OK")</f>
        <v>OK</v>
      </c>
      <c r="S901" t="str">
        <f>IF(E901="","Missing","OK")</f>
        <v>OK</v>
      </c>
      <c r="T901" t="str">
        <f t="shared" si="115"/>
        <v>OK</v>
      </c>
      <c r="U901">
        <f>COUNTIF($A:$A,A901)</f>
        <v>1</v>
      </c>
      <c r="V901" t="str">
        <f t="shared" si="116"/>
        <v>OK</v>
      </c>
      <c r="W901" t="str">
        <f>IF(I901&gt;B901,"ERROR","OK")</f>
        <v>OK</v>
      </c>
      <c r="X901">
        <f>(B901-I901)/B901</f>
        <v>0.79798944136764793</v>
      </c>
      <c r="Y901" s="2">
        <f t="shared" si="117"/>
        <v>1.1102230246251565E-16</v>
      </c>
      <c r="Z901" s="2" t="str">
        <f t="shared" si="118"/>
        <v>OK</v>
      </c>
      <c r="AA901" t="str">
        <f t="shared" si="119"/>
        <v>Unique</v>
      </c>
    </row>
    <row r="902" spans="1:27" x14ac:dyDescent="0.3">
      <c r="A902">
        <v>901</v>
      </c>
      <c r="B902">
        <v>1798030.0594937101</v>
      </c>
      <c r="C902">
        <v>0.107107845276547</v>
      </c>
      <c r="D902">
        <v>-5.2600128054469703E-2</v>
      </c>
      <c r="E902">
        <v>0.47633817473100798</v>
      </c>
      <c r="F902">
        <v>1</v>
      </c>
      <c r="G902" t="s">
        <v>10</v>
      </c>
      <c r="H902">
        <v>0</v>
      </c>
      <c r="I902">
        <v>856470.35665072303</v>
      </c>
      <c r="J902">
        <v>0.52366182526899197</v>
      </c>
      <c r="K902" t="str">
        <f t="shared" si="112"/>
        <v>OK</v>
      </c>
      <c r="L902" t="str">
        <f t="shared" si="113"/>
        <v>OK</v>
      </c>
      <c r="M902" t="str">
        <f>IF(OR(B902&lt;$AE$20,B902&gt;$AF$20),"Outlier","OK")</f>
        <v>OK</v>
      </c>
      <c r="N902" t="str">
        <f>IF(OR(J902&lt;$AE$21,J902&gt;$AF$21),"Outlier","OK")</f>
        <v>OK</v>
      </c>
      <c r="O902" t="str">
        <f>IF(OR(C902&lt;0,C902&gt;1),"Outlier","OK")</f>
        <v>OK</v>
      </c>
      <c r="P902" t="str">
        <f>IF(OR(D902&lt;0,D902&gt;1),"Outlier","OK")</f>
        <v>Outlier</v>
      </c>
      <c r="Q902" t="str">
        <f t="shared" si="114"/>
        <v>40-60%</v>
      </c>
      <c r="R902" t="str">
        <f>IF(B902="","Missing","OK")</f>
        <v>OK</v>
      </c>
      <c r="S902" t="str">
        <f>IF(E902="","Missing","OK")</f>
        <v>OK</v>
      </c>
      <c r="T902" t="str">
        <f t="shared" si="115"/>
        <v>OK</v>
      </c>
      <c r="U902">
        <f>COUNTIF($A:$A,A902)</f>
        <v>1</v>
      </c>
      <c r="V902" t="str">
        <f t="shared" si="116"/>
        <v>OK</v>
      </c>
      <c r="W902" t="str">
        <f>IF(I902&gt;B902,"ERROR","OK")</f>
        <v>OK</v>
      </c>
      <c r="X902">
        <f>(B902-I902)/B902</f>
        <v>0.52366182526899008</v>
      </c>
      <c r="Y902" s="2">
        <f t="shared" si="117"/>
        <v>1.8873791418627661E-15</v>
      </c>
      <c r="Z902" s="2" t="str">
        <f t="shared" si="118"/>
        <v>OK</v>
      </c>
      <c r="AA902" t="str">
        <f t="shared" si="119"/>
        <v>Unique</v>
      </c>
    </row>
    <row r="903" spans="1:27" x14ac:dyDescent="0.3">
      <c r="A903">
        <v>902</v>
      </c>
      <c r="B903">
        <v>485377.42498945002</v>
      </c>
      <c r="C903">
        <v>0.25045115143059099</v>
      </c>
      <c r="D903">
        <v>3.9538957769511399E-2</v>
      </c>
      <c r="E903">
        <v>0.20831889610583801</v>
      </c>
      <c r="F903">
        <v>1</v>
      </c>
      <c r="G903" t="s">
        <v>11</v>
      </c>
      <c r="H903">
        <v>0</v>
      </c>
      <c r="I903">
        <v>101113.289368496</v>
      </c>
      <c r="J903">
        <v>0.79168110389416102</v>
      </c>
      <c r="K903" t="str">
        <f t="shared" si="112"/>
        <v>OK</v>
      </c>
      <c r="L903" t="str">
        <f t="shared" si="113"/>
        <v>OK</v>
      </c>
      <c r="M903" t="str">
        <f>IF(OR(B903&lt;$AE$20,B903&gt;$AF$20),"Outlier","OK")</f>
        <v>OK</v>
      </c>
      <c r="N903" t="str">
        <f>IF(OR(J903&lt;$AE$21,J903&gt;$AF$21),"Outlier","OK")</f>
        <v>OK</v>
      </c>
      <c r="O903" t="str">
        <f>IF(OR(C903&lt;0,C903&gt;1),"Outlier","OK")</f>
        <v>OK</v>
      </c>
      <c r="P903" t="str">
        <f>IF(OR(D903&lt;0,D903&gt;1),"Outlier","OK")</f>
        <v>OK</v>
      </c>
      <c r="Q903" t="str">
        <f t="shared" si="114"/>
        <v>60-80%</v>
      </c>
      <c r="R903" t="str">
        <f>IF(B903="","Missing","OK")</f>
        <v>OK</v>
      </c>
      <c r="S903" t="str">
        <f>IF(E903="","Missing","OK")</f>
        <v>OK</v>
      </c>
      <c r="T903" t="str">
        <f t="shared" si="115"/>
        <v>OK</v>
      </c>
      <c r="U903">
        <f>COUNTIF($A:$A,A903)</f>
        <v>1</v>
      </c>
      <c r="V903" t="str">
        <f t="shared" si="116"/>
        <v>OK</v>
      </c>
      <c r="W903" t="str">
        <f>IF(I903&gt;B903,"ERROR","OK")</f>
        <v>OK</v>
      </c>
      <c r="X903">
        <f>(B903-I903)/B903</f>
        <v>0.79168110389416291</v>
      </c>
      <c r="Y903" s="2">
        <f t="shared" si="117"/>
        <v>1.8873791418627661E-15</v>
      </c>
      <c r="Z903" s="2" t="str">
        <f t="shared" si="118"/>
        <v>OK</v>
      </c>
      <c r="AA903" t="str">
        <f t="shared" si="119"/>
        <v>Unique</v>
      </c>
    </row>
    <row r="904" spans="1:27" x14ac:dyDescent="0.3">
      <c r="A904">
        <v>903</v>
      </c>
      <c r="B904">
        <v>572842.63910700404</v>
      </c>
      <c r="C904">
        <v>0.104731035277706</v>
      </c>
      <c r="D904">
        <v>-0.11615050718231799</v>
      </c>
      <c r="E904">
        <v>0.288142305862156</v>
      </c>
      <c r="F904">
        <v>1</v>
      </c>
      <c r="G904" t="s">
        <v>12</v>
      </c>
      <c r="H904">
        <v>0</v>
      </c>
      <c r="I904">
        <v>165060.19892845501</v>
      </c>
      <c r="J904">
        <v>0.71185769413784294</v>
      </c>
      <c r="K904" t="str">
        <f t="shared" si="112"/>
        <v>OK</v>
      </c>
      <c r="L904" t="str">
        <f t="shared" si="113"/>
        <v>OK</v>
      </c>
      <c r="M904" t="str">
        <f>IF(OR(B904&lt;$AE$20,B904&gt;$AF$20),"Outlier","OK")</f>
        <v>OK</v>
      </c>
      <c r="N904" t="str">
        <f>IF(OR(J904&lt;$AE$21,J904&gt;$AF$21),"Outlier","OK")</f>
        <v>OK</v>
      </c>
      <c r="O904" t="str">
        <f>IF(OR(C904&lt;0,C904&gt;1),"Outlier","OK")</f>
        <v>OK</v>
      </c>
      <c r="P904" t="str">
        <f>IF(OR(D904&lt;0,D904&gt;1),"Outlier","OK")</f>
        <v>Outlier</v>
      </c>
      <c r="Q904" t="str">
        <f t="shared" si="114"/>
        <v>60-80%</v>
      </c>
      <c r="R904" t="str">
        <f>IF(B904="","Missing","OK")</f>
        <v>OK</v>
      </c>
      <c r="S904" t="str">
        <f>IF(E904="","Missing","OK")</f>
        <v>OK</v>
      </c>
      <c r="T904" t="str">
        <f t="shared" si="115"/>
        <v>OK</v>
      </c>
      <c r="U904">
        <f>COUNTIF($A:$A,A904)</f>
        <v>1</v>
      </c>
      <c r="V904" t="str">
        <f t="shared" si="116"/>
        <v>OK</v>
      </c>
      <c r="W904" t="str">
        <f>IF(I904&gt;B904,"ERROR","OK")</f>
        <v>OK</v>
      </c>
      <c r="X904">
        <f>(B904-I904)/B904</f>
        <v>0.71185769413784394</v>
      </c>
      <c r="Y904" s="2">
        <f t="shared" si="117"/>
        <v>9.9920072216264089E-16</v>
      </c>
      <c r="Z904" s="2" t="str">
        <f t="shared" si="118"/>
        <v>OK</v>
      </c>
      <c r="AA904" t="str">
        <f t="shared" si="119"/>
        <v>Unique</v>
      </c>
    </row>
    <row r="905" spans="1:27" x14ac:dyDescent="0.3">
      <c r="A905">
        <v>904</v>
      </c>
      <c r="B905">
        <v>429270.78711163002</v>
      </c>
      <c r="C905">
        <v>0.43596449402653598</v>
      </c>
      <c r="D905">
        <v>0.11468536649212099</v>
      </c>
      <c r="E905">
        <v>7.4448574698775499E-2</v>
      </c>
      <c r="F905">
        <v>1</v>
      </c>
      <c r="G905" t="s">
        <v>13</v>
      </c>
      <c r="H905">
        <v>0</v>
      </c>
      <c r="I905">
        <v>31958.598260282299</v>
      </c>
      <c r="J905">
        <v>0.92555142530122403</v>
      </c>
      <c r="K905" t="str">
        <f t="shared" si="112"/>
        <v>OK</v>
      </c>
      <c r="L905" t="str">
        <f t="shared" si="113"/>
        <v>OK</v>
      </c>
      <c r="M905" t="str">
        <f>IF(OR(B905&lt;$AE$20,B905&gt;$AF$20),"Outlier","OK")</f>
        <v>OK</v>
      </c>
      <c r="N905" t="str">
        <f>IF(OR(J905&lt;$AE$21,J905&gt;$AF$21),"Outlier","OK")</f>
        <v>OK</v>
      </c>
      <c r="O905" t="str">
        <f>IF(OR(C905&lt;0,C905&gt;1),"Outlier","OK")</f>
        <v>OK</v>
      </c>
      <c r="P905" t="str">
        <f>IF(OR(D905&lt;0,D905&gt;1),"Outlier","OK")</f>
        <v>OK</v>
      </c>
      <c r="Q905" t="str">
        <f t="shared" si="114"/>
        <v>80-100%</v>
      </c>
      <c r="R905" t="str">
        <f>IF(B905="","Missing","OK")</f>
        <v>OK</v>
      </c>
      <c r="S905" t="str">
        <f>IF(E905="","Missing","OK")</f>
        <v>OK</v>
      </c>
      <c r="T905" t="str">
        <f t="shared" si="115"/>
        <v>OK</v>
      </c>
      <c r="U905">
        <f>COUNTIF($A:$A,A905)</f>
        <v>1</v>
      </c>
      <c r="V905" t="str">
        <f t="shared" si="116"/>
        <v>OK</v>
      </c>
      <c r="W905" t="str">
        <f>IF(I905&gt;B905,"ERROR","OK")</f>
        <v>OK</v>
      </c>
      <c r="X905">
        <f>(B905-I905)/B905</f>
        <v>0.92555142530122458</v>
      </c>
      <c r="Y905" s="2">
        <f t="shared" si="117"/>
        <v>5.5511151231257827E-16</v>
      </c>
      <c r="Z905" s="2" t="str">
        <f t="shared" si="118"/>
        <v>OK</v>
      </c>
      <c r="AA905" t="str">
        <f t="shared" si="119"/>
        <v>Unique</v>
      </c>
    </row>
    <row r="906" spans="1:27" x14ac:dyDescent="0.3">
      <c r="A906">
        <v>905</v>
      </c>
      <c r="B906">
        <v>1936627.06677144</v>
      </c>
      <c r="C906">
        <v>0.82086525065124005</v>
      </c>
      <c r="D906">
        <v>0.15824455836001899</v>
      </c>
      <c r="E906">
        <v>0.45253911632661298</v>
      </c>
      <c r="F906">
        <v>1</v>
      </c>
      <c r="G906" t="s">
        <v>10</v>
      </c>
      <c r="H906">
        <v>0</v>
      </c>
      <c r="I906">
        <v>876399.50145095098</v>
      </c>
      <c r="J906">
        <v>0.54746088367338597</v>
      </c>
      <c r="K906" t="str">
        <f t="shared" si="112"/>
        <v>OK</v>
      </c>
      <c r="L906" t="str">
        <f t="shared" si="113"/>
        <v>OK</v>
      </c>
      <c r="M906" t="str">
        <f>IF(OR(B906&lt;$AE$20,B906&gt;$AF$20),"Outlier","OK")</f>
        <v>OK</v>
      </c>
      <c r="N906" t="str">
        <f>IF(OR(J906&lt;$AE$21,J906&gt;$AF$21),"Outlier","OK")</f>
        <v>OK</v>
      </c>
      <c r="O906" t="str">
        <f>IF(OR(C906&lt;0,C906&gt;1),"Outlier","OK")</f>
        <v>OK</v>
      </c>
      <c r="P906" t="str">
        <f>IF(OR(D906&lt;0,D906&gt;1),"Outlier","OK")</f>
        <v>OK</v>
      </c>
      <c r="Q906" t="str">
        <f t="shared" si="114"/>
        <v>40-60%</v>
      </c>
      <c r="R906" t="str">
        <f>IF(B906="","Missing","OK")</f>
        <v>OK</v>
      </c>
      <c r="S906" t="str">
        <f>IF(E906="","Missing","OK")</f>
        <v>OK</v>
      </c>
      <c r="T906" t="str">
        <f t="shared" si="115"/>
        <v>OK</v>
      </c>
      <c r="U906">
        <f>COUNTIF($A:$A,A906)</f>
        <v>1</v>
      </c>
      <c r="V906" t="str">
        <f t="shared" si="116"/>
        <v>OK</v>
      </c>
      <c r="W906" t="str">
        <f>IF(I906&gt;B906,"ERROR","OK")</f>
        <v>OK</v>
      </c>
      <c r="X906">
        <f>(B906-I906)/B906</f>
        <v>0.54746088367338541</v>
      </c>
      <c r="Y906" s="2">
        <f t="shared" si="117"/>
        <v>5.5511151231257827E-16</v>
      </c>
      <c r="Z906" s="2" t="str">
        <f t="shared" si="118"/>
        <v>OK</v>
      </c>
      <c r="AA906" t="str">
        <f t="shared" si="119"/>
        <v>Unique</v>
      </c>
    </row>
    <row r="907" spans="1:27" x14ac:dyDescent="0.3">
      <c r="A907">
        <v>906</v>
      </c>
      <c r="B907">
        <v>269453.168028193</v>
      </c>
      <c r="C907">
        <v>0.23877783214661699</v>
      </c>
      <c r="D907">
        <v>-1.5578289498610801E-2</v>
      </c>
      <c r="E907">
        <v>0.20513309562151499</v>
      </c>
      <c r="F907">
        <v>1</v>
      </c>
      <c r="G907" t="s">
        <v>12</v>
      </c>
      <c r="H907">
        <v>0</v>
      </c>
      <c r="I907">
        <v>55273.762482647602</v>
      </c>
      <c r="J907">
        <v>0.79486690437848495</v>
      </c>
      <c r="K907" t="str">
        <f t="shared" si="112"/>
        <v>OK</v>
      </c>
      <c r="L907" t="str">
        <f t="shared" si="113"/>
        <v>OK</v>
      </c>
      <c r="M907" t="str">
        <f>IF(OR(B907&lt;$AE$20,B907&gt;$AF$20),"Outlier","OK")</f>
        <v>OK</v>
      </c>
      <c r="N907" t="str">
        <f>IF(OR(J907&lt;$AE$21,J907&gt;$AF$21),"Outlier","OK")</f>
        <v>OK</v>
      </c>
      <c r="O907" t="str">
        <f>IF(OR(C907&lt;0,C907&gt;1),"Outlier","OK")</f>
        <v>OK</v>
      </c>
      <c r="P907" t="str">
        <f>IF(OR(D907&lt;0,D907&gt;1),"Outlier","OK")</f>
        <v>Outlier</v>
      </c>
      <c r="Q907" t="str">
        <f t="shared" si="114"/>
        <v>60-80%</v>
      </c>
      <c r="R907" t="str">
        <f>IF(B907="","Missing","OK")</f>
        <v>OK</v>
      </c>
      <c r="S907" t="str">
        <f>IF(E907="","Missing","OK")</f>
        <v>OK</v>
      </c>
      <c r="T907" t="str">
        <f t="shared" si="115"/>
        <v>OK</v>
      </c>
      <c r="U907">
        <f>COUNTIF($A:$A,A907)</f>
        <v>1</v>
      </c>
      <c r="V907" t="str">
        <f t="shared" si="116"/>
        <v>OK</v>
      </c>
      <c r="W907" t="str">
        <f>IF(I907&gt;B907,"ERROR","OK")</f>
        <v>OK</v>
      </c>
      <c r="X907">
        <f>(B907-I907)/B907</f>
        <v>0.79486690437848451</v>
      </c>
      <c r="Y907" s="2">
        <f t="shared" si="117"/>
        <v>4.4408920985006262E-16</v>
      </c>
      <c r="Z907" s="2" t="str">
        <f t="shared" si="118"/>
        <v>OK</v>
      </c>
      <c r="AA907" t="str">
        <f t="shared" si="119"/>
        <v>Unique</v>
      </c>
    </row>
    <row r="908" spans="1:27" x14ac:dyDescent="0.3">
      <c r="A908">
        <v>907</v>
      </c>
      <c r="B908">
        <v>1458218.3222211101</v>
      </c>
      <c r="C908">
        <v>0.44966905857348199</v>
      </c>
      <c r="D908">
        <v>0.14666658791850901</v>
      </c>
      <c r="E908">
        <v>0.64371101029565103</v>
      </c>
      <c r="F908">
        <v>1</v>
      </c>
      <c r="G908" t="s">
        <v>11</v>
      </c>
      <c r="H908">
        <v>0</v>
      </c>
      <c r="I908">
        <v>938671.18942858698</v>
      </c>
      <c r="J908">
        <v>0.35628898970434802</v>
      </c>
      <c r="K908" t="str">
        <f t="shared" si="112"/>
        <v>OK</v>
      </c>
      <c r="L908" t="str">
        <f t="shared" si="113"/>
        <v>OK</v>
      </c>
      <c r="M908" t="str">
        <f>IF(OR(B908&lt;$AE$20,B908&gt;$AF$20),"Outlier","OK")</f>
        <v>OK</v>
      </c>
      <c r="N908" t="str">
        <f>IF(OR(J908&lt;$AE$21,J908&gt;$AF$21),"Outlier","OK")</f>
        <v>OK</v>
      </c>
      <c r="O908" t="str">
        <f>IF(OR(C908&lt;0,C908&gt;1),"Outlier","OK")</f>
        <v>OK</v>
      </c>
      <c r="P908" t="str">
        <f>IF(OR(D908&lt;0,D908&gt;1),"Outlier","OK")</f>
        <v>OK</v>
      </c>
      <c r="Q908" t="str">
        <f t="shared" si="114"/>
        <v>20-40%</v>
      </c>
      <c r="R908" t="str">
        <f>IF(B908="","Missing","OK")</f>
        <v>OK</v>
      </c>
      <c r="S908" t="str">
        <f>IF(E908="","Missing","OK")</f>
        <v>OK</v>
      </c>
      <c r="T908" t="str">
        <f t="shared" si="115"/>
        <v>OK</v>
      </c>
      <c r="U908">
        <f>COUNTIF($A:$A,A908)</f>
        <v>1</v>
      </c>
      <c r="V908" t="str">
        <f t="shared" si="116"/>
        <v>OK</v>
      </c>
      <c r="W908" t="str">
        <f>IF(I908&gt;B908,"ERROR","OK")</f>
        <v>OK</v>
      </c>
      <c r="X908">
        <f>(B908-I908)/B908</f>
        <v>0.35628898970434419</v>
      </c>
      <c r="Y908" s="2">
        <f t="shared" si="117"/>
        <v>3.8302694349567901E-15</v>
      </c>
      <c r="Z908" s="2" t="str">
        <f t="shared" si="118"/>
        <v>OK</v>
      </c>
      <c r="AA908" t="str">
        <f t="shared" si="119"/>
        <v>Unique</v>
      </c>
    </row>
    <row r="909" spans="1:27" x14ac:dyDescent="0.3">
      <c r="A909">
        <v>908</v>
      </c>
      <c r="B909">
        <v>1867573.0489356201</v>
      </c>
      <c r="C909">
        <v>0.21144133893974301</v>
      </c>
      <c r="D909">
        <v>6.4003874202292393E-2</v>
      </c>
      <c r="E909">
        <v>0.54340111774058197</v>
      </c>
      <c r="F909">
        <v>1</v>
      </c>
      <c r="G909" t="s">
        <v>11</v>
      </c>
      <c r="H909">
        <v>1</v>
      </c>
      <c r="I909">
        <v>1014841.2822538</v>
      </c>
      <c r="J909">
        <v>0.45659888225941703</v>
      </c>
      <c r="K909" t="str">
        <f t="shared" si="112"/>
        <v>OK</v>
      </c>
      <c r="L909" t="str">
        <f t="shared" si="113"/>
        <v>OK</v>
      </c>
      <c r="M909" t="str">
        <f>IF(OR(B909&lt;$AE$20,B909&gt;$AF$20),"Outlier","OK")</f>
        <v>OK</v>
      </c>
      <c r="N909" t="str">
        <f>IF(OR(J909&lt;$AE$21,J909&gt;$AF$21),"Outlier","OK")</f>
        <v>OK</v>
      </c>
      <c r="O909" t="str">
        <f>IF(OR(C909&lt;0,C909&gt;1),"Outlier","OK")</f>
        <v>OK</v>
      </c>
      <c r="P909" t="str">
        <f>IF(OR(D909&lt;0,D909&gt;1),"Outlier","OK")</f>
        <v>OK</v>
      </c>
      <c r="Q909" t="str">
        <f t="shared" si="114"/>
        <v>40-60%</v>
      </c>
      <c r="R909" t="str">
        <f>IF(B909="","Missing","OK")</f>
        <v>OK</v>
      </c>
      <c r="S909" t="str">
        <f>IF(E909="","Missing","OK")</f>
        <v>OK</v>
      </c>
      <c r="T909" t="str">
        <f t="shared" si="115"/>
        <v>OK</v>
      </c>
      <c r="U909">
        <f>COUNTIF($A:$A,A909)</f>
        <v>1</v>
      </c>
      <c r="V909" t="str">
        <f t="shared" si="116"/>
        <v>OK</v>
      </c>
      <c r="W909" t="str">
        <f>IF(I909&gt;B909,"ERROR","OK")</f>
        <v>OK</v>
      </c>
      <c r="X909">
        <f>(B909-I909)/B909</f>
        <v>0.45659888225941941</v>
      </c>
      <c r="Y909" s="2">
        <f t="shared" si="117"/>
        <v>2.3869795029440866E-15</v>
      </c>
      <c r="Z909" s="2" t="str">
        <f t="shared" si="118"/>
        <v>OK</v>
      </c>
      <c r="AA909" t="str">
        <f t="shared" si="119"/>
        <v>Unique</v>
      </c>
    </row>
    <row r="910" spans="1:27" x14ac:dyDescent="0.3">
      <c r="A910">
        <v>909</v>
      </c>
      <c r="B910">
        <v>1352602.5258784899</v>
      </c>
      <c r="C910">
        <v>0.41536006488573302</v>
      </c>
      <c r="D910">
        <v>-0.18555312366580601</v>
      </c>
      <c r="E910">
        <v>0.55202294983686995</v>
      </c>
      <c r="F910">
        <v>1</v>
      </c>
      <c r="G910" t="s">
        <v>12</v>
      </c>
      <c r="H910">
        <v>0</v>
      </c>
      <c r="I910">
        <v>746667.63629224699</v>
      </c>
      <c r="J910">
        <v>0.447977050163129</v>
      </c>
      <c r="K910" t="str">
        <f t="shared" si="112"/>
        <v>OK</v>
      </c>
      <c r="L910" t="str">
        <f t="shared" si="113"/>
        <v>OK</v>
      </c>
      <c r="M910" t="str">
        <f>IF(OR(B910&lt;$AE$20,B910&gt;$AF$20),"Outlier","OK")</f>
        <v>OK</v>
      </c>
      <c r="N910" t="str">
        <f>IF(OR(J910&lt;$AE$21,J910&gt;$AF$21),"Outlier","OK")</f>
        <v>OK</v>
      </c>
      <c r="O910" t="str">
        <f>IF(OR(C910&lt;0,C910&gt;1),"Outlier","OK")</f>
        <v>OK</v>
      </c>
      <c r="P910" t="str">
        <f>IF(OR(D910&lt;0,D910&gt;1),"Outlier","OK")</f>
        <v>Outlier</v>
      </c>
      <c r="Q910" t="str">
        <f t="shared" si="114"/>
        <v>40-60%</v>
      </c>
      <c r="R910" t="str">
        <f>IF(B910="","Missing","OK")</f>
        <v>OK</v>
      </c>
      <c r="S910" t="str">
        <f>IF(E910="","Missing","OK")</f>
        <v>OK</v>
      </c>
      <c r="T910" t="str">
        <f t="shared" si="115"/>
        <v>OK</v>
      </c>
      <c r="U910">
        <f>COUNTIF($A:$A,A910)</f>
        <v>1</v>
      </c>
      <c r="V910" t="str">
        <f t="shared" si="116"/>
        <v>OK</v>
      </c>
      <c r="W910" t="str">
        <f>IF(I910&gt;B910,"ERROR","OK")</f>
        <v>OK</v>
      </c>
      <c r="X910">
        <f>(B910-I910)/B910</f>
        <v>0.44797705016312878</v>
      </c>
      <c r="Y910" s="2">
        <f t="shared" si="117"/>
        <v>2.2204460492503131E-16</v>
      </c>
      <c r="Z910" s="2" t="str">
        <f t="shared" si="118"/>
        <v>OK</v>
      </c>
      <c r="AA910" t="str">
        <f t="shared" si="119"/>
        <v>Unique</v>
      </c>
    </row>
    <row r="911" spans="1:27" x14ac:dyDescent="0.3">
      <c r="A911">
        <v>910</v>
      </c>
      <c r="B911">
        <v>1724516.8884326899</v>
      </c>
      <c r="C911">
        <v>0.23217390364665899</v>
      </c>
      <c r="D911">
        <v>-0.101609377505974</v>
      </c>
      <c r="E911">
        <v>0.35767628542737501</v>
      </c>
      <c r="F911">
        <v>1</v>
      </c>
      <c r="G911" t="s">
        <v>10</v>
      </c>
      <c r="H911">
        <v>1</v>
      </c>
      <c r="I911">
        <v>616818.79481138103</v>
      </c>
      <c r="J911">
        <v>0.64232371457262405</v>
      </c>
      <c r="K911" t="str">
        <f t="shared" si="112"/>
        <v>OK</v>
      </c>
      <c r="L911" t="str">
        <f t="shared" si="113"/>
        <v>OK</v>
      </c>
      <c r="M911" t="str">
        <f>IF(OR(B911&lt;$AE$20,B911&gt;$AF$20),"Outlier","OK")</f>
        <v>OK</v>
      </c>
      <c r="N911" t="str">
        <f>IF(OR(J911&lt;$AE$21,J911&gt;$AF$21),"Outlier","OK")</f>
        <v>OK</v>
      </c>
      <c r="O911" t="str">
        <f>IF(OR(C911&lt;0,C911&gt;1),"Outlier","OK")</f>
        <v>OK</v>
      </c>
      <c r="P911" t="str">
        <f>IF(OR(D911&lt;0,D911&gt;1),"Outlier","OK")</f>
        <v>Outlier</v>
      </c>
      <c r="Q911" t="str">
        <f t="shared" si="114"/>
        <v>60-80%</v>
      </c>
      <c r="R911" t="str">
        <f>IF(B911="","Missing","OK")</f>
        <v>OK</v>
      </c>
      <c r="S911" t="str">
        <f>IF(E911="","Missing","OK")</f>
        <v>OK</v>
      </c>
      <c r="T911" t="str">
        <f t="shared" si="115"/>
        <v>OK</v>
      </c>
      <c r="U911">
        <f>COUNTIF($A:$A,A911)</f>
        <v>1</v>
      </c>
      <c r="V911" t="str">
        <f t="shared" si="116"/>
        <v>OK</v>
      </c>
      <c r="W911" t="str">
        <f>IF(I911&gt;B911,"ERROR","OK")</f>
        <v>OK</v>
      </c>
      <c r="X911">
        <f>(B911-I911)/B911</f>
        <v>0.64232371457262405</v>
      </c>
      <c r="Y911" s="2">
        <f t="shared" si="117"/>
        <v>0</v>
      </c>
      <c r="Z911" s="2" t="str">
        <f t="shared" si="118"/>
        <v>OK</v>
      </c>
      <c r="AA911" t="str">
        <f t="shared" si="119"/>
        <v>Unique</v>
      </c>
    </row>
    <row r="912" spans="1:27" x14ac:dyDescent="0.3">
      <c r="A912">
        <v>911</v>
      </c>
      <c r="B912">
        <v>522771.84873084002</v>
      </c>
      <c r="C912">
        <v>0.107784610114212</v>
      </c>
      <c r="D912">
        <v>0.124859725716695</v>
      </c>
      <c r="E912">
        <v>0.181877322089464</v>
      </c>
      <c r="F912">
        <v>1</v>
      </c>
      <c r="G912" t="s">
        <v>11</v>
      </c>
      <c r="H912">
        <v>1</v>
      </c>
      <c r="I912">
        <v>95080.343910924101</v>
      </c>
      <c r="J912">
        <v>0.81812267791053495</v>
      </c>
      <c r="K912" t="str">
        <f t="shared" si="112"/>
        <v>OK</v>
      </c>
      <c r="L912" t="str">
        <f t="shared" si="113"/>
        <v>OK</v>
      </c>
      <c r="M912" t="str">
        <f>IF(OR(B912&lt;$AE$20,B912&gt;$AF$20),"Outlier","OK")</f>
        <v>OK</v>
      </c>
      <c r="N912" t="str">
        <f>IF(OR(J912&lt;$AE$21,J912&gt;$AF$21),"Outlier","OK")</f>
        <v>OK</v>
      </c>
      <c r="O912" t="str">
        <f>IF(OR(C912&lt;0,C912&gt;1),"Outlier","OK")</f>
        <v>OK</v>
      </c>
      <c r="P912" t="str">
        <f>IF(OR(D912&lt;0,D912&gt;1),"Outlier","OK")</f>
        <v>OK</v>
      </c>
      <c r="Q912" t="str">
        <f t="shared" si="114"/>
        <v>80-100%</v>
      </c>
      <c r="R912" t="str">
        <f>IF(B912="","Missing","OK")</f>
        <v>OK</v>
      </c>
      <c r="S912" t="str">
        <f>IF(E912="","Missing","OK")</f>
        <v>OK</v>
      </c>
      <c r="T912" t="str">
        <f t="shared" si="115"/>
        <v>OK</v>
      </c>
      <c r="U912">
        <f>COUNTIF($A:$A,A912)</f>
        <v>1</v>
      </c>
      <c r="V912" t="str">
        <f t="shared" si="116"/>
        <v>OK</v>
      </c>
      <c r="W912" t="str">
        <f>IF(I912&gt;B912,"ERROR","OK")</f>
        <v>OK</v>
      </c>
      <c r="X912">
        <f>(B912-I912)/B912</f>
        <v>0.81812267791053495</v>
      </c>
      <c r="Y912" s="2">
        <f t="shared" si="117"/>
        <v>0</v>
      </c>
      <c r="Z912" s="2" t="str">
        <f t="shared" si="118"/>
        <v>OK</v>
      </c>
      <c r="AA912" t="str">
        <f t="shared" si="119"/>
        <v>Unique</v>
      </c>
    </row>
    <row r="913" spans="1:27" x14ac:dyDescent="0.3">
      <c r="A913">
        <v>912</v>
      </c>
      <c r="B913">
        <v>1364159.5582580201</v>
      </c>
      <c r="C913">
        <v>0.58717223941376095</v>
      </c>
      <c r="D913">
        <v>0.148421577402885</v>
      </c>
      <c r="E913">
        <v>0.131912844416255</v>
      </c>
      <c r="F913">
        <v>1</v>
      </c>
      <c r="G913" t="s">
        <v>11</v>
      </c>
      <c r="H913">
        <v>1</v>
      </c>
      <c r="I913">
        <v>179950.167567439</v>
      </c>
      <c r="J913">
        <v>0.86808715558374405</v>
      </c>
      <c r="K913" t="str">
        <f t="shared" si="112"/>
        <v>OK</v>
      </c>
      <c r="L913" t="str">
        <f t="shared" si="113"/>
        <v>OK</v>
      </c>
      <c r="M913" t="str">
        <f>IF(OR(B913&lt;$AE$20,B913&gt;$AF$20),"Outlier","OK")</f>
        <v>OK</v>
      </c>
      <c r="N913" t="str">
        <f>IF(OR(J913&lt;$AE$21,J913&gt;$AF$21),"Outlier","OK")</f>
        <v>OK</v>
      </c>
      <c r="O913" t="str">
        <f>IF(OR(C913&lt;0,C913&gt;1),"Outlier","OK")</f>
        <v>OK</v>
      </c>
      <c r="P913" t="str">
        <f>IF(OR(D913&lt;0,D913&gt;1),"Outlier","OK")</f>
        <v>OK</v>
      </c>
      <c r="Q913" t="str">
        <f t="shared" si="114"/>
        <v>80-100%</v>
      </c>
      <c r="R913" t="str">
        <f>IF(B913="","Missing","OK")</f>
        <v>OK</v>
      </c>
      <c r="S913" t="str">
        <f>IF(E913="","Missing","OK")</f>
        <v>OK</v>
      </c>
      <c r="T913" t="str">
        <f t="shared" si="115"/>
        <v>OK</v>
      </c>
      <c r="U913">
        <f>COUNTIF($A:$A,A913)</f>
        <v>1</v>
      </c>
      <c r="V913" t="str">
        <f t="shared" si="116"/>
        <v>OK</v>
      </c>
      <c r="W913" t="str">
        <f>IF(I913&gt;B913,"ERROR","OK")</f>
        <v>OK</v>
      </c>
      <c r="X913">
        <f>(B913-I913)/B913</f>
        <v>0.86808715558374383</v>
      </c>
      <c r="Y913" s="2">
        <f t="shared" si="117"/>
        <v>2.2204460492503131E-16</v>
      </c>
      <c r="Z913" s="2" t="str">
        <f t="shared" si="118"/>
        <v>OK</v>
      </c>
      <c r="AA913" t="str">
        <f t="shared" si="119"/>
        <v>Unique</v>
      </c>
    </row>
    <row r="914" spans="1:27" x14ac:dyDescent="0.3">
      <c r="A914">
        <v>913</v>
      </c>
      <c r="B914">
        <v>1416699.11293529</v>
      </c>
      <c r="C914">
        <v>0.19375617939381601</v>
      </c>
      <c r="D914">
        <v>-7.6558140027008503E-2</v>
      </c>
      <c r="E914">
        <v>0.260444838896015</v>
      </c>
      <c r="F914">
        <v>1</v>
      </c>
      <c r="G914" t="s">
        <v>10</v>
      </c>
      <c r="H914">
        <v>1</v>
      </c>
      <c r="I914">
        <v>368971.97223255999</v>
      </c>
      <c r="J914">
        <v>0.739555161103984</v>
      </c>
      <c r="K914" t="str">
        <f t="shared" si="112"/>
        <v>OK</v>
      </c>
      <c r="L914" t="str">
        <f t="shared" si="113"/>
        <v>OK</v>
      </c>
      <c r="M914" t="str">
        <f>IF(OR(B914&lt;$AE$20,B914&gt;$AF$20),"Outlier","OK")</f>
        <v>OK</v>
      </c>
      <c r="N914" t="str">
        <f>IF(OR(J914&lt;$AE$21,J914&gt;$AF$21),"Outlier","OK")</f>
        <v>OK</v>
      </c>
      <c r="O914" t="str">
        <f>IF(OR(C914&lt;0,C914&gt;1),"Outlier","OK")</f>
        <v>OK</v>
      </c>
      <c r="P914" t="str">
        <f>IF(OR(D914&lt;0,D914&gt;1),"Outlier","OK")</f>
        <v>Outlier</v>
      </c>
      <c r="Q914" t="str">
        <f t="shared" si="114"/>
        <v>60-80%</v>
      </c>
      <c r="R914" t="str">
        <f>IF(B914="","Missing","OK")</f>
        <v>OK</v>
      </c>
      <c r="S914" t="str">
        <f>IF(E914="","Missing","OK")</f>
        <v>OK</v>
      </c>
      <c r="T914" t="str">
        <f t="shared" si="115"/>
        <v>OK</v>
      </c>
      <c r="U914">
        <f>COUNTIF($A:$A,A914)</f>
        <v>1</v>
      </c>
      <c r="V914" t="str">
        <f t="shared" si="116"/>
        <v>OK</v>
      </c>
      <c r="W914" t="str">
        <f>IF(I914&gt;B914,"ERROR","OK")</f>
        <v>OK</v>
      </c>
      <c r="X914">
        <f>(B914-I914)/B914</f>
        <v>0.73955516110398434</v>
      </c>
      <c r="Y914" s="2">
        <f t="shared" si="117"/>
        <v>3.3306690738754696E-16</v>
      </c>
      <c r="Z914" s="2" t="str">
        <f t="shared" si="118"/>
        <v>OK</v>
      </c>
      <c r="AA914" t="str">
        <f t="shared" si="119"/>
        <v>Unique</v>
      </c>
    </row>
    <row r="915" spans="1:27" x14ac:dyDescent="0.3">
      <c r="A915">
        <v>914</v>
      </c>
      <c r="B915">
        <v>943748.39971230202</v>
      </c>
      <c r="C915">
        <v>0.57565730036144702</v>
      </c>
      <c r="D915">
        <v>0.16791451880580699</v>
      </c>
      <c r="E915">
        <v>0.34837242667288099</v>
      </c>
      <c r="F915">
        <v>1</v>
      </c>
      <c r="G915" t="s">
        <v>13</v>
      </c>
      <c r="H915">
        <v>1</v>
      </c>
      <c r="I915">
        <v>328775.92017642298</v>
      </c>
      <c r="J915">
        <v>0.65162757332711796</v>
      </c>
      <c r="K915" t="str">
        <f t="shared" si="112"/>
        <v>OK</v>
      </c>
      <c r="L915" t="str">
        <f t="shared" si="113"/>
        <v>OK</v>
      </c>
      <c r="M915" t="str">
        <f>IF(OR(B915&lt;$AE$20,B915&gt;$AF$20),"Outlier","OK")</f>
        <v>OK</v>
      </c>
      <c r="N915" t="str">
        <f>IF(OR(J915&lt;$AE$21,J915&gt;$AF$21),"Outlier","OK")</f>
        <v>OK</v>
      </c>
      <c r="O915" t="str">
        <f>IF(OR(C915&lt;0,C915&gt;1),"Outlier","OK")</f>
        <v>OK</v>
      </c>
      <c r="P915" t="str">
        <f>IF(OR(D915&lt;0,D915&gt;1),"Outlier","OK")</f>
        <v>OK</v>
      </c>
      <c r="Q915" t="str">
        <f t="shared" si="114"/>
        <v>60-80%</v>
      </c>
      <c r="R915" t="str">
        <f>IF(B915="","Missing","OK")</f>
        <v>OK</v>
      </c>
      <c r="S915" t="str">
        <f>IF(E915="","Missing","OK")</f>
        <v>OK</v>
      </c>
      <c r="T915" t="str">
        <f t="shared" si="115"/>
        <v>OK</v>
      </c>
      <c r="U915">
        <f>COUNTIF($A:$A,A915)</f>
        <v>1</v>
      </c>
      <c r="V915" t="str">
        <f t="shared" si="116"/>
        <v>OK</v>
      </c>
      <c r="W915" t="str">
        <f>IF(I915&gt;B915,"ERROR","OK")</f>
        <v>OK</v>
      </c>
      <c r="X915">
        <f>(B915-I915)/B915</f>
        <v>0.65162757332711874</v>
      </c>
      <c r="Y915" s="2">
        <f t="shared" si="117"/>
        <v>7.7715611723760958E-16</v>
      </c>
      <c r="Z915" s="2" t="str">
        <f t="shared" si="118"/>
        <v>OK</v>
      </c>
      <c r="AA915" t="str">
        <f t="shared" si="119"/>
        <v>Unique</v>
      </c>
    </row>
    <row r="916" spans="1:27" x14ac:dyDescent="0.3">
      <c r="A916">
        <v>915</v>
      </c>
      <c r="B916">
        <v>1747563.96019639</v>
      </c>
      <c r="C916">
        <v>0.82722547641830402</v>
      </c>
      <c r="D916">
        <v>-0.19194312170230901</v>
      </c>
      <c r="E916">
        <v>0.21455449659703199</v>
      </c>
      <c r="F916">
        <v>1</v>
      </c>
      <c r="G916" t="s">
        <v>11</v>
      </c>
      <c r="H916">
        <v>0</v>
      </c>
      <c r="I916">
        <v>374947.705751053</v>
      </c>
      <c r="J916">
        <v>0.78544550340296704</v>
      </c>
      <c r="K916" t="str">
        <f t="shared" si="112"/>
        <v>OK</v>
      </c>
      <c r="L916" t="str">
        <f t="shared" si="113"/>
        <v>OK</v>
      </c>
      <c r="M916" t="str">
        <f>IF(OR(B916&lt;$AE$20,B916&gt;$AF$20),"Outlier","OK")</f>
        <v>OK</v>
      </c>
      <c r="N916" t="str">
        <f>IF(OR(J916&lt;$AE$21,J916&gt;$AF$21),"Outlier","OK")</f>
        <v>OK</v>
      </c>
      <c r="O916" t="str">
        <f>IF(OR(C916&lt;0,C916&gt;1),"Outlier","OK")</f>
        <v>OK</v>
      </c>
      <c r="P916" t="str">
        <f>IF(OR(D916&lt;0,D916&gt;1),"Outlier","OK")</f>
        <v>Outlier</v>
      </c>
      <c r="Q916" t="str">
        <f t="shared" si="114"/>
        <v>60-80%</v>
      </c>
      <c r="R916" t="str">
        <f>IF(B916="","Missing","OK")</f>
        <v>OK</v>
      </c>
      <c r="S916" t="str">
        <f>IF(E916="","Missing","OK")</f>
        <v>OK</v>
      </c>
      <c r="T916" t="str">
        <f t="shared" si="115"/>
        <v>OK</v>
      </c>
      <c r="U916">
        <f>COUNTIF($A:$A,A916)</f>
        <v>1</v>
      </c>
      <c r="V916" t="str">
        <f t="shared" si="116"/>
        <v>OK</v>
      </c>
      <c r="W916" t="str">
        <f>IF(I916&gt;B916,"ERROR","OK")</f>
        <v>OK</v>
      </c>
      <c r="X916">
        <f>(B916-I916)/B916</f>
        <v>0.78544550340296748</v>
      </c>
      <c r="Y916" s="2">
        <f t="shared" si="117"/>
        <v>4.4408920985006262E-16</v>
      </c>
      <c r="Z916" s="2" t="str">
        <f t="shared" si="118"/>
        <v>OK</v>
      </c>
      <c r="AA916" t="str">
        <f t="shared" si="119"/>
        <v>Unique</v>
      </c>
    </row>
    <row r="917" spans="1:27" x14ac:dyDescent="0.3">
      <c r="A917">
        <v>916</v>
      </c>
      <c r="B917">
        <v>1404052.8953287201</v>
      </c>
      <c r="C917">
        <v>0.20066829470289799</v>
      </c>
      <c r="D917">
        <v>2.4286221866704299E-2</v>
      </c>
      <c r="E917">
        <v>0.31214145641448898</v>
      </c>
      <c r="F917">
        <v>1</v>
      </c>
      <c r="G917" t="s">
        <v>10</v>
      </c>
      <c r="H917">
        <v>1</v>
      </c>
      <c r="I917">
        <v>438263.11563088797</v>
      </c>
      <c r="J917">
        <v>0.68785854358551002</v>
      </c>
      <c r="K917" t="str">
        <f t="shared" si="112"/>
        <v>OK</v>
      </c>
      <c r="L917" t="str">
        <f t="shared" si="113"/>
        <v>OK</v>
      </c>
      <c r="M917" t="str">
        <f>IF(OR(B917&lt;$AE$20,B917&gt;$AF$20),"Outlier","OK")</f>
        <v>OK</v>
      </c>
      <c r="N917" t="str">
        <f>IF(OR(J917&lt;$AE$21,J917&gt;$AF$21),"Outlier","OK")</f>
        <v>OK</v>
      </c>
      <c r="O917" t="str">
        <f>IF(OR(C917&lt;0,C917&gt;1),"Outlier","OK")</f>
        <v>OK</v>
      </c>
      <c r="P917" t="str">
        <f>IF(OR(D917&lt;0,D917&gt;1),"Outlier","OK")</f>
        <v>OK</v>
      </c>
      <c r="Q917" t="str">
        <f t="shared" si="114"/>
        <v>60-80%</v>
      </c>
      <c r="R917" t="str">
        <f>IF(B917="","Missing","OK")</f>
        <v>OK</v>
      </c>
      <c r="S917" t="str">
        <f>IF(E917="","Missing","OK")</f>
        <v>OK</v>
      </c>
      <c r="T917" t="str">
        <f t="shared" si="115"/>
        <v>OK</v>
      </c>
      <c r="U917">
        <f>COUNTIF($A:$A,A917)</f>
        <v>1</v>
      </c>
      <c r="V917" t="str">
        <f t="shared" si="116"/>
        <v>OK</v>
      </c>
      <c r="W917" t="str">
        <f>IF(I917&gt;B917,"ERROR","OK")</f>
        <v>OK</v>
      </c>
      <c r="X917">
        <f>(B917-I917)/B917</f>
        <v>0.68785854358551024</v>
      </c>
      <c r="Y917" s="2">
        <f t="shared" si="117"/>
        <v>2.2204460492503131E-16</v>
      </c>
      <c r="Z917" s="2" t="str">
        <f t="shared" si="118"/>
        <v>OK</v>
      </c>
      <c r="AA917" t="str">
        <f t="shared" si="119"/>
        <v>Unique</v>
      </c>
    </row>
    <row r="918" spans="1:27" x14ac:dyDescent="0.3">
      <c r="A918">
        <v>917</v>
      </c>
      <c r="B918">
        <v>1795011.6927207201</v>
      </c>
      <c r="C918">
        <v>0.13253041160638099</v>
      </c>
      <c r="D918">
        <v>0.17940763601944801</v>
      </c>
      <c r="E918">
        <v>0.33889235753644298</v>
      </c>
      <c r="F918">
        <v>1</v>
      </c>
      <c r="G918" t="s">
        <v>12</v>
      </c>
      <c r="H918">
        <v>0</v>
      </c>
      <c r="I918">
        <v>608315.74435160798</v>
      </c>
      <c r="J918">
        <v>0.66110764246355602</v>
      </c>
      <c r="K918" t="str">
        <f t="shared" si="112"/>
        <v>OK</v>
      </c>
      <c r="L918" t="str">
        <f t="shared" si="113"/>
        <v>OK</v>
      </c>
      <c r="M918" t="str">
        <f>IF(OR(B918&lt;$AE$20,B918&gt;$AF$20),"Outlier","OK")</f>
        <v>OK</v>
      </c>
      <c r="N918" t="str">
        <f>IF(OR(J918&lt;$AE$21,J918&gt;$AF$21),"Outlier","OK")</f>
        <v>OK</v>
      </c>
      <c r="O918" t="str">
        <f>IF(OR(C918&lt;0,C918&gt;1),"Outlier","OK")</f>
        <v>OK</v>
      </c>
      <c r="P918" t="str">
        <f>IF(OR(D918&lt;0,D918&gt;1),"Outlier","OK")</f>
        <v>OK</v>
      </c>
      <c r="Q918" t="str">
        <f t="shared" si="114"/>
        <v>60-80%</v>
      </c>
      <c r="R918" t="str">
        <f>IF(B918="","Missing","OK")</f>
        <v>OK</v>
      </c>
      <c r="S918" t="str">
        <f>IF(E918="","Missing","OK")</f>
        <v>OK</v>
      </c>
      <c r="T918" t="str">
        <f t="shared" si="115"/>
        <v>OK</v>
      </c>
      <c r="U918">
        <f>COUNTIF($A:$A,A918)</f>
        <v>1</v>
      </c>
      <c r="V918" t="str">
        <f t="shared" si="116"/>
        <v>OK</v>
      </c>
      <c r="W918" t="str">
        <f>IF(I918&gt;B918,"ERROR","OK")</f>
        <v>OK</v>
      </c>
      <c r="X918">
        <f>(B918-I918)/B918</f>
        <v>0.66110764246355591</v>
      </c>
      <c r="Y918" s="2">
        <f t="shared" si="117"/>
        <v>1.1102230246251565E-16</v>
      </c>
      <c r="Z918" s="2" t="str">
        <f t="shared" si="118"/>
        <v>OK</v>
      </c>
      <c r="AA918" t="str">
        <f t="shared" si="119"/>
        <v>Unique</v>
      </c>
    </row>
    <row r="919" spans="1:27" x14ac:dyDescent="0.3">
      <c r="A919">
        <v>918</v>
      </c>
      <c r="B919">
        <v>1518748.48888328</v>
      </c>
      <c r="C919">
        <v>0.70801832503683004</v>
      </c>
      <c r="D919">
        <v>-1.79428227956702E-2</v>
      </c>
      <c r="E919">
        <v>0.23605553280328201</v>
      </c>
      <c r="F919">
        <v>1</v>
      </c>
      <c r="G919" t="s">
        <v>13</v>
      </c>
      <c r="H919">
        <v>0</v>
      </c>
      <c r="I919">
        <v>358508.98373752303</v>
      </c>
      <c r="J919">
        <v>0.76394446719671705</v>
      </c>
      <c r="K919" t="str">
        <f t="shared" si="112"/>
        <v>OK</v>
      </c>
      <c r="L919" t="str">
        <f t="shared" si="113"/>
        <v>OK</v>
      </c>
      <c r="M919" t="str">
        <f>IF(OR(B919&lt;$AE$20,B919&gt;$AF$20),"Outlier","OK")</f>
        <v>OK</v>
      </c>
      <c r="N919" t="str">
        <f>IF(OR(J919&lt;$AE$21,J919&gt;$AF$21),"Outlier","OK")</f>
        <v>OK</v>
      </c>
      <c r="O919" t="str">
        <f>IF(OR(C919&lt;0,C919&gt;1),"Outlier","OK")</f>
        <v>OK</v>
      </c>
      <c r="P919" t="str">
        <f>IF(OR(D919&lt;0,D919&gt;1),"Outlier","OK")</f>
        <v>Outlier</v>
      </c>
      <c r="Q919" t="str">
        <f t="shared" si="114"/>
        <v>60-80%</v>
      </c>
      <c r="R919" t="str">
        <f>IF(B919="","Missing","OK")</f>
        <v>OK</v>
      </c>
      <c r="S919" t="str">
        <f>IF(E919="","Missing","OK")</f>
        <v>OK</v>
      </c>
      <c r="T919" t="str">
        <f t="shared" si="115"/>
        <v>OK</v>
      </c>
      <c r="U919">
        <f>COUNTIF($A:$A,A919)</f>
        <v>1</v>
      </c>
      <c r="V919" t="str">
        <f t="shared" si="116"/>
        <v>OK</v>
      </c>
      <c r="W919" t="str">
        <f>IF(I919&gt;B919,"ERROR","OK")</f>
        <v>OK</v>
      </c>
      <c r="X919">
        <f>(B919-I919)/B919</f>
        <v>0.76394446719671738</v>
      </c>
      <c r="Y919" s="2">
        <f t="shared" si="117"/>
        <v>3.3306690738754696E-16</v>
      </c>
      <c r="Z919" s="2" t="str">
        <f t="shared" si="118"/>
        <v>OK</v>
      </c>
      <c r="AA919" t="str">
        <f t="shared" si="119"/>
        <v>Unique</v>
      </c>
    </row>
    <row r="920" spans="1:27" x14ac:dyDescent="0.3">
      <c r="A920">
        <v>919</v>
      </c>
      <c r="B920">
        <v>1064566.32156132</v>
      </c>
      <c r="C920">
        <v>0.57077435954473099</v>
      </c>
      <c r="D920">
        <v>-8.0612438137445397E-2</v>
      </c>
      <c r="E920">
        <v>0.19825162934636401</v>
      </c>
      <c r="F920">
        <v>1</v>
      </c>
      <c r="G920" t="s">
        <v>12</v>
      </c>
      <c r="H920">
        <v>0</v>
      </c>
      <c r="I920">
        <v>211052.007796797</v>
      </c>
      <c r="J920">
        <v>0.80174837065363502</v>
      </c>
      <c r="K920" t="str">
        <f t="shared" si="112"/>
        <v>OK</v>
      </c>
      <c r="L920" t="str">
        <f t="shared" si="113"/>
        <v>OK</v>
      </c>
      <c r="M920" t="str">
        <f>IF(OR(B920&lt;$AE$20,B920&gt;$AF$20),"Outlier","OK")</f>
        <v>OK</v>
      </c>
      <c r="N920" t="str">
        <f>IF(OR(J920&lt;$AE$21,J920&gt;$AF$21),"Outlier","OK")</f>
        <v>OK</v>
      </c>
      <c r="O920" t="str">
        <f>IF(OR(C920&lt;0,C920&gt;1),"Outlier","OK")</f>
        <v>OK</v>
      </c>
      <c r="P920" t="str">
        <f>IF(OR(D920&lt;0,D920&gt;1),"Outlier","OK")</f>
        <v>Outlier</v>
      </c>
      <c r="Q920" t="str">
        <f t="shared" si="114"/>
        <v>80-100%</v>
      </c>
      <c r="R920" t="str">
        <f>IF(B920="","Missing","OK")</f>
        <v>OK</v>
      </c>
      <c r="S920" t="str">
        <f>IF(E920="","Missing","OK")</f>
        <v>OK</v>
      </c>
      <c r="T920" t="str">
        <f t="shared" si="115"/>
        <v>OK</v>
      </c>
      <c r="U920">
        <f>COUNTIF($A:$A,A920)</f>
        <v>1</v>
      </c>
      <c r="V920" t="str">
        <f t="shared" si="116"/>
        <v>OK</v>
      </c>
      <c r="W920" t="str">
        <f>IF(I920&gt;B920,"ERROR","OK")</f>
        <v>OK</v>
      </c>
      <c r="X920">
        <f>(B920-I920)/B920</f>
        <v>0.80174837065363602</v>
      </c>
      <c r="Y920" s="2">
        <f t="shared" si="117"/>
        <v>9.9920072216264089E-16</v>
      </c>
      <c r="Z920" s="2" t="str">
        <f t="shared" si="118"/>
        <v>OK</v>
      </c>
      <c r="AA920" t="str">
        <f t="shared" si="119"/>
        <v>Unique</v>
      </c>
    </row>
    <row r="921" spans="1:27" x14ac:dyDescent="0.3">
      <c r="A921">
        <v>920</v>
      </c>
      <c r="B921">
        <v>1022442.0211915</v>
      </c>
      <c r="C921">
        <v>0.74499937326997701</v>
      </c>
      <c r="D921">
        <v>-0.196345178092908</v>
      </c>
      <c r="E921">
        <v>0.75364858375386801</v>
      </c>
      <c r="F921">
        <v>1</v>
      </c>
      <c r="G921" t="s">
        <v>11</v>
      </c>
      <c r="H921">
        <v>0</v>
      </c>
      <c r="I921">
        <v>770561.98124141898</v>
      </c>
      <c r="J921">
        <v>0.24635141624613099</v>
      </c>
      <c r="K921" t="str">
        <f t="shared" si="112"/>
        <v>OK</v>
      </c>
      <c r="L921" t="str">
        <f t="shared" si="113"/>
        <v>OK</v>
      </c>
      <c r="M921" t="str">
        <f>IF(OR(B921&lt;$AE$20,B921&gt;$AF$20),"Outlier","OK")</f>
        <v>OK</v>
      </c>
      <c r="N921" t="str">
        <f>IF(OR(J921&lt;$AE$21,J921&gt;$AF$21),"Outlier","OK")</f>
        <v>Outlier</v>
      </c>
      <c r="O921" t="str">
        <f>IF(OR(C921&lt;0,C921&gt;1),"Outlier","OK")</f>
        <v>OK</v>
      </c>
      <c r="P921" t="str">
        <f>IF(OR(D921&lt;0,D921&gt;1),"Outlier","OK")</f>
        <v>Outlier</v>
      </c>
      <c r="Q921" t="str">
        <f t="shared" si="114"/>
        <v>20-40%</v>
      </c>
      <c r="R921" t="str">
        <f>IF(B921="","Missing","OK")</f>
        <v>OK</v>
      </c>
      <c r="S921" t="str">
        <f>IF(E921="","Missing","OK")</f>
        <v>OK</v>
      </c>
      <c r="T921" t="str">
        <f t="shared" si="115"/>
        <v>OK</v>
      </c>
      <c r="U921">
        <f>COUNTIF($A:$A,A921)</f>
        <v>1</v>
      </c>
      <c r="V921" t="str">
        <f t="shared" si="116"/>
        <v>OK</v>
      </c>
      <c r="W921" t="str">
        <f>IF(I921&gt;B921,"ERROR","OK")</f>
        <v>OK</v>
      </c>
      <c r="X921">
        <f>(B921-I921)/B921</f>
        <v>0.24635141624612936</v>
      </c>
      <c r="Y921" s="2">
        <f t="shared" si="117"/>
        <v>1.6375789613221059E-15</v>
      </c>
      <c r="Z921" s="2" t="str">
        <f t="shared" si="118"/>
        <v>OK</v>
      </c>
      <c r="AA921" t="str">
        <f t="shared" si="119"/>
        <v>Unique</v>
      </c>
    </row>
    <row r="922" spans="1:27" x14ac:dyDescent="0.3">
      <c r="A922">
        <v>921</v>
      </c>
      <c r="B922">
        <v>934768.87206509802</v>
      </c>
      <c r="C922">
        <v>0.71511048327136195</v>
      </c>
      <c r="D922">
        <v>1.7523129338017598E-2</v>
      </c>
      <c r="E922">
        <v>0.49183320899402599</v>
      </c>
      <c r="F922">
        <v>1</v>
      </c>
      <c r="G922" t="s">
        <v>12</v>
      </c>
      <c r="H922">
        <v>0</v>
      </c>
      <c r="I922">
        <v>459750.37401550298</v>
      </c>
      <c r="J922">
        <v>0.50816679100597295</v>
      </c>
      <c r="K922" t="str">
        <f t="shared" si="112"/>
        <v>OK</v>
      </c>
      <c r="L922" t="str">
        <f t="shared" si="113"/>
        <v>OK</v>
      </c>
      <c r="M922" t="str">
        <f>IF(OR(B922&lt;$AE$20,B922&gt;$AF$20),"Outlier","OK")</f>
        <v>OK</v>
      </c>
      <c r="N922" t="str">
        <f>IF(OR(J922&lt;$AE$21,J922&gt;$AF$21),"Outlier","OK")</f>
        <v>OK</v>
      </c>
      <c r="O922" t="str">
        <f>IF(OR(C922&lt;0,C922&gt;1),"Outlier","OK")</f>
        <v>OK</v>
      </c>
      <c r="P922" t="str">
        <f>IF(OR(D922&lt;0,D922&gt;1),"Outlier","OK")</f>
        <v>OK</v>
      </c>
      <c r="Q922" t="str">
        <f t="shared" si="114"/>
        <v>40-60%</v>
      </c>
      <c r="R922" t="str">
        <f>IF(B922="","Missing","OK")</f>
        <v>OK</v>
      </c>
      <c r="S922" t="str">
        <f>IF(E922="","Missing","OK")</f>
        <v>OK</v>
      </c>
      <c r="T922" t="str">
        <f t="shared" si="115"/>
        <v>OK</v>
      </c>
      <c r="U922">
        <f>COUNTIF($A:$A,A922)</f>
        <v>1</v>
      </c>
      <c r="V922" t="str">
        <f t="shared" si="116"/>
        <v>OK</v>
      </c>
      <c r="W922" t="str">
        <f>IF(I922&gt;B922,"ERROR","OK")</f>
        <v>OK</v>
      </c>
      <c r="X922">
        <f>(B922-I922)/B922</f>
        <v>0.50816679100597439</v>
      </c>
      <c r="Y922" s="2">
        <f t="shared" si="117"/>
        <v>1.4432899320127035E-15</v>
      </c>
      <c r="Z922" s="2" t="str">
        <f t="shared" si="118"/>
        <v>OK</v>
      </c>
      <c r="AA922" t="str">
        <f t="shared" si="119"/>
        <v>Unique</v>
      </c>
    </row>
    <row r="923" spans="1:27" x14ac:dyDescent="0.3">
      <c r="A923">
        <v>922</v>
      </c>
      <c r="B923">
        <v>92211.382563478299</v>
      </c>
      <c r="C923">
        <v>0.249526296714153</v>
      </c>
      <c r="D923">
        <v>-5.6848784449168001E-2</v>
      </c>
      <c r="E923">
        <v>0.27481493374432803</v>
      </c>
      <c r="F923">
        <v>1</v>
      </c>
      <c r="G923" t="s">
        <v>10</v>
      </c>
      <c r="H923">
        <v>0</v>
      </c>
      <c r="I923">
        <v>25341.064989655199</v>
      </c>
      <c r="J923">
        <v>0.72518506625567103</v>
      </c>
      <c r="K923" t="str">
        <f t="shared" si="112"/>
        <v>OK</v>
      </c>
      <c r="L923" t="str">
        <f t="shared" si="113"/>
        <v>OK</v>
      </c>
      <c r="M923" t="str">
        <f>IF(OR(B923&lt;$AE$20,B923&gt;$AF$20),"Outlier","OK")</f>
        <v>OK</v>
      </c>
      <c r="N923" t="str">
        <f>IF(OR(J923&lt;$AE$21,J923&gt;$AF$21),"Outlier","OK")</f>
        <v>OK</v>
      </c>
      <c r="O923" t="str">
        <f>IF(OR(C923&lt;0,C923&gt;1),"Outlier","OK")</f>
        <v>OK</v>
      </c>
      <c r="P923" t="str">
        <f>IF(OR(D923&lt;0,D923&gt;1),"Outlier","OK")</f>
        <v>Outlier</v>
      </c>
      <c r="Q923" t="str">
        <f t="shared" si="114"/>
        <v>60-80%</v>
      </c>
      <c r="R923" t="str">
        <f>IF(B923="","Missing","OK")</f>
        <v>OK</v>
      </c>
      <c r="S923" t="str">
        <f>IF(E923="","Missing","OK")</f>
        <v>OK</v>
      </c>
      <c r="T923" t="str">
        <f t="shared" si="115"/>
        <v>OK</v>
      </c>
      <c r="U923">
        <f>COUNTIF($A:$A,A923)</f>
        <v>1</v>
      </c>
      <c r="V923" t="str">
        <f t="shared" si="116"/>
        <v>OK</v>
      </c>
      <c r="W923" t="str">
        <f>IF(I923&gt;B923,"ERROR","OK")</f>
        <v>OK</v>
      </c>
      <c r="X923">
        <f>(B923-I923)/B923</f>
        <v>0.72518506625567158</v>
      </c>
      <c r="Y923" s="2">
        <f t="shared" si="117"/>
        <v>5.5511151231257827E-16</v>
      </c>
      <c r="Z923" s="2" t="str">
        <f t="shared" si="118"/>
        <v>OK</v>
      </c>
      <c r="AA923" t="str">
        <f t="shared" si="119"/>
        <v>Unique</v>
      </c>
    </row>
    <row r="924" spans="1:27" x14ac:dyDescent="0.3">
      <c r="A924">
        <v>923</v>
      </c>
      <c r="B924">
        <v>1093525.7300296701</v>
      </c>
      <c r="C924">
        <v>0.48599974185294798</v>
      </c>
      <c r="D924">
        <v>-9.3240927269069407E-2</v>
      </c>
      <c r="E924">
        <v>0.141695917727441</v>
      </c>
      <c r="F924">
        <v>1</v>
      </c>
      <c r="G924" t="s">
        <v>12</v>
      </c>
      <c r="H924">
        <v>1</v>
      </c>
      <c r="I924">
        <v>154948.131875124</v>
      </c>
      <c r="J924">
        <v>0.85830408227255806</v>
      </c>
      <c r="K924" t="str">
        <f t="shared" si="112"/>
        <v>OK</v>
      </c>
      <c r="L924" t="str">
        <f t="shared" si="113"/>
        <v>OK</v>
      </c>
      <c r="M924" t="str">
        <f>IF(OR(B924&lt;$AE$20,B924&gt;$AF$20),"Outlier","OK")</f>
        <v>OK</v>
      </c>
      <c r="N924" t="str">
        <f>IF(OR(J924&lt;$AE$21,J924&gt;$AF$21),"Outlier","OK")</f>
        <v>OK</v>
      </c>
      <c r="O924" t="str">
        <f>IF(OR(C924&lt;0,C924&gt;1),"Outlier","OK")</f>
        <v>OK</v>
      </c>
      <c r="P924" t="str">
        <f>IF(OR(D924&lt;0,D924&gt;1),"Outlier","OK")</f>
        <v>Outlier</v>
      </c>
      <c r="Q924" t="str">
        <f t="shared" si="114"/>
        <v>80-100%</v>
      </c>
      <c r="R924" t="str">
        <f>IF(B924="","Missing","OK")</f>
        <v>OK</v>
      </c>
      <c r="S924" t="str">
        <f>IF(E924="","Missing","OK")</f>
        <v>OK</v>
      </c>
      <c r="T924" t="str">
        <f t="shared" si="115"/>
        <v>OK</v>
      </c>
      <c r="U924">
        <f>COUNTIF($A:$A,A924)</f>
        <v>1</v>
      </c>
      <c r="V924" t="str">
        <f t="shared" si="116"/>
        <v>OK</v>
      </c>
      <c r="W924" t="str">
        <f>IF(I924&gt;B924,"ERROR","OK")</f>
        <v>OK</v>
      </c>
      <c r="X924">
        <f>(B924-I924)/B924</f>
        <v>0.85830408227255894</v>
      </c>
      <c r="Y924" s="2">
        <f t="shared" si="117"/>
        <v>8.8817841970012523E-16</v>
      </c>
      <c r="Z924" s="2" t="str">
        <f t="shared" si="118"/>
        <v>OK</v>
      </c>
      <c r="AA924" t="str">
        <f t="shared" si="119"/>
        <v>Unique</v>
      </c>
    </row>
    <row r="925" spans="1:27" x14ac:dyDescent="0.3">
      <c r="A925">
        <v>924</v>
      </c>
      <c r="B925">
        <v>874797.80574281397</v>
      </c>
      <c r="C925">
        <v>0.56450955280877702</v>
      </c>
      <c r="D925">
        <v>7.4441839987971006E-2</v>
      </c>
      <c r="E925">
        <v>0.43622471325161499</v>
      </c>
      <c r="F925">
        <v>1</v>
      </c>
      <c r="G925" t="s">
        <v>10</v>
      </c>
      <c r="H925">
        <v>0</v>
      </c>
      <c r="I925">
        <v>381608.42196330102</v>
      </c>
      <c r="J925">
        <v>0.56377528674838395</v>
      </c>
      <c r="K925" t="str">
        <f t="shared" si="112"/>
        <v>OK</v>
      </c>
      <c r="L925" t="str">
        <f t="shared" si="113"/>
        <v>OK</v>
      </c>
      <c r="M925" t="str">
        <f>IF(OR(B925&lt;$AE$20,B925&gt;$AF$20),"Outlier","OK")</f>
        <v>OK</v>
      </c>
      <c r="N925" t="str">
        <f>IF(OR(J925&lt;$AE$21,J925&gt;$AF$21),"Outlier","OK")</f>
        <v>OK</v>
      </c>
      <c r="O925" t="str">
        <f>IF(OR(C925&lt;0,C925&gt;1),"Outlier","OK")</f>
        <v>OK</v>
      </c>
      <c r="P925" t="str">
        <f>IF(OR(D925&lt;0,D925&gt;1),"Outlier","OK")</f>
        <v>OK</v>
      </c>
      <c r="Q925" t="str">
        <f t="shared" si="114"/>
        <v>40-60%</v>
      </c>
      <c r="R925" t="str">
        <f>IF(B925="","Missing","OK")</f>
        <v>OK</v>
      </c>
      <c r="S925" t="str">
        <f>IF(E925="","Missing","OK")</f>
        <v>OK</v>
      </c>
      <c r="T925" t="str">
        <f t="shared" si="115"/>
        <v>OK</v>
      </c>
      <c r="U925">
        <f>COUNTIF($A:$A,A925)</f>
        <v>1</v>
      </c>
      <c r="V925" t="str">
        <f t="shared" si="116"/>
        <v>OK</v>
      </c>
      <c r="W925" t="str">
        <f>IF(I925&gt;B925,"ERROR","OK")</f>
        <v>OK</v>
      </c>
      <c r="X925">
        <f>(B925-I925)/B925</f>
        <v>0.56377528674838495</v>
      </c>
      <c r="Y925" s="2">
        <f t="shared" si="117"/>
        <v>9.9920072216264089E-16</v>
      </c>
      <c r="Z925" s="2" t="str">
        <f t="shared" si="118"/>
        <v>OK</v>
      </c>
      <c r="AA925" t="str">
        <f t="shared" si="119"/>
        <v>Unique</v>
      </c>
    </row>
    <row r="926" spans="1:27" x14ac:dyDescent="0.3">
      <c r="A926">
        <v>925</v>
      </c>
      <c r="B926">
        <v>357190.51240014099</v>
      </c>
      <c r="C926">
        <v>0.42703604685130597</v>
      </c>
      <c r="D926">
        <v>-6.8940705276653996E-2</v>
      </c>
      <c r="E926">
        <v>0.52832179872145402</v>
      </c>
      <c r="F926">
        <v>1</v>
      </c>
      <c r="G926" t="s">
        <v>10</v>
      </c>
      <c r="H926">
        <v>1</v>
      </c>
      <c r="I926">
        <v>188711.53399748</v>
      </c>
      <c r="J926">
        <v>0.47167820127854498</v>
      </c>
      <c r="K926" t="str">
        <f t="shared" si="112"/>
        <v>OK</v>
      </c>
      <c r="L926" t="str">
        <f t="shared" si="113"/>
        <v>OK</v>
      </c>
      <c r="M926" t="str">
        <f>IF(OR(B926&lt;$AE$20,B926&gt;$AF$20),"Outlier","OK")</f>
        <v>OK</v>
      </c>
      <c r="N926" t="str">
        <f>IF(OR(J926&lt;$AE$21,J926&gt;$AF$21),"Outlier","OK")</f>
        <v>OK</v>
      </c>
      <c r="O926" t="str">
        <f>IF(OR(C926&lt;0,C926&gt;1),"Outlier","OK")</f>
        <v>OK</v>
      </c>
      <c r="P926" t="str">
        <f>IF(OR(D926&lt;0,D926&gt;1),"Outlier","OK")</f>
        <v>Outlier</v>
      </c>
      <c r="Q926" t="str">
        <f t="shared" si="114"/>
        <v>40-60%</v>
      </c>
      <c r="R926" t="str">
        <f>IF(B926="","Missing","OK")</f>
        <v>OK</v>
      </c>
      <c r="S926" t="str">
        <f>IF(E926="","Missing","OK")</f>
        <v>OK</v>
      </c>
      <c r="T926" t="str">
        <f t="shared" si="115"/>
        <v>OK</v>
      </c>
      <c r="U926">
        <f>COUNTIF($A:$A,A926)</f>
        <v>1</v>
      </c>
      <c r="V926" t="str">
        <f t="shared" si="116"/>
        <v>OK</v>
      </c>
      <c r="W926" t="str">
        <f>IF(I926&gt;B926,"ERROR","OK")</f>
        <v>OK</v>
      </c>
      <c r="X926">
        <f>(B926-I926)/B926</f>
        <v>0.47167820127854687</v>
      </c>
      <c r="Y926" s="2">
        <f t="shared" si="117"/>
        <v>1.8873791418627661E-15</v>
      </c>
      <c r="Z926" s="2" t="str">
        <f t="shared" si="118"/>
        <v>OK</v>
      </c>
      <c r="AA926" t="str">
        <f t="shared" si="119"/>
        <v>Unique</v>
      </c>
    </row>
    <row r="927" spans="1:27" x14ac:dyDescent="0.3">
      <c r="A927">
        <v>926</v>
      </c>
      <c r="B927">
        <v>282185.91185451398</v>
      </c>
      <c r="C927">
        <v>0.62274621140758701</v>
      </c>
      <c r="D927">
        <v>8.1163110163519694E-2</v>
      </c>
      <c r="E927">
        <v>0.36977734599539502</v>
      </c>
      <c r="F927">
        <v>1</v>
      </c>
      <c r="G927" t="s">
        <v>11</v>
      </c>
      <c r="H927">
        <v>0</v>
      </c>
      <c r="I927">
        <v>104345.957562853</v>
      </c>
      <c r="J927">
        <v>0.63022265400460398</v>
      </c>
      <c r="K927" t="str">
        <f t="shared" si="112"/>
        <v>OK</v>
      </c>
      <c r="L927" t="str">
        <f t="shared" si="113"/>
        <v>OK</v>
      </c>
      <c r="M927" t="str">
        <f>IF(OR(B927&lt;$AE$20,B927&gt;$AF$20),"Outlier","OK")</f>
        <v>OK</v>
      </c>
      <c r="N927" t="str">
        <f>IF(OR(J927&lt;$AE$21,J927&gt;$AF$21),"Outlier","OK")</f>
        <v>OK</v>
      </c>
      <c r="O927" t="str">
        <f>IF(OR(C927&lt;0,C927&gt;1),"Outlier","OK")</f>
        <v>OK</v>
      </c>
      <c r="P927" t="str">
        <f>IF(OR(D927&lt;0,D927&gt;1),"Outlier","OK")</f>
        <v>OK</v>
      </c>
      <c r="Q927" t="str">
        <f t="shared" si="114"/>
        <v>60-80%</v>
      </c>
      <c r="R927" t="str">
        <f>IF(B927="","Missing","OK")</f>
        <v>OK</v>
      </c>
      <c r="S927" t="str">
        <f>IF(E927="","Missing","OK")</f>
        <v>OK</v>
      </c>
      <c r="T927" t="str">
        <f t="shared" si="115"/>
        <v>OK</v>
      </c>
      <c r="U927">
        <f>COUNTIF($A:$A,A927)</f>
        <v>1</v>
      </c>
      <c r="V927" t="str">
        <f t="shared" si="116"/>
        <v>OK</v>
      </c>
      <c r="W927" t="str">
        <f>IF(I927&gt;B927,"ERROR","OK")</f>
        <v>OK</v>
      </c>
      <c r="X927">
        <f>(B927-I927)/B927</f>
        <v>0.63022265400460376</v>
      </c>
      <c r="Y927" s="2">
        <f t="shared" si="117"/>
        <v>2.2204460492503131E-16</v>
      </c>
      <c r="Z927" s="2" t="str">
        <f t="shared" si="118"/>
        <v>OK</v>
      </c>
      <c r="AA927" t="str">
        <f t="shared" si="119"/>
        <v>Unique</v>
      </c>
    </row>
    <row r="928" spans="1:27" x14ac:dyDescent="0.3">
      <c r="A928">
        <v>927</v>
      </c>
      <c r="B928">
        <v>926236.16271163896</v>
      </c>
      <c r="C928">
        <v>0.753564151673629</v>
      </c>
      <c r="D928">
        <v>0.12644630995407599</v>
      </c>
      <c r="E928">
        <v>0.483599008352255</v>
      </c>
      <c r="F928">
        <v>1</v>
      </c>
      <c r="G928" t="s">
        <v>12</v>
      </c>
      <c r="H928">
        <v>1</v>
      </c>
      <c r="I928">
        <v>447926.889787347</v>
      </c>
      <c r="J928">
        <v>0.516400991647744</v>
      </c>
      <c r="K928" t="str">
        <f t="shared" si="112"/>
        <v>OK</v>
      </c>
      <c r="L928" t="str">
        <f t="shared" si="113"/>
        <v>OK</v>
      </c>
      <c r="M928" t="str">
        <f>IF(OR(B928&lt;$AE$20,B928&gt;$AF$20),"Outlier","OK")</f>
        <v>OK</v>
      </c>
      <c r="N928" t="str">
        <f>IF(OR(J928&lt;$AE$21,J928&gt;$AF$21),"Outlier","OK")</f>
        <v>OK</v>
      </c>
      <c r="O928" t="str">
        <f>IF(OR(C928&lt;0,C928&gt;1),"Outlier","OK")</f>
        <v>OK</v>
      </c>
      <c r="P928" t="str">
        <f>IF(OR(D928&lt;0,D928&gt;1),"Outlier","OK")</f>
        <v>OK</v>
      </c>
      <c r="Q928" t="str">
        <f t="shared" si="114"/>
        <v>40-60%</v>
      </c>
      <c r="R928" t="str">
        <f>IF(B928="","Missing","OK")</f>
        <v>OK</v>
      </c>
      <c r="S928" t="str">
        <f>IF(E928="","Missing","OK")</f>
        <v>OK</v>
      </c>
      <c r="T928" t="str">
        <f t="shared" si="115"/>
        <v>OK</v>
      </c>
      <c r="U928">
        <f>COUNTIF($A:$A,A928)</f>
        <v>1</v>
      </c>
      <c r="V928" t="str">
        <f t="shared" si="116"/>
        <v>OK</v>
      </c>
      <c r="W928" t="str">
        <f>IF(I928&gt;B928,"ERROR","OK")</f>
        <v>OK</v>
      </c>
      <c r="X928">
        <f>(B928-I928)/B928</f>
        <v>0.51640099164774445</v>
      </c>
      <c r="Y928" s="2">
        <f t="shared" si="117"/>
        <v>4.4408920985006262E-16</v>
      </c>
      <c r="Z928" s="2" t="str">
        <f t="shared" si="118"/>
        <v>OK</v>
      </c>
      <c r="AA928" t="str">
        <f t="shared" si="119"/>
        <v>Unique</v>
      </c>
    </row>
    <row r="929" spans="1:27" x14ac:dyDescent="0.3">
      <c r="A929">
        <v>928</v>
      </c>
      <c r="B929">
        <v>127830.454415186</v>
      </c>
      <c r="C929">
        <v>0.57753982828592798</v>
      </c>
      <c r="D929">
        <v>-0.137105731065122</v>
      </c>
      <c r="E929">
        <v>0.350834410175071</v>
      </c>
      <c r="F929">
        <v>1</v>
      </c>
      <c r="G929" t="s">
        <v>12</v>
      </c>
      <c r="H929">
        <v>0</v>
      </c>
      <c r="I929">
        <v>44847.322077163401</v>
      </c>
      <c r="J929">
        <v>0.649165589824928</v>
      </c>
      <c r="K929" t="str">
        <f t="shared" si="112"/>
        <v>OK</v>
      </c>
      <c r="L929" t="str">
        <f t="shared" si="113"/>
        <v>OK</v>
      </c>
      <c r="M929" t="str">
        <f>IF(OR(B929&lt;$AE$20,B929&gt;$AF$20),"Outlier","OK")</f>
        <v>OK</v>
      </c>
      <c r="N929" t="str">
        <f>IF(OR(J929&lt;$AE$21,J929&gt;$AF$21),"Outlier","OK")</f>
        <v>OK</v>
      </c>
      <c r="O929" t="str">
        <f>IF(OR(C929&lt;0,C929&gt;1),"Outlier","OK")</f>
        <v>OK</v>
      </c>
      <c r="P929" t="str">
        <f>IF(OR(D929&lt;0,D929&gt;1),"Outlier","OK")</f>
        <v>Outlier</v>
      </c>
      <c r="Q929" t="str">
        <f t="shared" si="114"/>
        <v>60-80%</v>
      </c>
      <c r="R929" t="str">
        <f>IF(B929="","Missing","OK")</f>
        <v>OK</v>
      </c>
      <c r="S929" t="str">
        <f>IF(E929="","Missing","OK")</f>
        <v>OK</v>
      </c>
      <c r="T929" t="str">
        <f t="shared" si="115"/>
        <v>OK</v>
      </c>
      <c r="U929">
        <f>COUNTIF($A:$A,A929)</f>
        <v>1</v>
      </c>
      <c r="V929" t="str">
        <f t="shared" si="116"/>
        <v>OK</v>
      </c>
      <c r="W929" t="str">
        <f>IF(I929&gt;B929,"ERROR","OK")</f>
        <v>OK</v>
      </c>
      <c r="X929">
        <f>(B929-I929)/B929</f>
        <v>0.64916558982492656</v>
      </c>
      <c r="Y929" s="2">
        <f t="shared" si="117"/>
        <v>1.4432899320127035E-15</v>
      </c>
      <c r="Z929" s="2" t="str">
        <f t="shared" si="118"/>
        <v>OK</v>
      </c>
      <c r="AA929" t="str">
        <f t="shared" si="119"/>
        <v>Unique</v>
      </c>
    </row>
    <row r="930" spans="1:27" x14ac:dyDescent="0.3">
      <c r="A930">
        <v>929</v>
      </c>
      <c r="B930">
        <v>1973830.78374588</v>
      </c>
      <c r="C930">
        <v>0.72913971957812995</v>
      </c>
      <c r="D930">
        <v>0.114787365077925</v>
      </c>
      <c r="E930">
        <v>5.9607210543820503E-2</v>
      </c>
      <c r="F930">
        <v>1</v>
      </c>
      <c r="G930" t="s">
        <v>13</v>
      </c>
      <c r="H930">
        <v>0</v>
      </c>
      <c r="I930">
        <v>117654.54710461501</v>
      </c>
      <c r="J930">
        <v>0.94039278945617899</v>
      </c>
      <c r="K930" t="str">
        <f t="shared" si="112"/>
        <v>OK</v>
      </c>
      <c r="L930" t="str">
        <f t="shared" si="113"/>
        <v>OK</v>
      </c>
      <c r="M930" t="str">
        <f>IF(OR(B930&lt;$AE$20,B930&gt;$AF$20),"Outlier","OK")</f>
        <v>OK</v>
      </c>
      <c r="N930" t="str">
        <f>IF(OR(J930&lt;$AE$21,J930&gt;$AF$21),"Outlier","OK")</f>
        <v>OK</v>
      </c>
      <c r="O930" t="str">
        <f>IF(OR(C930&lt;0,C930&gt;1),"Outlier","OK")</f>
        <v>OK</v>
      </c>
      <c r="P930" t="str">
        <f>IF(OR(D930&lt;0,D930&gt;1),"Outlier","OK")</f>
        <v>OK</v>
      </c>
      <c r="Q930" t="str">
        <f t="shared" si="114"/>
        <v>80-100%</v>
      </c>
      <c r="R930" t="str">
        <f>IF(B930="","Missing","OK")</f>
        <v>OK</v>
      </c>
      <c r="S930" t="str">
        <f>IF(E930="","Missing","OK")</f>
        <v>OK</v>
      </c>
      <c r="T930" t="str">
        <f t="shared" si="115"/>
        <v>OK</v>
      </c>
      <c r="U930">
        <f>COUNTIF($A:$A,A930)</f>
        <v>1</v>
      </c>
      <c r="V930" t="str">
        <f t="shared" si="116"/>
        <v>OK</v>
      </c>
      <c r="W930" t="str">
        <f>IF(I930&gt;B930,"ERROR","OK")</f>
        <v>OK</v>
      </c>
      <c r="X930">
        <f>(B930-I930)/B930</f>
        <v>0.94039278945617943</v>
      </c>
      <c r="Y930" s="2">
        <f t="shared" si="117"/>
        <v>4.4408920985006262E-16</v>
      </c>
      <c r="Z930" s="2" t="str">
        <f t="shared" si="118"/>
        <v>OK</v>
      </c>
      <c r="AA930" t="str">
        <f t="shared" si="119"/>
        <v>Unique</v>
      </c>
    </row>
    <row r="931" spans="1:27" x14ac:dyDescent="0.3">
      <c r="A931">
        <v>930</v>
      </c>
      <c r="B931">
        <v>787335.81604850094</v>
      </c>
      <c r="C931">
        <v>0.32148420038905101</v>
      </c>
      <c r="D931">
        <v>6.26253073762131E-3</v>
      </c>
      <c r="E931">
        <v>0.118178944965053</v>
      </c>
      <c r="F931">
        <v>1</v>
      </c>
      <c r="G931" t="s">
        <v>11</v>
      </c>
      <c r="H931">
        <v>0</v>
      </c>
      <c r="I931">
        <v>93046.516073810897</v>
      </c>
      <c r="J931">
        <v>0.88182105503494601</v>
      </c>
      <c r="K931" t="str">
        <f t="shared" si="112"/>
        <v>OK</v>
      </c>
      <c r="L931" t="str">
        <f t="shared" si="113"/>
        <v>OK</v>
      </c>
      <c r="M931" t="str">
        <f>IF(OR(B931&lt;$AE$20,B931&gt;$AF$20),"Outlier","OK")</f>
        <v>OK</v>
      </c>
      <c r="N931" t="str">
        <f>IF(OR(J931&lt;$AE$21,J931&gt;$AF$21),"Outlier","OK")</f>
        <v>OK</v>
      </c>
      <c r="O931" t="str">
        <f>IF(OR(C931&lt;0,C931&gt;1),"Outlier","OK")</f>
        <v>OK</v>
      </c>
      <c r="P931" t="str">
        <f>IF(OR(D931&lt;0,D931&gt;1),"Outlier","OK")</f>
        <v>OK</v>
      </c>
      <c r="Q931" t="str">
        <f t="shared" si="114"/>
        <v>80-100%</v>
      </c>
      <c r="R931" t="str">
        <f>IF(B931="","Missing","OK")</f>
        <v>OK</v>
      </c>
      <c r="S931" t="str">
        <f>IF(E931="","Missing","OK")</f>
        <v>OK</v>
      </c>
      <c r="T931" t="str">
        <f t="shared" si="115"/>
        <v>OK</v>
      </c>
      <c r="U931">
        <f>COUNTIF($A:$A,A931)</f>
        <v>1</v>
      </c>
      <c r="V931" t="str">
        <f t="shared" si="116"/>
        <v>OK</v>
      </c>
      <c r="W931" t="str">
        <f>IF(I931&gt;B931,"ERROR","OK")</f>
        <v>OK</v>
      </c>
      <c r="X931">
        <f>(B931-I931)/B931</f>
        <v>0.88182105503494701</v>
      </c>
      <c r="Y931" s="2">
        <f t="shared" si="117"/>
        <v>9.9920072216264089E-16</v>
      </c>
      <c r="Z931" s="2" t="str">
        <f t="shared" si="118"/>
        <v>OK</v>
      </c>
      <c r="AA931" t="str">
        <f t="shared" si="119"/>
        <v>Unique</v>
      </c>
    </row>
    <row r="932" spans="1:27" x14ac:dyDescent="0.3">
      <c r="A932">
        <v>931</v>
      </c>
      <c r="B932">
        <v>795112.92625470599</v>
      </c>
      <c r="C932">
        <v>0.55625056144981699</v>
      </c>
      <c r="D932">
        <v>-5.5648017501856599E-2</v>
      </c>
      <c r="E932">
        <v>6.9029445343204598E-2</v>
      </c>
      <c r="F932">
        <v>1</v>
      </c>
      <c r="G932" t="s">
        <v>10</v>
      </c>
      <c r="H932">
        <v>0</v>
      </c>
      <c r="I932">
        <v>54886.204284574698</v>
      </c>
      <c r="J932">
        <v>0.93097055465679501</v>
      </c>
      <c r="K932" t="str">
        <f t="shared" si="112"/>
        <v>OK</v>
      </c>
      <c r="L932" t="str">
        <f t="shared" si="113"/>
        <v>OK</v>
      </c>
      <c r="M932" t="str">
        <f>IF(OR(B932&lt;$AE$20,B932&gt;$AF$20),"Outlier","OK")</f>
        <v>OK</v>
      </c>
      <c r="N932" t="str">
        <f>IF(OR(J932&lt;$AE$21,J932&gt;$AF$21),"Outlier","OK")</f>
        <v>OK</v>
      </c>
      <c r="O932" t="str">
        <f>IF(OR(C932&lt;0,C932&gt;1),"Outlier","OK")</f>
        <v>OK</v>
      </c>
      <c r="P932" t="str">
        <f>IF(OR(D932&lt;0,D932&gt;1),"Outlier","OK")</f>
        <v>Outlier</v>
      </c>
      <c r="Q932" t="str">
        <f t="shared" si="114"/>
        <v>80-100%</v>
      </c>
      <c r="R932" t="str">
        <f>IF(B932="","Missing","OK")</f>
        <v>OK</v>
      </c>
      <c r="S932" t="str">
        <f>IF(E932="","Missing","OK")</f>
        <v>OK</v>
      </c>
      <c r="T932" t="str">
        <f t="shared" si="115"/>
        <v>OK</v>
      </c>
      <c r="U932">
        <f>COUNTIF($A:$A,A932)</f>
        <v>1</v>
      </c>
      <c r="V932" t="str">
        <f t="shared" si="116"/>
        <v>OK</v>
      </c>
      <c r="W932" t="str">
        <f>IF(I932&gt;B932,"ERROR","OK")</f>
        <v>OK</v>
      </c>
      <c r="X932">
        <f>(B932-I932)/B932</f>
        <v>0.93097055465679535</v>
      </c>
      <c r="Y932" s="2">
        <f t="shared" si="117"/>
        <v>3.3306690738754696E-16</v>
      </c>
      <c r="Z932" s="2" t="str">
        <f t="shared" si="118"/>
        <v>OK</v>
      </c>
      <c r="AA932" t="str">
        <f t="shared" si="119"/>
        <v>Unique</v>
      </c>
    </row>
    <row r="933" spans="1:27" x14ac:dyDescent="0.3">
      <c r="A933">
        <v>932</v>
      </c>
      <c r="B933">
        <v>149696.286046539</v>
      </c>
      <c r="C933">
        <v>0.37541258123534699</v>
      </c>
      <c r="D933">
        <v>-0.14690596320440399</v>
      </c>
      <c r="E933">
        <v>0.12672688631606899</v>
      </c>
      <c r="F933">
        <v>1</v>
      </c>
      <c r="G933" t="s">
        <v>12</v>
      </c>
      <c r="H933">
        <v>1</v>
      </c>
      <c r="I933">
        <v>18970.544223757501</v>
      </c>
      <c r="J933">
        <v>0.87327311368393001</v>
      </c>
      <c r="K933" t="str">
        <f t="shared" si="112"/>
        <v>OK</v>
      </c>
      <c r="L933" t="str">
        <f t="shared" si="113"/>
        <v>OK</v>
      </c>
      <c r="M933" t="str">
        <f>IF(OR(B933&lt;$AE$20,B933&gt;$AF$20),"Outlier","OK")</f>
        <v>OK</v>
      </c>
      <c r="N933" t="str">
        <f>IF(OR(J933&lt;$AE$21,J933&gt;$AF$21),"Outlier","OK")</f>
        <v>OK</v>
      </c>
      <c r="O933" t="str">
        <f>IF(OR(C933&lt;0,C933&gt;1),"Outlier","OK")</f>
        <v>OK</v>
      </c>
      <c r="P933" t="str">
        <f>IF(OR(D933&lt;0,D933&gt;1),"Outlier","OK")</f>
        <v>Outlier</v>
      </c>
      <c r="Q933" t="str">
        <f t="shared" si="114"/>
        <v>80-100%</v>
      </c>
      <c r="R933" t="str">
        <f>IF(B933="","Missing","OK")</f>
        <v>OK</v>
      </c>
      <c r="S933" t="str">
        <f>IF(E933="","Missing","OK")</f>
        <v>OK</v>
      </c>
      <c r="T933" t="str">
        <f t="shared" si="115"/>
        <v>OK</v>
      </c>
      <c r="U933">
        <f>COUNTIF($A:$A,A933)</f>
        <v>1</v>
      </c>
      <c r="V933" t="str">
        <f t="shared" si="116"/>
        <v>OK</v>
      </c>
      <c r="W933" t="str">
        <f>IF(I933&gt;B933,"ERROR","OK")</f>
        <v>OK</v>
      </c>
      <c r="X933">
        <f>(B933-I933)/B933</f>
        <v>0.8732731136839309</v>
      </c>
      <c r="Y933" s="2">
        <f t="shared" si="117"/>
        <v>8.8817841970012523E-16</v>
      </c>
      <c r="Z933" s="2" t="str">
        <f t="shared" si="118"/>
        <v>OK</v>
      </c>
      <c r="AA933" t="str">
        <f t="shared" si="119"/>
        <v>Unique</v>
      </c>
    </row>
    <row r="934" spans="1:27" x14ac:dyDescent="0.3">
      <c r="A934">
        <v>933</v>
      </c>
      <c r="B934">
        <v>882011.05120764498</v>
      </c>
      <c r="C934">
        <v>0.28678133954719598</v>
      </c>
      <c r="D934">
        <v>9.0957941083651003E-2</v>
      </c>
      <c r="E934">
        <v>0.51848005752513604</v>
      </c>
      <c r="F934">
        <v>1</v>
      </c>
      <c r="G934" t="s">
        <v>10</v>
      </c>
      <c r="H934">
        <v>1</v>
      </c>
      <c r="I934">
        <v>457305.14056794601</v>
      </c>
      <c r="J934">
        <v>0.48151994247486302</v>
      </c>
      <c r="K934" t="str">
        <f t="shared" si="112"/>
        <v>OK</v>
      </c>
      <c r="L934" t="str">
        <f t="shared" si="113"/>
        <v>OK</v>
      </c>
      <c r="M934" t="str">
        <f>IF(OR(B934&lt;$AE$20,B934&gt;$AF$20),"Outlier","OK")</f>
        <v>OK</v>
      </c>
      <c r="N934" t="str">
        <f>IF(OR(J934&lt;$AE$21,J934&gt;$AF$21),"Outlier","OK")</f>
        <v>OK</v>
      </c>
      <c r="O934" t="str">
        <f>IF(OR(C934&lt;0,C934&gt;1),"Outlier","OK")</f>
        <v>OK</v>
      </c>
      <c r="P934" t="str">
        <f>IF(OR(D934&lt;0,D934&gt;1),"Outlier","OK")</f>
        <v>OK</v>
      </c>
      <c r="Q934" t="str">
        <f t="shared" si="114"/>
        <v>40-60%</v>
      </c>
      <c r="R934" t="str">
        <f>IF(B934="","Missing","OK")</f>
        <v>OK</v>
      </c>
      <c r="S934" t="str">
        <f>IF(E934="","Missing","OK")</f>
        <v>OK</v>
      </c>
      <c r="T934" t="str">
        <f t="shared" si="115"/>
        <v>OK</v>
      </c>
      <c r="U934">
        <f>COUNTIF($A:$A,A934)</f>
        <v>1</v>
      </c>
      <c r="V934" t="str">
        <f t="shared" si="116"/>
        <v>OK</v>
      </c>
      <c r="W934" t="str">
        <f>IF(I934&gt;B934,"ERROR","OK")</f>
        <v>OK</v>
      </c>
      <c r="X934">
        <f>(B934-I934)/B934</f>
        <v>0.48151994247486335</v>
      </c>
      <c r="Y934" s="2">
        <f t="shared" si="117"/>
        <v>3.3306690738754696E-16</v>
      </c>
      <c r="Z934" s="2" t="str">
        <f t="shared" si="118"/>
        <v>OK</v>
      </c>
      <c r="AA934" t="str">
        <f t="shared" si="119"/>
        <v>Unique</v>
      </c>
    </row>
    <row r="935" spans="1:27" x14ac:dyDescent="0.3">
      <c r="A935">
        <v>934</v>
      </c>
      <c r="B935">
        <v>80703.602760821304</v>
      </c>
      <c r="C935">
        <v>0.87746691812988598</v>
      </c>
      <c r="D935">
        <v>-1.56291026513623E-2</v>
      </c>
      <c r="E935">
        <v>0.26672018908862399</v>
      </c>
      <c r="F935">
        <v>1</v>
      </c>
      <c r="G935" t="s">
        <v>13</v>
      </c>
      <c r="H935">
        <v>0</v>
      </c>
      <c r="I935">
        <v>21525.280188499499</v>
      </c>
      <c r="J935">
        <v>0.73327981091137495</v>
      </c>
      <c r="K935" t="str">
        <f t="shared" si="112"/>
        <v>OK</v>
      </c>
      <c r="L935" t="str">
        <f t="shared" si="113"/>
        <v>OK</v>
      </c>
      <c r="M935" t="str">
        <f>IF(OR(B935&lt;$AE$20,B935&gt;$AF$20),"Outlier","OK")</f>
        <v>OK</v>
      </c>
      <c r="N935" t="str">
        <f>IF(OR(J935&lt;$AE$21,J935&gt;$AF$21),"Outlier","OK")</f>
        <v>OK</v>
      </c>
      <c r="O935" t="str">
        <f>IF(OR(C935&lt;0,C935&gt;1),"Outlier","OK")</f>
        <v>OK</v>
      </c>
      <c r="P935" t="str">
        <f>IF(OR(D935&lt;0,D935&gt;1),"Outlier","OK")</f>
        <v>Outlier</v>
      </c>
      <c r="Q935" t="str">
        <f t="shared" si="114"/>
        <v>60-80%</v>
      </c>
      <c r="R935" t="str">
        <f>IF(B935="","Missing","OK")</f>
        <v>OK</v>
      </c>
      <c r="S935" t="str">
        <f>IF(E935="","Missing","OK")</f>
        <v>OK</v>
      </c>
      <c r="T935" t="str">
        <f t="shared" si="115"/>
        <v>OK</v>
      </c>
      <c r="U935">
        <f>COUNTIF($A:$A,A935)</f>
        <v>1</v>
      </c>
      <c r="V935" t="str">
        <f t="shared" si="116"/>
        <v>OK</v>
      </c>
      <c r="W935" t="str">
        <f>IF(I935&gt;B935,"ERROR","OK")</f>
        <v>OK</v>
      </c>
      <c r="X935">
        <f>(B935-I935)/B935</f>
        <v>0.73327981091137551</v>
      </c>
      <c r="Y935" s="2">
        <f t="shared" si="117"/>
        <v>5.5511151231257827E-16</v>
      </c>
      <c r="Z935" s="2" t="str">
        <f t="shared" si="118"/>
        <v>OK</v>
      </c>
      <c r="AA935" t="str">
        <f t="shared" si="119"/>
        <v>Unique</v>
      </c>
    </row>
    <row r="936" spans="1:27" x14ac:dyDescent="0.3">
      <c r="A936">
        <v>935</v>
      </c>
      <c r="B936">
        <v>108682.58499901601</v>
      </c>
      <c r="C936">
        <v>0.65183634726389095</v>
      </c>
      <c r="D936">
        <v>-3.2251095291342E-2</v>
      </c>
      <c r="E936">
        <v>0.41163099851694102</v>
      </c>
      <c r="F936">
        <v>1</v>
      </c>
      <c r="G936" t="s">
        <v>12</v>
      </c>
      <c r="H936">
        <v>0</v>
      </c>
      <c r="I936">
        <v>44737.120984547502</v>
      </c>
      <c r="J936">
        <v>0.58836900148305804</v>
      </c>
      <c r="K936" t="str">
        <f t="shared" si="112"/>
        <v>OK</v>
      </c>
      <c r="L936" t="str">
        <f t="shared" si="113"/>
        <v>OK</v>
      </c>
      <c r="M936" t="str">
        <f>IF(OR(B936&lt;$AE$20,B936&gt;$AF$20),"Outlier","OK")</f>
        <v>OK</v>
      </c>
      <c r="N936" t="str">
        <f>IF(OR(J936&lt;$AE$21,J936&gt;$AF$21),"Outlier","OK")</f>
        <v>OK</v>
      </c>
      <c r="O936" t="str">
        <f>IF(OR(C936&lt;0,C936&gt;1),"Outlier","OK")</f>
        <v>OK</v>
      </c>
      <c r="P936" t="str">
        <f>IF(OR(D936&lt;0,D936&gt;1),"Outlier","OK")</f>
        <v>Outlier</v>
      </c>
      <c r="Q936" t="str">
        <f t="shared" si="114"/>
        <v>40-60%</v>
      </c>
      <c r="R936" t="str">
        <f>IF(B936="","Missing","OK")</f>
        <v>OK</v>
      </c>
      <c r="S936" t="str">
        <f>IF(E936="","Missing","OK")</f>
        <v>OK</v>
      </c>
      <c r="T936" t="str">
        <f t="shared" si="115"/>
        <v>OK</v>
      </c>
      <c r="U936">
        <f>COUNTIF($A:$A,A936)</f>
        <v>1</v>
      </c>
      <c r="V936" t="str">
        <f t="shared" si="116"/>
        <v>OK</v>
      </c>
      <c r="W936" t="str">
        <f>IF(I936&gt;B936,"ERROR","OK")</f>
        <v>OK</v>
      </c>
      <c r="X936">
        <f>(B936-I936)/B936</f>
        <v>0.58836900148305693</v>
      </c>
      <c r="Y936" s="2">
        <f t="shared" si="117"/>
        <v>1.1102230246251565E-15</v>
      </c>
      <c r="Z936" s="2" t="str">
        <f t="shared" si="118"/>
        <v>OK</v>
      </c>
      <c r="AA936" t="str">
        <f t="shared" si="119"/>
        <v>Unique</v>
      </c>
    </row>
    <row r="937" spans="1:27" x14ac:dyDescent="0.3">
      <c r="A937">
        <v>936</v>
      </c>
      <c r="B937">
        <v>711243.50466668897</v>
      </c>
      <c r="C937">
        <v>0.19315869628423901</v>
      </c>
      <c r="D937">
        <v>3.2138559397818997E-2</v>
      </c>
      <c r="E937">
        <v>0.11647871561371199</v>
      </c>
      <c r="F937">
        <v>1</v>
      </c>
      <c r="G937" t="s">
        <v>11</v>
      </c>
      <c r="H937">
        <v>1</v>
      </c>
      <c r="I937">
        <v>82844.729912171795</v>
      </c>
      <c r="J937">
        <v>0.88352128438628696</v>
      </c>
      <c r="K937" t="str">
        <f t="shared" si="112"/>
        <v>OK</v>
      </c>
      <c r="L937" t="str">
        <f t="shared" si="113"/>
        <v>OK</v>
      </c>
      <c r="M937" t="str">
        <f>IF(OR(B937&lt;$AE$20,B937&gt;$AF$20),"Outlier","OK")</f>
        <v>OK</v>
      </c>
      <c r="N937" t="str">
        <f>IF(OR(J937&lt;$AE$21,J937&gt;$AF$21),"Outlier","OK")</f>
        <v>OK</v>
      </c>
      <c r="O937" t="str">
        <f>IF(OR(C937&lt;0,C937&gt;1),"Outlier","OK")</f>
        <v>OK</v>
      </c>
      <c r="P937" t="str">
        <f>IF(OR(D937&lt;0,D937&gt;1),"Outlier","OK")</f>
        <v>OK</v>
      </c>
      <c r="Q937" t="str">
        <f t="shared" si="114"/>
        <v>80-100%</v>
      </c>
      <c r="R937" t="str">
        <f>IF(B937="","Missing","OK")</f>
        <v>OK</v>
      </c>
      <c r="S937" t="str">
        <f>IF(E937="","Missing","OK")</f>
        <v>OK</v>
      </c>
      <c r="T937" t="str">
        <f t="shared" si="115"/>
        <v>OK</v>
      </c>
      <c r="U937">
        <f>COUNTIF($A:$A,A937)</f>
        <v>1</v>
      </c>
      <c r="V937" t="str">
        <f t="shared" si="116"/>
        <v>OK</v>
      </c>
      <c r="W937" t="str">
        <f>IF(I937&gt;B937,"ERROR","OK")</f>
        <v>OK</v>
      </c>
      <c r="X937">
        <f>(B937-I937)/B937</f>
        <v>0.88352128438628696</v>
      </c>
      <c r="Y937" s="2">
        <f t="shared" si="117"/>
        <v>0</v>
      </c>
      <c r="Z937" s="2" t="str">
        <f t="shared" si="118"/>
        <v>OK</v>
      </c>
      <c r="AA937" t="str">
        <f t="shared" si="119"/>
        <v>Unique</v>
      </c>
    </row>
    <row r="938" spans="1:27" x14ac:dyDescent="0.3">
      <c r="A938">
        <v>937</v>
      </c>
      <c r="B938">
        <v>1650889.44810446</v>
      </c>
      <c r="C938">
        <v>0.68567733163106703</v>
      </c>
      <c r="D938">
        <v>-0.10269038409704399</v>
      </c>
      <c r="E938">
        <v>0.30233158682748001</v>
      </c>
      <c r="F938">
        <v>1</v>
      </c>
      <c r="G938" t="s">
        <v>13</v>
      </c>
      <c r="H938">
        <v>0</v>
      </c>
      <c r="I938">
        <v>499116.02652216499</v>
      </c>
      <c r="J938">
        <v>0.69766841317251904</v>
      </c>
      <c r="K938" t="str">
        <f t="shared" si="112"/>
        <v>OK</v>
      </c>
      <c r="L938" t="str">
        <f t="shared" si="113"/>
        <v>OK</v>
      </c>
      <c r="M938" t="str">
        <f>IF(OR(B938&lt;$AE$20,B938&gt;$AF$20),"Outlier","OK")</f>
        <v>OK</v>
      </c>
      <c r="N938" t="str">
        <f>IF(OR(J938&lt;$AE$21,J938&gt;$AF$21),"Outlier","OK")</f>
        <v>OK</v>
      </c>
      <c r="O938" t="str">
        <f>IF(OR(C938&lt;0,C938&gt;1),"Outlier","OK")</f>
        <v>OK</v>
      </c>
      <c r="P938" t="str">
        <f>IF(OR(D938&lt;0,D938&gt;1),"Outlier","OK")</f>
        <v>Outlier</v>
      </c>
      <c r="Q938" t="str">
        <f t="shared" si="114"/>
        <v>60-80%</v>
      </c>
      <c r="R938" t="str">
        <f>IF(B938="","Missing","OK")</f>
        <v>OK</v>
      </c>
      <c r="S938" t="str">
        <f>IF(E938="","Missing","OK")</f>
        <v>OK</v>
      </c>
      <c r="T938" t="str">
        <f t="shared" si="115"/>
        <v>OK</v>
      </c>
      <c r="U938">
        <f>COUNTIF($A:$A,A938)</f>
        <v>1</v>
      </c>
      <c r="V938" t="str">
        <f t="shared" si="116"/>
        <v>OK</v>
      </c>
      <c r="W938" t="str">
        <f>IF(I938&gt;B938,"ERROR","OK")</f>
        <v>OK</v>
      </c>
      <c r="X938">
        <f>(B938-I938)/B938</f>
        <v>0.69766841317251949</v>
      </c>
      <c r="Y938" s="2">
        <f t="shared" si="117"/>
        <v>4.4408920985006262E-16</v>
      </c>
      <c r="Z938" s="2" t="str">
        <f t="shared" si="118"/>
        <v>OK</v>
      </c>
      <c r="AA938" t="str">
        <f t="shared" si="119"/>
        <v>Unique</v>
      </c>
    </row>
    <row r="939" spans="1:27" x14ac:dyDescent="0.3">
      <c r="A939">
        <v>938</v>
      </c>
      <c r="B939">
        <v>944701.10586856306</v>
      </c>
      <c r="C939">
        <v>0.76495418115839497</v>
      </c>
      <c r="D939">
        <v>-9.9232387145574402E-3</v>
      </c>
      <c r="E939">
        <v>0.22416492237886601</v>
      </c>
      <c r="F939">
        <v>1</v>
      </c>
      <c r="G939" t="s">
        <v>10</v>
      </c>
      <c r="H939">
        <v>1</v>
      </c>
      <c r="I939">
        <v>211768.85006825501</v>
      </c>
      <c r="J939">
        <v>0.77583507762113302</v>
      </c>
      <c r="K939" t="str">
        <f t="shared" si="112"/>
        <v>OK</v>
      </c>
      <c r="L939" t="str">
        <f t="shared" si="113"/>
        <v>OK</v>
      </c>
      <c r="M939" t="str">
        <f>IF(OR(B939&lt;$AE$20,B939&gt;$AF$20),"Outlier","OK")</f>
        <v>OK</v>
      </c>
      <c r="N939" t="str">
        <f>IF(OR(J939&lt;$AE$21,J939&gt;$AF$21),"Outlier","OK")</f>
        <v>OK</v>
      </c>
      <c r="O939" t="str">
        <f>IF(OR(C939&lt;0,C939&gt;1),"Outlier","OK")</f>
        <v>OK</v>
      </c>
      <c r="P939" t="str">
        <f>IF(OR(D939&lt;0,D939&gt;1),"Outlier","OK")</f>
        <v>Outlier</v>
      </c>
      <c r="Q939" t="str">
        <f t="shared" si="114"/>
        <v>60-80%</v>
      </c>
      <c r="R939" t="str">
        <f>IF(B939="","Missing","OK")</f>
        <v>OK</v>
      </c>
      <c r="S939" t="str">
        <f>IF(E939="","Missing","OK")</f>
        <v>OK</v>
      </c>
      <c r="T939" t="str">
        <f t="shared" si="115"/>
        <v>OK</v>
      </c>
      <c r="U939">
        <f>COUNTIF($A:$A,A939)</f>
        <v>1</v>
      </c>
      <c r="V939" t="str">
        <f t="shared" si="116"/>
        <v>OK</v>
      </c>
      <c r="W939" t="str">
        <f>IF(I939&gt;B939,"ERROR","OK")</f>
        <v>OK</v>
      </c>
      <c r="X939">
        <f>(B939-I939)/B939</f>
        <v>0.77583507762113435</v>
      </c>
      <c r="Y939" s="2">
        <f t="shared" si="117"/>
        <v>1.3322676295501878E-15</v>
      </c>
      <c r="Z939" s="2" t="str">
        <f t="shared" si="118"/>
        <v>OK</v>
      </c>
      <c r="AA939" t="str">
        <f t="shared" si="119"/>
        <v>Unique</v>
      </c>
    </row>
    <row r="940" spans="1:27" x14ac:dyDescent="0.3">
      <c r="A940">
        <v>939</v>
      </c>
      <c r="B940">
        <v>78939.129451675995</v>
      </c>
      <c r="C940">
        <v>0.46045963245527199</v>
      </c>
      <c r="D940">
        <v>1.28355093570196E-2</v>
      </c>
      <c r="E940">
        <v>0.38898738711173703</v>
      </c>
      <c r="F940">
        <v>1</v>
      </c>
      <c r="G940" t="s">
        <v>12</v>
      </c>
      <c r="H940">
        <v>0</v>
      </c>
      <c r="I940">
        <v>30706.325706282601</v>
      </c>
      <c r="J940">
        <v>0.61101261288826203</v>
      </c>
      <c r="K940" t="str">
        <f t="shared" si="112"/>
        <v>OK</v>
      </c>
      <c r="L940" t="str">
        <f t="shared" si="113"/>
        <v>OK</v>
      </c>
      <c r="M940" t="str">
        <f>IF(OR(B940&lt;$AE$20,B940&gt;$AF$20),"Outlier","OK")</f>
        <v>OK</v>
      </c>
      <c r="N940" t="str">
        <f>IF(OR(J940&lt;$AE$21,J940&gt;$AF$21),"Outlier","OK")</f>
        <v>OK</v>
      </c>
      <c r="O940" t="str">
        <f>IF(OR(C940&lt;0,C940&gt;1),"Outlier","OK")</f>
        <v>OK</v>
      </c>
      <c r="P940" t="str">
        <f>IF(OR(D940&lt;0,D940&gt;1),"Outlier","OK")</f>
        <v>OK</v>
      </c>
      <c r="Q940" t="str">
        <f t="shared" si="114"/>
        <v>60-80%</v>
      </c>
      <c r="R940" t="str">
        <f>IF(B940="","Missing","OK")</f>
        <v>OK</v>
      </c>
      <c r="S940" t="str">
        <f>IF(E940="","Missing","OK")</f>
        <v>OK</v>
      </c>
      <c r="T940" t="str">
        <f t="shared" si="115"/>
        <v>OK</v>
      </c>
      <c r="U940">
        <f>COUNTIF($A:$A,A940)</f>
        <v>1</v>
      </c>
      <c r="V940" t="str">
        <f t="shared" si="116"/>
        <v>OK</v>
      </c>
      <c r="W940" t="str">
        <f>IF(I940&gt;B940,"ERROR","OK")</f>
        <v>OK</v>
      </c>
      <c r="X940">
        <f>(B940-I940)/B940</f>
        <v>0.61101261288826314</v>
      </c>
      <c r="Y940" s="2">
        <f t="shared" si="117"/>
        <v>1.1102230246251565E-15</v>
      </c>
      <c r="Z940" s="2" t="str">
        <f t="shared" si="118"/>
        <v>OK</v>
      </c>
      <c r="AA940" t="str">
        <f t="shared" si="119"/>
        <v>Unique</v>
      </c>
    </row>
    <row r="941" spans="1:27" x14ac:dyDescent="0.3">
      <c r="A941">
        <v>940</v>
      </c>
      <c r="B941">
        <v>368279.061794671</v>
      </c>
      <c r="C941">
        <v>0.66241459467053698</v>
      </c>
      <c r="D941">
        <v>0.19662248172760399</v>
      </c>
      <c r="E941">
        <v>0.49091170228335002</v>
      </c>
      <c r="F941">
        <v>1</v>
      </c>
      <c r="G941" t="s">
        <v>11</v>
      </c>
      <c r="H941">
        <v>1</v>
      </c>
      <c r="I941">
        <v>180792.50114093701</v>
      </c>
      <c r="J941">
        <v>0.50908829771664899</v>
      </c>
      <c r="K941" t="str">
        <f t="shared" si="112"/>
        <v>OK</v>
      </c>
      <c r="L941" t="str">
        <f t="shared" si="113"/>
        <v>OK</v>
      </c>
      <c r="M941" t="str">
        <f>IF(OR(B941&lt;$AE$20,B941&gt;$AF$20),"Outlier","OK")</f>
        <v>OK</v>
      </c>
      <c r="N941" t="str">
        <f>IF(OR(J941&lt;$AE$21,J941&gt;$AF$21),"Outlier","OK")</f>
        <v>OK</v>
      </c>
      <c r="O941" t="str">
        <f>IF(OR(C941&lt;0,C941&gt;1),"Outlier","OK")</f>
        <v>OK</v>
      </c>
      <c r="P941" t="str">
        <f>IF(OR(D941&lt;0,D941&gt;1),"Outlier","OK")</f>
        <v>OK</v>
      </c>
      <c r="Q941" t="str">
        <f t="shared" si="114"/>
        <v>40-60%</v>
      </c>
      <c r="R941" t="str">
        <f>IF(B941="","Missing","OK")</f>
        <v>OK</v>
      </c>
      <c r="S941" t="str">
        <f>IF(E941="","Missing","OK")</f>
        <v>OK</v>
      </c>
      <c r="T941" t="str">
        <f t="shared" si="115"/>
        <v>OK</v>
      </c>
      <c r="U941">
        <f>COUNTIF($A:$A,A941)</f>
        <v>1</v>
      </c>
      <c r="V941" t="str">
        <f t="shared" si="116"/>
        <v>OK</v>
      </c>
      <c r="W941" t="str">
        <f>IF(I941&gt;B941,"ERROR","OK")</f>
        <v>OK</v>
      </c>
      <c r="X941">
        <f>(B941-I941)/B941</f>
        <v>0.50908829771664998</v>
      </c>
      <c r="Y941" s="2">
        <f t="shared" si="117"/>
        <v>9.9920072216264089E-16</v>
      </c>
      <c r="Z941" s="2" t="str">
        <f t="shared" si="118"/>
        <v>OK</v>
      </c>
      <c r="AA941" t="str">
        <f t="shared" si="119"/>
        <v>Unique</v>
      </c>
    </row>
    <row r="942" spans="1:27" x14ac:dyDescent="0.3">
      <c r="A942">
        <v>941</v>
      </c>
      <c r="B942">
        <v>1492849.3078060001</v>
      </c>
      <c r="C942">
        <v>0.829602596684195</v>
      </c>
      <c r="D942">
        <v>8.5768405714544804E-2</v>
      </c>
      <c r="E942">
        <v>0.30542872052396602</v>
      </c>
      <c r="F942">
        <v>1</v>
      </c>
      <c r="G942" t="s">
        <v>12</v>
      </c>
      <c r="H942">
        <v>1</v>
      </c>
      <c r="I942">
        <v>455959.05401827599</v>
      </c>
      <c r="J942">
        <v>0.69457127947603303</v>
      </c>
      <c r="K942" t="str">
        <f t="shared" si="112"/>
        <v>OK</v>
      </c>
      <c r="L942" t="str">
        <f t="shared" si="113"/>
        <v>OK</v>
      </c>
      <c r="M942" t="str">
        <f>IF(OR(B942&lt;$AE$20,B942&gt;$AF$20),"Outlier","OK")</f>
        <v>OK</v>
      </c>
      <c r="N942" t="str">
        <f>IF(OR(J942&lt;$AE$21,J942&gt;$AF$21),"Outlier","OK")</f>
        <v>OK</v>
      </c>
      <c r="O942" t="str">
        <f>IF(OR(C942&lt;0,C942&gt;1),"Outlier","OK")</f>
        <v>OK</v>
      </c>
      <c r="P942" t="str">
        <f>IF(OR(D942&lt;0,D942&gt;1),"Outlier","OK")</f>
        <v>OK</v>
      </c>
      <c r="Q942" t="str">
        <f t="shared" si="114"/>
        <v>60-80%</v>
      </c>
      <c r="R942" t="str">
        <f>IF(B942="","Missing","OK")</f>
        <v>OK</v>
      </c>
      <c r="S942" t="str">
        <f>IF(E942="","Missing","OK")</f>
        <v>OK</v>
      </c>
      <c r="T942" t="str">
        <f t="shared" si="115"/>
        <v>OK</v>
      </c>
      <c r="U942">
        <f>COUNTIF($A:$A,A942)</f>
        <v>1</v>
      </c>
      <c r="V942" t="str">
        <f t="shared" si="116"/>
        <v>OK</v>
      </c>
      <c r="W942" t="str">
        <f>IF(I942&gt;B942,"ERROR","OK")</f>
        <v>OK</v>
      </c>
      <c r="X942">
        <f>(B942-I942)/B942</f>
        <v>0.69457127947603325</v>
      </c>
      <c r="Y942" s="2">
        <f t="shared" si="117"/>
        <v>2.2204460492503131E-16</v>
      </c>
      <c r="Z942" s="2" t="str">
        <f t="shared" si="118"/>
        <v>OK</v>
      </c>
      <c r="AA942" t="str">
        <f t="shared" si="119"/>
        <v>Unique</v>
      </c>
    </row>
    <row r="943" spans="1:27" x14ac:dyDescent="0.3">
      <c r="A943">
        <v>942</v>
      </c>
      <c r="B943">
        <v>1489672.7874322</v>
      </c>
      <c r="C943">
        <v>0.89915083287178199</v>
      </c>
      <c r="D943">
        <v>-0.102701415549069</v>
      </c>
      <c r="E943">
        <v>0.45966701954616501</v>
      </c>
      <c r="F943">
        <v>1</v>
      </c>
      <c r="G943" t="s">
        <v>11</v>
      </c>
      <c r="H943">
        <v>0</v>
      </c>
      <c r="I943">
        <v>684753.45029798697</v>
      </c>
      <c r="J943">
        <v>0.54033298045383404</v>
      </c>
      <c r="K943" t="str">
        <f t="shared" si="112"/>
        <v>OK</v>
      </c>
      <c r="L943" t="str">
        <f t="shared" si="113"/>
        <v>OK</v>
      </c>
      <c r="M943" t="str">
        <f>IF(OR(B943&lt;$AE$20,B943&gt;$AF$20),"Outlier","OK")</f>
        <v>OK</v>
      </c>
      <c r="N943" t="str">
        <f>IF(OR(J943&lt;$AE$21,J943&gt;$AF$21),"Outlier","OK")</f>
        <v>OK</v>
      </c>
      <c r="O943" t="str">
        <f>IF(OR(C943&lt;0,C943&gt;1),"Outlier","OK")</f>
        <v>OK</v>
      </c>
      <c r="P943" t="str">
        <f>IF(OR(D943&lt;0,D943&gt;1),"Outlier","OK")</f>
        <v>Outlier</v>
      </c>
      <c r="Q943" t="str">
        <f t="shared" si="114"/>
        <v>40-60%</v>
      </c>
      <c r="R943" t="str">
        <f>IF(B943="","Missing","OK")</f>
        <v>OK</v>
      </c>
      <c r="S943" t="str">
        <f>IF(E943="","Missing","OK")</f>
        <v>OK</v>
      </c>
      <c r="T943" t="str">
        <f t="shared" si="115"/>
        <v>OK</v>
      </c>
      <c r="U943">
        <f>COUNTIF($A:$A,A943)</f>
        <v>1</v>
      </c>
      <c r="V943" t="str">
        <f t="shared" si="116"/>
        <v>OK</v>
      </c>
      <c r="W943" t="str">
        <f>IF(I943&gt;B943,"ERROR","OK")</f>
        <v>OK</v>
      </c>
      <c r="X943">
        <f>(B943-I943)/B943</f>
        <v>0.54033298045383515</v>
      </c>
      <c r="Y943" s="2">
        <f t="shared" si="117"/>
        <v>1.1102230246251565E-15</v>
      </c>
      <c r="Z943" s="2" t="str">
        <f t="shared" si="118"/>
        <v>OK</v>
      </c>
      <c r="AA943" t="str">
        <f t="shared" si="119"/>
        <v>Unique</v>
      </c>
    </row>
    <row r="944" spans="1:27" x14ac:dyDescent="0.3">
      <c r="A944">
        <v>943</v>
      </c>
      <c r="B944">
        <v>1521319.6674895801</v>
      </c>
      <c r="C944">
        <v>0.53999199197828496</v>
      </c>
      <c r="D944">
        <v>-0.124364886954262</v>
      </c>
      <c r="E944">
        <v>0.139529499445399</v>
      </c>
      <c r="F944">
        <v>1</v>
      </c>
      <c r="G944" t="s">
        <v>11</v>
      </c>
      <c r="H944">
        <v>0</v>
      </c>
      <c r="I944">
        <v>212268.97170126199</v>
      </c>
      <c r="J944">
        <v>0.86047050055459995</v>
      </c>
      <c r="K944" t="str">
        <f t="shared" si="112"/>
        <v>OK</v>
      </c>
      <c r="L944" t="str">
        <f t="shared" si="113"/>
        <v>OK</v>
      </c>
      <c r="M944" t="str">
        <f>IF(OR(B944&lt;$AE$20,B944&gt;$AF$20),"Outlier","OK")</f>
        <v>OK</v>
      </c>
      <c r="N944" t="str">
        <f>IF(OR(J944&lt;$AE$21,J944&gt;$AF$21),"Outlier","OK")</f>
        <v>OK</v>
      </c>
      <c r="O944" t="str">
        <f>IF(OR(C944&lt;0,C944&gt;1),"Outlier","OK")</f>
        <v>OK</v>
      </c>
      <c r="P944" t="str">
        <f>IF(OR(D944&lt;0,D944&gt;1),"Outlier","OK")</f>
        <v>Outlier</v>
      </c>
      <c r="Q944" t="str">
        <f t="shared" si="114"/>
        <v>80-100%</v>
      </c>
      <c r="R944" t="str">
        <f>IF(B944="","Missing","OK")</f>
        <v>OK</v>
      </c>
      <c r="S944" t="str">
        <f>IF(E944="","Missing","OK")</f>
        <v>OK</v>
      </c>
      <c r="T944" t="str">
        <f t="shared" si="115"/>
        <v>OK</v>
      </c>
      <c r="U944">
        <f>COUNTIF($A:$A,A944)</f>
        <v>1</v>
      </c>
      <c r="V944" t="str">
        <f t="shared" si="116"/>
        <v>OK</v>
      </c>
      <c r="W944" t="str">
        <f>IF(I944&gt;B944,"ERROR","OK")</f>
        <v>OK</v>
      </c>
      <c r="X944">
        <f>(B944-I944)/B944</f>
        <v>0.86047050055460095</v>
      </c>
      <c r="Y944" s="2">
        <f t="shared" si="117"/>
        <v>9.9920072216264089E-16</v>
      </c>
      <c r="Z944" s="2" t="str">
        <f t="shared" si="118"/>
        <v>OK</v>
      </c>
      <c r="AA944" t="str">
        <f t="shared" si="119"/>
        <v>Unique</v>
      </c>
    </row>
    <row r="945" spans="1:27" x14ac:dyDescent="0.3">
      <c r="A945">
        <v>944</v>
      </c>
      <c r="B945">
        <v>735755.28355789301</v>
      </c>
      <c r="C945">
        <v>0.60159358176731803</v>
      </c>
      <c r="D945">
        <v>0.16769568188939099</v>
      </c>
      <c r="E945">
        <v>0.12288469371826601</v>
      </c>
      <c r="F945">
        <v>1</v>
      </c>
      <c r="G945" t="s">
        <v>12</v>
      </c>
      <c r="H945">
        <v>0</v>
      </c>
      <c r="I945">
        <v>90413.062671607695</v>
      </c>
      <c r="J945">
        <v>0.87711530628173395</v>
      </c>
      <c r="K945" t="str">
        <f t="shared" si="112"/>
        <v>OK</v>
      </c>
      <c r="L945" t="str">
        <f t="shared" si="113"/>
        <v>OK</v>
      </c>
      <c r="M945" t="str">
        <f>IF(OR(B945&lt;$AE$20,B945&gt;$AF$20),"Outlier","OK")</f>
        <v>OK</v>
      </c>
      <c r="N945" t="str">
        <f>IF(OR(J945&lt;$AE$21,J945&gt;$AF$21),"Outlier","OK")</f>
        <v>OK</v>
      </c>
      <c r="O945" t="str">
        <f>IF(OR(C945&lt;0,C945&gt;1),"Outlier","OK")</f>
        <v>OK</v>
      </c>
      <c r="P945" t="str">
        <f>IF(OR(D945&lt;0,D945&gt;1),"Outlier","OK")</f>
        <v>OK</v>
      </c>
      <c r="Q945" t="str">
        <f t="shared" si="114"/>
        <v>80-100%</v>
      </c>
      <c r="R945" t="str">
        <f>IF(B945="","Missing","OK")</f>
        <v>OK</v>
      </c>
      <c r="S945" t="str">
        <f>IF(E945="","Missing","OK")</f>
        <v>OK</v>
      </c>
      <c r="T945" t="str">
        <f t="shared" si="115"/>
        <v>OK</v>
      </c>
      <c r="U945">
        <f>COUNTIF($A:$A,A945)</f>
        <v>1</v>
      </c>
      <c r="V945" t="str">
        <f t="shared" si="116"/>
        <v>OK</v>
      </c>
      <c r="W945" t="str">
        <f>IF(I945&gt;B945,"ERROR","OK")</f>
        <v>OK</v>
      </c>
      <c r="X945">
        <f>(B945-I945)/B945</f>
        <v>0.87711530628173395</v>
      </c>
      <c r="Y945" s="2">
        <f t="shared" si="117"/>
        <v>0</v>
      </c>
      <c r="Z945" s="2" t="str">
        <f t="shared" si="118"/>
        <v>OK</v>
      </c>
      <c r="AA945" t="str">
        <f t="shared" si="119"/>
        <v>Unique</v>
      </c>
    </row>
    <row r="946" spans="1:27" x14ac:dyDescent="0.3">
      <c r="A946">
        <v>945</v>
      </c>
      <c r="B946">
        <v>736940.04672600701</v>
      </c>
      <c r="C946">
        <v>0.41526634150604402</v>
      </c>
      <c r="D946">
        <v>2.9466887764750201E-2</v>
      </c>
      <c r="E946">
        <v>0.53969721431395501</v>
      </c>
      <c r="F946">
        <v>1</v>
      </c>
      <c r="G946" t="s">
        <v>12</v>
      </c>
      <c r="H946">
        <v>1</v>
      </c>
      <c r="I946">
        <v>397724.49033442198</v>
      </c>
      <c r="J946">
        <v>0.46030278568604399</v>
      </c>
      <c r="K946" t="str">
        <f t="shared" si="112"/>
        <v>OK</v>
      </c>
      <c r="L946" t="str">
        <f t="shared" si="113"/>
        <v>OK</v>
      </c>
      <c r="M946" t="str">
        <f>IF(OR(B946&lt;$AE$20,B946&gt;$AF$20),"Outlier","OK")</f>
        <v>OK</v>
      </c>
      <c r="N946" t="str">
        <f>IF(OR(J946&lt;$AE$21,J946&gt;$AF$21),"Outlier","OK")</f>
        <v>OK</v>
      </c>
      <c r="O946" t="str">
        <f>IF(OR(C946&lt;0,C946&gt;1),"Outlier","OK")</f>
        <v>OK</v>
      </c>
      <c r="P946" t="str">
        <f>IF(OR(D946&lt;0,D946&gt;1),"Outlier","OK")</f>
        <v>OK</v>
      </c>
      <c r="Q946" t="str">
        <f t="shared" si="114"/>
        <v>40-60%</v>
      </c>
      <c r="R946" t="str">
        <f>IF(B946="","Missing","OK")</f>
        <v>OK</v>
      </c>
      <c r="S946" t="str">
        <f>IF(E946="","Missing","OK")</f>
        <v>OK</v>
      </c>
      <c r="T946" t="str">
        <f t="shared" si="115"/>
        <v>OK</v>
      </c>
      <c r="U946">
        <f>COUNTIF($A:$A,A946)</f>
        <v>1</v>
      </c>
      <c r="V946" t="str">
        <f t="shared" si="116"/>
        <v>OK</v>
      </c>
      <c r="W946" t="str">
        <f>IF(I946&gt;B946,"ERROR","OK")</f>
        <v>OK</v>
      </c>
      <c r="X946">
        <f>(B946-I946)/B946</f>
        <v>0.46030278568604477</v>
      </c>
      <c r="Y946" s="2">
        <f t="shared" si="117"/>
        <v>7.7715611723760958E-16</v>
      </c>
      <c r="Z946" s="2" t="str">
        <f t="shared" si="118"/>
        <v>OK</v>
      </c>
      <c r="AA946" t="str">
        <f t="shared" si="119"/>
        <v>Unique</v>
      </c>
    </row>
    <row r="947" spans="1:27" x14ac:dyDescent="0.3">
      <c r="A947">
        <v>946</v>
      </c>
      <c r="B947">
        <v>1614047.55072601</v>
      </c>
      <c r="C947">
        <v>0.69916796142536597</v>
      </c>
      <c r="D947">
        <v>-9.6594835240170707E-2</v>
      </c>
      <c r="E947">
        <v>0.17615077519643399</v>
      </c>
      <c r="F947">
        <v>1</v>
      </c>
      <c r="G947" t="s">
        <v>13</v>
      </c>
      <c r="H947">
        <v>0</v>
      </c>
      <c r="I947">
        <v>284315.72726429399</v>
      </c>
      <c r="J947">
        <v>0.82384922480356504</v>
      </c>
      <c r="K947" t="str">
        <f t="shared" si="112"/>
        <v>OK</v>
      </c>
      <c r="L947" t="str">
        <f t="shared" si="113"/>
        <v>OK</v>
      </c>
      <c r="M947" t="str">
        <f>IF(OR(B947&lt;$AE$20,B947&gt;$AF$20),"Outlier","OK")</f>
        <v>OK</v>
      </c>
      <c r="N947" t="str">
        <f>IF(OR(J947&lt;$AE$21,J947&gt;$AF$21),"Outlier","OK")</f>
        <v>OK</v>
      </c>
      <c r="O947" t="str">
        <f>IF(OR(C947&lt;0,C947&gt;1),"Outlier","OK")</f>
        <v>OK</v>
      </c>
      <c r="P947" t="str">
        <f>IF(OR(D947&lt;0,D947&gt;1),"Outlier","OK")</f>
        <v>Outlier</v>
      </c>
      <c r="Q947" t="str">
        <f t="shared" si="114"/>
        <v>80-100%</v>
      </c>
      <c r="R947" t="str">
        <f>IF(B947="","Missing","OK")</f>
        <v>OK</v>
      </c>
      <c r="S947" t="str">
        <f>IF(E947="","Missing","OK")</f>
        <v>OK</v>
      </c>
      <c r="T947" t="str">
        <f t="shared" si="115"/>
        <v>OK</v>
      </c>
      <c r="U947">
        <f>COUNTIF($A:$A,A947)</f>
        <v>1</v>
      </c>
      <c r="V947" t="str">
        <f t="shared" si="116"/>
        <v>OK</v>
      </c>
      <c r="W947" t="str">
        <f>IF(I947&gt;B947,"ERROR","OK")</f>
        <v>OK</v>
      </c>
      <c r="X947">
        <f>(B947-I947)/B947</f>
        <v>0.82384922480356493</v>
      </c>
      <c r="Y947" s="2">
        <f t="shared" si="117"/>
        <v>1.1102230246251565E-16</v>
      </c>
      <c r="Z947" s="2" t="str">
        <f t="shared" si="118"/>
        <v>OK</v>
      </c>
      <c r="AA947" t="str">
        <f t="shared" si="119"/>
        <v>Unique</v>
      </c>
    </row>
    <row r="948" spans="1:27" x14ac:dyDescent="0.3">
      <c r="A948">
        <v>947</v>
      </c>
      <c r="B948">
        <v>826368.87670387095</v>
      </c>
      <c r="C948">
        <v>0.31709208297019198</v>
      </c>
      <c r="D948">
        <v>-0.18686528312485101</v>
      </c>
      <c r="E948">
        <v>0.275503531795532</v>
      </c>
      <c r="F948">
        <v>1</v>
      </c>
      <c r="G948" t="s">
        <v>11</v>
      </c>
      <c r="H948">
        <v>1</v>
      </c>
      <c r="I948">
        <v>227667.544097823</v>
      </c>
      <c r="J948">
        <v>0.724496468204467</v>
      </c>
      <c r="K948" t="str">
        <f t="shared" si="112"/>
        <v>OK</v>
      </c>
      <c r="L948" t="str">
        <f t="shared" si="113"/>
        <v>OK</v>
      </c>
      <c r="M948" t="str">
        <f>IF(OR(B948&lt;$AE$20,B948&gt;$AF$20),"Outlier","OK")</f>
        <v>OK</v>
      </c>
      <c r="N948" t="str">
        <f>IF(OR(J948&lt;$AE$21,J948&gt;$AF$21),"Outlier","OK")</f>
        <v>OK</v>
      </c>
      <c r="O948" t="str">
        <f>IF(OR(C948&lt;0,C948&gt;1),"Outlier","OK")</f>
        <v>OK</v>
      </c>
      <c r="P948" t="str">
        <f>IF(OR(D948&lt;0,D948&gt;1),"Outlier","OK")</f>
        <v>Outlier</v>
      </c>
      <c r="Q948" t="str">
        <f t="shared" si="114"/>
        <v>60-80%</v>
      </c>
      <c r="R948" t="str">
        <f>IF(B948="","Missing","OK")</f>
        <v>OK</v>
      </c>
      <c r="S948" t="str">
        <f>IF(E948="","Missing","OK")</f>
        <v>OK</v>
      </c>
      <c r="T948" t="str">
        <f t="shared" si="115"/>
        <v>OK</v>
      </c>
      <c r="U948">
        <f>COUNTIF($A:$A,A948)</f>
        <v>1</v>
      </c>
      <c r="V948" t="str">
        <f t="shared" si="116"/>
        <v>OK</v>
      </c>
      <c r="W948" t="str">
        <f>IF(I948&gt;B948,"ERROR","OK")</f>
        <v>OK</v>
      </c>
      <c r="X948">
        <f>(B948-I948)/B948</f>
        <v>0.724496468204468</v>
      </c>
      <c r="Y948" s="2">
        <f t="shared" si="117"/>
        <v>9.9920072216264089E-16</v>
      </c>
      <c r="Z948" s="2" t="str">
        <f t="shared" si="118"/>
        <v>OK</v>
      </c>
      <c r="AA948" t="str">
        <f t="shared" si="119"/>
        <v>Unique</v>
      </c>
    </row>
    <row r="949" spans="1:27" x14ac:dyDescent="0.3">
      <c r="A949">
        <v>948</v>
      </c>
      <c r="B949">
        <v>1468022.45986809</v>
      </c>
      <c r="C949">
        <v>0.38810584957781102</v>
      </c>
      <c r="D949">
        <v>0.19198774579907399</v>
      </c>
      <c r="E949">
        <v>0.26716754564530998</v>
      </c>
      <c r="F949">
        <v>1</v>
      </c>
      <c r="G949" t="s">
        <v>11</v>
      </c>
      <c r="H949">
        <v>1</v>
      </c>
      <c r="I949">
        <v>392207.95755514997</v>
      </c>
      <c r="J949">
        <v>0.73283245435468902</v>
      </c>
      <c r="K949" t="str">
        <f t="shared" si="112"/>
        <v>OK</v>
      </c>
      <c r="L949" t="str">
        <f t="shared" si="113"/>
        <v>OK</v>
      </c>
      <c r="M949" t="str">
        <f>IF(OR(B949&lt;$AE$20,B949&gt;$AF$20),"Outlier","OK")</f>
        <v>OK</v>
      </c>
      <c r="N949" t="str">
        <f>IF(OR(J949&lt;$AE$21,J949&gt;$AF$21),"Outlier","OK")</f>
        <v>OK</v>
      </c>
      <c r="O949" t="str">
        <f>IF(OR(C949&lt;0,C949&gt;1),"Outlier","OK")</f>
        <v>OK</v>
      </c>
      <c r="P949" t="str">
        <f>IF(OR(D949&lt;0,D949&gt;1),"Outlier","OK")</f>
        <v>OK</v>
      </c>
      <c r="Q949" t="str">
        <f t="shared" si="114"/>
        <v>60-80%</v>
      </c>
      <c r="R949" t="str">
        <f>IF(B949="","Missing","OK")</f>
        <v>OK</v>
      </c>
      <c r="S949" t="str">
        <f>IF(E949="","Missing","OK")</f>
        <v>OK</v>
      </c>
      <c r="T949" t="str">
        <f t="shared" si="115"/>
        <v>OK</v>
      </c>
      <c r="U949">
        <f>COUNTIF($A:$A,A949)</f>
        <v>1</v>
      </c>
      <c r="V949" t="str">
        <f t="shared" si="116"/>
        <v>OK</v>
      </c>
      <c r="W949" t="str">
        <f>IF(I949&gt;B949,"ERROR","OK")</f>
        <v>OK</v>
      </c>
      <c r="X949">
        <f>(B949-I949)/B949</f>
        <v>0.7328324543546888</v>
      </c>
      <c r="Y949" s="2">
        <f t="shared" si="117"/>
        <v>2.2204460492503131E-16</v>
      </c>
      <c r="Z949" s="2" t="str">
        <f t="shared" si="118"/>
        <v>OK</v>
      </c>
      <c r="AA949" t="str">
        <f t="shared" si="119"/>
        <v>Unique</v>
      </c>
    </row>
    <row r="950" spans="1:27" x14ac:dyDescent="0.3">
      <c r="A950">
        <v>949</v>
      </c>
      <c r="B950">
        <v>1183189.8673183001</v>
      </c>
      <c r="C950">
        <v>0.628221952607249</v>
      </c>
      <c r="D950">
        <v>-0.13684486871938201</v>
      </c>
      <c r="E950">
        <v>0.345719111982906</v>
      </c>
      <c r="F950">
        <v>1</v>
      </c>
      <c r="G950" t="s">
        <v>12</v>
      </c>
      <c r="H950">
        <v>0</v>
      </c>
      <c r="I950">
        <v>409051.35023645603</v>
      </c>
      <c r="J950">
        <v>0.65428088801709305</v>
      </c>
      <c r="K950" t="str">
        <f t="shared" si="112"/>
        <v>OK</v>
      </c>
      <c r="L950" t="str">
        <f t="shared" si="113"/>
        <v>OK</v>
      </c>
      <c r="M950" t="str">
        <f>IF(OR(B950&lt;$AE$20,B950&gt;$AF$20),"Outlier","OK")</f>
        <v>OK</v>
      </c>
      <c r="N950" t="str">
        <f>IF(OR(J950&lt;$AE$21,J950&gt;$AF$21),"Outlier","OK")</f>
        <v>OK</v>
      </c>
      <c r="O950" t="str">
        <f>IF(OR(C950&lt;0,C950&gt;1),"Outlier","OK")</f>
        <v>OK</v>
      </c>
      <c r="P950" t="str">
        <f>IF(OR(D950&lt;0,D950&gt;1),"Outlier","OK")</f>
        <v>Outlier</v>
      </c>
      <c r="Q950" t="str">
        <f t="shared" si="114"/>
        <v>60-80%</v>
      </c>
      <c r="R950" t="str">
        <f>IF(B950="","Missing","OK")</f>
        <v>OK</v>
      </c>
      <c r="S950" t="str">
        <f>IF(E950="","Missing","OK")</f>
        <v>OK</v>
      </c>
      <c r="T950" t="str">
        <f t="shared" si="115"/>
        <v>OK</v>
      </c>
      <c r="U950">
        <f>COUNTIF($A:$A,A950)</f>
        <v>1</v>
      </c>
      <c r="V950" t="str">
        <f t="shared" si="116"/>
        <v>OK</v>
      </c>
      <c r="W950" t="str">
        <f>IF(I950&gt;B950,"ERROR","OK")</f>
        <v>OK</v>
      </c>
      <c r="X950">
        <f>(B950-I950)/B950</f>
        <v>0.65428088801709317</v>
      </c>
      <c r="Y950" s="2">
        <f t="shared" si="117"/>
        <v>1.1102230246251565E-16</v>
      </c>
      <c r="Z950" s="2" t="str">
        <f t="shared" si="118"/>
        <v>OK</v>
      </c>
      <c r="AA950" t="str">
        <f t="shared" si="119"/>
        <v>Unique</v>
      </c>
    </row>
    <row r="951" spans="1:27" x14ac:dyDescent="0.3">
      <c r="A951">
        <v>950</v>
      </c>
      <c r="B951">
        <v>760466.275170682</v>
      </c>
      <c r="C951">
        <v>0.76343812849881798</v>
      </c>
      <c r="D951">
        <v>0.19978112622997701</v>
      </c>
      <c r="E951">
        <v>3.2019129995112097E-2</v>
      </c>
      <c r="F951">
        <v>1</v>
      </c>
      <c r="G951" t="s">
        <v>12</v>
      </c>
      <c r="H951">
        <v>0</v>
      </c>
      <c r="I951">
        <v>24349.4685215887</v>
      </c>
      <c r="J951">
        <v>0.96798087000488697</v>
      </c>
      <c r="K951" t="str">
        <f t="shared" si="112"/>
        <v>OK</v>
      </c>
      <c r="L951" t="str">
        <f t="shared" si="113"/>
        <v>OK</v>
      </c>
      <c r="M951" t="str">
        <f>IF(OR(B951&lt;$AE$20,B951&gt;$AF$20),"Outlier","OK")</f>
        <v>OK</v>
      </c>
      <c r="N951" t="str">
        <f>IF(OR(J951&lt;$AE$21,J951&gt;$AF$21),"Outlier","OK")</f>
        <v>OK</v>
      </c>
      <c r="O951" t="str">
        <f>IF(OR(C951&lt;0,C951&gt;1),"Outlier","OK")</f>
        <v>OK</v>
      </c>
      <c r="P951" t="str">
        <f>IF(OR(D951&lt;0,D951&gt;1),"Outlier","OK")</f>
        <v>OK</v>
      </c>
      <c r="Q951" t="str">
        <f t="shared" si="114"/>
        <v>80-100%</v>
      </c>
      <c r="R951" t="str">
        <f>IF(B951="","Missing","OK")</f>
        <v>OK</v>
      </c>
      <c r="S951" t="str">
        <f>IF(E951="","Missing","OK")</f>
        <v>OK</v>
      </c>
      <c r="T951" t="str">
        <f t="shared" si="115"/>
        <v>OK</v>
      </c>
      <c r="U951">
        <f>COUNTIF($A:$A,A951)</f>
        <v>1</v>
      </c>
      <c r="V951" t="str">
        <f t="shared" si="116"/>
        <v>OK</v>
      </c>
      <c r="W951" t="str">
        <f>IF(I951&gt;B951,"ERROR","OK")</f>
        <v>OK</v>
      </c>
      <c r="X951">
        <f>(B951-I951)/B951</f>
        <v>0.96798087000488797</v>
      </c>
      <c r="Y951" s="2">
        <f t="shared" si="117"/>
        <v>9.9920072216264089E-16</v>
      </c>
      <c r="Z951" s="2" t="str">
        <f t="shared" si="118"/>
        <v>OK</v>
      </c>
      <c r="AA951" t="str">
        <f t="shared" si="119"/>
        <v>Unique</v>
      </c>
    </row>
    <row r="952" spans="1:27" x14ac:dyDescent="0.3">
      <c r="A952">
        <v>951</v>
      </c>
      <c r="B952">
        <v>206012.71401000099</v>
      </c>
      <c r="C952">
        <v>0.84361351858960898</v>
      </c>
      <c r="D952">
        <v>0.13906247670490099</v>
      </c>
      <c r="E952">
        <v>0.200453897056208</v>
      </c>
      <c r="F952">
        <v>1</v>
      </c>
      <c r="G952" t="s">
        <v>10</v>
      </c>
      <c r="H952">
        <v>1</v>
      </c>
      <c r="I952">
        <v>41296.051366430998</v>
      </c>
      <c r="J952">
        <v>0.79954610294379103</v>
      </c>
      <c r="K952" t="str">
        <f t="shared" si="112"/>
        <v>OK</v>
      </c>
      <c r="L952" t="str">
        <f t="shared" si="113"/>
        <v>OK</v>
      </c>
      <c r="M952" t="str">
        <f>IF(OR(B952&lt;$AE$20,B952&gt;$AF$20),"Outlier","OK")</f>
        <v>OK</v>
      </c>
      <c r="N952" t="str">
        <f>IF(OR(J952&lt;$AE$21,J952&gt;$AF$21),"Outlier","OK")</f>
        <v>OK</v>
      </c>
      <c r="O952" t="str">
        <f>IF(OR(C952&lt;0,C952&gt;1),"Outlier","OK")</f>
        <v>OK</v>
      </c>
      <c r="P952" t="str">
        <f>IF(OR(D952&lt;0,D952&gt;1),"Outlier","OK")</f>
        <v>OK</v>
      </c>
      <c r="Q952" t="str">
        <f t="shared" si="114"/>
        <v>60-80%</v>
      </c>
      <c r="R952" t="str">
        <f>IF(B952="","Missing","OK")</f>
        <v>OK</v>
      </c>
      <c r="S952" t="str">
        <f>IF(E952="","Missing","OK")</f>
        <v>OK</v>
      </c>
      <c r="T952" t="str">
        <f t="shared" si="115"/>
        <v>OK</v>
      </c>
      <c r="U952">
        <f>COUNTIF($A:$A,A952)</f>
        <v>1</v>
      </c>
      <c r="V952" t="str">
        <f t="shared" si="116"/>
        <v>OK</v>
      </c>
      <c r="W952" t="str">
        <f>IF(I952&gt;B952,"ERROR","OK")</f>
        <v>OK</v>
      </c>
      <c r="X952">
        <f>(B952-I952)/B952</f>
        <v>0.7995461029437908</v>
      </c>
      <c r="Y952" s="2">
        <f t="shared" si="117"/>
        <v>2.2204460492503131E-16</v>
      </c>
      <c r="Z952" s="2" t="str">
        <f t="shared" si="118"/>
        <v>OK</v>
      </c>
      <c r="AA952" t="str">
        <f t="shared" si="119"/>
        <v>Unique</v>
      </c>
    </row>
    <row r="953" spans="1:27" x14ac:dyDescent="0.3">
      <c r="A953">
        <v>952</v>
      </c>
      <c r="B953">
        <v>276444.48412305297</v>
      </c>
      <c r="C953">
        <v>0.21800522778753501</v>
      </c>
      <c r="D953">
        <v>-0.15591801701258301</v>
      </c>
      <c r="E953">
        <v>0.19448881981233301</v>
      </c>
      <c r="F953">
        <v>1</v>
      </c>
      <c r="G953" t="s">
        <v>13</v>
      </c>
      <c r="H953">
        <v>1</v>
      </c>
      <c r="I953">
        <v>53765.361460722102</v>
      </c>
      <c r="J953">
        <v>0.80551118018766599</v>
      </c>
      <c r="K953" t="str">
        <f t="shared" si="112"/>
        <v>OK</v>
      </c>
      <c r="L953" t="str">
        <f t="shared" si="113"/>
        <v>OK</v>
      </c>
      <c r="M953" t="str">
        <f>IF(OR(B953&lt;$AE$20,B953&gt;$AF$20),"Outlier","OK")</f>
        <v>OK</v>
      </c>
      <c r="N953" t="str">
        <f>IF(OR(J953&lt;$AE$21,J953&gt;$AF$21),"Outlier","OK")</f>
        <v>OK</v>
      </c>
      <c r="O953" t="str">
        <f>IF(OR(C953&lt;0,C953&gt;1),"Outlier","OK")</f>
        <v>OK</v>
      </c>
      <c r="P953" t="str">
        <f>IF(OR(D953&lt;0,D953&gt;1),"Outlier","OK")</f>
        <v>Outlier</v>
      </c>
      <c r="Q953" t="str">
        <f t="shared" si="114"/>
        <v>80-100%</v>
      </c>
      <c r="R953" t="str">
        <f>IF(B953="","Missing","OK")</f>
        <v>OK</v>
      </c>
      <c r="S953" t="str">
        <f>IF(E953="","Missing","OK")</f>
        <v>OK</v>
      </c>
      <c r="T953" t="str">
        <f t="shared" si="115"/>
        <v>OK</v>
      </c>
      <c r="U953">
        <f>COUNTIF($A:$A,A953)</f>
        <v>1</v>
      </c>
      <c r="V953" t="str">
        <f t="shared" si="116"/>
        <v>OK</v>
      </c>
      <c r="W953" t="str">
        <f>IF(I953&gt;B953,"ERROR","OK")</f>
        <v>OK</v>
      </c>
      <c r="X953">
        <f>(B953-I953)/B953</f>
        <v>0.80551118018766588</v>
      </c>
      <c r="Y953" s="2">
        <f t="shared" si="117"/>
        <v>1.1102230246251565E-16</v>
      </c>
      <c r="Z953" s="2" t="str">
        <f t="shared" si="118"/>
        <v>OK</v>
      </c>
      <c r="AA953" t="str">
        <f t="shared" si="119"/>
        <v>Unique</v>
      </c>
    </row>
    <row r="954" spans="1:27" x14ac:dyDescent="0.3">
      <c r="A954">
        <v>953</v>
      </c>
      <c r="B954">
        <v>1784639.5104523599</v>
      </c>
      <c r="C954">
        <v>0.80652134720993596</v>
      </c>
      <c r="D954">
        <v>8.8499115375681794E-2</v>
      </c>
      <c r="E954">
        <v>0.14253668278022699</v>
      </c>
      <c r="F954">
        <v>1</v>
      </c>
      <c r="G954" t="s">
        <v>13</v>
      </c>
      <c r="H954">
        <v>0</v>
      </c>
      <c r="I954">
        <v>254376.59577840799</v>
      </c>
      <c r="J954">
        <v>0.85746331721977198</v>
      </c>
      <c r="K954" t="str">
        <f t="shared" si="112"/>
        <v>OK</v>
      </c>
      <c r="L954" t="str">
        <f t="shared" si="113"/>
        <v>OK</v>
      </c>
      <c r="M954" t="str">
        <f>IF(OR(B954&lt;$AE$20,B954&gt;$AF$20),"Outlier","OK")</f>
        <v>OK</v>
      </c>
      <c r="N954" t="str">
        <f>IF(OR(J954&lt;$AE$21,J954&gt;$AF$21),"Outlier","OK")</f>
        <v>OK</v>
      </c>
      <c r="O954" t="str">
        <f>IF(OR(C954&lt;0,C954&gt;1),"Outlier","OK")</f>
        <v>OK</v>
      </c>
      <c r="P954" t="str">
        <f>IF(OR(D954&lt;0,D954&gt;1),"Outlier","OK")</f>
        <v>OK</v>
      </c>
      <c r="Q954" t="str">
        <f t="shared" si="114"/>
        <v>80-100%</v>
      </c>
      <c r="R954" t="str">
        <f>IF(B954="","Missing","OK")</f>
        <v>OK</v>
      </c>
      <c r="S954" t="str">
        <f>IF(E954="","Missing","OK")</f>
        <v>OK</v>
      </c>
      <c r="T954" t="str">
        <f t="shared" si="115"/>
        <v>OK</v>
      </c>
      <c r="U954">
        <f>COUNTIF($A:$A,A954)</f>
        <v>1</v>
      </c>
      <c r="V954" t="str">
        <f t="shared" si="116"/>
        <v>OK</v>
      </c>
      <c r="W954" t="str">
        <f>IF(I954&gt;B954,"ERROR","OK")</f>
        <v>OK</v>
      </c>
      <c r="X954">
        <f>(B954-I954)/B954</f>
        <v>0.85746331721977276</v>
      </c>
      <c r="Y954" s="2">
        <f t="shared" si="117"/>
        <v>7.7715611723760958E-16</v>
      </c>
      <c r="Z954" s="2" t="str">
        <f t="shared" si="118"/>
        <v>OK</v>
      </c>
      <c r="AA954" t="str">
        <f t="shared" si="119"/>
        <v>Unique</v>
      </c>
    </row>
    <row r="955" spans="1:27" x14ac:dyDescent="0.3">
      <c r="A955">
        <v>954</v>
      </c>
      <c r="B955">
        <v>932063.99454364995</v>
      </c>
      <c r="C955">
        <v>0.7153139203351</v>
      </c>
      <c r="D955">
        <v>-2.0984913729572199E-2</v>
      </c>
      <c r="E955">
        <v>0.34851970042672398</v>
      </c>
      <c r="F955">
        <v>1</v>
      </c>
      <c r="G955" t="s">
        <v>13</v>
      </c>
      <c r="H955">
        <v>0</v>
      </c>
      <c r="I955">
        <v>324842.66415688902</v>
      </c>
      <c r="J955">
        <v>0.65148029957327502</v>
      </c>
      <c r="K955" t="str">
        <f t="shared" si="112"/>
        <v>OK</v>
      </c>
      <c r="L955" t="str">
        <f t="shared" si="113"/>
        <v>OK</v>
      </c>
      <c r="M955" t="str">
        <f>IF(OR(B955&lt;$AE$20,B955&gt;$AF$20),"Outlier","OK")</f>
        <v>OK</v>
      </c>
      <c r="N955" t="str">
        <f>IF(OR(J955&lt;$AE$21,J955&gt;$AF$21),"Outlier","OK")</f>
        <v>OK</v>
      </c>
      <c r="O955" t="str">
        <f>IF(OR(C955&lt;0,C955&gt;1),"Outlier","OK")</f>
        <v>OK</v>
      </c>
      <c r="P955" t="str">
        <f>IF(OR(D955&lt;0,D955&gt;1),"Outlier","OK")</f>
        <v>Outlier</v>
      </c>
      <c r="Q955" t="str">
        <f t="shared" si="114"/>
        <v>60-80%</v>
      </c>
      <c r="R955" t="str">
        <f>IF(B955="","Missing","OK")</f>
        <v>OK</v>
      </c>
      <c r="S955" t="str">
        <f>IF(E955="","Missing","OK")</f>
        <v>OK</v>
      </c>
      <c r="T955" t="str">
        <f t="shared" si="115"/>
        <v>OK</v>
      </c>
      <c r="U955">
        <f>COUNTIF($A:$A,A955)</f>
        <v>1</v>
      </c>
      <c r="V955" t="str">
        <f t="shared" si="116"/>
        <v>OK</v>
      </c>
      <c r="W955" t="str">
        <f>IF(I955&gt;B955,"ERROR","OK")</f>
        <v>OK</v>
      </c>
      <c r="X955">
        <f>(B955-I955)/B955</f>
        <v>0.65148029957327547</v>
      </c>
      <c r="Y955" s="2">
        <f t="shared" si="117"/>
        <v>4.4408920985006262E-16</v>
      </c>
      <c r="Z955" s="2" t="str">
        <f t="shared" si="118"/>
        <v>OK</v>
      </c>
      <c r="AA955" t="str">
        <f t="shared" si="119"/>
        <v>Unique</v>
      </c>
    </row>
    <row r="956" spans="1:27" x14ac:dyDescent="0.3">
      <c r="A956">
        <v>955</v>
      </c>
      <c r="B956">
        <v>1988308.8509221401</v>
      </c>
      <c r="C956">
        <v>0.18366574645631101</v>
      </c>
      <c r="D956">
        <v>-0.197421601369282</v>
      </c>
      <c r="E956">
        <v>0.15579563881417099</v>
      </c>
      <c r="F956">
        <v>1</v>
      </c>
      <c r="G956" t="s">
        <v>12</v>
      </c>
      <c r="H956">
        <v>0</v>
      </c>
      <c r="I956">
        <v>309769.84758928599</v>
      </c>
      <c r="J956">
        <v>0.84420436118582798</v>
      </c>
      <c r="K956" t="str">
        <f t="shared" si="112"/>
        <v>OK</v>
      </c>
      <c r="L956" t="str">
        <f t="shared" si="113"/>
        <v>OK</v>
      </c>
      <c r="M956" t="str">
        <f>IF(OR(B956&lt;$AE$20,B956&gt;$AF$20),"Outlier","OK")</f>
        <v>Outlier</v>
      </c>
      <c r="N956" t="str">
        <f>IF(OR(J956&lt;$AE$21,J956&gt;$AF$21),"Outlier","OK")</f>
        <v>OK</v>
      </c>
      <c r="O956" t="str">
        <f>IF(OR(C956&lt;0,C956&gt;1),"Outlier","OK")</f>
        <v>OK</v>
      </c>
      <c r="P956" t="str">
        <f>IF(OR(D956&lt;0,D956&gt;1),"Outlier","OK")</f>
        <v>Outlier</v>
      </c>
      <c r="Q956" t="str">
        <f t="shared" si="114"/>
        <v>80-100%</v>
      </c>
      <c r="R956" t="str">
        <f>IF(B956="","Missing","OK")</f>
        <v>OK</v>
      </c>
      <c r="S956" t="str">
        <f>IF(E956="","Missing","OK")</f>
        <v>OK</v>
      </c>
      <c r="T956" t="str">
        <f t="shared" si="115"/>
        <v>OK</v>
      </c>
      <c r="U956">
        <f>COUNTIF($A:$A,A956)</f>
        <v>1</v>
      </c>
      <c r="V956" t="str">
        <f t="shared" si="116"/>
        <v>OK</v>
      </c>
      <c r="W956" t="str">
        <f>IF(I956&gt;B956,"ERROR","OK")</f>
        <v>OK</v>
      </c>
      <c r="X956">
        <f>(B956-I956)/B956</f>
        <v>0.84420436118582853</v>
      </c>
      <c r="Y956" s="2">
        <f t="shared" si="117"/>
        <v>5.5511151231257827E-16</v>
      </c>
      <c r="Z956" s="2" t="str">
        <f t="shared" si="118"/>
        <v>OK</v>
      </c>
      <c r="AA956" t="str">
        <f t="shared" si="119"/>
        <v>Unique</v>
      </c>
    </row>
    <row r="957" spans="1:27" x14ac:dyDescent="0.3">
      <c r="A957">
        <v>956</v>
      </c>
      <c r="B957">
        <v>759599.04956233595</v>
      </c>
      <c r="C957">
        <v>0.71922850603553101</v>
      </c>
      <c r="D957">
        <v>-0.125027261132062</v>
      </c>
      <c r="E957">
        <v>0.185167909037739</v>
      </c>
      <c r="F957">
        <v>1</v>
      </c>
      <c r="G957" t="s">
        <v>11</v>
      </c>
      <c r="H957">
        <v>1</v>
      </c>
      <c r="I957">
        <v>140653.36771451199</v>
      </c>
      <c r="J957">
        <v>0.81483209096225995</v>
      </c>
      <c r="K957" t="str">
        <f t="shared" si="112"/>
        <v>OK</v>
      </c>
      <c r="L957" t="str">
        <f t="shared" si="113"/>
        <v>OK</v>
      </c>
      <c r="M957" t="str">
        <f>IF(OR(B957&lt;$AE$20,B957&gt;$AF$20),"Outlier","OK")</f>
        <v>OK</v>
      </c>
      <c r="N957" t="str">
        <f>IF(OR(J957&lt;$AE$21,J957&gt;$AF$21),"Outlier","OK")</f>
        <v>OK</v>
      </c>
      <c r="O957" t="str">
        <f>IF(OR(C957&lt;0,C957&gt;1),"Outlier","OK")</f>
        <v>OK</v>
      </c>
      <c r="P957" t="str">
        <f>IF(OR(D957&lt;0,D957&gt;1),"Outlier","OK")</f>
        <v>Outlier</v>
      </c>
      <c r="Q957" t="str">
        <f t="shared" si="114"/>
        <v>80-100%</v>
      </c>
      <c r="R957" t="str">
        <f>IF(B957="","Missing","OK")</f>
        <v>OK</v>
      </c>
      <c r="S957" t="str">
        <f>IF(E957="","Missing","OK")</f>
        <v>OK</v>
      </c>
      <c r="T957" t="str">
        <f t="shared" si="115"/>
        <v>OK</v>
      </c>
      <c r="U957">
        <f>COUNTIF($A:$A,A957)</f>
        <v>1</v>
      </c>
      <c r="V957" t="str">
        <f t="shared" si="116"/>
        <v>OK</v>
      </c>
      <c r="W957" t="str">
        <f>IF(I957&gt;B957,"ERROR","OK")</f>
        <v>OK</v>
      </c>
      <c r="X957">
        <f>(B957-I957)/B957</f>
        <v>0.81483209096226061</v>
      </c>
      <c r="Y957" s="2">
        <f t="shared" si="117"/>
        <v>6.6613381477509392E-16</v>
      </c>
      <c r="Z957" s="2" t="str">
        <f t="shared" si="118"/>
        <v>OK</v>
      </c>
      <c r="AA957" t="str">
        <f t="shared" si="119"/>
        <v>Unique</v>
      </c>
    </row>
    <row r="958" spans="1:27" x14ac:dyDescent="0.3">
      <c r="A958">
        <v>957</v>
      </c>
      <c r="B958">
        <v>537410.89410636795</v>
      </c>
      <c r="C958">
        <v>0.231954495258967</v>
      </c>
      <c r="D958">
        <v>-7.3212767428828304E-2</v>
      </c>
      <c r="E958">
        <v>0.44315855551445499</v>
      </c>
      <c r="F958">
        <v>1</v>
      </c>
      <c r="G958" t="s">
        <v>12</v>
      </c>
      <c r="H958">
        <v>0</v>
      </c>
      <c r="I958">
        <v>238158.23554990999</v>
      </c>
      <c r="J958">
        <v>0.55684144448554496</v>
      </c>
      <c r="K958" t="str">
        <f t="shared" si="112"/>
        <v>OK</v>
      </c>
      <c r="L958" t="str">
        <f t="shared" si="113"/>
        <v>OK</v>
      </c>
      <c r="M958" t="str">
        <f>IF(OR(B958&lt;$AE$20,B958&gt;$AF$20),"Outlier","OK")</f>
        <v>OK</v>
      </c>
      <c r="N958" t="str">
        <f>IF(OR(J958&lt;$AE$21,J958&gt;$AF$21),"Outlier","OK")</f>
        <v>OK</v>
      </c>
      <c r="O958" t="str">
        <f>IF(OR(C958&lt;0,C958&gt;1),"Outlier","OK")</f>
        <v>OK</v>
      </c>
      <c r="P958" t="str">
        <f>IF(OR(D958&lt;0,D958&gt;1),"Outlier","OK")</f>
        <v>Outlier</v>
      </c>
      <c r="Q958" t="str">
        <f t="shared" si="114"/>
        <v>40-60%</v>
      </c>
      <c r="R958" t="str">
        <f>IF(B958="","Missing","OK")</f>
        <v>OK</v>
      </c>
      <c r="S958" t="str">
        <f>IF(E958="","Missing","OK")</f>
        <v>OK</v>
      </c>
      <c r="T958" t="str">
        <f t="shared" si="115"/>
        <v>OK</v>
      </c>
      <c r="U958">
        <f>COUNTIF($A:$A,A958)</f>
        <v>1</v>
      </c>
      <c r="V958" t="str">
        <f t="shared" si="116"/>
        <v>OK</v>
      </c>
      <c r="W958" t="str">
        <f>IF(I958&gt;B958,"ERROR","OK")</f>
        <v>OK</v>
      </c>
      <c r="X958">
        <f>(B958-I958)/B958</f>
        <v>0.55684144448554451</v>
      </c>
      <c r="Y958" s="2">
        <f t="shared" si="117"/>
        <v>4.4408920985006262E-16</v>
      </c>
      <c r="Z958" s="2" t="str">
        <f t="shared" si="118"/>
        <v>OK</v>
      </c>
      <c r="AA958" t="str">
        <f t="shared" si="119"/>
        <v>Unique</v>
      </c>
    </row>
    <row r="959" spans="1:27" x14ac:dyDescent="0.3">
      <c r="A959">
        <v>958</v>
      </c>
      <c r="B959">
        <v>733551.67363142595</v>
      </c>
      <c r="C959">
        <v>0.64559255154871797</v>
      </c>
      <c r="D959">
        <v>0.156201457748988</v>
      </c>
      <c r="E959">
        <v>0.26976531214882399</v>
      </c>
      <c r="F959">
        <v>1</v>
      </c>
      <c r="G959" t="s">
        <v>12</v>
      </c>
      <c r="H959">
        <v>1</v>
      </c>
      <c r="I959">
        <v>197886.796214473</v>
      </c>
      <c r="J959">
        <v>0.73023468785117596</v>
      </c>
      <c r="K959" t="str">
        <f t="shared" si="112"/>
        <v>OK</v>
      </c>
      <c r="L959" t="str">
        <f t="shared" si="113"/>
        <v>OK</v>
      </c>
      <c r="M959" t="str">
        <f>IF(OR(B959&lt;$AE$20,B959&gt;$AF$20),"Outlier","OK")</f>
        <v>OK</v>
      </c>
      <c r="N959" t="str">
        <f>IF(OR(J959&lt;$AE$21,J959&gt;$AF$21),"Outlier","OK")</f>
        <v>OK</v>
      </c>
      <c r="O959" t="str">
        <f>IF(OR(C959&lt;0,C959&gt;1),"Outlier","OK")</f>
        <v>OK</v>
      </c>
      <c r="P959" t="str">
        <f>IF(OR(D959&lt;0,D959&gt;1),"Outlier","OK")</f>
        <v>OK</v>
      </c>
      <c r="Q959" t="str">
        <f t="shared" si="114"/>
        <v>60-80%</v>
      </c>
      <c r="R959" t="str">
        <f>IF(B959="","Missing","OK")</f>
        <v>OK</v>
      </c>
      <c r="S959" t="str">
        <f>IF(E959="","Missing","OK")</f>
        <v>OK</v>
      </c>
      <c r="T959" t="str">
        <f t="shared" si="115"/>
        <v>OK</v>
      </c>
      <c r="U959">
        <f>COUNTIF($A:$A,A959)</f>
        <v>1</v>
      </c>
      <c r="V959" t="str">
        <f t="shared" si="116"/>
        <v>OK</v>
      </c>
      <c r="W959" t="str">
        <f>IF(I959&gt;B959,"ERROR","OK")</f>
        <v>OK</v>
      </c>
      <c r="X959">
        <f>(B959-I959)/B959</f>
        <v>0.73023468785117729</v>
      </c>
      <c r="Y959" s="2">
        <f t="shared" si="117"/>
        <v>1.3322676295501878E-15</v>
      </c>
      <c r="Z959" s="2" t="str">
        <f t="shared" si="118"/>
        <v>OK</v>
      </c>
      <c r="AA959" t="str">
        <f t="shared" si="119"/>
        <v>Unique</v>
      </c>
    </row>
    <row r="960" spans="1:27" x14ac:dyDescent="0.3">
      <c r="A960">
        <v>959</v>
      </c>
      <c r="B960">
        <v>719017.88907978497</v>
      </c>
      <c r="C960">
        <v>0.29114356641641298</v>
      </c>
      <c r="D960">
        <v>-0.158025357226622</v>
      </c>
      <c r="E960">
        <v>0.283624356527998</v>
      </c>
      <c r="F960">
        <v>1</v>
      </c>
      <c r="G960" t="s">
        <v>12</v>
      </c>
      <c r="H960">
        <v>1</v>
      </c>
      <c r="I960">
        <v>203930.98612237399</v>
      </c>
      <c r="J960">
        <v>0.716375643472001</v>
      </c>
      <c r="K960" t="str">
        <f t="shared" si="112"/>
        <v>OK</v>
      </c>
      <c r="L960" t="str">
        <f t="shared" si="113"/>
        <v>OK</v>
      </c>
      <c r="M960" t="str">
        <f>IF(OR(B960&lt;$AE$20,B960&gt;$AF$20),"Outlier","OK")</f>
        <v>OK</v>
      </c>
      <c r="N960" t="str">
        <f>IF(OR(J960&lt;$AE$21,J960&gt;$AF$21),"Outlier","OK")</f>
        <v>OK</v>
      </c>
      <c r="O960" t="str">
        <f>IF(OR(C960&lt;0,C960&gt;1),"Outlier","OK")</f>
        <v>OK</v>
      </c>
      <c r="P960" t="str">
        <f>IF(OR(D960&lt;0,D960&gt;1),"Outlier","OK")</f>
        <v>Outlier</v>
      </c>
      <c r="Q960" t="str">
        <f t="shared" si="114"/>
        <v>60-80%</v>
      </c>
      <c r="R960" t="str">
        <f>IF(B960="","Missing","OK")</f>
        <v>OK</v>
      </c>
      <c r="S960" t="str">
        <f>IF(E960="","Missing","OK")</f>
        <v>OK</v>
      </c>
      <c r="T960" t="str">
        <f t="shared" si="115"/>
        <v>OK</v>
      </c>
      <c r="U960">
        <f>COUNTIF($A:$A,A960)</f>
        <v>1</v>
      </c>
      <c r="V960" t="str">
        <f t="shared" si="116"/>
        <v>OK</v>
      </c>
      <c r="W960" t="str">
        <f>IF(I960&gt;B960,"ERROR","OK")</f>
        <v>OK</v>
      </c>
      <c r="X960">
        <f>(B960-I960)/B960</f>
        <v>0.71637564347200133</v>
      </c>
      <c r="Y960" s="2">
        <f t="shared" si="117"/>
        <v>3.3306690738754696E-16</v>
      </c>
      <c r="Z960" s="2" t="str">
        <f t="shared" si="118"/>
        <v>OK</v>
      </c>
      <c r="AA960" t="str">
        <f t="shared" si="119"/>
        <v>Unique</v>
      </c>
    </row>
    <row r="961" spans="1:27" x14ac:dyDescent="0.3">
      <c r="A961">
        <v>960</v>
      </c>
      <c r="B961">
        <v>1292845.62667745</v>
      </c>
      <c r="C961">
        <v>0.37348529383247198</v>
      </c>
      <c r="D961">
        <v>-9.0139166970625101E-2</v>
      </c>
      <c r="E961">
        <v>0.19759953255274701</v>
      </c>
      <c r="F961">
        <v>1</v>
      </c>
      <c r="G961" t="s">
        <v>10</v>
      </c>
      <c r="H961">
        <v>0</v>
      </c>
      <c r="I961">
        <v>255465.691494328</v>
      </c>
      <c r="J961">
        <v>0.80240046744725202</v>
      </c>
      <c r="K961" t="str">
        <f t="shared" si="112"/>
        <v>OK</v>
      </c>
      <c r="L961" t="str">
        <f t="shared" si="113"/>
        <v>OK</v>
      </c>
      <c r="M961" t="str">
        <f>IF(OR(B961&lt;$AE$20,B961&gt;$AF$20),"Outlier","OK")</f>
        <v>OK</v>
      </c>
      <c r="N961" t="str">
        <f>IF(OR(J961&lt;$AE$21,J961&gt;$AF$21),"Outlier","OK")</f>
        <v>OK</v>
      </c>
      <c r="O961" t="str">
        <f>IF(OR(C961&lt;0,C961&gt;1),"Outlier","OK")</f>
        <v>OK</v>
      </c>
      <c r="P961" t="str">
        <f>IF(OR(D961&lt;0,D961&gt;1),"Outlier","OK")</f>
        <v>Outlier</v>
      </c>
      <c r="Q961" t="str">
        <f t="shared" si="114"/>
        <v>80-100%</v>
      </c>
      <c r="R961" t="str">
        <f>IF(B961="","Missing","OK")</f>
        <v>OK</v>
      </c>
      <c r="S961" t="str">
        <f>IF(E961="","Missing","OK")</f>
        <v>OK</v>
      </c>
      <c r="T961" t="str">
        <f t="shared" si="115"/>
        <v>OK</v>
      </c>
      <c r="U961">
        <f>COUNTIF($A:$A,A961)</f>
        <v>1</v>
      </c>
      <c r="V961" t="str">
        <f t="shared" si="116"/>
        <v>OK</v>
      </c>
      <c r="W961" t="str">
        <f>IF(I961&gt;B961,"ERROR","OK")</f>
        <v>OK</v>
      </c>
      <c r="X961">
        <f>(B961-I961)/B961</f>
        <v>0.80240046744725257</v>
      </c>
      <c r="Y961" s="2">
        <f t="shared" si="117"/>
        <v>5.5511151231257827E-16</v>
      </c>
      <c r="Z961" s="2" t="str">
        <f t="shared" si="118"/>
        <v>OK</v>
      </c>
      <c r="AA961" t="str">
        <f t="shared" si="119"/>
        <v>Unique</v>
      </c>
    </row>
    <row r="962" spans="1:27" x14ac:dyDescent="0.3">
      <c r="A962">
        <v>961</v>
      </c>
      <c r="B962">
        <v>74838.249183616907</v>
      </c>
      <c r="C962">
        <v>0.32814539112516</v>
      </c>
      <c r="D962">
        <v>-0.138696874006486</v>
      </c>
      <c r="E962">
        <v>0.25163410353223598</v>
      </c>
      <c r="F962">
        <v>1</v>
      </c>
      <c r="G962" t="s">
        <v>11</v>
      </c>
      <c r="H962">
        <v>0</v>
      </c>
      <c r="I962">
        <v>18831.8557432415</v>
      </c>
      <c r="J962">
        <v>0.74836589646776297</v>
      </c>
      <c r="K962" t="str">
        <f t="shared" si="112"/>
        <v>OK</v>
      </c>
      <c r="L962" t="str">
        <f t="shared" si="113"/>
        <v>OK</v>
      </c>
      <c r="M962" t="str">
        <f>IF(OR(B962&lt;$AE$20,B962&gt;$AF$20),"Outlier","OK")</f>
        <v>OK</v>
      </c>
      <c r="N962" t="str">
        <f>IF(OR(J962&lt;$AE$21,J962&gt;$AF$21),"Outlier","OK")</f>
        <v>OK</v>
      </c>
      <c r="O962" t="str">
        <f>IF(OR(C962&lt;0,C962&gt;1),"Outlier","OK")</f>
        <v>OK</v>
      </c>
      <c r="P962" t="str">
        <f>IF(OR(D962&lt;0,D962&gt;1),"Outlier","OK")</f>
        <v>Outlier</v>
      </c>
      <c r="Q962" t="str">
        <f t="shared" si="114"/>
        <v>60-80%</v>
      </c>
      <c r="R962" t="str">
        <f>IF(B962="","Missing","OK")</f>
        <v>OK</v>
      </c>
      <c r="S962" t="str">
        <f>IF(E962="","Missing","OK")</f>
        <v>OK</v>
      </c>
      <c r="T962" t="str">
        <f t="shared" si="115"/>
        <v>OK</v>
      </c>
      <c r="U962">
        <f>COUNTIF($A:$A,A962)</f>
        <v>1</v>
      </c>
      <c r="V962" t="str">
        <f t="shared" si="116"/>
        <v>OK</v>
      </c>
      <c r="W962" t="str">
        <f>IF(I962&gt;B962,"ERROR","OK")</f>
        <v>OK</v>
      </c>
      <c r="X962">
        <f>(B962-I962)/B962</f>
        <v>0.74836589646776452</v>
      </c>
      <c r="Y962" s="2">
        <f t="shared" si="117"/>
        <v>1.5543122344752192E-15</v>
      </c>
      <c r="Z962" s="2" t="str">
        <f t="shared" si="118"/>
        <v>OK</v>
      </c>
      <c r="AA962" t="str">
        <f t="shared" si="119"/>
        <v>Unique</v>
      </c>
    </row>
    <row r="963" spans="1:27" x14ac:dyDescent="0.3">
      <c r="A963">
        <v>962</v>
      </c>
      <c r="B963">
        <v>1538373.8426709401</v>
      </c>
      <c r="C963">
        <v>0.31951205882040301</v>
      </c>
      <c r="D963">
        <v>0.161252488005874</v>
      </c>
      <c r="E963">
        <v>0.157527023937482</v>
      </c>
      <c r="F963">
        <v>1</v>
      </c>
      <c r="G963" t="s">
        <v>13</v>
      </c>
      <c r="H963">
        <v>0</v>
      </c>
      <c r="I963">
        <v>242335.45313922199</v>
      </c>
      <c r="J963">
        <v>0.84247297606251703</v>
      </c>
      <c r="K963" t="str">
        <f t="shared" ref="K963:K1026" si="120">IF(OR(J963&lt;0,J963&gt;1),"Error","OK")</f>
        <v>OK</v>
      </c>
      <c r="L963" t="str">
        <f t="shared" ref="L963:L1026" si="121">IF(I963&gt;B963,"Error","OK")</f>
        <v>OK</v>
      </c>
      <c r="M963" t="str">
        <f>IF(OR(B963&lt;$AE$20,B963&gt;$AF$20),"Outlier","OK")</f>
        <v>OK</v>
      </c>
      <c r="N963" t="str">
        <f>IF(OR(J963&lt;$AE$21,J963&gt;$AF$21),"Outlier","OK")</f>
        <v>OK</v>
      </c>
      <c r="O963" t="str">
        <f>IF(OR(C963&lt;0,C963&gt;1),"Outlier","OK")</f>
        <v>OK</v>
      </c>
      <c r="P963" t="str">
        <f>IF(OR(D963&lt;0,D963&gt;1),"Outlier","OK")</f>
        <v>OK</v>
      </c>
      <c r="Q963" t="str">
        <f t="shared" ref="Q963:Q1026" si="122">IF(J963&lt;=0.2,"0-20%",
 IF(J963&lt;=0.4,"20-40%",
 IF(J963&lt;=0.6,"40-60%",
 IF(J963&lt;=0.8,"60-80%","80-100%"))))</f>
        <v>80-100%</v>
      </c>
      <c r="R963" t="str">
        <f>IF(B963="","Missing","OK")</f>
        <v>OK</v>
      </c>
      <c r="S963" t="str">
        <f>IF(E963="","Missing","OK")</f>
        <v>OK</v>
      </c>
      <c r="T963" t="str">
        <f t="shared" ref="T963:T1026" si="123">IF(J963="","Missing","OK")</f>
        <v>OK</v>
      </c>
      <c r="U963">
        <f>COUNTIF($A:$A,A963)</f>
        <v>1</v>
      </c>
      <c r="V963" t="str">
        <f t="shared" ref="V963:V1026" si="124">IF(OR(J963&lt;0,J963&gt;1),"ERROR","OK")</f>
        <v>OK</v>
      </c>
      <c r="W963" t="str">
        <f>IF(I963&gt;B963,"ERROR","OK")</f>
        <v>OK</v>
      </c>
      <c r="X963">
        <f>(B963-I963)/B963</f>
        <v>0.84247297606251759</v>
      </c>
      <c r="Y963" s="2">
        <f t="shared" ref="Y963:Y1026" si="125">ABS(J963-X963)</f>
        <v>5.5511151231257827E-16</v>
      </c>
      <c r="Z963" s="2" t="str">
        <f t="shared" ref="Z963:Z1026" si="126">IF(OR(B963="",I963="",J963=""),"Missing","OK")</f>
        <v>OK</v>
      </c>
      <c r="AA963" t="str">
        <f t="shared" ref="AA963:AA1026" si="127">IF(COUNTIF($A:$A,A963)&gt;1,"Duplicate","Unique")</f>
        <v>Unique</v>
      </c>
    </row>
    <row r="964" spans="1:27" x14ac:dyDescent="0.3">
      <c r="A964">
        <v>963</v>
      </c>
      <c r="B964">
        <v>862008.51913423697</v>
      </c>
      <c r="C964">
        <v>0.41079137979570501</v>
      </c>
      <c r="D964">
        <v>0.19434929156358999</v>
      </c>
      <c r="E964">
        <v>0.467829030885001</v>
      </c>
      <c r="F964">
        <v>1</v>
      </c>
      <c r="G964" t="s">
        <v>11</v>
      </c>
      <c r="H964">
        <v>0</v>
      </c>
      <c r="I964">
        <v>403272.61012118502</v>
      </c>
      <c r="J964">
        <v>0.53217096911499895</v>
      </c>
      <c r="K964" t="str">
        <f t="shared" si="120"/>
        <v>OK</v>
      </c>
      <c r="L964" t="str">
        <f t="shared" si="121"/>
        <v>OK</v>
      </c>
      <c r="M964" t="str">
        <f>IF(OR(B964&lt;$AE$20,B964&gt;$AF$20),"Outlier","OK")</f>
        <v>OK</v>
      </c>
      <c r="N964" t="str">
        <f>IF(OR(J964&lt;$AE$21,J964&gt;$AF$21),"Outlier","OK")</f>
        <v>OK</v>
      </c>
      <c r="O964" t="str">
        <f>IF(OR(C964&lt;0,C964&gt;1),"Outlier","OK")</f>
        <v>OK</v>
      </c>
      <c r="P964" t="str">
        <f>IF(OR(D964&lt;0,D964&gt;1),"Outlier","OK")</f>
        <v>OK</v>
      </c>
      <c r="Q964" t="str">
        <f t="shared" si="122"/>
        <v>40-60%</v>
      </c>
      <c r="R964" t="str">
        <f>IF(B964="","Missing","OK")</f>
        <v>OK</v>
      </c>
      <c r="S964" t="str">
        <f>IF(E964="","Missing","OK")</f>
        <v>OK</v>
      </c>
      <c r="T964" t="str">
        <f t="shared" si="123"/>
        <v>OK</v>
      </c>
      <c r="U964">
        <f>COUNTIF($A:$A,A964)</f>
        <v>1</v>
      </c>
      <c r="V964" t="str">
        <f t="shared" si="124"/>
        <v>OK</v>
      </c>
      <c r="W964" t="str">
        <f>IF(I964&gt;B964,"ERROR","OK")</f>
        <v>OK</v>
      </c>
      <c r="X964">
        <f>(B964-I964)/B964</f>
        <v>0.53217096911499884</v>
      </c>
      <c r="Y964" s="2">
        <f t="shared" si="125"/>
        <v>1.1102230246251565E-16</v>
      </c>
      <c r="Z964" s="2" t="str">
        <f t="shared" si="126"/>
        <v>OK</v>
      </c>
      <c r="AA964" t="str">
        <f t="shared" si="127"/>
        <v>Unique</v>
      </c>
    </row>
    <row r="965" spans="1:27" x14ac:dyDescent="0.3">
      <c r="A965">
        <v>964</v>
      </c>
      <c r="B965">
        <v>892866.42765582097</v>
      </c>
      <c r="C965">
        <v>0.71207464420764499</v>
      </c>
      <c r="D965">
        <v>0.16253249055595301</v>
      </c>
      <c r="E965">
        <v>0.101698939794701</v>
      </c>
      <c r="F965">
        <v>1</v>
      </c>
      <c r="G965" t="s">
        <v>12</v>
      </c>
      <c r="H965">
        <v>1</v>
      </c>
      <c r="I965">
        <v>90803.569070879894</v>
      </c>
      <c r="J965">
        <v>0.89830106020529799</v>
      </c>
      <c r="K965" t="str">
        <f t="shared" si="120"/>
        <v>OK</v>
      </c>
      <c r="L965" t="str">
        <f t="shared" si="121"/>
        <v>OK</v>
      </c>
      <c r="M965" t="str">
        <f>IF(OR(B965&lt;$AE$20,B965&gt;$AF$20),"Outlier","OK")</f>
        <v>OK</v>
      </c>
      <c r="N965" t="str">
        <f>IF(OR(J965&lt;$AE$21,J965&gt;$AF$21),"Outlier","OK")</f>
        <v>OK</v>
      </c>
      <c r="O965" t="str">
        <f>IF(OR(C965&lt;0,C965&gt;1),"Outlier","OK")</f>
        <v>OK</v>
      </c>
      <c r="P965" t="str">
        <f>IF(OR(D965&lt;0,D965&gt;1),"Outlier","OK")</f>
        <v>OK</v>
      </c>
      <c r="Q965" t="str">
        <f t="shared" si="122"/>
        <v>80-100%</v>
      </c>
      <c r="R965" t="str">
        <f>IF(B965="","Missing","OK")</f>
        <v>OK</v>
      </c>
      <c r="S965" t="str">
        <f>IF(E965="","Missing","OK")</f>
        <v>OK</v>
      </c>
      <c r="T965" t="str">
        <f t="shared" si="123"/>
        <v>OK</v>
      </c>
      <c r="U965">
        <f>COUNTIF($A:$A,A965)</f>
        <v>1</v>
      </c>
      <c r="V965" t="str">
        <f t="shared" si="124"/>
        <v>OK</v>
      </c>
      <c r="W965" t="str">
        <f>IF(I965&gt;B965,"ERROR","OK")</f>
        <v>OK</v>
      </c>
      <c r="X965">
        <f>(B965-I965)/B965</f>
        <v>0.89830106020529821</v>
      </c>
      <c r="Y965" s="2">
        <f t="shared" si="125"/>
        <v>2.2204460492503131E-16</v>
      </c>
      <c r="Z965" s="2" t="str">
        <f t="shared" si="126"/>
        <v>OK</v>
      </c>
      <c r="AA965" t="str">
        <f t="shared" si="127"/>
        <v>Unique</v>
      </c>
    </row>
    <row r="966" spans="1:27" x14ac:dyDescent="0.3">
      <c r="A966">
        <v>965</v>
      </c>
      <c r="B966">
        <v>988174.27950493596</v>
      </c>
      <c r="C966">
        <v>0.887304653362742</v>
      </c>
      <c r="D966">
        <v>-0.107627670380142</v>
      </c>
      <c r="E966">
        <v>0.203851326595477</v>
      </c>
      <c r="F966">
        <v>1</v>
      </c>
      <c r="G966" t="s">
        <v>12</v>
      </c>
      <c r="H966">
        <v>0</v>
      </c>
      <c r="I966">
        <v>201440.637784611</v>
      </c>
      <c r="J966">
        <v>0.796148673404522</v>
      </c>
      <c r="K966" t="str">
        <f t="shared" si="120"/>
        <v>OK</v>
      </c>
      <c r="L966" t="str">
        <f t="shared" si="121"/>
        <v>OK</v>
      </c>
      <c r="M966" t="str">
        <f>IF(OR(B966&lt;$AE$20,B966&gt;$AF$20),"Outlier","OK")</f>
        <v>OK</v>
      </c>
      <c r="N966" t="str">
        <f>IF(OR(J966&lt;$AE$21,J966&gt;$AF$21),"Outlier","OK")</f>
        <v>OK</v>
      </c>
      <c r="O966" t="str">
        <f>IF(OR(C966&lt;0,C966&gt;1),"Outlier","OK")</f>
        <v>OK</v>
      </c>
      <c r="P966" t="str">
        <f>IF(OR(D966&lt;0,D966&gt;1),"Outlier","OK")</f>
        <v>Outlier</v>
      </c>
      <c r="Q966" t="str">
        <f t="shared" si="122"/>
        <v>60-80%</v>
      </c>
      <c r="R966" t="str">
        <f>IF(B966="","Missing","OK")</f>
        <v>OK</v>
      </c>
      <c r="S966" t="str">
        <f>IF(E966="","Missing","OK")</f>
        <v>OK</v>
      </c>
      <c r="T966" t="str">
        <f t="shared" si="123"/>
        <v>OK</v>
      </c>
      <c r="U966">
        <f>COUNTIF($A:$A,A966)</f>
        <v>1</v>
      </c>
      <c r="V966" t="str">
        <f t="shared" si="124"/>
        <v>OK</v>
      </c>
      <c r="W966" t="str">
        <f>IF(I966&gt;B966,"ERROR","OK")</f>
        <v>OK</v>
      </c>
      <c r="X966">
        <f>(B966-I966)/B966</f>
        <v>0.79614867340452289</v>
      </c>
      <c r="Y966" s="2">
        <f t="shared" si="125"/>
        <v>8.8817841970012523E-16</v>
      </c>
      <c r="Z966" s="2" t="str">
        <f t="shared" si="126"/>
        <v>OK</v>
      </c>
      <c r="AA966" t="str">
        <f t="shared" si="127"/>
        <v>Unique</v>
      </c>
    </row>
    <row r="967" spans="1:27" x14ac:dyDescent="0.3">
      <c r="A967">
        <v>966</v>
      </c>
      <c r="B967">
        <v>925964.27515262505</v>
      </c>
      <c r="C967">
        <v>0.65085609236608299</v>
      </c>
      <c r="D967">
        <v>3.0766563180017501E-2</v>
      </c>
      <c r="E967">
        <v>0.40057429008683099</v>
      </c>
      <c r="F967">
        <v>1</v>
      </c>
      <c r="G967" t="s">
        <v>13</v>
      </c>
      <c r="H967">
        <v>1</v>
      </c>
      <c r="I967">
        <v>370917.48216502997</v>
      </c>
      <c r="J967">
        <v>0.59942570991316801</v>
      </c>
      <c r="K967" t="str">
        <f t="shared" si="120"/>
        <v>OK</v>
      </c>
      <c r="L967" t="str">
        <f t="shared" si="121"/>
        <v>OK</v>
      </c>
      <c r="M967" t="str">
        <f>IF(OR(B967&lt;$AE$20,B967&gt;$AF$20),"Outlier","OK")</f>
        <v>OK</v>
      </c>
      <c r="N967" t="str">
        <f>IF(OR(J967&lt;$AE$21,J967&gt;$AF$21),"Outlier","OK")</f>
        <v>OK</v>
      </c>
      <c r="O967" t="str">
        <f>IF(OR(C967&lt;0,C967&gt;1),"Outlier","OK")</f>
        <v>OK</v>
      </c>
      <c r="P967" t="str">
        <f>IF(OR(D967&lt;0,D967&gt;1),"Outlier","OK")</f>
        <v>OK</v>
      </c>
      <c r="Q967" t="str">
        <f t="shared" si="122"/>
        <v>40-60%</v>
      </c>
      <c r="R967" t="str">
        <f>IF(B967="","Missing","OK")</f>
        <v>OK</v>
      </c>
      <c r="S967" t="str">
        <f>IF(E967="","Missing","OK")</f>
        <v>OK</v>
      </c>
      <c r="T967" t="str">
        <f t="shared" si="123"/>
        <v>OK</v>
      </c>
      <c r="U967">
        <f>COUNTIF($A:$A,A967)</f>
        <v>1</v>
      </c>
      <c r="V967" t="str">
        <f t="shared" si="124"/>
        <v>OK</v>
      </c>
      <c r="W967" t="str">
        <f>IF(I967&gt;B967,"ERROR","OK")</f>
        <v>OK</v>
      </c>
      <c r="X967">
        <f>(B967-I967)/B967</f>
        <v>0.59942570991316879</v>
      </c>
      <c r="Y967" s="2">
        <f t="shared" si="125"/>
        <v>7.7715611723760958E-16</v>
      </c>
      <c r="Z967" s="2" t="str">
        <f t="shared" si="126"/>
        <v>OK</v>
      </c>
      <c r="AA967" t="str">
        <f t="shared" si="127"/>
        <v>Unique</v>
      </c>
    </row>
    <row r="968" spans="1:27" x14ac:dyDescent="0.3">
      <c r="A968">
        <v>967</v>
      </c>
      <c r="B968">
        <v>1020068.25316777</v>
      </c>
      <c r="C968">
        <v>0.25284310772893898</v>
      </c>
      <c r="D968">
        <v>3.3533323902201401E-2</v>
      </c>
      <c r="E968">
        <v>0.45311669506602198</v>
      </c>
      <c r="F968">
        <v>1</v>
      </c>
      <c r="G968" t="s">
        <v>13</v>
      </c>
      <c r="H968">
        <v>0</v>
      </c>
      <c r="I968">
        <v>462209.95561715</v>
      </c>
      <c r="J968">
        <v>0.54688330493397697</v>
      </c>
      <c r="K968" t="str">
        <f t="shared" si="120"/>
        <v>OK</v>
      </c>
      <c r="L968" t="str">
        <f t="shared" si="121"/>
        <v>OK</v>
      </c>
      <c r="M968" t="str">
        <f>IF(OR(B968&lt;$AE$20,B968&gt;$AF$20),"Outlier","OK")</f>
        <v>OK</v>
      </c>
      <c r="N968" t="str">
        <f>IF(OR(J968&lt;$AE$21,J968&gt;$AF$21),"Outlier","OK")</f>
        <v>OK</v>
      </c>
      <c r="O968" t="str">
        <f>IF(OR(C968&lt;0,C968&gt;1),"Outlier","OK")</f>
        <v>OK</v>
      </c>
      <c r="P968" t="str">
        <f>IF(OR(D968&lt;0,D968&gt;1),"Outlier","OK")</f>
        <v>OK</v>
      </c>
      <c r="Q968" t="str">
        <f t="shared" si="122"/>
        <v>40-60%</v>
      </c>
      <c r="R968" t="str">
        <f>IF(B968="","Missing","OK")</f>
        <v>OK</v>
      </c>
      <c r="S968" t="str">
        <f>IF(E968="","Missing","OK")</f>
        <v>OK</v>
      </c>
      <c r="T968" t="str">
        <f t="shared" si="123"/>
        <v>OK</v>
      </c>
      <c r="U968">
        <f>COUNTIF($A:$A,A968)</f>
        <v>1</v>
      </c>
      <c r="V968" t="str">
        <f t="shared" si="124"/>
        <v>OK</v>
      </c>
      <c r="W968" t="str">
        <f>IF(I968&gt;B968,"ERROR","OK")</f>
        <v>OK</v>
      </c>
      <c r="X968">
        <f>(B968-I968)/B968</f>
        <v>0.54688330493397819</v>
      </c>
      <c r="Y968" s="2">
        <f t="shared" si="125"/>
        <v>1.2212453270876722E-15</v>
      </c>
      <c r="Z968" s="2" t="str">
        <f t="shared" si="126"/>
        <v>OK</v>
      </c>
      <c r="AA968" t="str">
        <f t="shared" si="127"/>
        <v>Unique</v>
      </c>
    </row>
    <row r="969" spans="1:27" x14ac:dyDescent="0.3">
      <c r="A969">
        <v>968</v>
      </c>
      <c r="B969">
        <v>724513.40519717301</v>
      </c>
      <c r="C969">
        <v>0.88647601498571005</v>
      </c>
      <c r="D969">
        <v>-0.13268315371222</v>
      </c>
      <c r="E969">
        <v>0.521094765532232</v>
      </c>
      <c r="F969">
        <v>1</v>
      </c>
      <c r="G969" t="s">
        <v>10</v>
      </c>
      <c r="H969">
        <v>1</v>
      </c>
      <c r="I969">
        <v>377540.14300618001</v>
      </c>
      <c r="J969">
        <v>0.478905234467767</v>
      </c>
      <c r="K969" t="str">
        <f t="shared" si="120"/>
        <v>OK</v>
      </c>
      <c r="L969" t="str">
        <f t="shared" si="121"/>
        <v>OK</v>
      </c>
      <c r="M969" t="str">
        <f>IF(OR(B969&lt;$AE$20,B969&gt;$AF$20),"Outlier","OK")</f>
        <v>OK</v>
      </c>
      <c r="N969" t="str">
        <f>IF(OR(J969&lt;$AE$21,J969&gt;$AF$21),"Outlier","OK")</f>
        <v>OK</v>
      </c>
      <c r="O969" t="str">
        <f>IF(OR(C969&lt;0,C969&gt;1),"Outlier","OK")</f>
        <v>OK</v>
      </c>
      <c r="P969" t="str">
        <f>IF(OR(D969&lt;0,D969&gt;1),"Outlier","OK")</f>
        <v>Outlier</v>
      </c>
      <c r="Q969" t="str">
        <f t="shared" si="122"/>
        <v>40-60%</v>
      </c>
      <c r="R969" t="str">
        <f>IF(B969="","Missing","OK")</f>
        <v>OK</v>
      </c>
      <c r="S969" t="str">
        <f>IF(E969="","Missing","OK")</f>
        <v>OK</v>
      </c>
      <c r="T969" t="str">
        <f t="shared" si="123"/>
        <v>OK</v>
      </c>
      <c r="U969">
        <f>COUNTIF($A:$A,A969)</f>
        <v>1</v>
      </c>
      <c r="V969" t="str">
        <f t="shared" si="124"/>
        <v>OK</v>
      </c>
      <c r="W969" t="str">
        <f>IF(I969&gt;B969,"ERROR","OK")</f>
        <v>OK</v>
      </c>
      <c r="X969">
        <f>(B969-I969)/B969</f>
        <v>0.47890523446776778</v>
      </c>
      <c r="Y969" s="2">
        <f t="shared" si="125"/>
        <v>7.7715611723760958E-16</v>
      </c>
      <c r="Z969" s="2" t="str">
        <f t="shared" si="126"/>
        <v>OK</v>
      </c>
      <c r="AA969" t="str">
        <f t="shared" si="127"/>
        <v>Unique</v>
      </c>
    </row>
    <row r="970" spans="1:27" x14ac:dyDescent="0.3">
      <c r="A970">
        <v>969</v>
      </c>
      <c r="B970">
        <v>934024.96693604102</v>
      </c>
      <c r="C970">
        <v>0.41718731823739202</v>
      </c>
      <c r="D970">
        <v>-9.2286590191209397E-2</v>
      </c>
      <c r="E970">
        <v>0.247773431503855</v>
      </c>
      <c r="F970">
        <v>1</v>
      </c>
      <c r="G970" t="s">
        <v>11</v>
      </c>
      <c r="H970">
        <v>1</v>
      </c>
      <c r="I970">
        <v>231426.57116801699</v>
      </c>
      <c r="J970">
        <v>0.752226568496144</v>
      </c>
      <c r="K970" t="str">
        <f t="shared" si="120"/>
        <v>OK</v>
      </c>
      <c r="L970" t="str">
        <f t="shared" si="121"/>
        <v>OK</v>
      </c>
      <c r="M970" t="str">
        <f>IF(OR(B970&lt;$AE$20,B970&gt;$AF$20),"Outlier","OK")</f>
        <v>OK</v>
      </c>
      <c r="N970" t="str">
        <f>IF(OR(J970&lt;$AE$21,J970&gt;$AF$21),"Outlier","OK")</f>
        <v>OK</v>
      </c>
      <c r="O970" t="str">
        <f>IF(OR(C970&lt;0,C970&gt;1),"Outlier","OK")</f>
        <v>OK</v>
      </c>
      <c r="P970" t="str">
        <f>IF(OR(D970&lt;0,D970&gt;1),"Outlier","OK")</f>
        <v>Outlier</v>
      </c>
      <c r="Q970" t="str">
        <f t="shared" si="122"/>
        <v>60-80%</v>
      </c>
      <c r="R970" t="str">
        <f>IF(B970="","Missing","OK")</f>
        <v>OK</v>
      </c>
      <c r="S970" t="str">
        <f>IF(E970="","Missing","OK")</f>
        <v>OK</v>
      </c>
      <c r="T970" t="str">
        <f t="shared" si="123"/>
        <v>OK</v>
      </c>
      <c r="U970">
        <f>COUNTIF($A:$A,A970)</f>
        <v>1</v>
      </c>
      <c r="V970" t="str">
        <f t="shared" si="124"/>
        <v>OK</v>
      </c>
      <c r="W970" t="str">
        <f>IF(I970&gt;B970,"ERROR","OK")</f>
        <v>OK</v>
      </c>
      <c r="X970">
        <f>(B970-I970)/B970</f>
        <v>0.75222656849614566</v>
      </c>
      <c r="Y970" s="2">
        <f t="shared" si="125"/>
        <v>1.6653345369377348E-15</v>
      </c>
      <c r="Z970" s="2" t="str">
        <f t="shared" si="126"/>
        <v>OK</v>
      </c>
      <c r="AA970" t="str">
        <f t="shared" si="127"/>
        <v>Unique</v>
      </c>
    </row>
    <row r="971" spans="1:27" x14ac:dyDescent="0.3">
      <c r="A971">
        <v>970</v>
      </c>
      <c r="B971">
        <v>839070.10457788105</v>
      </c>
      <c r="C971">
        <v>0.63455746545553304</v>
      </c>
      <c r="D971">
        <v>-0.13521322926144</v>
      </c>
      <c r="E971">
        <v>0.110619202117812</v>
      </c>
      <c r="F971">
        <v>1</v>
      </c>
      <c r="G971" t="s">
        <v>10</v>
      </c>
      <c r="H971">
        <v>0</v>
      </c>
      <c r="I971">
        <v>92817.265489314406</v>
      </c>
      <c r="J971">
        <v>0.88938079788218705</v>
      </c>
      <c r="K971" t="str">
        <f t="shared" si="120"/>
        <v>OK</v>
      </c>
      <c r="L971" t="str">
        <f t="shared" si="121"/>
        <v>OK</v>
      </c>
      <c r="M971" t="str">
        <f>IF(OR(B971&lt;$AE$20,B971&gt;$AF$20),"Outlier","OK")</f>
        <v>OK</v>
      </c>
      <c r="N971" t="str">
        <f>IF(OR(J971&lt;$AE$21,J971&gt;$AF$21),"Outlier","OK")</f>
        <v>OK</v>
      </c>
      <c r="O971" t="str">
        <f>IF(OR(C971&lt;0,C971&gt;1),"Outlier","OK")</f>
        <v>OK</v>
      </c>
      <c r="P971" t="str">
        <f>IF(OR(D971&lt;0,D971&gt;1),"Outlier","OK")</f>
        <v>Outlier</v>
      </c>
      <c r="Q971" t="str">
        <f t="shared" si="122"/>
        <v>80-100%</v>
      </c>
      <c r="R971" t="str">
        <f>IF(B971="","Missing","OK")</f>
        <v>OK</v>
      </c>
      <c r="S971" t="str">
        <f>IF(E971="","Missing","OK")</f>
        <v>OK</v>
      </c>
      <c r="T971" t="str">
        <f t="shared" si="123"/>
        <v>OK</v>
      </c>
      <c r="U971">
        <f>COUNTIF($A:$A,A971)</f>
        <v>1</v>
      </c>
      <c r="V971" t="str">
        <f t="shared" si="124"/>
        <v>OK</v>
      </c>
      <c r="W971" t="str">
        <f>IF(I971&gt;B971,"ERROR","OK")</f>
        <v>OK</v>
      </c>
      <c r="X971">
        <f>(B971-I971)/B971</f>
        <v>0.88938079788218782</v>
      </c>
      <c r="Y971" s="2">
        <f t="shared" si="125"/>
        <v>7.7715611723760958E-16</v>
      </c>
      <c r="Z971" s="2" t="str">
        <f t="shared" si="126"/>
        <v>OK</v>
      </c>
      <c r="AA971" t="str">
        <f t="shared" si="127"/>
        <v>Unique</v>
      </c>
    </row>
    <row r="972" spans="1:27" x14ac:dyDescent="0.3">
      <c r="A972">
        <v>971</v>
      </c>
      <c r="B972">
        <v>1060573.3000552999</v>
      </c>
      <c r="C972">
        <v>0.34903630735643898</v>
      </c>
      <c r="D972">
        <v>-6.04448802163495E-2</v>
      </c>
      <c r="E972">
        <v>0.25140550318148303</v>
      </c>
      <c r="F972">
        <v>1</v>
      </c>
      <c r="G972" t="s">
        <v>13</v>
      </c>
      <c r="H972">
        <v>0</v>
      </c>
      <c r="I972">
        <v>266633.96416124899</v>
      </c>
      <c r="J972">
        <v>0.74859449681851598</v>
      </c>
      <c r="K972" t="str">
        <f t="shared" si="120"/>
        <v>OK</v>
      </c>
      <c r="L972" t="str">
        <f t="shared" si="121"/>
        <v>OK</v>
      </c>
      <c r="M972" t="str">
        <f>IF(OR(B972&lt;$AE$20,B972&gt;$AF$20),"Outlier","OK")</f>
        <v>OK</v>
      </c>
      <c r="N972" t="str">
        <f>IF(OR(J972&lt;$AE$21,J972&gt;$AF$21),"Outlier","OK")</f>
        <v>OK</v>
      </c>
      <c r="O972" t="str">
        <f>IF(OR(C972&lt;0,C972&gt;1),"Outlier","OK")</f>
        <v>OK</v>
      </c>
      <c r="P972" t="str">
        <f>IF(OR(D972&lt;0,D972&gt;1),"Outlier","OK")</f>
        <v>Outlier</v>
      </c>
      <c r="Q972" t="str">
        <f t="shared" si="122"/>
        <v>60-80%</v>
      </c>
      <c r="R972" t="str">
        <f>IF(B972="","Missing","OK")</f>
        <v>OK</v>
      </c>
      <c r="S972" t="str">
        <f>IF(E972="","Missing","OK")</f>
        <v>OK</v>
      </c>
      <c r="T972" t="str">
        <f t="shared" si="123"/>
        <v>OK</v>
      </c>
      <c r="U972">
        <f>COUNTIF($A:$A,A972)</f>
        <v>1</v>
      </c>
      <c r="V972" t="str">
        <f t="shared" si="124"/>
        <v>OK</v>
      </c>
      <c r="W972" t="str">
        <f>IF(I972&gt;B972,"ERROR","OK")</f>
        <v>OK</v>
      </c>
      <c r="X972">
        <f>(B972-I972)/B972</f>
        <v>0.74859449681851664</v>
      </c>
      <c r="Y972" s="2">
        <f t="shared" si="125"/>
        <v>6.6613381477509392E-16</v>
      </c>
      <c r="Z972" s="2" t="str">
        <f t="shared" si="126"/>
        <v>OK</v>
      </c>
      <c r="AA972" t="str">
        <f t="shared" si="127"/>
        <v>Unique</v>
      </c>
    </row>
    <row r="973" spans="1:27" x14ac:dyDescent="0.3">
      <c r="A973">
        <v>972</v>
      </c>
      <c r="B973">
        <v>1265374.71546944</v>
      </c>
      <c r="C973">
        <v>0.42448492790395298</v>
      </c>
      <c r="D973">
        <v>-1.2497924075827701E-3</v>
      </c>
      <c r="E973">
        <v>0.46075416111599898</v>
      </c>
      <c r="F973">
        <v>1</v>
      </c>
      <c r="G973" t="s">
        <v>11</v>
      </c>
      <c r="H973">
        <v>1</v>
      </c>
      <c r="I973">
        <v>583026.66552352195</v>
      </c>
      <c r="J973">
        <v>0.53924583888400002</v>
      </c>
      <c r="K973" t="str">
        <f t="shared" si="120"/>
        <v>OK</v>
      </c>
      <c r="L973" t="str">
        <f t="shared" si="121"/>
        <v>OK</v>
      </c>
      <c r="M973" t="str">
        <f>IF(OR(B973&lt;$AE$20,B973&gt;$AF$20),"Outlier","OK")</f>
        <v>OK</v>
      </c>
      <c r="N973" t="str">
        <f>IF(OR(J973&lt;$AE$21,J973&gt;$AF$21),"Outlier","OK")</f>
        <v>OK</v>
      </c>
      <c r="O973" t="str">
        <f>IF(OR(C973&lt;0,C973&gt;1),"Outlier","OK")</f>
        <v>OK</v>
      </c>
      <c r="P973" t="str">
        <f>IF(OR(D973&lt;0,D973&gt;1),"Outlier","OK")</f>
        <v>Outlier</v>
      </c>
      <c r="Q973" t="str">
        <f t="shared" si="122"/>
        <v>40-60%</v>
      </c>
      <c r="R973" t="str">
        <f>IF(B973="","Missing","OK")</f>
        <v>OK</v>
      </c>
      <c r="S973" t="str">
        <f>IF(E973="","Missing","OK")</f>
        <v>OK</v>
      </c>
      <c r="T973" t="str">
        <f t="shared" si="123"/>
        <v>OK</v>
      </c>
      <c r="U973">
        <f>COUNTIF($A:$A,A973)</f>
        <v>1</v>
      </c>
      <c r="V973" t="str">
        <f t="shared" si="124"/>
        <v>OK</v>
      </c>
      <c r="W973" t="str">
        <f>IF(I973&gt;B973,"ERROR","OK")</f>
        <v>OK</v>
      </c>
      <c r="X973">
        <f>(B973-I973)/B973</f>
        <v>0.53924583888399769</v>
      </c>
      <c r="Y973" s="2">
        <f t="shared" si="125"/>
        <v>2.3314683517128287E-15</v>
      </c>
      <c r="Z973" s="2" t="str">
        <f t="shared" si="126"/>
        <v>OK</v>
      </c>
      <c r="AA973" t="str">
        <f t="shared" si="127"/>
        <v>Unique</v>
      </c>
    </row>
    <row r="974" spans="1:27" x14ac:dyDescent="0.3">
      <c r="A974">
        <v>973</v>
      </c>
      <c r="B974">
        <v>520029.18407417298</v>
      </c>
      <c r="C974">
        <v>0.62702947306172996</v>
      </c>
      <c r="D974">
        <v>0.15026794302699001</v>
      </c>
      <c r="E974">
        <v>0.248408866150125</v>
      </c>
      <c r="F974">
        <v>1</v>
      </c>
      <c r="G974" t="s">
        <v>11</v>
      </c>
      <c r="H974">
        <v>0</v>
      </c>
      <c r="I974">
        <v>129179.85998084</v>
      </c>
      <c r="J974">
        <v>0.75159113384987397</v>
      </c>
      <c r="K974" t="str">
        <f t="shared" si="120"/>
        <v>OK</v>
      </c>
      <c r="L974" t="str">
        <f t="shared" si="121"/>
        <v>OK</v>
      </c>
      <c r="M974" t="str">
        <f>IF(OR(B974&lt;$AE$20,B974&gt;$AF$20),"Outlier","OK")</f>
        <v>OK</v>
      </c>
      <c r="N974" t="str">
        <f>IF(OR(J974&lt;$AE$21,J974&gt;$AF$21),"Outlier","OK")</f>
        <v>OK</v>
      </c>
      <c r="O974" t="str">
        <f>IF(OR(C974&lt;0,C974&gt;1),"Outlier","OK")</f>
        <v>OK</v>
      </c>
      <c r="P974" t="str">
        <f>IF(OR(D974&lt;0,D974&gt;1),"Outlier","OK")</f>
        <v>OK</v>
      </c>
      <c r="Q974" t="str">
        <f t="shared" si="122"/>
        <v>60-80%</v>
      </c>
      <c r="R974" t="str">
        <f>IF(B974="","Missing","OK")</f>
        <v>OK</v>
      </c>
      <c r="S974" t="str">
        <f>IF(E974="","Missing","OK")</f>
        <v>OK</v>
      </c>
      <c r="T974" t="str">
        <f t="shared" si="123"/>
        <v>OK</v>
      </c>
      <c r="U974">
        <f>COUNTIF($A:$A,A974)</f>
        <v>1</v>
      </c>
      <c r="V974" t="str">
        <f t="shared" si="124"/>
        <v>OK</v>
      </c>
      <c r="W974" t="str">
        <f>IF(I974&gt;B974,"ERROR","OK")</f>
        <v>OK</v>
      </c>
      <c r="X974">
        <f>(B974-I974)/B974</f>
        <v>0.75159113384987486</v>
      </c>
      <c r="Y974" s="2">
        <f t="shared" si="125"/>
        <v>8.8817841970012523E-16</v>
      </c>
      <c r="Z974" s="2" t="str">
        <f t="shared" si="126"/>
        <v>OK</v>
      </c>
      <c r="AA974" t="str">
        <f t="shared" si="127"/>
        <v>Unique</v>
      </c>
    </row>
    <row r="975" spans="1:27" x14ac:dyDescent="0.3">
      <c r="A975">
        <v>974</v>
      </c>
      <c r="B975">
        <v>1041452.44017588</v>
      </c>
      <c r="C975">
        <v>0.73668831680847002</v>
      </c>
      <c r="D975">
        <v>-0.106829970706576</v>
      </c>
      <c r="E975">
        <v>9.8171615213377195E-2</v>
      </c>
      <c r="F975">
        <v>1</v>
      </c>
      <c r="G975" t="s">
        <v>13</v>
      </c>
      <c r="H975">
        <v>1</v>
      </c>
      <c r="I975">
        <v>102241.068219979</v>
      </c>
      <c r="J975">
        <v>0.90182838478662197</v>
      </c>
      <c r="K975" t="str">
        <f t="shared" si="120"/>
        <v>OK</v>
      </c>
      <c r="L975" t="str">
        <f t="shared" si="121"/>
        <v>OK</v>
      </c>
      <c r="M975" t="str">
        <f>IF(OR(B975&lt;$AE$20,B975&gt;$AF$20),"Outlier","OK")</f>
        <v>OK</v>
      </c>
      <c r="N975" t="str">
        <f>IF(OR(J975&lt;$AE$21,J975&gt;$AF$21),"Outlier","OK")</f>
        <v>OK</v>
      </c>
      <c r="O975" t="str">
        <f>IF(OR(C975&lt;0,C975&gt;1),"Outlier","OK")</f>
        <v>OK</v>
      </c>
      <c r="P975" t="str">
        <f>IF(OR(D975&lt;0,D975&gt;1),"Outlier","OK")</f>
        <v>Outlier</v>
      </c>
      <c r="Q975" t="str">
        <f t="shared" si="122"/>
        <v>80-100%</v>
      </c>
      <c r="R975" t="str">
        <f>IF(B975="","Missing","OK")</f>
        <v>OK</v>
      </c>
      <c r="S975" t="str">
        <f>IF(E975="","Missing","OK")</f>
        <v>OK</v>
      </c>
      <c r="T975" t="str">
        <f t="shared" si="123"/>
        <v>OK</v>
      </c>
      <c r="U975">
        <f>COUNTIF($A:$A,A975)</f>
        <v>1</v>
      </c>
      <c r="V975" t="str">
        <f t="shared" si="124"/>
        <v>OK</v>
      </c>
      <c r="W975" t="str">
        <f>IF(I975&gt;B975,"ERROR","OK")</f>
        <v>OK</v>
      </c>
      <c r="X975">
        <f>(B975-I975)/B975</f>
        <v>0.90182838478662297</v>
      </c>
      <c r="Y975" s="2">
        <f t="shared" si="125"/>
        <v>9.9920072216264089E-16</v>
      </c>
      <c r="Z975" s="2" t="str">
        <f t="shared" si="126"/>
        <v>OK</v>
      </c>
      <c r="AA975" t="str">
        <f t="shared" si="127"/>
        <v>Unique</v>
      </c>
    </row>
    <row r="976" spans="1:27" x14ac:dyDescent="0.3">
      <c r="A976">
        <v>975</v>
      </c>
      <c r="B976">
        <v>1209512.7424612599</v>
      </c>
      <c r="C976">
        <v>0.28034573439531801</v>
      </c>
      <c r="D976">
        <v>-7.6512394704162698E-2</v>
      </c>
      <c r="E976">
        <v>0.30835925100790201</v>
      </c>
      <c r="F976">
        <v>1</v>
      </c>
      <c r="G976" t="s">
        <v>13</v>
      </c>
      <c r="H976">
        <v>1</v>
      </c>
      <c r="I976">
        <v>372964.44334986899</v>
      </c>
      <c r="J976">
        <v>0.69164074899209704</v>
      </c>
      <c r="K976" t="str">
        <f t="shared" si="120"/>
        <v>OK</v>
      </c>
      <c r="L976" t="str">
        <f t="shared" si="121"/>
        <v>OK</v>
      </c>
      <c r="M976" t="str">
        <f>IF(OR(B976&lt;$AE$20,B976&gt;$AF$20),"Outlier","OK")</f>
        <v>OK</v>
      </c>
      <c r="N976" t="str">
        <f>IF(OR(J976&lt;$AE$21,J976&gt;$AF$21),"Outlier","OK")</f>
        <v>OK</v>
      </c>
      <c r="O976" t="str">
        <f>IF(OR(C976&lt;0,C976&gt;1),"Outlier","OK")</f>
        <v>OK</v>
      </c>
      <c r="P976" t="str">
        <f>IF(OR(D976&lt;0,D976&gt;1),"Outlier","OK")</f>
        <v>Outlier</v>
      </c>
      <c r="Q976" t="str">
        <f t="shared" si="122"/>
        <v>60-80%</v>
      </c>
      <c r="R976" t="str">
        <f>IF(B976="","Missing","OK")</f>
        <v>OK</v>
      </c>
      <c r="S976" t="str">
        <f>IF(E976="","Missing","OK")</f>
        <v>OK</v>
      </c>
      <c r="T976" t="str">
        <f t="shared" si="123"/>
        <v>OK</v>
      </c>
      <c r="U976">
        <f>COUNTIF($A:$A,A976)</f>
        <v>1</v>
      </c>
      <c r="V976" t="str">
        <f t="shared" si="124"/>
        <v>OK</v>
      </c>
      <c r="W976" t="str">
        <f>IF(I976&gt;B976,"ERROR","OK")</f>
        <v>OK</v>
      </c>
      <c r="X976">
        <f>(B976-I976)/B976</f>
        <v>0.69164074899209682</v>
      </c>
      <c r="Y976" s="2">
        <f t="shared" si="125"/>
        <v>2.2204460492503131E-16</v>
      </c>
      <c r="Z976" s="2" t="str">
        <f t="shared" si="126"/>
        <v>OK</v>
      </c>
      <c r="AA976" t="str">
        <f t="shared" si="127"/>
        <v>Unique</v>
      </c>
    </row>
    <row r="977" spans="1:27" x14ac:dyDescent="0.3">
      <c r="A977">
        <v>976</v>
      </c>
      <c r="B977">
        <v>83049.2134507054</v>
      </c>
      <c r="C977">
        <v>0.12296960259332899</v>
      </c>
      <c r="D977">
        <v>2.9734994412600801E-2</v>
      </c>
      <c r="E977">
        <v>0.16535930416834799</v>
      </c>
      <c r="F977">
        <v>1</v>
      </c>
      <c r="G977" t="s">
        <v>11</v>
      </c>
      <c r="H977">
        <v>0</v>
      </c>
      <c r="I977">
        <v>13732.9601479372</v>
      </c>
      <c r="J977">
        <v>0.83464069583165101</v>
      </c>
      <c r="K977" t="str">
        <f t="shared" si="120"/>
        <v>OK</v>
      </c>
      <c r="L977" t="str">
        <f t="shared" si="121"/>
        <v>OK</v>
      </c>
      <c r="M977" t="str">
        <f>IF(OR(B977&lt;$AE$20,B977&gt;$AF$20),"Outlier","OK")</f>
        <v>OK</v>
      </c>
      <c r="N977" t="str">
        <f>IF(OR(J977&lt;$AE$21,J977&gt;$AF$21),"Outlier","OK")</f>
        <v>OK</v>
      </c>
      <c r="O977" t="str">
        <f>IF(OR(C977&lt;0,C977&gt;1),"Outlier","OK")</f>
        <v>OK</v>
      </c>
      <c r="P977" t="str">
        <f>IF(OR(D977&lt;0,D977&gt;1),"Outlier","OK")</f>
        <v>OK</v>
      </c>
      <c r="Q977" t="str">
        <f t="shared" si="122"/>
        <v>80-100%</v>
      </c>
      <c r="R977" t="str">
        <f>IF(B977="","Missing","OK")</f>
        <v>OK</v>
      </c>
      <c r="S977" t="str">
        <f>IF(E977="","Missing","OK")</f>
        <v>OK</v>
      </c>
      <c r="T977" t="str">
        <f t="shared" si="123"/>
        <v>OK</v>
      </c>
      <c r="U977">
        <f>COUNTIF($A:$A,A977)</f>
        <v>1</v>
      </c>
      <c r="V977" t="str">
        <f t="shared" si="124"/>
        <v>OK</v>
      </c>
      <c r="W977" t="str">
        <f>IF(I977&gt;B977,"ERROR","OK")</f>
        <v>OK</v>
      </c>
      <c r="X977">
        <f>(B977-I977)/B977</f>
        <v>0.83464069583165257</v>
      </c>
      <c r="Y977" s="2">
        <f t="shared" si="125"/>
        <v>1.5543122344752192E-15</v>
      </c>
      <c r="Z977" s="2" t="str">
        <f t="shared" si="126"/>
        <v>OK</v>
      </c>
      <c r="AA977" t="str">
        <f t="shared" si="127"/>
        <v>Unique</v>
      </c>
    </row>
    <row r="978" spans="1:27" x14ac:dyDescent="0.3">
      <c r="A978">
        <v>977</v>
      </c>
      <c r="B978">
        <v>1064962.79038169</v>
      </c>
      <c r="C978">
        <v>0.53115263471933705</v>
      </c>
      <c r="D978">
        <v>2.3884292402036902E-2</v>
      </c>
      <c r="E978">
        <v>0.33240968702742801</v>
      </c>
      <c r="F978">
        <v>1</v>
      </c>
      <c r="G978" t="s">
        <v>13</v>
      </c>
      <c r="H978">
        <v>1</v>
      </c>
      <c r="I978">
        <v>354003.94784663501</v>
      </c>
      <c r="J978">
        <v>0.66759031297257099</v>
      </c>
      <c r="K978" t="str">
        <f t="shared" si="120"/>
        <v>OK</v>
      </c>
      <c r="L978" t="str">
        <f t="shared" si="121"/>
        <v>OK</v>
      </c>
      <c r="M978" t="str">
        <f>IF(OR(B978&lt;$AE$20,B978&gt;$AF$20),"Outlier","OK")</f>
        <v>OK</v>
      </c>
      <c r="N978" t="str">
        <f>IF(OR(J978&lt;$AE$21,J978&gt;$AF$21),"Outlier","OK")</f>
        <v>OK</v>
      </c>
      <c r="O978" t="str">
        <f>IF(OR(C978&lt;0,C978&gt;1),"Outlier","OK")</f>
        <v>OK</v>
      </c>
      <c r="P978" t="str">
        <f>IF(OR(D978&lt;0,D978&gt;1),"Outlier","OK")</f>
        <v>OK</v>
      </c>
      <c r="Q978" t="str">
        <f t="shared" si="122"/>
        <v>60-80%</v>
      </c>
      <c r="R978" t="str">
        <f>IF(B978="","Missing","OK")</f>
        <v>OK</v>
      </c>
      <c r="S978" t="str">
        <f>IF(E978="","Missing","OK")</f>
        <v>OK</v>
      </c>
      <c r="T978" t="str">
        <f t="shared" si="123"/>
        <v>OK</v>
      </c>
      <c r="U978">
        <f>COUNTIF($A:$A,A978)</f>
        <v>1</v>
      </c>
      <c r="V978" t="str">
        <f t="shared" si="124"/>
        <v>OK</v>
      </c>
      <c r="W978" t="str">
        <f>IF(I978&gt;B978,"ERROR","OK")</f>
        <v>OK</v>
      </c>
      <c r="X978">
        <f>(B978-I978)/B978</f>
        <v>0.66759031297257099</v>
      </c>
      <c r="Y978" s="2">
        <f t="shared" si="125"/>
        <v>0</v>
      </c>
      <c r="Z978" s="2" t="str">
        <f t="shared" si="126"/>
        <v>OK</v>
      </c>
      <c r="AA978" t="str">
        <f t="shared" si="127"/>
        <v>Unique</v>
      </c>
    </row>
    <row r="979" spans="1:27" x14ac:dyDescent="0.3">
      <c r="A979">
        <v>978</v>
      </c>
      <c r="B979">
        <v>516621.829751832</v>
      </c>
      <c r="C979">
        <v>0.31732995767247801</v>
      </c>
      <c r="D979">
        <v>-9.87381675302932E-2</v>
      </c>
      <c r="E979">
        <v>0.239179227225991</v>
      </c>
      <c r="F979">
        <v>1</v>
      </c>
      <c r="G979" t="s">
        <v>12</v>
      </c>
      <c r="H979">
        <v>0</v>
      </c>
      <c r="I979">
        <v>123565.21000812</v>
      </c>
      <c r="J979">
        <v>0.76082077277400795</v>
      </c>
      <c r="K979" t="str">
        <f t="shared" si="120"/>
        <v>OK</v>
      </c>
      <c r="L979" t="str">
        <f t="shared" si="121"/>
        <v>OK</v>
      </c>
      <c r="M979" t="str">
        <f>IF(OR(B979&lt;$AE$20,B979&gt;$AF$20),"Outlier","OK")</f>
        <v>OK</v>
      </c>
      <c r="N979" t="str">
        <f>IF(OR(J979&lt;$AE$21,J979&gt;$AF$21),"Outlier","OK")</f>
        <v>OK</v>
      </c>
      <c r="O979" t="str">
        <f>IF(OR(C979&lt;0,C979&gt;1),"Outlier","OK")</f>
        <v>OK</v>
      </c>
      <c r="P979" t="str">
        <f>IF(OR(D979&lt;0,D979&gt;1),"Outlier","OK")</f>
        <v>Outlier</v>
      </c>
      <c r="Q979" t="str">
        <f t="shared" si="122"/>
        <v>60-80%</v>
      </c>
      <c r="R979" t="str">
        <f>IF(B979="","Missing","OK")</f>
        <v>OK</v>
      </c>
      <c r="S979" t="str">
        <f>IF(E979="","Missing","OK")</f>
        <v>OK</v>
      </c>
      <c r="T979" t="str">
        <f t="shared" si="123"/>
        <v>OK</v>
      </c>
      <c r="U979">
        <f>COUNTIF($A:$A,A979)</f>
        <v>1</v>
      </c>
      <c r="V979" t="str">
        <f t="shared" si="124"/>
        <v>OK</v>
      </c>
      <c r="W979" t="str">
        <f>IF(I979&gt;B979,"ERROR","OK")</f>
        <v>OK</v>
      </c>
      <c r="X979">
        <f>(B979-I979)/B979</f>
        <v>0.76082077277401028</v>
      </c>
      <c r="Y979" s="2">
        <f t="shared" si="125"/>
        <v>2.3314683517128287E-15</v>
      </c>
      <c r="Z979" s="2" t="str">
        <f t="shared" si="126"/>
        <v>OK</v>
      </c>
      <c r="AA979" t="str">
        <f t="shared" si="127"/>
        <v>Unique</v>
      </c>
    </row>
    <row r="980" spans="1:27" x14ac:dyDescent="0.3">
      <c r="A980">
        <v>979</v>
      </c>
      <c r="B980">
        <v>838850.16849206202</v>
      </c>
      <c r="C980">
        <v>0.59645158840020895</v>
      </c>
      <c r="D980">
        <v>4.5671888067021098E-2</v>
      </c>
      <c r="E980">
        <v>0.27311042281534398</v>
      </c>
      <c r="F980">
        <v>1</v>
      </c>
      <c r="G980" t="s">
        <v>10</v>
      </c>
      <c r="H980">
        <v>1</v>
      </c>
      <c r="I980">
        <v>229098.72419559001</v>
      </c>
      <c r="J980">
        <v>0.72688957718465497</v>
      </c>
      <c r="K980" t="str">
        <f t="shared" si="120"/>
        <v>OK</v>
      </c>
      <c r="L980" t="str">
        <f t="shared" si="121"/>
        <v>OK</v>
      </c>
      <c r="M980" t="str">
        <f>IF(OR(B980&lt;$AE$20,B980&gt;$AF$20),"Outlier","OK")</f>
        <v>OK</v>
      </c>
      <c r="N980" t="str">
        <f>IF(OR(J980&lt;$AE$21,J980&gt;$AF$21),"Outlier","OK")</f>
        <v>OK</v>
      </c>
      <c r="O980" t="str">
        <f>IF(OR(C980&lt;0,C980&gt;1),"Outlier","OK")</f>
        <v>OK</v>
      </c>
      <c r="P980" t="str">
        <f>IF(OR(D980&lt;0,D980&gt;1),"Outlier","OK")</f>
        <v>OK</v>
      </c>
      <c r="Q980" t="str">
        <f t="shared" si="122"/>
        <v>60-80%</v>
      </c>
      <c r="R980" t="str">
        <f>IF(B980="","Missing","OK")</f>
        <v>OK</v>
      </c>
      <c r="S980" t="str">
        <f>IF(E980="","Missing","OK")</f>
        <v>OK</v>
      </c>
      <c r="T980" t="str">
        <f t="shared" si="123"/>
        <v>OK</v>
      </c>
      <c r="U980">
        <f>COUNTIF($A:$A,A980)</f>
        <v>1</v>
      </c>
      <c r="V980" t="str">
        <f t="shared" si="124"/>
        <v>OK</v>
      </c>
      <c r="W980" t="str">
        <f>IF(I980&gt;B980,"ERROR","OK")</f>
        <v>OK</v>
      </c>
      <c r="X980">
        <f>(B980-I980)/B980</f>
        <v>0.72688957718465552</v>
      </c>
      <c r="Y980" s="2">
        <f t="shared" si="125"/>
        <v>5.5511151231257827E-16</v>
      </c>
      <c r="Z980" s="2" t="str">
        <f t="shared" si="126"/>
        <v>OK</v>
      </c>
      <c r="AA980" t="str">
        <f t="shared" si="127"/>
        <v>Unique</v>
      </c>
    </row>
    <row r="981" spans="1:27" x14ac:dyDescent="0.3">
      <c r="A981">
        <v>980</v>
      </c>
      <c r="B981">
        <v>1661733.8165968901</v>
      </c>
      <c r="C981">
        <v>0.18702479103540201</v>
      </c>
      <c r="D981">
        <v>8.6726660901422198E-2</v>
      </c>
      <c r="E981">
        <v>0.61260381648213602</v>
      </c>
      <c r="F981">
        <v>1</v>
      </c>
      <c r="G981" t="s">
        <v>10</v>
      </c>
      <c r="H981">
        <v>0</v>
      </c>
      <c r="I981">
        <v>1017984.4780246801</v>
      </c>
      <c r="J981">
        <v>0.38739618351786298</v>
      </c>
      <c r="K981" t="str">
        <f t="shared" si="120"/>
        <v>OK</v>
      </c>
      <c r="L981" t="str">
        <f t="shared" si="121"/>
        <v>OK</v>
      </c>
      <c r="M981" t="str">
        <f>IF(OR(B981&lt;$AE$20,B981&gt;$AF$20),"Outlier","OK")</f>
        <v>OK</v>
      </c>
      <c r="N981" t="str">
        <f>IF(OR(J981&lt;$AE$21,J981&gt;$AF$21),"Outlier","OK")</f>
        <v>OK</v>
      </c>
      <c r="O981" t="str">
        <f>IF(OR(C981&lt;0,C981&gt;1),"Outlier","OK")</f>
        <v>OK</v>
      </c>
      <c r="P981" t="str">
        <f>IF(OR(D981&lt;0,D981&gt;1),"Outlier","OK")</f>
        <v>OK</v>
      </c>
      <c r="Q981" t="str">
        <f t="shared" si="122"/>
        <v>20-40%</v>
      </c>
      <c r="R981" t="str">
        <f>IF(B981="","Missing","OK")</f>
        <v>OK</v>
      </c>
      <c r="S981" t="str">
        <f>IF(E981="","Missing","OK")</f>
        <v>OK</v>
      </c>
      <c r="T981" t="str">
        <f t="shared" si="123"/>
        <v>OK</v>
      </c>
      <c r="U981">
        <f>COUNTIF($A:$A,A981)</f>
        <v>1</v>
      </c>
      <c r="V981" t="str">
        <f t="shared" si="124"/>
        <v>OK</v>
      </c>
      <c r="W981" t="str">
        <f>IF(I981&gt;B981,"ERROR","OK")</f>
        <v>OK</v>
      </c>
      <c r="X981">
        <f>(B981-I981)/B981</f>
        <v>0.38739618351786437</v>
      </c>
      <c r="Y981" s="2">
        <f t="shared" si="125"/>
        <v>1.3877787807814457E-15</v>
      </c>
      <c r="Z981" s="2" t="str">
        <f t="shared" si="126"/>
        <v>OK</v>
      </c>
      <c r="AA981" t="str">
        <f t="shared" si="127"/>
        <v>Unique</v>
      </c>
    </row>
    <row r="982" spans="1:27" x14ac:dyDescent="0.3">
      <c r="A982">
        <v>981</v>
      </c>
      <c r="B982">
        <v>686159.41368290095</v>
      </c>
      <c r="C982">
        <v>0.85167121124523404</v>
      </c>
      <c r="D982">
        <v>-0.15343523625157501</v>
      </c>
      <c r="E982">
        <v>0.19469545137393099</v>
      </c>
      <c r="F982">
        <v>1</v>
      </c>
      <c r="G982" t="s">
        <v>10</v>
      </c>
      <c r="H982">
        <v>0</v>
      </c>
      <c r="I982">
        <v>133592.11676146401</v>
      </c>
      <c r="J982">
        <v>0.80530454862606804</v>
      </c>
      <c r="K982" t="str">
        <f t="shared" si="120"/>
        <v>OK</v>
      </c>
      <c r="L982" t="str">
        <f t="shared" si="121"/>
        <v>OK</v>
      </c>
      <c r="M982" t="str">
        <f>IF(OR(B982&lt;$AE$20,B982&gt;$AF$20),"Outlier","OK")</f>
        <v>OK</v>
      </c>
      <c r="N982" t="str">
        <f>IF(OR(J982&lt;$AE$21,J982&gt;$AF$21),"Outlier","OK")</f>
        <v>OK</v>
      </c>
      <c r="O982" t="str">
        <f>IF(OR(C982&lt;0,C982&gt;1),"Outlier","OK")</f>
        <v>OK</v>
      </c>
      <c r="P982" t="str">
        <f>IF(OR(D982&lt;0,D982&gt;1),"Outlier","OK")</f>
        <v>Outlier</v>
      </c>
      <c r="Q982" t="str">
        <f t="shared" si="122"/>
        <v>80-100%</v>
      </c>
      <c r="R982" t="str">
        <f>IF(B982="","Missing","OK")</f>
        <v>OK</v>
      </c>
      <c r="S982" t="str">
        <f>IF(E982="","Missing","OK")</f>
        <v>OK</v>
      </c>
      <c r="T982" t="str">
        <f t="shared" si="123"/>
        <v>OK</v>
      </c>
      <c r="U982">
        <f>COUNTIF($A:$A,A982)</f>
        <v>1</v>
      </c>
      <c r="V982" t="str">
        <f t="shared" si="124"/>
        <v>OK</v>
      </c>
      <c r="W982" t="str">
        <f>IF(I982&gt;B982,"ERROR","OK")</f>
        <v>OK</v>
      </c>
      <c r="X982">
        <f>(B982-I982)/B982</f>
        <v>0.80530454862606926</v>
      </c>
      <c r="Y982" s="2">
        <f t="shared" si="125"/>
        <v>1.2212453270876722E-15</v>
      </c>
      <c r="Z982" s="2" t="str">
        <f t="shared" si="126"/>
        <v>OK</v>
      </c>
      <c r="AA982" t="str">
        <f t="shared" si="127"/>
        <v>Unique</v>
      </c>
    </row>
    <row r="983" spans="1:27" x14ac:dyDescent="0.3">
      <c r="A983">
        <v>982</v>
      </c>
      <c r="B983">
        <v>992273.00131078798</v>
      </c>
      <c r="C983">
        <v>0.36693337141537102</v>
      </c>
      <c r="D983">
        <v>0.17909582750904801</v>
      </c>
      <c r="E983">
        <v>0.15595738770998099</v>
      </c>
      <c r="F983">
        <v>1</v>
      </c>
      <c r="G983" t="s">
        <v>13</v>
      </c>
      <c r="H983">
        <v>0</v>
      </c>
      <c r="I983">
        <v>154752.30517957301</v>
      </c>
      <c r="J983">
        <v>0.84404261229001798</v>
      </c>
      <c r="K983" t="str">
        <f t="shared" si="120"/>
        <v>OK</v>
      </c>
      <c r="L983" t="str">
        <f t="shared" si="121"/>
        <v>OK</v>
      </c>
      <c r="M983" t="str">
        <f>IF(OR(B983&lt;$AE$20,B983&gt;$AF$20),"Outlier","OK")</f>
        <v>OK</v>
      </c>
      <c r="N983" t="str">
        <f>IF(OR(J983&lt;$AE$21,J983&gt;$AF$21),"Outlier","OK")</f>
        <v>OK</v>
      </c>
      <c r="O983" t="str">
        <f>IF(OR(C983&lt;0,C983&gt;1),"Outlier","OK")</f>
        <v>OK</v>
      </c>
      <c r="P983" t="str">
        <f>IF(OR(D983&lt;0,D983&gt;1),"Outlier","OK")</f>
        <v>OK</v>
      </c>
      <c r="Q983" t="str">
        <f t="shared" si="122"/>
        <v>80-100%</v>
      </c>
      <c r="R983" t="str">
        <f>IF(B983="","Missing","OK")</f>
        <v>OK</v>
      </c>
      <c r="S983" t="str">
        <f>IF(E983="","Missing","OK")</f>
        <v>OK</v>
      </c>
      <c r="T983" t="str">
        <f t="shared" si="123"/>
        <v>OK</v>
      </c>
      <c r="U983">
        <f>COUNTIF($A:$A,A983)</f>
        <v>1</v>
      </c>
      <c r="V983" t="str">
        <f t="shared" si="124"/>
        <v>OK</v>
      </c>
      <c r="W983" t="str">
        <f>IF(I983&gt;B983,"ERROR","OK")</f>
        <v>OK</v>
      </c>
      <c r="X983">
        <f>(B983-I983)/B983</f>
        <v>0.84404261229001898</v>
      </c>
      <c r="Y983" s="2">
        <f t="shared" si="125"/>
        <v>9.9920072216264089E-16</v>
      </c>
      <c r="Z983" s="2" t="str">
        <f t="shared" si="126"/>
        <v>OK</v>
      </c>
      <c r="AA983" t="str">
        <f t="shared" si="127"/>
        <v>Unique</v>
      </c>
    </row>
    <row r="984" spans="1:27" x14ac:dyDescent="0.3">
      <c r="A984">
        <v>983</v>
      </c>
      <c r="B984">
        <v>98245.249637225003</v>
      </c>
      <c r="C984">
        <v>0.57119172966309195</v>
      </c>
      <c r="D984">
        <v>-2.0509841226498099E-2</v>
      </c>
      <c r="E984">
        <v>0.20334590261611901</v>
      </c>
      <c r="F984">
        <v>1</v>
      </c>
      <c r="G984" t="s">
        <v>10</v>
      </c>
      <c r="H984">
        <v>1</v>
      </c>
      <c r="I984">
        <v>19977.7689652275</v>
      </c>
      <c r="J984">
        <v>0.79665409738388004</v>
      </c>
      <c r="K984" t="str">
        <f t="shared" si="120"/>
        <v>OK</v>
      </c>
      <c r="L984" t="str">
        <f t="shared" si="121"/>
        <v>OK</v>
      </c>
      <c r="M984" t="str">
        <f>IF(OR(B984&lt;$AE$20,B984&gt;$AF$20),"Outlier","OK")</f>
        <v>OK</v>
      </c>
      <c r="N984" t="str">
        <f>IF(OR(J984&lt;$AE$21,J984&gt;$AF$21),"Outlier","OK")</f>
        <v>OK</v>
      </c>
      <c r="O984" t="str">
        <f>IF(OR(C984&lt;0,C984&gt;1),"Outlier","OK")</f>
        <v>OK</v>
      </c>
      <c r="P984" t="str">
        <f>IF(OR(D984&lt;0,D984&gt;1),"Outlier","OK")</f>
        <v>Outlier</v>
      </c>
      <c r="Q984" t="str">
        <f t="shared" si="122"/>
        <v>60-80%</v>
      </c>
      <c r="R984" t="str">
        <f>IF(B984="","Missing","OK")</f>
        <v>OK</v>
      </c>
      <c r="S984" t="str">
        <f>IF(E984="","Missing","OK")</f>
        <v>OK</v>
      </c>
      <c r="T984" t="str">
        <f t="shared" si="123"/>
        <v>OK</v>
      </c>
      <c r="U984">
        <f>COUNTIF($A:$A,A984)</f>
        <v>1</v>
      </c>
      <c r="V984" t="str">
        <f t="shared" si="124"/>
        <v>OK</v>
      </c>
      <c r="W984" t="str">
        <f>IF(I984&gt;B984,"ERROR","OK")</f>
        <v>OK</v>
      </c>
      <c r="X984">
        <f>(B984-I984)/B984</f>
        <v>0.7966540973838806</v>
      </c>
      <c r="Y984" s="2">
        <f t="shared" si="125"/>
        <v>5.5511151231257827E-16</v>
      </c>
      <c r="Z984" s="2" t="str">
        <f t="shared" si="126"/>
        <v>OK</v>
      </c>
      <c r="AA984" t="str">
        <f t="shared" si="127"/>
        <v>Unique</v>
      </c>
    </row>
    <row r="985" spans="1:27" x14ac:dyDescent="0.3">
      <c r="A985">
        <v>984</v>
      </c>
      <c r="B985">
        <v>652064.21242217906</v>
      </c>
      <c r="C985">
        <v>0.72446316577674097</v>
      </c>
      <c r="D985">
        <v>1.4234847039506801E-2</v>
      </c>
      <c r="E985">
        <v>0.214678185013738</v>
      </c>
      <c r="F985">
        <v>1</v>
      </c>
      <c r="G985" t="s">
        <v>12</v>
      </c>
      <c r="H985">
        <v>1</v>
      </c>
      <c r="I985">
        <v>139983.96163520601</v>
      </c>
      <c r="J985">
        <v>0.78532181498626097</v>
      </c>
      <c r="K985" t="str">
        <f t="shared" si="120"/>
        <v>OK</v>
      </c>
      <c r="L985" t="str">
        <f t="shared" si="121"/>
        <v>OK</v>
      </c>
      <c r="M985" t="str">
        <f>IF(OR(B985&lt;$AE$20,B985&gt;$AF$20),"Outlier","OK")</f>
        <v>OK</v>
      </c>
      <c r="N985" t="str">
        <f>IF(OR(J985&lt;$AE$21,J985&gt;$AF$21),"Outlier","OK")</f>
        <v>OK</v>
      </c>
      <c r="O985" t="str">
        <f>IF(OR(C985&lt;0,C985&gt;1),"Outlier","OK")</f>
        <v>OK</v>
      </c>
      <c r="P985" t="str">
        <f>IF(OR(D985&lt;0,D985&gt;1),"Outlier","OK")</f>
        <v>OK</v>
      </c>
      <c r="Q985" t="str">
        <f t="shared" si="122"/>
        <v>60-80%</v>
      </c>
      <c r="R985" t="str">
        <f>IF(B985="","Missing","OK")</f>
        <v>OK</v>
      </c>
      <c r="S985" t="str">
        <f>IF(E985="","Missing","OK")</f>
        <v>OK</v>
      </c>
      <c r="T985" t="str">
        <f t="shared" si="123"/>
        <v>OK</v>
      </c>
      <c r="U985">
        <f>COUNTIF($A:$A,A985)</f>
        <v>1</v>
      </c>
      <c r="V985" t="str">
        <f t="shared" si="124"/>
        <v>OK</v>
      </c>
      <c r="W985" t="str">
        <f>IF(I985&gt;B985,"ERROR","OK")</f>
        <v>OK</v>
      </c>
      <c r="X985">
        <f>(B985-I985)/B985</f>
        <v>0.78532181498626186</v>
      </c>
      <c r="Y985" s="2">
        <f t="shared" si="125"/>
        <v>8.8817841970012523E-16</v>
      </c>
      <c r="Z985" s="2" t="str">
        <f t="shared" si="126"/>
        <v>OK</v>
      </c>
      <c r="AA985" t="str">
        <f t="shared" si="127"/>
        <v>Unique</v>
      </c>
    </row>
    <row r="986" spans="1:27" x14ac:dyDescent="0.3">
      <c r="A986">
        <v>985</v>
      </c>
      <c r="B986">
        <v>1297456.1315178501</v>
      </c>
      <c r="C986">
        <v>0.69113738689547399</v>
      </c>
      <c r="D986">
        <v>-0.182368316037093</v>
      </c>
      <c r="E986">
        <v>0.57077007998906004</v>
      </c>
      <c r="F986">
        <v>1</v>
      </c>
      <c r="G986" t="s">
        <v>12</v>
      </c>
      <c r="H986">
        <v>0</v>
      </c>
      <c r="I986">
        <v>740549.13996874599</v>
      </c>
      <c r="J986">
        <v>0.42922992001093901</v>
      </c>
      <c r="K986" t="str">
        <f t="shared" si="120"/>
        <v>OK</v>
      </c>
      <c r="L986" t="str">
        <f t="shared" si="121"/>
        <v>OK</v>
      </c>
      <c r="M986" t="str">
        <f>IF(OR(B986&lt;$AE$20,B986&gt;$AF$20),"Outlier","OK")</f>
        <v>OK</v>
      </c>
      <c r="N986" t="str">
        <f>IF(OR(J986&lt;$AE$21,J986&gt;$AF$21),"Outlier","OK")</f>
        <v>OK</v>
      </c>
      <c r="O986" t="str">
        <f>IF(OR(C986&lt;0,C986&gt;1),"Outlier","OK")</f>
        <v>OK</v>
      </c>
      <c r="P986" t="str">
        <f>IF(OR(D986&lt;0,D986&gt;1),"Outlier","OK")</f>
        <v>Outlier</v>
      </c>
      <c r="Q986" t="str">
        <f t="shared" si="122"/>
        <v>40-60%</v>
      </c>
      <c r="R986" t="str">
        <f>IF(B986="","Missing","OK")</f>
        <v>OK</v>
      </c>
      <c r="S986" t="str">
        <f>IF(E986="","Missing","OK")</f>
        <v>OK</v>
      </c>
      <c r="T986" t="str">
        <f t="shared" si="123"/>
        <v>OK</v>
      </c>
      <c r="U986">
        <f>COUNTIF($A:$A,A986)</f>
        <v>1</v>
      </c>
      <c r="V986" t="str">
        <f t="shared" si="124"/>
        <v>OK</v>
      </c>
      <c r="W986" t="str">
        <f>IF(I986&gt;B986,"ERROR","OK")</f>
        <v>OK</v>
      </c>
      <c r="X986">
        <f>(B986-I986)/B986</f>
        <v>0.42922992001093513</v>
      </c>
      <c r="Y986" s="2">
        <f t="shared" si="125"/>
        <v>3.8857805861880479E-15</v>
      </c>
      <c r="Z986" s="2" t="str">
        <f t="shared" si="126"/>
        <v>OK</v>
      </c>
      <c r="AA986" t="str">
        <f t="shared" si="127"/>
        <v>Unique</v>
      </c>
    </row>
    <row r="987" spans="1:27" x14ac:dyDescent="0.3">
      <c r="A987">
        <v>986</v>
      </c>
      <c r="B987">
        <v>664565.46039084496</v>
      </c>
      <c r="C987">
        <v>0.472824872199335</v>
      </c>
      <c r="D987">
        <v>-9.4674132423019502E-2</v>
      </c>
      <c r="E987">
        <v>0.26913537614174998</v>
      </c>
      <c r="F987">
        <v>1</v>
      </c>
      <c r="G987" t="s">
        <v>11</v>
      </c>
      <c r="H987">
        <v>0</v>
      </c>
      <c r="I987">
        <v>178858.07515310499</v>
      </c>
      <c r="J987">
        <v>0.73086462385824902</v>
      </c>
      <c r="K987" t="str">
        <f t="shared" si="120"/>
        <v>OK</v>
      </c>
      <c r="L987" t="str">
        <f t="shared" si="121"/>
        <v>OK</v>
      </c>
      <c r="M987" t="str">
        <f>IF(OR(B987&lt;$AE$20,B987&gt;$AF$20),"Outlier","OK")</f>
        <v>OK</v>
      </c>
      <c r="N987" t="str">
        <f>IF(OR(J987&lt;$AE$21,J987&gt;$AF$21),"Outlier","OK")</f>
        <v>OK</v>
      </c>
      <c r="O987" t="str">
        <f>IF(OR(C987&lt;0,C987&gt;1),"Outlier","OK")</f>
        <v>OK</v>
      </c>
      <c r="P987" t="str">
        <f>IF(OR(D987&lt;0,D987&gt;1),"Outlier","OK")</f>
        <v>Outlier</v>
      </c>
      <c r="Q987" t="str">
        <f t="shared" si="122"/>
        <v>60-80%</v>
      </c>
      <c r="R987" t="str">
        <f>IF(B987="","Missing","OK")</f>
        <v>OK</v>
      </c>
      <c r="S987" t="str">
        <f>IF(E987="","Missing","OK")</f>
        <v>OK</v>
      </c>
      <c r="T987" t="str">
        <f t="shared" si="123"/>
        <v>OK</v>
      </c>
      <c r="U987">
        <f>COUNTIF($A:$A,A987)</f>
        <v>1</v>
      </c>
      <c r="V987" t="str">
        <f t="shared" si="124"/>
        <v>OK</v>
      </c>
      <c r="W987" t="str">
        <f>IF(I987&gt;B987,"ERROR","OK")</f>
        <v>OK</v>
      </c>
      <c r="X987">
        <f>(B987-I987)/B987</f>
        <v>0.73086462385825057</v>
      </c>
      <c r="Y987" s="2">
        <f t="shared" si="125"/>
        <v>1.5543122344752192E-15</v>
      </c>
      <c r="Z987" s="2" t="str">
        <f t="shared" si="126"/>
        <v>OK</v>
      </c>
      <c r="AA987" t="str">
        <f t="shared" si="127"/>
        <v>Unique</v>
      </c>
    </row>
    <row r="988" spans="1:27" x14ac:dyDescent="0.3">
      <c r="A988">
        <v>987</v>
      </c>
      <c r="B988">
        <v>451305.13705450302</v>
      </c>
      <c r="C988">
        <v>0.13338349530431201</v>
      </c>
      <c r="D988">
        <v>2.0659376649500599E-2</v>
      </c>
      <c r="E988">
        <v>0.10236129618907901</v>
      </c>
      <c r="F988">
        <v>1</v>
      </c>
      <c r="G988" t="s">
        <v>12</v>
      </c>
      <c r="H988">
        <v>1</v>
      </c>
      <c r="I988">
        <v>46196.178805688898</v>
      </c>
      <c r="J988">
        <v>0.89763870381092004</v>
      </c>
      <c r="K988" t="str">
        <f t="shared" si="120"/>
        <v>OK</v>
      </c>
      <c r="L988" t="str">
        <f t="shared" si="121"/>
        <v>OK</v>
      </c>
      <c r="M988" t="str">
        <f>IF(OR(B988&lt;$AE$20,B988&gt;$AF$20),"Outlier","OK")</f>
        <v>OK</v>
      </c>
      <c r="N988" t="str">
        <f>IF(OR(J988&lt;$AE$21,J988&gt;$AF$21),"Outlier","OK")</f>
        <v>OK</v>
      </c>
      <c r="O988" t="str">
        <f>IF(OR(C988&lt;0,C988&gt;1),"Outlier","OK")</f>
        <v>OK</v>
      </c>
      <c r="P988" t="str">
        <f>IF(OR(D988&lt;0,D988&gt;1),"Outlier","OK")</f>
        <v>OK</v>
      </c>
      <c r="Q988" t="str">
        <f t="shared" si="122"/>
        <v>80-100%</v>
      </c>
      <c r="R988" t="str">
        <f>IF(B988="","Missing","OK")</f>
        <v>OK</v>
      </c>
      <c r="S988" t="str">
        <f>IF(E988="","Missing","OK")</f>
        <v>OK</v>
      </c>
      <c r="T988" t="str">
        <f t="shared" si="123"/>
        <v>OK</v>
      </c>
      <c r="U988">
        <f>COUNTIF($A:$A,A988)</f>
        <v>1</v>
      </c>
      <c r="V988" t="str">
        <f t="shared" si="124"/>
        <v>OK</v>
      </c>
      <c r="W988" t="str">
        <f>IF(I988&gt;B988,"ERROR","OK")</f>
        <v>OK</v>
      </c>
      <c r="X988">
        <f>(B988-I988)/B988</f>
        <v>0.89763870381092092</v>
      </c>
      <c r="Y988" s="2">
        <f t="shared" si="125"/>
        <v>8.8817841970012523E-16</v>
      </c>
      <c r="Z988" s="2" t="str">
        <f t="shared" si="126"/>
        <v>OK</v>
      </c>
      <c r="AA988" t="str">
        <f t="shared" si="127"/>
        <v>Unique</v>
      </c>
    </row>
    <row r="989" spans="1:27" x14ac:dyDescent="0.3">
      <c r="A989">
        <v>988</v>
      </c>
      <c r="B989">
        <v>616778.57578481699</v>
      </c>
      <c r="C989">
        <v>0.559460865733998</v>
      </c>
      <c r="D989">
        <v>0.13327867160134099</v>
      </c>
      <c r="E989">
        <v>0.19023676203588499</v>
      </c>
      <c r="F989">
        <v>1</v>
      </c>
      <c r="G989" t="s">
        <v>13</v>
      </c>
      <c r="H989">
        <v>0</v>
      </c>
      <c r="I989">
        <v>117333.959150408</v>
      </c>
      <c r="J989">
        <v>0.80976323796411398</v>
      </c>
      <c r="K989" t="str">
        <f t="shared" si="120"/>
        <v>OK</v>
      </c>
      <c r="L989" t="str">
        <f t="shared" si="121"/>
        <v>OK</v>
      </c>
      <c r="M989" t="str">
        <f>IF(OR(B989&lt;$AE$20,B989&gt;$AF$20),"Outlier","OK")</f>
        <v>OK</v>
      </c>
      <c r="N989" t="str">
        <f>IF(OR(J989&lt;$AE$21,J989&gt;$AF$21),"Outlier","OK")</f>
        <v>OK</v>
      </c>
      <c r="O989" t="str">
        <f>IF(OR(C989&lt;0,C989&gt;1),"Outlier","OK")</f>
        <v>OK</v>
      </c>
      <c r="P989" t="str">
        <f>IF(OR(D989&lt;0,D989&gt;1),"Outlier","OK")</f>
        <v>OK</v>
      </c>
      <c r="Q989" t="str">
        <f t="shared" si="122"/>
        <v>80-100%</v>
      </c>
      <c r="R989" t="str">
        <f>IF(B989="","Missing","OK")</f>
        <v>OK</v>
      </c>
      <c r="S989" t="str">
        <f>IF(E989="","Missing","OK")</f>
        <v>OK</v>
      </c>
      <c r="T989" t="str">
        <f t="shared" si="123"/>
        <v>OK</v>
      </c>
      <c r="U989">
        <f>COUNTIF($A:$A,A989)</f>
        <v>1</v>
      </c>
      <c r="V989" t="str">
        <f t="shared" si="124"/>
        <v>OK</v>
      </c>
      <c r="W989" t="str">
        <f>IF(I989&gt;B989,"ERROR","OK")</f>
        <v>OK</v>
      </c>
      <c r="X989">
        <f>(B989-I989)/B989</f>
        <v>0.80976323796411553</v>
      </c>
      <c r="Y989" s="2">
        <f t="shared" si="125"/>
        <v>1.5543122344752192E-15</v>
      </c>
      <c r="Z989" s="2" t="str">
        <f t="shared" si="126"/>
        <v>OK</v>
      </c>
      <c r="AA989" t="str">
        <f t="shared" si="127"/>
        <v>Unique</v>
      </c>
    </row>
    <row r="990" spans="1:27" x14ac:dyDescent="0.3">
      <c r="A990">
        <v>989</v>
      </c>
      <c r="B990">
        <v>1911037.6982774299</v>
      </c>
      <c r="C990">
        <v>0.46611175792098403</v>
      </c>
      <c r="D990">
        <v>5.2343914572287799E-2</v>
      </c>
      <c r="E990">
        <v>0.19671350361473899</v>
      </c>
      <c r="F990">
        <v>1</v>
      </c>
      <c r="G990" t="s">
        <v>11</v>
      </c>
      <c r="H990">
        <v>0</v>
      </c>
      <c r="I990">
        <v>375926.92116800201</v>
      </c>
      <c r="J990">
        <v>0.80328649638525995</v>
      </c>
      <c r="K990" t="str">
        <f t="shared" si="120"/>
        <v>OK</v>
      </c>
      <c r="L990" t="str">
        <f t="shared" si="121"/>
        <v>OK</v>
      </c>
      <c r="M990" t="str">
        <f>IF(OR(B990&lt;$AE$20,B990&gt;$AF$20),"Outlier","OK")</f>
        <v>OK</v>
      </c>
      <c r="N990" t="str">
        <f>IF(OR(J990&lt;$AE$21,J990&gt;$AF$21),"Outlier","OK")</f>
        <v>OK</v>
      </c>
      <c r="O990" t="str">
        <f>IF(OR(C990&lt;0,C990&gt;1),"Outlier","OK")</f>
        <v>OK</v>
      </c>
      <c r="P990" t="str">
        <f>IF(OR(D990&lt;0,D990&gt;1),"Outlier","OK")</f>
        <v>OK</v>
      </c>
      <c r="Q990" t="str">
        <f t="shared" si="122"/>
        <v>80-100%</v>
      </c>
      <c r="R990" t="str">
        <f>IF(B990="","Missing","OK")</f>
        <v>OK</v>
      </c>
      <c r="S990" t="str">
        <f>IF(E990="","Missing","OK")</f>
        <v>OK</v>
      </c>
      <c r="T990" t="str">
        <f t="shared" si="123"/>
        <v>OK</v>
      </c>
      <c r="U990">
        <f>COUNTIF($A:$A,A990)</f>
        <v>1</v>
      </c>
      <c r="V990" t="str">
        <f t="shared" si="124"/>
        <v>OK</v>
      </c>
      <c r="W990" t="str">
        <f>IF(I990&gt;B990,"ERROR","OK")</f>
        <v>OK</v>
      </c>
      <c r="X990">
        <f>(B990-I990)/B990</f>
        <v>0.80328649638525973</v>
      </c>
      <c r="Y990" s="2">
        <f t="shared" si="125"/>
        <v>2.2204460492503131E-16</v>
      </c>
      <c r="Z990" s="2" t="str">
        <f t="shared" si="126"/>
        <v>OK</v>
      </c>
      <c r="AA990" t="str">
        <f t="shared" si="127"/>
        <v>Unique</v>
      </c>
    </row>
    <row r="991" spans="1:27" x14ac:dyDescent="0.3">
      <c r="A991">
        <v>990</v>
      </c>
      <c r="B991">
        <v>219263.553391942</v>
      </c>
      <c r="C991">
        <v>0.22585057742572201</v>
      </c>
      <c r="D991">
        <v>1.89509686469722E-2</v>
      </c>
      <c r="E991">
        <v>0.36045357582457799</v>
      </c>
      <c r="F991">
        <v>1</v>
      </c>
      <c r="G991" t="s">
        <v>13</v>
      </c>
      <c r="H991">
        <v>0</v>
      </c>
      <c r="I991">
        <v>79034.331868129098</v>
      </c>
      <c r="J991">
        <v>0.63954642417542096</v>
      </c>
      <c r="K991" t="str">
        <f t="shared" si="120"/>
        <v>OK</v>
      </c>
      <c r="L991" t="str">
        <f t="shared" si="121"/>
        <v>OK</v>
      </c>
      <c r="M991" t="str">
        <f>IF(OR(B991&lt;$AE$20,B991&gt;$AF$20),"Outlier","OK")</f>
        <v>OK</v>
      </c>
      <c r="N991" t="str">
        <f>IF(OR(J991&lt;$AE$21,J991&gt;$AF$21),"Outlier","OK")</f>
        <v>OK</v>
      </c>
      <c r="O991" t="str">
        <f>IF(OR(C991&lt;0,C991&gt;1),"Outlier","OK")</f>
        <v>OK</v>
      </c>
      <c r="P991" t="str">
        <f>IF(OR(D991&lt;0,D991&gt;1),"Outlier","OK")</f>
        <v>OK</v>
      </c>
      <c r="Q991" t="str">
        <f t="shared" si="122"/>
        <v>60-80%</v>
      </c>
      <c r="R991" t="str">
        <f>IF(B991="","Missing","OK")</f>
        <v>OK</v>
      </c>
      <c r="S991" t="str">
        <f>IF(E991="","Missing","OK")</f>
        <v>OK</v>
      </c>
      <c r="T991" t="str">
        <f t="shared" si="123"/>
        <v>OK</v>
      </c>
      <c r="U991">
        <f>COUNTIF($A:$A,A991)</f>
        <v>1</v>
      </c>
      <c r="V991" t="str">
        <f t="shared" si="124"/>
        <v>OK</v>
      </c>
      <c r="W991" t="str">
        <f>IF(I991&gt;B991,"ERROR","OK")</f>
        <v>OK</v>
      </c>
      <c r="X991">
        <f>(B991-I991)/B991</f>
        <v>0.63954642417542062</v>
      </c>
      <c r="Y991" s="2">
        <f t="shared" si="125"/>
        <v>3.3306690738754696E-16</v>
      </c>
      <c r="Z991" s="2" t="str">
        <f t="shared" si="126"/>
        <v>OK</v>
      </c>
      <c r="AA991" t="str">
        <f t="shared" si="127"/>
        <v>Unique</v>
      </c>
    </row>
    <row r="992" spans="1:27" x14ac:dyDescent="0.3">
      <c r="A992">
        <v>991</v>
      </c>
      <c r="B992">
        <v>953547.63897069299</v>
      </c>
      <c r="C992">
        <v>0.44190259938465798</v>
      </c>
      <c r="D992">
        <v>0.17520858558763699</v>
      </c>
      <c r="E992">
        <v>0.242393913257029</v>
      </c>
      <c r="F992">
        <v>1</v>
      </c>
      <c r="G992" t="s">
        <v>10</v>
      </c>
      <c r="H992">
        <v>0</v>
      </c>
      <c r="I992">
        <v>231134.14368710699</v>
      </c>
      <c r="J992">
        <v>0.75760608674297003</v>
      </c>
      <c r="K992" t="str">
        <f t="shared" si="120"/>
        <v>OK</v>
      </c>
      <c r="L992" t="str">
        <f t="shared" si="121"/>
        <v>OK</v>
      </c>
      <c r="M992" t="str">
        <f>IF(OR(B992&lt;$AE$20,B992&gt;$AF$20),"Outlier","OK")</f>
        <v>OK</v>
      </c>
      <c r="N992" t="str">
        <f>IF(OR(J992&lt;$AE$21,J992&gt;$AF$21),"Outlier","OK")</f>
        <v>OK</v>
      </c>
      <c r="O992" t="str">
        <f>IF(OR(C992&lt;0,C992&gt;1),"Outlier","OK")</f>
        <v>OK</v>
      </c>
      <c r="P992" t="str">
        <f>IF(OR(D992&lt;0,D992&gt;1),"Outlier","OK")</f>
        <v>OK</v>
      </c>
      <c r="Q992" t="str">
        <f t="shared" si="122"/>
        <v>60-80%</v>
      </c>
      <c r="R992" t="str">
        <f>IF(B992="","Missing","OK")</f>
        <v>OK</v>
      </c>
      <c r="S992" t="str">
        <f>IF(E992="","Missing","OK")</f>
        <v>OK</v>
      </c>
      <c r="T992" t="str">
        <f t="shared" si="123"/>
        <v>OK</v>
      </c>
      <c r="U992">
        <f>COUNTIF($A:$A,A992)</f>
        <v>1</v>
      </c>
      <c r="V992" t="str">
        <f t="shared" si="124"/>
        <v>OK</v>
      </c>
      <c r="W992" t="str">
        <f>IF(I992&gt;B992,"ERROR","OK")</f>
        <v>OK</v>
      </c>
      <c r="X992">
        <f>(B992-I992)/B992</f>
        <v>0.75760608674297092</v>
      </c>
      <c r="Y992" s="2">
        <f t="shared" si="125"/>
        <v>8.8817841970012523E-16</v>
      </c>
      <c r="Z992" s="2" t="str">
        <f t="shared" si="126"/>
        <v>OK</v>
      </c>
      <c r="AA992" t="str">
        <f t="shared" si="127"/>
        <v>Unique</v>
      </c>
    </row>
    <row r="993" spans="1:27" x14ac:dyDescent="0.3">
      <c r="A993">
        <v>992</v>
      </c>
      <c r="B993">
        <v>163854.462134317</v>
      </c>
      <c r="C993">
        <v>0.41076858546784301</v>
      </c>
      <c r="D993">
        <v>-2.36600221032803E-2</v>
      </c>
      <c r="E993">
        <v>0.17357776727576099</v>
      </c>
      <c r="F993">
        <v>1</v>
      </c>
      <c r="G993" t="s">
        <v>10</v>
      </c>
      <c r="H993">
        <v>0</v>
      </c>
      <c r="I993">
        <v>28441.4916954457</v>
      </c>
      <c r="J993">
        <v>0.82642223272423798</v>
      </c>
      <c r="K993" t="str">
        <f t="shared" si="120"/>
        <v>OK</v>
      </c>
      <c r="L993" t="str">
        <f t="shared" si="121"/>
        <v>OK</v>
      </c>
      <c r="M993" t="str">
        <f>IF(OR(B993&lt;$AE$20,B993&gt;$AF$20),"Outlier","OK")</f>
        <v>OK</v>
      </c>
      <c r="N993" t="str">
        <f>IF(OR(J993&lt;$AE$21,J993&gt;$AF$21),"Outlier","OK")</f>
        <v>OK</v>
      </c>
      <c r="O993" t="str">
        <f>IF(OR(C993&lt;0,C993&gt;1),"Outlier","OK")</f>
        <v>OK</v>
      </c>
      <c r="P993" t="str">
        <f>IF(OR(D993&lt;0,D993&gt;1),"Outlier","OK")</f>
        <v>Outlier</v>
      </c>
      <c r="Q993" t="str">
        <f t="shared" si="122"/>
        <v>80-100%</v>
      </c>
      <c r="R993" t="str">
        <f>IF(B993="","Missing","OK")</f>
        <v>OK</v>
      </c>
      <c r="S993" t="str">
        <f>IF(E993="","Missing","OK")</f>
        <v>OK</v>
      </c>
      <c r="T993" t="str">
        <f t="shared" si="123"/>
        <v>OK</v>
      </c>
      <c r="U993">
        <f>COUNTIF($A:$A,A993)</f>
        <v>1</v>
      </c>
      <c r="V993" t="str">
        <f t="shared" si="124"/>
        <v>OK</v>
      </c>
      <c r="W993" t="str">
        <f>IF(I993&gt;B993,"ERROR","OK")</f>
        <v>OK</v>
      </c>
      <c r="X993">
        <f>(B993-I993)/B993</f>
        <v>0.82642223272423754</v>
      </c>
      <c r="Y993" s="2">
        <f t="shared" si="125"/>
        <v>4.4408920985006262E-16</v>
      </c>
      <c r="Z993" s="2" t="str">
        <f t="shared" si="126"/>
        <v>OK</v>
      </c>
      <c r="AA993" t="str">
        <f t="shared" si="127"/>
        <v>Unique</v>
      </c>
    </row>
    <row r="994" spans="1:27" x14ac:dyDescent="0.3">
      <c r="A994">
        <v>993</v>
      </c>
      <c r="B994">
        <v>1100383.57051319</v>
      </c>
      <c r="C994">
        <v>0.14356321063321401</v>
      </c>
      <c r="D994">
        <v>-0.15065680668871201</v>
      </c>
      <c r="E994">
        <v>0.285923657989886</v>
      </c>
      <c r="F994">
        <v>1</v>
      </c>
      <c r="G994" t="s">
        <v>11</v>
      </c>
      <c r="H994">
        <v>1</v>
      </c>
      <c r="I994">
        <v>314625.69567310502</v>
      </c>
      <c r="J994">
        <v>0.71407634201011305</v>
      </c>
      <c r="K994" t="str">
        <f t="shared" si="120"/>
        <v>OK</v>
      </c>
      <c r="L994" t="str">
        <f t="shared" si="121"/>
        <v>OK</v>
      </c>
      <c r="M994" t="str">
        <f>IF(OR(B994&lt;$AE$20,B994&gt;$AF$20),"Outlier","OK")</f>
        <v>OK</v>
      </c>
      <c r="N994" t="str">
        <f>IF(OR(J994&lt;$AE$21,J994&gt;$AF$21),"Outlier","OK")</f>
        <v>OK</v>
      </c>
      <c r="O994" t="str">
        <f>IF(OR(C994&lt;0,C994&gt;1),"Outlier","OK")</f>
        <v>OK</v>
      </c>
      <c r="P994" t="str">
        <f>IF(OR(D994&lt;0,D994&gt;1),"Outlier","OK")</f>
        <v>Outlier</v>
      </c>
      <c r="Q994" t="str">
        <f t="shared" si="122"/>
        <v>60-80%</v>
      </c>
      <c r="R994" t="str">
        <f>IF(B994="","Missing","OK")</f>
        <v>OK</v>
      </c>
      <c r="S994" t="str">
        <f>IF(E994="","Missing","OK")</f>
        <v>OK</v>
      </c>
      <c r="T994" t="str">
        <f t="shared" si="123"/>
        <v>OK</v>
      </c>
      <c r="U994">
        <f>COUNTIF($A:$A,A994)</f>
        <v>1</v>
      </c>
      <c r="V994" t="str">
        <f t="shared" si="124"/>
        <v>OK</v>
      </c>
      <c r="W994" t="str">
        <f>IF(I994&gt;B994,"ERROR","OK")</f>
        <v>OK</v>
      </c>
      <c r="X994">
        <f>(B994-I994)/B994</f>
        <v>0.71407634201011205</v>
      </c>
      <c r="Y994" s="2">
        <f t="shared" si="125"/>
        <v>9.9920072216264089E-16</v>
      </c>
      <c r="Z994" s="2" t="str">
        <f t="shared" si="126"/>
        <v>OK</v>
      </c>
      <c r="AA994" t="str">
        <f t="shared" si="127"/>
        <v>Unique</v>
      </c>
    </row>
    <row r="995" spans="1:27" x14ac:dyDescent="0.3">
      <c r="A995">
        <v>994</v>
      </c>
      <c r="B995">
        <v>334769.68711967301</v>
      </c>
      <c r="C995">
        <v>0.74807245132153199</v>
      </c>
      <c r="D995">
        <v>-0.147095570292123</v>
      </c>
      <c r="E995">
        <v>8.0095598138007804E-2</v>
      </c>
      <c r="F995">
        <v>1</v>
      </c>
      <c r="G995" t="s">
        <v>13</v>
      </c>
      <c r="H995">
        <v>0</v>
      </c>
      <c r="I995">
        <v>26813.5783283239</v>
      </c>
      <c r="J995">
        <v>0.91990440186199196</v>
      </c>
      <c r="K995" t="str">
        <f t="shared" si="120"/>
        <v>OK</v>
      </c>
      <c r="L995" t="str">
        <f t="shared" si="121"/>
        <v>OK</v>
      </c>
      <c r="M995" t="str">
        <f>IF(OR(B995&lt;$AE$20,B995&gt;$AF$20),"Outlier","OK")</f>
        <v>OK</v>
      </c>
      <c r="N995" t="str">
        <f>IF(OR(J995&lt;$AE$21,J995&gt;$AF$21),"Outlier","OK")</f>
        <v>OK</v>
      </c>
      <c r="O995" t="str">
        <f>IF(OR(C995&lt;0,C995&gt;1),"Outlier","OK")</f>
        <v>OK</v>
      </c>
      <c r="P995" t="str">
        <f>IF(OR(D995&lt;0,D995&gt;1),"Outlier","OK")</f>
        <v>Outlier</v>
      </c>
      <c r="Q995" t="str">
        <f t="shared" si="122"/>
        <v>80-100%</v>
      </c>
      <c r="R995" t="str">
        <f>IF(B995="","Missing","OK")</f>
        <v>OK</v>
      </c>
      <c r="S995" t="str">
        <f>IF(E995="","Missing","OK")</f>
        <v>OK</v>
      </c>
      <c r="T995" t="str">
        <f t="shared" si="123"/>
        <v>OK</v>
      </c>
      <c r="U995">
        <f>COUNTIF($A:$A,A995)</f>
        <v>1</v>
      </c>
      <c r="V995" t="str">
        <f t="shared" si="124"/>
        <v>OK</v>
      </c>
      <c r="W995" t="str">
        <f>IF(I995&gt;B995,"ERROR","OK")</f>
        <v>OK</v>
      </c>
      <c r="X995">
        <f>(B995-I995)/B995</f>
        <v>0.91990440186199229</v>
      </c>
      <c r="Y995" s="2">
        <f t="shared" si="125"/>
        <v>3.3306690738754696E-16</v>
      </c>
      <c r="Z995" s="2" t="str">
        <f t="shared" si="126"/>
        <v>OK</v>
      </c>
      <c r="AA995" t="str">
        <f t="shared" si="127"/>
        <v>Unique</v>
      </c>
    </row>
    <row r="996" spans="1:27" x14ac:dyDescent="0.3">
      <c r="A996">
        <v>995</v>
      </c>
      <c r="B996">
        <v>1286465.37023198</v>
      </c>
      <c r="C996">
        <v>0.76029819821521105</v>
      </c>
      <c r="D996">
        <v>-0.13666215437844001</v>
      </c>
      <c r="E996">
        <v>0.19098321781272601</v>
      </c>
      <c r="F996">
        <v>1</v>
      </c>
      <c r="G996" t="s">
        <v>10</v>
      </c>
      <c r="H996">
        <v>0</v>
      </c>
      <c r="I996">
        <v>245693.296011545</v>
      </c>
      <c r="J996">
        <v>0.80901678218727302</v>
      </c>
      <c r="K996" t="str">
        <f t="shared" si="120"/>
        <v>OK</v>
      </c>
      <c r="L996" t="str">
        <f t="shared" si="121"/>
        <v>OK</v>
      </c>
      <c r="M996" t="str">
        <f>IF(OR(B996&lt;$AE$20,B996&gt;$AF$20),"Outlier","OK")</f>
        <v>OK</v>
      </c>
      <c r="N996" t="str">
        <f>IF(OR(J996&lt;$AE$21,J996&gt;$AF$21),"Outlier","OK")</f>
        <v>OK</v>
      </c>
      <c r="O996" t="str">
        <f>IF(OR(C996&lt;0,C996&gt;1),"Outlier","OK")</f>
        <v>OK</v>
      </c>
      <c r="P996" t="str">
        <f>IF(OR(D996&lt;0,D996&gt;1),"Outlier","OK")</f>
        <v>Outlier</v>
      </c>
      <c r="Q996" t="str">
        <f t="shared" si="122"/>
        <v>80-100%</v>
      </c>
      <c r="R996" t="str">
        <f>IF(B996="","Missing","OK")</f>
        <v>OK</v>
      </c>
      <c r="S996" t="str">
        <f>IF(E996="","Missing","OK")</f>
        <v>OK</v>
      </c>
      <c r="T996" t="str">
        <f t="shared" si="123"/>
        <v>OK</v>
      </c>
      <c r="U996">
        <f>COUNTIF($A:$A,A996)</f>
        <v>1</v>
      </c>
      <c r="V996" t="str">
        <f t="shared" si="124"/>
        <v>OK</v>
      </c>
      <c r="W996" t="str">
        <f>IF(I996&gt;B996,"ERROR","OK")</f>
        <v>OK</v>
      </c>
      <c r="X996">
        <f>(B996-I996)/B996</f>
        <v>0.8090167821872728</v>
      </c>
      <c r="Y996" s="2">
        <f t="shared" si="125"/>
        <v>2.2204460492503131E-16</v>
      </c>
      <c r="Z996" s="2" t="str">
        <f t="shared" si="126"/>
        <v>OK</v>
      </c>
      <c r="AA996" t="str">
        <f t="shared" si="127"/>
        <v>Unique</v>
      </c>
    </row>
    <row r="997" spans="1:27" x14ac:dyDescent="0.3">
      <c r="A997">
        <v>996</v>
      </c>
      <c r="B997">
        <v>565575.05185573595</v>
      </c>
      <c r="C997">
        <v>0.81334159860427602</v>
      </c>
      <c r="D997">
        <v>-0.193075399303378</v>
      </c>
      <c r="E997">
        <v>0.451879970423327</v>
      </c>
      <c r="F997">
        <v>1</v>
      </c>
      <c r="G997" t="s">
        <v>10</v>
      </c>
      <c r="H997">
        <v>1</v>
      </c>
      <c r="I997">
        <v>255572.037704741</v>
      </c>
      <c r="J997">
        <v>0.54812002957667205</v>
      </c>
      <c r="K997" t="str">
        <f t="shared" si="120"/>
        <v>OK</v>
      </c>
      <c r="L997" t="str">
        <f t="shared" si="121"/>
        <v>OK</v>
      </c>
      <c r="M997" t="str">
        <f>IF(OR(B997&lt;$AE$20,B997&gt;$AF$20),"Outlier","OK")</f>
        <v>OK</v>
      </c>
      <c r="N997" t="str">
        <f>IF(OR(J997&lt;$AE$21,J997&gt;$AF$21),"Outlier","OK")</f>
        <v>OK</v>
      </c>
      <c r="O997" t="str">
        <f>IF(OR(C997&lt;0,C997&gt;1),"Outlier","OK")</f>
        <v>OK</v>
      </c>
      <c r="P997" t="str">
        <f>IF(OR(D997&lt;0,D997&gt;1),"Outlier","OK")</f>
        <v>Outlier</v>
      </c>
      <c r="Q997" t="str">
        <f t="shared" si="122"/>
        <v>40-60%</v>
      </c>
      <c r="R997" t="str">
        <f>IF(B997="","Missing","OK")</f>
        <v>OK</v>
      </c>
      <c r="S997" t="str">
        <f>IF(E997="","Missing","OK")</f>
        <v>OK</v>
      </c>
      <c r="T997" t="str">
        <f t="shared" si="123"/>
        <v>OK</v>
      </c>
      <c r="U997">
        <f>COUNTIF($A:$A,A997)</f>
        <v>1</v>
      </c>
      <c r="V997" t="str">
        <f t="shared" si="124"/>
        <v>OK</v>
      </c>
      <c r="W997" t="str">
        <f>IF(I997&gt;B997,"ERROR","OK")</f>
        <v>OK</v>
      </c>
      <c r="X997">
        <f>(B997-I997)/B997</f>
        <v>0.54812002957667405</v>
      </c>
      <c r="Y997" s="2">
        <f t="shared" si="125"/>
        <v>1.9984014443252818E-15</v>
      </c>
      <c r="Z997" s="2" t="str">
        <f t="shared" si="126"/>
        <v>OK</v>
      </c>
      <c r="AA997" t="str">
        <f t="shared" si="127"/>
        <v>Unique</v>
      </c>
    </row>
    <row r="998" spans="1:27" x14ac:dyDescent="0.3">
      <c r="A998">
        <v>997</v>
      </c>
      <c r="B998">
        <v>1397285.0083984099</v>
      </c>
      <c r="C998">
        <v>0.70204970555929003</v>
      </c>
      <c r="D998">
        <v>8.88888409290019E-2</v>
      </c>
      <c r="E998">
        <v>0.37618573325749399</v>
      </c>
      <c r="F998">
        <v>1</v>
      </c>
      <c r="G998" t="s">
        <v>13</v>
      </c>
      <c r="H998">
        <v>0</v>
      </c>
      <c r="I998">
        <v>525638.68545406102</v>
      </c>
      <c r="J998">
        <v>0.62381426674250495</v>
      </c>
      <c r="K998" t="str">
        <f t="shared" si="120"/>
        <v>OK</v>
      </c>
      <c r="L998" t="str">
        <f t="shared" si="121"/>
        <v>OK</v>
      </c>
      <c r="M998" t="str">
        <f>IF(OR(B998&lt;$AE$20,B998&gt;$AF$20),"Outlier","OK")</f>
        <v>OK</v>
      </c>
      <c r="N998" t="str">
        <f>IF(OR(J998&lt;$AE$21,J998&gt;$AF$21),"Outlier","OK")</f>
        <v>OK</v>
      </c>
      <c r="O998" t="str">
        <f>IF(OR(C998&lt;0,C998&gt;1),"Outlier","OK")</f>
        <v>OK</v>
      </c>
      <c r="P998" t="str">
        <f>IF(OR(D998&lt;0,D998&gt;1),"Outlier","OK")</f>
        <v>OK</v>
      </c>
      <c r="Q998" t="str">
        <f t="shared" si="122"/>
        <v>60-80%</v>
      </c>
      <c r="R998" t="str">
        <f>IF(B998="","Missing","OK")</f>
        <v>OK</v>
      </c>
      <c r="S998" t="str">
        <f>IF(E998="","Missing","OK")</f>
        <v>OK</v>
      </c>
      <c r="T998" t="str">
        <f t="shared" si="123"/>
        <v>OK</v>
      </c>
      <c r="U998">
        <f>COUNTIF($A:$A,A998)</f>
        <v>1</v>
      </c>
      <c r="V998" t="str">
        <f t="shared" si="124"/>
        <v>OK</v>
      </c>
      <c r="W998" t="str">
        <f>IF(I998&gt;B998,"ERROR","OK")</f>
        <v>OK</v>
      </c>
      <c r="X998">
        <f>(B998-I998)/B998</f>
        <v>0.62381426674250495</v>
      </c>
      <c r="Y998" s="2">
        <f t="shared" si="125"/>
        <v>0</v>
      </c>
      <c r="Z998" s="2" t="str">
        <f t="shared" si="126"/>
        <v>OK</v>
      </c>
      <c r="AA998" t="str">
        <f t="shared" si="127"/>
        <v>Unique</v>
      </c>
    </row>
    <row r="999" spans="1:27" x14ac:dyDescent="0.3">
      <c r="A999">
        <v>998</v>
      </c>
      <c r="B999">
        <v>726934.81635402096</v>
      </c>
      <c r="C999">
        <v>0.82698885569533398</v>
      </c>
      <c r="D999">
        <v>3.1511427951522501E-2</v>
      </c>
      <c r="E999">
        <v>0.40207559084295802</v>
      </c>
      <c r="F999">
        <v>1</v>
      </c>
      <c r="G999" t="s">
        <v>13</v>
      </c>
      <c r="H999">
        <v>0</v>
      </c>
      <c r="I999">
        <v>292282.74578986102</v>
      </c>
      <c r="J999">
        <v>0.59792440915704104</v>
      </c>
      <c r="K999" t="str">
        <f t="shared" si="120"/>
        <v>OK</v>
      </c>
      <c r="L999" t="str">
        <f t="shared" si="121"/>
        <v>OK</v>
      </c>
      <c r="M999" t="str">
        <f>IF(OR(B999&lt;$AE$20,B999&gt;$AF$20),"Outlier","OK")</f>
        <v>OK</v>
      </c>
      <c r="N999" t="str">
        <f>IF(OR(J999&lt;$AE$21,J999&gt;$AF$21),"Outlier","OK")</f>
        <v>OK</v>
      </c>
      <c r="O999" t="str">
        <f>IF(OR(C999&lt;0,C999&gt;1),"Outlier","OK")</f>
        <v>OK</v>
      </c>
      <c r="P999" t="str">
        <f>IF(OR(D999&lt;0,D999&gt;1),"Outlier","OK")</f>
        <v>OK</v>
      </c>
      <c r="Q999" t="str">
        <f t="shared" si="122"/>
        <v>40-60%</v>
      </c>
      <c r="R999" t="str">
        <f>IF(B999="","Missing","OK")</f>
        <v>OK</v>
      </c>
      <c r="S999" t="str">
        <f>IF(E999="","Missing","OK")</f>
        <v>OK</v>
      </c>
      <c r="T999" t="str">
        <f t="shared" si="123"/>
        <v>OK</v>
      </c>
      <c r="U999">
        <f>COUNTIF($A:$A,A999)</f>
        <v>1</v>
      </c>
      <c r="V999" t="str">
        <f t="shared" si="124"/>
        <v>OK</v>
      </c>
      <c r="W999" t="str">
        <f>IF(I999&gt;B999,"ERROR","OK")</f>
        <v>OK</v>
      </c>
      <c r="X999">
        <f>(B999-I999)/B999</f>
        <v>0.59792440915704081</v>
      </c>
      <c r="Y999" s="2">
        <f t="shared" si="125"/>
        <v>2.2204460492503131E-16</v>
      </c>
      <c r="Z999" s="2" t="str">
        <f t="shared" si="126"/>
        <v>OK</v>
      </c>
      <c r="AA999" t="str">
        <f t="shared" si="127"/>
        <v>Unique</v>
      </c>
    </row>
    <row r="1000" spans="1:27" x14ac:dyDescent="0.3">
      <c r="A1000">
        <v>999</v>
      </c>
      <c r="B1000">
        <v>58128.552784773201</v>
      </c>
      <c r="C1000">
        <v>0.727492497572235</v>
      </c>
      <c r="D1000">
        <v>-7.7022839796658693E-2</v>
      </c>
      <c r="E1000">
        <v>0.30965686855831498</v>
      </c>
      <c r="F1000">
        <v>1</v>
      </c>
      <c r="G1000" t="s">
        <v>11</v>
      </c>
      <c r="H1000">
        <v>1</v>
      </c>
      <c r="I1000">
        <v>17999.905629159599</v>
      </c>
      <c r="J1000">
        <v>0.69034313144168402</v>
      </c>
      <c r="K1000" t="str">
        <f t="shared" si="120"/>
        <v>OK</v>
      </c>
      <c r="L1000" t="str">
        <f t="shared" si="121"/>
        <v>OK</v>
      </c>
      <c r="M1000" t="str">
        <f>IF(OR(B1000&lt;$AE$20,B1000&gt;$AF$20),"Outlier","OK")</f>
        <v>Outlier</v>
      </c>
      <c r="N1000" t="str">
        <f>IF(OR(J1000&lt;$AE$21,J1000&gt;$AF$21),"Outlier","OK")</f>
        <v>OK</v>
      </c>
      <c r="O1000" t="str">
        <f>IF(OR(C1000&lt;0,C1000&gt;1),"Outlier","OK")</f>
        <v>OK</v>
      </c>
      <c r="P1000" t="str">
        <f>IF(OR(D1000&lt;0,D1000&gt;1),"Outlier","OK")</f>
        <v>Outlier</v>
      </c>
      <c r="Q1000" t="str">
        <f t="shared" si="122"/>
        <v>60-80%</v>
      </c>
      <c r="R1000" t="str">
        <f>IF(B1000="","Missing","OK")</f>
        <v>OK</v>
      </c>
      <c r="S1000" t="str">
        <f>IF(E1000="","Missing","OK")</f>
        <v>OK</v>
      </c>
      <c r="T1000" t="str">
        <f t="shared" si="123"/>
        <v>OK</v>
      </c>
      <c r="U1000">
        <f>COUNTIF($A:$A,A1000)</f>
        <v>1</v>
      </c>
      <c r="V1000" t="str">
        <f t="shared" si="124"/>
        <v>OK</v>
      </c>
      <c r="W1000" t="str">
        <f>IF(I1000&gt;B1000,"ERROR","OK")</f>
        <v>OK</v>
      </c>
      <c r="X1000">
        <f>(B1000-I1000)/B1000</f>
        <v>0.69034313144168491</v>
      </c>
      <c r="Y1000" s="2">
        <f t="shared" si="125"/>
        <v>8.8817841970012523E-16</v>
      </c>
      <c r="Z1000" s="2" t="str">
        <f t="shared" si="126"/>
        <v>OK</v>
      </c>
      <c r="AA1000" t="str">
        <f t="shared" si="127"/>
        <v>Unique</v>
      </c>
    </row>
    <row r="1001" spans="1:27" x14ac:dyDescent="0.3">
      <c r="A1001">
        <v>1000</v>
      </c>
      <c r="B1001">
        <v>625044.68258557701</v>
      </c>
      <c r="C1001">
        <v>0.17480311329185</v>
      </c>
      <c r="D1001">
        <v>-3.7183227879862703E-2</v>
      </c>
      <c r="E1001">
        <v>0.367223007033114</v>
      </c>
      <c r="F1001">
        <v>1</v>
      </c>
      <c r="G1001" t="s">
        <v>13</v>
      </c>
      <c r="H1001">
        <v>0</v>
      </c>
      <c r="I1001">
        <v>229530.78786913399</v>
      </c>
      <c r="J1001">
        <v>0.63277699296688505</v>
      </c>
      <c r="K1001" t="str">
        <f t="shared" si="120"/>
        <v>OK</v>
      </c>
      <c r="L1001" t="str">
        <f t="shared" si="121"/>
        <v>OK</v>
      </c>
      <c r="M1001" t="str">
        <f>IF(OR(B1001&lt;$AE$20,B1001&gt;$AF$20),"Outlier","OK")</f>
        <v>OK</v>
      </c>
      <c r="N1001" t="str">
        <f>IF(OR(J1001&lt;$AE$21,J1001&gt;$AF$21),"Outlier","OK")</f>
        <v>OK</v>
      </c>
      <c r="O1001" t="str">
        <f>IF(OR(C1001&lt;0,C1001&gt;1),"Outlier","OK")</f>
        <v>OK</v>
      </c>
      <c r="P1001" t="str">
        <f>IF(OR(D1001&lt;0,D1001&gt;1),"Outlier","OK")</f>
        <v>Outlier</v>
      </c>
      <c r="Q1001" t="str">
        <f t="shared" si="122"/>
        <v>60-80%</v>
      </c>
      <c r="R1001" t="str">
        <f>IF(B1001="","Missing","OK")</f>
        <v>OK</v>
      </c>
      <c r="S1001" t="str">
        <f>IF(E1001="","Missing","OK")</f>
        <v>OK</v>
      </c>
      <c r="T1001" t="str">
        <f t="shared" si="123"/>
        <v>OK</v>
      </c>
      <c r="U1001">
        <f>COUNTIF($A:$A,A1001)</f>
        <v>1</v>
      </c>
      <c r="V1001" t="str">
        <f t="shared" si="124"/>
        <v>OK</v>
      </c>
      <c r="W1001" t="str">
        <f>IF(I1001&gt;B1001,"ERROR","OK")</f>
        <v>OK</v>
      </c>
      <c r="X1001">
        <f>(B1001-I1001)/B1001</f>
        <v>0.63277699296688583</v>
      </c>
      <c r="Y1001" s="2">
        <f t="shared" si="125"/>
        <v>7.7715611723760958E-16</v>
      </c>
      <c r="Z1001" s="2" t="str">
        <f t="shared" si="126"/>
        <v>OK</v>
      </c>
      <c r="AA1001" t="str">
        <f t="shared" si="127"/>
        <v>Unique</v>
      </c>
    </row>
    <row r="1002" spans="1:27" x14ac:dyDescent="0.3">
      <c r="A1002">
        <v>1001</v>
      </c>
      <c r="B1002">
        <v>209694.15614954499</v>
      </c>
      <c r="C1002">
        <v>0.86374530055619103</v>
      </c>
      <c r="D1002">
        <v>5.0363360084658602E-2</v>
      </c>
      <c r="E1002">
        <v>0.10554945748398201</v>
      </c>
      <c r="F1002">
        <v>1</v>
      </c>
      <c r="G1002" t="s">
        <v>12</v>
      </c>
      <c r="H1002">
        <v>0</v>
      </c>
      <c r="I1002">
        <v>22133.104419145999</v>
      </c>
      <c r="J1002">
        <v>0.89445054251601697</v>
      </c>
      <c r="K1002" t="str">
        <f t="shared" si="120"/>
        <v>OK</v>
      </c>
      <c r="L1002" t="str">
        <f t="shared" si="121"/>
        <v>OK</v>
      </c>
      <c r="M1002" t="str">
        <f>IF(OR(B1002&lt;$AE$20,B1002&gt;$AF$20),"Outlier","OK")</f>
        <v>OK</v>
      </c>
      <c r="N1002" t="str">
        <f>IF(OR(J1002&lt;$AE$21,J1002&gt;$AF$21),"Outlier","OK")</f>
        <v>OK</v>
      </c>
      <c r="O1002" t="str">
        <f>IF(OR(C1002&lt;0,C1002&gt;1),"Outlier","OK")</f>
        <v>OK</v>
      </c>
      <c r="P1002" t="str">
        <f>IF(OR(D1002&lt;0,D1002&gt;1),"Outlier","OK")</f>
        <v>OK</v>
      </c>
      <c r="Q1002" t="str">
        <f t="shared" si="122"/>
        <v>80-100%</v>
      </c>
      <c r="R1002" t="str">
        <f>IF(B1002="","Missing","OK")</f>
        <v>OK</v>
      </c>
      <c r="S1002" t="str">
        <f>IF(E1002="","Missing","OK")</f>
        <v>OK</v>
      </c>
      <c r="T1002" t="str">
        <f t="shared" si="123"/>
        <v>OK</v>
      </c>
      <c r="U1002">
        <f>COUNTIF($A:$A,A1002)</f>
        <v>1</v>
      </c>
      <c r="V1002" t="str">
        <f t="shared" si="124"/>
        <v>OK</v>
      </c>
      <c r="W1002" t="str">
        <f>IF(I1002&gt;B1002,"ERROR","OK")</f>
        <v>OK</v>
      </c>
      <c r="X1002">
        <f>(B1002-I1002)/B1002</f>
        <v>0.89445054251601741</v>
      </c>
      <c r="Y1002" s="2">
        <f t="shared" si="125"/>
        <v>4.4408920985006262E-16</v>
      </c>
      <c r="Z1002" s="2" t="str">
        <f t="shared" si="126"/>
        <v>OK</v>
      </c>
      <c r="AA1002" t="str">
        <f t="shared" si="127"/>
        <v>Unique</v>
      </c>
    </row>
    <row r="1003" spans="1:27" x14ac:dyDescent="0.3">
      <c r="A1003">
        <v>1002</v>
      </c>
      <c r="B1003">
        <v>1015327.28159997</v>
      </c>
      <c r="C1003">
        <v>0.55515975787717198</v>
      </c>
      <c r="D1003">
        <v>-8.2239462383026402E-2</v>
      </c>
      <c r="E1003">
        <v>0.60580895650509403</v>
      </c>
      <c r="F1003">
        <v>1</v>
      </c>
      <c r="G1003" t="s">
        <v>10</v>
      </c>
      <c r="H1003">
        <v>1</v>
      </c>
      <c r="I1003">
        <v>615094.36097723502</v>
      </c>
      <c r="J1003">
        <v>0.39419104349490502</v>
      </c>
      <c r="K1003" t="str">
        <f t="shared" si="120"/>
        <v>OK</v>
      </c>
      <c r="L1003" t="str">
        <f t="shared" si="121"/>
        <v>OK</v>
      </c>
      <c r="M1003" t="str">
        <f>IF(OR(B1003&lt;$AE$20,B1003&gt;$AF$20),"Outlier","OK")</f>
        <v>OK</v>
      </c>
      <c r="N1003" t="str">
        <f>IF(OR(J1003&lt;$AE$21,J1003&gt;$AF$21),"Outlier","OK")</f>
        <v>OK</v>
      </c>
      <c r="O1003" t="str">
        <f>IF(OR(C1003&lt;0,C1003&gt;1),"Outlier","OK")</f>
        <v>OK</v>
      </c>
      <c r="P1003" t="str">
        <f>IF(OR(D1003&lt;0,D1003&gt;1),"Outlier","OK")</f>
        <v>Outlier</v>
      </c>
      <c r="Q1003" t="str">
        <f t="shared" si="122"/>
        <v>20-40%</v>
      </c>
      <c r="R1003" t="str">
        <f>IF(B1003="","Missing","OK")</f>
        <v>OK</v>
      </c>
      <c r="S1003" t="str">
        <f>IF(E1003="","Missing","OK")</f>
        <v>OK</v>
      </c>
      <c r="T1003" t="str">
        <f t="shared" si="123"/>
        <v>OK</v>
      </c>
      <c r="U1003">
        <f>COUNTIF($A:$A,A1003)</f>
        <v>1</v>
      </c>
      <c r="V1003" t="str">
        <f t="shared" si="124"/>
        <v>OK</v>
      </c>
      <c r="W1003" t="str">
        <f>IF(I1003&gt;B1003,"ERROR","OK")</f>
        <v>OK</v>
      </c>
      <c r="X1003">
        <f>(B1003-I1003)/B1003</f>
        <v>0.39419104349490258</v>
      </c>
      <c r="Y1003" s="2">
        <f t="shared" si="125"/>
        <v>2.4424906541753444E-15</v>
      </c>
      <c r="Z1003" s="2" t="str">
        <f t="shared" si="126"/>
        <v>OK</v>
      </c>
      <c r="AA1003" t="str">
        <f t="shared" si="127"/>
        <v>Unique</v>
      </c>
    </row>
    <row r="1004" spans="1:27" x14ac:dyDescent="0.3">
      <c r="A1004">
        <v>1003</v>
      </c>
      <c r="B1004">
        <v>613335.63387561496</v>
      </c>
      <c r="C1004">
        <v>0.38413844484384202</v>
      </c>
      <c r="D1004">
        <v>-0.152126492987704</v>
      </c>
      <c r="E1004">
        <v>0.39174342035502102</v>
      </c>
      <c r="F1004">
        <v>1</v>
      </c>
      <c r="G1004" t="s">
        <v>13</v>
      </c>
      <c r="H1004">
        <v>1</v>
      </c>
      <c r="I1004">
        <v>240270.19904004899</v>
      </c>
      <c r="J1004">
        <v>0.60825657964497803</v>
      </c>
      <c r="K1004" t="str">
        <f t="shared" si="120"/>
        <v>OK</v>
      </c>
      <c r="L1004" t="str">
        <f t="shared" si="121"/>
        <v>OK</v>
      </c>
      <c r="M1004" t="str">
        <f>IF(OR(B1004&lt;$AE$20,B1004&gt;$AF$20),"Outlier","OK")</f>
        <v>OK</v>
      </c>
      <c r="N1004" t="str">
        <f>IF(OR(J1004&lt;$AE$21,J1004&gt;$AF$21),"Outlier","OK")</f>
        <v>OK</v>
      </c>
      <c r="O1004" t="str">
        <f>IF(OR(C1004&lt;0,C1004&gt;1),"Outlier","OK")</f>
        <v>OK</v>
      </c>
      <c r="P1004" t="str">
        <f>IF(OR(D1004&lt;0,D1004&gt;1),"Outlier","OK")</f>
        <v>Outlier</v>
      </c>
      <c r="Q1004" t="str">
        <f t="shared" si="122"/>
        <v>60-80%</v>
      </c>
      <c r="R1004" t="str">
        <f>IF(B1004="","Missing","OK")</f>
        <v>OK</v>
      </c>
      <c r="S1004" t="str">
        <f>IF(E1004="","Missing","OK")</f>
        <v>OK</v>
      </c>
      <c r="T1004" t="str">
        <f t="shared" si="123"/>
        <v>OK</v>
      </c>
      <c r="U1004">
        <f>COUNTIF($A:$A,A1004)</f>
        <v>1</v>
      </c>
      <c r="V1004" t="str">
        <f t="shared" si="124"/>
        <v>OK</v>
      </c>
      <c r="W1004" t="str">
        <f>IF(I1004&gt;B1004,"ERROR","OK")</f>
        <v>OK</v>
      </c>
      <c r="X1004">
        <f>(B1004-I1004)/B1004</f>
        <v>0.60825657964497781</v>
      </c>
      <c r="Y1004" s="2">
        <f t="shared" si="125"/>
        <v>2.2204460492503131E-16</v>
      </c>
      <c r="Z1004" s="2" t="str">
        <f t="shared" si="126"/>
        <v>OK</v>
      </c>
      <c r="AA1004" t="str">
        <f t="shared" si="127"/>
        <v>Unique</v>
      </c>
    </row>
    <row r="1005" spans="1:27" x14ac:dyDescent="0.3">
      <c r="A1005">
        <v>1004</v>
      </c>
      <c r="B1005">
        <v>1297984.14408615</v>
      </c>
      <c r="C1005">
        <v>0.53028939220062898</v>
      </c>
      <c r="D1005">
        <v>2.68300942682696E-2</v>
      </c>
      <c r="E1005">
        <v>0.37785989841205198</v>
      </c>
      <c r="F1005">
        <v>1</v>
      </c>
      <c r="G1005" t="s">
        <v>12</v>
      </c>
      <c r="H1005">
        <v>1</v>
      </c>
      <c r="I1005">
        <v>490456.15682484797</v>
      </c>
      <c r="J1005">
        <v>0.62214010158794697</v>
      </c>
      <c r="K1005" t="str">
        <f t="shared" si="120"/>
        <v>OK</v>
      </c>
      <c r="L1005" t="str">
        <f t="shared" si="121"/>
        <v>OK</v>
      </c>
      <c r="M1005" t="str">
        <f>IF(OR(B1005&lt;$AE$20,B1005&gt;$AF$20),"Outlier","OK")</f>
        <v>OK</v>
      </c>
      <c r="N1005" t="str">
        <f>IF(OR(J1005&lt;$AE$21,J1005&gt;$AF$21),"Outlier","OK")</f>
        <v>OK</v>
      </c>
      <c r="O1005" t="str">
        <f>IF(OR(C1005&lt;0,C1005&gt;1),"Outlier","OK")</f>
        <v>OK</v>
      </c>
      <c r="P1005" t="str">
        <f>IF(OR(D1005&lt;0,D1005&gt;1),"Outlier","OK")</f>
        <v>OK</v>
      </c>
      <c r="Q1005" t="str">
        <f t="shared" si="122"/>
        <v>60-80%</v>
      </c>
      <c r="R1005" t="str">
        <f>IF(B1005="","Missing","OK")</f>
        <v>OK</v>
      </c>
      <c r="S1005" t="str">
        <f>IF(E1005="","Missing","OK")</f>
        <v>OK</v>
      </c>
      <c r="T1005" t="str">
        <f t="shared" si="123"/>
        <v>OK</v>
      </c>
      <c r="U1005">
        <f>COUNTIF($A:$A,A1005)</f>
        <v>1</v>
      </c>
      <c r="V1005" t="str">
        <f t="shared" si="124"/>
        <v>OK</v>
      </c>
      <c r="W1005" t="str">
        <f>IF(I1005&gt;B1005,"ERROR","OK")</f>
        <v>OK</v>
      </c>
      <c r="X1005">
        <f>(B1005-I1005)/B1005</f>
        <v>0.62214010158794719</v>
      </c>
      <c r="Y1005" s="2">
        <f t="shared" si="125"/>
        <v>2.2204460492503131E-16</v>
      </c>
      <c r="Z1005" s="2" t="str">
        <f t="shared" si="126"/>
        <v>OK</v>
      </c>
      <c r="AA1005" t="str">
        <f t="shared" si="127"/>
        <v>Unique</v>
      </c>
    </row>
    <row r="1006" spans="1:27" x14ac:dyDescent="0.3">
      <c r="A1006">
        <v>1005</v>
      </c>
      <c r="B1006">
        <v>1024875.09749121</v>
      </c>
      <c r="C1006">
        <v>0.181339422593287</v>
      </c>
      <c r="D1006">
        <v>0.104721599795329</v>
      </c>
      <c r="E1006">
        <v>0.15455927457745799</v>
      </c>
      <c r="F1006">
        <v>1</v>
      </c>
      <c r="G1006" t="s">
        <v>10</v>
      </c>
      <c r="H1006">
        <v>0</v>
      </c>
      <c r="I1006">
        <v>158403.95160074401</v>
      </c>
      <c r="J1006">
        <v>0.84544072542254101</v>
      </c>
      <c r="K1006" t="str">
        <f t="shared" si="120"/>
        <v>OK</v>
      </c>
      <c r="L1006" t="str">
        <f t="shared" si="121"/>
        <v>OK</v>
      </c>
      <c r="M1006" t="str">
        <f>IF(OR(B1006&lt;$AE$20,B1006&gt;$AF$20),"Outlier","OK")</f>
        <v>OK</v>
      </c>
      <c r="N1006" t="str">
        <f>IF(OR(J1006&lt;$AE$21,J1006&gt;$AF$21),"Outlier","OK")</f>
        <v>OK</v>
      </c>
      <c r="O1006" t="str">
        <f>IF(OR(C1006&lt;0,C1006&gt;1),"Outlier","OK")</f>
        <v>OK</v>
      </c>
      <c r="P1006" t="str">
        <f>IF(OR(D1006&lt;0,D1006&gt;1),"Outlier","OK")</f>
        <v>OK</v>
      </c>
      <c r="Q1006" t="str">
        <f t="shared" si="122"/>
        <v>80-100%</v>
      </c>
      <c r="R1006" t="str">
        <f>IF(B1006="","Missing","OK")</f>
        <v>OK</v>
      </c>
      <c r="S1006" t="str">
        <f>IF(E1006="","Missing","OK")</f>
        <v>OK</v>
      </c>
      <c r="T1006" t="str">
        <f t="shared" si="123"/>
        <v>OK</v>
      </c>
      <c r="U1006">
        <f>COUNTIF($A:$A,A1006)</f>
        <v>1</v>
      </c>
      <c r="V1006" t="str">
        <f t="shared" si="124"/>
        <v>OK</v>
      </c>
      <c r="W1006" t="str">
        <f>IF(I1006&gt;B1006,"ERROR","OK")</f>
        <v>OK</v>
      </c>
      <c r="X1006">
        <f>(B1006-I1006)/B1006</f>
        <v>0.8454407254225409</v>
      </c>
      <c r="Y1006" s="2">
        <f t="shared" si="125"/>
        <v>1.1102230246251565E-16</v>
      </c>
      <c r="Z1006" s="2" t="str">
        <f t="shared" si="126"/>
        <v>OK</v>
      </c>
      <c r="AA1006" t="str">
        <f t="shared" si="127"/>
        <v>Unique</v>
      </c>
    </row>
    <row r="1007" spans="1:27" x14ac:dyDescent="0.3">
      <c r="A1007">
        <v>1006</v>
      </c>
      <c r="B1007">
        <v>120287.46256194101</v>
      </c>
      <c r="C1007">
        <v>0.26621500278148402</v>
      </c>
      <c r="D1007">
        <v>0.134608019222971</v>
      </c>
      <c r="E1007">
        <v>0.27756381770619398</v>
      </c>
      <c r="F1007">
        <v>1</v>
      </c>
      <c r="G1007" t="s">
        <v>12</v>
      </c>
      <c r="H1007">
        <v>1</v>
      </c>
      <c r="I1007">
        <v>33387.447330883297</v>
      </c>
      <c r="J1007">
        <v>0.72243618229380502</v>
      </c>
      <c r="K1007" t="str">
        <f t="shared" si="120"/>
        <v>OK</v>
      </c>
      <c r="L1007" t="str">
        <f t="shared" si="121"/>
        <v>OK</v>
      </c>
      <c r="M1007" t="str">
        <f>IF(OR(B1007&lt;$AE$20,B1007&gt;$AF$20),"Outlier","OK")</f>
        <v>OK</v>
      </c>
      <c r="N1007" t="str">
        <f>IF(OR(J1007&lt;$AE$21,J1007&gt;$AF$21),"Outlier","OK")</f>
        <v>OK</v>
      </c>
      <c r="O1007" t="str">
        <f>IF(OR(C1007&lt;0,C1007&gt;1),"Outlier","OK")</f>
        <v>OK</v>
      </c>
      <c r="P1007" t="str">
        <f>IF(OR(D1007&lt;0,D1007&gt;1),"Outlier","OK")</f>
        <v>OK</v>
      </c>
      <c r="Q1007" t="str">
        <f t="shared" si="122"/>
        <v>60-80%</v>
      </c>
      <c r="R1007" t="str">
        <f>IF(B1007="","Missing","OK")</f>
        <v>OK</v>
      </c>
      <c r="S1007" t="str">
        <f>IF(E1007="","Missing","OK")</f>
        <v>OK</v>
      </c>
      <c r="T1007" t="str">
        <f t="shared" si="123"/>
        <v>OK</v>
      </c>
      <c r="U1007">
        <f>COUNTIF($A:$A,A1007)</f>
        <v>1</v>
      </c>
      <c r="V1007" t="str">
        <f t="shared" si="124"/>
        <v>OK</v>
      </c>
      <c r="W1007" t="str">
        <f>IF(I1007&gt;B1007,"ERROR","OK")</f>
        <v>OK</v>
      </c>
      <c r="X1007">
        <f>(B1007-I1007)/B1007</f>
        <v>0.72243618229380546</v>
      </c>
      <c r="Y1007" s="2">
        <f t="shared" si="125"/>
        <v>4.4408920985006262E-16</v>
      </c>
      <c r="Z1007" s="2" t="str">
        <f t="shared" si="126"/>
        <v>OK</v>
      </c>
      <c r="AA1007" t="str">
        <f t="shared" si="127"/>
        <v>Unique</v>
      </c>
    </row>
    <row r="1008" spans="1:27" x14ac:dyDescent="0.3">
      <c r="A1008">
        <v>1007</v>
      </c>
      <c r="B1008">
        <v>671336.10611227294</v>
      </c>
      <c r="C1008">
        <v>0.66410737488844196</v>
      </c>
      <c r="D1008">
        <v>0.19462363472309199</v>
      </c>
      <c r="E1008">
        <v>0.42343302545414302</v>
      </c>
      <c r="F1008">
        <v>1</v>
      </c>
      <c r="G1008" t="s">
        <v>12</v>
      </c>
      <c r="H1008">
        <v>0</v>
      </c>
      <c r="I1008">
        <v>284265.87850772397</v>
      </c>
      <c r="J1008">
        <v>0.57656697454585604</v>
      </c>
      <c r="K1008" t="str">
        <f t="shared" si="120"/>
        <v>OK</v>
      </c>
      <c r="L1008" t="str">
        <f t="shared" si="121"/>
        <v>OK</v>
      </c>
      <c r="M1008" t="str">
        <f>IF(OR(B1008&lt;$AE$20,B1008&gt;$AF$20),"Outlier","OK")</f>
        <v>OK</v>
      </c>
      <c r="N1008" t="str">
        <f>IF(OR(J1008&lt;$AE$21,J1008&gt;$AF$21),"Outlier","OK")</f>
        <v>OK</v>
      </c>
      <c r="O1008" t="str">
        <f>IF(OR(C1008&lt;0,C1008&gt;1),"Outlier","OK")</f>
        <v>OK</v>
      </c>
      <c r="P1008" t="str">
        <f>IF(OR(D1008&lt;0,D1008&gt;1),"Outlier","OK")</f>
        <v>OK</v>
      </c>
      <c r="Q1008" t="str">
        <f t="shared" si="122"/>
        <v>40-60%</v>
      </c>
      <c r="R1008" t="str">
        <f>IF(B1008="","Missing","OK")</f>
        <v>OK</v>
      </c>
      <c r="S1008" t="str">
        <f>IF(E1008="","Missing","OK")</f>
        <v>OK</v>
      </c>
      <c r="T1008" t="str">
        <f t="shared" si="123"/>
        <v>OK</v>
      </c>
      <c r="U1008">
        <f>COUNTIF($A:$A,A1008)</f>
        <v>1</v>
      </c>
      <c r="V1008" t="str">
        <f t="shared" si="124"/>
        <v>OK</v>
      </c>
      <c r="W1008" t="str">
        <f>IF(I1008&gt;B1008,"ERROR","OK")</f>
        <v>OK</v>
      </c>
      <c r="X1008">
        <f>(B1008-I1008)/B1008</f>
        <v>0.57656697454585604</v>
      </c>
      <c r="Y1008" s="2">
        <f t="shared" si="125"/>
        <v>0</v>
      </c>
      <c r="Z1008" s="2" t="str">
        <f t="shared" si="126"/>
        <v>OK</v>
      </c>
      <c r="AA1008" t="str">
        <f t="shared" si="127"/>
        <v>Unique</v>
      </c>
    </row>
    <row r="1009" spans="1:27" x14ac:dyDescent="0.3">
      <c r="A1009">
        <v>1008</v>
      </c>
      <c r="B1009">
        <v>1003665.42194214</v>
      </c>
      <c r="C1009">
        <v>0.38326254610994798</v>
      </c>
      <c r="D1009">
        <v>-0.19041982493888299</v>
      </c>
      <c r="E1009">
        <v>0.44034268667891702</v>
      </c>
      <c r="F1009">
        <v>1</v>
      </c>
      <c r="G1009" t="s">
        <v>10</v>
      </c>
      <c r="H1009">
        <v>1</v>
      </c>
      <c r="I1009">
        <v>441956.728424731</v>
      </c>
      <c r="J1009">
        <v>0.55965731332108204</v>
      </c>
      <c r="K1009" t="str">
        <f t="shared" si="120"/>
        <v>OK</v>
      </c>
      <c r="L1009" t="str">
        <f t="shared" si="121"/>
        <v>OK</v>
      </c>
      <c r="M1009" t="str">
        <f>IF(OR(B1009&lt;$AE$20,B1009&gt;$AF$20),"Outlier","OK")</f>
        <v>OK</v>
      </c>
      <c r="N1009" t="str">
        <f>IF(OR(J1009&lt;$AE$21,J1009&gt;$AF$21),"Outlier","OK")</f>
        <v>OK</v>
      </c>
      <c r="O1009" t="str">
        <f>IF(OR(C1009&lt;0,C1009&gt;1),"Outlier","OK")</f>
        <v>OK</v>
      </c>
      <c r="P1009" t="str">
        <f>IF(OR(D1009&lt;0,D1009&gt;1),"Outlier","OK")</f>
        <v>Outlier</v>
      </c>
      <c r="Q1009" t="str">
        <f t="shared" si="122"/>
        <v>40-60%</v>
      </c>
      <c r="R1009" t="str">
        <f>IF(B1009="","Missing","OK")</f>
        <v>OK</v>
      </c>
      <c r="S1009" t="str">
        <f>IF(E1009="","Missing","OK")</f>
        <v>OK</v>
      </c>
      <c r="T1009" t="str">
        <f t="shared" si="123"/>
        <v>OK</v>
      </c>
      <c r="U1009">
        <f>COUNTIF($A:$A,A1009)</f>
        <v>1</v>
      </c>
      <c r="V1009" t="str">
        <f t="shared" si="124"/>
        <v>OK</v>
      </c>
      <c r="W1009" t="str">
        <f>IF(I1009&gt;B1009,"ERROR","OK")</f>
        <v>OK</v>
      </c>
      <c r="X1009">
        <f>(B1009-I1009)/B1009</f>
        <v>0.55965731332108282</v>
      </c>
      <c r="Y1009" s="2">
        <f t="shared" si="125"/>
        <v>7.7715611723760958E-16</v>
      </c>
      <c r="Z1009" s="2" t="str">
        <f t="shared" si="126"/>
        <v>OK</v>
      </c>
      <c r="AA1009" t="str">
        <f t="shared" si="127"/>
        <v>Unique</v>
      </c>
    </row>
    <row r="1010" spans="1:27" x14ac:dyDescent="0.3">
      <c r="A1010">
        <v>1009</v>
      </c>
      <c r="B1010">
        <v>1165797.4930394001</v>
      </c>
      <c r="C1010">
        <v>0.103525680622421</v>
      </c>
      <c r="D1010">
        <v>0.16769756644092601</v>
      </c>
      <c r="E1010">
        <v>0.100420555947857</v>
      </c>
      <c r="F1010">
        <v>1</v>
      </c>
      <c r="G1010" t="s">
        <v>12</v>
      </c>
      <c r="H1010">
        <v>0</v>
      </c>
      <c r="I1010">
        <v>117070.032373636</v>
      </c>
      <c r="J1010">
        <v>0.89957944405214196</v>
      </c>
      <c r="K1010" t="str">
        <f t="shared" si="120"/>
        <v>OK</v>
      </c>
      <c r="L1010" t="str">
        <f t="shared" si="121"/>
        <v>OK</v>
      </c>
      <c r="M1010" t="str">
        <f>IF(OR(B1010&lt;$AE$20,B1010&gt;$AF$20),"Outlier","OK")</f>
        <v>OK</v>
      </c>
      <c r="N1010" t="str">
        <f>IF(OR(J1010&lt;$AE$21,J1010&gt;$AF$21),"Outlier","OK")</f>
        <v>OK</v>
      </c>
      <c r="O1010" t="str">
        <f>IF(OR(C1010&lt;0,C1010&gt;1),"Outlier","OK")</f>
        <v>OK</v>
      </c>
      <c r="P1010" t="str">
        <f>IF(OR(D1010&lt;0,D1010&gt;1),"Outlier","OK")</f>
        <v>OK</v>
      </c>
      <c r="Q1010" t="str">
        <f t="shared" si="122"/>
        <v>80-100%</v>
      </c>
      <c r="R1010" t="str">
        <f>IF(B1010="","Missing","OK")</f>
        <v>OK</v>
      </c>
      <c r="S1010" t="str">
        <f>IF(E1010="","Missing","OK")</f>
        <v>OK</v>
      </c>
      <c r="T1010" t="str">
        <f t="shared" si="123"/>
        <v>OK</v>
      </c>
      <c r="U1010">
        <f>COUNTIF($A:$A,A1010)</f>
        <v>1</v>
      </c>
      <c r="V1010" t="str">
        <f t="shared" si="124"/>
        <v>OK</v>
      </c>
      <c r="W1010" t="str">
        <f>IF(I1010&gt;B1010,"ERROR","OK")</f>
        <v>OK</v>
      </c>
      <c r="X1010">
        <f>(B1010-I1010)/B1010</f>
        <v>0.89957944405214174</v>
      </c>
      <c r="Y1010" s="2">
        <f t="shared" si="125"/>
        <v>2.2204460492503131E-16</v>
      </c>
      <c r="Z1010" s="2" t="str">
        <f t="shared" si="126"/>
        <v>OK</v>
      </c>
      <c r="AA1010" t="str">
        <f t="shared" si="127"/>
        <v>Unique</v>
      </c>
    </row>
    <row r="1011" spans="1:27" x14ac:dyDescent="0.3">
      <c r="A1011">
        <v>1010</v>
      </c>
      <c r="B1011">
        <v>254499.023159601</v>
      </c>
      <c r="C1011">
        <v>0.31931848545824199</v>
      </c>
      <c r="D1011">
        <v>-2.2246812208007699E-2</v>
      </c>
      <c r="E1011">
        <v>8.8465931898136202E-2</v>
      </c>
      <c r="F1011">
        <v>1</v>
      </c>
      <c r="G1011" t="s">
        <v>12</v>
      </c>
      <c r="H1011">
        <v>1</v>
      </c>
      <c r="I1011">
        <v>22514.493250979402</v>
      </c>
      <c r="J1011">
        <v>0.91153406810186299</v>
      </c>
      <c r="K1011" t="str">
        <f t="shared" si="120"/>
        <v>OK</v>
      </c>
      <c r="L1011" t="str">
        <f t="shared" si="121"/>
        <v>OK</v>
      </c>
      <c r="M1011" t="str">
        <f>IF(OR(B1011&lt;$AE$20,B1011&gt;$AF$20),"Outlier","OK")</f>
        <v>OK</v>
      </c>
      <c r="N1011" t="str">
        <f>IF(OR(J1011&lt;$AE$21,J1011&gt;$AF$21),"Outlier","OK")</f>
        <v>OK</v>
      </c>
      <c r="O1011" t="str">
        <f>IF(OR(C1011&lt;0,C1011&gt;1),"Outlier","OK")</f>
        <v>OK</v>
      </c>
      <c r="P1011" t="str">
        <f>IF(OR(D1011&lt;0,D1011&gt;1),"Outlier","OK")</f>
        <v>Outlier</v>
      </c>
      <c r="Q1011" t="str">
        <f t="shared" si="122"/>
        <v>80-100%</v>
      </c>
      <c r="R1011" t="str">
        <f>IF(B1011="","Missing","OK")</f>
        <v>OK</v>
      </c>
      <c r="S1011" t="str">
        <f>IF(E1011="","Missing","OK")</f>
        <v>OK</v>
      </c>
      <c r="T1011" t="str">
        <f t="shared" si="123"/>
        <v>OK</v>
      </c>
      <c r="U1011">
        <f>COUNTIF($A:$A,A1011)</f>
        <v>1</v>
      </c>
      <c r="V1011" t="str">
        <f t="shared" si="124"/>
        <v>OK</v>
      </c>
      <c r="W1011" t="str">
        <f>IF(I1011&gt;B1011,"ERROR","OK")</f>
        <v>OK</v>
      </c>
      <c r="X1011">
        <f>(B1011-I1011)/B1011</f>
        <v>0.91153406810186399</v>
      </c>
      <c r="Y1011" s="2">
        <f t="shared" si="125"/>
        <v>9.9920072216264089E-16</v>
      </c>
      <c r="Z1011" s="2" t="str">
        <f t="shared" si="126"/>
        <v>OK</v>
      </c>
      <c r="AA1011" t="str">
        <f t="shared" si="127"/>
        <v>Unique</v>
      </c>
    </row>
    <row r="1012" spans="1:27" x14ac:dyDescent="0.3">
      <c r="A1012">
        <v>1011</v>
      </c>
      <c r="B1012">
        <v>1317444.0163324401</v>
      </c>
      <c r="C1012">
        <v>0.39456913150780298</v>
      </c>
      <c r="D1012">
        <v>0.12437623478269599</v>
      </c>
      <c r="E1012">
        <v>0.377951149589281</v>
      </c>
      <c r="F1012">
        <v>1</v>
      </c>
      <c r="G1012" t="s">
        <v>10</v>
      </c>
      <c r="H1012">
        <v>0</v>
      </c>
      <c r="I1012">
        <v>497929.48049236799</v>
      </c>
      <c r="J1012">
        <v>0.622048850410718</v>
      </c>
      <c r="K1012" t="str">
        <f t="shared" si="120"/>
        <v>OK</v>
      </c>
      <c r="L1012" t="str">
        <f t="shared" si="121"/>
        <v>OK</v>
      </c>
      <c r="M1012" t="str">
        <f>IF(OR(B1012&lt;$AE$20,B1012&gt;$AF$20),"Outlier","OK")</f>
        <v>OK</v>
      </c>
      <c r="N1012" t="str">
        <f>IF(OR(J1012&lt;$AE$21,J1012&gt;$AF$21),"Outlier","OK")</f>
        <v>OK</v>
      </c>
      <c r="O1012" t="str">
        <f>IF(OR(C1012&lt;0,C1012&gt;1),"Outlier","OK")</f>
        <v>OK</v>
      </c>
      <c r="P1012" t="str">
        <f>IF(OR(D1012&lt;0,D1012&gt;1),"Outlier","OK")</f>
        <v>OK</v>
      </c>
      <c r="Q1012" t="str">
        <f t="shared" si="122"/>
        <v>60-80%</v>
      </c>
      <c r="R1012" t="str">
        <f>IF(B1012="","Missing","OK")</f>
        <v>OK</v>
      </c>
      <c r="S1012" t="str">
        <f>IF(E1012="","Missing","OK")</f>
        <v>OK</v>
      </c>
      <c r="T1012" t="str">
        <f t="shared" si="123"/>
        <v>OK</v>
      </c>
      <c r="U1012">
        <f>COUNTIF($A:$A,A1012)</f>
        <v>1</v>
      </c>
      <c r="V1012" t="str">
        <f t="shared" si="124"/>
        <v>OK</v>
      </c>
      <c r="W1012" t="str">
        <f>IF(I1012&gt;B1012,"ERROR","OK")</f>
        <v>OK</v>
      </c>
      <c r="X1012">
        <f>(B1012-I1012)/B1012</f>
        <v>0.62204885041071689</v>
      </c>
      <c r="Y1012" s="2">
        <f t="shared" si="125"/>
        <v>1.1102230246251565E-15</v>
      </c>
      <c r="Z1012" s="2" t="str">
        <f t="shared" si="126"/>
        <v>OK</v>
      </c>
      <c r="AA1012" t="str">
        <f t="shared" si="127"/>
        <v>Unique</v>
      </c>
    </row>
    <row r="1013" spans="1:27" x14ac:dyDescent="0.3">
      <c r="A1013">
        <v>1012</v>
      </c>
      <c r="B1013">
        <v>720210.47156035795</v>
      </c>
      <c r="C1013">
        <v>0.57043798695576897</v>
      </c>
      <c r="D1013">
        <v>-0.136401112698118</v>
      </c>
      <c r="E1013">
        <v>0.26403598941914902</v>
      </c>
      <c r="F1013">
        <v>1</v>
      </c>
      <c r="G1013" t="s">
        <v>11</v>
      </c>
      <c r="H1013">
        <v>1</v>
      </c>
      <c r="I1013">
        <v>190161.48444847099</v>
      </c>
      <c r="J1013">
        <v>0.73596401058085004</v>
      </c>
      <c r="K1013" t="str">
        <f t="shared" si="120"/>
        <v>OK</v>
      </c>
      <c r="L1013" t="str">
        <f t="shared" si="121"/>
        <v>OK</v>
      </c>
      <c r="M1013" t="str">
        <f>IF(OR(B1013&lt;$AE$20,B1013&gt;$AF$20),"Outlier","OK")</f>
        <v>OK</v>
      </c>
      <c r="N1013" t="str">
        <f>IF(OR(J1013&lt;$AE$21,J1013&gt;$AF$21),"Outlier","OK")</f>
        <v>OK</v>
      </c>
      <c r="O1013" t="str">
        <f>IF(OR(C1013&lt;0,C1013&gt;1),"Outlier","OK")</f>
        <v>OK</v>
      </c>
      <c r="P1013" t="str">
        <f>IF(OR(D1013&lt;0,D1013&gt;1),"Outlier","OK")</f>
        <v>Outlier</v>
      </c>
      <c r="Q1013" t="str">
        <f t="shared" si="122"/>
        <v>60-80%</v>
      </c>
      <c r="R1013" t="str">
        <f>IF(B1013="","Missing","OK")</f>
        <v>OK</v>
      </c>
      <c r="S1013" t="str">
        <f>IF(E1013="","Missing","OK")</f>
        <v>OK</v>
      </c>
      <c r="T1013" t="str">
        <f t="shared" si="123"/>
        <v>OK</v>
      </c>
      <c r="U1013">
        <f>COUNTIF($A:$A,A1013)</f>
        <v>1</v>
      </c>
      <c r="V1013" t="str">
        <f t="shared" si="124"/>
        <v>OK</v>
      </c>
      <c r="W1013" t="str">
        <f>IF(I1013&gt;B1013,"ERROR","OK")</f>
        <v>OK</v>
      </c>
      <c r="X1013">
        <f>(B1013-I1013)/B1013</f>
        <v>0.73596401058085104</v>
      </c>
      <c r="Y1013" s="2">
        <f t="shared" si="125"/>
        <v>9.9920072216264089E-16</v>
      </c>
      <c r="Z1013" s="2" t="str">
        <f t="shared" si="126"/>
        <v>OK</v>
      </c>
      <c r="AA1013" t="str">
        <f t="shared" si="127"/>
        <v>Unique</v>
      </c>
    </row>
    <row r="1014" spans="1:27" x14ac:dyDescent="0.3">
      <c r="A1014">
        <v>1013</v>
      </c>
      <c r="B1014">
        <v>406696.52320967498</v>
      </c>
      <c r="C1014">
        <v>0.46636642076601498</v>
      </c>
      <c r="D1014">
        <v>-0.19859621075967601</v>
      </c>
      <c r="E1014">
        <v>0.23287451267190801</v>
      </c>
      <c r="F1014">
        <v>1</v>
      </c>
      <c r="G1014" t="s">
        <v>13</v>
      </c>
      <c r="H1014">
        <v>0</v>
      </c>
      <c r="I1014">
        <v>94709.254647812602</v>
      </c>
      <c r="J1014">
        <v>0.76712548732809105</v>
      </c>
      <c r="K1014" t="str">
        <f t="shared" si="120"/>
        <v>OK</v>
      </c>
      <c r="L1014" t="str">
        <f t="shared" si="121"/>
        <v>OK</v>
      </c>
      <c r="M1014" t="str">
        <f>IF(OR(B1014&lt;$AE$20,B1014&gt;$AF$20),"Outlier","OK")</f>
        <v>OK</v>
      </c>
      <c r="N1014" t="str">
        <f>IF(OR(J1014&lt;$AE$21,J1014&gt;$AF$21),"Outlier","OK")</f>
        <v>OK</v>
      </c>
      <c r="O1014" t="str">
        <f>IF(OR(C1014&lt;0,C1014&gt;1),"Outlier","OK")</f>
        <v>OK</v>
      </c>
      <c r="P1014" t="str">
        <f>IF(OR(D1014&lt;0,D1014&gt;1),"Outlier","OK")</f>
        <v>Outlier</v>
      </c>
      <c r="Q1014" t="str">
        <f t="shared" si="122"/>
        <v>60-80%</v>
      </c>
      <c r="R1014" t="str">
        <f>IF(B1014="","Missing","OK")</f>
        <v>OK</v>
      </c>
      <c r="S1014" t="str">
        <f>IF(E1014="","Missing","OK")</f>
        <v>OK</v>
      </c>
      <c r="T1014" t="str">
        <f t="shared" si="123"/>
        <v>OK</v>
      </c>
      <c r="U1014">
        <f>COUNTIF($A:$A,A1014)</f>
        <v>1</v>
      </c>
      <c r="V1014" t="str">
        <f t="shared" si="124"/>
        <v>OK</v>
      </c>
      <c r="W1014" t="str">
        <f>IF(I1014&gt;B1014,"ERROR","OK")</f>
        <v>OK</v>
      </c>
      <c r="X1014">
        <f>(B1014-I1014)/B1014</f>
        <v>0.76712548732809149</v>
      </c>
      <c r="Y1014" s="2">
        <f t="shared" si="125"/>
        <v>4.4408920985006262E-16</v>
      </c>
      <c r="Z1014" s="2" t="str">
        <f t="shared" si="126"/>
        <v>OK</v>
      </c>
      <c r="AA1014" t="str">
        <f t="shared" si="127"/>
        <v>Unique</v>
      </c>
    </row>
    <row r="1015" spans="1:27" x14ac:dyDescent="0.3">
      <c r="A1015">
        <v>1014</v>
      </c>
      <c r="B1015">
        <v>1620387.04214411</v>
      </c>
      <c r="C1015">
        <v>0.57628420213083298</v>
      </c>
      <c r="D1015">
        <v>6.2720104160256904E-2</v>
      </c>
      <c r="E1015">
        <v>0.57212005262493904</v>
      </c>
      <c r="F1015">
        <v>1</v>
      </c>
      <c r="G1015" t="s">
        <v>10</v>
      </c>
      <c r="H1015">
        <v>0</v>
      </c>
      <c r="I1015">
        <v>927055.91982426005</v>
      </c>
      <c r="J1015">
        <v>0.42787994737506002</v>
      </c>
      <c r="K1015" t="str">
        <f t="shared" si="120"/>
        <v>OK</v>
      </c>
      <c r="L1015" t="str">
        <f t="shared" si="121"/>
        <v>OK</v>
      </c>
      <c r="M1015" t="str">
        <f>IF(OR(B1015&lt;$AE$20,B1015&gt;$AF$20),"Outlier","OK")</f>
        <v>OK</v>
      </c>
      <c r="N1015" t="str">
        <f>IF(OR(J1015&lt;$AE$21,J1015&gt;$AF$21),"Outlier","OK")</f>
        <v>OK</v>
      </c>
      <c r="O1015" t="str">
        <f>IF(OR(C1015&lt;0,C1015&gt;1),"Outlier","OK")</f>
        <v>OK</v>
      </c>
      <c r="P1015" t="str">
        <f>IF(OR(D1015&lt;0,D1015&gt;1),"Outlier","OK")</f>
        <v>OK</v>
      </c>
      <c r="Q1015" t="str">
        <f t="shared" si="122"/>
        <v>40-60%</v>
      </c>
      <c r="R1015" t="str">
        <f>IF(B1015="","Missing","OK")</f>
        <v>OK</v>
      </c>
      <c r="S1015" t="str">
        <f>IF(E1015="","Missing","OK")</f>
        <v>OK</v>
      </c>
      <c r="T1015" t="str">
        <f t="shared" si="123"/>
        <v>OK</v>
      </c>
      <c r="U1015">
        <f>COUNTIF($A:$A,A1015)</f>
        <v>1</v>
      </c>
      <c r="V1015" t="str">
        <f t="shared" si="124"/>
        <v>OK</v>
      </c>
      <c r="W1015" t="str">
        <f>IF(I1015&gt;B1015,"ERROR","OK")</f>
        <v>OK</v>
      </c>
      <c r="X1015">
        <f>(B1015-I1015)/B1015</f>
        <v>0.42787994737505941</v>
      </c>
      <c r="Y1015" s="2">
        <f t="shared" si="125"/>
        <v>6.106226635438361E-16</v>
      </c>
      <c r="Z1015" s="2" t="str">
        <f t="shared" si="126"/>
        <v>OK</v>
      </c>
      <c r="AA1015" t="str">
        <f t="shared" si="127"/>
        <v>Unique</v>
      </c>
    </row>
    <row r="1016" spans="1:27" x14ac:dyDescent="0.3">
      <c r="A1016">
        <v>1015</v>
      </c>
      <c r="B1016">
        <v>183815.60440261601</v>
      </c>
      <c r="C1016">
        <v>0.57953617663905199</v>
      </c>
      <c r="D1016">
        <v>0.139227532842532</v>
      </c>
      <c r="E1016">
        <v>0.21802264156985801</v>
      </c>
      <c r="F1016">
        <v>1</v>
      </c>
      <c r="G1016" t="s">
        <v>13</v>
      </c>
      <c r="H1016">
        <v>0</v>
      </c>
      <c r="I1016">
        <v>40075.963633618398</v>
      </c>
      <c r="J1016">
        <v>0.78197735843014105</v>
      </c>
      <c r="K1016" t="str">
        <f t="shared" si="120"/>
        <v>OK</v>
      </c>
      <c r="L1016" t="str">
        <f t="shared" si="121"/>
        <v>OK</v>
      </c>
      <c r="M1016" t="str">
        <f>IF(OR(B1016&lt;$AE$20,B1016&gt;$AF$20),"Outlier","OK")</f>
        <v>OK</v>
      </c>
      <c r="N1016" t="str">
        <f>IF(OR(J1016&lt;$AE$21,J1016&gt;$AF$21),"Outlier","OK")</f>
        <v>OK</v>
      </c>
      <c r="O1016" t="str">
        <f>IF(OR(C1016&lt;0,C1016&gt;1),"Outlier","OK")</f>
        <v>OK</v>
      </c>
      <c r="P1016" t="str">
        <f>IF(OR(D1016&lt;0,D1016&gt;1),"Outlier","OK")</f>
        <v>OK</v>
      </c>
      <c r="Q1016" t="str">
        <f t="shared" si="122"/>
        <v>60-80%</v>
      </c>
      <c r="R1016" t="str">
        <f>IF(B1016="","Missing","OK")</f>
        <v>OK</v>
      </c>
      <c r="S1016" t="str">
        <f>IF(E1016="","Missing","OK")</f>
        <v>OK</v>
      </c>
      <c r="T1016" t="str">
        <f t="shared" si="123"/>
        <v>OK</v>
      </c>
      <c r="U1016">
        <f>COUNTIF($A:$A,A1016)</f>
        <v>1</v>
      </c>
      <c r="V1016" t="str">
        <f t="shared" si="124"/>
        <v>OK</v>
      </c>
      <c r="W1016" t="str">
        <f>IF(I1016&gt;B1016,"ERROR","OK")</f>
        <v>OK</v>
      </c>
      <c r="X1016">
        <f>(B1016-I1016)/B1016</f>
        <v>0.78197735843014182</v>
      </c>
      <c r="Y1016" s="2">
        <f t="shared" si="125"/>
        <v>7.7715611723760958E-16</v>
      </c>
      <c r="Z1016" s="2" t="str">
        <f t="shared" si="126"/>
        <v>OK</v>
      </c>
      <c r="AA1016" t="str">
        <f t="shared" si="127"/>
        <v>Unique</v>
      </c>
    </row>
    <row r="1017" spans="1:27" x14ac:dyDescent="0.3">
      <c r="A1017">
        <v>1016</v>
      </c>
      <c r="B1017">
        <v>1863051.2140077199</v>
      </c>
      <c r="C1017">
        <v>0.79185760435980701</v>
      </c>
      <c r="D1017">
        <v>-0.139066351693997</v>
      </c>
      <c r="E1017">
        <v>0.34998406635408902</v>
      </c>
      <c r="F1017">
        <v>1</v>
      </c>
      <c r="G1017" t="s">
        <v>10</v>
      </c>
      <c r="H1017">
        <v>0</v>
      </c>
      <c r="I1017">
        <v>652038.23970434698</v>
      </c>
      <c r="J1017">
        <v>0.65001593364591004</v>
      </c>
      <c r="K1017" t="str">
        <f t="shared" si="120"/>
        <v>OK</v>
      </c>
      <c r="L1017" t="str">
        <f t="shared" si="121"/>
        <v>OK</v>
      </c>
      <c r="M1017" t="str">
        <f>IF(OR(B1017&lt;$AE$20,B1017&gt;$AF$20),"Outlier","OK")</f>
        <v>OK</v>
      </c>
      <c r="N1017" t="str">
        <f>IF(OR(J1017&lt;$AE$21,J1017&gt;$AF$21),"Outlier","OK")</f>
        <v>OK</v>
      </c>
      <c r="O1017" t="str">
        <f>IF(OR(C1017&lt;0,C1017&gt;1),"Outlier","OK")</f>
        <v>OK</v>
      </c>
      <c r="P1017" t="str">
        <f>IF(OR(D1017&lt;0,D1017&gt;1),"Outlier","OK")</f>
        <v>Outlier</v>
      </c>
      <c r="Q1017" t="str">
        <f t="shared" si="122"/>
        <v>60-80%</v>
      </c>
      <c r="R1017" t="str">
        <f>IF(B1017="","Missing","OK")</f>
        <v>OK</v>
      </c>
      <c r="S1017" t="str">
        <f>IF(E1017="","Missing","OK")</f>
        <v>OK</v>
      </c>
      <c r="T1017" t="str">
        <f t="shared" si="123"/>
        <v>OK</v>
      </c>
      <c r="U1017">
        <f>COUNTIF($A:$A,A1017)</f>
        <v>1</v>
      </c>
      <c r="V1017" t="str">
        <f t="shared" si="124"/>
        <v>OK</v>
      </c>
      <c r="W1017" t="str">
        <f>IF(I1017&gt;B1017,"ERROR","OK")</f>
        <v>OK</v>
      </c>
      <c r="X1017">
        <f>(B1017-I1017)/B1017</f>
        <v>0.65001593364590937</v>
      </c>
      <c r="Y1017" s="2">
        <f t="shared" si="125"/>
        <v>6.6613381477509392E-16</v>
      </c>
      <c r="Z1017" s="2" t="str">
        <f t="shared" si="126"/>
        <v>OK</v>
      </c>
      <c r="AA1017" t="str">
        <f t="shared" si="127"/>
        <v>Unique</v>
      </c>
    </row>
    <row r="1018" spans="1:27" x14ac:dyDescent="0.3">
      <c r="A1018">
        <v>1017</v>
      </c>
      <c r="B1018">
        <v>1427219.01225427</v>
      </c>
      <c r="C1018">
        <v>0.33407174412787199</v>
      </c>
      <c r="D1018">
        <v>0.136381668294597</v>
      </c>
      <c r="E1018">
        <v>0.47407143909433702</v>
      </c>
      <c r="F1018">
        <v>1</v>
      </c>
      <c r="G1018" t="s">
        <v>10</v>
      </c>
      <c r="H1018">
        <v>1</v>
      </c>
      <c r="I1018">
        <v>676603.77104218095</v>
      </c>
      <c r="J1018">
        <v>0.52592856090566198</v>
      </c>
      <c r="K1018" t="str">
        <f t="shared" si="120"/>
        <v>OK</v>
      </c>
      <c r="L1018" t="str">
        <f t="shared" si="121"/>
        <v>OK</v>
      </c>
      <c r="M1018" t="str">
        <f>IF(OR(B1018&lt;$AE$20,B1018&gt;$AF$20),"Outlier","OK")</f>
        <v>OK</v>
      </c>
      <c r="N1018" t="str">
        <f>IF(OR(J1018&lt;$AE$21,J1018&gt;$AF$21),"Outlier","OK")</f>
        <v>OK</v>
      </c>
      <c r="O1018" t="str">
        <f>IF(OR(C1018&lt;0,C1018&gt;1),"Outlier","OK")</f>
        <v>OK</v>
      </c>
      <c r="P1018" t="str">
        <f>IF(OR(D1018&lt;0,D1018&gt;1),"Outlier","OK")</f>
        <v>OK</v>
      </c>
      <c r="Q1018" t="str">
        <f t="shared" si="122"/>
        <v>40-60%</v>
      </c>
      <c r="R1018" t="str">
        <f>IF(B1018="","Missing","OK")</f>
        <v>OK</v>
      </c>
      <c r="S1018" t="str">
        <f>IF(E1018="","Missing","OK")</f>
        <v>OK</v>
      </c>
      <c r="T1018" t="str">
        <f t="shared" si="123"/>
        <v>OK</v>
      </c>
      <c r="U1018">
        <f>COUNTIF($A:$A,A1018)</f>
        <v>1</v>
      </c>
      <c r="V1018" t="str">
        <f t="shared" si="124"/>
        <v>OK</v>
      </c>
      <c r="W1018" t="str">
        <f>IF(I1018&gt;B1018,"ERROR","OK")</f>
        <v>OK</v>
      </c>
      <c r="X1018">
        <f>(B1018-I1018)/B1018</f>
        <v>0.52592856090566231</v>
      </c>
      <c r="Y1018" s="2">
        <f t="shared" si="125"/>
        <v>3.3306690738754696E-16</v>
      </c>
      <c r="Z1018" s="2" t="str">
        <f t="shared" si="126"/>
        <v>OK</v>
      </c>
      <c r="AA1018" t="str">
        <f t="shared" si="127"/>
        <v>Unique</v>
      </c>
    </row>
    <row r="1019" spans="1:27" x14ac:dyDescent="0.3">
      <c r="A1019">
        <v>1018</v>
      </c>
      <c r="B1019">
        <v>977402.48957007995</v>
      </c>
      <c r="C1019">
        <v>0.13190508236896001</v>
      </c>
      <c r="D1019">
        <v>-0.116216788753987</v>
      </c>
      <c r="E1019">
        <v>0.33303147805609001</v>
      </c>
      <c r="F1019">
        <v>1</v>
      </c>
      <c r="G1019" t="s">
        <v>13</v>
      </c>
      <c r="H1019">
        <v>0</v>
      </c>
      <c r="I1019">
        <v>325505.79575722601</v>
      </c>
      <c r="J1019">
        <v>0.66696852194390899</v>
      </c>
      <c r="K1019" t="str">
        <f t="shared" si="120"/>
        <v>OK</v>
      </c>
      <c r="L1019" t="str">
        <f t="shared" si="121"/>
        <v>OK</v>
      </c>
      <c r="M1019" t="str">
        <f>IF(OR(B1019&lt;$AE$20,B1019&gt;$AF$20),"Outlier","OK")</f>
        <v>OK</v>
      </c>
      <c r="N1019" t="str">
        <f>IF(OR(J1019&lt;$AE$21,J1019&gt;$AF$21),"Outlier","OK")</f>
        <v>OK</v>
      </c>
      <c r="O1019" t="str">
        <f>IF(OR(C1019&lt;0,C1019&gt;1),"Outlier","OK")</f>
        <v>OK</v>
      </c>
      <c r="P1019" t="str">
        <f>IF(OR(D1019&lt;0,D1019&gt;1),"Outlier","OK")</f>
        <v>Outlier</v>
      </c>
      <c r="Q1019" t="str">
        <f t="shared" si="122"/>
        <v>60-80%</v>
      </c>
      <c r="R1019" t="str">
        <f>IF(B1019="","Missing","OK")</f>
        <v>OK</v>
      </c>
      <c r="S1019" t="str">
        <f>IF(E1019="","Missing","OK")</f>
        <v>OK</v>
      </c>
      <c r="T1019" t="str">
        <f t="shared" si="123"/>
        <v>OK</v>
      </c>
      <c r="U1019">
        <f>COUNTIF($A:$A,A1019)</f>
        <v>1</v>
      </c>
      <c r="V1019" t="str">
        <f t="shared" si="124"/>
        <v>OK</v>
      </c>
      <c r="W1019" t="str">
        <f>IF(I1019&gt;B1019,"ERROR","OK")</f>
        <v>OK</v>
      </c>
      <c r="X1019">
        <f>(B1019-I1019)/B1019</f>
        <v>0.66696852194390976</v>
      </c>
      <c r="Y1019" s="2">
        <f t="shared" si="125"/>
        <v>7.7715611723760958E-16</v>
      </c>
      <c r="Z1019" s="2" t="str">
        <f t="shared" si="126"/>
        <v>OK</v>
      </c>
      <c r="AA1019" t="str">
        <f t="shared" si="127"/>
        <v>Unique</v>
      </c>
    </row>
    <row r="1020" spans="1:27" x14ac:dyDescent="0.3">
      <c r="A1020">
        <v>1019</v>
      </c>
      <c r="B1020">
        <v>71763.725524032503</v>
      </c>
      <c r="C1020">
        <v>0.778786263127764</v>
      </c>
      <c r="D1020">
        <v>-5.9485777083453303E-2</v>
      </c>
      <c r="E1020">
        <v>0.65197373848185503</v>
      </c>
      <c r="F1020">
        <v>1</v>
      </c>
      <c r="G1020" t="s">
        <v>11</v>
      </c>
      <c r="H1020">
        <v>1</v>
      </c>
      <c r="I1020">
        <v>46788.064417289199</v>
      </c>
      <c r="J1020">
        <v>0.34802626151814398</v>
      </c>
      <c r="K1020" t="str">
        <f t="shared" si="120"/>
        <v>OK</v>
      </c>
      <c r="L1020" t="str">
        <f t="shared" si="121"/>
        <v>OK</v>
      </c>
      <c r="M1020" t="str">
        <f>IF(OR(B1020&lt;$AE$20,B1020&gt;$AF$20),"Outlier","OK")</f>
        <v>OK</v>
      </c>
      <c r="N1020" t="str">
        <f>IF(OR(J1020&lt;$AE$21,J1020&gt;$AF$21),"Outlier","OK")</f>
        <v>OK</v>
      </c>
      <c r="O1020" t="str">
        <f>IF(OR(C1020&lt;0,C1020&gt;1),"Outlier","OK")</f>
        <v>OK</v>
      </c>
      <c r="P1020" t="str">
        <f>IF(OR(D1020&lt;0,D1020&gt;1),"Outlier","OK")</f>
        <v>Outlier</v>
      </c>
      <c r="Q1020" t="str">
        <f t="shared" si="122"/>
        <v>20-40%</v>
      </c>
      <c r="R1020" t="str">
        <f>IF(B1020="","Missing","OK")</f>
        <v>OK</v>
      </c>
      <c r="S1020" t="str">
        <f>IF(E1020="","Missing","OK")</f>
        <v>OK</v>
      </c>
      <c r="T1020" t="str">
        <f t="shared" si="123"/>
        <v>OK</v>
      </c>
      <c r="U1020">
        <f>COUNTIF($A:$A,A1020)</f>
        <v>1</v>
      </c>
      <c r="V1020" t="str">
        <f t="shared" si="124"/>
        <v>OK</v>
      </c>
      <c r="W1020" t="str">
        <f>IF(I1020&gt;B1020,"ERROR","OK")</f>
        <v>OK</v>
      </c>
      <c r="X1020">
        <f>(B1020-I1020)/B1020</f>
        <v>0.34802626151814486</v>
      </c>
      <c r="Y1020" s="2">
        <f t="shared" si="125"/>
        <v>8.8817841970012523E-16</v>
      </c>
      <c r="Z1020" s="2" t="str">
        <f t="shared" si="126"/>
        <v>OK</v>
      </c>
      <c r="AA1020" t="str">
        <f t="shared" si="127"/>
        <v>Unique</v>
      </c>
    </row>
    <row r="1021" spans="1:27" x14ac:dyDescent="0.3">
      <c r="A1021">
        <v>1020</v>
      </c>
      <c r="B1021">
        <v>810744.35654047597</v>
      </c>
      <c r="C1021">
        <v>0.79427351210620101</v>
      </c>
      <c r="D1021">
        <v>-0.16038239121995301</v>
      </c>
      <c r="E1021">
        <v>0.245784072711972</v>
      </c>
      <c r="F1021">
        <v>1</v>
      </c>
      <c r="G1021" t="s">
        <v>12</v>
      </c>
      <c r="H1021">
        <v>0</v>
      </c>
      <c r="I1021">
        <v>199268.04987876501</v>
      </c>
      <c r="J1021">
        <v>0.754215927288027</v>
      </c>
      <c r="K1021" t="str">
        <f t="shared" si="120"/>
        <v>OK</v>
      </c>
      <c r="L1021" t="str">
        <f t="shared" si="121"/>
        <v>OK</v>
      </c>
      <c r="M1021" t="str">
        <f>IF(OR(B1021&lt;$AE$20,B1021&gt;$AF$20),"Outlier","OK")</f>
        <v>OK</v>
      </c>
      <c r="N1021" t="str">
        <f>IF(OR(J1021&lt;$AE$21,J1021&gt;$AF$21),"Outlier","OK")</f>
        <v>OK</v>
      </c>
      <c r="O1021" t="str">
        <f>IF(OR(C1021&lt;0,C1021&gt;1),"Outlier","OK")</f>
        <v>OK</v>
      </c>
      <c r="P1021" t="str">
        <f>IF(OR(D1021&lt;0,D1021&gt;1),"Outlier","OK")</f>
        <v>Outlier</v>
      </c>
      <c r="Q1021" t="str">
        <f t="shared" si="122"/>
        <v>60-80%</v>
      </c>
      <c r="R1021" t="str">
        <f>IF(B1021="","Missing","OK")</f>
        <v>OK</v>
      </c>
      <c r="S1021" t="str">
        <f>IF(E1021="","Missing","OK")</f>
        <v>OK</v>
      </c>
      <c r="T1021" t="str">
        <f t="shared" si="123"/>
        <v>OK</v>
      </c>
      <c r="U1021">
        <f>COUNTIF($A:$A,A1021)</f>
        <v>1</v>
      </c>
      <c r="V1021" t="str">
        <f t="shared" si="124"/>
        <v>OK</v>
      </c>
      <c r="W1021" t="str">
        <f>IF(I1021&gt;B1021,"ERROR","OK")</f>
        <v>OK</v>
      </c>
      <c r="X1021">
        <f>(B1021-I1021)/B1021</f>
        <v>0.75421592728802833</v>
      </c>
      <c r="Y1021" s="2">
        <f t="shared" si="125"/>
        <v>1.3322676295501878E-15</v>
      </c>
      <c r="Z1021" s="2" t="str">
        <f t="shared" si="126"/>
        <v>OK</v>
      </c>
      <c r="AA1021" t="str">
        <f t="shared" si="127"/>
        <v>Unique</v>
      </c>
    </row>
    <row r="1022" spans="1:27" x14ac:dyDescent="0.3">
      <c r="A1022">
        <v>1021</v>
      </c>
      <c r="B1022">
        <v>1309306.9063800699</v>
      </c>
      <c r="C1022">
        <v>0.24465766310293999</v>
      </c>
      <c r="D1022">
        <v>0.19873124221971999</v>
      </c>
      <c r="E1022">
        <v>0.27921873775059097</v>
      </c>
      <c r="F1022">
        <v>1</v>
      </c>
      <c r="G1022" t="s">
        <v>13</v>
      </c>
      <c r="H1022">
        <v>0</v>
      </c>
      <c r="I1022">
        <v>365583.02172757703</v>
      </c>
      <c r="J1022">
        <v>0.72078126224940797</v>
      </c>
      <c r="K1022" t="str">
        <f t="shared" si="120"/>
        <v>OK</v>
      </c>
      <c r="L1022" t="str">
        <f t="shared" si="121"/>
        <v>OK</v>
      </c>
      <c r="M1022" t="str">
        <f>IF(OR(B1022&lt;$AE$20,B1022&gt;$AF$20),"Outlier","OK")</f>
        <v>OK</v>
      </c>
      <c r="N1022" t="str">
        <f>IF(OR(J1022&lt;$AE$21,J1022&gt;$AF$21),"Outlier","OK")</f>
        <v>OK</v>
      </c>
      <c r="O1022" t="str">
        <f>IF(OR(C1022&lt;0,C1022&gt;1),"Outlier","OK")</f>
        <v>OK</v>
      </c>
      <c r="P1022" t="str">
        <f>IF(OR(D1022&lt;0,D1022&gt;1),"Outlier","OK")</f>
        <v>OK</v>
      </c>
      <c r="Q1022" t="str">
        <f t="shared" si="122"/>
        <v>60-80%</v>
      </c>
      <c r="R1022" t="str">
        <f>IF(B1022="","Missing","OK")</f>
        <v>OK</v>
      </c>
      <c r="S1022" t="str">
        <f>IF(E1022="","Missing","OK")</f>
        <v>OK</v>
      </c>
      <c r="T1022" t="str">
        <f t="shared" si="123"/>
        <v>OK</v>
      </c>
      <c r="U1022">
        <f>COUNTIF($A:$A,A1022)</f>
        <v>1</v>
      </c>
      <c r="V1022" t="str">
        <f t="shared" si="124"/>
        <v>OK</v>
      </c>
      <c r="W1022" t="str">
        <f>IF(I1022&gt;B1022,"ERROR","OK")</f>
        <v>OK</v>
      </c>
      <c r="X1022">
        <f>(B1022-I1022)/B1022</f>
        <v>0.72078126224940686</v>
      </c>
      <c r="Y1022" s="2">
        <f t="shared" si="125"/>
        <v>1.1102230246251565E-15</v>
      </c>
      <c r="Z1022" s="2" t="str">
        <f t="shared" si="126"/>
        <v>OK</v>
      </c>
      <c r="AA1022" t="str">
        <f t="shared" si="127"/>
        <v>Unique</v>
      </c>
    </row>
    <row r="1023" spans="1:27" x14ac:dyDescent="0.3">
      <c r="A1023">
        <v>1022</v>
      </c>
      <c r="B1023">
        <v>1724880.5411805101</v>
      </c>
      <c r="C1023">
        <v>0.12771670347539499</v>
      </c>
      <c r="D1023">
        <v>8.4528458468489498E-2</v>
      </c>
      <c r="E1023">
        <v>0.164466969687869</v>
      </c>
      <c r="F1023">
        <v>1</v>
      </c>
      <c r="G1023" t="s">
        <v>13</v>
      </c>
      <c r="H1023">
        <v>1</v>
      </c>
      <c r="I1023">
        <v>283685.87568152999</v>
      </c>
      <c r="J1023">
        <v>0.835533030312131</v>
      </c>
      <c r="K1023" t="str">
        <f t="shared" si="120"/>
        <v>OK</v>
      </c>
      <c r="L1023" t="str">
        <f t="shared" si="121"/>
        <v>OK</v>
      </c>
      <c r="M1023" t="str">
        <f>IF(OR(B1023&lt;$AE$20,B1023&gt;$AF$20),"Outlier","OK")</f>
        <v>OK</v>
      </c>
      <c r="N1023" t="str">
        <f>IF(OR(J1023&lt;$AE$21,J1023&gt;$AF$21),"Outlier","OK")</f>
        <v>OK</v>
      </c>
      <c r="O1023" t="str">
        <f>IF(OR(C1023&lt;0,C1023&gt;1),"Outlier","OK")</f>
        <v>OK</v>
      </c>
      <c r="P1023" t="str">
        <f>IF(OR(D1023&lt;0,D1023&gt;1),"Outlier","OK")</f>
        <v>OK</v>
      </c>
      <c r="Q1023" t="str">
        <f t="shared" si="122"/>
        <v>80-100%</v>
      </c>
      <c r="R1023" t="str">
        <f>IF(B1023="","Missing","OK")</f>
        <v>OK</v>
      </c>
      <c r="S1023" t="str">
        <f>IF(E1023="","Missing","OK")</f>
        <v>OK</v>
      </c>
      <c r="T1023" t="str">
        <f t="shared" si="123"/>
        <v>OK</v>
      </c>
      <c r="U1023">
        <f>COUNTIF($A:$A,A1023)</f>
        <v>1</v>
      </c>
      <c r="V1023" t="str">
        <f t="shared" si="124"/>
        <v>OK</v>
      </c>
      <c r="W1023" t="str">
        <f>IF(I1023&gt;B1023,"ERROR","OK")</f>
        <v>OK</v>
      </c>
      <c r="X1023">
        <f>(B1023-I1023)/B1023</f>
        <v>0.835533030312131</v>
      </c>
      <c r="Y1023" s="2">
        <f t="shared" si="125"/>
        <v>0</v>
      </c>
      <c r="Z1023" s="2" t="str">
        <f t="shared" si="126"/>
        <v>OK</v>
      </c>
      <c r="AA1023" t="str">
        <f t="shared" si="127"/>
        <v>Unique</v>
      </c>
    </row>
    <row r="1024" spans="1:27" x14ac:dyDescent="0.3">
      <c r="A1024">
        <v>1023</v>
      </c>
      <c r="B1024">
        <v>1254639.7885133701</v>
      </c>
      <c r="C1024">
        <v>0.40571395460406501</v>
      </c>
      <c r="D1024">
        <v>-0.186259902594339</v>
      </c>
      <c r="E1024">
        <v>0.20316698060100699</v>
      </c>
      <c r="F1024">
        <v>1</v>
      </c>
      <c r="G1024" t="s">
        <v>13</v>
      </c>
      <c r="H1024">
        <v>1</v>
      </c>
      <c r="I1024">
        <v>254901.377574149</v>
      </c>
      <c r="J1024">
        <v>0.79683301939899298</v>
      </c>
      <c r="K1024" t="str">
        <f t="shared" si="120"/>
        <v>OK</v>
      </c>
      <c r="L1024" t="str">
        <f t="shared" si="121"/>
        <v>OK</v>
      </c>
      <c r="M1024" t="str">
        <f>IF(OR(B1024&lt;$AE$20,B1024&gt;$AF$20),"Outlier","OK")</f>
        <v>OK</v>
      </c>
      <c r="N1024" t="str">
        <f>IF(OR(J1024&lt;$AE$21,J1024&gt;$AF$21),"Outlier","OK")</f>
        <v>OK</v>
      </c>
      <c r="O1024" t="str">
        <f>IF(OR(C1024&lt;0,C1024&gt;1),"Outlier","OK")</f>
        <v>OK</v>
      </c>
      <c r="P1024" t="str">
        <f>IF(OR(D1024&lt;0,D1024&gt;1),"Outlier","OK")</f>
        <v>Outlier</v>
      </c>
      <c r="Q1024" t="str">
        <f t="shared" si="122"/>
        <v>60-80%</v>
      </c>
      <c r="R1024" t="str">
        <f>IF(B1024="","Missing","OK")</f>
        <v>OK</v>
      </c>
      <c r="S1024" t="str">
        <f>IF(E1024="","Missing","OK")</f>
        <v>OK</v>
      </c>
      <c r="T1024" t="str">
        <f t="shared" si="123"/>
        <v>OK</v>
      </c>
      <c r="U1024">
        <f>COUNTIF($A:$A,A1024)</f>
        <v>1</v>
      </c>
      <c r="V1024" t="str">
        <f t="shared" si="124"/>
        <v>OK</v>
      </c>
      <c r="W1024" t="str">
        <f>IF(I1024&gt;B1024,"ERROR","OK")</f>
        <v>OK</v>
      </c>
      <c r="X1024">
        <f>(B1024-I1024)/B1024</f>
        <v>0.79683301939899165</v>
      </c>
      <c r="Y1024" s="2">
        <f t="shared" si="125"/>
        <v>1.3322676295501878E-15</v>
      </c>
      <c r="Z1024" s="2" t="str">
        <f t="shared" si="126"/>
        <v>OK</v>
      </c>
      <c r="AA1024" t="str">
        <f t="shared" si="127"/>
        <v>Unique</v>
      </c>
    </row>
    <row r="1025" spans="1:27" x14ac:dyDescent="0.3">
      <c r="A1025">
        <v>1024</v>
      </c>
      <c r="B1025">
        <v>825529.47143903095</v>
      </c>
      <c r="C1025">
        <v>0.65988802075401698</v>
      </c>
      <c r="D1025">
        <v>-8.29026828549113E-2</v>
      </c>
      <c r="E1025">
        <v>0.63412019568192202</v>
      </c>
      <c r="F1025">
        <v>1</v>
      </c>
      <c r="G1025" t="s">
        <v>10</v>
      </c>
      <c r="H1025">
        <v>0</v>
      </c>
      <c r="I1025">
        <v>523484.90997011203</v>
      </c>
      <c r="J1025">
        <v>0.36587980431807698</v>
      </c>
      <c r="K1025" t="str">
        <f t="shared" si="120"/>
        <v>OK</v>
      </c>
      <c r="L1025" t="str">
        <f t="shared" si="121"/>
        <v>OK</v>
      </c>
      <c r="M1025" t="str">
        <f>IF(OR(B1025&lt;$AE$20,B1025&gt;$AF$20),"Outlier","OK")</f>
        <v>OK</v>
      </c>
      <c r="N1025" t="str">
        <f>IF(OR(J1025&lt;$AE$21,J1025&gt;$AF$21),"Outlier","OK")</f>
        <v>OK</v>
      </c>
      <c r="O1025" t="str">
        <f>IF(OR(C1025&lt;0,C1025&gt;1),"Outlier","OK")</f>
        <v>OK</v>
      </c>
      <c r="P1025" t="str">
        <f>IF(OR(D1025&lt;0,D1025&gt;1),"Outlier","OK")</f>
        <v>Outlier</v>
      </c>
      <c r="Q1025" t="str">
        <f t="shared" si="122"/>
        <v>20-40%</v>
      </c>
      <c r="R1025" t="str">
        <f>IF(B1025="","Missing","OK")</f>
        <v>OK</v>
      </c>
      <c r="S1025" t="str">
        <f>IF(E1025="","Missing","OK")</f>
        <v>OK</v>
      </c>
      <c r="T1025" t="str">
        <f t="shared" si="123"/>
        <v>OK</v>
      </c>
      <c r="U1025">
        <f>COUNTIF($A:$A,A1025)</f>
        <v>1</v>
      </c>
      <c r="V1025" t="str">
        <f t="shared" si="124"/>
        <v>OK</v>
      </c>
      <c r="W1025" t="str">
        <f>IF(I1025&gt;B1025,"ERROR","OK")</f>
        <v>OK</v>
      </c>
      <c r="X1025">
        <f>(B1025-I1025)/B1025</f>
        <v>0.36587980431807793</v>
      </c>
      <c r="Y1025" s="2">
        <f t="shared" si="125"/>
        <v>9.4368957093138306E-16</v>
      </c>
      <c r="Z1025" s="2" t="str">
        <f t="shared" si="126"/>
        <v>OK</v>
      </c>
      <c r="AA1025" t="str">
        <f t="shared" si="127"/>
        <v>Unique</v>
      </c>
    </row>
    <row r="1026" spans="1:27" x14ac:dyDescent="0.3">
      <c r="A1026">
        <v>1025</v>
      </c>
      <c r="B1026">
        <v>922350.80415236601</v>
      </c>
      <c r="C1026">
        <v>0.46594258268414102</v>
      </c>
      <c r="D1026">
        <v>8.9830227348174002E-2</v>
      </c>
      <c r="E1026">
        <v>0.124844672625741</v>
      </c>
      <c r="F1026">
        <v>1</v>
      </c>
      <c r="G1026" t="s">
        <v>11</v>
      </c>
      <c r="H1026">
        <v>0</v>
      </c>
      <c r="I1026">
        <v>115150.584190491</v>
      </c>
      <c r="J1026">
        <v>0.87515532737425805</v>
      </c>
      <c r="K1026" t="str">
        <f t="shared" si="120"/>
        <v>OK</v>
      </c>
      <c r="L1026" t="str">
        <f t="shared" si="121"/>
        <v>OK</v>
      </c>
      <c r="M1026" t="str">
        <f>IF(OR(B1026&lt;$AE$20,B1026&gt;$AF$20),"Outlier","OK")</f>
        <v>OK</v>
      </c>
      <c r="N1026" t="str">
        <f>IF(OR(J1026&lt;$AE$21,J1026&gt;$AF$21),"Outlier","OK")</f>
        <v>OK</v>
      </c>
      <c r="O1026" t="str">
        <f>IF(OR(C1026&lt;0,C1026&gt;1),"Outlier","OK")</f>
        <v>OK</v>
      </c>
      <c r="P1026" t="str">
        <f>IF(OR(D1026&lt;0,D1026&gt;1),"Outlier","OK")</f>
        <v>OK</v>
      </c>
      <c r="Q1026" t="str">
        <f t="shared" si="122"/>
        <v>80-100%</v>
      </c>
      <c r="R1026" t="str">
        <f>IF(B1026="","Missing","OK")</f>
        <v>OK</v>
      </c>
      <c r="S1026" t="str">
        <f>IF(E1026="","Missing","OK")</f>
        <v>OK</v>
      </c>
      <c r="T1026" t="str">
        <f t="shared" si="123"/>
        <v>OK</v>
      </c>
      <c r="U1026">
        <f>COUNTIF($A:$A,A1026)</f>
        <v>1</v>
      </c>
      <c r="V1026" t="str">
        <f t="shared" si="124"/>
        <v>OK</v>
      </c>
      <c r="W1026" t="str">
        <f>IF(I1026&gt;B1026,"ERROR","OK")</f>
        <v>OK</v>
      </c>
      <c r="X1026">
        <f>(B1026-I1026)/B1026</f>
        <v>0.87515532737425905</v>
      </c>
      <c r="Y1026" s="2">
        <f t="shared" si="125"/>
        <v>9.9920072216264089E-16</v>
      </c>
      <c r="Z1026" s="2" t="str">
        <f t="shared" si="126"/>
        <v>OK</v>
      </c>
      <c r="AA1026" t="str">
        <f t="shared" si="127"/>
        <v>Unique</v>
      </c>
    </row>
    <row r="1027" spans="1:27" x14ac:dyDescent="0.3">
      <c r="A1027">
        <v>1026</v>
      </c>
      <c r="B1027">
        <v>1752925.8873639</v>
      </c>
      <c r="C1027">
        <v>0.18547426215728199</v>
      </c>
      <c r="D1027">
        <v>4.9253214641615799E-2</v>
      </c>
      <c r="E1027">
        <v>0.24499646916701201</v>
      </c>
      <c r="F1027">
        <v>1</v>
      </c>
      <c r="G1027" t="s">
        <v>13</v>
      </c>
      <c r="H1027">
        <v>0</v>
      </c>
      <c r="I1027">
        <v>429460.65311560797</v>
      </c>
      <c r="J1027">
        <v>0.75500353083298699</v>
      </c>
      <c r="K1027" t="str">
        <f t="shared" ref="K1027:K1090" si="128">IF(OR(J1027&lt;0,J1027&gt;1),"Error","OK")</f>
        <v>OK</v>
      </c>
      <c r="L1027" t="str">
        <f t="shared" ref="L1027:L1090" si="129">IF(I1027&gt;B1027,"Error","OK")</f>
        <v>OK</v>
      </c>
      <c r="M1027" t="str">
        <f>IF(OR(B1027&lt;$AE$20,B1027&gt;$AF$20),"Outlier","OK")</f>
        <v>OK</v>
      </c>
      <c r="N1027" t="str">
        <f>IF(OR(J1027&lt;$AE$21,J1027&gt;$AF$21),"Outlier","OK")</f>
        <v>OK</v>
      </c>
      <c r="O1027" t="str">
        <f>IF(OR(C1027&lt;0,C1027&gt;1),"Outlier","OK")</f>
        <v>OK</v>
      </c>
      <c r="P1027" t="str">
        <f>IF(OR(D1027&lt;0,D1027&gt;1),"Outlier","OK")</f>
        <v>OK</v>
      </c>
      <c r="Q1027" t="str">
        <f t="shared" ref="Q1027:Q1090" si="130">IF(J1027&lt;=0.2,"0-20%",
 IF(J1027&lt;=0.4,"20-40%",
 IF(J1027&lt;=0.6,"40-60%",
 IF(J1027&lt;=0.8,"60-80%","80-100%"))))</f>
        <v>60-80%</v>
      </c>
      <c r="R1027" t="str">
        <f>IF(B1027="","Missing","OK")</f>
        <v>OK</v>
      </c>
      <c r="S1027" t="str">
        <f>IF(E1027="","Missing","OK")</f>
        <v>OK</v>
      </c>
      <c r="T1027" t="str">
        <f t="shared" ref="T1027:T1090" si="131">IF(J1027="","Missing","OK")</f>
        <v>OK</v>
      </c>
      <c r="U1027">
        <f>COUNTIF($A:$A,A1027)</f>
        <v>1</v>
      </c>
      <c r="V1027" t="str">
        <f t="shared" ref="V1027:V1090" si="132">IF(OR(J1027&lt;0,J1027&gt;1),"ERROR","OK")</f>
        <v>OK</v>
      </c>
      <c r="W1027" t="str">
        <f>IF(I1027&gt;B1027,"ERROR","OK")</f>
        <v>OK</v>
      </c>
      <c r="X1027">
        <f>(B1027-I1027)/B1027</f>
        <v>0.75500353083298732</v>
      </c>
      <c r="Y1027" s="2">
        <f t="shared" ref="Y1027:Y1090" si="133">ABS(J1027-X1027)</f>
        <v>3.3306690738754696E-16</v>
      </c>
      <c r="Z1027" s="2" t="str">
        <f t="shared" ref="Z1027:Z1090" si="134">IF(OR(B1027="",I1027="",J1027=""),"Missing","OK")</f>
        <v>OK</v>
      </c>
      <c r="AA1027" t="str">
        <f t="shared" ref="AA1027:AA1090" si="135">IF(COUNTIF($A:$A,A1027)&gt;1,"Duplicate","Unique")</f>
        <v>Unique</v>
      </c>
    </row>
    <row r="1028" spans="1:27" x14ac:dyDescent="0.3">
      <c r="A1028">
        <v>1027</v>
      </c>
      <c r="B1028">
        <v>735146.75353825302</v>
      </c>
      <c r="C1028">
        <v>0.80042460923437597</v>
      </c>
      <c r="D1028">
        <v>-0.107600029662051</v>
      </c>
      <c r="E1028">
        <v>0.27112356459477499</v>
      </c>
      <c r="F1028">
        <v>1</v>
      </c>
      <c r="G1028" t="s">
        <v>12</v>
      </c>
      <c r="H1028">
        <v>0</v>
      </c>
      <c r="I1028">
        <v>199315.60831956801</v>
      </c>
      <c r="J1028">
        <v>0.72887643540522395</v>
      </c>
      <c r="K1028" t="str">
        <f t="shared" si="128"/>
        <v>OK</v>
      </c>
      <c r="L1028" t="str">
        <f t="shared" si="129"/>
        <v>OK</v>
      </c>
      <c r="M1028" t="str">
        <f>IF(OR(B1028&lt;$AE$20,B1028&gt;$AF$20),"Outlier","OK")</f>
        <v>OK</v>
      </c>
      <c r="N1028" t="str">
        <f>IF(OR(J1028&lt;$AE$21,J1028&gt;$AF$21),"Outlier","OK")</f>
        <v>OK</v>
      </c>
      <c r="O1028" t="str">
        <f>IF(OR(C1028&lt;0,C1028&gt;1),"Outlier","OK")</f>
        <v>OK</v>
      </c>
      <c r="P1028" t="str">
        <f>IF(OR(D1028&lt;0,D1028&gt;1),"Outlier","OK")</f>
        <v>Outlier</v>
      </c>
      <c r="Q1028" t="str">
        <f t="shared" si="130"/>
        <v>60-80%</v>
      </c>
      <c r="R1028" t="str">
        <f>IF(B1028="","Missing","OK")</f>
        <v>OK</v>
      </c>
      <c r="S1028" t="str">
        <f>IF(E1028="","Missing","OK")</f>
        <v>OK</v>
      </c>
      <c r="T1028" t="str">
        <f t="shared" si="131"/>
        <v>OK</v>
      </c>
      <c r="U1028">
        <f>COUNTIF($A:$A,A1028)</f>
        <v>1</v>
      </c>
      <c r="V1028" t="str">
        <f t="shared" si="132"/>
        <v>OK</v>
      </c>
      <c r="W1028" t="str">
        <f>IF(I1028&gt;B1028,"ERROR","OK")</f>
        <v>OK</v>
      </c>
      <c r="X1028">
        <f>(B1028-I1028)/B1028</f>
        <v>0.72887643540522462</v>
      </c>
      <c r="Y1028" s="2">
        <f t="shared" si="133"/>
        <v>6.6613381477509392E-16</v>
      </c>
      <c r="Z1028" s="2" t="str">
        <f t="shared" si="134"/>
        <v>OK</v>
      </c>
      <c r="AA1028" t="str">
        <f t="shared" si="135"/>
        <v>Unique</v>
      </c>
    </row>
    <row r="1029" spans="1:27" x14ac:dyDescent="0.3">
      <c r="A1029">
        <v>1028</v>
      </c>
      <c r="B1029">
        <v>177057.317312523</v>
      </c>
      <c r="C1029">
        <v>0.104728526609491</v>
      </c>
      <c r="D1029">
        <v>-4.1090515846274697E-2</v>
      </c>
      <c r="E1029">
        <v>8.3887900517218603E-2</v>
      </c>
      <c r="F1029">
        <v>1</v>
      </c>
      <c r="G1029" t="s">
        <v>13</v>
      </c>
      <c r="H1029">
        <v>0</v>
      </c>
      <c r="I1029">
        <v>14852.9666205586</v>
      </c>
      <c r="J1029">
        <v>0.91611209948278105</v>
      </c>
      <c r="K1029" t="str">
        <f t="shared" si="128"/>
        <v>OK</v>
      </c>
      <c r="L1029" t="str">
        <f t="shared" si="129"/>
        <v>OK</v>
      </c>
      <c r="M1029" t="str">
        <f>IF(OR(B1029&lt;$AE$20,B1029&gt;$AF$20),"Outlier","OK")</f>
        <v>OK</v>
      </c>
      <c r="N1029" t="str">
        <f>IF(OR(J1029&lt;$AE$21,J1029&gt;$AF$21),"Outlier","OK")</f>
        <v>OK</v>
      </c>
      <c r="O1029" t="str">
        <f>IF(OR(C1029&lt;0,C1029&gt;1),"Outlier","OK")</f>
        <v>OK</v>
      </c>
      <c r="P1029" t="str">
        <f>IF(OR(D1029&lt;0,D1029&gt;1),"Outlier","OK")</f>
        <v>Outlier</v>
      </c>
      <c r="Q1029" t="str">
        <f t="shared" si="130"/>
        <v>80-100%</v>
      </c>
      <c r="R1029" t="str">
        <f>IF(B1029="","Missing","OK")</f>
        <v>OK</v>
      </c>
      <c r="S1029" t="str">
        <f>IF(E1029="","Missing","OK")</f>
        <v>OK</v>
      </c>
      <c r="T1029" t="str">
        <f t="shared" si="131"/>
        <v>OK</v>
      </c>
      <c r="U1029">
        <f>COUNTIF($A:$A,A1029)</f>
        <v>1</v>
      </c>
      <c r="V1029" t="str">
        <f t="shared" si="132"/>
        <v>OK</v>
      </c>
      <c r="W1029" t="str">
        <f>IF(I1029&gt;B1029,"ERROR","OK")</f>
        <v>OK</v>
      </c>
      <c r="X1029">
        <f>(B1029-I1029)/B1029</f>
        <v>0.91611209948278094</v>
      </c>
      <c r="Y1029" s="2">
        <f t="shared" si="133"/>
        <v>1.1102230246251565E-16</v>
      </c>
      <c r="Z1029" s="2" t="str">
        <f t="shared" si="134"/>
        <v>OK</v>
      </c>
      <c r="AA1029" t="str">
        <f t="shared" si="135"/>
        <v>Unique</v>
      </c>
    </row>
    <row r="1030" spans="1:27" x14ac:dyDescent="0.3">
      <c r="A1030">
        <v>1029</v>
      </c>
      <c r="B1030">
        <v>913211.48585734901</v>
      </c>
      <c r="C1030">
        <v>0.45780097594792901</v>
      </c>
      <c r="D1030">
        <v>-2.9347734324426901E-3</v>
      </c>
      <c r="E1030">
        <v>0.629187373182439</v>
      </c>
      <c r="F1030">
        <v>1</v>
      </c>
      <c r="G1030" t="s">
        <v>11</v>
      </c>
      <c r="H1030">
        <v>1</v>
      </c>
      <c r="I1030">
        <v>574581.13594661804</v>
      </c>
      <c r="J1030">
        <v>0.37081262681756</v>
      </c>
      <c r="K1030" t="str">
        <f t="shared" si="128"/>
        <v>OK</v>
      </c>
      <c r="L1030" t="str">
        <f t="shared" si="129"/>
        <v>OK</v>
      </c>
      <c r="M1030" t="str">
        <f>IF(OR(B1030&lt;$AE$20,B1030&gt;$AF$20),"Outlier","OK")</f>
        <v>OK</v>
      </c>
      <c r="N1030" t="str">
        <f>IF(OR(J1030&lt;$AE$21,J1030&gt;$AF$21),"Outlier","OK")</f>
        <v>OK</v>
      </c>
      <c r="O1030" t="str">
        <f>IF(OR(C1030&lt;0,C1030&gt;1),"Outlier","OK")</f>
        <v>OK</v>
      </c>
      <c r="P1030" t="str">
        <f>IF(OR(D1030&lt;0,D1030&gt;1),"Outlier","OK")</f>
        <v>Outlier</v>
      </c>
      <c r="Q1030" t="str">
        <f t="shared" si="130"/>
        <v>20-40%</v>
      </c>
      <c r="R1030" t="str">
        <f>IF(B1030="","Missing","OK")</f>
        <v>OK</v>
      </c>
      <c r="S1030" t="str">
        <f>IF(E1030="","Missing","OK")</f>
        <v>OK</v>
      </c>
      <c r="T1030" t="str">
        <f t="shared" si="131"/>
        <v>OK</v>
      </c>
      <c r="U1030">
        <f>COUNTIF($A:$A,A1030)</f>
        <v>1</v>
      </c>
      <c r="V1030" t="str">
        <f t="shared" si="132"/>
        <v>OK</v>
      </c>
      <c r="W1030" t="str">
        <f>IF(I1030&gt;B1030,"ERROR","OK")</f>
        <v>OK</v>
      </c>
      <c r="X1030">
        <f>(B1030-I1030)/B1030</f>
        <v>0.37081262681756039</v>
      </c>
      <c r="Y1030" s="2">
        <f t="shared" si="133"/>
        <v>3.8857805861880479E-16</v>
      </c>
      <c r="Z1030" s="2" t="str">
        <f t="shared" si="134"/>
        <v>OK</v>
      </c>
      <c r="AA1030" t="str">
        <f t="shared" si="135"/>
        <v>Unique</v>
      </c>
    </row>
    <row r="1031" spans="1:27" x14ac:dyDescent="0.3">
      <c r="A1031">
        <v>1030</v>
      </c>
      <c r="B1031">
        <v>1996995.29571893</v>
      </c>
      <c r="C1031">
        <v>0.82590069187790804</v>
      </c>
      <c r="D1031">
        <v>-0.102717142861455</v>
      </c>
      <c r="E1031">
        <v>0.57246702077646305</v>
      </c>
      <c r="F1031">
        <v>1</v>
      </c>
      <c r="G1031" t="s">
        <v>10</v>
      </c>
      <c r="H1031">
        <v>0</v>
      </c>
      <c r="I1031">
        <v>1143213.9474448201</v>
      </c>
      <c r="J1031">
        <v>0.427532979223536</v>
      </c>
      <c r="K1031" t="str">
        <f t="shared" si="128"/>
        <v>OK</v>
      </c>
      <c r="L1031" t="str">
        <f t="shared" si="129"/>
        <v>OK</v>
      </c>
      <c r="M1031" t="str">
        <f>IF(OR(B1031&lt;$AE$20,B1031&gt;$AF$20),"Outlier","OK")</f>
        <v>Outlier</v>
      </c>
      <c r="N1031" t="str">
        <f>IF(OR(J1031&lt;$AE$21,J1031&gt;$AF$21),"Outlier","OK")</f>
        <v>OK</v>
      </c>
      <c r="O1031" t="str">
        <f>IF(OR(C1031&lt;0,C1031&gt;1),"Outlier","OK")</f>
        <v>OK</v>
      </c>
      <c r="P1031" t="str">
        <f>IF(OR(D1031&lt;0,D1031&gt;1),"Outlier","OK")</f>
        <v>Outlier</v>
      </c>
      <c r="Q1031" t="str">
        <f t="shared" si="130"/>
        <v>40-60%</v>
      </c>
      <c r="R1031" t="str">
        <f>IF(B1031="","Missing","OK")</f>
        <v>OK</v>
      </c>
      <c r="S1031" t="str">
        <f>IF(E1031="","Missing","OK")</f>
        <v>OK</v>
      </c>
      <c r="T1031" t="str">
        <f t="shared" si="131"/>
        <v>OK</v>
      </c>
      <c r="U1031">
        <f>COUNTIF($A:$A,A1031)</f>
        <v>1</v>
      </c>
      <c r="V1031" t="str">
        <f t="shared" si="132"/>
        <v>OK</v>
      </c>
      <c r="W1031" t="str">
        <f>IF(I1031&gt;B1031,"ERROR","OK")</f>
        <v>OK</v>
      </c>
      <c r="X1031">
        <f>(B1031-I1031)/B1031</f>
        <v>0.42753297922354072</v>
      </c>
      <c r="Y1031" s="2">
        <f t="shared" si="133"/>
        <v>4.7184478546569153E-15</v>
      </c>
      <c r="Z1031" s="2" t="str">
        <f t="shared" si="134"/>
        <v>OK</v>
      </c>
      <c r="AA1031" t="str">
        <f t="shared" si="135"/>
        <v>Unique</v>
      </c>
    </row>
    <row r="1032" spans="1:27" x14ac:dyDescent="0.3">
      <c r="A1032">
        <v>1031</v>
      </c>
      <c r="B1032">
        <v>790557.08221199398</v>
      </c>
      <c r="C1032">
        <v>0.44843813461036602</v>
      </c>
      <c r="D1032">
        <v>8.9677506053691194E-2</v>
      </c>
      <c r="E1032">
        <v>0.169549770412835</v>
      </c>
      <c r="F1032">
        <v>1</v>
      </c>
      <c r="G1032" t="s">
        <v>13</v>
      </c>
      <c r="H1032">
        <v>0</v>
      </c>
      <c r="I1032">
        <v>134038.77178728499</v>
      </c>
      <c r="J1032">
        <v>0.83045022958716397</v>
      </c>
      <c r="K1032" t="str">
        <f t="shared" si="128"/>
        <v>OK</v>
      </c>
      <c r="L1032" t="str">
        <f t="shared" si="129"/>
        <v>OK</v>
      </c>
      <c r="M1032" t="str">
        <f>IF(OR(B1032&lt;$AE$20,B1032&gt;$AF$20),"Outlier","OK")</f>
        <v>OK</v>
      </c>
      <c r="N1032" t="str">
        <f>IF(OR(J1032&lt;$AE$21,J1032&gt;$AF$21),"Outlier","OK")</f>
        <v>OK</v>
      </c>
      <c r="O1032" t="str">
        <f>IF(OR(C1032&lt;0,C1032&gt;1),"Outlier","OK")</f>
        <v>OK</v>
      </c>
      <c r="P1032" t="str">
        <f>IF(OR(D1032&lt;0,D1032&gt;1),"Outlier","OK")</f>
        <v>OK</v>
      </c>
      <c r="Q1032" t="str">
        <f t="shared" si="130"/>
        <v>80-100%</v>
      </c>
      <c r="R1032" t="str">
        <f>IF(B1032="","Missing","OK")</f>
        <v>OK</v>
      </c>
      <c r="S1032" t="str">
        <f>IF(E1032="","Missing","OK")</f>
        <v>OK</v>
      </c>
      <c r="T1032" t="str">
        <f t="shared" si="131"/>
        <v>OK</v>
      </c>
      <c r="U1032">
        <f>COUNTIF($A:$A,A1032)</f>
        <v>1</v>
      </c>
      <c r="V1032" t="str">
        <f t="shared" si="132"/>
        <v>OK</v>
      </c>
      <c r="W1032" t="str">
        <f>IF(I1032&gt;B1032,"ERROR","OK")</f>
        <v>OK</v>
      </c>
      <c r="X1032">
        <f>(B1032-I1032)/B1032</f>
        <v>0.83045022958716408</v>
      </c>
      <c r="Y1032" s="2">
        <f t="shared" si="133"/>
        <v>1.1102230246251565E-16</v>
      </c>
      <c r="Z1032" s="2" t="str">
        <f t="shared" si="134"/>
        <v>OK</v>
      </c>
      <c r="AA1032" t="str">
        <f t="shared" si="135"/>
        <v>Unique</v>
      </c>
    </row>
    <row r="1033" spans="1:27" x14ac:dyDescent="0.3">
      <c r="A1033">
        <v>1032</v>
      </c>
      <c r="B1033">
        <v>426456.69754369702</v>
      </c>
      <c r="C1033">
        <v>0.31182280563081899</v>
      </c>
      <c r="D1033">
        <v>0.13369421880096299</v>
      </c>
      <c r="E1033">
        <v>0.21679287830534599</v>
      </c>
      <c r="F1033">
        <v>1</v>
      </c>
      <c r="G1033" t="s">
        <v>13</v>
      </c>
      <c r="H1033">
        <v>0</v>
      </c>
      <c r="I1033">
        <v>92452.774933090695</v>
      </c>
      <c r="J1033">
        <v>0.78320712169465301</v>
      </c>
      <c r="K1033" t="str">
        <f t="shared" si="128"/>
        <v>OK</v>
      </c>
      <c r="L1033" t="str">
        <f t="shared" si="129"/>
        <v>OK</v>
      </c>
      <c r="M1033" t="str">
        <f>IF(OR(B1033&lt;$AE$20,B1033&gt;$AF$20),"Outlier","OK")</f>
        <v>OK</v>
      </c>
      <c r="N1033" t="str">
        <f>IF(OR(J1033&lt;$AE$21,J1033&gt;$AF$21),"Outlier","OK")</f>
        <v>OK</v>
      </c>
      <c r="O1033" t="str">
        <f>IF(OR(C1033&lt;0,C1033&gt;1),"Outlier","OK")</f>
        <v>OK</v>
      </c>
      <c r="P1033" t="str">
        <f>IF(OR(D1033&lt;0,D1033&gt;1),"Outlier","OK")</f>
        <v>OK</v>
      </c>
      <c r="Q1033" t="str">
        <f t="shared" si="130"/>
        <v>60-80%</v>
      </c>
      <c r="R1033" t="str">
        <f>IF(B1033="","Missing","OK")</f>
        <v>OK</v>
      </c>
      <c r="S1033" t="str">
        <f>IF(E1033="","Missing","OK")</f>
        <v>OK</v>
      </c>
      <c r="T1033" t="str">
        <f t="shared" si="131"/>
        <v>OK</v>
      </c>
      <c r="U1033">
        <f>COUNTIF($A:$A,A1033)</f>
        <v>1</v>
      </c>
      <c r="V1033" t="str">
        <f t="shared" si="132"/>
        <v>OK</v>
      </c>
      <c r="W1033" t="str">
        <f>IF(I1033&gt;B1033,"ERROR","OK")</f>
        <v>OK</v>
      </c>
      <c r="X1033">
        <f>(B1033-I1033)/B1033</f>
        <v>0.78320712169465334</v>
      </c>
      <c r="Y1033" s="2">
        <f t="shared" si="133"/>
        <v>3.3306690738754696E-16</v>
      </c>
      <c r="Z1033" s="2" t="str">
        <f t="shared" si="134"/>
        <v>OK</v>
      </c>
      <c r="AA1033" t="str">
        <f t="shared" si="135"/>
        <v>Unique</v>
      </c>
    </row>
    <row r="1034" spans="1:27" x14ac:dyDescent="0.3">
      <c r="A1034">
        <v>1033</v>
      </c>
      <c r="B1034">
        <v>138003.76636572299</v>
      </c>
      <c r="C1034">
        <v>0.49705655363545997</v>
      </c>
      <c r="D1034">
        <v>-7.2006377946385605E-2</v>
      </c>
      <c r="E1034">
        <v>0.41521294269887199</v>
      </c>
      <c r="F1034">
        <v>1</v>
      </c>
      <c r="G1034" t="s">
        <v>12</v>
      </c>
      <c r="H1034">
        <v>1</v>
      </c>
      <c r="I1034">
        <v>57300.949936239696</v>
      </c>
      <c r="J1034">
        <v>0.58478705730112701</v>
      </c>
      <c r="K1034" t="str">
        <f t="shared" si="128"/>
        <v>OK</v>
      </c>
      <c r="L1034" t="str">
        <f t="shared" si="129"/>
        <v>OK</v>
      </c>
      <c r="M1034" t="str">
        <f>IF(OR(B1034&lt;$AE$20,B1034&gt;$AF$20),"Outlier","OK")</f>
        <v>OK</v>
      </c>
      <c r="N1034" t="str">
        <f>IF(OR(J1034&lt;$AE$21,J1034&gt;$AF$21),"Outlier","OK")</f>
        <v>OK</v>
      </c>
      <c r="O1034" t="str">
        <f>IF(OR(C1034&lt;0,C1034&gt;1),"Outlier","OK")</f>
        <v>OK</v>
      </c>
      <c r="P1034" t="str">
        <f>IF(OR(D1034&lt;0,D1034&gt;1),"Outlier","OK")</f>
        <v>Outlier</v>
      </c>
      <c r="Q1034" t="str">
        <f t="shared" si="130"/>
        <v>40-60%</v>
      </c>
      <c r="R1034" t="str">
        <f>IF(B1034="","Missing","OK")</f>
        <v>OK</v>
      </c>
      <c r="S1034" t="str">
        <f>IF(E1034="","Missing","OK")</f>
        <v>OK</v>
      </c>
      <c r="T1034" t="str">
        <f t="shared" si="131"/>
        <v>OK</v>
      </c>
      <c r="U1034">
        <f>COUNTIF($A:$A,A1034)</f>
        <v>1</v>
      </c>
      <c r="V1034" t="str">
        <f t="shared" si="132"/>
        <v>OK</v>
      </c>
      <c r="W1034" t="str">
        <f>IF(I1034&gt;B1034,"ERROR","OK")</f>
        <v>OK</v>
      </c>
      <c r="X1034">
        <f>(B1034-I1034)/B1034</f>
        <v>0.58478705730112635</v>
      </c>
      <c r="Y1034" s="2">
        <f t="shared" si="133"/>
        <v>6.6613381477509392E-16</v>
      </c>
      <c r="Z1034" s="2" t="str">
        <f t="shared" si="134"/>
        <v>OK</v>
      </c>
      <c r="AA1034" t="str">
        <f t="shared" si="135"/>
        <v>Unique</v>
      </c>
    </row>
    <row r="1035" spans="1:27" x14ac:dyDescent="0.3">
      <c r="A1035">
        <v>1034</v>
      </c>
      <c r="B1035">
        <v>383389.32108045398</v>
      </c>
      <c r="C1035">
        <v>0.72665128319822203</v>
      </c>
      <c r="D1035">
        <v>-4.5138640934751201E-2</v>
      </c>
      <c r="E1035">
        <v>0.44572765473783399</v>
      </c>
      <c r="F1035">
        <v>1</v>
      </c>
      <c r="G1035" t="s">
        <v>11</v>
      </c>
      <c r="H1035">
        <v>0</v>
      </c>
      <c r="I1035">
        <v>170887.22293672099</v>
      </c>
      <c r="J1035">
        <v>0.55427234526216496</v>
      </c>
      <c r="K1035" t="str">
        <f t="shared" si="128"/>
        <v>OK</v>
      </c>
      <c r="L1035" t="str">
        <f t="shared" si="129"/>
        <v>OK</v>
      </c>
      <c r="M1035" t="str">
        <f>IF(OR(B1035&lt;$AE$20,B1035&gt;$AF$20),"Outlier","OK")</f>
        <v>OK</v>
      </c>
      <c r="N1035" t="str">
        <f>IF(OR(J1035&lt;$AE$21,J1035&gt;$AF$21),"Outlier","OK")</f>
        <v>OK</v>
      </c>
      <c r="O1035" t="str">
        <f>IF(OR(C1035&lt;0,C1035&gt;1),"Outlier","OK")</f>
        <v>OK</v>
      </c>
      <c r="P1035" t="str">
        <f>IF(OR(D1035&lt;0,D1035&gt;1),"Outlier","OK")</f>
        <v>Outlier</v>
      </c>
      <c r="Q1035" t="str">
        <f t="shared" si="130"/>
        <v>40-60%</v>
      </c>
      <c r="R1035" t="str">
        <f>IF(B1035="","Missing","OK")</f>
        <v>OK</v>
      </c>
      <c r="S1035" t="str">
        <f>IF(E1035="","Missing","OK")</f>
        <v>OK</v>
      </c>
      <c r="T1035" t="str">
        <f t="shared" si="131"/>
        <v>OK</v>
      </c>
      <c r="U1035">
        <f>COUNTIF($A:$A,A1035)</f>
        <v>1</v>
      </c>
      <c r="V1035" t="str">
        <f t="shared" si="132"/>
        <v>OK</v>
      </c>
      <c r="W1035" t="str">
        <f>IF(I1035&gt;B1035,"ERROR","OK")</f>
        <v>OK</v>
      </c>
      <c r="X1035">
        <f>(B1035-I1035)/B1035</f>
        <v>0.55427234526216651</v>
      </c>
      <c r="Y1035" s="2">
        <f t="shared" si="133"/>
        <v>1.5543122344752192E-15</v>
      </c>
      <c r="Z1035" s="2" t="str">
        <f t="shared" si="134"/>
        <v>OK</v>
      </c>
      <c r="AA1035" t="str">
        <f t="shared" si="135"/>
        <v>Unique</v>
      </c>
    </row>
    <row r="1036" spans="1:27" x14ac:dyDescent="0.3">
      <c r="A1036">
        <v>1035</v>
      </c>
      <c r="B1036">
        <v>681925.58852056297</v>
      </c>
      <c r="C1036">
        <v>0.44462422223356302</v>
      </c>
      <c r="D1036">
        <v>-0.122013777199729</v>
      </c>
      <c r="E1036">
        <v>0.25164084448234098</v>
      </c>
      <c r="F1036">
        <v>1</v>
      </c>
      <c r="G1036" t="s">
        <v>11</v>
      </c>
      <c r="H1036">
        <v>0</v>
      </c>
      <c r="I1036">
        <v>171600.33096943199</v>
      </c>
      <c r="J1036">
        <v>0.74835915551765897</v>
      </c>
      <c r="K1036" t="str">
        <f t="shared" si="128"/>
        <v>OK</v>
      </c>
      <c r="L1036" t="str">
        <f t="shared" si="129"/>
        <v>OK</v>
      </c>
      <c r="M1036" t="str">
        <f>IF(OR(B1036&lt;$AE$20,B1036&gt;$AF$20),"Outlier","OK")</f>
        <v>OK</v>
      </c>
      <c r="N1036" t="str">
        <f>IF(OR(J1036&lt;$AE$21,J1036&gt;$AF$21),"Outlier","OK")</f>
        <v>OK</v>
      </c>
      <c r="O1036" t="str">
        <f>IF(OR(C1036&lt;0,C1036&gt;1),"Outlier","OK")</f>
        <v>OK</v>
      </c>
      <c r="P1036" t="str">
        <f>IF(OR(D1036&lt;0,D1036&gt;1),"Outlier","OK")</f>
        <v>Outlier</v>
      </c>
      <c r="Q1036" t="str">
        <f t="shared" si="130"/>
        <v>60-80%</v>
      </c>
      <c r="R1036" t="str">
        <f>IF(B1036="","Missing","OK")</f>
        <v>OK</v>
      </c>
      <c r="S1036" t="str">
        <f>IF(E1036="","Missing","OK")</f>
        <v>OK</v>
      </c>
      <c r="T1036" t="str">
        <f t="shared" si="131"/>
        <v>OK</v>
      </c>
      <c r="U1036">
        <f>COUNTIF($A:$A,A1036)</f>
        <v>1</v>
      </c>
      <c r="V1036" t="str">
        <f t="shared" si="132"/>
        <v>OK</v>
      </c>
      <c r="W1036" t="str">
        <f>IF(I1036&gt;B1036,"ERROR","OK")</f>
        <v>OK</v>
      </c>
      <c r="X1036">
        <f>(B1036-I1036)/B1036</f>
        <v>0.74835915551765875</v>
      </c>
      <c r="Y1036" s="2">
        <f t="shared" si="133"/>
        <v>2.2204460492503131E-16</v>
      </c>
      <c r="Z1036" s="2" t="str">
        <f t="shared" si="134"/>
        <v>OK</v>
      </c>
      <c r="AA1036" t="str">
        <f t="shared" si="135"/>
        <v>Unique</v>
      </c>
    </row>
    <row r="1037" spans="1:27" x14ac:dyDescent="0.3">
      <c r="A1037">
        <v>1036</v>
      </c>
      <c r="B1037">
        <v>1169842.75415107</v>
      </c>
      <c r="C1037">
        <v>0.81263478855239901</v>
      </c>
      <c r="D1037">
        <v>-0.14107092973617599</v>
      </c>
      <c r="E1037">
        <v>0.11864735910463101</v>
      </c>
      <c r="F1037">
        <v>1</v>
      </c>
      <c r="G1037" t="s">
        <v>11</v>
      </c>
      <c r="H1037">
        <v>0</v>
      </c>
      <c r="I1037">
        <v>138798.753347714</v>
      </c>
      <c r="J1037">
        <v>0.88135264089536802</v>
      </c>
      <c r="K1037" t="str">
        <f t="shared" si="128"/>
        <v>OK</v>
      </c>
      <c r="L1037" t="str">
        <f t="shared" si="129"/>
        <v>OK</v>
      </c>
      <c r="M1037" t="str">
        <f>IF(OR(B1037&lt;$AE$20,B1037&gt;$AF$20),"Outlier","OK")</f>
        <v>OK</v>
      </c>
      <c r="N1037" t="str">
        <f>IF(OR(J1037&lt;$AE$21,J1037&gt;$AF$21),"Outlier","OK")</f>
        <v>OK</v>
      </c>
      <c r="O1037" t="str">
        <f>IF(OR(C1037&lt;0,C1037&gt;1),"Outlier","OK")</f>
        <v>OK</v>
      </c>
      <c r="P1037" t="str">
        <f>IF(OR(D1037&lt;0,D1037&gt;1),"Outlier","OK")</f>
        <v>Outlier</v>
      </c>
      <c r="Q1037" t="str">
        <f t="shared" si="130"/>
        <v>80-100%</v>
      </c>
      <c r="R1037" t="str">
        <f>IF(B1037="","Missing","OK")</f>
        <v>OK</v>
      </c>
      <c r="S1037" t="str">
        <f>IF(E1037="","Missing","OK")</f>
        <v>OK</v>
      </c>
      <c r="T1037" t="str">
        <f t="shared" si="131"/>
        <v>OK</v>
      </c>
      <c r="U1037">
        <f>COUNTIF($A:$A,A1037)</f>
        <v>1</v>
      </c>
      <c r="V1037" t="str">
        <f t="shared" si="132"/>
        <v>OK</v>
      </c>
      <c r="W1037" t="str">
        <f>IF(I1037&gt;B1037,"ERROR","OK")</f>
        <v>OK</v>
      </c>
      <c r="X1037">
        <f>(B1037-I1037)/B1037</f>
        <v>0.8813526408953678</v>
      </c>
      <c r="Y1037" s="2">
        <f t="shared" si="133"/>
        <v>2.2204460492503131E-16</v>
      </c>
      <c r="Z1037" s="2" t="str">
        <f t="shared" si="134"/>
        <v>OK</v>
      </c>
      <c r="AA1037" t="str">
        <f t="shared" si="135"/>
        <v>Unique</v>
      </c>
    </row>
    <row r="1038" spans="1:27" x14ac:dyDescent="0.3">
      <c r="A1038">
        <v>1037</v>
      </c>
      <c r="B1038">
        <v>1347897.41072475</v>
      </c>
      <c r="C1038">
        <v>0.82220196033235404</v>
      </c>
      <c r="D1038">
        <v>-0.15162561759035401</v>
      </c>
      <c r="E1038">
        <v>0.374573147188899</v>
      </c>
      <c r="F1038">
        <v>1</v>
      </c>
      <c r="G1038" t="s">
        <v>13</v>
      </c>
      <c r="H1038">
        <v>0</v>
      </c>
      <c r="I1038">
        <v>504886.175222939</v>
      </c>
      <c r="J1038">
        <v>0.6254268528111</v>
      </c>
      <c r="K1038" t="str">
        <f t="shared" si="128"/>
        <v>OK</v>
      </c>
      <c r="L1038" t="str">
        <f t="shared" si="129"/>
        <v>OK</v>
      </c>
      <c r="M1038" t="str">
        <f>IF(OR(B1038&lt;$AE$20,B1038&gt;$AF$20),"Outlier","OK")</f>
        <v>OK</v>
      </c>
      <c r="N1038" t="str">
        <f>IF(OR(J1038&lt;$AE$21,J1038&gt;$AF$21),"Outlier","OK")</f>
        <v>OK</v>
      </c>
      <c r="O1038" t="str">
        <f>IF(OR(C1038&lt;0,C1038&gt;1),"Outlier","OK")</f>
        <v>OK</v>
      </c>
      <c r="P1038" t="str">
        <f>IF(OR(D1038&lt;0,D1038&gt;1),"Outlier","OK")</f>
        <v>Outlier</v>
      </c>
      <c r="Q1038" t="str">
        <f t="shared" si="130"/>
        <v>60-80%</v>
      </c>
      <c r="R1038" t="str">
        <f>IF(B1038="","Missing","OK")</f>
        <v>OK</v>
      </c>
      <c r="S1038" t="str">
        <f>IF(E1038="","Missing","OK")</f>
        <v>OK</v>
      </c>
      <c r="T1038" t="str">
        <f t="shared" si="131"/>
        <v>OK</v>
      </c>
      <c r="U1038">
        <f>COUNTIF($A:$A,A1038)</f>
        <v>1</v>
      </c>
      <c r="V1038" t="str">
        <f t="shared" si="132"/>
        <v>OK</v>
      </c>
      <c r="W1038" t="str">
        <f>IF(I1038&gt;B1038,"ERROR","OK")</f>
        <v>OK</v>
      </c>
      <c r="X1038">
        <f>(B1038-I1038)/B1038</f>
        <v>0.6254268528111</v>
      </c>
      <c r="Y1038" s="2">
        <f t="shared" si="133"/>
        <v>0</v>
      </c>
      <c r="Z1038" s="2" t="str">
        <f t="shared" si="134"/>
        <v>OK</v>
      </c>
      <c r="AA1038" t="str">
        <f t="shared" si="135"/>
        <v>Unique</v>
      </c>
    </row>
    <row r="1039" spans="1:27" x14ac:dyDescent="0.3">
      <c r="A1039">
        <v>1038</v>
      </c>
      <c r="B1039">
        <v>133496.902180662</v>
      </c>
      <c r="C1039">
        <v>0.37588428096541099</v>
      </c>
      <c r="D1039">
        <v>4.8091244659991997E-2</v>
      </c>
      <c r="E1039">
        <v>0.15607310452318299</v>
      </c>
      <c r="F1039">
        <v>1</v>
      </c>
      <c r="G1039" t="s">
        <v>10</v>
      </c>
      <c r="H1039">
        <v>0</v>
      </c>
      <c r="I1039">
        <v>20835.275967563699</v>
      </c>
      <c r="J1039">
        <v>0.84392689547681599</v>
      </c>
      <c r="K1039" t="str">
        <f t="shared" si="128"/>
        <v>OK</v>
      </c>
      <c r="L1039" t="str">
        <f t="shared" si="129"/>
        <v>OK</v>
      </c>
      <c r="M1039" t="str">
        <f>IF(OR(B1039&lt;$AE$20,B1039&gt;$AF$20),"Outlier","OK")</f>
        <v>OK</v>
      </c>
      <c r="N1039" t="str">
        <f>IF(OR(J1039&lt;$AE$21,J1039&gt;$AF$21),"Outlier","OK")</f>
        <v>OK</v>
      </c>
      <c r="O1039" t="str">
        <f>IF(OR(C1039&lt;0,C1039&gt;1),"Outlier","OK")</f>
        <v>OK</v>
      </c>
      <c r="P1039" t="str">
        <f>IF(OR(D1039&lt;0,D1039&gt;1),"Outlier","OK")</f>
        <v>OK</v>
      </c>
      <c r="Q1039" t="str">
        <f t="shared" si="130"/>
        <v>80-100%</v>
      </c>
      <c r="R1039" t="str">
        <f>IF(B1039="","Missing","OK")</f>
        <v>OK</v>
      </c>
      <c r="S1039" t="str">
        <f>IF(E1039="","Missing","OK")</f>
        <v>OK</v>
      </c>
      <c r="T1039" t="str">
        <f t="shared" si="131"/>
        <v>OK</v>
      </c>
      <c r="U1039">
        <f>COUNTIF($A:$A,A1039)</f>
        <v>1</v>
      </c>
      <c r="V1039" t="str">
        <f t="shared" si="132"/>
        <v>OK</v>
      </c>
      <c r="W1039" t="str">
        <f>IF(I1039&gt;B1039,"ERROR","OK")</f>
        <v>OK</v>
      </c>
      <c r="X1039">
        <f>(B1039-I1039)/B1039</f>
        <v>0.84392689547681621</v>
      </c>
      <c r="Y1039" s="2">
        <f t="shared" si="133"/>
        <v>2.2204460492503131E-16</v>
      </c>
      <c r="Z1039" s="2" t="str">
        <f t="shared" si="134"/>
        <v>OK</v>
      </c>
      <c r="AA1039" t="str">
        <f t="shared" si="135"/>
        <v>Unique</v>
      </c>
    </row>
    <row r="1040" spans="1:27" x14ac:dyDescent="0.3">
      <c r="A1040">
        <v>1039</v>
      </c>
      <c r="B1040">
        <v>1875551.20122798</v>
      </c>
      <c r="C1040">
        <v>0.89971626940748295</v>
      </c>
      <c r="D1040">
        <v>-2.4707418710460199E-2</v>
      </c>
      <c r="E1040">
        <v>0.30461502247982902</v>
      </c>
      <c r="F1040">
        <v>1</v>
      </c>
      <c r="G1040" t="s">
        <v>11</v>
      </c>
      <c r="H1040">
        <v>0</v>
      </c>
      <c r="I1040">
        <v>571321.07132413203</v>
      </c>
      <c r="J1040">
        <v>0.69538497752017003</v>
      </c>
      <c r="K1040" t="str">
        <f t="shared" si="128"/>
        <v>OK</v>
      </c>
      <c r="L1040" t="str">
        <f t="shared" si="129"/>
        <v>OK</v>
      </c>
      <c r="M1040" t="str">
        <f>IF(OR(B1040&lt;$AE$20,B1040&gt;$AF$20),"Outlier","OK")</f>
        <v>OK</v>
      </c>
      <c r="N1040" t="str">
        <f>IF(OR(J1040&lt;$AE$21,J1040&gt;$AF$21),"Outlier","OK")</f>
        <v>OK</v>
      </c>
      <c r="O1040" t="str">
        <f>IF(OR(C1040&lt;0,C1040&gt;1),"Outlier","OK")</f>
        <v>OK</v>
      </c>
      <c r="P1040" t="str">
        <f>IF(OR(D1040&lt;0,D1040&gt;1),"Outlier","OK")</f>
        <v>Outlier</v>
      </c>
      <c r="Q1040" t="str">
        <f t="shared" si="130"/>
        <v>60-80%</v>
      </c>
      <c r="R1040" t="str">
        <f>IF(B1040="","Missing","OK")</f>
        <v>OK</v>
      </c>
      <c r="S1040" t="str">
        <f>IF(E1040="","Missing","OK")</f>
        <v>OK</v>
      </c>
      <c r="T1040" t="str">
        <f t="shared" si="131"/>
        <v>OK</v>
      </c>
      <c r="U1040">
        <f>COUNTIF($A:$A,A1040)</f>
        <v>1</v>
      </c>
      <c r="V1040" t="str">
        <f t="shared" si="132"/>
        <v>OK</v>
      </c>
      <c r="W1040" t="str">
        <f>IF(I1040&gt;B1040,"ERROR","OK")</f>
        <v>OK</v>
      </c>
      <c r="X1040">
        <f>(B1040-I1040)/B1040</f>
        <v>0.69538497752017059</v>
      </c>
      <c r="Y1040" s="2">
        <f t="shared" si="133"/>
        <v>5.5511151231257827E-16</v>
      </c>
      <c r="Z1040" s="2" t="str">
        <f t="shared" si="134"/>
        <v>OK</v>
      </c>
      <c r="AA1040" t="str">
        <f t="shared" si="135"/>
        <v>Unique</v>
      </c>
    </row>
    <row r="1041" spans="1:27" x14ac:dyDescent="0.3">
      <c r="A1041">
        <v>1040</v>
      </c>
      <c r="B1041">
        <v>509494.77247944102</v>
      </c>
      <c r="C1041">
        <v>0.69977998720046697</v>
      </c>
      <c r="D1041">
        <v>0.150359901283032</v>
      </c>
      <c r="E1041">
        <v>0.24169846488737701</v>
      </c>
      <c r="F1041">
        <v>1</v>
      </c>
      <c r="G1041" t="s">
        <v>13</v>
      </c>
      <c r="H1041">
        <v>1</v>
      </c>
      <c r="I1041">
        <v>123144.104376424</v>
      </c>
      <c r="J1041">
        <v>0.75830153511262199</v>
      </c>
      <c r="K1041" t="str">
        <f t="shared" si="128"/>
        <v>OK</v>
      </c>
      <c r="L1041" t="str">
        <f t="shared" si="129"/>
        <v>OK</v>
      </c>
      <c r="M1041" t="str">
        <f>IF(OR(B1041&lt;$AE$20,B1041&gt;$AF$20),"Outlier","OK")</f>
        <v>OK</v>
      </c>
      <c r="N1041" t="str">
        <f>IF(OR(J1041&lt;$AE$21,J1041&gt;$AF$21),"Outlier","OK")</f>
        <v>OK</v>
      </c>
      <c r="O1041" t="str">
        <f>IF(OR(C1041&lt;0,C1041&gt;1),"Outlier","OK")</f>
        <v>OK</v>
      </c>
      <c r="P1041" t="str">
        <f>IF(OR(D1041&lt;0,D1041&gt;1),"Outlier","OK")</f>
        <v>OK</v>
      </c>
      <c r="Q1041" t="str">
        <f t="shared" si="130"/>
        <v>60-80%</v>
      </c>
      <c r="R1041" t="str">
        <f>IF(B1041="","Missing","OK")</f>
        <v>OK</v>
      </c>
      <c r="S1041" t="str">
        <f>IF(E1041="","Missing","OK")</f>
        <v>OK</v>
      </c>
      <c r="T1041" t="str">
        <f t="shared" si="131"/>
        <v>OK</v>
      </c>
      <c r="U1041">
        <f>COUNTIF($A:$A,A1041)</f>
        <v>1</v>
      </c>
      <c r="V1041" t="str">
        <f t="shared" si="132"/>
        <v>OK</v>
      </c>
      <c r="W1041" t="str">
        <f>IF(I1041&gt;B1041,"ERROR","OK")</f>
        <v>OK</v>
      </c>
      <c r="X1041">
        <f>(B1041-I1041)/B1041</f>
        <v>0.75830153511262366</v>
      </c>
      <c r="Y1041" s="2">
        <f t="shared" si="133"/>
        <v>1.6653345369377348E-15</v>
      </c>
      <c r="Z1041" s="2" t="str">
        <f t="shared" si="134"/>
        <v>OK</v>
      </c>
      <c r="AA1041" t="str">
        <f t="shared" si="135"/>
        <v>Unique</v>
      </c>
    </row>
    <row r="1042" spans="1:27" x14ac:dyDescent="0.3">
      <c r="A1042">
        <v>1041</v>
      </c>
      <c r="B1042">
        <v>340670.91495343897</v>
      </c>
      <c r="C1042">
        <v>0.85509049246365898</v>
      </c>
      <c r="D1042">
        <v>-2.3600201188904098E-2</v>
      </c>
      <c r="E1042">
        <v>0.13913722343853799</v>
      </c>
      <c r="F1042">
        <v>1</v>
      </c>
      <c r="G1042" t="s">
        <v>11</v>
      </c>
      <c r="H1042">
        <v>0</v>
      </c>
      <c r="I1042">
        <v>47400.0052128881</v>
      </c>
      <c r="J1042">
        <v>0.86086277656146104</v>
      </c>
      <c r="K1042" t="str">
        <f t="shared" si="128"/>
        <v>OK</v>
      </c>
      <c r="L1042" t="str">
        <f t="shared" si="129"/>
        <v>OK</v>
      </c>
      <c r="M1042" t="str">
        <f>IF(OR(B1042&lt;$AE$20,B1042&gt;$AF$20),"Outlier","OK")</f>
        <v>OK</v>
      </c>
      <c r="N1042" t="str">
        <f>IF(OR(J1042&lt;$AE$21,J1042&gt;$AF$21),"Outlier","OK")</f>
        <v>OK</v>
      </c>
      <c r="O1042" t="str">
        <f>IF(OR(C1042&lt;0,C1042&gt;1),"Outlier","OK")</f>
        <v>OK</v>
      </c>
      <c r="P1042" t="str">
        <f>IF(OR(D1042&lt;0,D1042&gt;1),"Outlier","OK")</f>
        <v>Outlier</v>
      </c>
      <c r="Q1042" t="str">
        <f t="shared" si="130"/>
        <v>80-100%</v>
      </c>
      <c r="R1042" t="str">
        <f>IF(B1042="","Missing","OK")</f>
        <v>OK</v>
      </c>
      <c r="S1042" t="str">
        <f>IF(E1042="","Missing","OK")</f>
        <v>OK</v>
      </c>
      <c r="T1042" t="str">
        <f t="shared" si="131"/>
        <v>OK</v>
      </c>
      <c r="U1042">
        <f>COUNTIF($A:$A,A1042)</f>
        <v>1</v>
      </c>
      <c r="V1042" t="str">
        <f t="shared" si="132"/>
        <v>OK</v>
      </c>
      <c r="W1042" t="str">
        <f>IF(I1042&gt;B1042,"ERROR","OK")</f>
        <v>OK</v>
      </c>
      <c r="X1042">
        <f>(B1042-I1042)/B1042</f>
        <v>0.86086277656146115</v>
      </c>
      <c r="Y1042" s="2">
        <f t="shared" si="133"/>
        <v>1.1102230246251565E-16</v>
      </c>
      <c r="Z1042" s="2" t="str">
        <f t="shared" si="134"/>
        <v>OK</v>
      </c>
      <c r="AA1042" t="str">
        <f t="shared" si="135"/>
        <v>Unique</v>
      </c>
    </row>
    <row r="1043" spans="1:27" x14ac:dyDescent="0.3">
      <c r="A1043">
        <v>1042</v>
      </c>
      <c r="B1043">
        <v>1085117.39642146</v>
      </c>
      <c r="C1043">
        <v>0.895217672808021</v>
      </c>
      <c r="D1043">
        <v>-0.110937102532878</v>
      </c>
      <c r="E1043">
        <v>0.30516714197398798</v>
      </c>
      <c r="F1043">
        <v>1</v>
      </c>
      <c r="G1043" t="s">
        <v>11</v>
      </c>
      <c r="H1043">
        <v>0</v>
      </c>
      <c r="I1043">
        <v>331142.17457219301</v>
      </c>
      <c r="J1043">
        <v>0.69483285802601202</v>
      </c>
      <c r="K1043" t="str">
        <f t="shared" si="128"/>
        <v>OK</v>
      </c>
      <c r="L1043" t="str">
        <f t="shared" si="129"/>
        <v>OK</v>
      </c>
      <c r="M1043" t="str">
        <f>IF(OR(B1043&lt;$AE$20,B1043&gt;$AF$20),"Outlier","OK")</f>
        <v>OK</v>
      </c>
      <c r="N1043" t="str">
        <f>IF(OR(J1043&lt;$AE$21,J1043&gt;$AF$21),"Outlier","OK")</f>
        <v>OK</v>
      </c>
      <c r="O1043" t="str">
        <f>IF(OR(C1043&lt;0,C1043&gt;1),"Outlier","OK")</f>
        <v>OK</v>
      </c>
      <c r="P1043" t="str">
        <f>IF(OR(D1043&lt;0,D1043&gt;1),"Outlier","OK")</f>
        <v>Outlier</v>
      </c>
      <c r="Q1043" t="str">
        <f t="shared" si="130"/>
        <v>60-80%</v>
      </c>
      <c r="R1043" t="str">
        <f>IF(B1043="","Missing","OK")</f>
        <v>OK</v>
      </c>
      <c r="S1043" t="str">
        <f>IF(E1043="","Missing","OK")</f>
        <v>OK</v>
      </c>
      <c r="T1043" t="str">
        <f t="shared" si="131"/>
        <v>OK</v>
      </c>
      <c r="U1043">
        <f>COUNTIF($A:$A,A1043)</f>
        <v>1</v>
      </c>
      <c r="V1043" t="str">
        <f t="shared" si="132"/>
        <v>OK</v>
      </c>
      <c r="W1043" t="str">
        <f>IF(I1043&gt;B1043,"ERROR","OK")</f>
        <v>OK</v>
      </c>
      <c r="X1043">
        <f>(B1043-I1043)/B1043</f>
        <v>0.69483285802601091</v>
      </c>
      <c r="Y1043" s="2">
        <f t="shared" si="133"/>
        <v>1.1102230246251565E-15</v>
      </c>
      <c r="Z1043" s="2" t="str">
        <f t="shared" si="134"/>
        <v>OK</v>
      </c>
      <c r="AA1043" t="str">
        <f t="shared" si="135"/>
        <v>Unique</v>
      </c>
    </row>
    <row r="1044" spans="1:27" x14ac:dyDescent="0.3">
      <c r="A1044">
        <v>1043</v>
      </c>
      <c r="B1044">
        <v>1371292.34705837</v>
      </c>
      <c r="C1044">
        <v>0.21547358142600601</v>
      </c>
      <c r="D1044">
        <v>-0.18041743843256899</v>
      </c>
      <c r="E1044">
        <v>3.3315560731231098E-2</v>
      </c>
      <c r="F1044">
        <v>1</v>
      </c>
      <c r="G1044" t="s">
        <v>11</v>
      </c>
      <c r="H1044">
        <v>0</v>
      </c>
      <c r="I1044">
        <v>45685.3734686959</v>
      </c>
      <c r="J1044">
        <v>0.96668443926876801</v>
      </c>
      <c r="K1044" t="str">
        <f t="shared" si="128"/>
        <v>OK</v>
      </c>
      <c r="L1044" t="str">
        <f t="shared" si="129"/>
        <v>OK</v>
      </c>
      <c r="M1044" t="str">
        <f>IF(OR(B1044&lt;$AE$20,B1044&gt;$AF$20),"Outlier","OK")</f>
        <v>OK</v>
      </c>
      <c r="N1044" t="str">
        <f>IF(OR(J1044&lt;$AE$21,J1044&gt;$AF$21),"Outlier","OK")</f>
        <v>OK</v>
      </c>
      <c r="O1044" t="str">
        <f>IF(OR(C1044&lt;0,C1044&gt;1),"Outlier","OK")</f>
        <v>OK</v>
      </c>
      <c r="P1044" t="str">
        <f>IF(OR(D1044&lt;0,D1044&gt;1),"Outlier","OK")</f>
        <v>Outlier</v>
      </c>
      <c r="Q1044" t="str">
        <f t="shared" si="130"/>
        <v>80-100%</v>
      </c>
      <c r="R1044" t="str">
        <f>IF(B1044="","Missing","OK")</f>
        <v>OK</v>
      </c>
      <c r="S1044" t="str">
        <f>IF(E1044="","Missing","OK")</f>
        <v>OK</v>
      </c>
      <c r="T1044" t="str">
        <f t="shared" si="131"/>
        <v>OK</v>
      </c>
      <c r="U1044">
        <f>COUNTIF($A:$A,A1044)</f>
        <v>1</v>
      </c>
      <c r="V1044" t="str">
        <f t="shared" si="132"/>
        <v>OK</v>
      </c>
      <c r="W1044" t="str">
        <f>IF(I1044&gt;B1044,"ERROR","OK")</f>
        <v>OK</v>
      </c>
      <c r="X1044">
        <f>(B1044-I1044)/B1044</f>
        <v>0.96668443926876868</v>
      </c>
      <c r="Y1044" s="2">
        <f t="shared" si="133"/>
        <v>6.6613381477509392E-16</v>
      </c>
      <c r="Z1044" s="2" t="str">
        <f t="shared" si="134"/>
        <v>OK</v>
      </c>
      <c r="AA1044" t="str">
        <f t="shared" si="135"/>
        <v>Unique</v>
      </c>
    </row>
    <row r="1045" spans="1:27" x14ac:dyDescent="0.3">
      <c r="A1045">
        <v>1044</v>
      </c>
      <c r="B1045">
        <v>649142.939251801</v>
      </c>
      <c r="C1045">
        <v>0.28322143318708198</v>
      </c>
      <c r="D1045">
        <v>4.5869524326676597E-2</v>
      </c>
      <c r="E1045">
        <v>0.17817702765624099</v>
      </c>
      <c r="F1045">
        <v>1</v>
      </c>
      <c r="G1045" t="s">
        <v>11</v>
      </c>
      <c r="H1045">
        <v>1</v>
      </c>
      <c r="I1045">
        <v>115662.359439922</v>
      </c>
      <c r="J1045">
        <v>0.82182297234375801</v>
      </c>
      <c r="K1045" t="str">
        <f t="shared" si="128"/>
        <v>OK</v>
      </c>
      <c r="L1045" t="str">
        <f t="shared" si="129"/>
        <v>OK</v>
      </c>
      <c r="M1045" t="str">
        <f>IF(OR(B1045&lt;$AE$20,B1045&gt;$AF$20),"Outlier","OK")</f>
        <v>OK</v>
      </c>
      <c r="N1045" t="str">
        <f>IF(OR(J1045&lt;$AE$21,J1045&gt;$AF$21),"Outlier","OK")</f>
        <v>OK</v>
      </c>
      <c r="O1045" t="str">
        <f>IF(OR(C1045&lt;0,C1045&gt;1),"Outlier","OK")</f>
        <v>OK</v>
      </c>
      <c r="P1045" t="str">
        <f>IF(OR(D1045&lt;0,D1045&gt;1),"Outlier","OK")</f>
        <v>OK</v>
      </c>
      <c r="Q1045" t="str">
        <f t="shared" si="130"/>
        <v>80-100%</v>
      </c>
      <c r="R1045" t="str">
        <f>IF(B1045="","Missing","OK")</f>
        <v>OK</v>
      </c>
      <c r="S1045" t="str">
        <f>IF(E1045="","Missing","OK")</f>
        <v>OK</v>
      </c>
      <c r="T1045" t="str">
        <f t="shared" si="131"/>
        <v>OK</v>
      </c>
      <c r="U1045">
        <f>COUNTIF($A:$A,A1045)</f>
        <v>1</v>
      </c>
      <c r="V1045" t="str">
        <f t="shared" si="132"/>
        <v>OK</v>
      </c>
      <c r="W1045" t="str">
        <f>IF(I1045&gt;B1045,"ERROR","OK")</f>
        <v>OK</v>
      </c>
      <c r="X1045">
        <f>(B1045-I1045)/B1045</f>
        <v>0.82182297234375856</v>
      </c>
      <c r="Y1045" s="2">
        <f t="shared" si="133"/>
        <v>5.5511151231257827E-16</v>
      </c>
      <c r="Z1045" s="2" t="str">
        <f t="shared" si="134"/>
        <v>OK</v>
      </c>
      <c r="AA1045" t="str">
        <f t="shared" si="135"/>
        <v>Unique</v>
      </c>
    </row>
    <row r="1046" spans="1:27" x14ac:dyDescent="0.3">
      <c r="A1046">
        <v>1045</v>
      </c>
      <c r="B1046">
        <v>1355410.3765521401</v>
      </c>
      <c r="C1046">
        <v>0.60438035281920999</v>
      </c>
      <c r="D1046">
        <v>2.30635978829314E-2</v>
      </c>
      <c r="E1046">
        <v>0.20444628518626801</v>
      </c>
      <c r="F1046">
        <v>1</v>
      </c>
      <c r="G1046" t="s">
        <v>12</v>
      </c>
      <c r="H1046">
        <v>0</v>
      </c>
      <c r="I1046">
        <v>277108.61638900702</v>
      </c>
      <c r="J1046">
        <v>0.79555371481373105</v>
      </c>
      <c r="K1046" t="str">
        <f t="shared" si="128"/>
        <v>OK</v>
      </c>
      <c r="L1046" t="str">
        <f t="shared" si="129"/>
        <v>OK</v>
      </c>
      <c r="M1046" t="str">
        <f>IF(OR(B1046&lt;$AE$20,B1046&gt;$AF$20),"Outlier","OK")</f>
        <v>OK</v>
      </c>
      <c r="N1046" t="str">
        <f>IF(OR(J1046&lt;$AE$21,J1046&gt;$AF$21),"Outlier","OK")</f>
        <v>OK</v>
      </c>
      <c r="O1046" t="str">
        <f>IF(OR(C1046&lt;0,C1046&gt;1),"Outlier","OK")</f>
        <v>OK</v>
      </c>
      <c r="P1046" t="str">
        <f>IF(OR(D1046&lt;0,D1046&gt;1),"Outlier","OK")</f>
        <v>OK</v>
      </c>
      <c r="Q1046" t="str">
        <f t="shared" si="130"/>
        <v>60-80%</v>
      </c>
      <c r="R1046" t="str">
        <f>IF(B1046="","Missing","OK")</f>
        <v>OK</v>
      </c>
      <c r="S1046" t="str">
        <f>IF(E1046="","Missing","OK")</f>
        <v>OK</v>
      </c>
      <c r="T1046" t="str">
        <f t="shared" si="131"/>
        <v>OK</v>
      </c>
      <c r="U1046">
        <f>COUNTIF($A:$A,A1046)</f>
        <v>1</v>
      </c>
      <c r="V1046" t="str">
        <f t="shared" si="132"/>
        <v>OK</v>
      </c>
      <c r="W1046" t="str">
        <f>IF(I1046&gt;B1046,"ERROR","OK")</f>
        <v>OK</v>
      </c>
      <c r="X1046">
        <f>(B1046-I1046)/B1046</f>
        <v>0.79555371481373105</v>
      </c>
      <c r="Y1046" s="2">
        <f t="shared" si="133"/>
        <v>0</v>
      </c>
      <c r="Z1046" s="2" t="str">
        <f t="shared" si="134"/>
        <v>OK</v>
      </c>
      <c r="AA1046" t="str">
        <f t="shared" si="135"/>
        <v>Unique</v>
      </c>
    </row>
    <row r="1047" spans="1:27" x14ac:dyDescent="0.3">
      <c r="A1047">
        <v>1046</v>
      </c>
      <c r="B1047">
        <v>623873.01337890595</v>
      </c>
      <c r="C1047">
        <v>0.77409080651003803</v>
      </c>
      <c r="D1047">
        <v>3.8487891101336401E-2</v>
      </c>
      <c r="E1047">
        <v>0.33110835523261001</v>
      </c>
      <c r="F1047">
        <v>1</v>
      </c>
      <c r="G1047" t="s">
        <v>11</v>
      </c>
      <c r="H1047">
        <v>0</v>
      </c>
      <c r="I1047">
        <v>206569.567333902</v>
      </c>
      <c r="J1047">
        <v>0.66889164476738905</v>
      </c>
      <c r="K1047" t="str">
        <f t="shared" si="128"/>
        <v>OK</v>
      </c>
      <c r="L1047" t="str">
        <f t="shared" si="129"/>
        <v>OK</v>
      </c>
      <c r="M1047" t="str">
        <f>IF(OR(B1047&lt;$AE$20,B1047&gt;$AF$20),"Outlier","OK")</f>
        <v>OK</v>
      </c>
      <c r="N1047" t="str">
        <f>IF(OR(J1047&lt;$AE$21,J1047&gt;$AF$21),"Outlier","OK")</f>
        <v>OK</v>
      </c>
      <c r="O1047" t="str">
        <f>IF(OR(C1047&lt;0,C1047&gt;1),"Outlier","OK")</f>
        <v>OK</v>
      </c>
      <c r="P1047" t="str">
        <f>IF(OR(D1047&lt;0,D1047&gt;1),"Outlier","OK")</f>
        <v>OK</v>
      </c>
      <c r="Q1047" t="str">
        <f t="shared" si="130"/>
        <v>60-80%</v>
      </c>
      <c r="R1047" t="str">
        <f>IF(B1047="","Missing","OK")</f>
        <v>OK</v>
      </c>
      <c r="S1047" t="str">
        <f>IF(E1047="","Missing","OK")</f>
        <v>OK</v>
      </c>
      <c r="T1047" t="str">
        <f t="shared" si="131"/>
        <v>OK</v>
      </c>
      <c r="U1047">
        <f>COUNTIF($A:$A,A1047)</f>
        <v>1</v>
      </c>
      <c r="V1047" t="str">
        <f t="shared" si="132"/>
        <v>OK</v>
      </c>
      <c r="W1047" t="str">
        <f>IF(I1047&gt;B1047,"ERROR","OK")</f>
        <v>OK</v>
      </c>
      <c r="X1047">
        <f>(B1047-I1047)/B1047</f>
        <v>0.66889164476738938</v>
      </c>
      <c r="Y1047" s="2">
        <f t="shared" si="133"/>
        <v>3.3306690738754696E-16</v>
      </c>
      <c r="Z1047" s="2" t="str">
        <f t="shared" si="134"/>
        <v>OK</v>
      </c>
      <c r="AA1047" t="str">
        <f t="shared" si="135"/>
        <v>Unique</v>
      </c>
    </row>
    <row r="1048" spans="1:27" x14ac:dyDescent="0.3">
      <c r="A1048">
        <v>1047</v>
      </c>
      <c r="B1048">
        <v>1809234.4643143499</v>
      </c>
      <c r="C1048">
        <v>0.83018396709702003</v>
      </c>
      <c r="D1048">
        <v>-9.2155343734170406E-2</v>
      </c>
      <c r="E1048">
        <v>0.52341365381752902</v>
      </c>
      <c r="F1048">
        <v>1</v>
      </c>
      <c r="G1048" t="s">
        <v>11</v>
      </c>
      <c r="H1048">
        <v>1</v>
      </c>
      <c r="I1048">
        <v>946978.02157937502</v>
      </c>
      <c r="J1048">
        <v>0.47658634618246998</v>
      </c>
      <c r="K1048" t="str">
        <f t="shared" si="128"/>
        <v>OK</v>
      </c>
      <c r="L1048" t="str">
        <f t="shared" si="129"/>
        <v>OK</v>
      </c>
      <c r="M1048" t="str">
        <f>IF(OR(B1048&lt;$AE$20,B1048&gt;$AF$20),"Outlier","OK")</f>
        <v>OK</v>
      </c>
      <c r="N1048" t="str">
        <f>IF(OR(J1048&lt;$AE$21,J1048&gt;$AF$21),"Outlier","OK")</f>
        <v>OK</v>
      </c>
      <c r="O1048" t="str">
        <f>IF(OR(C1048&lt;0,C1048&gt;1),"Outlier","OK")</f>
        <v>OK</v>
      </c>
      <c r="P1048" t="str">
        <f>IF(OR(D1048&lt;0,D1048&gt;1),"Outlier","OK")</f>
        <v>Outlier</v>
      </c>
      <c r="Q1048" t="str">
        <f t="shared" si="130"/>
        <v>40-60%</v>
      </c>
      <c r="R1048" t="str">
        <f>IF(B1048="","Missing","OK")</f>
        <v>OK</v>
      </c>
      <c r="S1048" t="str">
        <f>IF(E1048="","Missing","OK")</f>
        <v>OK</v>
      </c>
      <c r="T1048" t="str">
        <f t="shared" si="131"/>
        <v>OK</v>
      </c>
      <c r="U1048">
        <f>COUNTIF($A:$A,A1048)</f>
        <v>1</v>
      </c>
      <c r="V1048" t="str">
        <f t="shared" si="132"/>
        <v>OK</v>
      </c>
      <c r="W1048" t="str">
        <f>IF(I1048&gt;B1048,"ERROR","OK")</f>
        <v>OK</v>
      </c>
      <c r="X1048">
        <f>(B1048-I1048)/B1048</f>
        <v>0.47658634618247026</v>
      </c>
      <c r="Y1048" s="2">
        <f t="shared" si="133"/>
        <v>2.7755575615628914E-16</v>
      </c>
      <c r="Z1048" s="2" t="str">
        <f t="shared" si="134"/>
        <v>OK</v>
      </c>
      <c r="AA1048" t="str">
        <f t="shared" si="135"/>
        <v>Unique</v>
      </c>
    </row>
    <row r="1049" spans="1:27" x14ac:dyDescent="0.3">
      <c r="A1049">
        <v>1048</v>
      </c>
      <c r="B1049">
        <v>1767354.7374839</v>
      </c>
      <c r="C1049">
        <v>0.629424714190853</v>
      </c>
      <c r="D1049">
        <v>0.18354829981072099</v>
      </c>
      <c r="E1049">
        <v>0.48510195318334598</v>
      </c>
      <c r="F1049">
        <v>1</v>
      </c>
      <c r="G1049" t="s">
        <v>12</v>
      </c>
      <c r="H1049">
        <v>0</v>
      </c>
      <c r="I1049">
        <v>857347.23512128403</v>
      </c>
      <c r="J1049">
        <v>0.51489804681665297</v>
      </c>
      <c r="K1049" t="str">
        <f t="shared" si="128"/>
        <v>OK</v>
      </c>
      <c r="L1049" t="str">
        <f t="shared" si="129"/>
        <v>OK</v>
      </c>
      <c r="M1049" t="str">
        <f>IF(OR(B1049&lt;$AE$20,B1049&gt;$AF$20),"Outlier","OK")</f>
        <v>OK</v>
      </c>
      <c r="N1049" t="str">
        <f>IF(OR(J1049&lt;$AE$21,J1049&gt;$AF$21),"Outlier","OK")</f>
        <v>OK</v>
      </c>
      <c r="O1049" t="str">
        <f>IF(OR(C1049&lt;0,C1049&gt;1),"Outlier","OK")</f>
        <v>OK</v>
      </c>
      <c r="P1049" t="str">
        <f>IF(OR(D1049&lt;0,D1049&gt;1),"Outlier","OK")</f>
        <v>OK</v>
      </c>
      <c r="Q1049" t="str">
        <f t="shared" si="130"/>
        <v>40-60%</v>
      </c>
      <c r="R1049" t="str">
        <f>IF(B1049="","Missing","OK")</f>
        <v>OK</v>
      </c>
      <c r="S1049" t="str">
        <f>IF(E1049="","Missing","OK")</f>
        <v>OK</v>
      </c>
      <c r="T1049" t="str">
        <f t="shared" si="131"/>
        <v>OK</v>
      </c>
      <c r="U1049">
        <f>COUNTIF($A:$A,A1049)</f>
        <v>1</v>
      </c>
      <c r="V1049" t="str">
        <f t="shared" si="132"/>
        <v>OK</v>
      </c>
      <c r="W1049" t="str">
        <f>IF(I1049&gt;B1049,"ERROR","OK")</f>
        <v>OK</v>
      </c>
      <c r="X1049">
        <f>(B1049-I1049)/B1049</f>
        <v>0.51489804681665152</v>
      </c>
      <c r="Y1049" s="2">
        <f t="shared" si="133"/>
        <v>1.4432899320127035E-15</v>
      </c>
      <c r="Z1049" s="2" t="str">
        <f t="shared" si="134"/>
        <v>OK</v>
      </c>
      <c r="AA1049" t="str">
        <f t="shared" si="135"/>
        <v>Unique</v>
      </c>
    </row>
    <row r="1050" spans="1:27" x14ac:dyDescent="0.3">
      <c r="A1050">
        <v>1049</v>
      </c>
      <c r="B1050">
        <v>188829.034644984</v>
      </c>
      <c r="C1050">
        <v>0.44740287142271701</v>
      </c>
      <c r="D1050">
        <v>0.11496124397216601</v>
      </c>
      <c r="E1050">
        <v>0.29438774230026798</v>
      </c>
      <c r="F1050">
        <v>1</v>
      </c>
      <c r="G1050" t="s">
        <v>10</v>
      </c>
      <c r="H1050">
        <v>1</v>
      </c>
      <c r="I1050">
        <v>55588.953189876098</v>
      </c>
      <c r="J1050">
        <v>0.70561225769973102</v>
      </c>
      <c r="K1050" t="str">
        <f t="shared" si="128"/>
        <v>OK</v>
      </c>
      <c r="L1050" t="str">
        <f t="shared" si="129"/>
        <v>OK</v>
      </c>
      <c r="M1050" t="str">
        <f>IF(OR(B1050&lt;$AE$20,B1050&gt;$AF$20),"Outlier","OK")</f>
        <v>OK</v>
      </c>
      <c r="N1050" t="str">
        <f>IF(OR(J1050&lt;$AE$21,J1050&gt;$AF$21),"Outlier","OK")</f>
        <v>OK</v>
      </c>
      <c r="O1050" t="str">
        <f>IF(OR(C1050&lt;0,C1050&gt;1),"Outlier","OK")</f>
        <v>OK</v>
      </c>
      <c r="P1050" t="str">
        <f>IF(OR(D1050&lt;0,D1050&gt;1),"Outlier","OK")</f>
        <v>OK</v>
      </c>
      <c r="Q1050" t="str">
        <f t="shared" si="130"/>
        <v>60-80%</v>
      </c>
      <c r="R1050" t="str">
        <f>IF(B1050="","Missing","OK")</f>
        <v>OK</v>
      </c>
      <c r="S1050" t="str">
        <f>IF(E1050="","Missing","OK")</f>
        <v>OK</v>
      </c>
      <c r="T1050" t="str">
        <f t="shared" si="131"/>
        <v>OK</v>
      </c>
      <c r="U1050">
        <f>COUNTIF($A:$A,A1050)</f>
        <v>1</v>
      </c>
      <c r="V1050" t="str">
        <f t="shared" si="132"/>
        <v>OK</v>
      </c>
      <c r="W1050" t="str">
        <f>IF(I1050&gt;B1050,"ERROR","OK")</f>
        <v>OK</v>
      </c>
      <c r="X1050">
        <f>(B1050-I1050)/B1050</f>
        <v>0.70561225769973102</v>
      </c>
      <c r="Y1050" s="2">
        <f t="shared" si="133"/>
        <v>0</v>
      </c>
      <c r="Z1050" s="2" t="str">
        <f t="shared" si="134"/>
        <v>OK</v>
      </c>
      <c r="AA1050" t="str">
        <f t="shared" si="135"/>
        <v>Unique</v>
      </c>
    </row>
    <row r="1051" spans="1:27" x14ac:dyDescent="0.3">
      <c r="A1051">
        <v>1050</v>
      </c>
      <c r="B1051">
        <v>343284.914382277</v>
      </c>
      <c r="C1051">
        <v>0.70007590808758702</v>
      </c>
      <c r="D1051">
        <v>5.7835661121069103E-2</v>
      </c>
      <c r="E1051">
        <v>0.437866425783772</v>
      </c>
      <c r="F1051">
        <v>1</v>
      </c>
      <c r="G1051" t="s">
        <v>10</v>
      </c>
      <c r="H1051">
        <v>1</v>
      </c>
      <c r="I1051">
        <v>150312.93848605501</v>
      </c>
      <c r="J1051">
        <v>0.562133574216228</v>
      </c>
      <c r="K1051" t="str">
        <f t="shared" si="128"/>
        <v>OK</v>
      </c>
      <c r="L1051" t="str">
        <f t="shared" si="129"/>
        <v>OK</v>
      </c>
      <c r="M1051" t="str">
        <f>IF(OR(B1051&lt;$AE$20,B1051&gt;$AF$20),"Outlier","OK")</f>
        <v>OK</v>
      </c>
      <c r="N1051" t="str">
        <f>IF(OR(J1051&lt;$AE$21,J1051&gt;$AF$21),"Outlier","OK")</f>
        <v>OK</v>
      </c>
      <c r="O1051" t="str">
        <f>IF(OR(C1051&lt;0,C1051&gt;1),"Outlier","OK")</f>
        <v>OK</v>
      </c>
      <c r="P1051" t="str">
        <f>IF(OR(D1051&lt;0,D1051&gt;1),"Outlier","OK")</f>
        <v>OK</v>
      </c>
      <c r="Q1051" t="str">
        <f t="shared" si="130"/>
        <v>40-60%</v>
      </c>
      <c r="R1051" t="str">
        <f>IF(B1051="","Missing","OK")</f>
        <v>OK</v>
      </c>
      <c r="S1051" t="str">
        <f>IF(E1051="","Missing","OK")</f>
        <v>OK</v>
      </c>
      <c r="T1051" t="str">
        <f t="shared" si="131"/>
        <v>OK</v>
      </c>
      <c r="U1051">
        <f>COUNTIF($A:$A,A1051)</f>
        <v>1</v>
      </c>
      <c r="V1051" t="str">
        <f t="shared" si="132"/>
        <v>OK</v>
      </c>
      <c r="W1051" t="str">
        <f>IF(I1051&gt;B1051,"ERROR","OK")</f>
        <v>OK</v>
      </c>
      <c r="X1051">
        <f>(B1051-I1051)/B1051</f>
        <v>0.56213357421623034</v>
      </c>
      <c r="Y1051" s="2">
        <f t="shared" si="133"/>
        <v>2.3314683517128287E-15</v>
      </c>
      <c r="Z1051" s="2" t="str">
        <f t="shared" si="134"/>
        <v>OK</v>
      </c>
      <c r="AA1051" t="str">
        <f t="shared" si="135"/>
        <v>Unique</v>
      </c>
    </row>
    <row r="1052" spans="1:27" x14ac:dyDescent="0.3">
      <c r="A1052">
        <v>1051</v>
      </c>
      <c r="B1052">
        <v>1411214.4379870701</v>
      </c>
      <c r="C1052">
        <v>0.879341535628687</v>
      </c>
      <c r="D1052">
        <v>5.0383828392532E-3</v>
      </c>
      <c r="E1052">
        <v>0.245460333711435</v>
      </c>
      <c r="F1052">
        <v>1</v>
      </c>
      <c r="G1052" t="s">
        <v>10</v>
      </c>
      <c r="H1052">
        <v>0</v>
      </c>
      <c r="I1052">
        <v>346397.16688670398</v>
      </c>
      <c r="J1052">
        <v>0.75453966628856395</v>
      </c>
      <c r="K1052" t="str">
        <f t="shared" si="128"/>
        <v>OK</v>
      </c>
      <c r="L1052" t="str">
        <f t="shared" si="129"/>
        <v>OK</v>
      </c>
      <c r="M1052" t="str">
        <f>IF(OR(B1052&lt;$AE$20,B1052&gt;$AF$20),"Outlier","OK")</f>
        <v>OK</v>
      </c>
      <c r="N1052" t="str">
        <f>IF(OR(J1052&lt;$AE$21,J1052&gt;$AF$21),"Outlier","OK")</f>
        <v>OK</v>
      </c>
      <c r="O1052" t="str">
        <f>IF(OR(C1052&lt;0,C1052&gt;1),"Outlier","OK")</f>
        <v>OK</v>
      </c>
      <c r="P1052" t="str">
        <f>IF(OR(D1052&lt;0,D1052&gt;1),"Outlier","OK")</f>
        <v>OK</v>
      </c>
      <c r="Q1052" t="str">
        <f t="shared" si="130"/>
        <v>60-80%</v>
      </c>
      <c r="R1052" t="str">
        <f>IF(B1052="","Missing","OK")</f>
        <v>OK</v>
      </c>
      <c r="S1052" t="str">
        <f>IF(E1052="","Missing","OK")</f>
        <v>OK</v>
      </c>
      <c r="T1052" t="str">
        <f t="shared" si="131"/>
        <v>OK</v>
      </c>
      <c r="U1052">
        <f>COUNTIF($A:$A,A1052)</f>
        <v>1</v>
      </c>
      <c r="V1052" t="str">
        <f t="shared" si="132"/>
        <v>OK</v>
      </c>
      <c r="W1052" t="str">
        <f>IF(I1052&gt;B1052,"ERROR","OK")</f>
        <v>OK</v>
      </c>
      <c r="X1052">
        <f>(B1052-I1052)/B1052</f>
        <v>0.75453966628856317</v>
      </c>
      <c r="Y1052" s="2">
        <f t="shared" si="133"/>
        <v>7.7715611723760958E-16</v>
      </c>
      <c r="Z1052" s="2" t="str">
        <f t="shared" si="134"/>
        <v>OK</v>
      </c>
      <c r="AA1052" t="str">
        <f t="shared" si="135"/>
        <v>Unique</v>
      </c>
    </row>
    <row r="1053" spans="1:27" x14ac:dyDescent="0.3">
      <c r="A1053">
        <v>1052</v>
      </c>
      <c r="B1053">
        <v>50234.197903501001</v>
      </c>
      <c r="C1053">
        <v>0.20569201257320399</v>
      </c>
      <c r="D1053">
        <v>7.9780897787579894E-2</v>
      </c>
      <c r="E1053">
        <v>0.33874310586145201</v>
      </c>
      <c r="F1053">
        <v>1</v>
      </c>
      <c r="G1053" t="s">
        <v>12</v>
      </c>
      <c r="H1053">
        <v>1</v>
      </c>
      <c r="I1053">
        <v>17016.488218290699</v>
      </c>
      <c r="J1053">
        <v>0.66125689413854705</v>
      </c>
      <c r="K1053" t="str">
        <f t="shared" si="128"/>
        <v>OK</v>
      </c>
      <c r="L1053" t="str">
        <f t="shared" si="129"/>
        <v>OK</v>
      </c>
      <c r="M1053" t="str">
        <f>IF(OR(B1053&lt;$AE$20,B1053&gt;$AF$20),"Outlier","OK")</f>
        <v>Outlier</v>
      </c>
      <c r="N1053" t="str">
        <f>IF(OR(J1053&lt;$AE$21,J1053&gt;$AF$21),"Outlier","OK")</f>
        <v>OK</v>
      </c>
      <c r="O1053" t="str">
        <f>IF(OR(C1053&lt;0,C1053&gt;1),"Outlier","OK")</f>
        <v>OK</v>
      </c>
      <c r="P1053" t="str">
        <f>IF(OR(D1053&lt;0,D1053&gt;1),"Outlier","OK")</f>
        <v>OK</v>
      </c>
      <c r="Q1053" t="str">
        <f t="shared" si="130"/>
        <v>60-80%</v>
      </c>
      <c r="R1053" t="str">
        <f>IF(B1053="","Missing","OK")</f>
        <v>OK</v>
      </c>
      <c r="S1053" t="str">
        <f>IF(E1053="","Missing","OK")</f>
        <v>OK</v>
      </c>
      <c r="T1053" t="str">
        <f t="shared" si="131"/>
        <v>OK</v>
      </c>
      <c r="U1053">
        <f>COUNTIF($A:$A,A1053)</f>
        <v>1</v>
      </c>
      <c r="V1053" t="str">
        <f t="shared" si="132"/>
        <v>OK</v>
      </c>
      <c r="W1053" t="str">
        <f>IF(I1053&gt;B1053,"ERROR","OK")</f>
        <v>OK</v>
      </c>
      <c r="X1053">
        <f>(B1053-I1053)/B1053</f>
        <v>0.66125689413854938</v>
      </c>
      <c r="Y1053" s="2">
        <f t="shared" si="133"/>
        <v>2.3314683517128287E-15</v>
      </c>
      <c r="Z1053" s="2" t="str">
        <f t="shared" si="134"/>
        <v>OK</v>
      </c>
      <c r="AA1053" t="str">
        <f t="shared" si="135"/>
        <v>Unique</v>
      </c>
    </row>
    <row r="1054" spans="1:27" x14ac:dyDescent="0.3">
      <c r="A1054">
        <v>1053</v>
      </c>
      <c r="B1054">
        <v>1652536.5493020799</v>
      </c>
      <c r="C1054">
        <v>0.34253414590805897</v>
      </c>
      <c r="D1054">
        <v>-4.3779368587864798E-2</v>
      </c>
      <c r="E1054">
        <v>0.30290893669635999</v>
      </c>
      <c r="F1054">
        <v>1</v>
      </c>
      <c r="G1054" t="s">
        <v>13</v>
      </c>
      <c r="H1054">
        <v>1</v>
      </c>
      <c r="I1054">
        <v>500568.08900096599</v>
      </c>
      <c r="J1054">
        <v>0.69709106330364001</v>
      </c>
      <c r="K1054" t="str">
        <f t="shared" si="128"/>
        <v>OK</v>
      </c>
      <c r="L1054" t="str">
        <f t="shared" si="129"/>
        <v>OK</v>
      </c>
      <c r="M1054" t="str">
        <f>IF(OR(B1054&lt;$AE$20,B1054&gt;$AF$20),"Outlier","OK")</f>
        <v>OK</v>
      </c>
      <c r="N1054" t="str">
        <f>IF(OR(J1054&lt;$AE$21,J1054&gt;$AF$21),"Outlier","OK")</f>
        <v>OK</v>
      </c>
      <c r="O1054" t="str">
        <f>IF(OR(C1054&lt;0,C1054&gt;1),"Outlier","OK")</f>
        <v>OK</v>
      </c>
      <c r="P1054" t="str">
        <f>IF(OR(D1054&lt;0,D1054&gt;1),"Outlier","OK")</f>
        <v>Outlier</v>
      </c>
      <c r="Q1054" t="str">
        <f t="shared" si="130"/>
        <v>60-80%</v>
      </c>
      <c r="R1054" t="str">
        <f>IF(B1054="","Missing","OK")</f>
        <v>OK</v>
      </c>
      <c r="S1054" t="str">
        <f>IF(E1054="","Missing","OK")</f>
        <v>OK</v>
      </c>
      <c r="T1054" t="str">
        <f t="shared" si="131"/>
        <v>OK</v>
      </c>
      <c r="U1054">
        <f>COUNTIF($A:$A,A1054)</f>
        <v>1</v>
      </c>
      <c r="V1054" t="str">
        <f t="shared" si="132"/>
        <v>OK</v>
      </c>
      <c r="W1054" t="str">
        <f>IF(I1054&gt;B1054,"ERROR","OK")</f>
        <v>OK</v>
      </c>
      <c r="X1054">
        <f>(B1054-I1054)/B1054</f>
        <v>0.69709106330363935</v>
      </c>
      <c r="Y1054" s="2">
        <f t="shared" si="133"/>
        <v>6.6613381477509392E-16</v>
      </c>
      <c r="Z1054" s="2" t="str">
        <f t="shared" si="134"/>
        <v>OK</v>
      </c>
      <c r="AA1054" t="str">
        <f t="shared" si="135"/>
        <v>Unique</v>
      </c>
    </row>
    <row r="1055" spans="1:27" x14ac:dyDescent="0.3">
      <c r="A1055">
        <v>1054</v>
      </c>
      <c r="B1055">
        <v>744667.63430730801</v>
      </c>
      <c r="C1055">
        <v>0.77116942418669998</v>
      </c>
      <c r="D1055">
        <v>-9.2040238858387594E-2</v>
      </c>
      <c r="E1055">
        <v>0.23632087163672599</v>
      </c>
      <c r="F1055">
        <v>1</v>
      </c>
      <c r="G1055" t="s">
        <v>10</v>
      </c>
      <c r="H1055">
        <v>1</v>
      </c>
      <c r="I1055">
        <v>175980.504419162</v>
      </c>
      <c r="J1055">
        <v>0.76367912836327301</v>
      </c>
      <c r="K1055" t="str">
        <f t="shared" si="128"/>
        <v>OK</v>
      </c>
      <c r="L1055" t="str">
        <f t="shared" si="129"/>
        <v>OK</v>
      </c>
      <c r="M1055" t="str">
        <f>IF(OR(B1055&lt;$AE$20,B1055&gt;$AF$20),"Outlier","OK")</f>
        <v>OK</v>
      </c>
      <c r="N1055" t="str">
        <f>IF(OR(J1055&lt;$AE$21,J1055&gt;$AF$21),"Outlier","OK")</f>
        <v>OK</v>
      </c>
      <c r="O1055" t="str">
        <f>IF(OR(C1055&lt;0,C1055&gt;1),"Outlier","OK")</f>
        <v>OK</v>
      </c>
      <c r="P1055" t="str">
        <f>IF(OR(D1055&lt;0,D1055&gt;1),"Outlier","OK")</f>
        <v>Outlier</v>
      </c>
      <c r="Q1055" t="str">
        <f t="shared" si="130"/>
        <v>60-80%</v>
      </c>
      <c r="R1055" t="str">
        <f>IF(B1055="","Missing","OK")</f>
        <v>OK</v>
      </c>
      <c r="S1055" t="str">
        <f>IF(E1055="","Missing","OK")</f>
        <v>OK</v>
      </c>
      <c r="T1055" t="str">
        <f t="shared" si="131"/>
        <v>OK</v>
      </c>
      <c r="U1055">
        <f>COUNTIF($A:$A,A1055)</f>
        <v>1</v>
      </c>
      <c r="V1055" t="str">
        <f t="shared" si="132"/>
        <v>OK</v>
      </c>
      <c r="W1055" t="str">
        <f>IF(I1055&gt;B1055,"ERROR","OK")</f>
        <v>OK</v>
      </c>
      <c r="X1055">
        <f>(B1055-I1055)/B1055</f>
        <v>0.76367912836327356</v>
      </c>
      <c r="Y1055" s="2">
        <f t="shared" si="133"/>
        <v>5.5511151231257827E-16</v>
      </c>
      <c r="Z1055" s="2" t="str">
        <f t="shared" si="134"/>
        <v>OK</v>
      </c>
      <c r="AA1055" t="str">
        <f t="shared" si="135"/>
        <v>Unique</v>
      </c>
    </row>
    <row r="1056" spans="1:27" x14ac:dyDescent="0.3">
      <c r="A1056">
        <v>1055</v>
      </c>
      <c r="B1056">
        <v>1502008.7947712699</v>
      </c>
      <c r="C1056">
        <v>0.51509559289275797</v>
      </c>
      <c r="D1056">
        <v>-0.14945485335561701</v>
      </c>
      <c r="E1056">
        <v>0.23764049237488599</v>
      </c>
      <c r="F1056">
        <v>1</v>
      </c>
      <c r="G1056" t="s">
        <v>10</v>
      </c>
      <c r="H1056">
        <v>0</v>
      </c>
      <c r="I1056">
        <v>356938.10954085499</v>
      </c>
      <c r="J1056">
        <v>0.76235950762511295</v>
      </c>
      <c r="K1056" t="str">
        <f t="shared" si="128"/>
        <v>OK</v>
      </c>
      <c r="L1056" t="str">
        <f t="shared" si="129"/>
        <v>OK</v>
      </c>
      <c r="M1056" t="str">
        <f>IF(OR(B1056&lt;$AE$20,B1056&gt;$AF$20),"Outlier","OK")</f>
        <v>OK</v>
      </c>
      <c r="N1056" t="str">
        <f>IF(OR(J1056&lt;$AE$21,J1056&gt;$AF$21),"Outlier","OK")</f>
        <v>OK</v>
      </c>
      <c r="O1056" t="str">
        <f>IF(OR(C1056&lt;0,C1056&gt;1),"Outlier","OK")</f>
        <v>OK</v>
      </c>
      <c r="P1056" t="str">
        <f>IF(OR(D1056&lt;0,D1056&gt;1),"Outlier","OK")</f>
        <v>Outlier</v>
      </c>
      <c r="Q1056" t="str">
        <f t="shared" si="130"/>
        <v>60-80%</v>
      </c>
      <c r="R1056" t="str">
        <f>IF(B1056="","Missing","OK")</f>
        <v>OK</v>
      </c>
      <c r="S1056" t="str">
        <f>IF(E1056="","Missing","OK")</f>
        <v>OK</v>
      </c>
      <c r="T1056" t="str">
        <f t="shared" si="131"/>
        <v>OK</v>
      </c>
      <c r="U1056">
        <f>COUNTIF($A:$A,A1056)</f>
        <v>1</v>
      </c>
      <c r="V1056" t="str">
        <f t="shared" si="132"/>
        <v>OK</v>
      </c>
      <c r="W1056" t="str">
        <f>IF(I1056&gt;B1056,"ERROR","OK")</f>
        <v>OK</v>
      </c>
      <c r="X1056">
        <f>(B1056-I1056)/B1056</f>
        <v>0.76235950762511306</v>
      </c>
      <c r="Y1056" s="2">
        <f t="shared" si="133"/>
        <v>1.1102230246251565E-16</v>
      </c>
      <c r="Z1056" s="2" t="str">
        <f t="shared" si="134"/>
        <v>OK</v>
      </c>
      <c r="AA1056" t="str">
        <f t="shared" si="135"/>
        <v>Unique</v>
      </c>
    </row>
    <row r="1057" spans="1:27" x14ac:dyDescent="0.3">
      <c r="A1057">
        <v>1056</v>
      </c>
      <c r="B1057">
        <v>136262.55336626401</v>
      </c>
      <c r="C1057">
        <v>0.66015766703429202</v>
      </c>
      <c r="D1057">
        <v>4.0039828783197604E-3</v>
      </c>
      <c r="E1057">
        <v>0.31084381507235398</v>
      </c>
      <c r="F1057">
        <v>1</v>
      </c>
      <c r="G1057" t="s">
        <v>10</v>
      </c>
      <c r="H1057">
        <v>0</v>
      </c>
      <c r="I1057">
        <v>42356.3719398701</v>
      </c>
      <c r="J1057">
        <v>0.68915618492764497</v>
      </c>
      <c r="K1057" t="str">
        <f t="shared" si="128"/>
        <v>OK</v>
      </c>
      <c r="L1057" t="str">
        <f t="shared" si="129"/>
        <v>OK</v>
      </c>
      <c r="M1057" t="str">
        <f>IF(OR(B1057&lt;$AE$20,B1057&gt;$AF$20),"Outlier","OK")</f>
        <v>OK</v>
      </c>
      <c r="N1057" t="str">
        <f>IF(OR(J1057&lt;$AE$21,J1057&gt;$AF$21),"Outlier","OK")</f>
        <v>OK</v>
      </c>
      <c r="O1057" t="str">
        <f>IF(OR(C1057&lt;0,C1057&gt;1),"Outlier","OK")</f>
        <v>OK</v>
      </c>
      <c r="P1057" t="str">
        <f>IF(OR(D1057&lt;0,D1057&gt;1),"Outlier","OK")</f>
        <v>OK</v>
      </c>
      <c r="Q1057" t="str">
        <f t="shared" si="130"/>
        <v>60-80%</v>
      </c>
      <c r="R1057" t="str">
        <f>IF(B1057="","Missing","OK")</f>
        <v>OK</v>
      </c>
      <c r="S1057" t="str">
        <f>IF(E1057="","Missing","OK")</f>
        <v>OK</v>
      </c>
      <c r="T1057" t="str">
        <f t="shared" si="131"/>
        <v>OK</v>
      </c>
      <c r="U1057">
        <f>COUNTIF($A:$A,A1057)</f>
        <v>1</v>
      </c>
      <c r="V1057" t="str">
        <f t="shared" si="132"/>
        <v>OK</v>
      </c>
      <c r="W1057" t="str">
        <f>IF(I1057&gt;B1057,"ERROR","OK")</f>
        <v>OK</v>
      </c>
      <c r="X1057">
        <f>(B1057-I1057)/B1057</f>
        <v>0.68915618492764341</v>
      </c>
      <c r="Y1057" s="2">
        <f t="shared" si="133"/>
        <v>1.5543122344752192E-15</v>
      </c>
      <c r="Z1057" s="2" t="str">
        <f t="shared" si="134"/>
        <v>OK</v>
      </c>
      <c r="AA1057" t="str">
        <f t="shared" si="135"/>
        <v>Unique</v>
      </c>
    </row>
    <row r="1058" spans="1:27" x14ac:dyDescent="0.3">
      <c r="A1058">
        <v>1057</v>
      </c>
      <c r="B1058">
        <v>458065.63732624101</v>
      </c>
      <c r="C1058">
        <v>0.20544378440681099</v>
      </c>
      <c r="D1058">
        <v>0.19287109332194699</v>
      </c>
      <c r="E1058">
        <v>0.48673987617065001</v>
      </c>
      <c r="F1058">
        <v>1</v>
      </c>
      <c r="G1058" t="s">
        <v>11</v>
      </c>
      <c r="H1058">
        <v>0</v>
      </c>
      <c r="I1058">
        <v>222958.81159020399</v>
      </c>
      <c r="J1058">
        <v>0.51326012382934905</v>
      </c>
      <c r="K1058" t="str">
        <f t="shared" si="128"/>
        <v>OK</v>
      </c>
      <c r="L1058" t="str">
        <f t="shared" si="129"/>
        <v>OK</v>
      </c>
      <c r="M1058" t="str">
        <f>IF(OR(B1058&lt;$AE$20,B1058&gt;$AF$20),"Outlier","OK")</f>
        <v>OK</v>
      </c>
      <c r="N1058" t="str">
        <f>IF(OR(J1058&lt;$AE$21,J1058&gt;$AF$21),"Outlier","OK")</f>
        <v>OK</v>
      </c>
      <c r="O1058" t="str">
        <f>IF(OR(C1058&lt;0,C1058&gt;1),"Outlier","OK")</f>
        <v>OK</v>
      </c>
      <c r="P1058" t="str">
        <f>IF(OR(D1058&lt;0,D1058&gt;1),"Outlier","OK")</f>
        <v>OK</v>
      </c>
      <c r="Q1058" t="str">
        <f t="shared" si="130"/>
        <v>40-60%</v>
      </c>
      <c r="R1058" t="str">
        <f>IF(B1058="","Missing","OK")</f>
        <v>OK</v>
      </c>
      <c r="S1058" t="str">
        <f>IF(E1058="","Missing","OK")</f>
        <v>OK</v>
      </c>
      <c r="T1058" t="str">
        <f t="shared" si="131"/>
        <v>OK</v>
      </c>
      <c r="U1058">
        <f>COUNTIF($A:$A,A1058)</f>
        <v>1</v>
      </c>
      <c r="V1058" t="str">
        <f t="shared" si="132"/>
        <v>OK</v>
      </c>
      <c r="W1058" t="str">
        <f>IF(I1058&gt;B1058,"ERROR","OK")</f>
        <v>OK</v>
      </c>
      <c r="X1058">
        <f>(B1058-I1058)/B1058</f>
        <v>0.51326012382935093</v>
      </c>
      <c r="Y1058" s="2">
        <f t="shared" si="133"/>
        <v>1.8873791418627661E-15</v>
      </c>
      <c r="Z1058" s="2" t="str">
        <f t="shared" si="134"/>
        <v>OK</v>
      </c>
      <c r="AA1058" t="str">
        <f t="shared" si="135"/>
        <v>Unique</v>
      </c>
    </row>
    <row r="1059" spans="1:27" x14ac:dyDescent="0.3">
      <c r="A1059">
        <v>1058</v>
      </c>
      <c r="B1059">
        <v>188070.100210637</v>
      </c>
      <c r="C1059">
        <v>0.18925752710167101</v>
      </c>
      <c r="D1059">
        <v>0.19865788695038</v>
      </c>
      <c r="E1059">
        <v>0.40816606838144998</v>
      </c>
      <c r="F1059">
        <v>1</v>
      </c>
      <c r="G1059" t="s">
        <v>12</v>
      </c>
      <c r="H1059">
        <v>1</v>
      </c>
      <c r="I1059">
        <v>76763.833383081204</v>
      </c>
      <c r="J1059">
        <v>0.59183393161854903</v>
      </c>
      <c r="K1059" t="str">
        <f t="shared" si="128"/>
        <v>OK</v>
      </c>
      <c r="L1059" t="str">
        <f t="shared" si="129"/>
        <v>OK</v>
      </c>
      <c r="M1059" t="str">
        <f>IF(OR(B1059&lt;$AE$20,B1059&gt;$AF$20),"Outlier","OK")</f>
        <v>OK</v>
      </c>
      <c r="N1059" t="str">
        <f>IF(OR(J1059&lt;$AE$21,J1059&gt;$AF$21),"Outlier","OK")</f>
        <v>OK</v>
      </c>
      <c r="O1059" t="str">
        <f>IF(OR(C1059&lt;0,C1059&gt;1),"Outlier","OK")</f>
        <v>OK</v>
      </c>
      <c r="P1059" t="str">
        <f>IF(OR(D1059&lt;0,D1059&gt;1),"Outlier","OK")</f>
        <v>OK</v>
      </c>
      <c r="Q1059" t="str">
        <f t="shared" si="130"/>
        <v>40-60%</v>
      </c>
      <c r="R1059" t="str">
        <f>IF(B1059="","Missing","OK")</f>
        <v>OK</v>
      </c>
      <c r="S1059" t="str">
        <f>IF(E1059="","Missing","OK")</f>
        <v>OK</v>
      </c>
      <c r="T1059" t="str">
        <f t="shared" si="131"/>
        <v>OK</v>
      </c>
      <c r="U1059">
        <f>COUNTIF($A:$A,A1059)</f>
        <v>1</v>
      </c>
      <c r="V1059" t="str">
        <f t="shared" si="132"/>
        <v>OK</v>
      </c>
      <c r="W1059" t="str">
        <f>IF(I1059&gt;B1059,"ERROR","OK")</f>
        <v>OK</v>
      </c>
      <c r="X1059">
        <f>(B1059-I1059)/B1059</f>
        <v>0.59183393161854903</v>
      </c>
      <c r="Y1059" s="2">
        <f t="shared" si="133"/>
        <v>0</v>
      </c>
      <c r="Z1059" s="2" t="str">
        <f t="shared" si="134"/>
        <v>OK</v>
      </c>
      <c r="AA1059" t="str">
        <f t="shared" si="135"/>
        <v>Unique</v>
      </c>
    </row>
    <row r="1060" spans="1:27" x14ac:dyDescent="0.3">
      <c r="A1060">
        <v>1059</v>
      </c>
      <c r="B1060">
        <v>400656.40045381198</v>
      </c>
      <c r="C1060">
        <v>0.63100151210907396</v>
      </c>
      <c r="D1060">
        <v>-8.6114789227939494E-3</v>
      </c>
      <c r="E1060">
        <v>0.36276060269104399</v>
      </c>
      <c r="F1060">
        <v>1</v>
      </c>
      <c r="G1060" t="s">
        <v>12</v>
      </c>
      <c r="H1060">
        <v>1</v>
      </c>
      <c r="I1060">
        <v>145342.35730064899</v>
      </c>
      <c r="J1060">
        <v>0.63723939730895496</v>
      </c>
      <c r="K1060" t="str">
        <f t="shared" si="128"/>
        <v>OK</v>
      </c>
      <c r="L1060" t="str">
        <f t="shared" si="129"/>
        <v>OK</v>
      </c>
      <c r="M1060" t="str">
        <f>IF(OR(B1060&lt;$AE$20,B1060&gt;$AF$20),"Outlier","OK")</f>
        <v>OK</v>
      </c>
      <c r="N1060" t="str">
        <f>IF(OR(J1060&lt;$AE$21,J1060&gt;$AF$21),"Outlier","OK")</f>
        <v>OK</v>
      </c>
      <c r="O1060" t="str">
        <f>IF(OR(C1060&lt;0,C1060&gt;1),"Outlier","OK")</f>
        <v>OK</v>
      </c>
      <c r="P1060" t="str">
        <f>IF(OR(D1060&lt;0,D1060&gt;1),"Outlier","OK")</f>
        <v>Outlier</v>
      </c>
      <c r="Q1060" t="str">
        <f t="shared" si="130"/>
        <v>60-80%</v>
      </c>
      <c r="R1060" t="str">
        <f>IF(B1060="","Missing","OK")</f>
        <v>OK</v>
      </c>
      <c r="S1060" t="str">
        <f>IF(E1060="","Missing","OK")</f>
        <v>OK</v>
      </c>
      <c r="T1060" t="str">
        <f t="shared" si="131"/>
        <v>OK</v>
      </c>
      <c r="U1060">
        <f>COUNTIF($A:$A,A1060)</f>
        <v>1</v>
      </c>
      <c r="V1060" t="str">
        <f t="shared" si="132"/>
        <v>OK</v>
      </c>
      <c r="W1060" t="str">
        <f>IF(I1060&gt;B1060,"ERROR","OK")</f>
        <v>OK</v>
      </c>
      <c r="X1060">
        <f>(B1060-I1060)/B1060</f>
        <v>0.63723939730895629</v>
      </c>
      <c r="Y1060" s="2">
        <f t="shared" si="133"/>
        <v>1.3322676295501878E-15</v>
      </c>
      <c r="Z1060" s="2" t="str">
        <f t="shared" si="134"/>
        <v>OK</v>
      </c>
      <c r="AA1060" t="str">
        <f t="shared" si="135"/>
        <v>Unique</v>
      </c>
    </row>
    <row r="1061" spans="1:27" x14ac:dyDescent="0.3">
      <c r="A1061">
        <v>1060</v>
      </c>
      <c r="B1061">
        <v>799621.40293582703</v>
      </c>
      <c r="C1061">
        <v>0.80618417351609895</v>
      </c>
      <c r="D1061">
        <v>1.0312203463613201E-3</v>
      </c>
      <c r="E1061">
        <v>0.31711932376086899</v>
      </c>
      <c r="F1061">
        <v>1</v>
      </c>
      <c r="G1061" t="s">
        <v>10</v>
      </c>
      <c r="H1061">
        <v>0</v>
      </c>
      <c r="I1061">
        <v>253575.39856372701</v>
      </c>
      <c r="J1061">
        <v>0.68288067623912996</v>
      </c>
      <c r="K1061" t="str">
        <f t="shared" si="128"/>
        <v>OK</v>
      </c>
      <c r="L1061" t="str">
        <f t="shared" si="129"/>
        <v>OK</v>
      </c>
      <c r="M1061" t="str">
        <f>IF(OR(B1061&lt;$AE$20,B1061&gt;$AF$20),"Outlier","OK")</f>
        <v>OK</v>
      </c>
      <c r="N1061" t="str">
        <f>IF(OR(J1061&lt;$AE$21,J1061&gt;$AF$21),"Outlier","OK")</f>
        <v>OK</v>
      </c>
      <c r="O1061" t="str">
        <f>IF(OR(C1061&lt;0,C1061&gt;1),"Outlier","OK")</f>
        <v>OK</v>
      </c>
      <c r="P1061" t="str">
        <f>IF(OR(D1061&lt;0,D1061&gt;1),"Outlier","OK")</f>
        <v>OK</v>
      </c>
      <c r="Q1061" t="str">
        <f t="shared" si="130"/>
        <v>60-80%</v>
      </c>
      <c r="R1061" t="str">
        <f>IF(B1061="","Missing","OK")</f>
        <v>OK</v>
      </c>
      <c r="S1061" t="str">
        <f>IF(E1061="","Missing","OK")</f>
        <v>OK</v>
      </c>
      <c r="T1061" t="str">
        <f t="shared" si="131"/>
        <v>OK</v>
      </c>
      <c r="U1061">
        <f>COUNTIF($A:$A,A1061)</f>
        <v>1</v>
      </c>
      <c r="V1061" t="str">
        <f t="shared" si="132"/>
        <v>OK</v>
      </c>
      <c r="W1061" t="str">
        <f>IF(I1061&gt;B1061,"ERROR","OK")</f>
        <v>OK</v>
      </c>
      <c r="X1061">
        <f>(B1061-I1061)/B1061</f>
        <v>0.68288067623913074</v>
      </c>
      <c r="Y1061" s="2">
        <f t="shared" si="133"/>
        <v>7.7715611723760958E-16</v>
      </c>
      <c r="Z1061" s="2" t="str">
        <f t="shared" si="134"/>
        <v>OK</v>
      </c>
      <c r="AA1061" t="str">
        <f t="shared" si="135"/>
        <v>Unique</v>
      </c>
    </row>
    <row r="1062" spans="1:27" x14ac:dyDescent="0.3">
      <c r="A1062">
        <v>1061</v>
      </c>
      <c r="B1062">
        <v>1008526.0314577</v>
      </c>
      <c r="C1062">
        <v>0.66720067861347299</v>
      </c>
      <c r="D1062">
        <v>0.19037899656462501</v>
      </c>
      <c r="E1062">
        <v>0.124254067675692</v>
      </c>
      <c r="F1062">
        <v>1</v>
      </c>
      <c r="G1062" t="s">
        <v>12</v>
      </c>
      <c r="H1062">
        <v>0</v>
      </c>
      <c r="I1062">
        <v>125313.461765443</v>
      </c>
      <c r="J1062">
        <v>0.87574593232430697</v>
      </c>
      <c r="K1062" t="str">
        <f t="shared" si="128"/>
        <v>OK</v>
      </c>
      <c r="L1062" t="str">
        <f t="shared" si="129"/>
        <v>OK</v>
      </c>
      <c r="M1062" t="str">
        <f>IF(OR(B1062&lt;$AE$20,B1062&gt;$AF$20),"Outlier","OK")</f>
        <v>OK</v>
      </c>
      <c r="N1062" t="str">
        <f>IF(OR(J1062&lt;$AE$21,J1062&gt;$AF$21),"Outlier","OK")</f>
        <v>OK</v>
      </c>
      <c r="O1062" t="str">
        <f>IF(OR(C1062&lt;0,C1062&gt;1),"Outlier","OK")</f>
        <v>OK</v>
      </c>
      <c r="P1062" t="str">
        <f>IF(OR(D1062&lt;0,D1062&gt;1),"Outlier","OK")</f>
        <v>OK</v>
      </c>
      <c r="Q1062" t="str">
        <f t="shared" si="130"/>
        <v>80-100%</v>
      </c>
      <c r="R1062" t="str">
        <f>IF(B1062="","Missing","OK")</f>
        <v>OK</v>
      </c>
      <c r="S1062" t="str">
        <f>IF(E1062="","Missing","OK")</f>
        <v>OK</v>
      </c>
      <c r="T1062" t="str">
        <f t="shared" si="131"/>
        <v>OK</v>
      </c>
      <c r="U1062">
        <f>COUNTIF($A:$A,A1062)</f>
        <v>1</v>
      </c>
      <c r="V1062" t="str">
        <f t="shared" si="132"/>
        <v>OK</v>
      </c>
      <c r="W1062" t="str">
        <f>IF(I1062&gt;B1062,"ERROR","OK")</f>
        <v>OK</v>
      </c>
      <c r="X1062">
        <f>(B1062-I1062)/B1062</f>
        <v>0.8757459323243072</v>
      </c>
      <c r="Y1062" s="2">
        <f t="shared" si="133"/>
        <v>2.2204460492503131E-16</v>
      </c>
      <c r="Z1062" s="2" t="str">
        <f t="shared" si="134"/>
        <v>OK</v>
      </c>
      <c r="AA1062" t="str">
        <f t="shared" si="135"/>
        <v>Unique</v>
      </c>
    </row>
    <row r="1063" spans="1:27" x14ac:dyDescent="0.3">
      <c r="A1063">
        <v>1062</v>
      </c>
      <c r="B1063">
        <v>1836378.15227675</v>
      </c>
      <c r="C1063">
        <v>0.48039401778580998</v>
      </c>
      <c r="D1063">
        <v>0.19090288680890599</v>
      </c>
      <c r="E1063">
        <v>0.40435512213973601</v>
      </c>
      <c r="F1063">
        <v>1</v>
      </c>
      <c r="G1063" t="s">
        <v>11</v>
      </c>
      <c r="H1063">
        <v>1</v>
      </c>
      <c r="I1063">
        <v>742548.91205860896</v>
      </c>
      <c r="J1063">
        <v>0.59564487786026399</v>
      </c>
      <c r="K1063" t="str">
        <f t="shared" si="128"/>
        <v>OK</v>
      </c>
      <c r="L1063" t="str">
        <f t="shared" si="129"/>
        <v>OK</v>
      </c>
      <c r="M1063" t="str">
        <f>IF(OR(B1063&lt;$AE$20,B1063&gt;$AF$20),"Outlier","OK")</f>
        <v>OK</v>
      </c>
      <c r="N1063" t="str">
        <f>IF(OR(J1063&lt;$AE$21,J1063&gt;$AF$21),"Outlier","OK")</f>
        <v>OK</v>
      </c>
      <c r="O1063" t="str">
        <f>IF(OR(C1063&lt;0,C1063&gt;1),"Outlier","OK")</f>
        <v>OK</v>
      </c>
      <c r="P1063" t="str">
        <f>IF(OR(D1063&lt;0,D1063&gt;1),"Outlier","OK")</f>
        <v>OK</v>
      </c>
      <c r="Q1063" t="str">
        <f t="shared" si="130"/>
        <v>40-60%</v>
      </c>
      <c r="R1063" t="str">
        <f>IF(B1063="","Missing","OK")</f>
        <v>OK</v>
      </c>
      <c r="S1063" t="str">
        <f>IF(E1063="","Missing","OK")</f>
        <v>OK</v>
      </c>
      <c r="T1063" t="str">
        <f t="shared" si="131"/>
        <v>OK</v>
      </c>
      <c r="U1063">
        <f>COUNTIF($A:$A,A1063)</f>
        <v>1</v>
      </c>
      <c r="V1063" t="str">
        <f t="shared" si="132"/>
        <v>OK</v>
      </c>
      <c r="W1063" t="str">
        <f>IF(I1063&gt;B1063,"ERROR","OK")</f>
        <v>OK</v>
      </c>
      <c r="X1063">
        <f>(B1063-I1063)/B1063</f>
        <v>0.59564487786026354</v>
      </c>
      <c r="Y1063" s="2">
        <f t="shared" si="133"/>
        <v>4.4408920985006262E-16</v>
      </c>
      <c r="Z1063" s="2" t="str">
        <f t="shared" si="134"/>
        <v>OK</v>
      </c>
      <c r="AA1063" t="str">
        <f t="shared" si="135"/>
        <v>Unique</v>
      </c>
    </row>
    <row r="1064" spans="1:27" x14ac:dyDescent="0.3">
      <c r="A1064">
        <v>1063</v>
      </c>
      <c r="B1064">
        <v>1272989.3389727499</v>
      </c>
      <c r="C1064">
        <v>0.31550774196013498</v>
      </c>
      <c r="D1064">
        <v>-5.2619905890374401E-2</v>
      </c>
      <c r="E1064">
        <v>0.20900531801179201</v>
      </c>
      <c r="F1064">
        <v>1</v>
      </c>
      <c r="G1064" t="s">
        <v>12</v>
      </c>
      <c r="H1064">
        <v>0</v>
      </c>
      <c r="I1064">
        <v>266061.54161762202</v>
      </c>
      <c r="J1064">
        <v>0.79099468198820699</v>
      </c>
      <c r="K1064" t="str">
        <f t="shared" si="128"/>
        <v>OK</v>
      </c>
      <c r="L1064" t="str">
        <f t="shared" si="129"/>
        <v>OK</v>
      </c>
      <c r="M1064" t="str">
        <f>IF(OR(B1064&lt;$AE$20,B1064&gt;$AF$20),"Outlier","OK")</f>
        <v>OK</v>
      </c>
      <c r="N1064" t="str">
        <f>IF(OR(J1064&lt;$AE$21,J1064&gt;$AF$21),"Outlier","OK")</f>
        <v>OK</v>
      </c>
      <c r="O1064" t="str">
        <f>IF(OR(C1064&lt;0,C1064&gt;1),"Outlier","OK")</f>
        <v>OK</v>
      </c>
      <c r="P1064" t="str">
        <f>IF(OR(D1064&lt;0,D1064&gt;1),"Outlier","OK")</f>
        <v>Outlier</v>
      </c>
      <c r="Q1064" t="str">
        <f t="shared" si="130"/>
        <v>60-80%</v>
      </c>
      <c r="R1064" t="str">
        <f>IF(B1064="","Missing","OK")</f>
        <v>OK</v>
      </c>
      <c r="S1064" t="str">
        <f>IF(E1064="","Missing","OK")</f>
        <v>OK</v>
      </c>
      <c r="T1064" t="str">
        <f t="shared" si="131"/>
        <v>OK</v>
      </c>
      <c r="U1064">
        <f>COUNTIF($A:$A,A1064)</f>
        <v>1</v>
      </c>
      <c r="V1064" t="str">
        <f t="shared" si="132"/>
        <v>OK</v>
      </c>
      <c r="W1064" t="str">
        <f>IF(I1064&gt;B1064,"ERROR","OK")</f>
        <v>OK</v>
      </c>
      <c r="X1064">
        <f>(B1064-I1064)/B1064</f>
        <v>0.79099468198820677</v>
      </c>
      <c r="Y1064" s="2">
        <f t="shared" si="133"/>
        <v>2.2204460492503131E-16</v>
      </c>
      <c r="Z1064" s="2" t="str">
        <f t="shared" si="134"/>
        <v>OK</v>
      </c>
      <c r="AA1064" t="str">
        <f t="shared" si="135"/>
        <v>Unique</v>
      </c>
    </row>
    <row r="1065" spans="1:27" x14ac:dyDescent="0.3">
      <c r="A1065">
        <v>1064</v>
      </c>
      <c r="B1065">
        <v>1427635.6372634899</v>
      </c>
      <c r="C1065">
        <v>0.123413426150637</v>
      </c>
      <c r="D1065">
        <v>6.8259184153713098E-2</v>
      </c>
      <c r="E1065">
        <v>0.50567832090320297</v>
      </c>
      <c r="F1065">
        <v>1</v>
      </c>
      <c r="G1065" t="s">
        <v>10</v>
      </c>
      <c r="H1065">
        <v>0</v>
      </c>
      <c r="I1065">
        <v>721924.39191298105</v>
      </c>
      <c r="J1065">
        <v>0.49432167909679597</v>
      </c>
      <c r="K1065" t="str">
        <f t="shared" si="128"/>
        <v>OK</v>
      </c>
      <c r="L1065" t="str">
        <f t="shared" si="129"/>
        <v>OK</v>
      </c>
      <c r="M1065" t="str">
        <f>IF(OR(B1065&lt;$AE$20,B1065&gt;$AF$20),"Outlier","OK")</f>
        <v>OK</v>
      </c>
      <c r="N1065" t="str">
        <f>IF(OR(J1065&lt;$AE$21,J1065&gt;$AF$21),"Outlier","OK")</f>
        <v>OK</v>
      </c>
      <c r="O1065" t="str">
        <f>IF(OR(C1065&lt;0,C1065&gt;1),"Outlier","OK")</f>
        <v>OK</v>
      </c>
      <c r="P1065" t="str">
        <f>IF(OR(D1065&lt;0,D1065&gt;1),"Outlier","OK")</f>
        <v>OK</v>
      </c>
      <c r="Q1065" t="str">
        <f t="shared" si="130"/>
        <v>40-60%</v>
      </c>
      <c r="R1065" t="str">
        <f>IF(B1065="","Missing","OK")</f>
        <v>OK</v>
      </c>
      <c r="S1065" t="str">
        <f>IF(E1065="","Missing","OK")</f>
        <v>OK</v>
      </c>
      <c r="T1065" t="str">
        <f t="shared" si="131"/>
        <v>OK</v>
      </c>
      <c r="U1065">
        <f>COUNTIF($A:$A,A1065)</f>
        <v>1</v>
      </c>
      <c r="V1065" t="str">
        <f t="shared" si="132"/>
        <v>OK</v>
      </c>
      <c r="W1065" t="str">
        <f>IF(I1065&gt;B1065,"ERROR","OK")</f>
        <v>OK</v>
      </c>
      <c r="X1065">
        <f>(B1065-I1065)/B1065</f>
        <v>0.49432167909679331</v>
      </c>
      <c r="Y1065" s="2">
        <f t="shared" si="133"/>
        <v>2.6645352591003757E-15</v>
      </c>
      <c r="Z1065" s="2" t="str">
        <f t="shared" si="134"/>
        <v>OK</v>
      </c>
      <c r="AA1065" t="str">
        <f t="shared" si="135"/>
        <v>Unique</v>
      </c>
    </row>
    <row r="1066" spans="1:27" x14ac:dyDescent="0.3">
      <c r="A1066">
        <v>1065</v>
      </c>
      <c r="B1066">
        <v>210115.81951145901</v>
      </c>
      <c r="C1066">
        <v>0.40412712770848602</v>
      </c>
      <c r="D1066">
        <v>0.158042677755484</v>
      </c>
      <c r="E1066">
        <v>0.16886324534851199</v>
      </c>
      <c r="F1066">
        <v>1</v>
      </c>
      <c r="G1066" t="s">
        <v>10</v>
      </c>
      <c r="H1066">
        <v>1</v>
      </c>
      <c r="I1066">
        <v>35480.839181767296</v>
      </c>
      <c r="J1066">
        <v>0.83113675465148695</v>
      </c>
      <c r="K1066" t="str">
        <f t="shared" si="128"/>
        <v>OK</v>
      </c>
      <c r="L1066" t="str">
        <f t="shared" si="129"/>
        <v>OK</v>
      </c>
      <c r="M1066" t="str">
        <f>IF(OR(B1066&lt;$AE$20,B1066&gt;$AF$20),"Outlier","OK")</f>
        <v>OK</v>
      </c>
      <c r="N1066" t="str">
        <f>IF(OR(J1066&lt;$AE$21,J1066&gt;$AF$21),"Outlier","OK")</f>
        <v>OK</v>
      </c>
      <c r="O1066" t="str">
        <f>IF(OR(C1066&lt;0,C1066&gt;1),"Outlier","OK")</f>
        <v>OK</v>
      </c>
      <c r="P1066" t="str">
        <f>IF(OR(D1066&lt;0,D1066&gt;1),"Outlier","OK")</f>
        <v>OK</v>
      </c>
      <c r="Q1066" t="str">
        <f t="shared" si="130"/>
        <v>80-100%</v>
      </c>
      <c r="R1066" t="str">
        <f>IF(B1066="","Missing","OK")</f>
        <v>OK</v>
      </c>
      <c r="S1066" t="str">
        <f>IF(E1066="","Missing","OK")</f>
        <v>OK</v>
      </c>
      <c r="T1066" t="str">
        <f t="shared" si="131"/>
        <v>OK</v>
      </c>
      <c r="U1066">
        <f>COUNTIF($A:$A,A1066)</f>
        <v>1</v>
      </c>
      <c r="V1066" t="str">
        <f t="shared" si="132"/>
        <v>OK</v>
      </c>
      <c r="W1066" t="str">
        <f>IF(I1066&gt;B1066,"ERROR","OK")</f>
        <v>OK</v>
      </c>
      <c r="X1066">
        <f>(B1066-I1066)/B1066</f>
        <v>0.8311367546514874</v>
      </c>
      <c r="Y1066" s="2">
        <f t="shared" si="133"/>
        <v>4.4408920985006262E-16</v>
      </c>
      <c r="Z1066" s="2" t="str">
        <f t="shared" si="134"/>
        <v>OK</v>
      </c>
      <c r="AA1066" t="str">
        <f t="shared" si="135"/>
        <v>Unique</v>
      </c>
    </row>
    <row r="1067" spans="1:27" x14ac:dyDescent="0.3">
      <c r="A1067">
        <v>1066</v>
      </c>
      <c r="B1067">
        <v>609234.821860175</v>
      </c>
      <c r="C1067">
        <v>0.19849086794096399</v>
      </c>
      <c r="D1067">
        <v>-0.104581883110832</v>
      </c>
      <c r="E1067">
        <v>4.8669961252739598E-2</v>
      </c>
      <c r="F1067">
        <v>1</v>
      </c>
      <c r="G1067" t="s">
        <v>13</v>
      </c>
      <c r="H1067">
        <v>0</v>
      </c>
      <c r="I1067">
        <v>29651.4351737545</v>
      </c>
      <c r="J1067">
        <v>0.95133003874725997</v>
      </c>
      <c r="K1067" t="str">
        <f t="shared" si="128"/>
        <v>OK</v>
      </c>
      <c r="L1067" t="str">
        <f t="shared" si="129"/>
        <v>OK</v>
      </c>
      <c r="M1067" t="str">
        <f>IF(OR(B1067&lt;$AE$20,B1067&gt;$AF$20),"Outlier","OK")</f>
        <v>OK</v>
      </c>
      <c r="N1067" t="str">
        <f>IF(OR(J1067&lt;$AE$21,J1067&gt;$AF$21),"Outlier","OK")</f>
        <v>OK</v>
      </c>
      <c r="O1067" t="str">
        <f>IF(OR(C1067&lt;0,C1067&gt;1),"Outlier","OK")</f>
        <v>OK</v>
      </c>
      <c r="P1067" t="str">
        <f>IF(OR(D1067&lt;0,D1067&gt;1),"Outlier","OK")</f>
        <v>Outlier</v>
      </c>
      <c r="Q1067" t="str">
        <f t="shared" si="130"/>
        <v>80-100%</v>
      </c>
      <c r="R1067" t="str">
        <f>IF(B1067="","Missing","OK")</f>
        <v>OK</v>
      </c>
      <c r="S1067" t="str">
        <f>IF(E1067="","Missing","OK")</f>
        <v>OK</v>
      </c>
      <c r="T1067" t="str">
        <f t="shared" si="131"/>
        <v>OK</v>
      </c>
      <c r="U1067">
        <f>COUNTIF($A:$A,A1067)</f>
        <v>1</v>
      </c>
      <c r="V1067" t="str">
        <f t="shared" si="132"/>
        <v>OK</v>
      </c>
      <c r="W1067" t="str">
        <f>IF(I1067&gt;B1067,"ERROR","OK")</f>
        <v>OK</v>
      </c>
      <c r="X1067">
        <f>(B1067-I1067)/B1067</f>
        <v>0.9513300387472603</v>
      </c>
      <c r="Y1067" s="2">
        <f t="shared" si="133"/>
        <v>3.3306690738754696E-16</v>
      </c>
      <c r="Z1067" s="2" t="str">
        <f t="shared" si="134"/>
        <v>OK</v>
      </c>
      <c r="AA1067" t="str">
        <f t="shared" si="135"/>
        <v>Unique</v>
      </c>
    </row>
    <row r="1068" spans="1:27" x14ac:dyDescent="0.3">
      <c r="A1068">
        <v>1067</v>
      </c>
      <c r="B1068">
        <v>1983877.23025852</v>
      </c>
      <c r="C1068">
        <v>0.48267755392752298</v>
      </c>
      <c r="D1068">
        <v>0.117033200848599</v>
      </c>
      <c r="E1068">
        <v>0.27903138143922401</v>
      </c>
      <c r="F1068">
        <v>1</v>
      </c>
      <c r="G1068" t="s">
        <v>10</v>
      </c>
      <c r="H1068">
        <v>1</v>
      </c>
      <c r="I1068">
        <v>553564.00416485604</v>
      </c>
      <c r="J1068">
        <v>0.72096861856077499</v>
      </c>
      <c r="K1068" t="str">
        <f t="shared" si="128"/>
        <v>OK</v>
      </c>
      <c r="L1068" t="str">
        <f t="shared" si="129"/>
        <v>OK</v>
      </c>
      <c r="M1068" t="str">
        <f>IF(OR(B1068&lt;$AE$20,B1068&gt;$AF$20),"Outlier","OK")</f>
        <v>OK</v>
      </c>
      <c r="N1068" t="str">
        <f>IF(OR(J1068&lt;$AE$21,J1068&gt;$AF$21),"Outlier","OK")</f>
        <v>OK</v>
      </c>
      <c r="O1068" t="str">
        <f>IF(OR(C1068&lt;0,C1068&gt;1),"Outlier","OK")</f>
        <v>OK</v>
      </c>
      <c r="P1068" t="str">
        <f>IF(OR(D1068&lt;0,D1068&gt;1),"Outlier","OK")</f>
        <v>OK</v>
      </c>
      <c r="Q1068" t="str">
        <f t="shared" si="130"/>
        <v>60-80%</v>
      </c>
      <c r="R1068" t="str">
        <f>IF(B1068="","Missing","OK")</f>
        <v>OK</v>
      </c>
      <c r="S1068" t="str">
        <f>IF(E1068="","Missing","OK")</f>
        <v>OK</v>
      </c>
      <c r="T1068" t="str">
        <f t="shared" si="131"/>
        <v>OK</v>
      </c>
      <c r="U1068">
        <f>COUNTIF($A:$A,A1068)</f>
        <v>1</v>
      </c>
      <c r="V1068" t="str">
        <f t="shared" si="132"/>
        <v>OK</v>
      </c>
      <c r="W1068" t="str">
        <f>IF(I1068&gt;B1068,"ERROR","OK")</f>
        <v>OK</v>
      </c>
      <c r="X1068">
        <f>(B1068-I1068)/B1068</f>
        <v>0.7209686185607761</v>
      </c>
      <c r="Y1068" s="2">
        <f t="shared" si="133"/>
        <v>1.1102230246251565E-15</v>
      </c>
      <c r="Z1068" s="2" t="str">
        <f t="shared" si="134"/>
        <v>OK</v>
      </c>
      <c r="AA1068" t="str">
        <f t="shared" si="135"/>
        <v>Unique</v>
      </c>
    </row>
    <row r="1069" spans="1:27" x14ac:dyDescent="0.3">
      <c r="A1069">
        <v>1068</v>
      </c>
      <c r="B1069">
        <v>1142823.48820617</v>
      </c>
      <c r="C1069">
        <v>0.56856123719336804</v>
      </c>
      <c r="D1069">
        <v>-9.01928691982435E-2</v>
      </c>
      <c r="E1069">
        <v>0.240117520945616</v>
      </c>
      <c r="F1069">
        <v>1</v>
      </c>
      <c r="G1069" t="s">
        <v>10</v>
      </c>
      <c r="H1069">
        <v>0</v>
      </c>
      <c r="I1069">
        <v>274411.94286648801</v>
      </c>
      <c r="J1069">
        <v>0.759882479054383</v>
      </c>
      <c r="K1069" t="str">
        <f t="shared" si="128"/>
        <v>OK</v>
      </c>
      <c r="L1069" t="str">
        <f t="shared" si="129"/>
        <v>OK</v>
      </c>
      <c r="M1069" t="str">
        <f>IF(OR(B1069&lt;$AE$20,B1069&gt;$AF$20),"Outlier","OK")</f>
        <v>OK</v>
      </c>
      <c r="N1069" t="str">
        <f>IF(OR(J1069&lt;$AE$21,J1069&gt;$AF$21),"Outlier","OK")</f>
        <v>OK</v>
      </c>
      <c r="O1069" t="str">
        <f>IF(OR(C1069&lt;0,C1069&gt;1),"Outlier","OK")</f>
        <v>OK</v>
      </c>
      <c r="P1069" t="str">
        <f>IF(OR(D1069&lt;0,D1069&gt;1),"Outlier","OK")</f>
        <v>Outlier</v>
      </c>
      <c r="Q1069" t="str">
        <f t="shared" si="130"/>
        <v>60-80%</v>
      </c>
      <c r="R1069" t="str">
        <f>IF(B1069="","Missing","OK")</f>
        <v>OK</v>
      </c>
      <c r="S1069" t="str">
        <f>IF(E1069="","Missing","OK")</f>
        <v>OK</v>
      </c>
      <c r="T1069" t="str">
        <f t="shared" si="131"/>
        <v>OK</v>
      </c>
      <c r="U1069">
        <f>COUNTIF($A:$A,A1069)</f>
        <v>1</v>
      </c>
      <c r="V1069" t="str">
        <f t="shared" si="132"/>
        <v>OK</v>
      </c>
      <c r="W1069" t="str">
        <f>IF(I1069&gt;B1069,"ERROR","OK")</f>
        <v>OK</v>
      </c>
      <c r="X1069">
        <f>(B1069-I1069)/B1069</f>
        <v>0.75988247905438311</v>
      </c>
      <c r="Y1069" s="2">
        <f t="shared" si="133"/>
        <v>1.1102230246251565E-16</v>
      </c>
      <c r="Z1069" s="2" t="str">
        <f t="shared" si="134"/>
        <v>OK</v>
      </c>
      <c r="AA1069" t="str">
        <f t="shared" si="135"/>
        <v>Unique</v>
      </c>
    </row>
    <row r="1070" spans="1:27" x14ac:dyDescent="0.3">
      <c r="A1070">
        <v>1069</v>
      </c>
      <c r="B1070">
        <v>1586243.9951309799</v>
      </c>
      <c r="C1070">
        <v>0.88289718372391002</v>
      </c>
      <c r="D1070">
        <v>-1.2814203126441799E-2</v>
      </c>
      <c r="E1070">
        <v>0.110132918572941</v>
      </c>
      <c r="F1070">
        <v>1</v>
      </c>
      <c r="G1070" t="s">
        <v>10</v>
      </c>
      <c r="H1070">
        <v>1</v>
      </c>
      <c r="I1070">
        <v>174697.680752577</v>
      </c>
      <c r="J1070">
        <v>0.88986708142705795</v>
      </c>
      <c r="K1070" t="str">
        <f t="shared" si="128"/>
        <v>OK</v>
      </c>
      <c r="L1070" t="str">
        <f t="shared" si="129"/>
        <v>OK</v>
      </c>
      <c r="M1070" t="str">
        <f>IF(OR(B1070&lt;$AE$20,B1070&gt;$AF$20),"Outlier","OK")</f>
        <v>OK</v>
      </c>
      <c r="N1070" t="str">
        <f>IF(OR(J1070&lt;$AE$21,J1070&gt;$AF$21),"Outlier","OK")</f>
        <v>OK</v>
      </c>
      <c r="O1070" t="str">
        <f>IF(OR(C1070&lt;0,C1070&gt;1),"Outlier","OK")</f>
        <v>OK</v>
      </c>
      <c r="P1070" t="str">
        <f>IF(OR(D1070&lt;0,D1070&gt;1),"Outlier","OK")</f>
        <v>Outlier</v>
      </c>
      <c r="Q1070" t="str">
        <f t="shared" si="130"/>
        <v>80-100%</v>
      </c>
      <c r="R1070" t="str">
        <f>IF(B1070="","Missing","OK")</f>
        <v>OK</v>
      </c>
      <c r="S1070" t="str">
        <f>IF(E1070="","Missing","OK")</f>
        <v>OK</v>
      </c>
      <c r="T1070" t="str">
        <f t="shared" si="131"/>
        <v>OK</v>
      </c>
      <c r="U1070">
        <f>COUNTIF($A:$A,A1070)</f>
        <v>1</v>
      </c>
      <c r="V1070" t="str">
        <f t="shared" si="132"/>
        <v>OK</v>
      </c>
      <c r="W1070" t="str">
        <f>IF(I1070&gt;B1070,"ERROR","OK")</f>
        <v>OK</v>
      </c>
      <c r="X1070">
        <f>(B1070-I1070)/B1070</f>
        <v>0.88986708142705884</v>
      </c>
      <c r="Y1070" s="2">
        <f t="shared" si="133"/>
        <v>8.8817841970012523E-16</v>
      </c>
      <c r="Z1070" s="2" t="str">
        <f t="shared" si="134"/>
        <v>OK</v>
      </c>
      <c r="AA1070" t="str">
        <f t="shared" si="135"/>
        <v>Unique</v>
      </c>
    </row>
    <row r="1071" spans="1:27" x14ac:dyDescent="0.3">
      <c r="A1071">
        <v>1070</v>
      </c>
      <c r="B1071">
        <v>113340.808712492</v>
      </c>
      <c r="C1071">
        <v>0.25537459596321299</v>
      </c>
      <c r="D1071">
        <v>9.3019916439926895E-2</v>
      </c>
      <c r="E1071">
        <v>0.44999125811653501</v>
      </c>
      <c r="F1071">
        <v>1</v>
      </c>
      <c r="G1071" t="s">
        <v>13</v>
      </c>
      <c r="H1071">
        <v>1</v>
      </c>
      <c r="I1071">
        <v>51002.373108480198</v>
      </c>
      <c r="J1071">
        <v>0.55000874188346405</v>
      </c>
      <c r="K1071" t="str">
        <f t="shared" si="128"/>
        <v>OK</v>
      </c>
      <c r="L1071" t="str">
        <f t="shared" si="129"/>
        <v>OK</v>
      </c>
      <c r="M1071" t="str">
        <f>IF(OR(B1071&lt;$AE$20,B1071&gt;$AF$20),"Outlier","OK")</f>
        <v>OK</v>
      </c>
      <c r="N1071" t="str">
        <f>IF(OR(J1071&lt;$AE$21,J1071&gt;$AF$21),"Outlier","OK")</f>
        <v>OK</v>
      </c>
      <c r="O1071" t="str">
        <f>IF(OR(C1071&lt;0,C1071&gt;1),"Outlier","OK")</f>
        <v>OK</v>
      </c>
      <c r="P1071" t="str">
        <f>IF(OR(D1071&lt;0,D1071&gt;1),"Outlier","OK")</f>
        <v>OK</v>
      </c>
      <c r="Q1071" t="str">
        <f t="shared" si="130"/>
        <v>40-60%</v>
      </c>
      <c r="R1071" t="str">
        <f>IF(B1071="","Missing","OK")</f>
        <v>OK</v>
      </c>
      <c r="S1071" t="str">
        <f>IF(E1071="","Missing","OK")</f>
        <v>OK</v>
      </c>
      <c r="T1071" t="str">
        <f t="shared" si="131"/>
        <v>OK</v>
      </c>
      <c r="U1071">
        <f>COUNTIF($A:$A,A1071)</f>
        <v>1</v>
      </c>
      <c r="V1071" t="str">
        <f t="shared" si="132"/>
        <v>OK</v>
      </c>
      <c r="W1071" t="str">
        <f>IF(I1071&gt;B1071,"ERROR","OK")</f>
        <v>OK</v>
      </c>
      <c r="X1071">
        <f>(B1071-I1071)/B1071</f>
        <v>0.55000874188346149</v>
      </c>
      <c r="Y1071" s="2">
        <f t="shared" si="133"/>
        <v>2.55351295663786E-15</v>
      </c>
      <c r="Z1071" s="2" t="str">
        <f t="shared" si="134"/>
        <v>OK</v>
      </c>
      <c r="AA1071" t="str">
        <f t="shared" si="135"/>
        <v>Unique</v>
      </c>
    </row>
    <row r="1072" spans="1:27" x14ac:dyDescent="0.3">
      <c r="A1072">
        <v>1071</v>
      </c>
      <c r="B1072">
        <v>213948.61755987399</v>
      </c>
      <c r="C1072">
        <v>0.58659553372231599</v>
      </c>
      <c r="D1072">
        <v>1.4981681598039401E-3</v>
      </c>
      <c r="E1072">
        <v>0.121228072715893</v>
      </c>
      <c r="F1072">
        <v>1</v>
      </c>
      <c r="G1072" t="s">
        <v>12</v>
      </c>
      <c r="H1072">
        <v>1</v>
      </c>
      <c r="I1072">
        <v>25936.578567013301</v>
      </c>
      <c r="J1072">
        <v>0.87877192728410602</v>
      </c>
      <c r="K1072" t="str">
        <f t="shared" si="128"/>
        <v>OK</v>
      </c>
      <c r="L1072" t="str">
        <f t="shared" si="129"/>
        <v>OK</v>
      </c>
      <c r="M1072" t="str">
        <f>IF(OR(B1072&lt;$AE$20,B1072&gt;$AF$20),"Outlier","OK")</f>
        <v>OK</v>
      </c>
      <c r="N1072" t="str">
        <f>IF(OR(J1072&lt;$AE$21,J1072&gt;$AF$21),"Outlier","OK")</f>
        <v>OK</v>
      </c>
      <c r="O1072" t="str">
        <f>IF(OR(C1072&lt;0,C1072&gt;1),"Outlier","OK")</f>
        <v>OK</v>
      </c>
      <c r="P1072" t="str">
        <f>IF(OR(D1072&lt;0,D1072&gt;1),"Outlier","OK")</f>
        <v>OK</v>
      </c>
      <c r="Q1072" t="str">
        <f t="shared" si="130"/>
        <v>80-100%</v>
      </c>
      <c r="R1072" t="str">
        <f>IF(B1072="","Missing","OK")</f>
        <v>OK</v>
      </c>
      <c r="S1072" t="str">
        <f>IF(E1072="","Missing","OK")</f>
        <v>OK</v>
      </c>
      <c r="T1072" t="str">
        <f t="shared" si="131"/>
        <v>OK</v>
      </c>
      <c r="U1072">
        <f>COUNTIF($A:$A,A1072)</f>
        <v>1</v>
      </c>
      <c r="V1072" t="str">
        <f t="shared" si="132"/>
        <v>OK</v>
      </c>
      <c r="W1072" t="str">
        <f>IF(I1072&gt;B1072,"ERROR","OK")</f>
        <v>OK</v>
      </c>
      <c r="X1072">
        <f>(B1072-I1072)/B1072</f>
        <v>0.87877192728410647</v>
      </c>
      <c r="Y1072" s="2">
        <f t="shared" si="133"/>
        <v>4.4408920985006262E-16</v>
      </c>
      <c r="Z1072" s="2" t="str">
        <f t="shared" si="134"/>
        <v>OK</v>
      </c>
      <c r="AA1072" t="str">
        <f t="shared" si="135"/>
        <v>Unique</v>
      </c>
    </row>
    <row r="1073" spans="1:27" x14ac:dyDescent="0.3">
      <c r="A1073">
        <v>1072</v>
      </c>
      <c r="B1073">
        <v>263004.73629826697</v>
      </c>
      <c r="C1073">
        <v>0.33939703931148402</v>
      </c>
      <c r="D1073">
        <v>-6.0209238625655997E-2</v>
      </c>
      <c r="E1073">
        <v>0.107802265802936</v>
      </c>
      <c r="F1073">
        <v>1</v>
      </c>
      <c r="G1073" t="s">
        <v>11</v>
      </c>
      <c r="H1073">
        <v>0</v>
      </c>
      <c r="I1073">
        <v>28352.506489857002</v>
      </c>
      <c r="J1073">
        <v>0.89219773419706305</v>
      </c>
      <c r="K1073" t="str">
        <f t="shared" si="128"/>
        <v>OK</v>
      </c>
      <c r="L1073" t="str">
        <f t="shared" si="129"/>
        <v>OK</v>
      </c>
      <c r="M1073" t="str">
        <f>IF(OR(B1073&lt;$AE$20,B1073&gt;$AF$20),"Outlier","OK")</f>
        <v>OK</v>
      </c>
      <c r="N1073" t="str">
        <f>IF(OR(J1073&lt;$AE$21,J1073&gt;$AF$21),"Outlier","OK")</f>
        <v>OK</v>
      </c>
      <c r="O1073" t="str">
        <f>IF(OR(C1073&lt;0,C1073&gt;1),"Outlier","OK")</f>
        <v>OK</v>
      </c>
      <c r="P1073" t="str">
        <f>IF(OR(D1073&lt;0,D1073&gt;1),"Outlier","OK")</f>
        <v>Outlier</v>
      </c>
      <c r="Q1073" t="str">
        <f t="shared" si="130"/>
        <v>80-100%</v>
      </c>
      <c r="R1073" t="str">
        <f>IF(B1073="","Missing","OK")</f>
        <v>OK</v>
      </c>
      <c r="S1073" t="str">
        <f>IF(E1073="","Missing","OK")</f>
        <v>OK</v>
      </c>
      <c r="T1073" t="str">
        <f t="shared" si="131"/>
        <v>OK</v>
      </c>
      <c r="U1073">
        <f>COUNTIF($A:$A,A1073)</f>
        <v>1</v>
      </c>
      <c r="V1073" t="str">
        <f t="shared" si="132"/>
        <v>OK</v>
      </c>
      <c r="W1073" t="str">
        <f>IF(I1073&gt;B1073,"ERROR","OK")</f>
        <v>OK</v>
      </c>
      <c r="X1073">
        <f>(B1073-I1073)/B1073</f>
        <v>0.8921977341970635</v>
      </c>
      <c r="Y1073" s="2">
        <f t="shared" si="133"/>
        <v>4.4408920985006262E-16</v>
      </c>
      <c r="Z1073" s="2" t="str">
        <f t="shared" si="134"/>
        <v>OK</v>
      </c>
      <c r="AA1073" t="str">
        <f t="shared" si="135"/>
        <v>Unique</v>
      </c>
    </row>
    <row r="1074" spans="1:27" x14ac:dyDescent="0.3">
      <c r="A1074">
        <v>1073</v>
      </c>
      <c r="B1074">
        <v>79807.396460611693</v>
      </c>
      <c r="C1074">
        <v>0.181056361008989</v>
      </c>
      <c r="D1074">
        <v>0.11401051926462701</v>
      </c>
      <c r="E1074">
        <v>0.35139010833383599</v>
      </c>
      <c r="F1074">
        <v>1</v>
      </c>
      <c r="G1074" t="s">
        <v>12</v>
      </c>
      <c r="H1074">
        <v>1</v>
      </c>
      <c r="I1074">
        <v>28043.529688135699</v>
      </c>
      <c r="J1074">
        <v>0.64860989166616301</v>
      </c>
      <c r="K1074" t="str">
        <f t="shared" si="128"/>
        <v>OK</v>
      </c>
      <c r="L1074" t="str">
        <f t="shared" si="129"/>
        <v>OK</v>
      </c>
      <c r="M1074" t="str">
        <f>IF(OR(B1074&lt;$AE$20,B1074&gt;$AF$20),"Outlier","OK")</f>
        <v>OK</v>
      </c>
      <c r="N1074" t="str">
        <f>IF(OR(J1074&lt;$AE$21,J1074&gt;$AF$21),"Outlier","OK")</f>
        <v>OK</v>
      </c>
      <c r="O1074" t="str">
        <f>IF(OR(C1074&lt;0,C1074&gt;1),"Outlier","OK")</f>
        <v>OK</v>
      </c>
      <c r="P1074" t="str">
        <f>IF(OR(D1074&lt;0,D1074&gt;1),"Outlier","OK")</f>
        <v>OK</v>
      </c>
      <c r="Q1074" t="str">
        <f t="shared" si="130"/>
        <v>60-80%</v>
      </c>
      <c r="R1074" t="str">
        <f>IF(B1074="","Missing","OK")</f>
        <v>OK</v>
      </c>
      <c r="S1074" t="str">
        <f>IF(E1074="","Missing","OK")</f>
        <v>OK</v>
      </c>
      <c r="T1074" t="str">
        <f t="shared" si="131"/>
        <v>OK</v>
      </c>
      <c r="U1074">
        <f>COUNTIF($A:$A,A1074)</f>
        <v>1</v>
      </c>
      <c r="V1074" t="str">
        <f t="shared" si="132"/>
        <v>OK</v>
      </c>
      <c r="W1074" t="str">
        <f>IF(I1074&gt;B1074,"ERROR","OK")</f>
        <v>OK</v>
      </c>
      <c r="X1074">
        <f>(B1074-I1074)/B1074</f>
        <v>0.64860989166616456</v>
      </c>
      <c r="Y1074" s="2">
        <f t="shared" si="133"/>
        <v>1.5543122344752192E-15</v>
      </c>
      <c r="Z1074" s="2" t="str">
        <f t="shared" si="134"/>
        <v>OK</v>
      </c>
      <c r="AA1074" t="str">
        <f t="shared" si="135"/>
        <v>Unique</v>
      </c>
    </row>
    <row r="1075" spans="1:27" x14ac:dyDescent="0.3">
      <c r="A1075">
        <v>1074</v>
      </c>
      <c r="B1075">
        <v>1847858.9888818001</v>
      </c>
      <c r="C1075">
        <v>0.82893561080042599</v>
      </c>
      <c r="D1075">
        <v>0.133989049144045</v>
      </c>
      <c r="E1075">
        <v>3.5828453830033601E-2</v>
      </c>
      <c r="F1075">
        <v>1</v>
      </c>
      <c r="G1075" t="s">
        <v>11</v>
      </c>
      <c r="H1075">
        <v>0</v>
      </c>
      <c r="I1075">
        <v>66205.930467564205</v>
      </c>
      <c r="J1075">
        <v>0.96417154616996603</v>
      </c>
      <c r="K1075" t="str">
        <f t="shared" si="128"/>
        <v>OK</v>
      </c>
      <c r="L1075" t="str">
        <f t="shared" si="129"/>
        <v>OK</v>
      </c>
      <c r="M1075" t="str">
        <f>IF(OR(B1075&lt;$AE$20,B1075&gt;$AF$20),"Outlier","OK")</f>
        <v>OK</v>
      </c>
      <c r="N1075" t="str">
        <f>IF(OR(J1075&lt;$AE$21,J1075&gt;$AF$21),"Outlier","OK")</f>
        <v>OK</v>
      </c>
      <c r="O1075" t="str">
        <f>IF(OR(C1075&lt;0,C1075&gt;1),"Outlier","OK")</f>
        <v>OK</v>
      </c>
      <c r="P1075" t="str">
        <f>IF(OR(D1075&lt;0,D1075&gt;1),"Outlier","OK")</f>
        <v>OK</v>
      </c>
      <c r="Q1075" t="str">
        <f t="shared" si="130"/>
        <v>80-100%</v>
      </c>
      <c r="R1075" t="str">
        <f>IF(B1075="","Missing","OK")</f>
        <v>OK</v>
      </c>
      <c r="S1075" t="str">
        <f>IF(E1075="","Missing","OK")</f>
        <v>OK</v>
      </c>
      <c r="T1075" t="str">
        <f t="shared" si="131"/>
        <v>OK</v>
      </c>
      <c r="U1075">
        <f>COUNTIF($A:$A,A1075)</f>
        <v>1</v>
      </c>
      <c r="V1075" t="str">
        <f t="shared" si="132"/>
        <v>OK</v>
      </c>
      <c r="W1075" t="str">
        <f>IF(I1075&gt;B1075,"ERROR","OK")</f>
        <v>OK</v>
      </c>
      <c r="X1075">
        <f>(B1075-I1075)/B1075</f>
        <v>0.96417154616996636</v>
      </c>
      <c r="Y1075" s="2">
        <f t="shared" si="133"/>
        <v>3.3306690738754696E-16</v>
      </c>
      <c r="Z1075" s="2" t="str">
        <f t="shared" si="134"/>
        <v>OK</v>
      </c>
      <c r="AA1075" t="str">
        <f t="shared" si="135"/>
        <v>Unique</v>
      </c>
    </row>
    <row r="1076" spans="1:27" x14ac:dyDescent="0.3">
      <c r="A1076">
        <v>1075</v>
      </c>
      <c r="B1076">
        <v>544588.80803757999</v>
      </c>
      <c r="C1076">
        <v>0.81967535546276304</v>
      </c>
      <c r="D1076">
        <v>-0.192311366183025</v>
      </c>
      <c r="E1076">
        <v>0.37494526007396101</v>
      </c>
      <c r="F1076">
        <v>1</v>
      </c>
      <c r="G1076" t="s">
        <v>12</v>
      </c>
      <c r="H1076">
        <v>1</v>
      </c>
      <c r="I1076">
        <v>204190.992263019</v>
      </c>
      <c r="J1076">
        <v>0.62505473992603799</v>
      </c>
      <c r="K1076" t="str">
        <f t="shared" si="128"/>
        <v>OK</v>
      </c>
      <c r="L1076" t="str">
        <f t="shared" si="129"/>
        <v>OK</v>
      </c>
      <c r="M1076" t="str">
        <f>IF(OR(B1076&lt;$AE$20,B1076&gt;$AF$20),"Outlier","OK")</f>
        <v>OK</v>
      </c>
      <c r="N1076" t="str">
        <f>IF(OR(J1076&lt;$AE$21,J1076&gt;$AF$21),"Outlier","OK")</f>
        <v>OK</v>
      </c>
      <c r="O1076" t="str">
        <f>IF(OR(C1076&lt;0,C1076&gt;1),"Outlier","OK")</f>
        <v>OK</v>
      </c>
      <c r="P1076" t="str">
        <f>IF(OR(D1076&lt;0,D1076&gt;1),"Outlier","OK")</f>
        <v>Outlier</v>
      </c>
      <c r="Q1076" t="str">
        <f t="shared" si="130"/>
        <v>60-80%</v>
      </c>
      <c r="R1076" t="str">
        <f>IF(B1076="","Missing","OK")</f>
        <v>OK</v>
      </c>
      <c r="S1076" t="str">
        <f>IF(E1076="","Missing","OK")</f>
        <v>OK</v>
      </c>
      <c r="T1076" t="str">
        <f t="shared" si="131"/>
        <v>OK</v>
      </c>
      <c r="U1076">
        <f>COUNTIF($A:$A,A1076)</f>
        <v>1</v>
      </c>
      <c r="V1076" t="str">
        <f t="shared" si="132"/>
        <v>OK</v>
      </c>
      <c r="W1076" t="str">
        <f>IF(I1076&gt;B1076,"ERROR","OK")</f>
        <v>OK</v>
      </c>
      <c r="X1076">
        <f>(B1076-I1076)/B1076</f>
        <v>0.62505473992603877</v>
      </c>
      <c r="Y1076" s="2">
        <f t="shared" si="133"/>
        <v>7.7715611723760958E-16</v>
      </c>
      <c r="Z1076" s="2" t="str">
        <f t="shared" si="134"/>
        <v>OK</v>
      </c>
      <c r="AA1076" t="str">
        <f t="shared" si="135"/>
        <v>Unique</v>
      </c>
    </row>
    <row r="1077" spans="1:27" x14ac:dyDescent="0.3">
      <c r="A1077">
        <v>1076</v>
      </c>
      <c r="B1077">
        <v>1993309.8057066901</v>
      </c>
      <c r="C1077">
        <v>0.56745164916201996</v>
      </c>
      <c r="D1077">
        <v>0.13065375032558099</v>
      </c>
      <c r="E1077">
        <v>0.60750603204749898</v>
      </c>
      <c r="F1077">
        <v>1</v>
      </c>
      <c r="G1077" t="s">
        <v>13</v>
      </c>
      <c r="H1077">
        <v>1</v>
      </c>
      <c r="I1077">
        <v>1210947.7307062401</v>
      </c>
      <c r="J1077">
        <v>0.39249396795250002</v>
      </c>
      <c r="K1077" t="str">
        <f t="shared" si="128"/>
        <v>OK</v>
      </c>
      <c r="L1077" t="str">
        <f t="shared" si="129"/>
        <v>OK</v>
      </c>
      <c r="M1077" t="str">
        <f>IF(OR(B1077&lt;$AE$20,B1077&gt;$AF$20),"Outlier","OK")</f>
        <v>Outlier</v>
      </c>
      <c r="N1077" t="str">
        <f>IF(OR(J1077&lt;$AE$21,J1077&gt;$AF$21),"Outlier","OK")</f>
        <v>OK</v>
      </c>
      <c r="O1077" t="str">
        <f>IF(OR(C1077&lt;0,C1077&gt;1),"Outlier","OK")</f>
        <v>OK</v>
      </c>
      <c r="P1077" t="str">
        <f>IF(OR(D1077&lt;0,D1077&gt;1),"Outlier","OK")</f>
        <v>OK</v>
      </c>
      <c r="Q1077" t="str">
        <f t="shared" si="130"/>
        <v>20-40%</v>
      </c>
      <c r="R1077" t="str">
        <f>IF(B1077="","Missing","OK")</f>
        <v>OK</v>
      </c>
      <c r="S1077" t="str">
        <f>IF(E1077="","Missing","OK")</f>
        <v>OK</v>
      </c>
      <c r="T1077" t="str">
        <f t="shared" si="131"/>
        <v>OK</v>
      </c>
      <c r="U1077">
        <f>COUNTIF($A:$A,A1077)</f>
        <v>1</v>
      </c>
      <c r="V1077" t="str">
        <f t="shared" si="132"/>
        <v>OK</v>
      </c>
      <c r="W1077" t="str">
        <f>IF(I1077&gt;B1077,"ERROR","OK")</f>
        <v>OK</v>
      </c>
      <c r="X1077">
        <f>(B1077-I1077)/B1077</f>
        <v>0.39249396795250219</v>
      </c>
      <c r="Y1077" s="2">
        <f t="shared" si="133"/>
        <v>2.1649348980190553E-15</v>
      </c>
      <c r="Z1077" s="2" t="str">
        <f t="shared" si="134"/>
        <v>OK</v>
      </c>
      <c r="AA1077" t="str">
        <f t="shared" si="135"/>
        <v>Unique</v>
      </c>
    </row>
    <row r="1078" spans="1:27" x14ac:dyDescent="0.3">
      <c r="A1078">
        <v>1077</v>
      </c>
      <c r="B1078">
        <v>1489353.2085575999</v>
      </c>
      <c r="C1078">
        <v>0.249405559921834</v>
      </c>
      <c r="D1078">
        <v>-1.6203612844620099E-2</v>
      </c>
      <c r="E1078">
        <v>0.332276298756987</v>
      </c>
      <c r="F1078">
        <v>1</v>
      </c>
      <c r="G1078" t="s">
        <v>13</v>
      </c>
      <c r="H1078">
        <v>1</v>
      </c>
      <c r="I1078">
        <v>494876.77168136201</v>
      </c>
      <c r="J1078">
        <v>0.66772370124301195</v>
      </c>
      <c r="K1078" t="str">
        <f t="shared" si="128"/>
        <v>OK</v>
      </c>
      <c r="L1078" t="str">
        <f t="shared" si="129"/>
        <v>OK</v>
      </c>
      <c r="M1078" t="str">
        <f>IF(OR(B1078&lt;$AE$20,B1078&gt;$AF$20),"Outlier","OK")</f>
        <v>OK</v>
      </c>
      <c r="N1078" t="str">
        <f>IF(OR(J1078&lt;$AE$21,J1078&gt;$AF$21),"Outlier","OK")</f>
        <v>OK</v>
      </c>
      <c r="O1078" t="str">
        <f>IF(OR(C1078&lt;0,C1078&gt;1),"Outlier","OK")</f>
        <v>OK</v>
      </c>
      <c r="P1078" t="str">
        <f>IF(OR(D1078&lt;0,D1078&gt;1),"Outlier","OK")</f>
        <v>Outlier</v>
      </c>
      <c r="Q1078" t="str">
        <f t="shared" si="130"/>
        <v>60-80%</v>
      </c>
      <c r="R1078" t="str">
        <f>IF(B1078="","Missing","OK")</f>
        <v>OK</v>
      </c>
      <c r="S1078" t="str">
        <f>IF(E1078="","Missing","OK")</f>
        <v>OK</v>
      </c>
      <c r="T1078" t="str">
        <f t="shared" si="131"/>
        <v>OK</v>
      </c>
      <c r="U1078">
        <f>COUNTIF($A:$A,A1078)</f>
        <v>1</v>
      </c>
      <c r="V1078" t="str">
        <f t="shared" si="132"/>
        <v>OK</v>
      </c>
      <c r="W1078" t="str">
        <f>IF(I1078&gt;B1078,"ERROR","OK")</f>
        <v>OK</v>
      </c>
      <c r="X1078">
        <f>(B1078-I1078)/B1078</f>
        <v>0.66772370124301317</v>
      </c>
      <c r="Y1078" s="2">
        <f t="shared" si="133"/>
        <v>1.2212453270876722E-15</v>
      </c>
      <c r="Z1078" s="2" t="str">
        <f t="shared" si="134"/>
        <v>OK</v>
      </c>
      <c r="AA1078" t="str">
        <f t="shared" si="135"/>
        <v>Unique</v>
      </c>
    </row>
    <row r="1079" spans="1:27" x14ac:dyDescent="0.3">
      <c r="A1079">
        <v>1078</v>
      </c>
      <c r="B1079">
        <v>538691.04072638601</v>
      </c>
      <c r="C1079">
        <v>0.86578881324327495</v>
      </c>
      <c r="D1079">
        <v>0.1622014535264</v>
      </c>
      <c r="E1079">
        <v>0.36819685720969197</v>
      </c>
      <c r="F1079">
        <v>1</v>
      </c>
      <c r="G1079" t="s">
        <v>13</v>
      </c>
      <c r="H1079">
        <v>0</v>
      </c>
      <c r="I1079">
        <v>198344.34820247401</v>
      </c>
      <c r="J1079">
        <v>0.63180314279030703</v>
      </c>
      <c r="K1079" t="str">
        <f t="shared" si="128"/>
        <v>OK</v>
      </c>
      <c r="L1079" t="str">
        <f t="shared" si="129"/>
        <v>OK</v>
      </c>
      <c r="M1079" t="str">
        <f>IF(OR(B1079&lt;$AE$20,B1079&gt;$AF$20),"Outlier","OK")</f>
        <v>OK</v>
      </c>
      <c r="N1079" t="str">
        <f>IF(OR(J1079&lt;$AE$21,J1079&gt;$AF$21),"Outlier","OK")</f>
        <v>OK</v>
      </c>
      <c r="O1079" t="str">
        <f>IF(OR(C1079&lt;0,C1079&gt;1),"Outlier","OK")</f>
        <v>OK</v>
      </c>
      <c r="P1079" t="str">
        <f>IF(OR(D1079&lt;0,D1079&gt;1),"Outlier","OK")</f>
        <v>OK</v>
      </c>
      <c r="Q1079" t="str">
        <f t="shared" si="130"/>
        <v>60-80%</v>
      </c>
      <c r="R1079" t="str">
        <f>IF(B1079="","Missing","OK")</f>
        <v>OK</v>
      </c>
      <c r="S1079" t="str">
        <f>IF(E1079="","Missing","OK")</f>
        <v>OK</v>
      </c>
      <c r="T1079" t="str">
        <f t="shared" si="131"/>
        <v>OK</v>
      </c>
      <c r="U1079">
        <f>COUNTIF($A:$A,A1079)</f>
        <v>1</v>
      </c>
      <c r="V1079" t="str">
        <f t="shared" si="132"/>
        <v>OK</v>
      </c>
      <c r="W1079" t="str">
        <f>IF(I1079&gt;B1079,"ERROR","OK")</f>
        <v>OK</v>
      </c>
      <c r="X1079">
        <f>(B1079-I1079)/B1079</f>
        <v>0.63180314279030714</v>
      </c>
      <c r="Y1079" s="2">
        <f t="shared" si="133"/>
        <v>1.1102230246251565E-16</v>
      </c>
      <c r="Z1079" s="2" t="str">
        <f t="shared" si="134"/>
        <v>OK</v>
      </c>
      <c r="AA1079" t="str">
        <f t="shared" si="135"/>
        <v>Unique</v>
      </c>
    </row>
    <row r="1080" spans="1:27" x14ac:dyDescent="0.3">
      <c r="A1080">
        <v>1079</v>
      </c>
      <c r="B1080">
        <v>1984019.0395858099</v>
      </c>
      <c r="C1080">
        <v>0.118263297082378</v>
      </c>
      <c r="D1080">
        <v>0.121331635729576</v>
      </c>
      <c r="E1080">
        <v>0.25539744373040302</v>
      </c>
      <c r="F1080">
        <v>1</v>
      </c>
      <c r="G1080" t="s">
        <v>11</v>
      </c>
      <c r="H1080">
        <v>0</v>
      </c>
      <c r="I1080">
        <v>506713.39102266898</v>
      </c>
      <c r="J1080">
        <v>0.74460255626959604</v>
      </c>
      <c r="K1080" t="str">
        <f t="shared" si="128"/>
        <v>OK</v>
      </c>
      <c r="L1080" t="str">
        <f t="shared" si="129"/>
        <v>OK</v>
      </c>
      <c r="M1080" t="str">
        <f>IF(OR(B1080&lt;$AE$20,B1080&gt;$AF$20),"Outlier","OK")</f>
        <v>Outlier</v>
      </c>
      <c r="N1080" t="str">
        <f>IF(OR(J1080&lt;$AE$21,J1080&gt;$AF$21),"Outlier","OK")</f>
        <v>OK</v>
      </c>
      <c r="O1080" t="str">
        <f>IF(OR(C1080&lt;0,C1080&gt;1),"Outlier","OK")</f>
        <v>OK</v>
      </c>
      <c r="P1080" t="str">
        <f>IF(OR(D1080&lt;0,D1080&gt;1),"Outlier","OK")</f>
        <v>OK</v>
      </c>
      <c r="Q1080" t="str">
        <f t="shared" si="130"/>
        <v>60-80%</v>
      </c>
      <c r="R1080" t="str">
        <f>IF(B1080="","Missing","OK")</f>
        <v>OK</v>
      </c>
      <c r="S1080" t="str">
        <f>IF(E1080="","Missing","OK")</f>
        <v>OK</v>
      </c>
      <c r="T1080" t="str">
        <f t="shared" si="131"/>
        <v>OK</v>
      </c>
      <c r="U1080">
        <f>COUNTIF($A:$A,A1080)</f>
        <v>1</v>
      </c>
      <c r="V1080" t="str">
        <f t="shared" si="132"/>
        <v>OK</v>
      </c>
      <c r="W1080" t="str">
        <f>IF(I1080&gt;B1080,"ERROR","OK")</f>
        <v>OK</v>
      </c>
      <c r="X1080">
        <f>(B1080-I1080)/B1080</f>
        <v>0.74460255626959504</v>
      </c>
      <c r="Y1080" s="2">
        <f t="shared" si="133"/>
        <v>9.9920072216264089E-16</v>
      </c>
      <c r="Z1080" s="2" t="str">
        <f t="shared" si="134"/>
        <v>OK</v>
      </c>
      <c r="AA1080" t="str">
        <f t="shared" si="135"/>
        <v>Unique</v>
      </c>
    </row>
    <row r="1081" spans="1:27" x14ac:dyDescent="0.3">
      <c r="A1081">
        <v>1080</v>
      </c>
      <c r="B1081">
        <v>1743641.0221748301</v>
      </c>
      <c r="C1081">
        <v>0.88343496730544002</v>
      </c>
      <c r="D1081">
        <v>7.1861559495908306E-2</v>
      </c>
      <c r="E1081">
        <v>8.4444279045600895E-2</v>
      </c>
      <c r="F1081">
        <v>1</v>
      </c>
      <c r="G1081" t="s">
        <v>11</v>
      </c>
      <c r="H1081">
        <v>0</v>
      </c>
      <c r="I1081">
        <v>147240.50903188801</v>
      </c>
      <c r="J1081">
        <v>0.91555572095439897</v>
      </c>
      <c r="K1081" t="str">
        <f t="shared" si="128"/>
        <v>OK</v>
      </c>
      <c r="L1081" t="str">
        <f t="shared" si="129"/>
        <v>OK</v>
      </c>
      <c r="M1081" t="str">
        <f>IF(OR(B1081&lt;$AE$20,B1081&gt;$AF$20),"Outlier","OK")</f>
        <v>OK</v>
      </c>
      <c r="N1081" t="str">
        <f>IF(OR(J1081&lt;$AE$21,J1081&gt;$AF$21),"Outlier","OK")</f>
        <v>OK</v>
      </c>
      <c r="O1081" t="str">
        <f>IF(OR(C1081&lt;0,C1081&gt;1),"Outlier","OK")</f>
        <v>OK</v>
      </c>
      <c r="P1081" t="str">
        <f>IF(OR(D1081&lt;0,D1081&gt;1),"Outlier","OK")</f>
        <v>OK</v>
      </c>
      <c r="Q1081" t="str">
        <f t="shared" si="130"/>
        <v>80-100%</v>
      </c>
      <c r="R1081" t="str">
        <f>IF(B1081="","Missing","OK")</f>
        <v>OK</v>
      </c>
      <c r="S1081" t="str">
        <f>IF(E1081="","Missing","OK")</f>
        <v>OK</v>
      </c>
      <c r="T1081" t="str">
        <f t="shared" si="131"/>
        <v>OK</v>
      </c>
      <c r="U1081">
        <f>COUNTIF($A:$A,A1081)</f>
        <v>1</v>
      </c>
      <c r="V1081" t="str">
        <f t="shared" si="132"/>
        <v>OK</v>
      </c>
      <c r="W1081" t="str">
        <f>IF(I1081&gt;B1081,"ERROR","OK")</f>
        <v>OK</v>
      </c>
      <c r="X1081">
        <f>(B1081-I1081)/B1081</f>
        <v>0.91555572095439908</v>
      </c>
      <c r="Y1081" s="2">
        <f t="shared" si="133"/>
        <v>1.1102230246251565E-16</v>
      </c>
      <c r="Z1081" s="2" t="str">
        <f t="shared" si="134"/>
        <v>OK</v>
      </c>
      <c r="AA1081" t="str">
        <f t="shared" si="135"/>
        <v>Unique</v>
      </c>
    </row>
    <row r="1082" spans="1:27" x14ac:dyDescent="0.3">
      <c r="A1082">
        <v>1081</v>
      </c>
      <c r="B1082">
        <v>371746.110570919</v>
      </c>
      <c r="C1082">
        <v>0.15889393270438701</v>
      </c>
      <c r="D1082">
        <v>-0.118027955818407</v>
      </c>
      <c r="E1082">
        <v>0.12925020745925</v>
      </c>
      <c r="F1082">
        <v>1</v>
      </c>
      <c r="G1082" t="s">
        <v>12</v>
      </c>
      <c r="H1082">
        <v>0</v>
      </c>
      <c r="I1082">
        <v>48048.261913460599</v>
      </c>
      <c r="J1082">
        <v>0.87074979254074902</v>
      </c>
      <c r="K1082" t="str">
        <f t="shared" si="128"/>
        <v>OK</v>
      </c>
      <c r="L1082" t="str">
        <f t="shared" si="129"/>
        <v>OK</v>
      </c>
      <c r="M1082" t="str">
        <f>IF(OR(B1082&lt;$AE$20,B1082&gt;$AF$20),"Outlier","OK")</f>
        <v>OK</v>
      </c>
      <c r="N1082" t="str">
        <f>IF(OR(J1082&lt;$AE$21,J1082&gt;$AF$21),"Outlier","OK")</f>
        <v>OK</v>
      </c>
      <c r="O1082" t="str">
        <f>IF(OR(C1082&lt;0,C1082&gt;1),"Outlier","OK")</f>
        <v>OK</v>
      </c>
      <c r="P1082" t="str">
        <f>IF(OR(D1082&lt;0,D1082&gt;1),"Outlier","OK")</f>
        <v>Outlier</v>
      </c>
      <c r="Q1082" t="str">
        <f t="shared" si="130"/>
        <v>80-100%</v>
      </c>
      <c r="R1082" t="str">
        <f>IF(B1082="","Missing","OK")</f>
        <v>OK</v>
      </c>
      <c r="S1082" t="str">
        <f>IF(E1082="","Missing","OK")</f>
        <v>OK</v>
      </c>
      <c r="T1082" t="str">
        <f t="shared" si="131"/>
        <v>OK</v>
      </c>
      <c r="U1082">
        <f>COUNTIF($A:$A,A1082)</f>
        <v>1</v>
      </c>
      <c r="V1082" t="str">
        <f t="shared" si="132"/>
        <v>OK</v>
      </c>
      <c r="W1082" t="str">
        <f>IF(I1082&gt;B1082,"ERROR","OK")</f>
        <v>OK</v>
      </c>
      <c r="X1082">
        <f>(B1082-I1082)/B1082</f>
        <v>0.87074979254074991</v>
      </c>
      <c r="Y1082" s="2">
        <f t="shared" si="133"/>
        <v>8.8817841970012523E-16</v>
      </c>
      <c r="Z1082" s="2" t="str">
        <f t="shared" si="134"/>
        <v>OK</v>
      </c>
      <c r="AA1082" t="str">
        <f t="shared" si="135"/>
        <v>Unique</v>
      </c>
    </row>
    <row r="1083" spans="1:27" x14ac:dyDescent="0.3">
      <c r="A1083">
        <v>1082</v>
      </c>
      <c r="B1083">
        <v>411377.72695455898</v>
      </c>
      <c r="C1083">
        <v>0.40195303783709702</v>
      </c>
      <c r="D1083">
        <v>9.7740368173482903E-2</v>
      </c>
      <c r="E1083">
        <v>0.63041605459951899</v>
      </c>
      <c r="F1083">
        <v>1</v>
      </c>
      <c r="G1083" t="s">
        <v>13</v>
      </c>
      <c r="H1083">
        <v>1</v>
      </c>
      <c r="I1083">
        <v>259339.12357681099</v>
      </c>
      <c r="J1083">
        <v>0.36958394540048001</v>
      </c>
      <c r="K1083" t="str">
        <f t="shared" si="128"/>
        <v>OK</v>
      </c>
      <c r="L1083" t="str">
        <f t="shared" si="129"/>
        <v>OK</v>
      </c>
      <c r="M1083" t="str">
        <f>IF(OR(B1083&lt;$AE$20,B1083&gt;$AF$20),"Outlier","OK")</f>
        <v>OK</v>
      </c>
      <c r="N1083" t="str">
        <f>IF(OR(J1083&lt;$AE$21,J1083&gt;$AF$21),"Outlier","OK")</f>
        <v>OK</v>
      </c>
      <c r="O1083" t="str">
        <f>IF(OR(C1083&lt;0,C1083&gt;1),"Outlier","OK")</f>
        <v>OK</v>
      </c>
      <c r="P1083" t="str">
        <f>IF(OR(D1083&lt;0,D1083&gt;1),"Outlier","OK")</f>
        <v>OK</v>
      </c>
      <c r="Q1083" t="str">
        <f t="shared" si="130"/>
        <v>20-40%</v>
      </c>
      <c r="R1083" t="str">
        <f>IF(B1083="","Missing","OK")</f>
        <v>OK</v>
      </c>
      <c r="S1083" t="str">
        <f>IF(E1083="","Missing","OK")</f>
        <v>OK</v>
      </c>
      <c r="T1083" t="str">
        <f t="shared" si="131"/>
        <v>OK</v>
      </c>
      <c r="U1083">
        <f>COUNTIF($A:$A,A1083)</f>
        <v>1</v>
      </c>
      <c r="V1083" t="str">
        <f t="shared" si="132"/>
        <v>OK</v>
      </c>
      <c r="W1083" t="str">
        <f>IF(I1083&gt;B1083,"ERROR","OK")</f>
        <v>OK</v>
      </c>
      <c r="X1083">
        <f>(B1083-I1083)/B1083</f>
        <v>0.36958394540048167</v>
      </c>
      <c r="Y1083" s="2">
        <f t="shared" si="133"/>
        <v>1.6653345369377348E-15</v>
      </c>
      <c r="Z1083" s="2" t="str">
        <f t="shared" si="134"/>
        <v>OK</v>
      </c>
      <c r="AA1083" t="str">
        <f t="shared" si="135"/>
        <v>Unique</v>
      </c>
    </row>
    <row r="1084" spans="1:27" x14ac:dyDescent="0.3">
      <c r="A1084">
        <v>1083</v>
      </c>
      <c r="B1084">
        <v>1376362.97586126</v>
      </c>
      <c r="C1084">
        <v>0.45159470406603902</v>
      </c>
      <c r="D1084">
        <v>-0.112929124143499</v>
      </c>
      <c r="E1084">
        <v>0.62215859275152197</v>
      </c>
      <c r="F1084">
        <v>1</v>
      </c>
      <c r="G1084" t="s">
        <v>12</v>
      </c>
      <c r="H1084">
        <v>1</v>
      </c>
      <c r="I1084">
        <v>856316.05217714095</v>
      </c>
      <c r="J1084">
        <v>0.37784140724847698</v>
      </c>
      <c r="K1084" t="str">
        <f t="shared" si="128"/>
        <v>OK</v>
      </c>
      <c r="L1084" t="str">
        <f t="shared" si="129"/>
        <v>OK</v>
      </c>
      <c r="M1084" t="str">
        <f>IF(OR(B1084&lt;$AE$20,B1084&gt;$AF$20),"Outlier","OK")</f>
        <v>OK</v>
      </c>
      <c r="N1084" t="str">
        <f>IF(OR(J1084&lt;$AE$21,J1084&gt;$AF$21),"Outlier","OK")</f>
        <v>OK</v>
      </c>
      <c r="O1084" t="str">
        <f>IF(OR(C1084&lt;0,C1084&gt;1),"Outlier","OK")</f>
        <v>OK</v>
      </c>
      <c r="P1084" t="str">
        <f>IF(OR(D1084&lt;0,D1084&gt;1),"Outlier","OK")</f>
        <v>Outlier</v>
      </c>
      <c r="Q1084" t="str">
        <f t="shared" si="130"/>
        <v>20-40%</v>
      </c>
      <c r="R1084" t="str">
        <f>IF(B1084="","Missing","OK")</f>
        <v>OK</v>
      </c>
      <c r="S1084" t="str">
        <f>IF(E1084="","Missing","OK")</f>
        <v>OK</v>
      </c>
      <c r="T1084" t="str">
        <f t="shared" si="131"/>
        <v>OK</v>
      </c>
      <c r="U1084">
        <f>COUNTIF($A:$A,A1084)</f>
        <v>1</v>
      </c>
      <c r="V1084" t="str">
        <f t="shared" si="132"/>
        <v>OK</v>
      </c>
      <c r="W1084" t="str">
        <f>IF(I1084&gt;B1084,"ERROR","OK")</f>
        <v>OK</v>
      </c>
      <c r="X1084">
        <f>(B1084-I1084)/B1084</f>
        <v>0.37784140724847626</v>
      </c>
      <c r="Y1084" s="2">
        <f t="shared" si="133"/>
        <v>7.2164496600635175E-16</v>
      </c>
      <c r="Z1084" s="2" t="str">
        <f t="shared" si="134"/>
        <v>OK</v>
      </c>
      <c r="AA1084" t="str">
        <f t="shared" si="135"/>
        <v>Unique</v>
      </c>
    </row>
    <row r="1085" spans="1:27" x14ac:dyDescent="0.3">
      <c r="A1085">
        <v>1084</v>
      </c>
      <c r="B1085">
        <v>202646.47890882599</v>
      </c>
      <c r="C1085">
        <v>0.27179436444578797</v>
      </c>
      <c r="D1085">
        <v>0.157759420820233</v>
      </c>
      <c r="E1085">
        <v>0.17296241174387</v>
      </c>
      <c r="F1085">
        <v>1</v>
      </c>
      <c r="G1085" t="s">
        <v>12</v>
      </c>
      <c r="H1085">
        <v>0</v>
      </c>
      <c r="I1085">
        <v>35050.223723474002</v>
      </c>
      <c r="J1085">
        <v>0.82703758825612905</v>
      </c>
      <c r="K1085" t="str">
        <f t="shared" si="128"/>
        <v>OK</v>
      </c>
      <c r="L1085" t="str">
        <f t="shared" si="129"/>
        <v>OK</v>
      </c>
      <c r="M1085" t="str">
        <f>IF(OR(B1085&lt;$AE$20,B1085&gt;$AF$20),"Outlier","OK")</f>
        <v>OK</v>
      </c>
      <c r="N1085" t="str">
        <f>IF(OR(J1085&lt;$AE$21,J1085&gt;$AF$21),"Outlier","OK")</f>
        <v>OK</v>
      </c>
      <c r="O1085" t="str">
        <f>IF(OR(C1085&lt;0,C1085&gt;1),"Outlier","OK")</f>
        <v>OK</v>
      </c>
      <c r="P1085" t="str">
        <f>IF(OR(D1085&lt;0,D1085&gt;1),"Outlier","OK")</f>
        <v>OK</v>
      </c>
      <c r="Q1085" t="str">
        <f t="shared" si="130"/>
        <v>80-100%</v>
      </c>
      <c r="R1085" t="str">
        <f>IF(B1085="","Missing","OK")</f>
        <v>OK</v>
      </c>
      <c r="S1085" t="str">
        <f>IF(E1085="","Missing","OK")</f>
        <v>OK</v>
      </c>
      <c r="T1085" t="str">
        <f t="shared" si="131"/>
        <v>OK</v>
      </c>
      <c r="U1085">
        <f>COUNTIF($A:$A,A1085)</f>
        <v>1</v>
      </c>
      <c r="V1085" t="str">
        <f t="shared" si="132"/>
        <v>OK</v>
      </c>
      <c r="W1085" t="str">
        <f>IF(I1085&gt;B1085,"ERROR","OK")</f>
        <v>OK</v>
      </c>
      <c r="X1085">
        <f>(B1085-I1085)/B1085</f>
        <v>0.82703758825612916</v>
      </c>
      <c r="Y1085" s="2">
        <f t="shared" si="133"/>
        <v>1.1102230246251565E-16</v>
      </c>
      <c r="Z1085" s="2" t="str">
        <f t="shared" si="134"/>
        <v>OK</v>
      </c>
      <c r="AA1085" t="str">
        <f t="shared" si="135"/>
        <v>Unique</v>
      </c>
    </row>
    <row r="1086" spans="1:27" x14ac:dyDescent="0.3">
      <c r="A1086">
        <v>1085</v>
      </c>
      <c r="B1086">
        <v>1189823.48166752</v>
      </c>
      <c r="C1086">
        <v>0.34218522188294997</v>
      </c>
      <c r="D1086">
        <v>3.3471090445609201E-3</v>
      </c>
      <c r="E1086">
        <v>0.157351494554681</v>
      </c>
      <c r="F1086">
        <v>1</v>
      </c>
      <c r="G1086" t="s">
        <v>12</v>
      </c>
      <c r="H1086">
        <v>0</v>
      </c>
      <c r="I1086">
        <v>187220.503096639</v>
      </c>
      <c r="J1086">
        <v>0.842648505445318</v>
      </c>
      <c r="K1086" t="str">
        <f t="shared" si="128"/>
        <v>OK</v>
      </c>
      <c r="L1086" t="str">
        <f t="shared" si="129"/>
        <v>OK</v>
      </c>
      <c r="M1086" t="str">
        <f>IF(OR(B1086&lt;$AE$20,B1086&gt;$AF$20),"Outlier","OK")</f>
        <v>OK</v>
      </c>
      <c r="N1086" t="str">
        <f>IF(OR(J1086&lt;$AE$21,J1086&gt;$AF$21),"Outlier","OK")</f>
        <v>OK</v>
      </c>
      <c r="O1086" t="str">
        <f>IF(OR(C1086&lt;0,C1086&gt;1),"Outlier","OK")</f>
        <v>OK</v>
      </c>
      <c r="P1086" t="str">
        <f>IF(OR(D1086&lt;0,D1086&gt;1),"Outlier","OK")</f>
        <v>OK</v>
      </c>
      <c r="Q1086" t="str">
        <f t="shared" si="130"/>
        <v>80-100%</v>
      </c>
      <c r="R1086" t="str">
        <f>IF(B1086="","Missing","OK")</f>
        <v>OK</v>
      </c>
      <c r="S1086" t="str">
        <f>IF(E1086="","Missing","OK")</f>
        <v>OK</v>
      </c>
      <c r="T1086" t="str">
        <f t="shared" si="131"/>
        <v>OK</v>
      </c>
      <c r="U1086">
        <f>COUNTIF($A:$A,A1086)</f>
        <v>1</v>
      </c>
      <c r="V1086" t="str">
        <f t="shared" si="132"/>
        <v>OK</v>
      </c>
      <c r="W1086" t="str">
        <f>IF(I1086&gt;B1086,"ERROR","OK")</f>
        <v>OK</v>
      </c>
      <c r="X1086">
        <f>(B1086-I1086)/B1086</f>
        <v>0.84264850544531855</v>
      </c>
      <c r="Y1086" s="2">
        <f t="shared" si="133"/>
        <v>5.5511151231257827E-16</v>
      </c>
      <c r="Z1086" s="2" t="str">
        <f t="shared" si="134"/>
        <v>OK</v>
      </c>
      <c r="AA1086" t="str">
        <f t="shared" si="135"/>
        <v>Unique</v>
      </c>
    </row>
    <row r="1087" spans="1:27" x14ac:dyDescent="0.3">
      <c r="A1087">
        <v>1086</v>
      </c>
      <c r="B1087">
        <v>179875.70306564501</v>
      </c>
      <c r="C1087">
        <v>0.82913416287916397</v>
      </c>
      <c r="D1087">
        <v>8.1823953640737801E-3</v>
      </c>
      <c r="E1087">
        <v>0.28844067930766798</v>
      </c>
      <c r="F1087">
        <v>1</v>
      </c>
      <c r="G1087" t="s">
        <v>13</v>
      </c>
      <c r="H1087">
        <v>1</v>
      </c>
      <c r="I1087">
        <v>51883.469983199102</v>
      </c>
      <c r="J1087">
        <v>0.71155932069233097</v>
      </c>
      <c r="K1087" t="str">
        <f t="shared" si="128"/>
        <v>OK</v>
      </c>
      <c r="L1087" t="str">
        <f t="shared" si="129"/>
        <v>OK</v>
      </c>
      <c r="M1087" t="str">
        <f>IF(OR(B1087&lt;$AE$20,B1087&gt;$AF$20),"Outlier","OK")</f>
        <v>OK</v>
      </c>
      <c r="N1087" t="str">
        <f>IF(OR(J1087&lt;$AE$21,J1087&gt;$AF$21),"Outlier","OK")</f>
        <v>OK</v>
      </c>
      <c r="O1087" t="str">
        <f>IF(OR(C1087&lt;0,C1087&gt;1),"Outlier","OK")</f>
        <v>OK</v>
      </c>
      <c r="P1087" t="str">
        <f>IF(OR(D1087&lt;0,D1087&gt;1),"Outlier","OK")</f>
        <v>OK</v>
      </c>
      <c r="Q1087" t="str">
        <f t="shared" si="130"/>
        <v>60-80%</v>
      </c>
      <c r="R1087" t="str">
        <f>IF(B1087="","Missing","OK")</f>
        <v>OK</v>
      </c>
      <c r="S1087" t="str">
        <f>IF(E1087="","Missing","OK")</f>
        <v>OK</v>
      </c>
      <c r="T1087" t="str">
        <f t="shared" si="131"/>
        <v>OK</v>
      </c>
      <c r="U1087">
        <f>COUNTIF($A:$A,A1087)</f>
        <v>1</v>
      </c>
      <c r="V1087" t="str">
        <f t="shared" si="132"/>
        <v>OK</v>
      </c>
      <c r="W1087" t="str">
        <f>IF(I1087&gt;B1087,"ERROR","OK")</f>
        <v>OK</v>
      </c>
      <c r="X1087">
        <f>(B1087-I1087)/B1087</f>
        <v>0.71155932069233152</v>
      </c>
      <c r="Y1087" s="2">
        <f t="shared" si="133"/>
        <v>5.5511151231257827E-16</v>
      </c>
      <c r="Z1087" s="2" t="str">
        <f t="shared" si="134"/>
        <v>OK</v>
      </c>
      <c r="AA1087" t="str">
        <f t="shared" si="135"/>
        <v>Unique</v>
      </c>
    </row>
    <row r="1088" spans="1:27" x14ac:dyDescent="0.3">
      <c r="A1088">
        <v>1087</v>
      </c>
      <c r="B1088">
        <v>481530.33222429699</v>
      </c>
      <c r="C1088">
        <v>0.13789911610448699</v>
      </c>
      <c r="D1088">
        <v>0.14395656520470801</v>
      </c>
      <c r="E1088">
        <v>0.57265193352094601</v>
      </c>
      <c r="F1088">
        <v>1</v>
      </c>
      <c r="G1088" t="s">
        <v>10</v>
      </c>
      <c r="H1088">
        <v>0</v>
      </c>
      <c r="I1088">
        <v>275749.27579722699</v>
      </c>
      <c r="J1088">
        <v>0.42734806647905299</v>
      </c>
      <c r="K1088" t="str">
        <f t="shared" si="128"/>
        <v>OK</v>
      </c>
      <c r="L1088" t="str">
        <f t="shared" si="129"/>
        <v>OK</v>
      </c>
      <c r="M1088" t="str">
        <f>IF(OR(B1088&lt;$AE$20,B1088&gt;$AF$20),"Outlier","OK")</f>
        <v>OK</v>
      </c>
      <c r="N1088" t="str">
        <f>IF(OR(J1088&lt;$AE$21,J1088&gt;$AF$21),"Outlier","OK")</f>
        <v>OK</v>
      </c>
      <c r="O1088" t="str">
        <f>IF(OR(C1088&lt;0,C1088&gt;1),"Outlier","OK")</f>
        <v>OK</v>
      </c>
      <c r="P1088" t="str">
        <f>IF(OR(D1088&lt;0,D1088&gt;1),"Outlier","OK")</f>
        <v>OK</v>
      </c>
      <c r="Q1088" t="str">
        <f t="shared" si="130"/>
        <v>40-60%</v>
      </c>
      <c r="R1088" t="str">
        <f>IF(B1088="","Missing","OK")</f>
        <v>OK</v>
      </c>
      <c r="S1088" t="str">
        <f>IF(E1088="","Missing","OK")</f>
        <v>OK</v>
      </c>
      <c r="T1088" t="str">
        <f t="shared" si="131"/>
        <v>OK</v>
      </c>
      <c r="U1088">
        <f>COUNTIF($A:$A,A1088)</f>
        <v>1</v>
      </c>
      <c r="V1088" t="str">
        <f t="shared" si="132"/>
        <v>OK</v>
      </c>
      <c r="W1088" t="str">
        <f>IF(I1088&gt;B1088,"ERROR","OK")</f>
        <v>OK</v>
      </c>
      <c r="X1088">
        <f>(B1088-I1088)/B1088</f>
        <v>0.42734806647905438</v>
      </c>
      <c r="Y1088" s="2">
        <f t="shared" si="133"/>
        <v>1.3877787807814457E-15</v>
      </c>
      <c r="Z1088" s="2" t="str">
        <f t="shared" si="134"/>
        <v>OK</v>
      </c>
      <c r="AA1088" t="str">
        <f t="shared" si="135"/>
        <v>Unique</v>
      </c>
    </row>
    <row r="1089" spans="1:27" x14ac:dyDescent="0.3">
      <c r="A1089">
        <v>1088</v>
      </c>
      <c r="B1089">
        <v>1899457.9089848199</v>
      </c>
      <c r="C1089">
        <v>0.55526419438310703</v>
      </c>
      <c r="D1089">
        <v>-0.174654741733684</v>
      </c>
      <c r="E1089">
        <v>0.19132192874446499</v>
      </c>
      <c r="F1089">
        <v>1</v>
      </c>
      <c r="G1089" t="s">
        <v>10</v>
      </c>
      <c r="H1089">
        <v>1</v>
      </c>
      <c r="I1089">
        <v>363407.95071590599</v>
      </c>
      <c r="J1089">
        <v>0.80867807125553404</v>
      </c>
      <c r="K1089" t="str">
        <f t="shared" si="128"/>
        <v>OK</v>
      </c>
      <c r="L1089" t="str">
        <f t="shared" si="129"/>
        <v>OK</v>
      </c>
      <c r="M1089" t="str">
        <f>IF(OR(B1089&lt;$AE$20,B1089&gt;$AF$20),"Outlier","OK")</f>
        <v>OK</v>
      </c>
      <c r="N1089" t="str">
        <f>IF(OR(J1089&lt;$AE$21,J1089&gt;$AF$21),"Outlier","OK")</f>
        <v>OK</v>
      </c>
      <c r="O1089" t="str">
        <f>IF(OR(C1089&lt;0,C1089&gt;1),"Outlier","OK")</f>
        <v>OK</v>
      </c>
      <c r="P1089" t="str">
        <f>IF(OR(D1089&lt;0,D1089&gt;1),"Outlier","OK")</f>
        <v>Outlier</v>
      </c>
      <c r="Q1089" t="str">
        <f t="shared" si="130"/>
        <v>80-100%</v>
      </c>
      <c r="R1089" t="str">
        <f>IF(B1089="","Missing","OK")</f>
        <v>OK</v>
      </c>
      <c r="S1089" t="str">
        <f>IF(E1089="","Missing","OK")</f>
        <v>OK</v>
      </c>
      <c r="T1089" t="str">
        <f t="shared" si="131"/>
        <v>OK</v>
      </c>
      <c r="U1089">
        <f>COUNTIF($A:$A,A1089)</f>
        <v>1</v>
      </c>
      <c r="V1089" t="str">
        <f t="shared" si="132"/>
        <v>OK</v>
      </c>
      <c r="W1089" t="str">
        <f>IF(I1089&gt;B1089,"ERROR","OK")</f>
        <v>OK</v>
      </c>
      <c r="X1089">
        <f>(B1089-I1089)/B1089</f>
        <v>0.80867807125553404</v>
      </c>
      <c r="Y1089" s="2">
        <f t="shared" si="133"/>
        <v>0</v>
      </c>
      <c r="Z1089" s="2" t="str">
        <f t="shared" si="134"/>
        <v>OK</v>
      </c>
      <c r="AA1089" t="str">
        <f t="shared" si="135"/>
        <v>Unique</v>
      </c>
    </row>
    <row r="1090" spans="1:27" x14ac:dyDescent="0.3">
      <c r="A1090">
        <v>1089</v>
      </c>
      <c r="B1090">
        <v>1022214.69283126</v>
      </c>
      <c r="C1090">
        <v>0.58295788456125597</v>
      </c>
      <c r="D1090">
        <v>2.4613775741490402E-3</v>
      </c>
      <c r="E1090">
        <v>0.31310764383067902</v>
      </c>
      <c r="F1090">
        <v>1</v>
      </c>
      <c r="G1090" t="s">
        <v>12</v>
      </c>
      <c r="H1090">
        <v>0</v>
      </c>
      <c r="I1090">
        <v>320063.23396149703</v>
      </c>
      <c r="J1090">
        <v>0.68689235616931998</v>
      </c>
      <c r="K1090" t="str">
        <f t="shared" si="128"/>
        <v>OK</v>
      </c>
      <c r="L1090" t="str">
        <f t="shared" si="129"/>
        <v>OK</v>
      </c>
      <c r="M1090" t="str">
        <f>IF(OR(B1090&lt;$AE$20,B1090&gt;$AF$20),"Outlier","OK")</f>
        <v>OK</v>
      </c>
      <c r="N1090" t="str">
        <f>IF(OR(J1090&lt;$AE$21,J1090&gt;$AF$21),"Outlier","OK")</f>
        <v>OK</v>
      </c>
      <c r="O1090" t="str">
        <f>IF(OR(C1090&lt;0,C1090&gt;1),"Outlier","OK")</f>
        <v>OK</v>
      </c>
      <c r="P1090" t="str">
        <f>IF(OR(D1090&lt;0,D1090&gt;1),"Outlier","OK")</f>
        <v>OK</v>
      </c>
      <c r="Q1090" t="str">
        <f t="shared" si="130"/>
        <v>60-80%</v>
      </c>
      <c r="R1090" t="str">
        <f>IF(B1090="","Missing","OK")</f>
        <v>OK</v>
      </c>
      <c r="S1090" t="str">
        <f>IF(E1090="","Missing","OK")</f>
        <v>OK</v>
      </c>
      <c r="T1090" t="str">
        <f t="shared" si="131"/>
        <v>OK</v>
      </c>
      <c r="U1090">
        <f>COUNTIF($A:$A,A1090)</f>
        <v>1</v>
      </c>
      <c r="V1090" t="str">
        <f t="shared" si="132"/>
        <v>OK</v>
      </c>
      <c r="W1090" t="str">
        <f>IF(I1090&gt;B1090,"ERROR","OK")</f>
        <v>OK</v>
      </c>
      <c r="X1090">
        <f>(B1090-I1090)/B1090</f>
        <v>0.68689235616932098</v>
      </c>
      <c r="Y1090" s="2">
        <f t="shared" si="133"/>
        <v>9.9920072216264089E-16</v>
      </c>
      <c r="Z1090" s="2" t="str">
        <f t="shared" si="134"/>
        <v>OK</v>
      </c>
      <c r="AA1090" t="str">
        <f t="shared" si="135"/>
        <v>Unique</v>
      </c>
    </row>
    <row r="1091" spans="1:27" x14ac:dyDescent="0.3">
      <c r="A1091">
        <v>1090</v>
      </c>
      <c r="B1091">
        <v>1168740.2905520999</v>
      </c>
      <c r="C1091">
        <v>0.43047408695823203</v>
      </c>
      <c r="D1091">
        <v>3.9562908390337902E-2</v>
      </c>
      <c r="E1091">
        <v>0.222844921142375</v>
      </c>
      <c r="F1091">
        <v>1</v>
      </c>
      <c r="G1091" t="s">
        <v>13</v>
      </c>
      <c r="H1091">
        <v>0</v>
      </c>
      <c r="I1091">
        <v>260447.83788400001</v>
      </c>
      <c r="J1091">
        <v>0.77715507885762403</v>
      </c>
      <c r="K1091" t="str">
        <f t="shared" ref="K1091:K1154" si="136">IF(OR(J1091&lt;0,J1091&gt;1),"Error","OK")</f>
        <v>OK</v>
      </c>
      <c r="L1091" t="str">
        <f t="shared" ref="L1091:L1154" si="137">IF(I1091&gt;B1091,"Error","OK")</f>
        <v>OK</v>
      </c>
      <c r="M1091" t="str">
        <f>IF(OR(B1091&lt;$AE$20,B1091&gt;$AF$20),"Outlier","OK")</f>
        <v>OK</v>
      </c>
      <c r="N1091" t="str">
        <f>IF(OR(J1091&lt;$AE$21,J1091&gt;$AF$21),"Outlier","OK")</f>
        <v>OK</v>
      </c>
      <c r="O1091" t="str">
        <f>IF(OR(C1091&lt;0,C1091&gt;1),"Outlier","OK")</f>
        <v>OK</v>
      </c>
      <c r="P1091" t="str">
        <f>IF(OR(D1091&lt;0,D1091&gt;1),"Outlier","OK")</f>
        <v>OK</v>
      </c>
      <c r="Q1091" t="str">
        <f t="shared" ref="Q1091:Q1154" si="138">IF(J1091&lt;=0.2,"0-20%",
 IF(J1091&lt;=0.4,"20-40%",
 IF(J1091&lt;=0.6,"40-60%",
 IF(J1091&lt;=0.8,"60-80%","80-100%"))))</f>
        <v>60-80%</v>
      </c>
      <c r="R1091" t="str">
        <f>IF(B1091="","Missing","OK")</f>
        <v>OK</v>
      </c>
      <c r="S1091" t="str">
        <f>IF(E1091="","Missing","OK")</f>
        <v>OK</v>
      </c>
      <c r="T1091" t="str">
        <f t="shared" ref="T1091:T1154" si="139">IF(J1091="","Missing","OK")</f>
        <v>OK</v>
      </c>
      <c r="U1091">
        <f>COUNTIF($A:$A,A1091)</f>
        <v>1</v>
      </c>
      <c r="V1091" t="str">
        <f t="shared" ref="V1091:V1154" si="140">IF(OR(J1091&lt;0,J1091&gt;1),"ERROR","OK")</f>
        <v>OK</v>
      </c>
      <c r="W1091" t="str">
        <f>IF(I1091&gt;B1091,"ERROR","OK")</f>
        <v>OK</v>
      </c>
      <c r="X1091">
        <f>(B1091-I1091)/B1091</f>
        <v>0.77715507885762425</v>
      </c>
      <c r="Y1091" s="2">
        <f t="shared" ref="Y1091:Y1154" si="141">ABS(J1091-X1091)</f>
        <v>2.2204460492503131E-16</v>
      </c>
      <c r="Z1091" s="2" t="str">
        <f t="shared" ref="Z1091:Z1154" si="142">IF(OR(B1091="",I1091="",J1091=""),"Missing","OK")</f>
        <v>OK</v>
      </c>
      <c r="AA1091" t="str">
        <f t="shared" ref="AA1091:AA1154" si="143">IF(COUNTIF($A:$A,A1091)&gt;1,"Duplicate","Unique")</f>
        <v>Unique</v>
      </c>
    </row>
    <row r="1092" spans="1:27" x14ac:dyDescent="0.3">
      <c r="A1092">
        <v>1091</v>
      </c>
      <c r="B1092">
        <v>575882.39182752301</v>
      </c>
      <c r="C1092">
        <v>0.888428735438485</v>
      </c>
      <c r="D1092">
        <v>-0.166998704344267</v>
      </c>
      <c r="E1092">
        <v>0.18083978540634801</v>
      </c>
      <c r="F1092">
        <v>1</v>
      </c>
      <c r="G1092" t="s">
        <v>11</v>
      </c>
      <c r="H1092">
        <v>0</v>
      </c>
      <c r="I1092">
        <v>104142.448157384</v>
      </c>
      <c r="J1092">
        <v>0.81916021459365096</v>
      </c>
      <c r="K1092" t="str">
        <f t="shared" si="136"/>
        <v>OK</v>
      </c>
      <c r="L1092" t="str">
        <f t="shared" si="137"/>
        <v>OK</v>
      </c>
      <c r="M1092" t="str">
        <f>IF(OR(B1092&lt;$AE$20,B1092&gt;$AF$20),"Outlier","OK")</f>
        <v>OK</v>
      </c>
      <c r="N1092" t="str">
        <f>IF(OR(J1092&lt;$AE$21,J1092&gt;$AF$21),"Outlier","OK")</f>
        <v>OK</v>
      </c>
      <c r="O1092" t="str">
        <f>IF(OR(C1092&lt;0,C1092&gt;1),"Outlier","OK")</f>
        <v>OK</v>
      </c>
      <c r="P1092" t="str">
        <f>IF(OR(D1092&lt;0,D1092&gt;1),"Outlier","OK")</f>
        <v>Outlier</v>
      </c>
      <c r="Q1092" t="str">
        <f t="shared" si="138"/>
        <v>80-100%</v>
      </c>
      <c r="R1092" t="str">
        <f>IF(B1092="","Missing","OK")</f>
        <v>OK</v>
      </c>
      <c r="S1092" t="str">
        <f>IF(E1092="","Missing","OK")</f>
        <v>OK</v>
      </c>
      <c r="T1092" t="str">
        <f t="shared" si="139"/>
        <v>OK</v>
      </c>
      <c r="U1092">
        <f>COUNTIF($A:$A,A1092)</f>
        <v>1</v>
      </c>
      <c r="V1092" t="str">
        <f t="shared" si="140"/>
        <v>OK</v>
      </c>
      <c r="W1092" t="str">
        <f>IF(I1092&gt;B1092,"ERROR","OK")</f>
        <v>OK</v>
      </c>
      <c r="X1092">
        <f>(B1092-I1092)/B1092</f>
        <v>0.8191602145936514</v>
      </c>
      <c r="Y1092" s="2">
        <f t="shared" si="141"/>
        <v>4.4408920985006262E-16</v>
      </c>
      <c r="Z1092" s="2" t="str">
        <f t="shared" si="142"/>
        <v>OK</v>
      </c>
      <c r="AA1092" t="str">
        <f t="shared" si="143"/>
        <v>Unique</v>
      </c>
    </row>
    <row r="1093" spans="1:27" x14ac:dyDescent="0.3">
      <c r="A1093">
        <v>1092</v>
      </c>
      <c r="B1093">
        <v>908120.20806377404</v>
      </c>
      <c r="C1093">
        <v>0.22460049190345599</v>
      </c>
      <c r="D1093">
        <v>-0.18666953829552199</v>
      </c>
      <c r="E1093">
        <v>0.117344794623501</v>
      </c>
      <c r="F1093">
        <v>1</v>
      </c>
      <c r="G1093" t="s">
        <v>10</v>
      </c>
      <c r="H1093">
        <v>1</v>
      </c>
      <c r="I1093">
        <v>106563.17930869501</v>
      </c>
      <c r="J1093">
        <v>0.882655205376498</v>
      </c>
      <c r="K1093" t="str">
        <f t="shared" si="136"/>
        <v>OK</v>
      </c>
      <c r="L1093" t="str">
        <f t="shared" si="137"/>
        <v>OK</v>
      </c>
      <c r="M1093" t="str">
        <f>IF(OR(B1093&lt;$AE$20,B1093&gt;$AF$20),"Outlier","OK")</f>
        <v>OK</v>
      </c>
      <c r="N1093" t="str">
        <f>IF(OR(J1093&lt;$AE$21,J1093&gt;$AF$21),"Outlier","OK")</f>
        <v>OK</v>
      </c>
      <c r="O1093" t="str">
        <f>IF(OR(C1093&lt;0,C1093&gt;1),"Outlier","OK")</f>
        <v>OK</v>
      </c>
      <c r="P1093" t="str">
        <f>IF(OR(D1093&lt;0,D1093&gt;1),"Outlier","OK")</f>
        <v>Outlier</v>
      </c>
      <c r="Q1093" t="str">
        <f t="shared" si="138"/>
        <v>80-100%</v>
      </c>
      <c r="R1093" t="str">
        <f>IF(B1093="","Missing","OK")</f>
        <v>OK</v>
      </c>
      <c r="S1093" t="str">
        <f>IF(E1093="","Missing","OK")</f>
        <v>OK</v>
      </c>
      <c r="T1093" t="str">
        <f t="shared" si="139"/>
        <v>OK</v>
      </c>
      <c r="U1093">
        <f>COUNTIF($A:$A,A1093)</f>
        <v>1</v>
      </c>
      <c r="V1093" t="str">
        <f t="shared" si="140"/>
        <v>OK</v>
      </c>
      <c r="W1093" t="str">
        <f>IF(I1093&gt;B1093,"ERROR","OK")</f>
        <v>OK</v>
      </c>
      <c r="X1093">
        <f>(B1093-I1093)/B1093</f>
        <v>0.88265520537649844</v>
      </c>
      <c r="Y1093" s="2">
        <f t="shared" si="141"/>
        <v>4.4408920985006262E-16</v>
      </c>
      <c r="Z1093" s="2" t="str">
        <f t="shared" si="142"/>
        <v>OK</v>
      </c>
      <c r="AA1093" t="str">
        <f t="shared" si="143"/>
        <v>Unique</v>
      </c>
    </row>
    <row r="1094" spans="1:27" x14ac:dyDescent="0.3">
      <c r="A1094">
        <v>1093</v>
      </c>
      <c r="B1094">
        <v>309354.69184152002</v>
      </c>
      <c r="C1094">
        <v>0.73185911606065701</v>
      </c>
      <c r="D1094">
        <v>-2.8311255342111499E-2</v>
      </c>
      <c r="E1094">
        <v>0.234814811367173</v>
      </c>
      <c r="F1094">
        <v>1</v>
      </c>
      <c r="G1094" t="s">
        <v>10</v>
      </c>
      <c r="H1094">
        <v>0</v>
      </c>
      <c r="I1094">
        <v>72641.063610316705</v>
      </c>
      <c r="J1094">
        <v>0.76518518863282603</v>
      </c>
      <c r="K1094" t="str">
        <f t="shared" si="136"/>
        <v>OK</v>
      </c>
      <c r="L1094" t="str">
        <f t="shared" si="137"/>
        <v>OK</v>
      </c>
      <c r="M1094" t="str">
        <f>IF(OR(B1094&lt;$AE$20,B1094&gt;$AF$20),"Outlier","OK")</f>
        <v>OK</v>
      </c>
      <c r="N1094" t="str">
        <f>IF(OR(J1094&lt;$AE$21,J1094&gt;$AF$21),"Outlier","OK")</f>
        <v>OK</v>
      </c>
      <c r="O1094" t="str">
        <f>IF(OR(C1094&lt;0,C1094&gt;1),"Outlier","OK")</f>
        <v>OK</v>
      </c>
      <c r="P1094" t="str">
        <f>IF(OR(D1094&lt;0,D1094&gt;1),"Outlier","OK")</f>
        <v>Outlier</v>
      </c>
      <c r="Q1094" t="str">
        <f t="shared" si="138"/>
        <v>60-80%</v>
      </c>
      <c r="R1094" t="str">
        <f>IF(B1094="","Missing","OK")</f>
        <v>OK</v>
      </c>
      <c r="S1094" t="str">
        <f>IF(E1094="","Missing","OK")</f>
        <v>OK</v>
      </c>
      <c r="T1094" t="str">
        <f t="shared" si="139"/>
        <v>OK</v>
      </c>
      <c r="U1094">
        <f>COUNTIF($A:$A,A1094)</f>
        <v>1</v>
      </c>
      <c r="V1094" t="str">
        <f t="shared" si="140"/>
        <v>OK</v>
      </c>
      <c r="W1094" t="str">
        <f>IF(I1094&gt;B1094,"ERROR","OK")</f>
        <v>OK</v>
      </c>
      <c r="X1094">
        <f>(B1094-I1094)/B1094</f>
        <v>0.76518518863282614</v>
      </c>
      <c r="Y1094" s="2">
        <f t="shared" si="141"/>
        <v>1.1102230246251565E-16</v>
      </c>
      <c r="Z1094" s="2" t="str">
        <f t="shared" si="142"/>
        <v>OK</v>
      </c>
      <c r="AA1094" t="str">
        <f t="shared" si="143"/>
        <v>Unique</v>
      </c>
    </row>
    <row r="1095" spans="1:27" x14ac:dyDescent="0.3">
      <c r="A1095">
        <v>1094</v>
      </c>
      <c r="B1095">
        <v>1057401.8050910099</v>
      </c>
      <c r="C1095">
        <v>0.37478992928085397</v>
      </c>
      <c r="D1095">
        <v>0.13735731051323</v>
      </c>
      <c r="E1095">
        <v>0.32319296220620802</v>
      </c>
      <c r="F1095">
        <v>1</v>
      </c>
      <c r="G1095" t="s">
        <v>13</v>
      </c>
      <c r="H1095">
        <v>1</v>
      </c>
      <c r="I1095">
        <v>341744.82162955601</v>
      </c>
      <c r="J1095">
        <v>0.67680703779379103</v>
      </c>
      <c r="K1095" t="str">
        <f t="shared" si="136"/>
        <v>OK</v>
      </c>
      <c r="L1095" t="str">
        <f t="shared" si="137"/>
        <v>OK</v>
      </c>
      <c r="M1095" t="str">
        <f>IF(OR(B1095&lt;$AE$20,B1095&gt;$AF$20),"Outlier","OK")</f>
        <v>OK</v>
      </c>
      <c r="N1095" t="str">
        <f>IF(OR(J1095&lt;$AE$21,J1095&gt;$AF$21),"Outlier","OK")</f>
        <v>OK</v>
      </c>
      <c r="O1095" t="str">
        <f>IF(OR(C1095&lt;0,C1095&gt;1),"Outlier","OK")</f>
        <v>OK</v>
      </c>
      <c r="P1095" t="str">
        <f>IF(OR(D1095&lt;0,D1095&gt;1),"Outlier","OK")</f>
        <v>OK</v>
      </c>
      <c r="Q1095" t="str">
        <f t="shared" si="138"/>
        <v>60-80%</v>
      </c>
      <c r="R1095" t="str">
        <f>IF(B1095="","Missing","OK")</f>
        <v>OK</v>
      </c>
      <c r="S1095" t="str">
        <f>IF(E1095="","Missing","OK")</f>
        <v>OK</v>
      </c>
      <c r="T1095" t="str">
        <f t="shared" si="139"/>
        <v>OK</v>
      </c>
      <c r="U1095">
        <f>COUNTIF($A:$A,A1095)</f>
        <v>1</v>
      </c>
      <c r="V1095" t="str">
        <f t="shared" si="140"/>
        <v>OK</v>
      </c>
      <c r="W1095" t="str">
        <f>IF(I1095&gt;B1095,"ERROR","OK")</f>
        <v>OK</v>
      </c>
      <c r="X1095">
        <f>(B1095-I1095)/B1095</f>
        <v>0.67680703779379092</v>
      </c>
      <c r="Y1095" s="2">
        <f t="shared" si="141"/>
        <v>1.1102230246251565E-16</v>
      </c>
      <c r="Z1095" s="2" t="str">
        <f t="shared" si="142"/>
        <v>OK</v>
      </c>
      <c r="AA1095" t="str">
        <f t="shared" si="143"/>
        <v>Unique</v>
      </c>
    </row>
    <row r="1096" spans="1:27" x14ac:dyDescent="0.3">
      <c r="A1096">
        <v>1095</v>
      </c>
      <c r="B1096">
        <v>155213.795959813</v>
      </c>
      <c r="C1096">
        <v>0.799459519581874</v>
      </c>
      <c r="D1096">
        <v>-5.8190919884126703E-2</v>
      </c>
      <c r="E1096">
        <v>0.32143353518184797</v>
      </c>
      <c r="F1096">
        <v>1</v>
      </c>
      <c r="G1096" t="s">
        <v>13</v>
      </c>
      <c r="H1096">
        <v>1</v>
      </c>
      <c r="I1096">
        <v>49890.919144357104</v>
      </c>
      <c r="J1096">
        <v>0.67856646481815097</v>
      </c>
      <c r="K1096" t="str">
        <f t="shared" si="136"/>
        <v>OK</v>
      </c>
      <c r="L1096" t="str">
        <f t="shared" si="137"/>
        <v>OK</v>
      </c>
      <c r="M1096" t="str">
        <f>IF(OR(B1096&lt;$AE$20,B1096&gt;$AF$20),"Outlier","OK")</f>
        <v>OK</v>
      </c>
      <c r="N1096" t="str">
        <f>IF(OR(J1096&lt;$AE$21,J1096&gt;$AF$21),"Outlier","OK")</f>
        <v>OK</v>
      </c>
      <c r="O1096" t="str">
        <f>IF(OR(C1096&lt;0,C1096&gt;1),"Outlier","OK")</f>
        <v>OK</v>
      </c>
      <c r="P1096" t="str">
        <f>IF(OR(D1096&lt;0,D1096&gt;1),"Outlier","OK")</f>
        <v>Outlier</v>
      </c>
      <c r="Q1096" t="str">
        <f t="shared" si="138"/>
        <v>60-80%</v>
      </c>
      <c r="R1096" t="str">
        <f>IF(B1096="","Missing","OK")</f>
        <v>OK</v>
      </c>
      <c r="S1096" t="str">
        <f>IF(E1096="","Missing","OK")</f>
        <v>OK</v>
      </c>
      <c r="T1096" t="str">
        <f t="shared" si="139"/>
        <v>OK</v>
      </c>
      <c r="U1096">
        <f>COUNTIF($A:$A,A1096)</f>
        <v>1</v>
      </c>
      <c r="V1096" t="str">
        <f t="shared" si="140"/>
        <v>OK</v>
      </c>
      <c r="W1096" t="str">
        <f>IF(I1096&gt;B1096,"ERROR","OK")</f>
        <v>OK</v>
      </c>
      <c r="X1096">
        <f>(B1096-I1096)/B1096</f>
        <v>0.67856646481814953</v>
      </c>
      <c r="Y1096" s="2">
        <f t="shared" si="141"/>
        <v>1.4432899320127035E-15</v>
      </c>
      <c r="Z1096" s="2" t="str">
        <f t="shared" si="142"/>
        <v>OK</v>
      </c>
      <c r="AA1096" t="str">
        <f t="shared" si="143"/>
        <v>Unique</v>
      </c>
    </row>
    <row r="1097" spans="1:27" x14ac:dyDescent="0.3">
      <c r="A1097">
        <v>1096</v>
      </c>
      <c r="B1097">
        <v>144086.268699156</v>
      </c>
      <c r="C1097">
        <v>0.86358099263954902</v>
      </c>
      <c r="D1097">
        <v>8.8815659258788607E-2</v>
      </c>
      <c r="E1097">
        <v>0.30313527876443502</v>
      </c>
      <c r="F1097">
        <v>1</v>
      </c>
      <c r="G1097" t="s">
        <v>11</v>
      </c>
      <c r="H1097">
        <v>0</v>
      </c>
      <c r="I1097">
        <v>43677.631228245998</v>
      </c>
      <c r="J1097">
        <v>0.69686472123556398</v>
      </c>
      <c r="K1097" t="str">
        <f t="shared" si="136"/>
        <v>OK</v>
      </c>
      <c r="L1097" t="str">
        <f t="shared" si="137"/>
        <v>OK</v>
      </c>
      <c r="M1097" t="str">
        <f>IF(OR(B1097&lt;$AE$20,B1097&gt;$AF$20),"Outlier","OK")</f>
        <v>OK</v>
      </c>
      <c r="N1097" t="str">
        <f>IF(OR(J1097&lt;$AE$21,J1097&gt;$AF$21),"Outlier","OK")</f>
        <v>OK</v>
      </c>
      <c r="O1097" t="str">
        <f>IF(OR(C1097&lt;0,C1097&gt;1),"Outlier","OK")</f>
        <v>OK</v>
      </c>
      <c r="P1097" t="str">
        <f>IF(OR(D1097&lt;0,D1097&gt;1),"Outlier","OK")</f>
        <v>OK</v>
      </c>
      <c r="Q1097" t="str">
        <f t="shared" si="138"/>
        <v>60-80%</v>
      </c>
      <c r="R1097" t="str">
        <f>IF(B1097="","Missing","OK")</f>
        <v>OK</v>
      </c>
      <c r="S1097" t="str">
        <f>IF(E1097="","Missing","OK")</f>
        <v>OK</v>
      </c>
      <c r="T1097" t="str">
        <f t="shared" si="139"/>
        <v>OK</v>
      </c>
      <c r="U1097">
        <f>COUNTIF($A:$A,A1097)</f>
        <v>1</v>
      </c>
      <c r="V1097" t="str">
        <f t="shared" si="140"/>
        <v>OK</v>
      </c>
      <c r="W1097" t="str">
        <f>IF(I1097&gt;B1097,"ERROR","OK")</f>
        <v>OK</v>
      </c>
      <c r="X1097">
        <f>(B1097-I1097)/B1097</f>
        <v>0.69686472123556464</v>
      </c>
      <c r="Y1097" s="2">
        <f t="shared" si="141"/>
        <v>6.6613381477509392E-16</v>
      </c>
      <c r="Z1097" s="2" t="str">
        <f t="shared" si="142"/>
        <v>OK</v>
      </c>
      <c r="AA1097" t="str">
        <f t="shared" si="143"/>
        <v>Unique</v>
      </c>
    </row>
    <row r="1098" spans="1:27" x14ac:dyDescent="0.3">
      <c r="A1098">
        <v>1097</v>
      </c>
      <c r="B1098">
        <v>1375313.09223354</v>
      </c>
      <c r="C1098">
        <v>0.41183165374684599</v>
      </c>
      <c r="D1098">
        <v>0.155186813575903</v>
      </c>
      <c r="E1098">
        <v>0.20979414119817899</v>
      </c>
      <c r="F1098">
        <v>1</v>
      </c>
      <c r="G1098" t="s">
        <v>12</v>
      </c>
      <c r="H1098">
        <v>0</v>
      </c>
      <c r="I1098">
        <v>288532.62906374899</v>
      </c>
      <c r="J1098">
        <v>0.79020585880182004</v>
      </c>
      <c r="K1098" t="str">
        <f t="shared" si="136"/>
        <v>OK</v>
      </c>
      <c r="L1098" t="str">
        <f t="shared" si="137"/>
        <v>OK</v>
      </c>
      <c r="M1098" t="str">
        <f>IF(OR(B1098&lt;$AE$20,B1098&gt;$AF$20),"Outlier","OK")</f>
        <v>OK</v>
      </c>
      <c r="N1098" t="str">
        <f>IF(OR(J1098&lt;$AE$21,J1098&gt;$AF$21),"Outlier","OK")</f>
        <v>OK</v>
      </c>
      <c r="O1098" t="str">
        <f>IF(OR(C1098&lt;0,C1098&gt;1),"Outlier","OK")</f>
        <v>OK</v>
      </c>
      <c r="P1098" t="str">
        <f>IF(OR(D1098&lt;0,D1098&gt;1),"Outlier","OK")</f>
        <v>OK</v>
      </c>
      <c r="Q1098" t="str">
        <f t="shared" si="138"/>
        <v>60-80%</v>
      </c>
      <c r="R1098" t="str">
        <f>IF(B1098="","Missing","OK")</f>
        <v>OK</v>
      </c>
      <c r="S1098" t="str">
        <f>IF(E1098="","Missing","OK")</f>
        <v>OK</v>
      </c>
      <c r="T1098" t="str">
        <f t="shared" si="139"/>
        <v>OK</v>
      </c>
      <c r="U1098">
        <f>COUNTIF($A:$A,A1098)</f>
        <v>1</v>
      </c>
      <c r="V1098" t="str">
        <f t="shared" si="140"/>
        <v>OK</v>
      </c>
      <c r="W1098" t="str">
        <f>IF(I1098&gt;B1098,"ERROR","OK")</f>
        <v>OK</v>
      </c>
      <c r="X1098">
        <f>(B1098-I1098)/B1098</f>
        <v>0.79020585880181993</v>
      </c>
      <c r="Y1098" s="2">
        <f t="shared" si="141"/>
        <v>1.1102230246251565E-16</v>
      </c>
      <c r="Z1098" s="2" t="str">
        <f t="shared" si="142"/>
        <v>OK</v>
      </c>
      <c r="AA1098" t="str">
        <f t="shared" si="143"/>
        <v>Unique</v>
      </c>
    </row>
    <row r="1099" spans="1:27" x14ac:dyDescent="0.3">
      <c r="A1099">
        <v>1098</v>
      </c>
      <c r="B1099">
        <v>157214.14043052201</v>
      </c>
      <c r="C1099">
        <v>0.404198113021144</v>
      </c>
      <c r="D1099">
        <v>0.13113540164708101</v>
      </c>
      <c r="E1099">
        <v>0.32705490280432198</v>
      </c>
      <c r="F1099">
        <v>1</v>
      </c>
      <c r="G1099" t="s">
        <v>12</v>
      </c>
      <c r="H1099">
        <v>0</v>
      </c>
      <c r="I1099">
        <v>51417.655417969399</v>
      </c>
      <c r="J1099">
        <v>0.67294509719567797</v>
      </c>
      <c r="K1099" t="str">
        <f t="shared" si="136"/>
        <v>OK</v>
      </c>
      <c r="L1099" t="str">
        <f t="shared" si="137"/>
        <v>OK</v>
      </c>
      <c r="M1099" t="str">
        <f>IF(OR(B1099&lt;$AE$20,B1099&gt;$AF$20),"Outlier","OK")</f>
        <v>OK</v>
      </c>
      <c r="N1099" t="str">
        <f>IF(OR(J1099&lt;$AE$21,J1099&gt;$AF$21),"Outlier","OK")</f>
        <v>OK</v>
      </c>
      <c r="O1099" t="str">
        <f>IF(OR(C1099&lt;0,C1099&gt;1),"Outlier","OK")</f>
        <v>OK</v>
      </c>
      <c r="P1099" t="str">
        <f>IF(OR(D1099&lt;0,D1099&gt;1),"Outlier","OK")</f>
        <v>OK</v>
      </c>
      <c r="Q1099" t="str">
        <f t="shared" si="138"/>
        <v>60-80%</v>
      </c>
      <c r="R1099" t="str">
        <f>IF(B1099="","Missing","OK")</f>
        <v>OK</v>
      </c>
      <c r="S1099" t="str">
        <f>IF(E1099="","Missing","OK")</f>
        <v>OK</v>
      </c>
      <c r="T1099" t="str">
        <f t="shared" si="139"/>
        <v>OK</v>
      </c>
      <c r="U1099">
        <f>COUNTIF($A:$A,A1099)</f>
        <v>1</v>
      </c>
      <c r="V1099" t="str">
        <f t="shared" si="140"/>
        <v>OK</v>
      </c>
      <c r="W1099" t="str">
        <f>IF(I1099&gt;B1099,"ERROR","OK")</f>
        <v>OK</v>
      </c>
      <c r="X1099">
        <f>(B1099-I1099)/B1099</f>
        <v>0.67294509719567808</v>
      </c>
      <c r="Y1099" s="2">
        <f t="shared" si="141"/>
        <v>1.1102230246251565E-16</v>
      </c>
      <c r="Z1099" s="2" t="str">
        <f t="shared" si="142"/>
        <v>OK</v>
      </c>
      <c r="AA1099" t="str">
        <f t="shared" si="143"/>
        <v>Unique</v>
      </c>
    </row>
    <row r="1100" spans="1:27" x14ac:dyDescent="0.3">
      <c r="A1100">
        <v>1099</v>
      </c>
      <c r="B1100">
        <v>1066503.49895726</v>
      </c>
      <c r="C1100">
        <v>0.226146959788632</v>
      </c>
      <c r="D1100">
        <v>-0.12947418245374101</v>
      </c>
      <c r="E1100">
        <v>7.1390524115576698E-2</v>
      </c>
      <c r="F1100">
        <v>1</v>
      </c>
      <c r="G1100" t="s">
        <v>11</v>
      </c>
      <c r="H1100">
        <v>1</v>
      </c>
      <c r="I1100">
        <v>76138.243761655598</v>
      </c>
      <c r="J1100">
        <v>0.928609475884423</v>
      </c>
      <c r="K1100" t="str">
        <f t="shared" si="136"/>
        <v>OK</v>
      </c>
      <c r="L1100" t="str">
        <f t="shared" si="137"/>
        <v>OK</v>
      </c>
      <c r="M1100" t="str">
        <f>IF(OR(B1100&lt;$AE$20,B1100&gt;$AF$20),"Outlier","OK")</f>
        <v>OK</v>
      </c>
      <c r="N1100" t="str">
        <f>IF(OR(J1100&lt;$AE$21,J1100&gt;$AF$21),"Outlier","OK")</f>
        <v>OK</v>
      </c>
      <c r="O1100" t="str">
        <f>IF(OR(C1100&lt;0,C1100&gt;1),"Outlier","OK")</f>
        <v>OK</v>
      </c>
      <c r="P1100" t="str">
        <f>IF(OR(D1100&lt;0,D1100&gt;1),"Outlier","OK")</f>
        <v>Outlier</v>
      </c>
      <c r="Q1100" t="str">
        <f t="shared" si="138"/>
        <v>80-100%</v>
      </c>
      <c r="R1100" t="str">
        <f>IF(B1100="","Missing","OK")</f>
        <v>OK</v>
      </c>
      <c r="S1100" t="str">
        <f>IF(E1100="","Missing","OK")</f>
        <v>OK</v>
      </c>
      <c r="T1100" t="str">
        <f t="shared" si="139"/>
        <v>OK</v>
      </c>
      <c r="U1100">
        <f>COUNTIF($A:$A,A1100)</f>
        <v>1</v>
      </c>
      <c r="V1100" t="str">
        <f t="shared" si="140"/>
        <v>OK</v>
      </c>
      <c r="W1100" t="str">
        <f>IF(I1100&gt;B1100,"ERROR","OK")</f>
        <v>OK</v>
      </c>
      <c r="X1100">
        <f>(B1100-I1100)/B1100</f>
        <v>0.92860947588442289</v>
      </c>
      <c r="Y1100" s="2">
        <f t="shared" si="141"/>
        <v>1.1102230246251565E-16</v>
      </c>
      <c r="Z1100" s="2" t="str">
        <f t="shared" si="142"/>
        <v>OK</v>
      </c>
      <c r="AA1100" t="str">
        <f t="shared" si="143"/>
        <v>Unique</v>
      </c>
    </row>
    <row r="1101" spans="1:27" x14ac:dyDescent="0.3">
      <c r="A1101">
        <v>1100</v>
      </c>
      <c r="B1101">
        <v>568751.66360654798</v>
      </c>
      <c r="C1101">
        <v>0.24164291387620701</v>
      </c>
      <c r="D1101">
        <v>0.18791197028891199</v>
      </c>
      <c r="E1101">
        <v>0.38523140919566301</v>
      </c>
      <c r="F1101">
        <v>1</v>
      </c>
      <c r="G1101" t="s">
        <v>12</v>
      </c>
      <c r="H1101">
        <v>1</v>
      </c>
      <c r="I1101">
        <v>219101.00485352799</v>
      </c>
      <c r="J1101">
        <v>0.61476859080433599</v>
      </c>
      <c r="K1101" t="str">
        <f t="shared" si="136"/>
        <v>OK</v>
      </c>
      <c r="L1101" t="str">
        <f t="shared" si="137"/>
        <v>OK</v>
      </c>
      <c r="M1101" t="str">
        <f>IF(OR(B1101&lt;$AE$20,B1101&gt;$AF$20),"Outlier","OK")</f>
        <v>OK</v>
      </c>
      <c r="N1101" t="str">
        <f>IF(OR(J1101&lt;$AE$21,J1101&gt;$AF$21),"Outlier","OK")</f>
        <v>OK</v>
      </c>
      <c r="O1101" t="str">
        <f>IF(OR(C1101&lt;0,C1101&gt;1),"Outlier","OK")</f>
        <v>OK</v>
      </c>
      <c r="P1101" t="str">
        <f>IF(OR(D1101&lt;0,D1101&gt;1),"Outlier","OK")</f>
        <v>OK</v>
      </c>
      <c r="Q1101" t="str">
        <f t="shared" si="138"/>
        <v>60-80%</v>
      </c>
      <c r="R1101" t="str">
        <f>IF(B1101="","Missing","OK")</f>
        <v>OK</v>
      </c>
      <c r="S1101" t="str">
        <f>IF(E1101="","Missing","OK")</f>
        <v>OK</v>
      </c>
      <c r="T1101" t="str">
        <f t="shared" si="139"/>
        <v>OK</v>
      </c>
      <c r="U1101">
        <f>COUNTIF($A:$A,A1101)</f>
        <v>1</v>
      </c>
      <c r="V1101" t="str">
        <f t="shared" si="140"/>
        <v>OK</v>
      </c>
      <c r="W1101" t="str">
        <f>IF(I1101&gt;B1101,"ERROR","OK")</f>
        <v>OK</v>
      </c>
      <c r="X1101">
        <f>(B1101-I1101)/B1101</f>
        <v>0.61476859080433732</v>
      </c>
      <c r="Y1101" s="2">
        <f t="shared" si="141"/>
        <v>1.3322676295501878E-15</v>
      </c>
      <c r="Z1101" s="2" t="str">
        <f t="shared" si="142"/>
        <v>OK</v>
      </c>
      <c r="AA1101" t="str">
        <f t="shared" si="143"/>
        <v>Unique</v>
      </c>
    </row>
    <row r="1102" spans="1:27" x14ac:dyDescent="0.3">
      <c r="A1102">
        <v>1101</v>
      </c>
      <c r="B1102">
        <v>416003.18886377802</v>
      </c>
      <c r="C1102">
        <v>0.23634236926871299</v>
      </c>
      <c r="D1102">
        <v>-0.1283275256818</v>
      </c>
      <c r="E1102">
        <v>0.4066572467831</v>
      </c>
      <c r="F1102">
        <v>1</v>
      </c>
      <c r="G1102" t="s">
        <v>12</v>
      </c>
      <c r="H1102">
        <v>0</v>
      </c>
      <c r="I1102">
        <v>169170.71143633401</v>
      </c>
      <c r="J1102">
        <v>0.593342753216899</v>
      </c>
      <c r="K1102" t="str">
        <f t="shared" si="136"/>
        <v>OK</v>
      </c>
      <c r="L1102" t="str">
        <f t="shared" si="137"/>
        <v>OK</v>
      </c>
      <c r="M1102" t="str">
        <f>IF(OR(B1102&lt;$AE$20,B1102&gt;$AF$20),"Outlier","OK")</f>
        <v>OK</v>
      </c>
      <c r="N1102" t="str">
        <f>IF(OR(J1102&lt;$AE$21,J1102&gt;$AF$21),"Outlier","OK")</f>
        <v>OK</v>
      </c>
      <c r="O1102" t="str">
        <f>IF(OR(C1102&lt;0,C1102&gt;1),"Outlier","OK")</f>
        <v>OK</v>
      </c>
      <c r="P1102" t="str">
        <f>IF(OR(D1102&lt;0,D1102&gt;1),"Outlier","OK")</f>
        <v>Outlier</v>
      </c>
      <c r="Q1102" t="str">
        <f t="shared" si="138"/>
        <v>40-60%</v>
      </c>
      <c r="R1102" t="str">
        <f>IF(B1102="","Missing","OK")</f>
        <v>OK</v>
      </c>
      <c r="S1102" t="str">
        <f>IF(E1102="","Missing","OK")</f>
        <v>OK</v>
      </c>
      <c r="T1102" t="str">
        <f t="shared" si="139"/>
        <v>OK</v>
      </c>
      <c r="U1102">
        <f>COUNTIF($A:$A,A1102)</f>
        <v>1</v>
      </c>
      <c r="V1102" t="str">
        <f t="shared" si="140"/>
        <v>OK</v>
      </c>
      <c r="W1102" t="str">
        <f>IF(I1102&gt;B1102,"ERROR","OK")</f>
        <v>OK</v>
      </c>
      <c r="X1102">
        <f>(B1102-I1102)/B1102</f>
        <v>0.59334275321689978</v>
      </c>
      <c r="Y1102" s="2">
        <f t="shared" si="141"/>
        <v>7.7715611723760958E-16</v>
      </c>
      <c r="Z1102" s="2" t="str">
        <f t="shared" si="142"/>
        <v>OK</v>
      </c>
      <c r="AA1102" t="str">
        <f t="shared" si="143"/>
        <v>Unique</v>
      </c>
    </row>
    <row r="1103" spans="1:27" x14ac:dyDescent="0.3">
      <c r="A1103">
        <v>1102</v>
      </c>
      <c r="B1103">
        <v>1167971.8356065601</v>
      </c>
      <c r="C1103">
        <v>0.55830674704960703</v>
      </c>
      <c r="D1103">
        <v>7.6774850538042602E-2</v>
      </c>
      <c r="E1103">
        <v>0.53192024776051905</v>
      </c>
      <c r="F1103">
        <v>1</v>
      </c>
      <c r="G1103" t="s">
        <v>13</v>
      </c>
      <c r="H1103">
        <v>0</v>
      </c>
      <c r="I1103">
        <v>621267.86817315104</v>
      </c>
      <c r="J1103">
        <v>0.46807975223948001</v>
      </c>
      <c r="K1103" t="str">
        <f t="shared" si="136"/>
        <v>OK</v>
      </c>
      <c r="L1103" t="str">
        <f t="shared" si="137"/>
        <v>OK</v>
      </c>
      <c r="M1103" t="str">
        <f>IF(OR(B1103&lt;$AE$20,B1103&gt;$AF$20),"Outlier","OK")</f>
        <v>OK</v>
      </c>
      <c r="N1103" t="str">
        <f>IF(OR(J1103&lt;$AE$21,J1103&gt;$AF$21),"Outlier","OK")</f>
        <v>OK</v>
      </c>
      <c r="O1103" t="str">
        <f>IF(OR(C1103&lt;0,C1103&gt;1),"Outlier","OK")</f>
        <v>OK</v>
      </c>
      <c r="P1103" t="str">
        <f>IF(OR(D1103&lt;0,D1103&gt;1),"Outlier","OK")</f>
        <v>OK</v>
      </c>
      <c r="Q1103" t="str">
        <f t="shared" si="138"/>
        <v>40-60%</v>
      </c>
      <c r="R1103" t="str">
        <f>IF(B1103="","Missing","OK")</f>
        <v>OK</v>
      </c>
      <c r="S1103" t="str">
        <f>IF(E1103="","Missing","OK")</f>
        <v>OK</v>
      </c>
      <c r="T1103" t="str">
        <f t="shared" si="139"/>
        <v>OK</v>
      </c>
      <c r="U1103">
        <f>COUNTIF($A:$A,A1103)</f>
        <v>1</v>
      </c>
      <c r="V1103" t="str">
        <f t="shared" si="140"/>
        <v>OK</v>
      </c>
      <c r="W1103" t="str">
        <f>IF(I1103&gt;B1103,"ERROR","OK")</f>
        <v>OK</v>
      </c>
      <c r="X1103">
        <f>(B1103-I1103)/B1103</f>
        <v>0.46807975223947978</v>
      </c>
      <c r="Y1103" s="2">
        <f t="shared" si="141"/>
        <v>2.2204460492503131E-16</v>
      </c>
      <c r="Z1103" s="2" t="str">
        <f t="shared" si="142"/>
        <v>OK</v>
      </c>
      <c r="AA1103" t="str">
        <f t="shared" si="143"/>
        <v>Unique</v>
      </c>
    </row>
    <row r="1104" spans="1:27" x14ac:dyDescent="0.3">
      <c r="A1104">
        <v>1103</v>
      </c>
      <c r="B1104">
        <v>628103.42983196303</v>
      </c>
      <c r="C1104">
        <v>0.814113277469658</v>
      </c>
      <c r="D1104">
        <v>-0.13736733363648199</v>
      </c>
      <c r="E1104">
        <v>0.100303881806624</v>
      </c>
      <c r="F1104">
        <v>1</v>
      </c>
      <c r="G1104" t="s">
        <v>10</v>
      </c>
      <c r="H1104">
        <v>1</v>
      </c>
      <c r="I1104">
        <v>63001.212188200698</v>
      </c>
      <c r="J1104">
        <v>0.89969611819337503</v>
      </c>
      <c r="K1104" t="str">
        <f t="shared" si="136"/>
        <v>OK</v>
      </c>
      <c r="L1104" t="str">
        <f t="shared" si="137"/>
        <v>OK</v>
      </c>
      <c r="M1104" t="str">
        <f>IF(OR(B1104&lt;$AE$20,B1104&gt;$AF$20),"Outlier","OK")</f>
        <v>OK</v>
      </c>
      <c r="N1104" t="str">
        <f>IF(OR(J1104&lt;$AE$21,J1104&gt;$AF$21),"Outlier","OK")</f>
        <v>OK</v>
      </c>
      <c r="O1104" t="str">
        <f>IF(OR(C1104&lt;0,C1104&gt;1),"Outlier","OK")</f>
        <v>OK</v>
      </c>
      <c r="P1104" t="str">
        <f>IF(OR(D1104&lt;0,D1104&gt;1),"Outlier","OK")</f>
        <v>Outlier</v>
      </c>
      <c r="Q1104" t="str">
        <f t="shared" si="138"/>
        <v>80-100%</v>
      </c>
      <c r="R1104" t="str">
        <f>IF(B1104="","Missing","OK")</f>
        <v>OK</v>
      </c>
      <c r="S1104" t="str">
        <f>IF(E1104="","Missing","OK")</f>
        <v>OK</v>
      </c>
      <c r="T1104" t="str">
        <f t="shared" si="139"/>
        <v>OK</v>
      </c>
      <c r="U1104">
        <f>COUNTIF($A:$A,A1104)</f>
        <v>1</v>
      </c>
      <c r="V1104" t="str">
        <f t="shared" si="140"/>
        <v>OK</v>
      </c>
      <c r="W1104" t="str">
        <f>IF(I1104&gt;B1104,"ERROR","OK")</f>
        <v>OK</v>
      </c>
      <c r="X1104">
        <f>(B1104-I1104)/B1104</f>
        <v>0.89969611819337547</v>
      </c>
      <c r="Y1104" s="2">
        <f t="shared" si="141"/>
        <v>4.4408920985006262E-16</v>
      </c>
      <c r="Z1104" s="2" t="str">
        <f t="shared" si="142"/>
        <v>OK</v>
      </c>
      <c r="AA1104" t="str">
        <f t="shared" si="143"/>
        <v>Unique</v>
      </c>
    </row>
    <row r="1105" spans="1:27" x14ac:dyDescent="0.3">
      <c r="A1105">
        <v>1104</v>
      </c>
      <c r="B1105">
        <v>939945.63071765995</v>
      </c>
      <c r="C1105">
        <v>0.174340744624086</v>
      </c>
      <c r="D1105">
        <v>9.6093945615471105E-2</v>
      </c>
      <c r="E1105">
        <v>0.56210104042007003</v>
      </c>
      <c r="F1105">
        <v>1</v>
      </c>
      <c r="G1105" t="s">
        <v>13</v>
      </c>
      <c r="H1105">
        <v>1</v>
      </c>
      <c r="I1105">
        <v>528344.41696469602</v>
      </c>
      <c r="J1105">
        <v>0.43789895957992903</v>
      </c>
      <c r="K1105" t="str">
        <f t="shared" si="136"/>
        <v>OK</v>
      </c>
      <c r="L1105" t="str">
        <f t="shared" si="137"/>
        <v>OK</v>
      </c>
      <c r="M1105" t="str">
        <f>IF(OR(B1105&lt;$AE$20,B1105&gt;$AF$20),"Outlier","OK")</f>
        <v>OK</v>
      </c>
      <c r="N1105" t="str">
        <f>IF(OR(J1105&lt;$AE$21,J1105&gt;$AF$21),"Outlier","OK")</f>
        <v>OK</v>
      </c>
      <c r="O1105" t="str">
        <f>IF(OR(C1105&lt;0,C1105&gt;1),"Outlier","OK")</f>
        <v>OK</v>
      </c>
      <c r="P1105" t="str">
        <f>IF(OR(D1105&lt;0,D1105&gt;1),"Outlier","OK")</f>
        <v>OK</v>
      </c>
      <c r="Q1105" t="str">
        <f t="shared" si="138"/>
        <v>40-60%</v>
      </c>
      <c r="R1105" t="str">
        <f>IF(B1105="","Missing","OK")</f>
        <v>OK</v>
      </c>
      <c r="S1105" t="str">
        <f>IF(E1105="","Missing","OK")</f>
        <v>OK</v>
      </c>
      <c r="T1105" t="str">
        <f t="shared" si="139"/>
        <v>OK</v>
      </c>
      <c r="U1105">
        <f>COUNTIF($A:$A,A1105)</f>
        <v>1</v>
      </c>
      <c r="V1105" t="str">
        <f t="shared" si="140"/>
        <v>OK</v>
      </c>
      <c r="W1105" t="str">
        <f>IF(I1105&gt;B1105,"ERROR","OK")</f>
        <v>OK</v>
      </c>
      <c r="X1105">
        <f>(B1105-I1105)/B1105</f>
        <v>0.43789895957992953</v>
      </c>
      <c r="Y1105" s="2">
        <f t="shared" si="141"/>
        <v>4.9960036108132044E-16</v>
      </c>
      <c r="Z1105" s="2" t="str">
        <f t="shared" si="142"/>
        <v>OK</v>
      </c>
      <c r="AA1105" t="str">
        <f t="shared" si="143"/>
        <v>Unique</v>
      </c>
    </row>
    <row r="1106" spans="1:27" x14ac:dyDescent="0.3">
      <c r="A1106">
        <v>1105</v>
      </c>
      <c r="B1106">
        <v>320998.985493263</v>
      </c>
      <c r="C1106">
        <v>0.83861635582627903</v>
      </c>
      <c r="D1106">
        <v>5.1334260149622502E-2</v>
      </c>
      <c r="E1106">
        <v>0.13334223770713699</v>
      </c>
      <c r="F1106">
        <v>1</v>
      </c>
      <c r="G1106" t="s">
        <v>12</v>
      </c>
      <c r="H1106">
        <v>1</v>
      </c>
      <c r="I1106">
        <v>42802.723027392502</v>
      </c>
      <c r="J1106">
        <v>0.86665776229286196</v>
      </c>
      <c r="K1106" t="str">
        <f t="shared" si="136"/>
        <v>OK</v>
      </c>
      <c r="L1106" t="str">
        <f t="shared" si="137"/>
        <v>OK</v>
      </c>
      <c r="M1106" t="str">
        <f>IF(OR(B1106&lt;$AE$20,B1106&gt;$AF$20),"Outlier","OK")</f>
        <v>OK</v>
      </c>
      <c r="N1106" t="str">
        <f>IF(OR(J1106&lt;$AE$21,J1106&gt;$AF$21),"Outlier","OK")</f>
        <v>OK</v>
      </c>
      <c r="O1106" t="str">
        <f>IF(OR(C1106&lt;0,C1106&gt;1),"Outlier","OK")</f>
        <v>OK</v>
      </c>
      <c r="P1106" t="str">
        <f>IF(OR(D1106&lt;0,D1106&gt;1),"Outlier","OK")</f>
        <v>OK</v>
      </c>
      <c r="Q1106" t="str">
        <f t="shared" si="138"/>
        <v>80-100%</v>
      </c>
      <c r="R1106" t="str">
        <f>IF(B1106="","Missing","OK")</f>
        <v>OK</v>
      </c>
      <c r="S1106" t="str">
        <f>IF(E1106="","Missing","OK")</f>
        <v>OK</v>
      </c>
      <c r="T1106" t="str">
        <f t="shared" si="139"/>
        <v>OK</v>
      </c>
      <c r="U1106">
        <f>COUNTIF($A:$A,A1106)</f>
        <v>1</v>
      </c>
      <c r="V1106" t="str">
        <f t="shared" si="140"/>
        <v>OK</v>
      </c>
      <c r="W1106" t="str">
        <f>IF(I1106&gt;B1106,"ERROR","OK")</f>
        <v>OK</v>
      </c>
      <c r="X1106">
        <f>(B1106-I1106)/B1106</f>
        <v>0.86665776229286295</v>
      </c>
      <c r="Y1106" s="2">
        <f t="shared" si="141"/>
        <v>9.9920072216264089E-16</v>
      </c>
      <c r="Z1106" s="2" t="str">
        <f t="shared" si="142"/>
        <v>OK</v>
      </c>
      <c r="AA1106" t="str">
        <f t="shared" si="143"/>
        <v>Unique</v>
      </c>
    </row>
    <row r="1107" spans="1:27" x14ac:dyDescent="0.3">
      <c r="A1107">
        <v>1106</v>
      </c>
      <c r="B1107">
        <v>296647.09248378401</v>
      </c>
      <c r="C1107">
        <v>0.51091620747171695</v>
      </c>
      <c r="D1107">
        <v>0.18260693643944001</v>
      </c>
      <c r="E1107">
        <v>0.38773074394484103</v>
      </c>
      <c r="F1107">
        <v>1</v>
      </c>
      <c r="G1107" t="s">
        <v>13</v>
      </c>
      <c r="H1107">
        <v>1</v>
      </c>
      <c r="I1107">
        <v>115019.197857811</v>
      </c>
      <c r="J1107">
        <v>0.61226925605515803</v>
      </c>
      <c r="K1107" t="str">
        <f t="shared" si="136"/>
        <v>OK</v>
      </c>
      <c r="L1107" t="str">
        <f t="shared" si="137"/>
        <v>OK</v>
      </c>
      <c r="M1107" t="str">
        <f>IF(OR(B1107&lt;$AE$20,B1107&gt;$AF$20),"Outlier","OK")</f>
        <v>OK</v>
      </c>
      <c r="N1107" t="str">
        <f>IF(OR(J1107&lt;$AE$21,J1107&gt;$AF$21),"Outlier","OK")</f>
        <v>OK</v>
      </c>
      <c r="O1107" t="str">
        <f>IF(OR(C1107&lt;0,C1107&gt;1),"Outlier","OK")</f>
        <v>OK</v>
      </c>
      <c r="P1107" t="str">
        <f>IF(OR(D1107&lt;0,D1107&gt;1),"Outlier","OK")</f>
        <v>OK</v>
      </c>
      <c r="Q1107" t="str">
        <f t="shared" si="138"/>
        <v>60-80%</v>
      </c>
      <c r="R1107" t="str">
        <f>IF(B1107="","Missing","OK")</f>
        <v>OK</v>
      </c>
      <c r="S1107" t="str">
        <f>IF(E1107="","Missing","OK")</f>
        <v>OK</v>
      </c>
      <c r="T1107" t="str">
        <f t="shared" si="139"/>
        <v>OK</v>
      </c>
      <c r="U1107">
        <f>COUNTIF($A:$A,A1107)</f>
        <v>1</v>
      </c>
      <c r="V1107" t="str">
        <f t="shared" si="140"/>
        <v>OK</v>
      </c>
      <c r="W1107" t="str">
        <f>IF(I1107&gt;B1107,"ERROR","OK")</f>
        <v>OK</v>
      </c>
      <c r="X1107">
        <f>(B1107-I1107)/B1107</f>
        <v>0.61226925605516114</v>
      </c>
      <c r="Y1107" s="2">
        <f t="shared" si="141"/>
        <v>3.1086244689504383E-15</v>
      </c>
      <c r="Z1107" s="2" t="str">
        <f t="shared" si="142"/>
        <v>OK</v>
      </c>
      <c r="AA1107" t="str">
        <f t="shared" si="143"/>
        <v>Unique</v>
      </c>
    </row>
    <row r="1108" spans="1:27" x14ac:dyDescent="0.3">
      <c r="A1108">
        <v>1107</v>
      </c>
      <c r="B1108">
        <v>257731.42296722301</v>
      </c>
      <c r="C1108">
        <v>0.50743092524675903</v>
      </c>
      <c r="D1108">
        <v>3.3391309560548997E-2</v>
      </c>
      <c r="E1108">
        <v>0.108629680341536</v>
      </c>
      <c r="F1108">
        <v>1</v>
      </c>
      <c r="G1108" t="s">
        <v>13</v>
      </c>
      <c r="H1108">
        <v>1</v>
      </c>
      <c r="I1108">
        <v>27997.2820908988</v>
      </c>
      <c r="J1108">
        <v>0.89137031965846303</v>
      </c>
      <c r="K1108" t="str">
        <f t="shared" si="136"/>
        <v>OK</v>
      </c>
      <c r="L1108" t="str">
        <f t="shared" si="137"/>
        <v>OK</v>
      </c>
      <c r="M1108" t="str">
        <f>IF(OR(B1108&lt;$AE$20,B1108&gt;$AF$20),"Outlier","OK")</f>
        <v>OK</v>
      </c>
      <c r="N1108" t="str">
        <f>IF(OR(J1108&lt;$AE$21,J1108&gt;$AF$21),"Outlier","OK")</f>
        <v>OK</v>
      </c>
      <c r="O1108" t="str">
        <f>IF(OR(C1108&lt;0,C1108&gt;1),"Outlier","OK")</f>
        <v>OK</v>
      </c>
      <c r="P1108" t="str">
        <f>IF(OR(D1108&lt;0,D1108&gt;1),"Outlier","OK")</f>
        <v>OK</v>
      </c>
      <c r="Q1108" t="str">
        <f t="shared" si="138"/>
        <v>80-100%</v>
      </c>
      <c r="R1108" t="str">
        <f>IF(B1108="","Missing","OK")</f>
        <v>OK</v>
      </c>
      <c r="S1108" t="str">
        <f>IF(E1108="","Missing","OK")</f>
        <v>OK</v>
      </c>
      <c r="T1108" t="str">
        <f t="shared" si="139"/>
        <v>OK</v>
      </c>
      <c r="U1108">
        <f>COUNTIF($A:$A,A1108)</f>
        <v>1</v>
      </c>
      <c r="V1108" t="str">
        <f t="shared" si="140"/>
        <v>OK</v>
      </c>
      <c r="W1108" t="str">
        <f>IF(I1108&gt;B1108,"ERROR","OK")</f>
        <v>OK</v>
      </c>
      <c r="X1108">
        <f>(B1108-I1108)/B1108</f>
        <v>0.89137031965846336</v>
      </c>
      <c r="Y1108" s="2">
        <f t="shared" si="141"/>
        <v>3.3306690738754696E-16</v>
      </c>
      <c r="Z1108" s="2" t="str">
        <f t="shared" si="142"/>
        <v>OK</v>
      </c>
      <c r="AA1108" t="str">
        <f t="shared" si="143"/>
        <v>Unique</v>
      </c>
    </row>
    <row r="1109" spans="1:27" x14ac:dyDescent="0.3">
      <c r="A1109">
        <v>1108</v>
      </c>
      <c r="B1109">
        <v>189542.21924597301</v>
      </c>
      <c r="C1109">
        <v>0.70054061331057405</v>
      </c>
      <c r="D1109">
        <v>0.10239589432035701</v>
      </c>
      <c r="E1109">
        <v>0.37044401548825401</v>
      </c>
      <c r="F1109">
        <v>1</v>
      </c>
      <c r="G1109" t="s">
        <v>11</v>
      </c>
      <c r="H1109">
        <v>0</v>
      </c>
      <c r="I1109">
        <v>70214.780802033303</v>
      </c>
      <c r="J1109">
        <v>0.62955598451174499</v>
      </c>
      <c r="K1109" t="str">
        <f t="shared" si="136"/>
        <v>OK</v>
      </c>
      <c r="L1109" t="str">
        <f t="shared" si="137"/>
        <v>OK</v>
      </c>
      <c r="M1109" t="str">
        <f>IF(OR(B1109&lt;$AE$20,B1109&gt;$AF$20),"Outlier","OK")</f>
        <v>OK</v>
      </c>
      <c r="N1109" t="str">
        <f>IF(OR(J1109&lt;$AE$21,J1109&gt;$AF$21),"Outlier","OK")</f>
        <v>OK</v>
      </c>
      <c r="O1109" t="str">
        <f>IF(OR(C1109&lt;0,C1109&gt;1),"Outlier","OK")</f>
        <v>OK</v>
      </c>
      <c r="P1109" t="str">
        <f>IF(OR(D1109&lt;0,D1109&gt;1),"Outlier","OK")</f>
        <v>OK</v>
      </c>
      <c r="Q1109" t="str">
        <f t="shared" si="138"/>
        <v>60-80%</v>
      </c>
      <c r="R1109" t="str">
        <f>IF(B1109="","Missing","OK")</f>
        <v>OK</v>
      </c>
      <c r="S1109" t="str">
        <f>IF(E1109="","Missing","OK")</f>
        <v>OK</v>
      </c>
      <c r="T1109" t="str">
        <f t="shared" si="139"/>
        <v>OK</v>
      </c>
      <c r="U1109">
        <f>COUNTIF($A:$A,A1109)</f>
        <v>1</v>
      </c>
      <c r="V1109" t="str">
        <f t="shared" si="140"/>
        <v>OK</v>
      </c>
      <c r="W1109" t="str">
        <f>IF(I1109&gt;B1109,"ERROR","OK")</f>
        <v>OK</v>
      </c>
      <c r="X1109">
        <f>(B1109-I1109)/B1109</f>
        <v>0.62955598451174577</v>
      </c>
      <c r="Y1109" s="2">
        <f t="shared" si="141"/>
        <v>7.7715611723760958E-16</v>
      </c>
      <c r="Z1109" s="2" t="str">
        <f t="shared" si="142"/>
        <v>OK</v>
      </c>
      <c r="AA1109" t="str">
        <f t="shared" si="143"/>
        <v>Unique</v>
      </c>
    </row>
    <row r="1110" spans="1:27" x14ac:dyDescent="0.3">
      <c r="A1110">
        <v>1109</v>
      </c>
      <c r="B1110">
        <v>1129741.7514664901</v>
      </c>
      <c r="C1110">
        <v>0.13832597612341799</v>
      </c>
      <c r="D1110">
        <v>-0.18719827336127901</v>
      </c>
      <c r="E1110">
        <v>0.15592489901568901</v>
      </c>
      <c r="F1110">
        <v>1</v>
      </c>
      <c r="G1110" t="s">
        <v>13</v>
      </c>
      <c r="H1110">
        <v>0</v>
      </c>
      <c r="I1110">
        <v>176154.86851122</v>
      </c>
      <c r="J1110">
        <v>0.84407510098431004</v>
      </c>
      <c r="K1110" t="str">
        <f t="shared" si="136"/>
        <v>OK</v>
      </c>
      <c r="L1110" t="str">
        <f t="shared" si="137"/>
        <v>OK</v>
      </c>
      <c r="M1110" t="str">
        <f>IF(OR(B1110&lt;$AE$20,B1110&gt;$AF$20),"Outlier","OK")</f>
        <v>OK</v>
      </c>
      <c r="N1110" t="str">
        <f>IF(OR(J1110&lt;$AE$21,J1110&gt;$AF$21),"Outlier","OK")</f>
        <v>OK</v>
      </c>
      <c r="O1110" t="str">
        <f>IF(OR(C1110&lt;0,C1110&gt;1),"Outlier","OK")</f>
        <v>OK</v>
      </c>
      <c r="P1110" t="str">
        <f>IF(OR(D1110&lt;0,D1110&gt;1),"Outlier","OK")</f>
        <v>Outlier</v>
      </c>
      <c r="Q1110" t="str">
        <f t="shared" si="138"/>
        <v>80-100%</v>
      </c>
      <c r="R1110" t="str">
        <f>IF(B1110="","Missing","OK")</f>
        <v>OK</v>
      </c>
      <c r="S1110" t="str">
        <f>IF(E1110="","Missing","OK")</f>
        <v>OK</v>
      </c>
      <c r="T1110" t="str">
        <f t="shared" si="139"/>
        <v>OK</v>
      </c>
      <c r="U1110">
        <f>COUNTIF($A:$A,A1110)</f>
        <v>1</v>
      </c>
      <c r="V1110" t="str">
        <f t="shared" si="140"/>
        <v>OK</v>
      </c>
      <c r="W1110" t="str">
        <f>IF(I1110&gt;B1110,"ERROR","OK")</f>
        <v>OK</v>
      </c>
      <c r="X1110">
        <f>(B1110-I1110)/B1110</f>
        <v>0.84407510098431116</v>
      </c>
      <c r="Y1110" s="2">
        <f t="shared" si="141"/>
        <v>1.1102230246251565E-15</v>
      </c>
      <c r="Z1110" s="2" t="str">
        <f t="shared" si="142"/>
        <v>OK</v>
      </c>
      <c r="AA1110" t="str">
        <f t="shared" si="143"/>
        <v>Unique</v>
      </c>
    </row>
    <row r="1111" spans="1:27" x14ac:dyDescent="0.3">
      <c r="A1111">
        <v>1110</v>
      </c>
      <c r="B1111">
        <v>1524210.7084007701</v>
      </c>
      <c r="C1111">
        <v>0.52112300034326098</v>
      </c>
      <c r="D1111">
        <v>-1.2462992194405101E-2</v>
      </c>
      <c r="E1111">
        <v>0.20201042180228601</v>
      </c>
      <c r="F1111">
        <v>1</v>
      </c>
      <c r="G1111" t="s">
        <v>12</v>
      </c>
      <c r="H1111">
        <v>1</v>
      </c>
      <c r="I1111">
        <v>307906.44811960199</v>
      </c>
      <c r="J1111">
        <v>0.79798957819771299</v>
      </c>
      <c r="K1111" t="str">
        <f t="shared" si="136"/>
        <v>OK</v>
      </c>
      <c r="L1111" t="str">
        <f t="shared" si="137"/>
        <v>OK</v>
      </c>
      <c r="M1111" t="str">
        <f>IF(OR(B1111&lt;$AE$20,B1111&gt;$AF$20),"Outlier","OK")</f>
        <v>OK</v>
      </c>
      <c r="N1111" t="str">
        <f>IF(OR(J1111&lt;$AE$21,J1111&gt;$AF$21),"Outlier","OK")</f>
        <v>OK</v>
      </c>
      <c r="O1111" t="str">
        <f>IF(OR(C1111&lt;0,C1111&gt;1),"Outlier","OK")</f>
        <v>OK</v>
      </c>
      <c r="P1111" t="str">
        <f>IF(OR(D1111&lt;0,D1111&gt;1),"Outlier","OK")</f>
        <v>Outlier</v>
      </c>
      <c r="Q1111" t="str">
        <f t="shared" si="138"/>
        <v>60-80%</v>
      </c>
      <c r="R1111" t="str">
        <f>IF(B1111="","Missing","OK")</f>
        <v>OK</v>
      </c>
      <c r="S1111" t="str">
        <f>IF(E1111="","Missing","OK")</f>
        <v>OK</v>
      </c>
      <c r="T1111" t="str">
        <f t="shared" si="139"/>
        <v>OK</v>
      </c>
      <c r="U1111">
        <f>COUNTIF($A:$A,A1111)</f>
        <v>1</v>
      </c>
      <c r="V1111" t="str">
        <f t="shared" si="140"/>
        <v>OK</v>
      </c>
      <c r="W1111" t="str">
        <f>IF(I1111&gt;B1111,"ERROR","OK")</f>
        <v>OK</v>
      </c>
      <c r="X1111">
        <f>(B1111-I1111)/B1111</f>
        <v>0.79798957819771321</v>
      </c>
      <c r="Y1111" s="2">
        <f t="shared" si="141"/>
        <v>2.2204460492503131E-16</v>
      </c>
      <c r="Z1111" s="2" t="str">
        <f t="shared" si="142"/>
        <v>OK</v>
      </c>
      <c r="AA1111" t="str">
        <f t="shared" si="143"/>
        <v>Unique</v>
      </c>
    </row>
    <row r="1112" spans="1:27" x14ac:dyDescent="0.3">
      <c r="A1112">
        <v>1111</v>
      </c>
      <c r="B1112">
        <v>1595115.40078776</v>
      </c>
      <c r="C1112">
        <v>0.72726986221463596</v>
      </c>
      <c r="D1112">
        <v>-3.8472305747422997E-2</v>
      </c>
      <c r="E1112">
        <v>0.29757615875201199</v>
      </c>
      <c r="F1112">
        <v>1</v>
      </c>
      <c r="G1112" t="s">
        <v>11</v>
      </c>
      <c r="H1112">
        <v>0</v>
      </c>
      <c r="I1112">
        <v>474668.313732601</v>
      </c>
      <c r="J1112">
        <v>0.70242384124798696</v>
      </c>
      <c r="K1112" t="str">
        <f t="shared" si="136"/>
        <v>OK</v>
      </c>
      <c r="L1112" t="str">
        <f t="shared" si="137"/>
        <v>OK</v>
      </c>
      <c r="M1112" t="str">
        <f>IF(OR(B1112&lt;$AE$20,B1112&gt;$AF$20),"Outlier","OK")</f>
        <v>OK</v>
      </c>
      <c r="N1112" t="str">
        <f>IF(OR(J1112&lt;$AE$21,J1112&gt;$AF$21),"Outlier","OK")</f>
        <v>OK</v>
      </c>
      <c r="O1112" t="str">
        <f>IF(OR(C1112&lt;0,C1112&gt;1),"Outlier","OK")</f>
        <v>OK</v>
      </c>
      <c r="P1112" t="str">
        <f>IF(OR(D1112&lt;0,D1112&gt;1),"Outlier","OK")</f>
        <v>Outlier</v>
      </c>
      <c r="Q1112" t="str">
        <f t="shared" si="138"/>
        <v>60-80%</v>
      </c>
      <c r="R1112" t="str">
        <f>IF(B1112="","Missing","OK")</f>
        <v>OK</v>
      </c>
      <c r="S1112" t="str">
        <f>IF(E1112="","Missing","OK")</f>
        <v>OK</v>
      </c>
      <c r="T1112" t="str">
        <f t="shared" si="139"/>
        <v>OK</v>
      </c>
      <c r="U1112">
        <f>COUNTIF($A:$A,A1112)</f>
        <v>1</v>
      </c>
      <c r="V1112" t="str">
        <f t="shared" si="140"/>
        <v>OK</v>
      </c>
      <c r="W1112" t="str">
        <f>IF(I1112&gt;B1112,"ERROR","OK")</f>
        <v>OK</v>
      </c>
      <c r="X1112">
        <f>(B1112-I1112)/B1112</f>
        <v>0.70242384124798596</v>
      </c>
      <c r="Y1112" s="2">
        <f t="shared" si="141"/>
        <v>9.9920072216264089E-16</v>
      </c>
      <c r="Z1112" s="2" t="str">
        <f t="shared" si="142"/>
        <v>OK</v>
      </c>
      <c r="AA1112" t="str">
        <f t="shared" si="143"/>
        <v>Unique</v>
      </c>
    </row>
    <row r="1113" spans="1:27" x14ac:dyDescent="0.3">
      <c r="A1113">
        <v>1112</v>
      </c>
      <c r="B1113">
        <v>1917797.3758718199</v>
      </c>
      <c r="C1113">
        <v>0.34642308724940701</v>
      </c>
      <c r="D1113">
        <v>-2.0154152634813901E-2</v>
      </c>
      <c r="E1113">
        <v>3.9045872387202599E-2</v>
      </c>
      <c r="F1113">
        <v>1</v>
      </c>
      <c r="G1113" t="s">
        <v>12</v>
      </c>
      <c r="H1113">
        <v>0</v>
      </c>
      <c r="I1113">
        <v>74882.071602803597</v>
      </c>
      <c r="J1113">
        <v>0.96095412761279697</v>
      </c>
      <c r="K1113" t="str">
        <f t="shared" si="136"/>
        <v>OK</v>
      </c>
      <c r="L1113" t="str">
        <f t="shared" si="137"/>
        <v>OK</v>
      </c>
      <c r="M1113" t="str">
        <f>IF(OR(B1113&lt;$AE$20,B1113&gt;$AF$20),"Outlier","OK")</f>
        <v>OK</v>
      </c>
      <c r="N1113" t="str">
        <f>IF(OR(J1113&lt;$AE$21,J1113&gt;$AF$21),"Outlier","OK")</f>
        <v>OK</v>
      </c>
      <c r="O1113" t="str">
        <f>IF(OR(C1113&lt;0,C1113&gt;1),"Outlier","OK")</f>
        <v>OK</v>
      </c>
      <c r="P1113" t="str">
        <f>IF(OR(D1113&lt;0,D1113&gt;1),"Outlier","OK")</f>
        <v>Outlier</v>
      </c>
      <c r="Q1113" t="str">
        <f t="shared" si="138"/>
        <v>80-100%</v>
      </c>
      <c r="R1113" t="str">
        <f>IF(B1113="","Missing","OK")</f>
        <v>OK</v>
      </c>
      <c r="S1113" t="str">
        <f>IF(E1113="","Missing","OK")</f>
        <v>OK</v>
      </c>
      <c r="T1113" t="str">
        <f t="shared" si="139"/>
        <v>OK</v>
      </c>
      <c r="U1113">
        <f>COUNTIF($A:$A,A1113)</f>
        <v>1</v>
      </c>
      <c r="V1113" t="str">
        <f t="shared" si="140"/>
        <v>OK</v>
      </c>
      <c r="W1113" t="str">
        <f>IF(I1113&gt;B1113,"ERROR","OK")</f>
        <v>OK</v>
      </c>
      <c r="X1113">
        <f>(B1113-I1113)/B1113</f>
        <v>0.96095412761279708</v>
      </c>
      <c r="Y1113" s="2">
        <f t="shared" si="141"/>
        <v>1.1102230246251565E-16</v>
      </c>
      <c r="Z1113" s="2" t="str">
        <f t="shared" si="142"/>
        <v>OK</v>
      </c>
      <c r="AA1113" t="str">
        <f t="shared" si="143"/>
        <v>Unique</v>
      </c>
    </row>
    <row r="1114" spans="1:27" x14ac:dyDescent="0.3">
      <c r="A1114">
        <v>1113</v>
      </c>
      <c r="B1114">
        <v>378365.10237220698</v>
      </c>
      <c r="C1114">
        <v>0.29346281970416799</v>
      </c>
      <c r="D1114">
        <v>0.151693924568991</v>
      </c>
      <c r="E1114">
        <v>0.12366712611382601</v>
      </c>
      <c r="F1114">
        <v>1</v>
      </c>
      <c r="G1114" t="s">
        <v>10</v>
      </c>
      <c r="H1114">
        <v>0</v>
      </c>
      <c r="I1114">
        <v>46791.324832134502</v>
      </c>
      <c r="J1114">
        <v>0.87633287388617298</v>
      </c>
      <c r="K1114" t="str">
        <f t="shared" si="136"/>
        <v>OK</v>
      </c>
      <c r="L1114" t="str">
        <f t="shared" si="137"/>
        <v>OK</v>
      </c>
      <c r="M1114" t="str">
        <f>IF(OR(B1114&lt;$AE$20,B1114&gt;$AF$20),"Outlier","OK")</f>
        <v>OK</v>
      </c>
      <c r="N1114" t="str">
        <f>IF(OR(J1114&lt;$AE$21,J1114&gt;$AF$21),"Outlier","OK")</f>
        <v>OK</v>
      </c>
      <c r="O1114" t="str">
        <f>IF(OR(C1114&lt;0,C1114&gt;1),"Outlier","OK")</f>
        <v>OK</v>
      </c>
      <c r="P1114" t="str">
        <f>IF(OR(D1114&lt;0,D1114&gt;1),"Outlier","OK")</f>
        <v>OK</v>
      </c>
      <c r="Q1114" t="str">
        <f t="shared" si="138"/>
        <v>80-100%</v>
      </c>
      <c r="R1114" t="str">
        <f>IF(B1114="","Missing","OK")</f>
        <v>OK</v>
      </c>
      <c r="S1114" t="str">
        <f>IF(E1114="","Missing","OK")</f>
        <v>OK</v>
      </c>
      <c r="T1114" t="str">
        <f t="shared" si="139"/>
        <v>OK</v>
      </c>
      <c r="U1114">
        <f>COUNTIF($A:$A,A1114)</f>
        <v>1</v>
      </c>
      <c r="V1114" t="str">
        <f t="shared" si="140"/>
        <v>OK</v>
      </c>
      <c r="W1114" t="str">
        <f>IF(I1114&gt;B1114,"ERROR","OK")</f>
        <v>OK</v>
      </c>
      <c r="X1114">
        <f>(B1114-I1114)/B1114</f>
        <v>0.87633287388617365</v>
      </c>
      <c r="Y1114" s="2">
        <f t="shared" si="141"/>
        <v>6.6613381477509392E-16</v>
      </c>
      <c r="Z1114" s="2" t="str">
        <f t="shared" si="142"/>
        <v>OK</v>
      </c>
      <c r="AA1114" t="str">
        <f t="shared" si="143"/>
        <v>Unique</v>
      </c>
    </row>
    <row r="1115" spans="1:27" x14ac:dyDescent="0.3">
      <c r="A1115">
        <v>1114</v>
      </c>
      <c r="B1115">
        <v>314456.96008324</v>
      </c>
      <c r="C1115">
        <v>0.177705983583819</v>
      </c>
      <c r="D1115">
        <v>-1.01118461971988E-2</v>
      </c>
      <c r="E1115">
        <v>0.14540180545635001</v>
      </c>
      <c r="F1115">
        <v>1</v>
      </c>
      <c r="G1115" t="s">
        <v>10</v>
      </c>
      <c r="H1115">
        <v>0</v>
      </c>
      <c r="I1115">
        <v>45722.6097344187</v>
      </c>
      <c r="J1115">
        <v>0.85459819454364905</v>
      </c>
      <c r="K1115" t="str">
        <f t="shared" si="136"/>
        <v>OK</v>
      </c>
      <c r="L1115" t="str">
        <f t="shared" si="137"/>
        <v>OK</v>
      </c>
      <c r="M1115" t="str">
        <f>IF(OR(B1115&lt;$AE$20,B1115&gt;$AF$20),"Outlier","OK")</f>
        <v>OK</v>
      </c>
      <c r="N1115" t="str">
        <f>IF(OR(J1115&lt;$AE$21,J1115&gt;$AF$21),"Outlier","OK")</f>
        <v>OK</v>
      </c>
      <c r="O1115" t="str">
        <f>IF(OR(C1115&lt;0,C1115&gt;1),"Outlier","OK")</f>
        <v>OK</v>
      </c>
      <c r="P1115" t="str">
        <f>IF(OR(D1115&lt;0,D1115&gt;1),"Outlier","OK")</f>
        <v>Outlier</v>
      </c>
      <c r="Q1115" t="str">
        <f t="shared" si="138"/>
        <v>80-100%</v>
      </c>
      <c r="R1115" t="str">
        <f>IF(B1115="","Missing","OK")</f>
        <v>OK</v>
      </c>
      <c r="S1115" t="str">
        <f>IF(E1115="","Missing","OK")</f>
        <v>OK</v>
      </c>
      <c r="T1115" t="str">
        <f t="shared" si="139"/>
        <v>OK</v>
      </c>
      <c r="U1115">
        <f>COUNTIF($A:$A,A1115)</f>
        <v>1</v>
      </c>
      <c r="V1115" t="str">
        <f t="shared" si="140"/>
        <v>OK</v>
      </c>
      <c r="W1115" t="str">
        <f>IF(I1115&gt;B1115,"ERROR","OK")</f>
        <v>OK</v>
      </c>
      <c r="X1115">
        <f>(B1115-I1115)/B1115</f>
        <v>0.85459819454364938</v>
      </c>
      <c r="Y1115" s="2">
        <f t="shared" si="141"/>
        <v>3.3306690738754696E-16</v>
      </c>
      <c r="Z1115" s="2" t="str">
        <f t="shared" si="142"/>
        <v>OK</v>
      </c>
      <c r="AA1115" t="str">
        <f t="shared" si="143"/>
        <v>Unique</v>
      </c>
    </row>
    <row r="1116" spans="1:27" x14ac:dyDescent="0.3">
      <c r="A1116">
        <v>1115</v>
      </c>
      <c r="B1116">
        <v>966411.81965486798</v>
      </c>
      <c r="C1116">
        <v>0.66087042554907005</v>
      </c>
      <c r="D1116">
        <v>-0.15740003141637701</v>
      </c>
      <c r="E1116">
        <v>0.49978449044844098</v>
      </c>
      <c r="F1116">
        <v>1</v>
      </c>
      <c r="G1116" t="s">
        <v>11</v>
      </c>
      <c r="H1116">
        <v>0</v>
      </c>
      <c r="I1116">
        <v>482997.63884955901</v>
      </c>
      <c r="J1116">
        <v>0.50021550955155802</v>
      </c>
      <c r="K1116" t="str">
        <f t="shared" si="136"/>
        <v>OK</v>
      </c>
      <c r="L1116" t="str">
        <f t="shared" si="137"/>
        <v>OK</v>
      </c>
      <c r="M1116" t="str">
        <f>IF(OR(B1116&lt;$AE$20,B1116&gt;$AF$20),"Outlier","OK")</f>
        <v>OK</v>
      </c>
      <c r="N1116" t="str">
        <f>IF(OR(J1116&lt;$AE$21,J1116&gt;$AF$21),"Outlier","OK")</f>
        <v>OK</v>
      </c>
      <c r="O1116" t="str">
        <f>IF(OR(C1116&lt;0,C1116&gt;1),"Outlier","OK")</f>
        <v>OK</v>
      </c>
      <c r="P1116" t="str">
        <f>IF(OR(D1116&lt;0,D1116&gt;1),"Outlier","OK")</f>
        <v>Outlier</v>
      </c>
      <c r="Q1116" t="str">
        <f t="shared" si="138"/>
        <v>40-60%</v>
      </c>
      <c r="R1116" t="str">
        <f>IF(B1116="","Missing","OK")</f>
        <v>OK</v>
      </c>
      <c r="S1116" t="str">
        <f>IF(E1116="","Missing","OK")</f>
        <v>OK</v>
      </c>
      <c r="T1116" t="str">
        <f t="shared" si="139"/>
        <v>OK</v>
      </c>
      <c r="U1116">
        <f>COUNTIF($A:$A,A1116)</f>
        <v>1</v>
      </c>
      <c r="V1116" t="str">
        <f t="shared" si="140"/>
        <v>OK</v>
      </c>
      <c r="W1116" t="str">
        <f>IF(I1116&gt;B1116,"ERROR","OK")</f>
        <v>OK</v>
      </c>
      <c r="X1116">
        <f>(B1116-I1116)/B1116</f>
        <v>0.5002155095515588</v>
      </c>
      <c r="Y1116" s="2">
        <f t="shared" si="141"/>
        <v>7.7715611723760958E-16</v>
      </c>
      <c r="Z1116" s="2" t="str">
        <f t="shared" si="142"/>
        <v>OK</v>
      </c>
      <c r="AA1116" t="str">
        <f t="shared" si="143"/>
        <v>Unique</v>
      </c>
    </row>
    <row r="1117" spans="1:27" x14ac:dyDescent="0.3">
      <c r="A1117">
        <v>1116</v>
      </c>
      <c r="B1117">
        <v>1728964.6750606899</v>
      </c>
      <c r="C1117">
        <v>0.55754692206906897</v>
      </c>
      <c r="D1117">
        <v>0.14730713177452101</v>
      </c>
      <c r="E1117">
        <v>0.44281876083303001</v>
      </c>
      <c r="F1117">
        <v>1</v>
      </c>
      <c r="G1117" t="s">
        <v>13</v>
      </c>
      <c r="H1117">
        <v>1</v>
      </c>
      <c r="I1117">
        <v>765617.99493445805</v>
      </c>
      <c r="J1117">
        <v>0.55718123916696904</v>
      </c>
      <c r="K1117" t="str">
        <f t="shared" si="136"/>
        <v>OK</v>
      </c>
      <c r="L1117" t="str">
        <f t="shared" si="137"/>
        <v>OK</v>
      </c>
      <c r="M1117" t="str">
        <f>IF(OR(B1117&lt;$AE$20,B1117&gt;$AF$20),"Outlier","OK")</f>
        <v>OK</v>
      </c>
      <c r="N1117" t="str">
        <f>IF(OR(J1117&lt;$AE$21,J1117&gt;$AF$21),"Outlier","OK")</f>
        <v>OK</v>
      </c>
      <c r="O1117" t="str">
        <f>IF(OR(C1117&lt;0,C1117&gt;1),"Outlier","OK")</f>
        <v>OK</v>
      </c>
      <c r="P1117" t="str">
        <f>IF(OR(D1117&lt;0,D1117&gt;1),"Outlier","OK")</f>
        <v>OK</v>
      </c>
      <c r="Q1117" t="str">
        <f t="shared" si="138"/>
        <v>40-60%</v>
      </c>
      <c r="R1117" t="str">
        <f>IF(B1117="","Missing","OK")</f>
        <v>OK</v>
      </c>
      <c r="S1117" t="str">
        <f>IF(E1117="","Missing","OK")</f>
        <v>OK</v>
      </c>
      <c r="T1117" t="str">
        <f t="shared" si="139"/>
        <v>OK</v>
      </c>
      <c r="U1117">
        <f>COUNTIF($A:$A,A1117)</f>
        <v>1</v>
      </c>
      <c r="V1117" t="str">
        <f t="shared" si="140"/>
        <v>OK</v>
      </c>
      <c r="W1117" t="str">
        <f>IF(I1117&gt;B1117,"ERROR","OK")</f>
        <v>OK</v>
      </c>
      <c r="X1117">
        <f>(B1117-I1117)/B1117</f>
        <v>0.55718123916696949</v>
      </c>
      <c r="Y1117" s="2">
        <f t="shared" si="141"/>
        <v>4.4408920985006262E-16</v>
      </c>
      <c r="Z1117" s="2" t="str">
        <f t="shared" si="142"/>
        <v>OK</v>
      </c>
      <c r="AA1117" t="str">
        <f t="shared" si="143"/>
        <v>Unique</v>
      </c>
    </row>
    <row r="1118" spans="1:27" x14ac:dyDescent="0.3">
      <c r="A1118">
        <v>1117</v>
      </c>
      <c r="B1118">
        <v>1545785.0841562999</v>
      </c>
      <c r="C1118">
        <v>0.81881340402457403</v>
      </c>
      <c r="D1118">
        <v>-3.3163954130346299E-2</v>
      </c>
      <c r="E1118">
        <v>0.41479261990428201</v>
      </c>
      <c r="F1118">
        <v>1</v>
      </c>
      <c r="G1118" t="s">
        <v>12</v>
      </c>
      <c r="H1118">
        <v>0</v>
      </c>
      <c r="I1118">
        <v>641180.24486615497</v>
      </c>
      <c r="J1118">
        <v>0.58520738009571704</v>
      </c>
      <c r="K1118" t="str">
        <f t="shared" si="136"/>
        <v>OK</v>
      </c>
      <c r="L1118" t="str">
        <f t="shared" si="137"/>
        <v>OK</v>
      </c>
      <c r="M1118" t="str">
        <f>IF(OR(B1118&lt;$AE$20,B1118&gt;$AF$20),"Outlier","OK")</f>
        <v>OK</v>
      </c>
      <c r="N1118" t="str">
        <f>IF(OR(J1118&lt;$AE$21,J1118&gt;$AF$21),"Outlier","OK")</f>
        <v>OK</v>
      </c>
      <c r="O1118" t="str">
        <f>IF(OR(C1118&lt;0,C1118&gt;1),"Outlier","OK")</f>
        <v>OK</v>
      </c>
      <c r="P1118" t="str">
        <f>IF(OR(D1118&lt;0,D1118&gt;1),"Outlier","OK")</f>
        <v>Outlier</v>
      </c>
      <c r="Q1118" t="str">
        <f t="shared" si="138"/>
        <v>40-60%</v>
      </c>
      <c r="R1118" t="str">
        <f>IF(B1118="","Missing","OK")</f>
        <v>OK</v>
      </c>
      <c r="S1118" t="str">
        <f>IF(E1118="","Missing","OK")</f>
        <v>OK</v>
      </c>
      <c r="T1118" t="str">
        <f t="shared" si="139"/>
        <v>OK</v>
      </c>
      <c r="U1118">
        <f>COUNTIF($A:$A,A1118)</f>
        <v>1</v>
      </c>
      <c r="V1118" t="str">
        <f t="shared" si="140"/>
        <v>OK</v>
      </c>
      <c r="W1118" t="str">
        <f>IF(I1118&gt;B1118,"ERROR","OK")</f>
        <v>OK</v>
      </c>
      <c r="X1118">
        <f>(B1118-I1118)/B1118</f>
        <v>0.58520738009571649</v>
      </c>
      <c r="Y1118" s="2">
        <f t="shared" si="141"/>
        <v>5.5511151231257827E-16</v>
      </c>
      <c r="Z1118" s="2" t="str">
        <f t="shared" si="142"/>
        <v>OK</v>
      </c>
      <c r="AA1118" t="str">
        <f t="shared" si="143"/>
        <v>Unique</v>
      </c>
    </row>
    <row r="1119" spans="1:27" x14ac:dyDescent="0.3">
      <c r="A1119">
        <v>1118</v>
      </c>
      <c r="B1119">
        <v>1138447.3110267201</v>
      </c>
      <c r="C1119">
        <v>0.83508728676704602</v>
      </c>
      <c r="D1119">
        <v>4.5520703283670499E-2</v>
      </c>
      <c r="E1119">
        <v>0.12657444511969301</v>
      </c>
      <c r="F1119">
        <v>1</v>
      </c>
      <c r="G1119" t="s">
        <v>13</v>
      </c>
      <c r="H1119">
        <v>0</v>
      </c>
      <c r="I1119">
        <v>144098.33669121499</v>
      </c>
      <c r="J1119">
        <v>0.87342555488030604</v>
      </c>
      <c r="K1119" t="str">
        <f t="shared" si="136"/>
        <v>OK</v>
      </c>
      <c r="L1119" t="str">
        <f t="shared" si="137"/>
        <v>OK</v>
      </c>
      <c r="M1119" t="str">
        <f>IF(OR(B1119&lt;$AE$20,B1119&gt;$AF$20),"Outlier","OK")</f>
        <v>OK</v>
      </c>
      <c r="N1119" t="str">
        <f>IF(OR(J1119&lt;$AE$21,J1119&gt;$AF$21),"Outlier","OK")</f>
        <v>OK</v>
      </c>
      <c r="O1119" t="str">
        <f>IF(OR(C1119&lt;0,C1119&gt;1),"Outlier","OK")</f>
        <v>OK</v>
      </c>
      <c r="P1119" t="str">
        <f>IF(OR(D1119&lt;0,D1119&gt;1),"Outlier","OK")</f>
        <v>OK</v>
      </c>
      <c r="Q1119" t="str">
        <f t="shared" si="138"/>
        <v>80-100%</v>
      </c>
      <c r="R1119" t="str">
        <f>IF(B1119="","Missing","OK")</f>
        <v>OK</v>
      </c>
      <c r="S1119" t="str">
        <f>IF(E1119="","Missing","OK")</f>
        <v>OK</v>
      </c>
      <c r="T1119" t="str">
        <f t="shared" si="139"/>
        <v>OK</v>
      </c>
      <c r="U1119">
        <f>COUNTIF($A:$A,A1119)</f>
        <v>1</v>
      </c>
      <c r="V1119" t="str">
        <f t="shared" si="140"/>
        <v>OK</v>
      </c>
      <c r="W1119" t="str">
        <f>IF(I1119&gt;B1119,"ERROR","OK")</f>
        <v>OK</v>
      </c>
      <c r="X1119">
        <f>(B1119-I1119)/B1119</f>
        <v>0.87342555488030582</v>
      </c>
      <c r="Y1119" s="2">
        <f t="shared" si="141"/>
        <v>2.2204460492503131E-16</v>
      </c>
      <c r="Z1119" s="2" t="str">
        <f t="shared" si="142"/>
        <v>OK</v>
      </c>
      <c r="AA1119" t="str">
        <f t="shared" si="143"/>
        <v>Unique</v>
      </c>
    </row>
    <row r="1120" spans="1:27" x14ac:dyDescent="0.3">
      <c r="A1120">
        <v>1119</v>
      </c>
      <c r="B1120">
        <v>355727.36793508602</v>
      </c>
      <c r="C1120">
        <v>0.56994244971573105</v>
      </c>
      <c r="D1120">
        <v>-4.0671880511330097E-2</v>
      </c>
      <c r="E1120">
        <v>7.3726695379202095E-2</v>
      </c>
      <c r="F1120">
        <v>1</v>
      </c>
      <c r="G1120" t="s">
        <v>12</v>
      </c>
      <c r="H1120">
        <v>0</v>
      </c>
      <c r="I1120">
        <v>26226.603293795499</v>
      </c>
      <c r="J1120">
        <v>0.92627330462079704</v>
      </c>
      <c r="K1120" t="str">
        <f t="shared" si="136"/>
        <v>OK</v>
      </c>
      <c r="L1120" t="str">
        <f t="shared" si="137"/>
        <v>OK</v>
      </c>
      <c r="M1120" t="str">
        <f>IF(OR(B1120&lt;$AE$20,B1120&gt;$AF$20),"Outlier","OK")</f>
        <v>OK</v>
      </c>
      <c r="N1120" t="str">
        <f>IF(OR(J1120&lt;$AE$21,J1120&gt;$AF$21),"Outlier","OK")</f>
        <v>OK</v>
      </c>
      <c r="O1120" t="str">
        <f>IF(OR(C1120&lt;0,C1120&gt;1),"Outlier","OK")</f>
        <v>OK</v>
      </c>
      <c r="P1120" t="str">
        <f>IF(OR(D1120&lt;0,D1120&gt;1),"Outlier","OK")</f>
        <v>Outlier</v>
      </c>
      <c r="Q1120" t="str">
        <f t="shared" si="138"/>
        <v>80-100%</v>
      </c>
      <c r="R1120" t="str">
        <f>IF(B1120="","Missing","OK")</f>
        <v>OK</v>
      </c>
      <c r="S1120" t="str">
        <f>IF(E1120="","Missing","OK")</f>
        <v>OK</v>
      </c>
      <c r="T1120" t="str">
        <f t="shared" si="139"/>
        <v>OK</v>
      </c>
      <c r="U1120">
        <f>COUNTIF($A:$A,A1120)</f>
        <v>1</v>
      </c>
      <c r="V1120" t="str">
        <f t="shared" si="140"/>
        <v>OK</v>
      </c>
      <c r="W1120" t="str">
        <f>IF(I1120&gt;B1120,"ERROR","OK")</f>
        <v>OK</v>
      </c>
      <c r="X1120">
        <f>(B1120-I1120)/B1120</f>
        <v>0.92627330462079771</v>
      </c>
      <c r="Y1120" s="2">
        <f t="shared" si="141"/>
        <v>6.6613381477509392E-16</v>
      </c>
      <c r="Z1120" s="2" t="str">
        <f t="shared" si="142"/>
        <v>OK</v>
      </c>
      <c r="AA1120" t="str">
        <f t="shared" si="143"/>
        <v>Unique</v>
      </c>
    </row>
    <row r="1121" spans="1:27" x14ac:dyDescent="0.3">
      <c r="A1121">
        <v>1120</v>
      </c>
      <c r="B1121">
        <v>812962.00975615799</v>
      </c>
      <c r="C1121">
        <v>0.69457034270924101</v>
      </c>
      <c r="D1121">
        <v>-0.19375905943783001</v>
      </c>
      <c r="E1121">
        <v>0.197502333900653</v>
      </c>
      <c r="F1121">
        <v>1</v>
      </c>
      <c r="G1121" t="s">
        <v>10</v>
      </c>
      <c r="H1121">
        <v>0</v>
      </c>
      <c r="I1121">
        <v>160561.89429940601</v>
      </c>
      <c r="J1121">
        <v>0.80249766609934603</v>
      </c>
      <c r="K1121" t="str">
        <f t="shared" si="136"/>
        <v>OK</v>
      </c>
      <c r="L1121" t="str">
        <f t="shared" si="137"/>
        <v>OK</v>
      </c>
      <c r="M1121" t="str">
        <f>IF(OR(B1121&lt;$AE$20,B1121&gt;$AF$20),"Outlier","OK")</f>
        <v>OK</v>
      </c>
      <c r="N1121" t="str">
        <f>IF(OR(J1121&lt;$AE$21,J1121&gt;$AF$21),"Outlier","OK")</f>
        <v>OK</v>
      </c>
      <c r="O1121" t="str">
        <f>IF(OR(C1121&lt;0,C1121&gt;1),"Outlier","OK")</f>
        <v>OK</v>
      </c>
      <c r="P1121" t="str">
        <f>IF(OR(D1121&lt;0,D1121&gt;1),"Outlier","OK")</f>
        <v>Outlier</v>
      </c>
      <c r="Q1121" t="str">
        <f t="shared" si="138"/>
        <v>80-100%</v>
      </c>
      <c r="R1121" t="str">
        <f>IF(B1121="","Missing","OK")</f>
        <v>OK</v>
      </c>
      <c r="S1121" t="str">
        <f>IF(E1121="","Missing","OK")</f>
        <v>OK</v>
      </c>
      <c r="T1121" t="str">
        <f t="shared" si="139"/>
        <v>OK</v>
      </c>
      <c r="U1121">
        <f>COUNTIF($A:$A,A1121)</f>
        <v>1</v>
      </c>
      <c r="V1121" t="str">
        <f t="shared" si="140"/>
        <v>OK</v>
      </c>
      <c r="W1121" t="str">
        <f>IF(I1121&gt;B1121,"ERROR","OK")</f>
        <v>OK</v>
      </c>
      <c r="X1121">
        <f>(B1121-I1121)/B1121</f>
        <v>0.80249766609934781</v>
      </c>
      <c r="Y1121" s="2">
        <f t="shared" si="141"/>
        <v>1.7763568394002505E-15</v>
      </c>
      <c r="Z1121" s="2" t="str">
        <f t="shared" si="142"/>
        <v>OK</v>
      </c>
      <c r="AA1121" t="str">
        <f t="shared" si="143"/>
        <v>Unique</v>
      </c>
    </row>
    <row r="1122" spans="1:27" x14ac:dyDescent="0.3">
      <c r="A1122">
        <v>1121</v>
      </c>
      <c r="B1122">
        <v>1452724.2644767601</v>
      </c>
      <c r="C1122">
        <v>0.12271259880148901</v>
      </c>
      <c r="D1122">
        <v>0.132216185994319</v>
      </c>
      <c r="E1122">
        <v>0.35628424804722397</v>
      </c>
      <c r="F1122">
        <v>1</v>
      </c>
      <c r="G1122" t="s">
        <v>13</v>
      </c>
      <c r="H1122">
        <v>1</v>
      </c>
      <c r="I1122">
        <v>517582.77218905999</v>
      </c>
      <c r="J1122">
        <v>0.64371575195277497</v>
      </c>
      <c r="K1122" t="str">
        <f t="shared" si="136"/>
        <v>OK</v>
      </c>
      <c r="L1122" t="str">
        <f t="shared" si="137"/>
        <v>OK</v>
      </c>
      <c r="M1122" t="str">
        <f>IF(OR(B1122&lt;$AE$20,B1122&gt;$AF$20),"Outlier","OK")</f>
        <v>OK</v>
      </c>
      <c r="N1122" t="str">
        <f>IF(OR(J1122&lt;$AE$21,J1122&gt;$AF$21),"Outlier","OK")</f>
        <v>OK</v>
      </c>
      <c r="O1122" t="str">
        <f>IF(OR(C1122&lt;0,C1122&gt;1),"Outlier","OK")</f>
        <v>OK</v>
      </c>
      <c r="P1122" t="str">
        <f>IF(OR(D1122&lt;0,D1122&gt;1),"Outlier","OK")</f>
        <v>OK</v>
      </c>
      <c r="Q1122" t="str">
        <f t="shared" si="138"/>
        <v>60-80%</v>
      </c>
      <c r="R1122" t="str">
        <f>IF(B1122="","Missing","OK")</f>
        <v>OK</v>
      </c>
      <c r="S1122" t="str">
        <f>IF(E1122="","Missing","OK")</f>
        <v>OK</v>
      </c>
      <c r="T1122" t="str">
        <f t="shared" si="139"/>
        <v>OK</v>
      </c>
      <c r="U1122">
        <f>COUNTIF($A:$A,A1122)</f>
        <v>1</v>
      </c>
      <c r="V1122" t="str">
        <f t="shared" si="140"/>
        <v>OK</v>
      </c>
      <c r="W1122" t="str">
        <f>IF(I1122&gt;B1122,"ERROR","OK")</f>
        <v>OK</v>
      </c>
      <c r="X1122">
        <f>(B1122-I1122)/B1122</f>
        <v>0.64371575195277531</v>
      </c>
      <c r="Y1122" s="2">
        <f t="shared" si="141"/>
        <v>3.3306690738754696E-16</v>
      </c>
      <c r="Z1122" s="2" t="str">
        <f t="shared" si="142"/>
        <v>OK</v>
      </c>
      <c r="AA1122" t="str">
        <f t="shared" si="143"/>
        <v>Unique</v>
      </c>
    </row>
    <row r="1123" spans="1:27" x14ac:dyDescent="0.3">
      <c r="A1123">
        <v>1122</v>
      </c>
      <c r="B1123">
        <v>778154.73563760496</v>
      </c>
      <c r="C1123">
        <v>0.10683203418172001</v>
      </c>
      <c r="D1123">
        <v>3.19347972783093E-2</v>
      </c>
      <c r="E1123">
        <v>0.32021451953791702</v>
      </c>
      <c r="F1123">
        <v>1</v>
      </c>
      <c r="G1123" t="s">
        <v>13</v>
      </c>
      <c r="H1123">
        <v>1</v>
      </c>
      <c r="I1123">
        <v>249176.444798351</v>
      </c>
      <c r="J1123">
        <v>0.67978548046208198</v>
      </c>
      <c r="K1123" t="str">
        <f t="shared" si="136"/>
        <v>OK</v>
      </c>
      <c r="L1123" t="str">
        <f t="shared" si="137"/>
        <v>OK</v>
      </c>
      <c r="M1123" t="str">
        <f>IF(OR(B1123&lt;$AE$20,B1123&gt;$AF$20),"Outlier","OK")</f>
        <v>OK</v>
      </c>
      <c r="N1123" t="str">
        <f>IF(OR(J1123&lt;$AE$21,J1123&gt;$AF$21),"Outlier","OK")</f>
        <v>OK</v>
      </c>
      <c r="O1123" t="str">
        <f>IF(OR(C1123&lt;0,C1123&gt;1),"Outlier","OK")</f>
        <v>OK</v>
      </c>
      <c r="P1123" t="str">
        <f>IF(OR(D1123&lt;0,D1123&gt;1),"Outlier","OK")</f>
        <v>OK</v>
      </c>
      <c r="Q1123" t="str">
        <f t="shared" si="138"/>
        <v>60-80%</v>
      </c>
      <c r="R1123" t="str">
        <f>IF(B1123="","Missing","OK")</f>
        <v>OK</v>
      </c>
      <c r="S1123" t="str">
        <f>IF(E1123="","Missing","OK")</f>
        <v>OK</v>
      </c>
      <c r="T1123" t="str">
        <f t="shared" si="139"/>
        <v>OK</v>
      </c>
      <c r="U1123">
        <f>COUNTIF($A:$A,A1123)</f>
        <v>1</v>
      </c>
      <c r="V1123" t="str">
        <f t="shared" si="140"/>
        <v>OK</v>
      </c>
      <c r="W1123" t="str">
        <f>IF(I1123&gt;B1123,"ERROR","OK")</f>
        <v>OK</v>
      </c>
      <c r="X1123">
        <f>(B1123-I1123)/B1123</f>
        <v>0.67978548046208231</v>
      </c>
      <c r="Y1123" s="2">
        <f t="shared" si="141"/>
        <v>3.3306690738754696E-16</v>
      </c>
      <c r="Z1123" s="2" t="str">
        <f t="shared" si="142"/>
        <v>OK</v>
      </c>
      <c r="AA1123" t="str">
        <f t="shared" si="143"/>
        <v>Unique</v>
      </c>
    </row>
    <row r="1124" spans="1:27" x14ac:dyDescent="0.3">
      <c r="A1124">
        <v>1123</v>
      </c>
      <c r="B1124">
        <v>126282.73303949001</v>
      </c>
      <c r="C1124">
        <v>0.76037672414809598</v>
      </c>
      <c r="D1124">
        <v>-4.2480648416112897E-2</v>
      </c>
      <c r="E1124">
        <v>0.102625579059075</v>
      </c>
      <c r="F1124">
        <v>1</v>
      </c>
      <c r="G1124" t="s">
        <v>13</v>
      </c>
      <c r="H1124">
        <v>0</v>
      </c>
      <c r="I1124">
        <v>12959.8386033404</v>
      </c>
      <c r="J1124">
        <v>0.89737442094092401</v>
      </c>
      <c r="K1124" t="str">
        <f t="shared" si="136"/>
        <v>OK</v>
      </c>
      <c r="L1124" t="str">
        <f t="shared" si="137"/>
        <v>OK</v>
      </c>
      <c r="M1124" t="str">
        <f>IF(OR(B1124&lt;$AE$20,B1124&gt;$AF$20),"Outlier","OK")</f>
        <v>OK</v>
      </c>
      <c r="N1124" t="str">
        <f>IF(OR(J1124&lt;$AE$21,J1124&gt;$AF$21),"Outlier","OK")</f>
        <v>OK</v>
      </c>
      <c r="O1124" t="str">
        <f>IF(OR(C1124&lt;0,C1124&gt;1),"Outlier","OK")</f>
        <v>OK</v>
      </c>
      <c r="P1124" t="str">
        <f>IF(OR(D1124&lt;0,D1124&gt;1),"Outlier","OK")</f>
        <v>Outlier</v>
      </c>
      <c r="Q1124" t="str">
        <f t="shared" si="138"/>
        <v>80-100%</v>
      </c>
      <c r="R1124" t="str">
        <f>IF(B1124="","Missing","OK")</f>
        <v>OK</v>
      </c>
      <c r="S1124" t="str">
        <f>IF(E1124="","Missing","OK")</f>
        <v>OK</v>
      </c>
      <c r="T1124" t="str">
        <f t="shared" si="139"/>
        <v>OK</v>
      </c>
      <c r="U1124">
        <f>COUNTIF($A:$A,A1124)</f>
        <v>1</v>
      </c>
      <c r="V1124" t="str">
        <f t="shared" si="140"/>
        <v>OK</v>
      </c>
      <c r="W1124" t="str">
        <f>IF(I1124&gt;B1124,"ERROR","OK")</f>
        <v>OK</v>
      </c>
      <c r="X1124">
        <f>(B1124-I1124)/B1124</f>
        <v>0.89737442094092379</v>
      </c>
      <c r="Y1124" s="2">
        <f t="shared" si="141"/>
        <v>2.2204460492503131E-16</v>
      </c>
      <c r="Z1124" s="2" t="str">
        <f t="shared" si="142"/>
        <v>OK</v>
      </c>
      <c r="AA1124" t="str">
        <f t="shared" si="143"/>
        <v>Unique</v>
      </c>
    </row>
    <row r="1125" spans="1:27" x14ac:dyDescent="0.3">
      <c r="A1125">
        <v>1124</v>
      </c>
      <c r="B1125">
        <v>1188573.7240927401</v>
      </c>
      <c r="C1125">
        <v>0.42935818166392598</v>
      </c>
      <c r="D1125">
        <v>-0.18160940350190499</v>
      </c>
      <c r="E1125">
        <v>0.44283910088983303</v>
      </c>
      <c r="F1125">
        <v>1</v>
      </c>
      <c r="G1125" t="s">
        <v>10</v>
      </c>
      <c r="H1125">
        <v>1</v>
      </c>
      <c r="I1125">
        <v>526346.91931851103</v>
      </c>
      <c r="J1125">
        <v>0.55716089911016597</v>
      </c>
      <c r="K1125" t="str">
        <f t="shared" si="136"/>
        <v>OK</v>
      </c>
      <c r="L1125" t="str">
        <f t="shared" si="137"/>
        <v>OK</v>
      </c>
      <c r="M1125" t="str">
        <f>IF(OR(B1125&lt;$AE$20,B1125&gt;$AF$20),"Outlier","OK")</f>
        <v>OK</v>
      </c>
      <c r="N1125" t="str">
        <f>IF(OR(J1125&lt;$AE$21,J1125&gt;$AF$21),"Outlier","OK")</f>
        <v>OK</v>
      </c>
      <c r="O1125" t="str">
        <f>IF(OR(C1125&lt;0,C1125&gt;1),"Outlier","OK")</f>
        <v>OK</v>
      </c>
      <c r="P1125" t="str">
        <f>IF(OR(D1125&lt;0,D1125&gt;1),"Outlier","OK")</f>
        <v>Outlier</v>
      </c>
      <c r="Q1125" t="str">
        <f t="shared" si="138"/>
        <v>40-60%</v>
      </c>
      <c r="R1125" t="str">
        <f>IF(B1125="","Missing","OK")</f>
        <v>OK</v>
      </c>
      <c r="S1125" t="str">
        <f>IF(E1125="","Missing","OK")</f>
        <v>OK</v>
      </c>
      <c r="T1125" t="str">
        <f t="shared" si="139"/>
        <v>OK</v>
      </c>
      <c r="U1125">
        <f>COUNTIF($A:$A,A1125)</f>
        <v>1</v>
      </c>
      <c r="V1125" t="str">
        <f t="shared" si="140"/>
        <v>OK</v>
      </c>
      <c r="W1125" t="str">
        <f>IF(I1125&gt;B1125,"ERROR","OK")</f>
        <v>OK</v>
      </c>
      <c r="X1125">
        <f>(B1125-I1125)/B1125</f>
        <v>0.55716089911016564</v>
      </c>
      <c r="Y1125" s="2">
        <f t="shared" si="141"/>
        <v>3.3306690738754696E-16</v>
      </c>
      <c r="Z1125" s="2" t="str">
        <f t="shared" si="142"/>
        <v>OK</v>
      </c>
      <c r="AA1125" t="str">
        <f t="shared" si="143"/>
        <v>Unique</v>
      </c>
    </row>
    <row r="1126" spans="1:27" x14ac:dyDescent="0.3">
      <c r="A1126">
        <v>1125</v>
      </c>
      <c r="B1126">
        <v>1454262.43040125</v>
      </c>
      <c r="C1126">
        <v>0.37140653010000402</v>
      </c>
      <c r="D1126">
        <v>1.07683977047123E-2</v>
      </c>
      <c r="E1126">
        <v>0.123358965873211</v>
      </c>
      <c r="F1126">
        <v>1</v>
      </c>
      <c r="G1126" t="s">
        <v>10</v>
      </c>
      <c r="H1126">
        <v>0</v>
      </c>
      <c r="I1126">
        <v>179396.30952256199</v>
      </c>
      <c r="J1126">
        <v>0.87664103412678795</v>
      </c>
      <c r="K1126" t="str">
        <f t="shared" si="136"/>
        <v>OK</v>
      </c>
      <c r="L1126" t="str">
        <f t="shared" si="137"/>
        <v>OK</v>
      </c>
      <c r="M1126" t="str">
        <f>IF(OR(B1126&lt;$AE$20,B1126&gt;$AF$20),"Outlier","OK")</f>
        <v>OK</v>
      </c>
      <c r="N1126" t="str">
        <f>IF(OR(J1126&lt;$AE$21,J1126&gt;$AF$21),"Outlier","OK")</f>
        <v>OK</v>
      </c>
      <c r="O1126" t="str">
        <f>IF(OR(C1126&lt;0,C1126&gt;1),"Outlier","OK")</f>
        <v>OK</v>
      </c>
      <c r="P1126" t="str">
        <f>IF(OR(D1126&lt;0,D1126&gt;1),"Outlier","OK")</f>
        <v>OK</v>
      </c>
      <c r="Q1126" t="str">
        <f t="shared" si="138"/>
        <v>80-100%</v>
      </c>
      <c r="R1126" t="str">
        <f>IF(B1126="","Missing","OK")</f>
        <v>OK</v>
      </c>
      <c r="S1126" t="str">
        <f>IF(E1126="","Missing","OK")</f>
        <v>OK</v>
      </c>
      <c r="T1126" t="str">
        <f t="shared" si="139"/>
        <v>OK</v>
      </c>
      <c r="U1126">
        <f>COUNTIF($A:$A,A1126)</f>
        <v>1</v>
      </c>
      <c r="V1126" t="str">
        <f t="shared" si="140"/>
        <v>OK</v>
      </c>
      <c r="W1126" t="str">
        <f>IF(I1126&gt;B1126,"ERROR","OK")</f>
        <v>OK</v>
      </c>
      <c r="X1126">
        <f>(B1126-I1126)/B1126</f>
        <v>0.87664103412678818</v>
      </c>
      <c r="Y1126" s="2">
        <f t="shared" si="141"/>
        <v>2.2204460492503131E-16</v>
      </c>
      <c r="Z1126" s="2" t="str">
        <f t="shared" si="142"/>
        <v>OK</v>
      </c>
      <c r="AA1126" t="str">
        <f t="shared" si="143"/>
        <v>Unique</v>
      </c>
    </row>
    <row r="1127" spans="1:27" x14ac:dyDescent="0.3">
      <c r="A1127">
        <v>1126</v>
      </c>
      <c r="B1127">
        <v>1443804.40870279</v>
      </c>
      <c r="C1127">
        <v>0.27990504631847901</v>
      </c>
      <c r="D1127">
        <v>0.132559844059843</v>
      </c>
      <c r="E1127">
        <v>0.28355484425592697</v>
      </c>
      <c r="F1127">
        <v>1</v>
      </c>
      <c r="G1127" t="s">
        <v>13</v>
      </c>
      <c r="H1127">
        <v>0</v>
      </c>
      <c r="I1127">
        <v>409397.73424574098</v>
      </c>
      <c r="J1127">
        <v>0.71644515574407197</v>
      </c>
      <c r="K1127" t="str">
        <f t="shared" si="136"/>
        <v>OK</v>
      </c>
      <c r="L1127" t="str">
        <f t="shared" si="137"/>
        <v>OK</v>
      </c>
      <c r="M1127" t="str">
        <f>IF(OR(B1127&lt;$AE$20,B1127&gt;$AF$20),"Outlier","OK")</f>
        <v>OK</v>
      </c>
      <c r="N1127" t="str">
        <f>IF(OR(J1127&lt;$AE$21,J1127&gt;$AF$21),"Outlier","OK")</f>
        <v>OK</v>
      </c>
      <c r="O1127" t="str">
        <f>IF(OR(C1127&lt;0,C1127&gt;1),"Outlier","OK")</f>
        <v>OK</v>
      </c>
      <c r="P1127" t="str">
        <f>IF(OR(D1127&lt;0,D1127&gt;1),"Outlier","OK")</f>
        <v>OK</v>
      </c>
      <c r="Q1127" t="str">
        <f t="shared" si="138"/>
        <v>60-80%</v>
      </c>
      <c r="R1127" t="str">
        <f>IF(B1127="","Missing","OK")</f>
        <v>OK</v>
      </c>
      <c r="S1127" t="str">
        <f>IF(E1127="","Missing","OK")</f>
        <v>OK</v>
      </c>
      <c r="T1127" t="str">
        <f t="shared" si="139"/>
        <v>OK</v>
      </c>
      <c r="U1127">
        <f>COUNTIF($A:$A,A1127)</f>
        <v>1</v>
      </c>
      <c r="V1127" t="str">
        <f t="shared" si="140"/>
        <v>OK</v>
      </c>
      <c r="W1127" t="str">
        <f>IF(I1127&gt;B1127,"ERROR","OK")</f>
        <v>OK</v>
      </c>
      <c r="X1127">
        <f>(B1127-I1127)/B1127</f>
        <v>0.71644515574407253</v>
      </c>
      <c r="Y1127" s="2">
        <f t="shared" si="141"/>
        <v>5.5511151231257827E-16</v>
      </c>
      <c r="Z1127" s="2" t="str">
        <f t="shared" si="142"/>
        <v>OK</v>
      </c>
      <c r="AA1127" t="str">
        <f t="shared" si="143"/>
        <v>Unique</v>
      </c>
    </row>
    <row r="1128" spans="1:27" x14ac:dyDescent="0.3">
      <c r="A1128">
        <v>1127</v>
      </c>
      <c r="B1128">
        <v>371488.38514272001</v>
      </c>
      <c r="C1128">
        <v>0.78697988635427096</v>
      </c>
      <c r="D1128">
        <v>-2.7163571744127001E-2</v>
      </c>
      <c r="E1128">
        <v>0.127489992943949</v>
      </c>
      <c r="F1128">
        <v>1</v>
      </c>
      <c r="G1128" t="s">
        <v>10</v>
      </c>
      <c r="H1128">
        <v>0</v>
      </c>
      <c r="I1128">
        <v>47361.051600604398</v>
      </c>
      <c r="J1128">
        <v>0.87251000705604997</v>
      </c>
      <c r="K1128" t="str">
        <f t="shared" si="136"/>
        <v>OK</v>
      </c>
      <c r="L1128" t="str">
        <f t="shared" si="137"/>
        <v>OK</v>
      </c>
      <c r="M1128" t="str">
        <f>IF(OR(B1128&lt;$AE$20,B1128&gt;$AF$20),"Outlier","OK")</f>
        <v>OK</v>
      </c>
      <c r="N1128" t="str">
        <f>IF(OR(J1128&lt;$AE$21,J1128&gt;$AF$21),"Outlier","OK")</f>
        <v>OK</v>
      </c>
      <c r="O1128" t="str">
        <f>IF(OR(C1128&lt;0,C1128&gt;1),"Outlier","OK")</f>
        <v>OK</v>
      </c>
      <c r="P1128" t="str">
        <f>IF(OR(D1128&lt;0,D1128&gt;1),"Outlier","OK")</f>
        <v>Outlier</v>
      </c>
      <c r="Q1128" t="str">
        <f t="shared" si="138"/>
        <v>80-100%</v>
      </c>
      <c r="R1128" t="str">
        <f>IF(B1128="","Missing","OK")</f>
        <v>OK</v>
      </c>
      <c r="S1128" t="str">
        <f>IF(E1128="","Missing","OK")</f>
        <v>OK</v>
      </c>
      <c r="T1128" t="str">
        <f t="shared" si="139"/>
        <v>OK</v>
      </c>
      <c r="U1128">
        <f>COUNTIF($A:$A,A1128)</f>
        <v>1</v>
      </c>
      <c r="V1128" t="str">
        <f t="shared" si="140"/>
        <v>OK</v>
      </c>
      <c r="W1128" t="str">
        <f>IF(I1128&gt;B1128,"ERROR","OK")</f>
        <v>OK</v>
      </c>
      <c r="X1128">
        <f>(B1128-I1128)/B1128</f>
        <v>0.87251000705605097</v>
      </c>
      <c r="Y1128" s="2">
        <f t="shared" si="141"/>
        <v>9.9920072216264089E-16</v>
      </c>
      <c r="Z1128" s="2" t="str">
        <f t="shared" si="142"/>
        <v>OK</v>
      </c>
      <c r="AA1128" t="str">
        <f t="shared" si="143"/>
        <v>Unique</v>
      </c>
    </row>
    <row r="1129" spans="1:27" x14ac:dyDescent="0.3">
      <c r="A1129">
        <v>1128</v>
      </c>
      <c r="B1129">
        <v>705183.59933767002</v>
      </c>
      <c r="C1129">
        <v>0.32997225908427502</v>
      </c>
      <c r="D1129">
        <v>-0.12900884029375101</v>
      </c>
      <c r="E1129">
        <v>9.7973071805489295E-2</v>
      </c>
      <c r="F1129">
        <v>1</v>
      </c>
      <c r="G1129" t="s">
        <v>11</v>
      </c>
      <c r="H1129">
        <v>1</v>
      </c>
      <c r="I1129">
        <v>69089.003413963001</v>
      </c>
      <c r="J1129">
        <v>0.90202692819451002</v>
      </c>
      <c r="K1129" t="str">
        <f t="shared" si="136"/>
        <v>OK</v>
      </c>
      <c r="L1129" t="str">
        <f t="shared" si="137"/>
        <v>OK</v>
      </c>
      <c r="M1129" t="str">
        <f>IF(OR(B1129&lt;$AE$20,B1129&gt;$AF$20),"Outlier","OK")</f>
        <v>OK</v>
      </c>
      <c r="N1129" t="str">
        <f>IF(OR(J1129&lt;$AE$21,J1129&gt;$AF$21),"Outlier","OK")</f>
        <v>OK</v>
      </c>
      <c r="O1129" t="str">
        <f>IF(OR(C1129&lt;0,C1129&gt;1),"Outlier","OK")</f>
        <v>OK</v>
      </c>
      <c r="P1129" t="str">
        <f>IF(OR(D1129&lt;0,D1129&gt;1),"Outlier","OK")</f>
        <v>Outlier</v>
      </c>
      <c r="Q1129" t="str">
        <f t="shared" si="138"/>
        <v>80-100%</v>
      </c>
      <c r="R1129" t="str">
        <f>IF(B1129="","Missing","OK")</f>
        <v>OK</v>
      </c>
      <c r="S1129" t="str">
        <f>IF(E1129="","Missing","OK")</f>
        <v>OK</v>
      </c>
      <c r="T1129" t="str">
        <f t="shared" si="139"/>
        <v>OK</v>
      </c>
      <c r="U1129">
        <f>COUNTIF($A:$A,A1129)</f>
        <v>1</v>
      </c>
      <c r="V1129" t="str">
        <f t="shared" si="140"/>
        <v>OK</v>
      </c>
      <c r="W1129" t="str">
        <f>IF(I1129&gt;B1129,"ERROR","OK")</f>
        <v>OK</v>
      </c>
      <c r="X1129">
        <f>(B1129-I1129)/B1129</f>
        <v>0.90202692819451058</v>
      </c>
      <c r="Y1129" s="2">
        <f t="shared" si="141"/>
        <v>5.5511151231257827E-16</v>
      </c>
      <c r="Z1129" s="2" t="str">
        <f t="shared" si="142"/>
        <v>OK</v>
      </c>
      <c r="AA1129" t="str">
        <f t="shared" si="143"/>
        <v>Unique</v>
      </c>
    </row>
    <row r="1130" spans="1:27" x14ac:dyDescent="0.3">
      <c r="A1130">
        <v>1129</v>
      </c>
      <c r="B1130">
        <v>847885.96997899294</v>
      </c>
      <c r="C1130">
        <v>0.41748808024210399</v>
      </c>
      <c r="D1130">
        <v>0.118206178835969</v>
      </c>
      <c r="E1130">
        <v>0.49388811860367898</v>
      </c>
      <c r="F1130">
        <v>1</v>
      </c>
      <c r="G1130" t="s">
        <v>12</v>
      </c>
      <c r="H1130">
        <v>1</v>
      </c>
      <c r="I1130">
        <v>418760.80650338001</v>
      </c>
      <c r="J1130">
        <v>0.50611188139632002</v>
      </c>
      <c r="K1130" t="str">
        <f t="shared" si="136"/>
        <v>OK</v>
      </c>
      <c r="L1130" t="str">
        <f t="shared" si="137"/>
        <v>OK</v>
      </c>
      <c r="M1130" t="str">
        <f>IF(OR(B1130&lt;$AE$20,B1130&gt;$AF$20),"Outlier","OK")</f>
        <v>OK</v>
      </c>
      <c r="N1130" t="str">
        <f>IF(OR(J1130&lt;$AE$21,J1130&gt;$AF$21),"Outlier","OK")</f>
        <v>OK</v>
      </c>
      <c r="O1130" t="str">
        <f>IF(OR(C1130&lt;0,C1130&gt;1),"Outlier","OK")</f>
        <v>OK</v>
      </c>
      <c r="P1130" t="str">
        <f>IF(OR(D1130&lt;0,D1130&gt;1),"Outlier","OK")</f>
        <v>OK</v>
      </c>
      <c r="Q1130" t="str">
        <f t="shared" si="138"/>
        <v>40-60%</v>
      </c>
      <c r="R1130" t="str">
        <f>IF(B1130="","Missing","OK")</f>
        <v>OK</v>
      </c>
      <c r="S1130" t="str">
        <f>IF(E1130="","Missing","OK")</f>
        <v>OK</v>
      </c>
      <c r="T1130" t="str">
        <f t="shared" si="139"/>
        <v>OK</v>
      </c>
      <c r="U1130">
        <f>COUNTIF($A:$A,A1130)</f>
        <v>1</v>
      </c>
      <c r="V1130" t="str">
        <f t="shared" si="140"/>
        <v>OK</v>
      </c>
      <c r="W1130" t="str">
        <f>IF(I1130&gt;B1130,"ERROR","OK")</f>
        <v>OK</v>
      </c>
      <c r="X1130">
        <f>(B1130-I1130)/B1130</f>
        <v>0.50611188139632135</v>
      </c>
      <c r="Y1130" s="2">
        <f t="shared" si="141"/>
        <v>1.3322676295501878E-15</v>
      </c>
      <c r="Z1130" s="2" t="str">
        <f t="shared" si="142"/>
        <v>OK</v>
      </c>
      <c r="AA1130" t="str">
        <f t="shared" si="143"/>
        <v>Unique</v>
      </c>
    </row>
    <row r="1131" spans="1:27" x14ac:dyDescent="0.3">
      <c r="A1131">
        <v>1130</v>
      </c>
      <c r="B1131">
        <v>869938.75481789501</v>
      </c>
      <c r="C1131">
        <v>0.54832490791058597</v>
      </c>
      <c r="D1131">
        <v>-0.19791289653403901</v>
      </c>
      <c r="E1131">
        <v>4.8802762418304502E-2</v>
      </c>
      <c r="F1131">
        <v>1</v>
      </c>
      <c r="G1131" t="s">
        <v>12</v>
      </c>
      <c r="H1131">
        <v>1</v>
      </c>
      <c r="I1131">
        <v>42455.414369853403</v>
      </c>
      <c r="J1131">
        <v>0.95119723758169505</v>
      </c>
      <c r="K1131" t="str">
        <f t="shared" si="136"/>
        <v>OK</v>
      </c>
      <c r="L1131" t="str">
        <f t="shared" si="137"/>
        <v>OK</v>
      </c>
      <c r="M1131" t="str">
        <f>IF(OR(B1131&lt;$AE$20,B1131&gt;$AF$20),"Outlier","OK")</f>
        <v>OK</v>
      </c>
      <c r="N1131" t="str">
        <f>IF(OR(J1131&lt;$AE$21,J1131&gt;$AF$21),"Outlier","OK")</f>
        <v>OK</v>
      </c>
      <c r="O1131" t="str">
        <f>IF(OR(C1131&lt;0,C1131&gt;1),"Outlier","OK")</f>
        <v>OK</v>
      </c>
      <c r="P1131" t="str">
        <f>IF(OR(D1131&lt;0,D1131&gt;1),"Outlier","OK")</f>
        <v>Outlier</v>
      </c>
      <c r="Q1131" t="str">
        <f t="shared" si="138"/>
        <v>80-100%</v>
      </c>
      <c r="R1131" t="str">
        <f>IF(B1131="","Missing","OK")</f>
        <v>OK</v>
      </c>
      <c r="S1131" t="str">
        <f>IF(E1131="","Missing","OK")</f>
        <v>OK</v>
      </c>
      <c r="T1131" t="str">
        <f t="shared" si="139"/>
        <v>OK</v>
      </c>
      <c r="U1131">
        <f>COUNTIF($A:$A,A1131)</f>
        <v>1</v>
      </c>
      <c r="V1131" t="str">
        <f t="shared" si="140"/>
        <v>OK</v>
      </c>
      <c r="W1131" t="str">
        <f>IF(I1131&gt;B1131,"ERROR","OK")</f>
        <v>OK</v>
      </c>
      <c r="X1131">
        <f>(B1131-I1131)/B1131</f>
        <v>0.95119723758169539</v>
      </c>
      <c r="Y1131" s="2">
        <f t="shared" si="141"/>
        <v>3.3306690738754696E-16</v>
      </c>
      <c r="Z1131" s="2" t="str">
        <f t="shared" si="142"/>
        <v>OK</v>
      </c>
      <c r="AA1131" t="str">
        <f t="shared" si="143"/>
        <v>Unique</v>
      </c>
    </row>
    <row r="1132" spans="1:27" x14ac:dyDescent="0.3">
      <c r="A1132">
        <v>1131</v>
      </c>
      <c r="B1132">
        <v>272609.05453412101</v>
      </c>
      <c r="C1132">
        <v>0.102736727425304</v>
      </c>
      <c r="D1132">
        <v>-5.6462757110397499E-2</v>
      </c>
      <c r="E1132">
        <v>0.400816914800805</v>
      </c>
      <c r="F1132">
        <v>1</v>
      </c>
      <c r="G1132" t="s">
        <v>11</v>
      </c>
      <c r="H1132">
        <v>0</v>
      </c>
      <c r="I1132">
        <v>109266.320185131</v>
      </c>
      <c r="J1132">
        <v>0.59918308519919405</v>
      </c>
      <c r="K1132" t="str">
        <f t="shared" si="136"/>
        <v>OK</v>
      </c>
      <c r="L1132" t="str">
        <f t="shared" si="137"/>
        <v>OK</v>
      </c>
      <c r="M1132" t="str">
        <f>IF(OR(B1132&lt;$AE$20,B1132&gt;$AF$20),"Outlier","OK")</f>
        <v>OK</v>
      </c>
      <c r="N1132" t="str">
        <f>IF(OR(J1132&lt;$AE$21,J1132&gt;$AF$21),"Outlier","OK")</f>
        <v>OK</v>
      </c>
      <c r="O1132" t="str">
        <f>IF(OR(C1132&lt;0,C1132&gt;1),"Outlier","OK")</f>
        <v>OK</v>
      </c>
      <c r="P1132" t="str">
        <f>IF(OR(D1132&lt;0,D1132&gt;1),"Outlier","OK")</f>
        <v>Outlier</v>
      </c>
      <c r="Q1132" t="str">
        <f t="shared" si="138"/>
        <v>40-60%</v>
      </c>
      <c r="R1132" t="str">
        <f>IF(B1132="","Missing","OK")</f>
        <v>OK</v>
      </c>
      <c r="S1132" t="str">
        <f>IF(E1132="","Missing","OK")</f>
        <v>OK</v>
      </c>
      <c r="T1132" t="str">
        <f t="shared" si="139"/>
        <v>OK</v>
      </c>
      <c r="U1132">
        <f>COUNTIF($A:$A,A1132)</f>
        <v>1</v>
      </c>
      <c r="V1132" t="str">
        <f t="shared" si="140"/>
        <v>OK</v>
      </c>
      <c r="W1132" t="str">
        <f>IF(I1132&gt;B1132,"ERROR","OK")</f>
        <v>OK</v>
      </c>
      <c r="X1132">
        <f>(B1132-I1132)/B1132</f>
        <v>0.59918308519919428</v>
      </c>
      <c r="Y1132" s="2">
        <f t="shared" si="141"/>
        <v>2.2204460492503131E-16</v>
      </c>
      <c r="Z1132" s="2" t="str">
        <f t="shared" si="142"/>
        <v>OK</v>
      </c>
      <c r="AA1132" t="str">
        <f t="shared" si="143"/>
        <v>Unique</v>
      </c>
    </row>
    <row r="1133" spans="1:27" x14ac:dyDescent="0.3">
      <c r="A1133">
        <v>1132</v>
      </c>
      <c r="B1133">
        <v>801786.484867641</v>
      </c>
      <c r="C1133">
        <v>0.76464326951847195</v>
      </c>
      <c r="D1133">
        <v>4.5490435049114403E-2</v>
      </c>
      <c r="E1133">
        <v>0.37464958641039398</v>
      </c>
      <c r="F1133">
        <v>1</v>
      </c>
      <c r="G1133" t="s">
        <v>13</v>
      </c>
      <c r="H1133">
        <v>0</v>
      </c>
      <c r="I1133">
        <v>300388.97494510602</v>
      </c>
      <c r="J1133">
        <v>0.62535041358960497</v>
      </c>
      <c r="K1133" t="str">
        <f t="shared" si="136"/>
        <v>OK</v>
      </c>
      <c r="L1133" t="str">
        <f t="shared" si="137"/>
        <v>OK</v>
      </c>
      <c r="M1133" t="str">
        <f>IF(OR(B1133&lt;$AE$20,B1133&gt;$AF$20),"Outlier","OK")</f>
        <v>OK</v>
      </c>
      <c r="N1133" t="str">
        <f>IF(OR(J1133&lt;$AE$21,J1133&gt;$AF$21),"Outlier","OK")</f>
        <v>OK</v>
      </c>
      <c r="O1133" t="str">
        <f>IF(OR(C1133&lt;0,C1133&gt;1),"Outlier","OK")</f>
        <v>OK</v>
      </c>
      <c r="P1133" t="str">
        <f>IF(OR(D1133&lt;0,D1133&gt;1),"Outlier","OK")</f>
        <v>OK</v>
      </c>
      <c r="Q1133" t="str">
        <f t="shared" si="138"/>
        <v>60-80%</v>
      </c>
      <c r="R1133" t="str">
        <f>IF(B1133="","Missing","OK")</f>
        <v>OK</v>
      </c>
      <c r="S1133" t="str">
        <f>IF(E1133="","Missing","OK")</f>
        <v>OK</v>
      </c>
      <c r="T1133" t="str">
        <f t="shared" si="139"/>
        <v>OK</v>
      </c>
      <c r="U1133">
        <f>COUNTIF($A:$A,A1133)</f>
        <v>1</v>
      </c>
      <c r="V1133" t="str">
        <f t="shared" si="140"/>
        <v>OK</v>
      </c>
      <c r="W1133" t="str">
        <f>IF(I1133&gt;B1133,"ERROR","OK")</f>
        <v>OK</v>
      </c>
      <c r="X1133">
        <f>(B1133-I1133)/B1133</f>
        <v>0.62535041358960519</v>
      </c>
      <c r="Y1133" s="2">
        <f t="shared" si="141"/>
        <v>2.2204460492503131E-16</v>
      </c>
      <c r="Z1133" s="2" t="str">
        <f t="shared" si="142"/>
        <v>OK</v>
      </c>
      <c r="AA1133" t="str">
        <f t="shared" si="143"/>
        <v>Unique</v>
      </c>
    </row>
    <row r="1134" spans="1:27" x14ac:dyDescent="0.3">
      <c r="A1134">
        <v>1133</v>
      </c>
      <c r="B1134">
        <v>1037932.76376046</v>
      </c>
      <c r="C1134">
        <v>0.74609315567394696</v>
      </c>
      <c r="D1134">
        <v>0.10345901847125299</v>
      </c>
      <c r="E1134">
        <v>0.107139871526237</v>
      </c>
      <c r="F1134">
        <v>1</v>
      </c>
      <c r="G1134" t="s">
        <v>13</v>
      </c>
      <c r="H1134">
        <v>1</v>
      </c>
      <c r="I1134">
        <v>111203.982962168</v>
      </c>
      <c r="J1134">
        <v>0.89286012847376295</v>
      </c>
      <c r="K1134" t="str">
        <f t="shared" si="136"/>
        <v>OK</v>
      </c>
      <c r="L1134" t="str">
        <f t="shared" si="137"/>
        <v>OK</v>
      </c>
      <c r="M1134" t="str">
        <f>IF(OR(B1134&lt;$AE$20,B1134&gt;$AF$20),"Outlier","OK")</f>
        <v>OK</v>
      </c>
      <c r="N1134" t="str">
        <f>IF(OR(J1134&lt;$AE$21,J1134&gt;$AF$21),"Outlier","OK")</f>
        <v>OK</v>
      </c>
      <c r="O1134" t="str">
        <f>IF(OR(C1134&lt;0,C1134&gt;1),"Outlier","OK")</f>
        <v>OK</v>
      </c>
      <c r="P1134" t="str">
        <f>IF(OR(D1134&lt;0,D1134&gt;1),"Outlier","OK")</f>
        <v>OK</v>
      </c>
      <c r="Q1134" t="str">
        <f t="shared" si="138"/>
        <v>80-100%</v>
      </c>
      <c r="R1134" t="str">
        <f>IF(B1134="","Missing","OK")</f>
        <v>OK</v>
      </c>
      <c r="S1134" t="str">
        <f>IF(E1134="","Missing","OK")</f>
        <v>OK</v>
      </c>
      <c r="T1134" t="str">
        <f t="shared" si="139"/>
        <v>OK</v>
      </c>
      <c r="U1134">
        <f>COUNTIF($A:$A,A1134)</f>
        <v>1</v>
      </c>
      <c r="V1134" t="str">
        <f t="shared" si="140"/>
        <v>OK</v>
      </c>
      <c r="W1134" t="str">
        <f>IF(I1134&gt;B1134,"ERROR","OK")</f>
        <v>OK</v>
      </c>
      <c r="X1134">
        <f>(B1134-I1134)/B1134</f>
        <v>0.89286012847376284</v>
      </c>
      <c r="Y1134" s="2">
        <f t="shared" si="141"/>
        <v>1.1102230246251565E-16</v>
      </c>
      <c r="Z1134" s="2" t="str">
        <f t="shared" si="142"/>
        <v>OK</v>
      </c>
      <c r="AA1134" t="str">
        <f t="shared" si="143"/>
        <v>Unique</v>
      </c>
    </row>
    <row r="1135" spans="1:27" x14ac:dyDescent="0.3">
      <c r="A1135">
        <v>1134</v>
      </c>
      <c r="B1135">
        <v>1435593.3106269201</v>
      </c>
      <c r="C1135">
        <v>0.245047957566118</v>
      </c>
      <c r="D1135">
        <v>-0.172706227263211</v>
      </c>
      <c r="E1135">
        <v>0.189593437839264</v>
      </c>
      <c r="F1135">
        <v>1</v>
      </c>
      <c r="G1135" t="s">
        <v>11</v>
      </c>
      <c r="H1135">
        <v>0</v>
      </c>
      <c r="I1135">
        <v>272179.07110080897</v>
      </c>
      <c r="J1135">
        <v>0.81040656216073503</v>
      </c>
      <c r="K1135" t="str">
        <f t="shared" si="136"/>
        <v>OK</v>
      </c>
      <c r="L1135" t="str">
        <f t="shared" si="137"/>
        <v>OK</v>
      </c>
      <c r="M1135" t="str">
        <f>IF(OR(B1135&lt;$AE$20,B1135&gt;$AF$20),"Outlier","OK")</f>
        <v>OK</v>
      </c>
      <c r="N1135" t="str">
        <f>IF(OR(J1135&lt;$AE$21,J1135&gt;$AF$21),"Outlier","OK")</f>
        <v>OK</v>
      </c>
      <c r="O1135" t="str">
        <f>IF(OR(C1135&lt;0,C1135&gt;1),"Outlier","OK")</f>
        <v>OK</v>
      </c>
      <c r="P1135" t="str">
        <f>IF(OR(D1135&lt;0,D1135&gt;1),"Outlier","OK")</f>
        <v>Outlier</v>
      </c>
      <c r="Q1135" t="str">
        <f t="shared" si="138"/>
        <v>80-100%</v>
      </c>
      <c r="R1135" t="str">
        <f>IF(B1135="","Missing","OK")</f>
        <v>OK</v>
      </c>
      <c r="S1135" t="str">
        <f>IF(E1135="","Missing","OK")</f>
        <v>OK</v>
      </c>
      <c r="T1135" t="str">
        <f t="shared" si="139"/>
        <v>OK</v>
      </c>
      <c r="U1135">
        <f>COUNTIF($A:$A,A1135)</f>
        <v>1</v>
      </c>
      <c r="V1135" t="str">
        <f t="shared" si="140"/>
        <v>OK</v>
      </c>
      <c r="W1135" t="str">
        <f>IF(I1135&gt;B1135,"ERROR","OK")</f>
        <v>OK</v>
      </c>
      <c r="X1135">
        <f>(B1135-I1135)/B1135</f>
        <v>0.81040656216073548</v>
      </c>
      <c r="Y1135" s="2">
        <f t="shared" si="141"/>
        <v>4.4408920985006262E-16</v>
      </c>
      <c r="Z1135" s="2" t="str">
        <f t="shared" si="142"/>
        <v>OK</v>
      </c>
      <c r="AA1135" t="str">
        <f t="shared" si="143"/>
        <v>Unique</v>
      </c>
    </row>
    <row r="1136" spans="1:27" x14ac:dyDescent="0.3">
      <c r="A1136">
        <v>1135</v>
      </c>
      <c r="B1136">
        <v>1160422.99324599</v>
      </c>
      <c r="C1136">
        <v>0.33445991101515299</v>
      </c>
      <c r="D1136">
        <v>-0.114763611253427</v>
      </c>
      <c r="E1136">
        <v>0.21433784996376701</v>
      </c>
      <c r="F1136">
        <v>1</v>
      </c>
      <c r="G1136" t="s">
        <v>11</v>
      </c>
      <c r="H1136">
        <v>0</v>
      </c>
      <c r="I1136">
        <v>248722.569420866</v>
      </c>
      <c r="J1136">
        <v>0.78566215003623197</v>
      </c>
      <c r="K1136" t="str">
        <f t="shared" si="136"/>
        <v>OK</v>
      </c>
      <c r="L1136" t="str">
        <f t="shared" si="137"/>
        <v>OK</v>
      </c>
      <c r="M1136" t="str">
        <f>IF(OR(B1136&lt;$AE$20,B1136&gt;$AF$20),"Outlier","OK")</f>
        <v>OK</v>
      </c>
      <c r="N1136" t="str">
        <f>IF(OR(J1136&lt;$AE$21,J1136&gt;$AF$21),"Outlier","OK")</f>
        <v>OK</v>
      </c>
      <c r="O1136" t="str">
        <f>IF(OR(C1136&lt;0,C1136&gt;1),"Outlier","OK")</f>
        <v>OK</v>
      </c>
      <c r="P1136" t="str">
        <f>IF(OR(D1136&lt;0,D1136&gt;1),"Outlier","OK")</f>
        <v>Outlier</v>
      </c>
      <c r="Q1136" t="str">
        <f t="shared" si="138"/>
        <v>60-80%</v>
      </c>
      <c r="R1136" t="str">
        <f>IF(B1136="","Missing","OK")</f>
        <v>OK</v>
      </c>
      <c r="S1136" t="str">
        <f>IF(E1136="","Missing","OK")</f>
        <v>OK</v>
      </c>
      <c r="T1136" t="str">
        <f t="shared" si="139"/>
        <v>OK</v>
      </c>
      <c r="U1136">
        <f>COUNTIF($A:$A,A1136)</f>
        <v>1</v>
      </c>
      <c r="V1136" t="str">
        <f t="shared" si="140"/>
        <v>OK</v>
      </c>
      <c r="W1136" t="str">
        <f>IF(I1136&gt;B1136,"ERROR","OK")</f>
        <v>OK</v>
      </c>
      <c r="X1136">
        <f>(B1136-I1136)/B1136</f>
        <v>0.78566215003623163</v>
      </c>
      <c r="Y1136" s="2">
        <f t="shared" si="141"/>
        <v>3.3306690738754696E-16</v>
      </c>
      <c r="Z1136" s="2" t="str">
        <f t="shared" si="142"/>
        <v>OK</v>
      </c>
      <c r="AA1136" t="str">
        <f t="shared" si="143"/>
        <v>Unique</v>
      </c>
    </row>
    <row r="1137" spans="1:27" x14ac:dyDescent="0.3">
      <c r="A1137">
        <v>1136</v>
      </c>
      <c r="B1137">
        <v>839614.59277785302</v>
      </c>
      <c r="C1137">
        <v>0.44913932093687597</v>
      </c>
      <c r="D1137">
        <v>-0.17240774236189099</v>
      </c>
      <c r="E1137">
        <v>0.34631247867731002</v>
      </c>
      <c r="F1137">
        <v>1</v>
      </c>
      <c r="G1137" t="s">
        <v>13</v>
      </c>
      <c r="H1137">
        <v>0</v>
      </c>
      <c r="I1137">
        <v>290769.01075853902</v>
      </c>
      <c r="J1137">
        <v>0.65368752132268904</v>
      </c>
      <c r="K1137" t="str">
        <f t="shared" si="136"/>
        <v>OK</v>
      </c>
      <c r="L1137" t="str">
        <f t="shared" si="137"/>
        <v>OK</v>
      </c>
      <c r="M1137" t="str">
        <f>IF(OR(B1137&lt;$AE$20,B1137&gt;$AF$20),"Outlier","OK")</f>
        <v>OK</v>
      </c>
      <c r="N1137" t="str">
        <f>IF(OR(J1137&lt;$AE$21,J1137&gt;$AF$21),"Outlier","OK")</f>
        <v>OK</v>
      </c>
      <c r="O1137" t="str">
        <f>IF(OR(C1137&lt;0,C1137&gt;1),"Outlier","OK")</f>
        <v>OK</v>
      </c>
      <c r="P1137" t="str">
        <f>IF(OR(D1137&lt;0,D1137&gt;1),"Outlier","OK")</f>
        <v>Outlier</v>
      </c>
      <c r="Q1137" t="str">
        <f t="shared" si="138"/>
        <v>60-80%</v>
      </c>
      <c r="R1137" t="str">
        <f>IF(B1137="","Missing","OK")</f>
        <v>OK</v>
      </c>
      <c r="S1137" t="str">
        <f>IF(E1137="","Missing","OK")</f>
        <v>OK</v>
      </c>
      <c r="T1137" t="str">
        <f t="shared" si="139"/>
        <v>OK</v>
      </c>
      <c r="U1137">
        <f>COUNTIF($A:$A,A1137)</f>
        <v>1</v>
      </c>
      <c r="V1137" t="str">
        <f t="shared" si="140"/>
        <v>OK</v>
      </c>
      <c r="W1137" t="str">
        <f>IF(I1137&gt;B1137,"ERROR","OK")</f>
        <v>OK</v>
      </c>
      <c r="X1137">
        <f>(B1137-I1137)/B1137</f>
        <v>0.65368752132268937</v>
      </c>
      <c r="Y1137" s="2">
        <f t="shared" si="141"/>
        <v>3.3306690738754696E-16</v>
      </c>
      <c r="Z1137" s="2" t="str">
        <f t="shared" si="142"/>
        <v>OK</v>
      </c>
      <c r="AA1137" t="str">
        <f t="shared" si="143"/>
        <v>Unique</v>
      </c>
    </row>
    <row r="1138" spans="1:27" x14ac:dyDescent="0.3">
      <c r="A1138">
        <v>1137</v>
      </c>
      <c r="B1138">
        <v>1858814.85737134</v>
      </c>
      <c r="C1138">
        <v>0.52980214250042101</v>
      </c>
      <c r="D1138">
        <v>-7.1833870000440794E-2</v>
      </c>
      <c r="E1138">
        <v>9.7929821974940504E-2</v>
      </c>
      <c r="F1138">
        <v>1</v>
      </c>
      <c r="G1138" t="s">
        <v>10</v>
      </c>
      <c r="H1138">
        <v>1</v>
      </c>
      <c r="I1138">
        <v>182033.40806674899</v>
      </c>
      <c r="J1138">
        <v>0.90207017802505896</v>
      </c>
      <c r="K1138" t="str">
        <f t="shared" si="136"/>
        <v>OK</v>
      </c>
      <c r="L1138" t="str">
        <f t="shared" si="137"/>
        <v>OK</v>
      </c>
      <c r="M1138" t="str">
        <f>IF(OR(B1138&lt;$AE$20,B1138&gt;$AF$20),"Outlier","OK")</f>
        <v>OK</v>
      </c>
      <c r="N1138" t="str">
        <f>IF(OR(J1138&lt;$AE$21,J1138&gt;$AF$21),"Outlier","OK")</f>
        <v>OK</v>
      </c>
      <c r="O1138" t="str">
        <f>IF(OR(C1138&lt;0,C1138&gt;1),"Outlier","OK")</f>
        <v>OK</v>
      </c>
      <c r="P1138" t="str">
        <f>IF(OR(D1138&lt;0,D1138&gt;1),"Outlier","OK")</f>
        <v>Outlier</v>
      </c>
      <c r="Q1138" t="str">
        <f t="shared" si="138"/>
        <v>80-100%</v>
      </c>
      <c r="R1138" t="str">
        <f>IF(B1138="","Missing","OK")</f>
        <v>OK</v>
      </c>
      <c r="S1138" t="str">
        <f>IF(E1138="","Missing","OK")</f>
        <v>OK</v>
      </c>
      <c r="T1138" t="str">
        <f t="shared" si="139"/>
        <v>OK</v>
      </c>
      <c r="U1138">
        <f>COUNTIF($A:$A,A1138)</f>
        <v>1</v>
      </c>
      <c r="V1138" t="str">
        <f t="shared" si="140"/>
        <v>OK</v>
      </c>
      <c r="W1138" t="str">
        <f>IF(I1138&gt;B1138,"ERROR","OK")</f>
        <v>OK</v>
      </c>
      <c r="X1138">
        <f>(B1138-I1138)/B1138</f>
        <v>0.90207017802505984</v>
      </c>
      <c r="Y1138" s="2">
        <f t="shared" si="141"/>
        <v>8.8817841970012523E-16</v>
      </c>
      <c r="Z1138" s="2" t="str">
        <f t="shared" si="142"/>
        <v>OK</v>
      </c>
      <c r="AA1138" t="str">
        <f t="shared" si="143"/>
        <v>Unique</v>
      </c>
    </row>
    <row r="1139" spans="1:27" x14ac:dyDescent="0.3">
      <c r="A1139">
        <v>1138</v>
      </c>
      <c r="B1139">
        <v>1216262.9549318801</v>
      </c>
      <c r="C1139">
        <v>0.28141854327245103</v>
      </c>
      <c r="D1139">
        <v>2.37305050357038E-2</v>
      </c>
      <c r="E1139">
        <v>0.37954206514653199</v>
      </c>
      <c r="F1139">
        <v>1</v>
      </c>
      <c r="G1139" t="s">
        <v>13</v>
      </c>
      <c r="H1139">
        <v>1</v>
      </c>
      <c r="I1139">
        <v>461622.953676073</v>
      </c>
      <c r="J1139">
        <v>0.62045793485346701</v>
      </c>
      <c r="K1139" t="str">
        <f t="shared" si="136"/>
        <v>OK</v>
      </c>
      <c r="L1139" t="str">
        <f t="shared" si="137"/>
        <v>OK</v>
      </c>
      <c r="M1139" t="str">
        <f>IF(OR(B1139&lt;$AE$20,B1139&gt;$AF$20),"Outlier","OK")</f>
        <v>OK</v>
      </c>
      <c r="N1139" t="str">
        <f>IF(OR(J1139&lt;$AE$21,J1139&gt;$AF$21),"Outlier","OK")</f>
        <v>OK</v>
      </c>
      <c r="O1139" t="str">
        <f>IF(OR(C1139&lt;0,C1139&gt;1),"Outlier","OK")</f>
        <v>OK</v>
      </c>
      <c r="P1139" t="str">
        <f>IF(OR(D1139&lt;0,D1139&gt;1),"Outlier","OK")</f>
        <v>OK</v>
      </c>
      <c r="Q1139" t="str">
        <f t="shared" si="138"/>
        <v>60-80%</v>
      </c>
      <c r="R1139" t="str">
        <f>IF(B1139="","Missing","OK")</f>
        <v>OK</v>
      </c>
      <c r="S1139" t="str">
        <f>IF(E1139="","Missing","OK")</f>
        <v>OK</v>
      </c>
      <c r="T1139" t="str">
        <f t="shared" si="139"/>
        <v>OK</v>
      </c>
      <c r="U1139">
        <f>COUNTIF($A:$A,A1139)</f>
        <v>1</v>
      </c>
      <c r="V1139" t="str">
        <f t="shared" si="140"/>
        <v>OK</v>
      </c>
      <c r="W1139" t="str">
        <f>IF(I1139&gt;B1139,"ERROR","OK")</f>
        <v>OK</v>
      </c>
      <c r="X1139">
        <f>(B1139-I1139)/B1139</f>
        <v>0.62045793485346479</v>
      </c>
      <c r="Y1139" s="2">
        <f t="shared" si="141"/>
        <v>2.2204460492503131E-15</v>
      </c>
      <c r="Z1139" s="2" t="str">
        <f t="shared" si="142"/>
        <v>OK</v>
      </c>
      <c r="AA1139" t="str">
        <f t="shared" si="143"/>
        <v>Unique</v>
      </c>
    </row>
    <row r="1140" spans="1:27" x14ac:dyDescent="0.3">
      <c r="A1140">
        <v>1139</v>
      </c>
      <c r="B1140">
        <v>1950842.22322555</v>
      </c>
      <c r="C1140">
        <v>0.446463594136154</v>
      </c>
      <c r="D1140">
        <v>2.2670447934159701E-2</v>
      </c>
      <c r="E1140">
        <v>0.229007102523827</v>
      </c>
      <c r="F1140">
        <v>1</v>
      </c>
      <c r="G1140" t="s">
        <v>10</v>
      </c>
      <c r="H1140">
        <v>0</v>
      </c>
      <c r="I1140">
        <v>446756.725022025</v>
      </c>
      <c r="J1140">
        <v>0.77099289747617195</v>
      </c>
      <c r="K1140" t="str">
        <f t="shared" si="136"/>
        <v>OK</v>
      </c>
      <c r="L1140" t="str">
        <f t="shared" si="137"/>
        <v>OK</v>
      </c>
      <c r="M1140" t="str">
        <f>IF(OR(B1140&lt;$AE$20,B1140&gt;$AF$20),"Outlier","OK")</f>
        <v>OK</v>
      </c>
      <c r="N1140" t="str">
        <f>IF(OR(J1140&lt;$AE$21,J1140&gt;$AF$21),"Outlier","OK")</f>
        <v>OK</v>
      </c>
      <c r="O1140" t="str">
        <f>IF(OR(C1140&lt;0,C1140&gt;1),"Outlier","OK")</f>
        <v>OK</v>
      </c>
      <c r="P1140" t="str">
        <f>IF(OR(D1140&lt;0,D1140&gt;1),"Outlier","OK")</f>
        <v>OK</v>
      </c>
      <c r="Q1140" t="str">
        <f t="shared" si="138"/>
        <v>60-80%</v>
      </c>
      <c r="R1140" t="str">
        <f>IF(B1140="","Missing","OK")</f>
        <v>OK</v>
      </c>
      <c r="S1140" t="str">
        <f>IF(E1140="","Missing","OK")</f>
        <v>OK</v>
      </c>
      <c r="T1140" t="str">
        <f t="shared" si="139"/>
        <v>OK</v>
      </c>
      <c r="U1140">
        <f>COUNTIF($A:$A,A1140)</f>
        <v>1</v>
      </c>
      <c r="V1140" t="str">
        <f t="shared" si="140"/>
        <v>OK</v>
      </c>
      <c r="W1140" t="str">
        <f>IF(I1140&gt;B1140,"ERROR","OK")</f>
        <v>OK</v>
      </c>
      <c r="X1140">
        <f>(B1140-I1140)/B1140</f>
        <v>0.77099289747617261</v>
      </c>
      <c r="Y1140" s="2">
        <f t="shared" si="141"/>
        <v>6.6613381477509392E-16</v>
      </c>
      <c r="Z1140" s="2" t="str">
        <f t="shared" si="142"/>
        <v>OK</v>
      </c>
      <c r="AA1140" t="str">
        <f t="shared" si="143"/>
        <v>Unique</v>
      </c>
    </row>
    <row r="1141" spans="1:27" x14ac:dyDescent="0.3">
      <c r="A1141">
        <v>1140</v>
      </c>
      <c r="B1141">
        <v>1741383.89488277</v>
      </c>
      <c r="C1141">
        <v>0.148358024435994</v>
      </c>
      <c r="D1141">
        <v>-0.133690904667497</v>
      </c>
      <c r="E1141">
        <v>0.21254228512172199</v>
      </c>
      <c r="F1141">
        <v>1</v>
      </c>
      <c r="G1141" t="s">
        <v>11</v>
      </c>
      <c r="H1141">
        <v>0</v>
      </c>
      <c r="I1141">
        <v>370117.71229255002</v>
      </c>
      <c r="J1141">
        <v>0.78745771487827698</v>
      </c>
      <c r="K1141" t="str">
        <f t="shared" si="136"/>
        <v>OK</v>
      </c>
      <c r="L1141" t="str">
        <f t="shared" si="137"/>
        <v>OK</v>
      </c>
      <c r="M1141" t="str">
        <f>IF(OR(B1141&lt;$AE$20,B1141&gt;$AF$20),"Outlier","OK")</f>
        <v>OK</v>
      </c>
      <c r="N1141" t="str">
        <f>IF(OR(J1141&lt;$AE$21,J1141&gt;$AF$21),"Outlier","OK")</f>
        <v>OK</v>
      </c>
      <c r="O1141" t="str">
        <f>IF(OR(C1141&lt;0,C1141&gt;1),"Outlier","OK")</f>
        <v>OK</v>
      </c>
      <c r="P1141" t="str">
        <f>IF(OR(D1141&lt;0,D1141&gt;1),"Outlier","OK")</f>
        <v>Outlier</v>
      </c>
      <c r="Q1141" t="str">
        <f t="shared" si="138"/>
        <v>60-80%</v>
      </c>
      <c r="R1141" t="str">
        <f>IF(B1141="","Missing","OK")</f>
        <v>OK</v>
      </c>
      <c r="S1141" t="str">
        <f>IF(E1141="","Missing","OK")</f>
        <v>OK</v>
      </c>
      <c r="T1141" t="str">
        <f t="shared" si="139"/>
        <v>OK</v>
      </c>
      <c r="U1141">
        <f>COUNTIF($A:$A,A1141)</f>
        <v>1</v>
      </c>
      <c r="V1141" t="str">
        <f t="shared" si="140"/>
        <v>OK</v>
      </c>
      <c r="W1141" t="str">
        <f>IF(I1141&gt;B1141,"ERROR","OK")</f>
        <v>OK</v>
      </c>
      <c r="X1141">
        <f>(B1141-I1141)/B1141</f>
        <v>0.7874577148782772</v>
      </c>
      <c r="Y1141" s="2">
        <f t="shared" si="141"/>
        <v>2.2204460492503131E-16</v>
      </c>
      <c r="Z1141" s="2" t="str">
        <f t="shared" si="142"/>
        <v>OK</v>
      </c>
      <c r="AA1141" t="str">
        <f t="shared" si="143"/>
        <v>Unique</v>
      </c>
    </row>
    <row r="1142" spans="1:27" x14ac:dyDescent="0.3">
      <c r="A1142">
        <v>1141</v>
      </c>
      <c r="B1142">
        <v>1363570.8981689699</v>
      </c>
      <c r="C1142">
        <v>0.16819240762815801</v>
      </c>
      <c r="D1142">
        <v>0.127446639045561</v>
      </c>
      <c r="E1142">
        <v>0.16099826994099301</v>
      </c>
      <c r="F1142">
        <v>1</v>
      </c>
      <c r="G1142" t="s">
        <v>11</v>
      </c>
      <c r="H1142">
        <v>1</v>
      </c>
      <c r="I1142">
        <v>219532.555547091</v>
      </c>
      <c r="J1142">
        <v>0.83900173005900602</v>
      </c>
      <c r="K1142" t="str">
        <f t="shared" si="136"/>
        <v>OK</v>
      </c>
      <c r="L1142" t="str">
        <f t="shared" si="137"/>
        <v>OK</v>
      </c>
      <c r="M1142" t="str">
        <f>IF(OR(B1142&lt;$AE$20,B1142&gt;$AF$20),"Outlier","OK")</f>
        <v>OK</v>
      </c>
      <c r="N1142" t="str">
        <f>IF(OR(J1142&lt;$AE$21,J1142&gt;$AF$21),"Outlier","OK")</f>
        <v>OK</v>
      </c>
      <c r="O1142" t="str">
        <f>IF(OR(C1142&lt;0,C1142&gt;1),"Outlier","OK")</f>
        <v>OK</v>
      </c>
      <c r="P1142" t="str">
        <f>IF(OR(D1142&lt;0,D1142&gt;1),"Outlier","OK")</f>
        <v>OK</v>
      </c>
      <c r="Q1142" t="str">
        <f t="shared" si="138"/>
        <v>80-100%</v>
      </c>
      <c r="R1142" t="str">
        <f>IF(B1142="","Missing","OK")</f>
        <v>OK</v>
      </c>
      <c r="S1142" t="str">
        <f>IF(E1142="","Missing","OK")</f>
        <v>OK</v>
      </c>
      <c r="T1142" t="str">
        <f t="shared" si="139"/>
        <v>OK</v>
      </c>
      <c r="U1142">
        <f>COUNTIF($A:$A,A1142)</f>
        <v>1</v>
      </c>
      <c r="V1142" t="str">
        <f t="shared" si="140"/>
        <v>OK</v>
      </c>
      <c r="W1142" t="str">
        <f>IF(I1142&gt;B1142,"ERROR","OK")</f>
        <v>OK</v>
      </c>
      <c r="X1142">
        <f>(B1142-I1142)/B1142</f>
        <v>0.83900173005900636</v>
      </c>
      <c r="Y1142" s="2">
        <f t="shared" si="141"/>
        <v>3.3306690738754696E-16</v>
      </c>
      <c r="Z1142" s="2" t="str">
        <f t="shared" si="142"/>
        <v>OK</v>
      </c>
      <c r="AA1142" t="str">
        <f t="shared" si="143"/>
        <v>Unique</v>
      </c>
    </row>
    <row r="1143" spans="1:27" x14ac:dyDescent="0.3">
      <c r="A1143">
        <v>1142</v>
      </c>
      <c r="B1143">
        <v>1803661.31607817</v>
      </c>
      <c r="C1143">
        <v>0.40806788097547297</v>
      </c>
      <c r="D1143">
        <v>5.8442083329087402E-2</v>
      </c>
      <c r="E1143">
        <v>0.49655864518694698</v>
      </c>
      <c r="F1143">
        <v>1</v>
      </c>
      <c r="G1143" t="s">
        <v>10</v>
      </c>
      <c r="H1143">
        <v>1</v>
      </c>
      <c r="I1143">
        <v>895623.61948788597</v>
      </c>
      <c r="J1143">
        <v>0.50344135481305197</v>
      </c>
      <c r="K1143" t="str">
        <f t="shared" si="136"/>
        <v>OK</v>
      </c>
      <c r="L1143" t="str">
        <f t="shared" si="137"/>
        <v>OK</v>
      </c>
      <c r="M1143" t="str">
        <f>IF(OR(B1143&lt;$AE$20,B1143&gt;$AF$20),"Outlier","OK")</f>
        <v>OK</v>
      </c>
      <c r="N1143" t="str">
        <f>IF(OR(J1143&lt;$AE$21,J1143&gt;$AF$21),"Outlier","OK")</f>
        <v>OK</v>
      </c>
      <c r="O1143" t="str">
        <f>IF(OR(C1143&lt;0,C1143&gt;1),"Outlier","OK")</f>
        <v>OK</v>
      </c>
      <c r="P1143" t="str">
        <f>IF(OR(D1143&lt;0,D1143&gt;1),"Outlier","OK")</f>
        <v>OK</v>
      </c>
      <c r="Q1143" t="str">
        <f t="shared" si="138"/>
        <v>40-60%</v>
      </c>
      <c r="R1143" t="str">
        <f>IF(B1143="","Missing","OK")</f>
        <v>OK</v>
      </c>
      <c r="S1143" t="str">
        <f>IF(E1143="","Missing","OK")</f>
        <v>OK</v>
      </c>
      <c r="T1143" t="str">
        <f t="shared" si="139"/>
        <v>OK</v>
      </c>
      <c r="U1143">
        <f>COUNTIF($A:$A,A1143)</f>
        <v>1</v>
      </c>
      <c r="V1143" t="str">
        <f t="shared" si="140"/>
        <v>OK</v>
      </c>
      <c r="W1143" t="str">
        <f>IF(I1143&gt;B1143,"ERROR","OK")</f>
        <v>OK</v>
      </c>
      <c r="X1143">
        <f>(B1143-I1143)/B1143</f>
        <v>0.50344135481305075</v>
      </c>
      <c r="Y1143" s="2">
        <f t="shared" si="141"/>
        <v>1.2212453270876722E-15</v>
      </c>
      <c r="Z1143" s="2" t="str">
        <f t="shared" si="142"/>
        <v>OK</v>
      </c>
      <c r="AA1143" t="str">
        <f t="shared" si="143"/>
        <v>Unique</v>
      </c>
    </row>
    <row r="1144" spans="1:27" x14ac:dyDescent="0.3">
      <c r="A1144">
        <v>1143</v>
      </c>
      <c r="B1144">
        <v>1982917.3723307301</v>
      </c>
      <c r="C1144">
        <v>0.28919029667234603</v>
      </c>
      <c r="D1144">
        <v>-2.4924124333847299E-2</v>
      </c>
      <c r="E1144">
        <v>3.3429964463520402E-2</v>
      </c>
      <c r="F1144">
        <v>1</v>
      </c>
      <c r="G1144" t="s">
        <v>11</v>
      </c>
      <c r="H1144">
        <v>0</v>
      </c>
      <c r="I1144">
        <v>66288.857291113702</v>
      </c>
      <c r="J1144">
        <v>0.96657003553647902</v>
      </c>
      <c r="K1144" t="str">
        <f t="shared" si="136"/>
        <v>OK</v>
      </c>
      <c r="L1144" t="str">
        <f t="shared" si="137"/>
        <v>OK</v>
      </c>
      <c r="M1144" t="str">
        <f>IF(OR(B1144&lt;$AE$20,B1144&gt;$AF$20),"Outlier","OK")</f>
        <v>OK</v>
      </c>
      <c r="N1144" t="str">
        <f>IF(OR(J1144&lt;$AE$21,J1144&gt;$AF$21),"Outlier","OK")</f>
        <v>OK</v>
      </c>
      <c r="O1144" t="str">
        <f>IF(OR(C1144&lt;0,C1144&gt;1),"Outlier","OK")</f>
        <v>OK</v>
      </c>
      <c r="P1144" t="str">
        <f>IF(OR(D1144&lt;0,D1144&gt;1),"Outlier","OK")</f>
        <v>Outlier</v>
      </c>
      <c r="Q1144" t="str">
        <f t="shared" si="138"/>
        <v>80-100%</v>
      </c>
      <c r="R1144" t="str">
        <f>IF(B1144="","Missing","OK")</f>
        <v>OK</v>
      </c>
      <c r="S1144" t="str">
        <f>IF(E1144="","Missing","OK")</f>
        <v>OK</v>
      </c>
      <c r="T1144" t="str">
        <f t="shared" si="139"/>
        <v>OK</v>
      </c>
      <c r="U1144">
        <f>COUNTIF($A:$A,A1144)</f>
        <v>1</v>
      </c>
      <c r="V1144" t="str">
        <f t="shared" si="140"/>
        <v>OK</v>
      </c>
      <c r="W1144" t="str">
        <f>IF(I1144&gt;B1144,"ERROR","OK")</f>
        <v>OK</v>
      </c>
      <c r="X1144">
        <f>(B1144-I1144)/B1144</f>
        <v>0.96657003553647947</v>
      </c>
      <c r="Y1144" s="2">
        <f t="shared" si="141"/>
        <v>4.4408920985006262E-16</v>
      </c>
      <c r="Z1144" s="2" t="str">
        <f t="shared" si="142"/>
        <v>OK</v>
      </c>
      <c r="AA1144" t="str">
        <f t="shared" si="143"/>
        <v>Unique</v>
      </c>
    </row>
    <row r="1145" spans="1:27" x14ac:dyDescent="0.3">
      <c r="A1145">
        <v>1144</v>
      </c>
      <c r="B1145">
        <v>480710.670580081</v>
      </c>
      <c r="C1145">
        <v>0.35223624856057301</v>
      </c>
      <c r="D1145">
        <v>-0.154082967601743</v>
      </c>
      <c r="E1145">
        <v>1.8820936964388201E-2</v>
      </c>
      <c r="F1145">
        <v>1</v>
      </c>
      <c r="G1145" t="s">
        <v>13</v>
      </c>
      <c r="H1145">
        <v>1</v>
      </c>
      <c r="I1145">
        <v>9047.4252290965105</v>
      </c>
      <c r="J1145">
        <v>0.98117906303561098</v>
      </c>
      <c r="K1145" t="str">
        <f t="shared" si="136"/>
        <v>OK</v>
      </c>
      <c r="L1145" t="str">
        <f t="shared" si="137"/>
        <v>OK</v>
      </c>
      <c r="M1145" t="str">
        <f>IF(OR(B1145&lt;$AE$20,B1145&gt;$AF$20),"Outlier","OK")</f>
        <v>OK</v>
      </c>
      <c r="N1145" t="str">
        <f>IF(OR(J1145&lt;$AE$21,J1145&gt;$AF$21),"Outlier","OK")</f>
        <v>Outlier</v>
      </c>
      <c r="O1145" t="str">
        <f>IF(OR(C1145&lt;0,C1145&gt;1),"Outlier","OK")</f>
        <v>OK</v>
      </c>
      <c r="P1145" t="str">
        <f>IF(OR(D1145&lt;0,D1145&gt;1),"Outlier","OK")</f>
        <v>Outlier</v>
      </c>
      <c r="Q1145" t="str">
        <f t="shared" si="138"/>
        <v>80-100%</v>
      </c>
      <c r="R1145" t="str">
        <f>IF(B1145="","Missing","OK")</f>
        <v>OK</v>
      </c>
      <c r="S1145" t="str">
        <f>IF(E1145="","Missing","OK")</f>
        <v>OK</v>
      </c>
      <c r="T1145" t="str">
        <f t="shared" si="139"/>
        <v>OK</v>
      </c>
      <c r="U1145">
        <f>COUNTIF($A:$A,A1145)</f>
        <v>1</v>
      </c>
      <c r="V1145" t="str">
        <f t="shared" si="140"/>
        <v>OK</v>
      </c>
      <c r="W1145" t="str">
        <f>IF(I1145&gt;B1145,"ERROR","OK")</f>
        <v>OK</v>
      </c>
      <c r="X1145">
        <f>(B1145-I1145)/B1145</f>
        <v>0.98117906303561175</v>
      </c>
      <c r="Y1145" s="2">
        <f t="shared" si="141"/>
        <v>7.7715611723760958E-16</v>
      </c>
      <c r="Z1145" s="2" t="str">
        <f t="shared" si="142"/>
        <v>OK</v>
      </c>
      <c r="AA1145" t="str">
        <f t="shared" si="143"/>
        <v>Unique</v>
      </c>
    </row>
    <row r="1146" spans="1:27" x14ac:dyDescent="0.3">
      <c r="A1146">
        <v>1145</v>
      </c>
      <c r="B1146">
        <v>1397560.2138124099</v>
      </c>
      <c r="C1146">
        <v>0.65399151027412705</v>
      </c>
      <c r="D1146">
        <v>0.177505410431744</v>
      </c>
      <c r="E1146">
        <v>0.480321390196146</v>
      </c>
      <c r="F1146">
        <v>1</v>
      </c>
      <c r="G1146" t="s">
        <v>10</v>
      </c>
      <c r="H1146">
        <v>0</v>
      </c>
      <c r="I1146">
        <v>671278.06478120305</v>
      </c>
      <c r="J1146">
        <v>0.51967860980385305</v>
      </c>
      <c r="K1146" t="str">
        <f t="shared" si="136"/>
        <v>OK</v>
      </c>
      <c r="L1146" t="str">
        <f t="shared" si="137"/>
        <v>OK</v>
      </c>
      <c r="M1146" t="str">
        <f>IF(OR(B1146&lt;$AE$20,B1146&gt;$AF$20),"Outlier","OK")</f>
        <v>OK</v>
      </c>
      <c r="N1146" t="str">
        <f>IF(OR(J1146&lt;$AE$21,J1146&gt;$AF$21),"Outlier","OK")</f>
        <v>OK</v>
      </c>
      <c r="O1146" t="str">
        <f>IF(OR(C1146&lt;0,C1146&gt;1),"Outlier","OK")</f>
        <v>OK</v>
      </c>
      <c r="P1146" t="str">
        <f>IF(OR(D1146&lt;0,D1146&gt;1),"Outlier","OK")</f>
        <v>OK</v>
      </c>
      <c r="Q1146" t="str">
        <f t="shared" si="138"/>
        <v>40-60%</v>
      </c>
      <c r="R1146" t="str">
        <f>IF(B1146="","Missing","OK")</f>
        <v>OK</v>
      </c>
      <c r="S1146" t="str">
        <f>IF(E1146="","Missing","OK")</f>
        <v>OK</v>
      </c>
      <c r="T1146" t="str">
        <f t="shared" si="139"/>
        <v>OK</v>
      </c>
      <c r="U1146">
        <f>COUNTIF($A:$A,A1146)</f>
        <v>1</v>
      </c>
      <c r="V1146" t="str">
        <f t="shared" si="140"/>
        <v>OK</v>
      </c>
      <c r="W1146" t="str">
        <f>IF(I1146&gt;B1146,"ERROR","OK")</f>
        <v>OK</v>
      </c>
      <c r="X1146">
        <f>(B1146-I1146)/B1146</f>
        <v>0.51967860980385161</v>
      </c>
      <c r="Y1146" s="2">
        <f t="shared" si="141"/>
        <v>1.4432899320127035E-15</v>
      </c>
      <c r="Z1146" s="2" t="str">
        <f t="shared" si="142"/>
        <v>OK</v>
      </c>
      <c r="AA1146" t="str">
        <f t="shared" si="143"/>
        <v>Unique</v>
      </c>
    </row>
    <row r="1147" spans="1:27" x14ac:dyDescent="0.3">
      <c r="A1147">
        <v>1146</v>
      </c>
      <c r="B1147">
        <v>1841619.5918252999</v>
      </c>
      <c r="C1147">
        <v>0.30670965404019701</v>
      </c>
      <c r="D1147">
        <v>2.16096579049272E-2</v>
      </c>
      <c r="E1147">
        <v>0.233047911023746</v>
      </c>
      <c r="F1147">
        <v>1</v>
      </c>
      <c r="G1147" t="s">
        <v>13</v>
      </c>
      <c r="H1147">
        <v>0</v>
      </c>
      <c r="I1147">
        <v>429185.59877529001</v>
      </c>
      <c r="J1147">
        <v>0.766952088976253</v>
      </c>
      <c r="K1147" t="str">
        <f t="shared" si="136"/>
        <v>OK</v>
      </c>
      <c r="L1147" t="str">
        <f t="shared" si="137"/>
        <v>OK</v>
      </c>
      <c r="M1147" t="str">
        <f>IF(OR(B1147&lt;$AE$20,B1147&gt;$AF$20),"Outlier","OK")</f>
        <v>OK</v>
      </c>
      <c r="N1147" t="str">
        <f>IF(OR(J1147&lt;$AE$21,J1147&gt;$AF$21),"Outlier","OK")</f>
        <v>OK</v>
      </c>
      <c r="O1147" t="str">
        <f>IF(OR(C1147&lt;0,C1147&gt;1),"Outlier","OK")</f>
        <v>OK</v>
      </c>
      <c r="P1147" t="str">
        <f>IF(OR(D1147&lt;0,D1147&gt;1),"Outlier","OK")</f>
        <v>OK</v>
      </c>
      <c r="Q1147" t="str">
        <f t="shared" si="138"/>
        <v>60-80%</v>
      </c>
      <c r="R1147" t="str">
        <f>IF(B1147="","Missing","OK")</f>
        <v>OK</v>
      </c>
      <c r="S1147" t="str">
        <f>IF(E1147="","Missing","OK")</f>
        <v>OK</v>
      </c>
      <c r="T1147" t="str">
        <f t="shared" si="139"/>
        <v>OK</v>
      </c>
      <c r="U1147">
        <f>COUNTIF($A:$A,A1147)</f>
        <v>1</v>
      </c>
      <c r="V1147" t="str">
        <f t="shared" si="140"/>
        <v>OK</v>
      </c>
      <c r="W1147" t="str">
        <f>IF(I1147&gt;B1147,"ERROR","OK")</f>
        <v>OK</v>
      </c>
      <c r="X1147">
        <f>(B1147-I1147)/B1147</f>
        <v>0.766952088976254</v>
      </c>
      <c r="Y1147" s="2">
        <f t="shared" si="141"/>
        <v>9.9920072216264089E-16</v>
      </c>
      <c r="Z1147" s="2" t="str">
        <f t="shared" si="142"/>
        <v>OK</v>
      </c>
      <c r="AA1147" t="str">
        <f t="shared" si="143"/>
        <v>Unique</v>
      </c>
    </row>
    <row r="1148" spans="1:27" x14ac:dyDescent="0.3">
      <c r="A1148">
        <v>1147</v>
      </c>
      <c r="B1148">
        <v>83930.312032108093</v>
      </c>
      <c r="C1148">
        <v>0.18241446118174401</v>
      </c>
      <c r="D1148">
        <v>-0.12861079811117901</v>
      </c>
      <c r="E1148">
        <v>0.16138951494663101</v>
      </c>
      <c r="F1148">
        <v>1</v>
      </c>
      <c r="G1148" t="s">
        <v>13</v>
      </c>
      <c r="H1148">
        <v>1</v>
      </c>
      <c r="I1148">
        <v>13545.4723481813</v>
      </c>
      <c r="J1148">
        <v>0.83861048505336799</v>
      </c>
      <c r="K1148" t="str">
        <f t="shared" si="136"/>
        <v>OK</v>
      </c>
      <c r="L1148" t="str">
        <f t="shared" si="137"/>
        <v>OK</v>
      </c>
      <c r="M1148" t="str">
        <f>IF(OR(B1148&lt;$AE$20,B1148&gt;$AF$20),"Outlier","OK")</f>
        <v>OK</v>
      </c>
      <c r="N1148" t="str">
        <f>IF(OR(J1148&lt;$AE$21,J1148&gt;$AF$21),"Outlier","OK")</f>
        <v>OK</v>
      </c>
      <c r="O1148" t="str">
        <f>IF(OR(C1148&lt;0,C1148&gt;1),"Outlier","OK")</f>
        <v>OK</v>
      </c>
      <c r="P1148" t="str">
        <f>IF(OR(D1148&lt;0,D1148&gt;1),"Outlier","OK")</f>
        <v>Outlier</v>
      </c>
      <c r="Q1148" t="str">
        <f t="shared" si="138"/>
        <v>80-100%</v>
      </c>
      <c r="R1148" t="str">
        <f>IF(B1148="","Missing","OK")</f>
        <v>OK</v>
      </c>
      <c r="S1148" t="str">
        <f>IF(E1148="","Missing","OK")</f>
        <v>OK</v>
      </c>
      <c r="T1148" t="str">
        <f t="shared" si="139"/>
        <v>OK</v>
      </c>
      <c r="U1148">
        <f>COUNTIF($A:$A,A1148)</f>
        <v>1</v>
      </c>
      <c r="V1148" t="str">
        <f t="shared" si="140"/>
        <v>OK</v>
      </c>
      <c r="W1148" t="str">
        <f>IF(I1148&gt;B1148,"ERROR","OK")</f>
        <v>OK</v>
      </c>
      <c r="X1148">
        <f>(B1148-I1148)/B1148</f>
        <v>0.83861048505336921</v>
      </c>
      <c r="Y1148" s="2">
        <f t="shared" si="141"/>
        <v>1.2212453270876722E-15</v>
      </c>
      <c r="Z1148" s="2" t="str">
        <f t="shared" si="142"/>
        <v>OK</v>
      </c>
      <c r="AA1148" t="str">
        <f t="shared" si="143"/>
        <v>Unique</v>
      </c>
    </row>
    <row r="1149" spans="1:27" x14ac:dyDescent="0.3">
      <c r="A1149">
        <v>1148</v>
      </c>
      <c r="B1149">
        <v>1609003.5432385299</v>
      </c>
      <c r="C1149">
        <v>0.30392825735867002</v>
      </c>
      <c r="D1149">
        <v>0.16231217006509099</v>
      </c>
      <c r="E1149">
        <v>0.30628778510681098</v>
      </c>
      <c r="F1149">
        <v>1</v>
      </c>
      <c r="G1149" t="s">
        <v>12</v>
      </c>
      <c r="H1149">
        <v>0</v>
      </c>
      <c r="I1149">
        <v>492818.13148754399</v>
      </c>
      <c r="J1149">
        <v>0.69371221489318802</v>
      </c>
      <c r="K1149" t="str">
        <f t="shared" si="136"/>
        <v>OK</v>
      </c>
      <c r="L1149" t="str">
        <f t="shared" si="137"/>
        <v>OK</v>
      </c>
      <c r="M1149" t="str">
        <f>IF(OR(B1149&lt;$AE$20,B1149&gt;$AF$20),"Outlier","OK")</f>
        <v>OK</v>
      </c>
      <c r="N1149" t="str">
        <f>IF(OR(J1149&lt;$AE$21,J1149&gt;$AF$21),"Outlier","OK")</f>
        <v>OK</v>
      </c>
      <c r="O1149" t="str">
        <f>IF(OR(C1149&lt;0,C1149&gt;1),"Outlier","OK")</f>
        <v>OK</v>
      </c>
      <c r="P1149" t="str">
        <f>IF(OR(D1149&lt;0,D1149&gt;1),"Outlier","OK")</f>
        <v>OK</v>
      </c>
      <c r="Q1149" t="str">
        <f t="shared" si="138"/>
        <v>60-80%</v>
      </c>
      <c r="R1149" t="str">
        <f>IF(B1149="","Missing","OK")</f>
        <v>OK</v>
      </c>
      <c r="S1149" t="str">
        <f>IF(E1149="","Missing","OK")</f>
        <v>OK</v>
      </c>
      <c r="T1149" t="str">
        <f t="shared" si="139"/>
        <v>OK</v>
      </c>
      <c r="U1149">
        <f>COUNTIF($A:$A,A1149)</f>
        <v>1</v>
      </c>
      <c r="V1149" t="str">
        <f t="shared" si="140"/>
        <v>OK</v>
      </c>
      <c r="W1149" t="str">
        <f>IF(I1149&gt;B1149,"ERROR","OK")</f>
        <v>OK</v>
      </c>
      <c r="X1149">
        <f>(B1149-I1149)/B1149</f>
        <v>0.6937122148931868</v>
      </c>
      <c r="Y1149" s="2">
        <f t="shared" si="141"/>
        <v>1.2212453270876722E-15</v>
      </c>
      <c r="Z1149" s="2" t="str">
        <f t="shared" si="142"/>
        <v>OK</v>
      </c>
      <c r="AA1149" t="str">
        <f t="shared" si="143"/>
        <v>Unique</v>
      </c>
    </row>
    <row r="1150" spans="1:27" x14ac:dyDescent="0.3">
      <c r="A1150">
        <v>1149</v>
      </c>
      <c r="B1150">
        <v>224335.75228746401</v>
      </c>
      <c r="C1150">
        <v>0.241065461103458</v>
      </c>
      <c r="D1150">
        <v>-6.1810997509889901E-2</v>
      </c>
      <c r="E1150">
        <v>0.22237104417995701</v>
      </c>
      <c r="F1150">
        <v>1</v>
      </c>
      <c r="G1150" t="s">
        <v>10</v>
      </c>
      <c r="H1150">
        <v>0</v>
      </c>
      <c r="I1150">
        <v>49885.775483059697</v>
      </c>
      <c r="J1150">
        <v>0.77762895582004199</v>
      </c>
      <c r="K1150" t="str">
        <f t="shared" si="136"/>
        <v>OK</v>
      </c>
      <c r="L1150" t="str">
        <f t="shared" si="137"/>
        <v>OK</v>
      </c>
      <c r="M1150" t="str">
        <f>IF(OR(B1150&lt;$AE$20,B1150&gt;$AF$20),"Outlier","OK")</f>
        <v>OK</v>
      </c>
      <c r="N1150" t="str">
        <f>IF(OR(J1150&lt;$AE$21,J1150&gt;$AF$21),"Outlier","OK")</f>
        <v>OK</v>
      </c>
      <c r="O1150" t="str">
        <f>IF(OR(C1150&lt;0,C1150&gt;1),"Outlier","OK")</f>
        <v>OK</v>
      </c>
      <c r="P1150" t="str">
        <f>IF(OR(D1150&lt;0,D1150&gt;1),"Outlier","OK")</f>
        <v>Outlier</v>
      </c>
      <c r="Q1150" t="str">
        <f t="shared" si="138"/>
        <v>60-80%</v>
      </c>
      <c r="R1150" t="str">
        <f>IF(B1150="","Missing","OK")</f>
        <v>OK</v>
      </c>
      <c r="S1150" t="str">
        <f>IF(E1150="","Missing","OK")</f>
        <v>OK</v>
      </c>
      <c r="T1150" t="str">
        <f t="shared" si="139"/>
        <v>OK</v>
      </c>
      <c r="U1150">
        <f>COUNTIF($A:$A,A1150)</f>
        <v>1</v>
      </c>
      <c r="V1150" t="str">
        <f t="shared" si="140"/>
        <v>OK</v>
      </c>
      <c r="W1150" t="str">
        <f>IF(I1150&gt;B1150,"ERROR","OK")</f>
        <v>OK</v>
      </c>
      <c r="X1150">
        <f>(B1150-I1150)/B1150</f>
        <v>0.77762895582004232</v>
      </c>
      <c r="Y1150" s="2">
        <f t="shared" si="141"/>
        <v>3.3306690738754696E-16</v>
      </c>
      <c r="Z1150" s="2" t="str">
        <f t="shared" si="142"/>
        <v>OK</v>
      </c>
      <c r="AA1150" t="str">
        <f t="shared" si="143"/>
        <v>Unique</v>
      </c>
    </row>
    <row r="1151" spans="1:27" x14ac:dyDescent="0.3">
      <c r="A1151">
        <v>1150</v>
      </c>
      <c r="B1151">
        <v>1837280.88001816</v>
      </c>
      <c r="C1151">
        <v>0.84460228367099</v>
      </c>
      <c r="D1151">
        <v>-6.2172186252181197E-2</v>
      </c>
      <c r="E1151">
        <v>0.35486498088459001</v>
      </c>
      <c r="F1151">
        <v>1</v>
      </c>
      <c r="G1151" t="s">
        <v>10</v>
      </c>
      <c r="H1151">
        <v>0</v>
      </c>
      <c r="I1151">
        <v>651986.64436727006</v>
      </c>
      <c r="J1151">
        <v>0.64513501911540905</v>
      </c>
      <c r="K1151" t="str">
        <f t="shared" si="136"/>
        <v>OK</v>
      </c>
      <c r="L1151" t="str">
        <f t="shared" si="137"/>
        <v>OK</v>
      </c>
      <c r="M1151" t="str">
        <f>IF(OR(B1151&lt;$AE$20,B1151&gt;$AF$20),"Outlier","OK")</f>
        <v>OK</v>
      </c>
      <c r="N1151" t="str">
        <f>IF(OR(J1151&lt;$AE$21,J1151&gt;$AF$21),"Outlier","OK")</f>
        <v>OK</v>
      </c>
      <c r="O1151" t="str">
        <f>IF(OR(C1151&lt;0,C1151&gt;1),"Outlier","OK")</f>
        <v>OK</v>
      </c>
      <c r="P1151" t="str">
        <f>IF(OR(D1151&lt;0,D1151&gt;1),"Outlier","OK")</f>
        <v>Outlier</v>
      </c>
      <c r="Q1151" t="str">
        <f t="shared" si="138"/>
        <v>60-80%</v>
      </c>
      <c r="R1151" t="str">
        <f>IF(B1151="","Missing","OK")</f>
        <v>OK</v>
      </c>
      <c r="S1151" t="str">
        <f>IF(E1151="","Missing","OK")</f>
        <v>OK</v>
      </c>
      <c r="T1151" t="str">
        <f t="shared" si="139"/>
        <v>OK</v>
      </c>
      <c r="U1151">
        <f>COUNTIF($A:$A,A1151)</f>
        <v>1</v>
      </c>
      <c r="V1151" t="str">
        <f t="shared" si="140"/>
        <v>OK</v>
      </c>
      <c r="W1151" t="str">
        <f>IF(I1151&gt;B1151,"ERROR","OK")</f>
        <v>OK</v>
      </c>
      <c r="X1151">
        <f>(B1151-I1151)/B1151</f>
        <v>0.64513501911540838</v>
      </c>
      <c r="Y1151" s="2">
        <f t="shared" si="141"/>
        <v>6.6613381477509392E-16</v>
      </c>
      <c r="Z1151" s="2" t="str">
        <f t="shared" si="142"/>
        <v>OK</v>
      </c>
      <c r="AA1151" t="str">
        <f t="shared" si="143"/>
        <v>Unique</v>
      </c>
    </row>
    <row r="1152" spans="1:27" x14ac:dyDescent="0.3">
      <c r="A1152">
        <v>1151</v>
      </c>
      <c r="B1152">
        <v>1243426.07813809</v>
      </c>
      <c r="C1152">
        <v>0.19761988769812999</v>
      </c>
      <c r="D1152">
        <v>0.14035307311401701</v>
      </c>
      <c r="E1152">
        <v>0.36422285504958002</v>
      </c>
      <c r="F1152">
        <v>1</v>
      </c>
      <c r="G1152" t="s">
        <v>10</v>
      </c>
      <c r="H1152">
        <v>0</v>
      </c>
      <c r="I1152">
        <v>452884.19622256001</v>
      </c>
      <c r="J1152">
        <v>0.63577714495041904</v>
      </c>
      <c r="K1152" t="str">
        <f t="shared" si="136"/>
        <v>OK</v>
      </c>
      <c r="L1152" t="str">
        <f t="shared" si="137"/>
        <v>OK</v>
      </c>
      <c r="M1152" t="str">
        <f>IF(OR(B1152&lt;$AE$20,B1152&gt;$AF$20),"Outlier","OK")</f>
        <v>OK</v>
      </c>
      <c r="N1152" t="str">
        <f>IF(OR(J1152&lt;$AE$21,J1152&gt;$AF$21),"Outlier","OK")</f>
        <v>OK</v>
      </c>
      <c r="O1152" t="str">
        <f>IF(OR(C1152&lt;0,C1152&gt;1),"Outlier","OK")</f>
        <v>OK</v>
      </c>
      <c r="P1152" t="str">
        <f>IF(OR(D1152&lt;0,D1152&gt;1),"Outlier","OK")</f>
        <v>OK</v>
      </c>
      <c r="Q1152" t="str">
        <f t="shared" si="138"/>
        <v>60-80%</v>
      </c>
      <c r="R1152" t="str">
        <f>IF(B1152="","Missing","OK")</f>
        <v>OK</v>
      </c>
      <c r="S1152" t="str">
        <f>IF(E1152="","Missing","OK")</f>
        <v>OK</v>
      </c>
      <c r="T1152" t="str">
        <f t="shared" si="139"/>
        <v>OK</v>
      </c>
      <c r="U1152">
        <f>COUNTIF($A:$A,A1152)</f>
        <v>1</v>
      </c>
      <c r="V1152" t="str">
        <f t="shared" si="140"/>
        <v>OK</v>
      </c>
      <c r="W1152" t="str">
        <f>IF(I1152&gt;B1152,"ERROR","OK")</f>
        <v>OK</v>
      </c>
      <c r="X1152">
        <f>(B1152-I1152)/B1152</f>
        <v>0.63577714495041782</v>
      </c>
      <c r="Y1152" s="2">
        <f t="shared" si="141"/>
        <v>1.2212453270876722E-15</v>
      </c>
      <c r="Z1152" s="2" t="str">
        <f t="shared" si="142"/>
        <v>OK</v>
      </c>
      <c r="AA1152" t="str">
        <f t="shared" si="143"/>
        <v>Unique</v>
      </c>
    </row>
    <row r="1153" spans="1:27" x14ac:dyDescent="0.3">
      <c r="A1153">
        <v>1152</v>
      </c>
      <c r="B1153">
        <v>366035.40520482801</v>
      </c>
      <c r="C1153">
        <v>0.34322545588476</v>
      </c>
      <c r="D1153">
        <v>0.13785385684694901</v>
      </c>
      <c r="E1153">
        <v>6.9237907799656606E-2</v>
      </c>
      <c r="F1153">
        <v>1</v>
      </c>
      <c r="G1153" t="s">
        <v>11</v>
      </c>
      <c r="H1153">
        <v>1</v>
      </c>
      <c r="I1153">
        <v>25343.525636981802</v>
      </c>
      <c r="J1153">
        <v>0.93076209220034301</v>
      </c>
      <c r="K1153" t="str">
        <f t="shared" si="136"/>
        <v>OK</v>
      </c>
      <c r="L1153" t="str">
        <f t="shared" si="137"/>
        <v>OK</v>
      </c>
      <c r="M1153" t="str">
        <f>IF(OR(B1153&lt;$AE$20,B1153&gt;$AF$20),"Outlier","OK")</f>
        <v>OK</v>
      </c>
      <c r="N1153" t="str">
        <f>IF(OR(J1153&lt;$AE$21,J1153&gt;$AF$21),"Outlier","OK")</f>
        <v>OK</v>
      </c>
      <c r="O1153" t="str">
        <f>IF(OR(C1153&lt;0,C1153&gt;1),"Outlier","OK")</f>
        <v>OK</v>
      </c>
      <c r="P1153" t="str">
        <f>IF(OR(D1153&lt;0,D1153&gt;1),"Outlier","OK")</f>
        <v>OK</v>
      </c>
      <c r="Q1153" t="str">
        <f t="shared" si="138"/>
        <v>80-100%</v>
      </c>
      <c r="R1153" t="str">
        <f>IF(B1153="","Missing","OK")</f>
        <v>OK</v>
      </c>
      <c r="S1153" t="str">
        <f>IF(E1153="","Missing","OK")</f>
        <v>OK</v>
      </c>
      <c r="T1153" t="str">
        <f t="shared" si="139"/>
        <v>OK</v>
      </c>
      <c r="U1153">
        <f>COUNTIF($A:$A,A1153)</f>
        <v>1</v>
      </c>
      <c r="V1153" t="str">
        <f t="shared" si="140"/>
        <v>OK</v>
      </c>
      <c r="W1153" t="str">
        <f>IF(I1153&gt;B1153,"ERROR","OK")</f>
        <v>OK</v>
      </c>
      <c r="X1153">
        <f>(B1153-I1153)/B1153</f>
        <v>0.93076209220034345</v>
      </c>
      <c r="Y1153" s="2">
        <f t="shared" si="141"/>
        <v>4.4408920985006262E-16</v>
      </c>
      <c r="Z1153" s="2" t="str">
        <f t="shared" si="142"/>
        <v>OK</v>
      </c>
      <c r="AA1153" t="str">
        <f t="shared" si="143"/>
        <v>Unique</v>
      </c>
    </row>
    <row r="1154" spans="1:27" x14ac:dyDescent="0.3">
      <c r="A1154">
        <v>1153</v>
      </c>
      <c r="B1154">
        <v>126849.826763554</v>
      </c>
      <c r="C1154">
        <v>0.82011719892168899</v>
      </c>
      <c r="D1154">
        <v>-1.7206184152733901E-2</v>
      </c>
      <c r="E1154">
        <v>8.3639136159315106E-2</v>
      </c>
      <c r="F1154">
        <v>1</v>
      </c>
      <c r="G1154" t="s">
        <v>12</v>
      </c>
      <c r="H1154">
        <v>0</v>
      </c>
      <c r="I1154">
        <v>10609.609932462399</v>
      </c>
      <c r="J1154">
        <v>0.91636086384068405</v>
      </c>
      <c r="K1154" t="str">
        <f t="shared" si="136"/>
        <v>OK</v>
      </c>
      <c r="L1154" t="str">
        <f t="shared" si="137"/>
        <v>OK</v>
      </c>
      <c r="M1154" t="str">
        <f>IF(OR(B1154&lt;$AE$20,B1154&gt;$AF$20),"Outlier","OK")</f>
        <v>OK</v>
      </c>
      <c r="N1154" t="str">
        <f>IF(OR(J1154&lt;$AE$21,J1154&gt;$AF$21),"Outlier","OK")</f>
        <v>OK</v>
      </c>
      <c r="O1154" t="str">
        <f>IF(OR(C1154&lt;0,C1154&gt;1),"Outlier","OK")</f>
        <v>OK</v>
      </c>
      <c r="P1154" t="str">
        <f>IF(OR(D1154&lt;0,D1154&gt;1),"Outlier","OK")</f>
        <v>Outlier</v>
      </c>
      <c r="Q1154" t="str">
        <f t="shared" si="138"/>
        <v>80-100%</v>
      </c>
      <c r="R1154" t="str">
        <f>IF(B1154="","Missing","OK")</f>
        <v>OK</v>
      </c>
      <c r="S1154" t="str">
        <f>IF(E1154="","Missing","OK")</f>
        <v>OK</v>
      </c>
      <c r="T1154" t="str">
        <f t="shared" si="139"/>
        <v>OK</v>
      </c>
      <c r="U1154">
        <f>COUNTIF($A:$A,A1154)</f>
        <v>1</v>
      </c>
      <c r="V1154" t="str">
        <f t="shared" si="140"/>
        <v>OK</v>
      </c>
      <c r="W1154" t="str">
        <f>IF(I1154&gt;B1154,"ERROR","OK")</f>
        <v>OK</v>
      </c>
      <c r="X1154">
        <f>(B1154-I1154)/B1154</f>
        <v>0.91636086384068516</v>
      </c>
      <c r="Y1154" s="2">
        <f t="shared" si="141"/>
        <v>1.1102230246251565E-15</v>
      </c>
      <c r="Z1154" s="2" t="str">
        <f t="shared" si="142"/>
        <v>OK</v>
      </c>
      <c r="AA1154" t="str">
        <f t="shared" si="143"/>
        <v>Unique</v>
      </c>
    </row>
    <row r="1155" spans="1:27" x14ac:dyDescent="0.3">
      <c r="A1155">
        <v>1154</v>
      </c>
      <c r="B1155">
        <v>1664251.8933636299</v>
      </c>
      <c r="C1155">
        <v>0.66493928574952199</v>
      </c>
      <c r="D1155">
        <v>-7.1707113929528402E-2</v>
      </c>
      <c r="E1155">
        <v>0.26651407405394101</v>
      </c>
      <c r="F1155">
        <v>1</v>
      </c>
      <c r="G1155" t="s">
        <v>11</v>
      </c>
      <c r="H1155">
        <v>0</v>
      </c>
      <c r="I1155">
        <v>443546.55235232698</v>
      </c>
      <c r="J1155">
        <v>0.73348592594605799</v>
      </c>
      <c r="K1155" t="str">
        <f t="shared" ref="K1155:K1218" si="144">IF(OR(J1155&lt;0,J1155&gt;1),"Error","OK")</f>
        <v>OK</v>
      </c>
      <c r="L1155" t="str">
        <f t="shared" ref="L1155:L1218" si="145">IF(I1155&gt;B1155,"Error","OK")</f>
        <v>OK</v>
      </c>
      <c r="M1155" t="str">
        <f>IF(OR(B1155&lt;$AE$20,B1155&gt;$AF$20),"Outlier","OK")</f>
        <v>OK</v>
      </c>
      <c r="N1155" t="str">
        <f>IF(OR(J1155&lt;$AE$21,J1155&gt;$AF$21),"Outlier","OK")</f>
        <v>OK</v>
      </c>
      <c r="O1155" t="str">
        <f>IF(OR(C1155&lt;0,C1155&gt;1),"Outlier","OK")</f>
        <v>OK</v>
      </c>
      <c r="P1155" t="str">
        <f>IF(OR(D1155&lt;0,D1155&gt;1),"Outlier","OK")</f>
        <v>Outlier</v>
      </c>
      <c r="Q1155" t="str">
        <f t="shared" ref="Q1155:Q1218" si="146">IF(J1155&lt;=0.2,"0-20%",
 IF(J1155&lt;=0.4,"20-40%",
 IF(J1155&lt;=0.6,"40-60%",
 IF(J1155&lt;=0.8,"60-80%","80-100%"))))</f>
        <v>60-80%</v>
      </c>
      <c r="R1155" t="str">
        <f>IF(B1155="","Missing","OK")</f>
        <v>OK</v>
      </c>
      <c r="S1155" t="str">
        <f>IF(E1155="","Missing","OK")</f>
        <v>OK</v>
      </c>
      <c r="T1155" t="str">
        <f t="shared" ref="T1155:T1218" si="147">IF(J1155="","Missing","OK")</f>
        <v>OK</v>
      </c>
      <c r="U1155">
        <f>COUNTIF($A:$A,A1155)</f>
        <v>1</v>
      </c>
      <c r="V1155" t="str">
        <f t="shared" ref="V1155:V1218" si="148">IF(OR(J1155&lt;0,J1155&gt;1),"ERROR","OK")</f>
        <v>OK</v>
      </c>
      <c r="W1155" t="str">
        <f>IF(I1155&gt;B1155,"ERROR","OK")</f>
        <v>OK</v>
      </c>
      <c r="X1155">
        <f>(B1155-I1155)/B1155</f>
        <v>0.73348592594605844</v>
      </c>
      <c r="Y1155" s="2">
        <f t="shared" ref="Y1155:Y1218" si="149">ABS(J1155-X1155)</f>
        <v>4.4408920985006262E-16</v>
      </c>
      <c r="Z1155" s="2" t="str">
        <f t="shared" ref="Z1155:Z1218" si="150">IF(OR(B1155="",I1155="",J1155=""),"Missing","OK")</f>
        <v>OK</v>
      </c>
      <c r="AA1155" t="str">
        <f t="shared" ref="AA1155:AA1218" si="151">IF(COUNTIF($A:$A,A1155)&gt;1,"Duplicate","Unique")</f>
        <v>Unique</v>
      </c>
    </row>
    <row r="1156" spans="1:27" x14ac:dyDescent="0.3">
      <c r="A1156">
        <v>1155</v>
      </c>
      <c r="B1156">
        <v>322009.284842339</v>
      </c>
      <c r="C1156">
        <v>0.48908070249795199</v>
      </c>
      <c r="D1156">
        <v>-0.17734230072264801</v>
      </c>
      <c r="E1156">
        <v>0.268237913540812</v>
      </c>
      <c r="F1156">
        <v>1</v>
      </c>
      <c r="G1156" t="s">
        <v>10</v>
      </c>
      <c r="H1156">
        <v>1</v>
      </c>
      <c r="I1156">
        <v>86375.098706878402</v>
      </c>
      <c r="J1156">
        <v>0.73176208645918694</v>
      </c>
      <c r="K1156" t="str">
        <f t="shared" si="144"/>
        <v>OK</v>
      </c>
      <c r="L1156" t="str">
        <f t="shared" si="145"/>
        <v>OK</v>
      </c>
      <c r="M1156" t="str">
        <f>IF(OR(B1156&lt;$AE$20,B1156&gt;$AF$20),"Outlier","OK")</f>
        <v>OK</v>
      </c>
      <c r="N1156" t="str">
        <f>IF(OR(J1156&lt;$AE$21,J1156&gt;$AF$21),"Outlier","OK")</f>
        <v>OK</v>
      </c>
      <c r="O1156" t="str">
        <f>IF(OR(C1156&lt;0,C1156&gt;1),"Outlier","OK")</f>
        <v>OK</v>
      </c>
      <c r="P1156" t="str">
        <f>IF(OR(D1156&lt;0,D1156&gt;1),"Outlier","OK")</f>
        <v>Outlier</v>
      </c>
      <c r="Q1156" t="str">
        <f t="shared" si="146"/>
        <v>60-80%</v>
      </c>
      <c r="R1156" t="str">
        <f>IF(B1156="","Missing","OK")</f>
        <v>OK</v>
      </c>
      <c r="S1156" t="str">
        <f>IF(E1156="","Missing","OK")</f>
        <v>OK</v>
      </c>
      <c r="T1156" t="str">
        <f t="shared" si="147"/>
        <v>OK</v>
      </c>
      <c r="U1156">
        <f>COUNTIF($A:$A,A1156)</f>
        <v>1</v>
      </c>
      <c r="V1156" t="str">
        <f t="shared" si="148"/>
        <v>OK</v>
      </c>
      <c r="W1156" t="str">
        <f>IF(I1156&gt;B1156,"ERROR","OK")</f>
        <v>OK</v>
      </c>
      <c r="X1156">
        <f>(B1156-I1156)/B1156</f>
        <v>0.73176208645918683</v>
      </c>
      <c r="Y1156" s="2">
        <f t="shared" si="149"/>
        <v>1.1102230246251565E-16</v>
      </c>
      <c r="Z1156" s="2" t="str">
        <f t="shared" si="150"/>
        <v>OK</v>
      </c>
      <c r="AA1156" t="str">
        <f t="shared" si="151"/>
        <v>Unique</v>
      </c>
    </row>
    <row r="1157" spans="1:27" x14ac:dyDescent="0.3">
      <c r="A1157">
        <v>1156</v>
      </c>
      <c r="B1157">
        <v>1882105.6790012999</v>
      </c>
      <c r="C1157">
        <v>0.44182079086934001</v>
      </c>
      <c r="D1157">
        <v>0.129751370204816</v>
      </c>
      <c r="E1157">
        <v>0.10412909031930501</v>
      </c>
      <c r="F1157">
        <v>1</v>
      </c>
      <c r="G1157" t="s">
        <v>13</v>
      </c>
      <c r="H1157">
        <v>1</v>
      </c>
      <c r="I1157">
        <v>195981.95223920501</v>
      </c>
      <c r="J1157">
        <v>0.89587090968069405</v>
      </c>
      <c r="K1157" t="str">
        <f t="shared" si="144"/>
        <v>OK</v>
      </c>
      <c r="L1157" t="str">
        <f t="shared" si="145"/>
        <v>OK</v>
      </c>
      <c r="M1157" t="str">
        <f>IF(OR(B1157&lt;$AE$20,B1157&gt;$AF$20),"Outlier","OK")</f>
        <v>OK</v>
      </c>
      <c r="N1157" t="str">
        <f>IF(OR(J1157&lt;$AE$21,J1157&gt;$AF$21),"Outlier","OK")</f>
        <v>OK</v>
      </c>
      <c r="O1157" t="str">
        <f>IF(OR(C1157&lt;0,C1157&gt;1),"Outlier","OK")</f>
        <v>OK</v>
      </c>
      <c r="P1157" t="str">
        <f>IF(OR(D1157&lt;0,D1157&gt;1),"Outlier","OK")</f>
        <v>OK</v>
      </c>
      <c r="Q1157" t="str">
        <f t="shared" si="146"/>
        <v>80-100%</v>
      </c>
      <c r="R1157" t="str">
        <f>IF(B1157="","Missing","OK")</f>
        <v>OK</v>
      </c>
      <c r="S1157" t="str">
        <f>IF(E1157="","Missing","OK")</f>
        <v>OK</v>
      </c>
      <c r="T1157" t="str">
        <f t="shared" si="147"/>
        <v>OK</v>
      </c>
      <c r="U1157">
        <f>COUNTIF($A:$A,A1157)</f>
        <v>1</v>
      </c>
      <c r="V1157" t="str">
        <f t="shared" si="148"/>
        <v>OK</v>
      </c>
      <c r="W1157" t="str">
        <f>IF(I1157&gt;B1157,"ERROR","OK")</f>
        <v>OK</v>
      </c>
      <c r="X1157">
        <f>(B1157-I1157)/B1157</f>
        <v>0.89587090968069416</v>
      </c>
      <c r="Y1157" s="2">
        <f t="shared" si="149"/>
        <v>1.1102230246251565E-16</v>
      </c>
      <c r="Z1157" s="2" t="str">
        <f t="shared" si="150"/>
        <v>OK</v>
      </c>
      <c r="AA1157" t="str">
        <f t="shared" si="151"/>
        <v>Unique</v>
      </c>
    </row>
    <row r="1158" spans="1:27" x14ac:dyDescent="0.3">
      <c r="A1158">
        <v>1157</v>
      </c>
      <c r="B1158">
        <v>227187.25056548699</v>
      </c>
      <c r="C1158">
        <v>0.61355931855743395</v>
      </c>
      <c r="D1158">
        <v>-0.19014806297464501</v>
      </c>
      <c r="E1158">
        <v>0.32360697618731998</v>
      </c>
      <c r="F1158">
        <v>1</v>
      </c>
      <c r="G1158" t="s">
        <v>12</v>
      </c>
      <c r="H1158">
        <v>1</v>
      </c>
      <c r="I1158">
        <v>73519.379183808604</v>
      </c>
      <c r="J1158">
        <v>0.67639302381267896</v>
      </c>
      <c r="K1158" t="str">
        <f t="shared" si="144"/>
        <v>OK</v>
      </c>
      <c r="L1158" t="str">
        <f t="shared" si="145"/>
        <v>OK</v>
      </c>
      <c r="M1158" t="str">
        <f>IF(OR(B1158&lt;$AE$20,B1158&gt;$AF$20),"Outlier","OK")</f>
        <v>OK</v>
      </c>
      <c r="N1158" t="str">
        <f>IF(OR(J1158&lt;$AE$21,J1158&gt;$AF$21),"Outlier","OK")</f>
        <v>OK</v>
      </c>
      <c r="O1158" t="str">
        <f>IF(OR(C1158&lt;0,C1158&gt;1),"Outlier","OK")</f>
        <v>OK</v>
      </c>
      <c r="P1158" t="str">
        <f>IF(OR(D1158&lt;0,D1158&gt;1),"Outlier","OK")</f>
        <v>Outlier</v>
      </c>
      <c r="Q1158" t="str">
        <f t="shared" si="146"/>
        <v>60-80%</v>
      </c>
      <c r="R1158" t="str">
        <f>IF(B1158="","Missing","OK")</f>
        <v>OK</v>
      </c>
      <c r="S1158" t="str">
        <f>IF(E1158="","Missing","OK")</f>
        <v>OK</v>
      </c>
      <c r="T1158" t="str">
        <f t="shared" si="147"/>
        <v>OK</v>
      </c>
      <c r="U1158">
        <f>COUNTIF($A:$A,A1158)</f>
        <v>1</v>
      </c>
      <c r="V1158" t="str">
        <f t="shared" si="148"/>
        <v>OK</v>
      </c>
      <c r="W1158" t="str">
        <f>IF(I1158&gt;B1158,"ERROR","OK")</f>
        <v>OK</v>
      </c>
      <c r="X1158">
        <f>(B1158-I1158)/B1158</f>
        <v>0.67639302381267841</v>
      </c>
      <c r="Y1158" s="2">
        <f t="shared" si="149"/>
        <v>5.5511151231257827E-16</v>
      </c>
      <c r="Z1158" s="2" t="str">
        <f t="shared" si="150"/>
        <v>OK</v>
      </c>
      <c r="AA1158" t="str">
        <f t="shared" si="151"/>
        <v>Unique</v>
      </c>
    </row>
    <row r="1159" spans="1:27" x14ac:dyDescent="0.3">
      <c r="A1159">
        <v>1158</v>
      </c>
      <c r="B1159">
        <v>1684058.0433968001</v>
      </c>
      <c r="C1159">
        <v>0.12502714749949401</v>
      </c>
      <c r="D1159">
        <v>0.101657390097826</v>
      </c>
      <c r="E1159">
        <v>0.66438632001322195</v>
      </c>
      <c r="F1159">
        <v>1</v>
      </c>
      <c r="G1159" t="s">
        <v>11</v>
      </c>
      <c r="H1159">
        <v>0</v>
      </c>
      <c r="I1159">
        <v>1118865.1261410599</v>
      </c>
      <c r="J1159">
        <v>0.33561367998677699</v>
      </c>
      <c r="K1159" t="str">
        <f t="shared" si="144"/>
        <v>OK</v>
      </c>
      <c r="L1159" t="str">
        <f t="shared" si="145"/>
        <v>OK</v>
      </c>
      <c r="M1159" t="str">
        <f>IF(OR(B1159&lt;$AE$20,B1159&gt;$AF$20),"Outlier","OK")</f>
        <v>OK</v>
      </c>
      <c r="N1159" t="str">
        <f>IF(OR(J1159&lt;$AE$21,J1159&gt;$AF$21),"Outlier","OK")</f>
        <v>OK</v>
      </c>
      <c r="O1159" t="str">
        <f>IF(OR(C1159&lt;0,C1159&gt;1),"Outlier","OK")</f>
        <v>OK</v>
      </c>
      <c r="P1159" t="str">
        <f>IF(OR(D1159&lt;0,D1159&gt;1),"Outlier","OK")</f>
        <v>OK</v>
      </c>
      <c r="Q1159" t="str">
        <f t="shared" si="146"/>
        <v>20-40%</v>
      </c>
      <c r="R1159" t="str">
        <f>IF(B1159="","Missing","OK")</f>
        <v>OK</v>
      </c>
      <c r="S1159" t="str">
        <f>IF(E1159="","Missing","OK")</f>
        <v>OK</v>
      </c>
      <c r="T1159" t="str">
        <f t="shared" si="147"/>
        <v>OK</v>
      </c>
      <c r="U1159">
        <f>COUNTIF($A:$A,A1159)</f>
        <v>1</v>
      </c>
      <c r="V1159" t="str">
        <f t="shared" si="148"/>
        <v>OK</v>
      </c>
      <c r="W1159" t="str">
        <f>IF(I1159&gt;B1159,"ERROR","OK")</f>
        <v>OK</v>
      </c>
      <c r="X1159">
        <f>(B1159-I1159)/B1159</f>
        <v>0.33561367998678215</v>
      </c>
      <c r="Y1159" s="2">
        <f t="shared" si="149"/>
        <v>5.1625370645069779E-15</v>
      </c>
      <c r="Z1159" s="2" t="str">
        <f t="shared" si="150"/>
        <v>OK</v>
      </c>
      <c r="AA1159" t="str">
        <f t="shared" si="151"/>
        <v>Unique</v>
      </c>
    </row>
    <row r="1160" spans="1:27" x14ac:dyDescent="0.3">
      <c r="A1160">
        <v>1159</v>
      </c>
      <c r="B1160">
        <v>875888.45929949405</v>
      </c>
      <c r="C1160">
        <v>0.108966127395222</v>
      </c>
      <c r="D1160">
        <v>3.96765813155057E-2</v>
      </c>
      <c r="E1160">
        <v>0.10907005437595101</v>
      </c>
      <c r="F1160">
        <v>1</v>
      </c>
      <c r="G1160" t="s">
        <v>12</v>
      </c>
      <c r="H1160">
        <v>0</v>
      </c>
      <c r="I1160">
        <v>95533.201883064103</v>
      </c>
      <c r="J1160">
        <v>0.89092994562404804</v>
      </c>
      <c r="K1160" t="str">
        <f t="shared" si="144"/>
        <v>OK</v>
      </c>
      <c r="L1160" t="str">
        <f t="shared" si="145"/>
        <v>OK</v>
      </c>
      <c r="M1160" t="str">
        <f>IF(OR(B1160&lt;$AE$20,B1160&gt;$AF$20),"Outlier","OK")</f>
        <v>OK</v>
      </c>
      <c r="N1160" t="str">
        <f>IF(OR(J1160&lt;$AE$21,J1160&gt;$AF$21),"Outlier","OK")</f>
        <v>OK</v>
      </c>
      <c r="O1160" t="str">
        <f>IF(OR(C1160&lt;0,C1160&gt;1),"Outlier","OK")</f>
        <v>OK</v>
      </c>
      <c r="P1160" t="str">
        <f>IF(OR(D1160&lt;0,D1160&gt;1),"Outlier","OK")</f>
        <v>OK</v>
      </c>
      <c r="Q1160" t="str">
        <f t="shared" si="146"/>
        <v>80-100%</v>
      </c>
      <c r="R1160" t="str">
        <f>IF(B1160="","Missing","OK")</f>
        <v>OK</v>
      </c>
      <c r="S1160" t="str">
        <f>IF(E1160="","Missing","OK")</f>
        <v>OK</v>
      </c>
      <c r="T1160" t="str">
        <f t="shared" si="147"/>
        <v>OK</v>
      </c>
      <c r="U1160">
        <f>COUNTIF($A:$A,A1160)</f>
        <v>1</v>
      </c>
      <c r="V1160" t="str">
        <f t="shared" si="148"/>
        <v>OK</v>
      </c>
      <c r="W1160" t="str">
        <f>IF(I1160&gt;B1160,"ERROR","OK")</f>
        <v>OK</v>
      </c>
      <c r="X1160">
        <f>(B1160-I1160)/B1160</f>
        <v>0.89092994562404859</v>
      </c>
      <c r="Y1160" s="2">
        <f t="shared" si="149"/>
        <v>5.5511151231257827E-16</v>
      </c>
      <c r="Z1160" s="2" t="str">
        <f t="shared" si="150"/>
        <v>OK</v>
      </c>
      <c r="AA1160" t="str">
        <f t="shared" si="151"/>
        <v>Unique</v>
      </c>
    </row>
    <row r="1161" spans="1:27" x14ac:dyDescent="0.3">
      <c r="A1161">
        <v>1160</v>
      </c>
      <c r="B1161">
        <v>1751833.9274107199</v>
      </c>
      <c r="C1161">
        <v>0.32917167898322303</v>
      </c>
      <c r="D1161">
        <v>4.2580630696628097E-2</v>
      </c>
      <c r="E1161">
        <v>7.2070530061209406E-2</v>
      </c>
      <c r="F1161">
        <v>1</v>
      </c>
      <c r="G1161" t="s">
        <v>13</v>
      </c>
      <c r="H1161">
        <v>1</v>
      </c>
      <c r="I1161">
        <v>126255.599727701</v>
      </c>
      <c r="J1161">
        <v>0.92792946993879</v>
      </c>
      <c r="K1161" t="str">
        <f t="shared" si="144"/>
        <v>OK</v>
      </c>
      <c r="L1161" t="str">
        <f t="shared" si="145"/>
        <v>OK</v>
      </c>
      <c r="M1161" t="str">
        <f>IF(OR(B1161&lt;$AE$20,B1161&gt;$AF$20),"Outlier","OK")</f>
        <v>OK</v>
      </c>
      <c r="N1161" t="str">
        <f>IF(OR(J1161&lt;$AE$21,J1161&gt;$AF$21),"Outlier","OK")</f>
        <v>OK</v>
      </c>
      <c r="O1161" t="str">
        <f>IF(OR(C1161&lt;0,C1161&gt;1),"Outlier","OK")</f>
        <v>OK</v>
      </c>
      <c r="P1161" t="str">
        <f>IF(OR(D1161&lt;0,D1161&gt;1),"Outlier","OK")</f>
        <v>OK</v>
      </c>
      <c r="Q1161" t="str">
        <f t="shared" si="146"/>
        <v>80-100%</v>
      </c>
      <c r="R1161" t="str">
        <f>IF(B1161="","Missing","OK")</f>
        <v>OK</v>
      </c>
      <c r="S1161" t="str">
        <f>IF(E1161="","Missing","OK")</f>
        <v>OK</v>
      </c>
      <c r="T1161" t="str">
        <f t="shared" si="147"/>
        <v>OK</v>
      </c>
      <c r="U1161">
        <f>COUNTIF($A:$A,A1161)</f>
        <v>1</v>
      </c>
      <c r="V1161" t="str">
        <f t="shared" si="148"/>
        <v>OK</v>
      </c>
      <c r="W1161" t="str">
        <f>IF(I1161&gt;B1161,"ERROR","OK")</f>
        <v>OK</v>
      </c>
      <c r="X1161">
        <f>(B1161-I1161)/B1161</f>
        <v>0.92792946993879055</v>
      </c>
      <c r="Y1161" s="2">
        <f t="shared" si="149"/>
        <v>5.5511151231257827E-16</v>
      </c>
      <c r="Z1161" s="2" t="str">
        <f t="shared" si="150"/>
        <v>OK</v>
      </c>
      <c r="AA1161" t="str">
        <f t="shared" si="151"/>
        <v>Unique</v>
      </c>
    </row>
    <row r="1162" spans="1:27" x14ac:dyDescent="0.3">
      <c r="A1162">
        <v>1161</v>
      </c>
      <c r="B1162">
        <v>1548719.77147574</v>
      </c>
      <c r="C1162">
        <v>0.76587750159994905</v>
      </c>
      <c r="D1162">
        <v>-0.15825827673513701</v>
      </c>
      <c r="E1162">
        <v>0.24330731272745301</v>
      </c>
      <c r="F1162">
        <v>1</v>
      </c>
      <c r="G1162" t="s">
        <v>12</v>
      </c>
      <c r="H1162">
        <v>0</v>
      </c>
      <c r="I1162">
        <v>376814.84576563898</v>
      </c>
      <c r="J1162">
        <v>0.75669268727254602</v>
      </c>
      <c r="K1162" t="str">
        <f t="shared" si="144"/>
        <v>OK</v>
      </c>
      <c r="L1162" t="str">
        <f t="shared" si="145"/>
        <v>OK</v>
      </c>
      <c r="M1162" t="str">
        <f>IF(OR(B1162&lt;$AE$20,B1162&gt;$AF$20),"Outlier","OK")</f>
        <v>OK</v>
      </c>
      <c r="N1162" t="str">
        <f>IF(OR(J1162&lt;$AE$21,J1162&gt;$AF$21),"Outlier","OK")</f>
        <v>OK</v>
      </c>
      <c r="O1162" t="str">
        <f>IF(OR(C1162&lt;0,C1162&gt;1),"Outlier","OK")</f>
        <v>OK</v>
      </c>
      <c r="P1162" t="str">
        <f>IF(OR(D1162&lt;0,D1162&gt;1),"Outlier","OK")</f>
        <v>Outlier</v>
      </c>
      <c r="Q1162" t="str">
        <f t="shared" si="146"/>
        <v>60-80%</v>
      </c>
      <c r="R1162" t="str">
        <f>IF(B1162="","Missing","OK")</f>
        <v>OK</v>
      </c>
      <c r="S1162" t="str">
        <f>IF(E1162="","Missing","OK")</f>
        <v>OK</v>
      </c>
      <c r="T1162" t="str">
        <f t="shared" si="147"/>
        <v>OK</v>
      </c>
      <c r="U1162">
        <f>COUNTIF($A:$A,A1162)</f>
        <v>1</v>
      </c>
      <c r="V1162" t="str">
        <f t="shared" si="148"/>
        <v>OK</v>
      </c>
      <c r="W1162" t="str">
        <f>IF(I1162&gt;B1162,"ERROR","OK")</f>
        <v>OK</v>
      </c>
      <c r="X1162">
        <f>(B1162-I1162)/B1162</f>
        <v>0.75669268727254602</v>
      </c>
      <c r="Y1162" s="2">
        <f t="shared" si="149"/>
        <v>0</v>
      </c>
      <c r="Z1162" s="2" t="str">
        <f t="shared" si="150"/>
        <v>OK</v>
      </c>
      <c r="AA1162" t="str">
        <f t="shared" si="151"/>
        <v>Unique</v>
      </c>
    </row>
    <row r="1163" spans="1:27" x14ac:dyDescent="0.3">
      <c r="A1163">
        <v>1162</v>
      </c>
      <c r="B1163">
        <v>1713120.4506023901</v>
      </c>
      <c r="C1163">
        <v>0.54372664704713702</v>
      </c>
      <c r="D1163">
        <v>-0.170535198460499</v>
      </c>
      <c r="E1163">
        <v>0.240586071827987</v>
      </c>
      <c r="F1163">
        <v>1</v>
      </c>
      <c r="G1163" t="s">
        <v>13</v>
      </c>
      <c r="H1163">
        <v>0</v>
      </c>
      <c r="I1163">
        <v>412152.919778621</v>
      </c>
      <c r="J1163">
        <v>0.75941392817201203</v>
      </c>
      <c r="K1163" t="str">
        <f t="shared" si="144"/>
        <v>OK</v>
      </c>
      <c r="L1163" t="str">
        <f t="shared" si="145"/>
        <v>OK</v>
      </c>
      <c r="M1163" t="str">
        <f>IF(OR(B1163&lt;$AE$20,B1163&gt;$AF$20),"Outlier","OK")</f>
        <v>OK</v>
      </c>
      <c r="N1163" t="str">
        <f>IF(OR(J1163&lt;$AE$21,J1163&gt;$AF$21),"Outlier","OK")</f>
        <v>OK</v>
      </c>
      <c r="O1163" t="str">
        <f>IF(OR(C1163&lt;0,C1163&gt;1),"Outlier","OK")</f>
        <v>OK</v>
      </c>
      <c r="P1163" t="str">
        <f>IF(OR(D1163&lt;0,D1163&gt;1),"Outlier","OK")</f>
        <v>Outlier</v>
      </c>
      <c r="Q1163" t="str">
        <f t="shared" si="146"/>
        <v>60-80%</v>
      </c>
      <c r="R1163" t="str">
        <f>IF(B1163="","Missing","OK")</f>
        <v>OK</v>
      </c>
      <c r="S1163" t="str">
        <f>IF(E1163="","Missing","OK")</f>
        <v>OK</v>
      </c>
      <c r="T1163" t="str">
        <f t="shared" si="147"/>
        <v>OK</v>
      </c>
      <c r="U1163">
        <f>COUNTIF($A:$A,A1163)</f>
        <v>1</v>
      </c>
      <c r="V1163" t="str">
        <f t="shared" si="148"/>
        <v>OK</v>
      </c>
      <c r="W1163" t="str">
        <f>IF(I1163&gt;B1163,"ERROR","OK")</f>
        <v>OK</v>
      </c>
      <c r="X1163">
        <f>(B1163-I1163)/B1163</f>
        <v>0.75941392817201248</v>
      </c>
      <c r="Y1163" s="2">
        <f t="shared" si="149"/>
        <v>4.4408920985006262E-16</v>
      </c>
      <c r="Z1163" s="2" t="str">
        <f t="shared" si="150"/>
        <v>OK</v>
      </c>
      <c r="AA1163" t="str">
        <f t="shared" si="151"/>
        <v>Unique</v>
      </c>
    </row>
    <row r="1164" spans="1:27" x14ac:dyDescent="0.3">
      <c r="A1164">
        <v>1163</v>
      </c>
      <c r="B1164">
        <v>966972.080199969</v>
      </c>
      <c r="C1164">
        <v>0.55816419858995003</v>
      </c>
      <c r="D1164">
        <v>1.21594407096445E-2</v>
      </c>
      <c r="E1164">
        <v>0.36583084374311298</v>
      </c>
      <c r="F1164">
        <v>1</v>
      </c>
      <c r="G1164" t="s">
        <v>10</v>
      </c>
      <c r="H1164">
        <v>0</v>
      </c>
      <c r="I1164">
        <v>353748.211975588</v>
      </c>
      <c r="J1164">
        <v>0.63416915625688697</v>
      </c>
      <c r="K1164" t="str">
        <f t="shared" si="144"/>
        <v>OK</v>
      </c>
      <c r="L1164" t="str">
        <f t="shared" si="145"/>
        <v>OK</v>
      </c>
      <c r="M1164" t="str">
        <f>IF(OR(B1164&lt;$AE$20,B1164&gt;$AF$20),"Outlier","OK")</f>
        <v>OK</v>
      </c>
      <c r="N1164" t="str">
        <f>IF(OR(J1164&lt;$AE$21,J1164&gt;$AF$21),"Outlier","OK")</f>
        <v>OK</v>
      </c>
      <c r="O1164" t="str">
        <f>IF(OR(C1164&lt;0,C1164&gt;1),"Outlier","OK")</f>
        <v>OK</v>
      </c>
      <c r="P1164" t="str">
        <f>IF(OR(D1164&lt;0,D1164&gt;1),"Outlier","OK")</f>
        <v>OK</v>
      </c>
      <c r="Q1164" t="str">
        <f t="shared" si="146"/>
        <v>60-80%</v>
      </c>
      <c r="R1164" t="str">
        <f>IF(B1164="","Missing","OK")</f>
        <v>OK</v>
      </c>
      <c r="S1164" t="str">
        <f>IF(E1164="","Missing","OK")</f>
        <v>OK</v>
      </c>
      <c r="T1164" t="str">
        <f t="shared" si="147"/>
        <v>OK</v>
      </c>
      <c r="U1164">
        <f>COUNTIF($A:$A,A1164)</f>
        <v>1</v>
      </c>
      <c r="V1164" t="str">
        <f t="shared" si="148"/>
        <v>OK</v>
      </c>
      <c r="W1164" t="str">
        <f>IF(I1164&gt;B1164,"ERROR","OK")</f>
        <v>OK</v>
      </c>
      <c r="X1164">
        <f>(B1164-I1164)/B1164</f>
        <v>0.63416915625688675</v>
      </c>
      <c r="Y1164" s="2">
        <f t="shared" si="149"/>
        <v>2.2204460492503131E-16</v>
      </c>
      <c r="Z1164" s="2" t="str">
        <f t="shared" si="150"/>
        <v>OK</v>
      </c>
      <c r="AA1164" t="str">
        <f t="shared" si="151"/>
        <v>Unique</v>
      </c>
    </row>
    <row r="1165" spans="1:27" x14ac:dyDescent="0.3">
      <c r="A1165">
        <v>1164</v>
      </c>
      <c r="B1165">
        <v>1441848.21762096</v>
      </c>
      <c r="C1165">
        <v>0.57885956109263503</v>
      </c>
      <c r="D1165">
        <v>0.16779178416646601</v>
      </c>
      <c r="E1165">
        <v>0.52704445973186698</v>
      </c>
      <c r="F1165">
        <v>1</v>
      </c>
      <c r="G1165" t="s">
        <v>13</v>
      </c>
      <c r="H1165">
        <v>0</v>
      </c>
      <c r="I1165">
        <v>759918.11487139598</v>
      </c>
      <c r="J1165">
        <v>0.47295554026813202</v>
      </c>
      <c r="K1165" t="str">
        <f t="shared" si="144"/>
        <v>OK</v>
      </c>
      <c r="L1165" t="str">
        <f t="shared" si="145"/>
        <v>OK</v>
      </c>
      <c r="M1165" t="str">
        <f>IF(OR(B1165&lt;$AE$20,B1165&gt;$AF$20),"Outlier","OK")</f>
        <v>OK</v>
      </c>
      <c r="N1165" t="str">
        <f>IF(OR(J1165&lt;$AE$21,J1165&gt;$AF$21),"Outlier","OK")</f>
        <v>OK</v>
      </c>
      <c r="O1165" t="str">
        <f>IF(OR(C1165&lt;0,C1165&gt;1),"Outlier","OK")</f>
        <v>OK</v>
      </c>
      <c r="P1165" t="str">
        <f>IF(OR(D1165&lt;0,D1165&gt;1),"Outlier","OK")</f>
        <v>OK</v>
      </c>
      <c r="Q1165" t="str">
        <f t="shared" si="146"/>
        <v>40-60%</v>
      </c>
      <c r="R1165" t="str">
        <f>IF(B1165="","Missing","OK")</f>
        <v>OK</v>
      </c>
      <c r="S1165" t="str">
        <f>IF(E1165="","Missing","OK")</f>
        <v>OK</v>
      </c>
      <c r="T1165" t="str">
        <f t="shared" si="147"/>
        <v>OK</v>
      </c>
      <c r="U1165">
        <f>COUNTIF($A:$A,A1165)</f>
        <v>1</v>
      </c>
      <c r="V1165" t="str">
        <f t="shared" si="148"/>
        <v>OK</v>
      </c>
      <c r="W1165" t="str">
        <f>IF(I1165&gt;B1165,"ERROR","OK")</f>
        <v>OK</v>
      </c>
      <c r="X1165">
        <f>(B1165-I1165)/B1165</f>
        <v>0.4729555402681318</v>
      </c>
      <c r="Y1165" s="2">
        <f t="shared" si="149"/>
        <v>2.2204460492503131E-16</v>
      </c>
      <c r="Z1165" s="2" t="str">
        <f t="shared" si="150"/>
        <v>OK</v>
      </c>
      <c r="AA1165" t="str">
        <f t="shared" si="151"/>
        <v>Unique</v>
      </c>
    </row>
    <row r="1166" spans="1:27" x14ac:dyDescent="0.3">
      <c r="A1166">
        <v>1165</v>
      </c>
      <c r="B1166">
        <v>671401.80574633903</v>
      </c>
      <c r="C1166">
        <v>0.37860452256274202</v>
      </c>
      <c r="D1166">
        <v>7.05249740312867E-2</v>
      </c>
      <c r="E1166">
        <v>0.43603243833173899</v>
      </c>
      <c r="F1166">
        <v>1</v>
      </c>
      <c r="G1166" t="s">
        <v>13</v>
      </c>
      <c r="H1166">
        <v>1</v>
      </c>
      <c r="I1166">
        <v>292752.96645990899</v>
      </c>
      <c r="J1166">
        <v>0.56396756166826001</v>
      </c>
      <c r="K1166" t="str">
        <f t="shared" si="144"/>
        <v>OK</v>
      </c>
      <c r="L1166" t="str">
        <f t="shared" si="145"/>
        <v>OK</v>
      </c>
      <c r="M1166" t="str">
        <f>IF(OR(B1166&lt;$AE$20,B1166&gt;$AF$20),"Outlier","OK")</f>
        <v>OK</v>
      </c>
      <c r="N1166" t="str">
        <f>IF(OR(J1166&lt;$AE$21,J1166&gt;$AF$21),"Outlier","OK")</f>
        <v>OK</v>
      </c>
      <c r="O1166" t="str">
        <f>IF(OR(C1166&lt;0,C1166&gt;1),"Outlier","OK")</f>
        <v>OK</v>
      </c>
      <c r="P1166" t="str">
        <f>IF(OR(D1166&lt;0,D1166&gt;1),"Outlier","OK")</f>
        <v>OK</v>
      </c>
      <c r="Q1166" t="str">
        <f t="shared" si="146"/>
        <v>40-60%</v>
      </c>
      <c r="R1166" t="str">
        <f>IF(B1166="","Missing","OK")</f>
        <v>OK</v>
      </c>
      <c r="S1166" t="str">
        <f>IF(E1166="","Missing","OK")</f>
        <v>OK</v>
      </c>
      <c r="T1166" t="str">
        <f t="shared" si="147"/>
        <v>OK</v>
      </c>
      <c r="U1166">
        <f>COUNTIF($A:$A,A1166)</f>
        <v>1</v>
      </c>
      <c r="V1166" t="str">
        <f t="shared" si="148"/>
        <v>OK</v>
      </c>
      <c r="W1166" t="str">
        <f>IF(I1166&gt;B1166,"ERROR","OK")</f>
        <v>OK</v>
      </c>
      <c r="X1166">
        <f>(B1166-I1166)/B1166</f>
        <v>0.56396756166826068</v>
      </c>
      <c r="Y1166" s="2">
        <f t="shared" si="149"/>
        <v>6.6613381477509392E-16</v>
      </c>
      <c r="Z1166" s="2" t="str">
        <f t="shared" si="150"/>
        <v>OK</v>
      </c>
      <c r="AA1166" t="str">
        <f t="shared" si="151"/>
        <v>Unique</v>
      </c>
    </row>
    <row r="1167" spans="1:27" x14ac:dyDescent="0.3">
      <c r="A1167">
        <v>1166</v>
      </c>
      <c r="B1167">
        <v>141987.872236164</v>
      </c>
      <c r="C1167">
        <v>0.142307037236866</v>
      </c>
      <c r="D1167">
        <v>0.17227009923771899</v>
      </c>
      <c r="E1167">
        <v>3.8817350044103603E-2</v>
      </c>
      <c r="F1167">
        <v>1</v>
      </c>
      <c r="G1167" t="s">
        <v>10</v>
      </c>
      <c r="H1167">
        <v>0</v>
      </c>
      <c r="I1167">
        <v>5511.59293860867</v>
      </c>
      <c r="J1167">
        <v>0.96118264995589597</v>
      </c>
      <c r="K1167" t="str">
        <f t="shared" si="144"/>
        <v>OK</v>
      </c>
      <c r="L1167" t="str">
        <f t="shared" si="145"/>
        <v>OK</v>
      </c>
      <c r="M1167" t="str">
        <f>IF(OR(B1167&lt;$AE$20,B1167&gt;$AF$20),"Outlier","OK")</f>
        <v>OK</v>
      </c>
      <c r="N1167" t="str">
        <f>IF(OR(J1167&lt;$AE$21,J1167&gt;$AF$21),"Outlier","OK")</f>
        <v>OK</v>
      </c>
      <c r="O1167" t="str">
        <f>IF(OR(C1167&lt;0,C1167&gt;1),"Outlier","OK")</f>
        <v>OK</v>
      </c>
      <c r="P1167" t="str">
        <f>IF(OR(D1167&lt;0,D1167&gt;1),"Outlier","OK")</f>
        <v>OK</v>
      </c>
      <c r="Q1167" t="str">
        <f t="shared" si="146"/>
        <v>80-100%</v>
      </c>
      <c r="R1167" t="str">
        <f>IF(B1167="","Missing","OK")</f>
        <v>OK</v>
      </c>
      <c r="S1167" t="str">
        <f>IF(E1167="","Missing","OK")</f>
        <v>OK</v>
      </c>
      <c r="T1167" t="str">
        <f t="shared" si="147"/>
        <v>OK</v>
      </c>
      <c r="U1167">
        <f>COUNTIF($A:$A,A1167)</f>
        <v>1</v>
      </c>
      <c r="V1167" t="str">
        <f t="shared" si="148"/>
        <v>OK</v>
      </c>
      <c r="W1167" t="str">
        <f>IF(I1167&gt;B1167,"ERROR","OK")</f>
        <v>OK</v>
      </c>
      <c r="X1167">
        <f>(B1167-I1167)/B1167</f>
        <v>0.9611826499558962</v>
      </c>
      <c r="Y1167" s="2">
        <f t="shared" si="149"/>
        <v>2.2204460492503131E-16</v>
      </c>
      <c r="Z1167" s="2" t="str">
        <f t="shared" si="150"/>
        <v>OK</v>
      </c>
      <c r="AA1167" t="str">
        <f t="shared" si="151"/>
        <v>Unique</v>
      </c>
    </row>
    <row r="1168" spans="1:27" x14ac:dyDescent="0.3">
      <c r="A1168">
        <v>1167</v>
      </c>
      <c r="B1168">
        <v>503180.21616539499</v>
      </c>
      <c r="C1168">
        <v>0.25012892095276401</v>
      </c>
      <c r="D1168">
        <v>0.104487428220932</v>
      </c>
      <c r="E1168">
        <v>0.120815033674114</v>
      </c>
      <c r="F1168">
        <v>1</v>
      </c>
      <c r="G1168" t="s">
        <v>10</v>
      </c>
      <c r="H1168">
        <v>0</v>
      </c>
      <c r="I1168">
        <v>60791.734760170599</v>
      </c>
      <c r="J1168">
        <v>0.87918496632588505</v>
      </c>
      <c r="K1168" t="str">
        <f t="shared" si="144"/>
        <v>OK</v>
      </c>
      <c r="L1168" t="str">
        <f t="shared" si="145"/>
        <v>OK</v>
      </c>
      <c r="M1168" t="str">
        <f>IF(OR(B1168&lt;$AE$20,B1168&gt;$AF$20),"Outlier","OK")</f>
        <v>OK</v>
      </c>
      <c r="N1168" t="str">
        <f>IF(OR(J1168&lt;$AE$21,J1168&gt;$AF$21),"Outlier","OK")</f>
        <v>OK</v>
      </c>
      <c r="O1168" t="str">
        <f>IF(OR(C1168&lt;0,C1168&gt;1),"Outlier","OK")</f>
        <v>OK</v>
      </c>
      <c r="P1168" t="str">
        <f>IF(OR(D1168&lt;0,D1168&gt;1),"Outlier","OK")</f>
        <v>OK</v>
      </c>
      <c r="Q1168" t="str">
        <f t="shared" si="146"/>
        <v>80-100%</v>
      </c>
      <c r="R1168" t="str">
        <f>IF(B1168="","Missing","OK")</f>
        <v>OK</v>
      </c>
      <c r="S1168" t="str">
        <f>IF(E1168="","Missing","OK")</f>
        <v>OK</v>
      </c>
      <c r="T1168" t="str">
        <f t="shared" si="147"/>
        <v>OK</v>
      </c>
      <c r="U1168">
        <f>COUNTIF($A:$A,A1168)</f>
        <v>1</v>
      </c>
      <c r="V1168" t="str">
        <f t="shared" si="148"/>
        <v>OK</v>
      </c>
      <c r="W1168" t="str">
        <f>IF(I1168&gt;B1168,"ERROR","OK")</f>
        <v>OK</v>
      </c>
      <c r="X1168">
        <f>(B1168-I1168)/B1168</f>
        <v>0.87918496632588516</v>
      </c>
      <c r="Y1168" s="2">
        <f t="shared" si="149"/>
        <v>1.1102230246251565E-16</v>
      </c>
      <c r="Z1168" s="2" t="str">
        <f t="shared" si="150"/>
        <v>OK</v>
      </c>
      <c r="AA1168" t="str">
        <f t="shared" si="151"/>
        <v>Unique</v>
      </c>
    </row>
    <row r="1169" spans="1:27" x14ac:dyDescent="0.3">
      <c r="A1169">
        <v>1168</v>
      </c>
      <c r="B1169">
        <v>52655.196255244598</v>
      </c>
      <c r="C1169">
        <v>0.686056672249866</v>
      </c>
      <c r="D1169">
        <v>0.181986784269561</v>
      </c>
      <c r="E1169">
        <v>0.37614100985965498</v>
      </c>
      <c r="F1169">
        <v>1</v>
      </c>
      <c r="G1169" t="s">
        <v>11</v>
      </c>
      <c r="H1169">
        <v>0</v>
      </c>
      <c r="I1169">
        <v>19805.778693806002</v>
      </c>
      <c r="J1169">
        <v>0.62385899014034396</v>
      </c>
      <c r="K1169" t="str">
        <f t="shared" si="144"/>
        <v>OK</v>
      </c>
      <c r="L1169" t="str">
        <f t="shared" si="145"/>
        <v>OK</v>
      </c>
      <c r="M1169" t="str">
        <f>IF(OR(B1169&lt;$AE$20,B1169&gt;$AF$20),"Outlier","OK")</f>
        <v>Outlier</v>
      </c>
      <c r="N1169" t="str">
        <f>IF(OR(J1169&lt;$AE$21,J1169&gt;$AF$21),"Outlier","OK")</f>
        <v>OK</v>
      </c>
      <c r="O1169" t="str">
        <f>IF(OR(C1169&lt;0,C1169&gt;1),"Outlier","OK")</f>
        <v>OK</v>
      </c>
      <c r="P1169" t="str">
        <f>IF(OR(D1169&lt;0,D1169&gt;1),"Outlier","OK")</f>
        <v>OK</v>
      </c>
      <c r="Q1169" t="str">
        <f t="shared" si="146"/>
        <v>60-80%</v>
      </c>
      <c r="R1169" t="str">
        <f>IF(B1169="","Missing","OK")</f>
        <v>OK</v>
      </c>
      <c r="S1169" t="str">
        <f>IF(E1169="","Missing","OK")</f>
        <v>OK</v>
      </c>
      <c r="T1169" t="str">
        <f t="shared" si="147"/>
        <v>OK</v>
      </c>
      <c r="U1169">
        <f>COUNTIF($A:$A,A1169)</f>
        <v>1</v>
      </c>
      <c r="V1169" t="str">
        <f t="shared" si="148"/>
        <v>OK</v>
      </c>
      <c r="W1169" t="str">
        <f>IF(I1169&gt;B1169,"ERROR","OK")</f>
        <v>OK</v>
      </c>
      <c r="X1169">
        <f>(B1169-I1169)/B1169</f>
        <v>0.62385899014034552</v>
      </c>
      <c r="Y1169" s="2">
        <f t="shared" si="149"/>
        <v>1.5543122344752192E-15</v>
      </c>
      <c r="Z1169" s="2" t="str">
        <f t="shared" si="150"/>
        <v>OK</v>
      </c>
      <c r="AA1169" t="str">
        <f t="shared" si="151"/>
        <v>Unique</v>
      </c>
    </row>
    <row r="1170" spans="1:27" x14ac:dyDescent="0.3">
      <c r="A1170">
        <v>1169</v>
      </c>
      <c r="B1170">
        <v>757904.90417760203</v>
      </c>
      <c r="C1170">
        <v>0.45595906560546301</v>
      </c>
      <c r="D1170">
        <v>-2.2317678620579699E-2</v>
      </c>
      <c r="E1170">
        <v>0.181503242511422</v>
      </c>
      <c r="F1170">
        <v>1</v>
      </c>
      <c r="G1170" t="s">
        <v>13</v>
      </c>
      <c r="H1170">
        <v>1</v>
      </c>
      <c r="I1170">
        <v>137562.197623543</v>
      </c>
      <c r="J1170">
        <v>0.81849675748857698</v>
      </c>
      <c r="K1170" t="str">
        <f t="shared" si="144"/>
        <v>OK</v>
      </c>
      <c r="L1170" t="str">
        <f t="shared" si="145"/>
        <v>OK</v>
      </c>
      <c r="M1170" t="str">
        <f>IF(OR(B1170&lt;$AE$20,B1170&gt;$AF$20),"Outlier","OK")</f>
        <v>OK</v>
      </c>
      <c r="N1170" t="str">
        <f>IF(OR(J1170&lt;$AE$21,J1170&gt;$AF$21),"Outlier","OK")</f>
        <v>OK</v>
      </c>
      <c r="O1170" t="str">
        <f>IF(OR(C1170&lt;0,C1170&gt;1),"Outlier","OK")</f>
        <v>OK</v>
      </c>
      <c r="P1170" t="str">
        <f>IF(OR(D1170&lt;0,D1170&gt;1),"Outlier","OK")</f>
        <v>Outlier</v>
      </c>
      <c r="Q1170" t="str">
        <f t="shared" si="146"/>
        <v>80-100%</v>
      </c>
      <c r="R1170" t="str">
        <f>IF(B1170="","Missing","OK")</f>
        <v>OK</v>
      </c>
      <c r="S1170" t="str">
        <f>IF(E1170="","Missing","OK")</f>
        <v>OK</v>
      </c>
      <c r="T1170" t="str">
        <f t="shared" si="147"/>
        <v>OK</v>
      </c>
      <c r="U1170">
        <f>COUNTIF($A:$A,A1170)</f>
        <v>1</v>
      </c>
      <c r="V1170" t="str">
        <f t="shared" si="148"/>
        <v>OK</v>
      </c>
      <c r="W1170" t="str">
        <f>IF(I1170&gt;B1170,"ERROR","OK")</f>
        <v>OK</v>
      </c>
      <c r="X1170">
        <f>(B1170-I1170)/B1170</f>
        <v>0.81849675748857853</v>
      </c>
      <c r="Y1170" s="2">
        <f t="shared" si="149"/>
        <v>1.5543122344752192E-15</v>
      </c>
      <c r="Z1170" s="2" t="str">
        <f t="shared" si="150"/>
        <v>OK</v>
      </c>
      <c r="AA1170" t="str">
        <f t="shared" si="151"/>
        <v>Unique</v>
      </c>
    </row>
    <row r="1171" spans="1:27" x14ac:dyDescent="0.3">
      <c r="A1171">
        <v>1170</v>
      </c>
      <c r="B1171">
        <v>1012966.23211886</v>
      </c>
      <c r="C1171">
        <v>0.63920659811842295</v>
      </c>
      <c r="D1171">
        <v>-0.15347363982033599</v>
      </c>
      <c r="E1171">
        <v>0.47243981735559798</v>
      </c>
      <c r="F1171">
        <v>1</v>
      </c>
      <c r="G1171" t="s">
        <v>11</v>
      </c>
      <c r="H1171">
        <v>0</v>
      </c>
      <c r="I1171">
        <v>478565.58168962598</v>
      </c>
      <c r="J1171">
        <v>0.52756018264440097</v>
      </c>
      <c r="K1171" t="str">
        <f t="shared" si="144"/>
        <v>OK</v>
      </c>
      <c r="L1171" t="str">
        <f t="shared" si="145"/>
        <v>OK</v>
      </c>
      <c r="M1171" t="str">
        <f>IF(OR(B1171&lt;$AE$20,B1171&gt;$AF$20),"Outlier","OK")</f>
        <v>OK</v>
      </c>
      <c r="N1171" t="str">
        <f>IF(OR(J1171&lt;$AE$21,J1171&gt;$AF$21),"Outlier","OK")</f>
        <v>OK</v>
      </c>
      <c r="O1171" t="str">
        <f>IF(OR(C1171&lt;0,C1171&gt;1),"Outlier","OK")</f>
        <v>OK</v>
      </c>
      <c r="P1171" t="str">
        <f>IF(OR(D1171&lt;0,D1171&gt;1),"Outlier","OK")</f>
        <v>Outlier</v>
      </c>
      <c r="Q1171" t="str">
        <f t="shared" si="146"/>
        <v>40-60%</v>
      </c>
      <c r="R1171" t="str">
        <f>IF(B1171="","Missing","OK")</f>
        <v>OK</v>
      </c>
      <c r="S1171" t="str">
        <f>IF(E1171="","Missing","OK")</f>
        <v>OK</v>
      </c>
      <c r="T1171" t="str">
        <f t="shared" si="147"/>
        <v>OK</v>
      </c>
      <c r="U1171">
        <f>COUNTIF($A:$A,A1171)</f>
        <v>1</v>
      </c>
      <c r="V1171" t="str">
        <f t="shared" si="148"/>
        <v>OK</v>
      </c>
      <c r="W1171" t="str">
        <f>IF(I1171&gt;B1171,"ERROR","OK")</f>
        <v>OK</v>
      </c>
      <c r="X1171">
        <f>(B1171-I1171)/B1171</f>
        <v>0.52756018264439852</v>
      </c>
      <c r="Y1171" s="2">
        <f t="shared" si="149"/>
        <v>2.4424906541753444E-15</v>
      </c>
      <c r="Z1171" s="2" t="str">
        <f t="shared" si="150"/>
        <v>OK</v>
      </c>
      <c r="AA1171" t="str">
        <f t="shared" si="151"/>
        <v>Unique</v>
      </c>
    </row>
    <row r="1172" spans="1:27" x14ac:dyDescent="0.3">
      <c r="A1172">
        <v>1171</v>
      </c>
      <c r="B1172">
        <v>87843.820878127997</v>
      </c>
      <c r="C1172">
        <v>0.56231338853889701</v>
      </c>
      <c r="D1172">
        <v>-3.5612777645364302E-2</v>
      </c>
      <c r="E1172">
        <v>0.12893810047276999</v>
      </c>
      <c r="F1172">
        <v>1</v>
      </c>
      <c r="G1172" t="s">
        <v>10</v>
      </c>
      <c r="H1172">
        <v>0</v>
      </c>
      <c r="I1172">
        <v>11326.415402296099</v>
      </c>
      <c r="J1172">
        <v>0.87106189952722901</v>
      </c>
      <c r="K1172" t="str">
        <f t="shared" si="144"/>
        <v>OK</v>
      </c>
      <c r="L1172" t="str">
        <f t="shared" si="145"/>
        <v>OK</v>
      </c>
      <c r="M1172" t="str">
        <f>IF(OR(B1172&lt;$AE$20,B1172&gt;$AF$20),"Outlier","OK")</f>
        <v>OK</v>
      </c>
      <c r="N1172" t="str">
        <f>IF(OR(J1172&lt;$AE$21,J1172&gt;$AF$21),"Outlier","OK")</f>
        <v>OK</v>
      </c>
      <c r="O1172" t="str">
        <f>IF(OR(C1172&lt;0,C1172&gt;1),"Outlier","OK")</f>
        <v>OK</v>
      </c>
      <c r="P1172" t="str">
        <f>IF(OR(D1172&lt;0,D1172&gt;1),"Outlier","OK")</f>
        <v>Outlier</v>
      </c>
      <c r="Q1172" t="str">
        <f t="shared" si="146"/>
        <v>80-100%</v>
      </c>
      <c r="R1172" t="str">
        <f>IF(B1172="","Missing","OK")</f>
        <v>OK</v>
      </c>
      <c r="S1172" t="str">
        <f>IF(E1172="","Missing","OK")</f>
        <v>OK</v>
      </c>
      <c r="T1172" t="str">
        <f t="shared" si="147"/>
        <v>OK</v>
      </c>
      <c r="U1172">
        <f>COUNTIF($A:$A,A1172)</f>
        <v>1</v>
      </c>
      <c r="V1172" t="str">
        <f t="shared" si="148"/>
        <v>OK</v>
      </c>
      <c r="W1172" t="str">
        <f>IF(I1172&gt;B1172,"ERROR","OK")</f>
        <v>OK</v>
      </c>
      <c r="X1172">
        <f>(B1172-I1172)/B1172</f>
        <v>0.87106189952722979</v>
      </c>
      <c r="Y1172" s="2">
        <f t="shared" si="149"/>
        <v>7.7715611723760958E-16</v>
      </c>
      <c r="Z1172" s="2" t="str">
        <f t="shared" si="150"/>
        <v>OK</v>
      </c>
      <c r="AA1172" t="str">
        <f t="shared" si="151"/>
        <v>Unique</v>
      </c>
    </row>
    <row r="1173" spans="1:27" x14ac:dyDescent="0.3">
      <c r="A1173">
        <v>1172</v>
      </c>
      <c r="B1173">
        <v>65073.139691571203</v>
      </c>
      <c r="C1173">
        <v>0.48920861112231601</v>
      </c>
      <c r="D1173">
        <v>6.9233680291617E-2</v>
      </c>
      <c r="E1173">
        <v>0.23997481441930599</v>
      </c>
      <c r="F1173">
        <v>1</v>
      </c>
      <c r="G1173" t="s">
        <v>13</v>
      </c>
      <c r="H1173">
        <v>0</v>
      </c>
      <c r="I1173">
        <v>15615.914621166399</v>
      </c>
      <c r="J1173">
        <v>0.76002518558069299</v>
      </c>
      <c r="K1173" t="str">
        <f t="shared" si="144"/>
        <v>OK</v>
      </c>
      <c r="L1173" t="str">
        <f t="shared" si="145"/>
        <v>OK</v>
      </c>
      <c r="M1173" t="str">
        <f>IF(OR(B1173&lt;$AE$20,B1173&gt;$AF$20),"Outlier","OK")</f>
        <v>OK</v>
      </c>
      <c r="N1173" t="str">
        <f>IF(OR(J1173&lt;$AE$21,J1173&gt;$AF$21),"Outlier","OK")</f>
        <v>OK</v>
      </c>
      <c r="O1173" t="str">
        <f>IF(OR(C1173&lt;0,C1173&gt;1),"Outlier","OK")</f>
        <v>OK</v>
      </c>
      <c r="P1173" t="str">
        <f>IF(OR(D1173&lt;0,D1173&gt;1),"Outlier","OK")</f>
        <v>OK</v>
      </c>
      <c r="Q1173" t="str">
        <f t="shared" si="146"/>
        <v>60-80%</v>
      </c>
      <c r="R1173" t="str">
        <f>IF(B1173="","Missing","OK")</f>
        <v>OK</v>
      </c>
      <c r="S1173" t="str">
        <f>IF(E1173="","Missing","OK")</f>
        <v>OK</v>
      </c>
      <c r="T1173" t="str">
        <f t="shared" si="147"/>
        <v>OK</v>
      </c>
      <c r="U1173">
        <f>COUNTIF($A:$A,A1173)</f>
        <v>1</v>
      </c>
      <c r="V1173" t="str">
        <f t="shared" si="148"/>
        <v>OK</v>
      </c>
      <c r="W1173" t="str">
        <f>IF(I1173&gt;B1173,"ERROR","OK")</f>
        <v>OK</v>
      </c>
      <c r="X1173">
        <f>(B1173-I1173)/B1173</f>
        <v>0.76002518558069365</v>
      </c>
      <c r="Y1173" s="2">
        <f t="shared" si="149"/>
        <v>6.6613381477509392E-16</v>
      </c>
      <c r="Z1173" s="2" t="str">
        <f t="shared" si="150"/>
        <v>OK</v>
      </c>
      <c r="AA1173" t="str">
        <f t="shared" si="151"/>
        <v>Unique</v>
      </c>
    </row>
    <row r="1174" spans="1:27" x14ac:dyDescent="0.3">
      <c r="A1174">
        <v>1173</v>
      </c>
      <c r="B1174">
        <v>1388603.95844299</v>
      </c>
      <c r="C1174">
        <v>0.11015325928137</v>
      </c>
      <c r="D1174">
        <v>0.165502594464387</v>
      </c>
      <c r="E1174">
        <v>0.39756045497134701</v>
      </c>
      <c r="F1174">
        <v>1</v>
      </c>
      <c r="G1174" t="s">
        <v>10</v>
      </c>
      <c r="H1174">
        <v>1</v>
      </c>
      <c r="I1174">
        <v>552054.02149361197</v>
      </c>
      <c r="J1174">
        <v>0.60243954502865205</v>
      </c>
      <c r="K1174" t="str">
        <f t="shared" si="144"/>
        <v>OK</v>
      </c>
      <c r="L1174" t="str">
        <f t="shared" si="145"/>
        <v>OK</v>
      </c>
      <c r="M1174" t="str">
        <f>IF(OR(B1174&lt;$AE$20,B1174&gt;$AF$20),"Outlier","OK")</f>
        <v>OK</v>
      </c>
      <c r="N1174" t="str">
        <f>IF(OR(J1174&lt;$AE$21,J1174&gt;$AF$21),"Outlier","OK")</f>
        <v>OK</v>
      </c>
      <c r="O1174" t="str">
        <f>IF(OR(C1174&lt;0,C1174&gt;1),"Outlier","OK")</f>
        <v>OK</v>
      </c>
      <c r="P1174" t="str">
        <f>IF(OR(D1174&lt;0,D1174&gt;1),"Outlier","OK")</f>
        <v>OK</v>
      </c>
      <c r="Q1174" t="str">
        <f t="shared" si="146"/>
        <v>60-80%</v>
      </c>
      <c r="R1174" t="str">
        <f>IF(B1174="","Missing","OK")</f>
        <v>OK</v>
      </c>
      <c r="S1174" t="str">
        <f>IF(E1174="","Missing","OK")</f>
        <v>OK</v>
      </c>
      <c r="T1174" t="str">
        <f t="shared" si="147"/>
        <v>OK</v>
      </c>
      <c r="U1174">
        <f>COUNTIF($A:$A,A1174)</f>
        <v>1</v>
      </c>
      <c r="V1174" t="str">
        <f t="shared" si="148"/>
        <v>OK</v>
      </c>
      <c r="W1174" t="str">
        <f>IF(I1174&gt;B1174,"ERROR","OK")</f>
        <v>OK</v>
      </c>
      <c r="X1174">
        <f>(B1174-I1174)/B1174</f>
        <v>0.60243954502865049</v>
      </c>
      <c r="Y1174" s="2">
        <f t="shared" si="149"/>
        <v>1.5543122344752192E-15</v>
      </c>
      <c r="Z1174" s="2" t="str">
        <f t="shared" si="150"/>
        <v>OK</v>
      </c>
      <c r="AA1174" t="str">
        <f t="shared" si="151"/>
        <v>Unique</v>
      </c>
    </row>
    <row r="1175" spans="1:27" x14ac:dyDescent="0.3">
      <c r="A1175">
        <v>1174</v>
      </c>
      <c r="B1175">
        <v>245849.89165004701</v>
      </c>
      <c r="C1175">
        <v>0.28813307495824603</v>
      </c>
      <c r="D1175">
        <v>0.14731182868138801</v>
      </c>
      <c r="E1175">
        <v>0.114350386655758</v>
      </c>
      <c r="F1175">
        <v>1</v>
      </c>
      <c r="G1175" t="s">
        <v>11</v>
      </c>
      <c r="H1175">
        <v>0</v>
      </c>
      <c r="I1175">
        <v>28113.0301694593</v>
      </c>
      <c r="J1175">
        <v>0.88564961334424097</v>
      </c>
      <c r="K1175" t="str">
        <f t="shared" si="144"/>
        <v>OK</v>
      </c>
      <c r="L1175" t="str">
        <f t="shared" si="145"/>
        <v>OK</v>
      </c>
      <c r="M1175" t="str">
        <f>IF(OR(B1175&lt;$AE$20,B1175&gt;$AF$20),"Outlier","OK")</f>
        <v>OK</v>
      </c>
      <c r="N1175" t="str">
        <f>IF(OR(J1175&lt;$AE$21,J1175&gt;$AF$21),"Outlier","OK")</f>
        <v>OK</v>
      </c>
      <c r="O1175" t="str">
        <f>IF(OR(C1175&lt;0,C1175&gt;1),"Outlier","OK")</f>
        <v>OK</v>
      </c>
      <c r="P1175" t="str">
        <f>IF(OR(D1175&lt;0,D1175&gt;1),"Outlier","OK")</f>
        <v>OK</v>
      </c>
      <c r="Q1175" t="str">
        <f t="shared" si="146"/>
        <v>80-100%</v>
      </c>
      <c r="R1175" t="str">
        <f>IF(B1175="","Missing","OK")</f>
        <v>OK</v>
      </c>
      <c r="S1175" t="str">
        <f>IF(E1175="","Missing","OK")</f>
        <v>OK</v>
      </c>
      <c r="T1175" t="str">
        <f t="shared" si="147"/>
        <v>OK</v>
      </c>
      <c r="U1175">
        <f>COUNTIF($A:$A,A1175)</f>
        <v>1</v>
      </c>
      <c r="V1175" t="str">
        <f t="shared" si="148"/>
        <v>OK</v>
      </c>
      <c r="W1175" t="str">
        <f>IF(I1175&gt;B1175,"ERROR","OK")</f>
        <v>OK</v>
      </c>
      <c r="X1175">
        <f>(B1175-I1175)/B1175</f>
        <v>0.88564961334424119</v>
      </c>
      <c r="Y1175" s="2">
        <f t="shared" si="149"/>
        <v>2.2204460492503131E-16</v>
      </c>
      <c r="Z1175" s="2" t="str">
        <f t="shared" si="150"/>
        <v>OK</v>
      </c>
      <c r="AA1175" t="str">
        <f t="shared" si="151"/>
        <v>Unique</v>
      </c>
    </row>
    <row r="1176" spans="1:27" x14ac:dyDescent="0.3">
      <c r="A1176">
        <v>1175</v>
      </c>
      <c r="B1176">
        <v>193998.73714113099</v>
      </c>
      <c r="C1176">
        <v>0.61086917796022699</v>
      </c>
      <c r="D1176">
        <v>-0.14560013473703901</v>
      </c>
      <c r="E1176">
        <v>0.28979127477257499</v>
      </c>
      <c r="F1176">
        <v>1</v>
      </c>
      <c r="G1176" t="s">
        <v>10</v>
      </c>
      <c r="H1176">
        <v>0</v>
      </c>
      <c r="I1176">
        <v>56219.141340398397</v>
      </c>
      <c r="J1176">
        <v>0.71020872522742395</v>
      </c>
      <c r="K1176" t="str">
        <f t="shared" si="144"/>
        <v>OK</v>
      </c>
      <c r="L1176" t="str">
        <f t="shared" si="145"/>
        <v>OK</v>
      </c>
      <c r="M1176" t="str">
        <f>IF(OR(B1176&lt;$AE$20,B1176&gt;$AF$20),"Outlier","OK")</f>
        <v>OK</v>
      </c>
      <c r="N1176" t="str">
        <f>IF(OR(J1176&lt;$AE$21,J1176&gt;$AF$21),"Outlier","OK")</f>
        <v>OK</v>
      </c>
      <c r="O1176" t="str">
        <f>IF(OR(C1176&lt;0,C1176&gt;1),"Outlier","OK")</f>
        <v>OK</v>
      </c>
      <c r="P1176" t="str">
        <f>IF(OR(D1176&lt;0,D1176&gt;1),"Outlier","OK")</f>
        <v>Outlier</v>
      </c>
      <c r="Q1176" t="str">
        <f t="shared" si="146"/>
        <v>60-80%</v>
      </c>
      <c r="R1176" t="str">
        <f>IF(B1176="","Missing","OK")</f>
        <v>OK</v>
      </c>
      <c r="S1176" t="str">
        <f>IF(E1176="","Missing","OK")</f>
        <v>OK</v>
      </c>
      <c r="T1176" t="str">
        <f t="shared" si="147"/>
        <v>OK</v>
      </c>
      <c r="U1176">
        <f>COUNTIF($A:$A,A1176)</f>
        <v>1</v>
      </c>
      <c r="V1176" t="str">
        <f t="shared" si="148"/>
        <v>OK</v>
      </c>
      <c r="W1176" t="str">
        <f>IF(I1176&gt;B1176,"ERROR","OK")</f>
        <v>OK</v>
      </c>
      <c r="X1176">
        <f>(B1176-I1176)/B1176</f>
        <v>0.71020872522742318</v>
      </c>
      <c r="Y1176" s="2">
        <f t="shared" si="149"/>
        <v>7.7715611723760958E-16</v>
      </c>
      <c r="Z1176" s="2" t="str">
        <f t="shared" si="150"/>
        <v>OK</v>
      </c>
      <c r="AA1176" t="str">
        <f t="shared" si="151"/>
        <v>Unique</v>
      </c>
    </row>
    <row r="1177" spans="1:27" x14ac:dyDescent="0.3">
      <c r="A1177">
        <v>1176</v>
      </c>
      <c r="B1177">
        <v>1016416.44184477</v>
      </c>
      <c r="C1177">
        <v>0.89830653066858501</v>
      </c>
      <c r="D1177">
        <v>3.8185068147764997E-2</v>
      </c>
      <c r="E1177">
        <v>0.23833122542134599</v>
      </c>
      <c r="F1177">
        <v>1</v>
      </c>
      <c r="G1177" t="s">
        <v>11</v>
      </c>
      <c r="H1177">
        <v>1</v>
      </c>
      <c r="I1177">
        <v>242243.77612327001</v>
      </c>
      <c r="J1177">
        <v>0.76166877457865301</v>
      </c>
      <c r="K1177" t="str">
        <f t="shared" si="144"/>
        <v>OK</v>
      </c>
      <c r="L1177" t="str">
        <f t="shared" si="145"/>
        <v>OK</v>
      </c>
      <c r="M1177" t="str">
        <f>IF(OR(B1177&lt;$AE$20,B1177&gt;$AF$20),"Outlier","OK")</f>
        <v>OK</v>
      </c>
      <c r="N1177" t="str">
        <f>IF(OR(J1177&lt;$AE$21,J1177&gt;$AF$21),"Outlier","OK")</f>
        <v>OK</v>
      </c>
      <c r="O1177" t="str">
        <f>IF(OR(C1177&lt;0,C1177&gt;1),"Outlier","OK")</f>
        <v>OK</v>
      </c>
      <c r="P1177" t="str">
        <f>IF(OR(D1177&lt;0,D1177&gt;1),"Outlier","OK")</f>
        <v>OK</v>
      </c>
      <c r="Q1177" t="str">
        <f t="shared" si="146"/>
        <v>60-80%</v>
      </c>
      <c r="R1177" t="str">
        <f>IF(B1177="","Missing","OK")</f>
        <v>OK</v>
      </c>
      <c r="S1177" t="str">
        <f>IF(E1177="","Missing","OK")</f>
        <v>OK</v>
      </c>
      <c r="T1177" t="str">
        <f t="shared" si="147"/>
        <v>OK</v>
      </c>
      <c r="U1177">
        <f>COUNTIF($A:$A,A1177)</f>
        <v>1</v>
      </c>
      <c r="V1177" t="str">
        <f t="shared" si="148"/>
        <v>OK</v>
      </c>
      <c r="W1177" t="str">
        <f>IF(I1177&gt;B1177,"ERROR","OK")</f>
        <v>OK</v>
      </c>
      <c r="X1177">
        <f>(B1177-I1177)/B1177</f>
        <v>0.76166877457865223</v>
      </c>
      <c r="Y1177" s="2">
        <f t="shared" si="149"/>
        <v>7.7715611723760958E-16</v>
      </c>
      <c r="Z1177" s="2" t="str">
        <f t="shared" si="150"/>
        <v>OK</v>
      </c>
      <c r="AA1177" t="str">
        <f t="shared" si="151"/>
        <v>Unique</v>
      </c>
    </row>
    <row r="1178" spans="1:27" x14ac:dyDescent="0.3">
      <c r="A1178">
        <v>1177</v>
      </c>
      <c r="B1178">
        <v>1450410.65368258</v>
      </c>
      <c r="C1178">
        <v>0.40200878124253098</v>
      </c>
      <c r="D1178">
        <v>-0.12975962609803099</v>
      </c>
      <c r="E1178">
        <v>0.32549643224739</v>
      </c>
      <c r="F1178">
        <v>1</v>
      </c>
      <c r="G1178" t="s">
        <v>10</v>
      </c>
      <c r="H1178">
        <v>0</v>
      </c>
      <c r="I1178">
        <v>472103.49306728499</v>
      </c>
      <c r="J1178">
        <v>0.674503567752609</v>
      </c>
      <c r="K1178" t="str">
        <f t="shared" si="144"/>
        <v>OK</v>
      </c>
      <c r="L1178" t="str">
        <f t="shared" si="145"/>
        <v>OK</v>
      </c>
      <c r="M1178" t="str">
        <f>IF(OR(B1178&lt;$AE$20,B1178&gt;$AF$20),"Outlier","OK")</f>
        <v>OK</v>
      </c>
      <c r="N1178" t="str">
        <f>IF(OR(J1178&lt;$AE$21,J1178&gt;$AF$21),"Outlier","OK")</f>
        <v>OK</v>
      </c>
      <c r="O1178" t="str">
        <f>IF(OR(C1178&lt;0,C1178&gt;1),"Outlier","OK")</f>
        <v>OK</v>
      </c>
      <c r="P1178" t="str">
        <f>IF(OR(D1178&lt;0,D1178&gt;1),"Outlier","OK")</f>
        <v>Outlier</v>
      </c>
      <c r="Q1178" t="str">
        <f t="shared" si="146"/>
        <v>60-80%</v>
      </c>
      <c r="R1178" t="str">
        <f>IF(B1178="","Missing","OK")</f>
        <v>OK</v>
      </c>
      <c r="S1178" t="str">
        <f>IF(E1178="","Missing","OK")</f>
        <v>OK</v>
      </c>
      <c r="T1178" t="str">
        <f t="shared" si="147"/>
        <v>OK</v>
      </c>
      <c r="U1178">
        <f>COUNTIF($A:$A,A1178)</f>
        <v>1</v>
      </c>
      <c r="V1178" t="str">
        <f t="shared" si="148"/>
        <v>OK</v>
      </c>
      <c r="W1178" t="str">
        <f>IF(I1178&gt;B1178,"ERROR","OK")</f>
        <v>OK</v>
      </c>
      <c r="X1178">
        <f>(B1178-I1178)/B1178</f>
        <v>0.67450356775260967</v>
      </c>
      <c r="Y1178" s="2">
        <f t="shared" si="149"/>
        <v>6.6613381477509392E-16</v>
      </c>
      <c r="Z1178" s="2" t="str">
        <f t="shared" si="150"/>
        <v>OK</v>
      </c>
      <c r="AA1178" t="str">
        <f t="shared" si="151"/>
        <v>Unique</v>
      </c>
    </row>
    <row r="1179" spans="1:27" x14ac:dyDescent="0.3">
      <c r="A1179">
        <v>1178</v>
      </c>
      <c r="B1179">
        <v>1955472.2153342699</v>
      </c>
      <c r="C1179">
        <v>0.78741147962378</v>
      </c>
      <c r="D1179">
        <v>0.143230903587554</v>
      </c>
      <c r="E1179">
        <v>0.33870686613012901</v>
      </c>
      <c r="F1179">
        <v>1</v>
      </c>
      <c r="G1179" t="s">
        <v>13</v>
      </c>
      <c r="H1179">
        <v>1</v>
      </c>
      <c r="I1179">
        <v>662331.86586041399</v>
      </c>
      <c r="J1179">
        <v>0.66129313386986999</v>
      </c>
      <c r="K1179" t="str">
        <f t="shared" si="144"/>
        <v>OK</v>
      </c>
      <c r="L1179" t="str">
        <f t="shared" si="145"/>
        <v>OK</v>
      </c>
      <c r="M1179" t="str">
        <f>IF(OR(B1179&lt;$AE$20,B1179&gt;$AF$20),"Outlier","OK")</f>
        <v>OK</v>
      </c>
      <c r="N1179" t="str">
        <f>IF(OR(J1179&lt;$AE$21,J1179&gt;$AF$21),"Outlier","OK")</f>
        <v>OK</v>
      </c>
      <c r="O1179" t="str">
        <f>IF(OR(C1179&lt;0,C1179&gt;1),"Outlier","OK")</f>
        <v>OK</v>
      </c>
      <c r="P1179" t="str">
        <f>IF(OR(D1179&lt;0,D1179&gt;1),"Outlier","OK")</f>
        <v>OK</v>
      </c>
      <c r="Q1179" t="str">
        <f t="shared" si="146"/>
        <v>60-80%</v>
      </c>
      <c r="R1179" t="str">
        <f>IF(B1179="","Missing","OK")</f>
        <v>OK</v>
      </c>
      <c r="S1179" t="str">
        <f>IF(E1179="","Missing","OK")</f>
        <v>OK</v>
      </c>
      <c r="T1179" t="str">
        <f t="shared" si="147"/>
        <v>OK</v>
      </c>
      <c r="U1179">
        <f>COUNTIF($A:$A,A1179)</f>
        <v>1</v>
      </c>
      <c r="V1179" t="str">
        <f t="shared" si="148"/>
        <v>OK</v>
      </c>
      <c r="W1179" t="str">
        <f>IF(I1179&gt;B1179,"ERROR","OK")</f>
        <v>OK</v>
      </c>
      <c r="X1179">
        <f>(B1179-I1179)/B1179</f>
        <v>0.66129313386986965</v>
      </c>
      <c r="Y1179" s="2">
        <f t="shared" si="149"/>
        <v>3.3306690738754696E-16</v>
      </c>
      <c r="Z1179" s="2" t="str">
        <f t="shared" si="150"/>
        <v>OK</v>
      </c>
      <c r="AA1179" t="str">
        <f t="shared" si="151"/>
        <v>Unique</v>
      </c>
    </row>
    <row r="1180" spans="1:27" x14ac:dyDescent="0.3">
      <c r="A1180">
        <v>1179</v>
      </c>
      <c r="B1180">
        <v>626024.73532114294</v>
      </c>
      <c r="C1180">
        <v>0.70585464810026</v>
      </c>
      <c r="D1180">
        <v>0.199458631616171</v>
      </c>
      <c r="E1180">
        <v>0.30329706635870002</v>
      </c>
      <c r="F1180">
        <v>1</v>
      </c>
      <c r="G1180" t="s">
        <v>10</v>
      </c>
      <c r="H1180">
        <v>1</v>
      </c>
      <c r="I1180">
        <v>189871.46569088401</v>
      </c>
      <c r="J1180">
        <v>0.69670293364129898</v>
      </c>
      <c r="K1180" t="str">
        <f t="shared" si="144"/>
        <v>OK</v>
      </c>
      <c r="L1180" t="str">
        <f t="shared" si="145"/>
        <v>OK</v>
      </c>
      <c r="M1180" t="str">
        <f>IF(OR(B1180&lt;$AE$20,B1180&gt;$AF$20),"Outlier","OK")</f>
        <v>OK</v>
      </c>
      <c r="N1180" t="str">
        <f>IF(OR(J1180&lt;$AE$21,J1180&gt;$AF$21),"Outlier","OK")</f>
        <v>OK</v>
      </c>
      <c r="O1180" t="str">
        <f>IF(OR(C1180&lt;0,C1180&gt;1),"Outlier","OK")</f>
        <v>OK</v>
      </c>
      <c r="P1180" t="str">
        <f>IF(OR(D1180&lt;0,D1180&gt;1),"Outlier","OK")</f>
        <v>OK</v>
      </c>
      <c r="Q1180" t="str">
        <f t="shared" si="146"/>
        <v>60-80%</v>
      </c>
      <c r="R1180" t="str">
        <f>IF(B1180="","Missing","OK")</f>
        <v>OK</v>
      </c>
      <c r="S1180" t="str">
        <f>IF(E1180="","Missing","OK")</f>
        <v>OK</v>
      </c>
      <c r="T1180" t="str">
        <f t="shared" si="147"/>
        <v>OK</v>
      </c>
      <c r="U1180">
        <f>COUNTIF($A:$A,A1180)</f>
        <v>1</v>
      </c>
      <c r="V1180" t="str">
        <f t="shared" si="148"/>
        <v>OK</v>
      </c>
      <c r="W1180" t="str">
        <f>IF(I1180&gt;B1180,"ERROR","OK")</f>
        <v>OK</v>
      </c>
      <c r="X1180">
        <f>(B1180-I1180)/B1180</f>
        <v>0.69670293364130043</v>
      </c>
      <c r="Y1180" s="2">
        <f t="shared" si="149"/>
        <v>1.4432899320127035E-15</v>
      </c>
      <c r="Z1180" s="2" t="str">
        <f t="shared" si="150"/>
        <v>OK</v>
      </c>
      <c r="AA1180" t="str">
        <f t="shared" si="151"/>
        <v>Unique</v>
      </c>
    </row>
    <row r="1181" spans="1:27" x14ac:dyDescent="0.3">
      <c r="A1181">
        <v>1180</v>
      </c>
      <c r="B1181">
        <v>279160.04926510702</v>
      </c>
      <c r="C1181">
        <v>0.44464875560637501</v>
      </c>
      <c r="D1181">
        <v>0.10595987139589801</v>
      </c>
      <c r="E1181">
        <v>5.6180160325077701E-2</v>
      </c>
      <c r="F1181">
        <v>1</v>
      </c>
      <c r="G1181" t="s">
        <v>13</v>
      </c>
      <c r="H1181">
        <v>0</v>
      </c>
      <c r="I1181">
        <v>15683.2563240703</v>
      </c>
      <c r="J1181">
        <v>0.943819839674922</v>
      </c>
      <c r="K1181" t="str">
        <f t="shared" si="144"/>
        <v>OK</v>
      </c>
      <c r="L1181" t="str">
        <f t="shared" si="145"/>
        <v>OK</v>
      </c>
      <c r="M1181" t="str">
        <f>IF(OR(B1181&lt;$AE$20,B1181&gt;$AF$20),"Outlier","OK")</f>
        <v>OK</v>
      </c>
      <c r="N1181" t="str">
        <f>IF(OR(J1181&lt;$AE$21,J1181&gt;$AF$21),"Outlier","OK")</f>
        <v>OK</v>
      </c>
      <c r="O1181" t="str">
        <f>IF(OR(C1181&lt;0,C1181&gt;1),"Outlier","OK")</f>
        <v>OK</v>
      </c>
      <c r="P1181" t="str">
        <f>IF(OR(D1181&lt;0,D1181&gt;1),"Outlier","OK")</f>
        <v>OK</v>
      </c>
      <c r="Q1181" t="str">
        <f t="shared" si="146"/>
        <v>80-100%</v>
      </c>
      <c r="R1181" t="str">
        <f>IF(B1181="","Missing","OK")</f>
        <v>OK</v>
      </c>
      <c r="S1181" t="str">
        <f>IF(E1181="","Missing","OK")</f>
        <v>OK</v>
      </c>
      <c r="T1181" t="str">
        <f t="shared" si="147"/>
        <v>OK</v>
      </c>
      <c r="U1181">
        <f>COUNTIF($A:$A,A1181)</f>
        <v>1</v>
      </c>
      <c r="V1181" t="str">
        <f t="shared" si="148"/>
        <v>OK</v>
      </c>
      <c r="W1181" t="str">
        <f>IF(I1181&gt;B1181,"ERROR","OK")</f>
        <v>OK</v>
      </c>
      <c r="X1181">
        <f>(B1181-I1181)/B1181</f>
        <v>0.94381983967492245</v>
      </c>
      <c r="Y1181" s="2">
        <f t="shared" si="149"/>
        <v>4.4408920985006262E-16</v>
      </c>
      <c r="Z1181" s="2" t="str">
        <f t="shared" si="150"/>
        <v>OK</v>
      </c>
      <c r="AA1181" t="str">
        <f t="shared" si="151"/>
        <v>Unique</v>
      </c>
    </row>
    <row r="1182" spans="1:27" x14ac:dyDescent="0.3">
      <c r="A1182">
        <v>1181</v>
      </c>
      <c r="B1182">
        <v>183646.338877929</v>
      </c>
      <c r="C1182">
        <v>0.48578611920228998</v>
      </c>
      <c r="D1182">
        <v>0.11096336891565201</v>
      </c>
      <c r="E1182">
        <v>0.54381324409660603</v>
      </c>
      <c r="F1182">
        <v>1</v>
      </c>
      <c r="G1182" t="s">
        <v>10</v>
      </c>
      <c r="H1182">
        <v>1</v>
      </c>
      <c r="I1182">
        <v>99869.311311671598</v>
      </c>
      <c r="J1182">
        <v>0.45618675590339303</v>
      </c>
      <c r="K1182" t="str">
        <f t="shared" si="144"/>
        <v>OK</v>
      </c>
      <c r="L1182" t="str">
        <f t="shared" si="145"/>
        <v>OK</v>
      </c>
      <c r="M1182" t="str">
        <f>IF(OR(B1182&lt;$AE$20,B1182&gt;$AF$20),"Outlier","OK")</f>
        <v>OK</v>
      </c>
      <c r="N1182" t="str">
        <f>IF(OR(J1182&lt;$AE$21,J1182&gt;$AF$21),"Outlier","OK")</f>
        <v>OK</v>
      </c>
      <c r="O1182" t="str">
        <f>IF(OR(C1182&lt;0,C1182&gt;1),"Outlier","OK")</f>
        <v>OK</v>
      </c>
      <c r="P1182" t="str">
        <f>IF(OR(D1182&lt;0,D1182&gt;1),"Outlier","OK")</f>
        <v>OK</v>
      </c>
      <c r="Q1182" t="str">
        <f t="shared" si="146"/>
        <v>40-60%</v>
      </c>
      <c r="R1182" t="str">
        <f>IF(B1182="","Missing","OK")</f>
        <v>OK</v>
      </c>
      <c r="S1182" t="str">
        <f>IF(E1182="","Missing","OK")</f>
        <v>OK</v>
      </c>
      <c r="T1182" t="str">
        <f t="shared" si="147"/>
        <v>OK</v>
      </c>
      <c r="U1182">
        <f>COUNTIF($A:$A,A1182)</f>
        <v>1</v>
      </c>
      <c r="V1182" t="str">
        <f t="shared" si="148"/>
        <v>OK</v>
      </c>
      <c r="W1182" t="str">
        <f>IF(I1182&gt;B1182,"ERROR","OK")</f>
        <v>OK</v>
      </c>
      <c r="X1182">
        <f>(B1182-I1182)/B1182</f>
        <v>0.45618675590339197</v>
      </c>
      <c r="Y1182" s="2">
        <f t="shared" si="149"/>
        <v>1.0547118733938987E-15</v>
      </c>
      <c r="Z1182" s="2" t="str">
        <f t="shared" si="150"/>
        <v>OK</v>
      </c>
      <c r="AA1182" t="str">
        <f t="shared" si="151"/>
        <v>Unique</v>
      </c>
    </row>
    <row r="1183" spans="1:27" x14ac:dyDescent="0.3">
      <c r="A1183">
        <v>1182</v>
      </c>
      <c r="B1183">
        <v>454645.85834611498</v>
      </c>
      <c r="C1183">
        <v>0.78970681105922602</v>
      </c>
      <c r="D1183">
        <v>4.2270319165227499E-2</v>
      </c>
      <c r="E1183">
        <v>0.261198878000585</v>
      </c>
      <c r="F1183">
        <v>1</v>
      </c>
      <c r="G1183" t="s">
        <v>10</v>
      </c>
      <c r="H1183">
        <v>0</v>
      </c>
      <c r="I1183">
        <v>118752.988087618</v>
      </c>
      <c r="J1183">
        <v>0.73880112199941395</v>
      </c>
      <c r="K1183" t="str">
        <f t="shared" si="144"/>
        <v>OK</v>
      </c>
      <c r="L1183" t="str">
        <f t="shared" si="145"/>
        <v>OK</v>
      </c>
      <c r="M1183" t="str">
        <f>IF(OR(B1183&lt;$AE$20,B1183&gt;$AF$20),"Outlier","OK")</f>
        <v>OK</v>
      </c>
      <c r="N1183" t="str">
        <f>IF(OR(J1183&lt;$AE$21,J1183&gt;$AF$21),"Outlier","OK")</f>
        <v>OK</v>
      </c>
      <c r="O1183" t="str">
        <f>IF(OR(C1183&lt;0,C1183&gt;1),"Outlier","OK")</f>
        <v>OK</v>
      </c>
      <c r="P1183" t="str">
        <f>IF(OR(D1183&lt;0,D1183&gt;1),"Outlier","OK")</f>
        <v>OK</v>
      </c>
      <c r="Q1183" t="str">
        <f t="shared" si="146"/>
        <v>60-80%</v>
      </c>
      <c r="R1183" t="str">
        <f>IF(B1183="","Missing","OK")</f>
        <v>OK</v>
      </c>
      <c r="S1183" t="str">
        <f>IF(E1183="","Missing","OK")</f>
        <v>OK</v>
      </c>
      <c r="T1183" t="str">
        <f t="shared" si="147"/>
        <v>OK</v>
      </c>
      <c r="U1183">
        <f>COUNTIF($A:$A,A1183)</f>
        <v>1</v>
      </c>
      <c r="V1183" t="str">
        <f t="shared" si="148"/>
        <v>OK</v>
      </c>
      <c r="W1183" t="str">
        <f>IF(I1183&gt;B1183,"ERROR","OK")</f>
        <v>OK</v>
      </c>
      <c r="X1183">
        <f>(B1183-I1183)/B1183</f>
        <v>0.73880112199941528</v>
      </c>
      <c r="Y1183" s="2">
        <f t="shared" si="149"/>
        <v>1.3322676295501878E-15</v>
      </c>
      <c r="Z1183" s="2" t="str">
        <f t="shared" si="150"/>
        <v>OK</v>
      </c>
      <c r="AA1183" t="str">
        <f t="shared" si="151"/>
        <v>Unique</v>
      </c>
    </row>
    <row r="1184" spans="1:27" x14ac:dyDescent="0.3">
      <c r="A1184">
        <v>1183</v>
      </c>
      <c r="B1184">
        <v>245106.581255706</v>
      </c>
      <c r="C1184">
        <v>0.55506423782076597</v>
      </c>
      <c r="D1184">
        <v>4.6209885404095402E-2</v>
      </c>
      <c r="E1184">
        <v>0.39463001435704398</v>
      </c>
      <c r="F1184">
        <v>1</v>
      </c>
      <c r="G1184" t="s">
        <v>10</v>
      </c>
      <c r="H1184">
        <v>1</v>
      </c>
      <c r="I1184">
        <v>96726.413679945501</v>
      </c>
      <c r="J1184">
        <v>0.60536998564295497</v>
      </c>
      <c r="K1184" t="str">
        <f t="shared" si="144"/>
        <v>OK</v>
      </c>
      <c r="L1184" t="str">
        <f t="shared" si="145"/>
        <v>OK</v>
      </c>
      <c r="M1184" t="str">
        <f>IF(OR(B1184&lt;$AE$20,B1184&gt;$AF$20),"Outlier","OK")</f>
        <v>OK</v>
      </c>
      <c r="N1184" t="str">
        <f>IF(OR(J1184&lt;$AE$21,J1184&gt;$AF$21),"Outlier","OK")</f>
        <v>OK</v>
      </c>
      <c r="O1184" t="str">
        <f>IF(OR(C1184&lt;0,C1184&gt;1),"Outlier","OK")</f>
        <v>OK</v>
      </c>
      <c r="P1184" t="str">
        <f>IF(OR(D1184&lt;0,D1184&gt;1),"Outlier","OK")</f>
        <v>OK</v>
      </c>
      <c r="Q1184" t="str">
        <f t="shared" si="146"/>
        <v>60-80%</v>
      </c>
      <c r="R1184" t="str">
        <f>IF(B1184="","Missing","OK")</f>
        <v>OK</v>
      </c>
      <c r="S1184" t="str">
        <f>IF(E1184="","Missing","OK")</f>
        <v>OK</v>
      </c>
      <c r="T1184" t="str">
        <f t="shared" si="147"/>
        <v>OK</v>
      </c>
      <c r="U1184">
        <f>COUNTIF($A:$A,A1184)</f>
        <v>1</v>
      </c>
      <c r="V1184" t="str">
        <f t="shared" si="148"/>
        <v>OK</v>
      </c>
      <c r="W1184" t="str">
        <f>IF(I1184&gt;B1184,"ERROR","OK")</f>
        <v>OK</v>
      </c>
      <c r="X1184">
        <f>(B1184-I1184)/B1184</f>
        <v>0.60536998564295497</v>
      </c>
      <c r="Y1184" s="2">
        <f t="shared" si="149"/>
        <v>0</v>
      </c>
      <c r="Z1184" s="2" t="str">
        <f t="shared" si="150"/>
        <v>OK</v>
      </c>
      <c r="AA1184" t="str">
        <f t="shared" si="151"/>
        <v>Unique</v>
      </c>
    </row>
    <row r="1185" spans="1:27" x14ac:dyDescent="0.3">
      <c r="A1185">
        <v>1184</v>
      </c>
      <c r="B1185">
        <v>56599.504731807603</v>
      </c>
      <c r="C1185">
        <v>0.50959650570736903</v>
      </c>
      <c r="D1185">
        <v>8.59145752813541E-2</v>
      </c>
      <c r="E1185">
        <v>0.14185384129196399</v>
      </c>
      <c r="F1185">
        <v>1</v>
      </c>
      <c r="G1185" t="s">
        <v>10</v>
      </c>
      <c r="H1185">
        <v>0</v>
      </c>
      <c r="I1185">
        <v>8028.8571614296197</v>
      </c>
      <c r="J1185">
        <v>0.85814615870803501</v>
      </c>
      <c r="K1185" t="str">
        <f t="shared" si="144"/>
        <v>OK</v>
      </c>
      <c r="L1185" t="str">
        <f t="shared" si="145"/>
        <v>OK</v>
      </c>
      <c r="M1185" t="str">
        <f>IF(OR(B1185&lt;$AE$20,B1185&gt;$AF$20),"Outlier","OK")</f>
        <v>Outlier</v>
      </c>
      <c r="N1185" t="str">
        <f>IF(OR(J1185&lt;$AE$21,J1185&gt;$AF$21),"Outlier","OK")</f>
        <v>OK</v>
      </c>
      <c r="O1185" t="str">
        <f>IF(OR(C1185&lt;0,C1185&gt;1),"Outlier","OK")</f>
        <v>OK</v>
      </c>
      <c r="P1185" t="str">
        <f>IF(OR(D1185&lt;0,D1185&gt;1),"Outlier","OK")</f>
        <v>OK</v>
      </c>
      <c r="Q1185" t="str">
        <f t="shared" si="146"/>
        <v>80-100%</v>
      </c>
      <c r="R1185" t="str">
        <f>IF(B1185="","Missing","OK")</f>
        <v>OK</v>
      </c>
      <c r="S1185" t="str">
        <f>IF(E1185="","Missing","OK")</f>
        <v>OK</v>
      </c>
      <c r="T1185" t="str">
        <f t="shared" si="147"/>
        <v>OK</v>
      </c>
      <c r="U1185">
        <f>COUNTIF($A:$A,A1185)</f>
        <v>1</v>
      </c>
      <c r="V1185" t="str">
        <f t="shared" si="148"/>
        <v>OK</v>
      </c>
      <c r="W1185" t="str">
        <f>IF(I1185&gt;B1185,"ERROR","OK")</f>
        <v>OK</v>
      </c>
      <c r="X1185">
        <f>(B1185-I1185)/B1185</f>
        <v>0.85814615870803579</v>
      </c>
      <c r="Y1185" s="2">
        <f t="shared" si="149"/>
        <v>7.7715611723760958E-16</v>
      </c>
      <c r="Z1185" s="2" t="str">
        <f t="shared" si="150"/>
        <v>OK</v>
      </c>
      <c r="AA1185" t="str">
        <f t="shared" si="151"/>
        <v>Unique</v>
      </c>
    </row>
    <row r="1186" spans="1:27" x14ac:dyDescent="0.3">
      <c r="A1186">
        <v>1185</v>
      </c>
      <c r="B1186">
        <v>605893.69971208903</v>
      </c>
      <c r="C1186">
        <v>0.88920002566767298</v>
      </c>
      <c r="D1186">
        <v>-5.4721573626585002E-2</v>
      </c>
      <c r="E1186">
        <v>0.51214182362730198</v>
      </c>
      <c r="F1186">
        <v>1</v>
      </c>
      <c r="G1186" t="s">
        <v>12</v>
      </c>
      <c r="H1186">
        <v>0</v>
      </c>
      <c r="I1186">
        <v>310303.50429484202</v>
      </c>
      <c r="J1186">
        <v>0.48785817637269702</v>
      </c>
      <c r="K1186" t="str">
        <f t="shared" si="144"/>
        <v>OK</v>
      </c>
      <c r="L1186" t="str">
        <f t="shared" si="145"/>
        <v>OK</v>
      </c>
      <c r="M1186" t="str">
        <f>IF(OR(B1186&lt;$AE$20,B1186&gt;$AF$20),"Outlier","OK")</f>
        <v>OK</v>
      </c>
      <c r="N1186" t="str">
        <f>IF(OR(J1186&lt;$AE$21,J1186&gt;$AF$21),"Outlier","OK")</f>
        <v>OK</v>
      </c>
      <c r="O1186" t="str">
        <f>IF(OR(C1186&lt;0,C1186&gt;1),"Outlier","OK")</f>
        <v>OK</v>
      </c>
      <c r="P1186" t="str">
        <f>IF(OR(D1186&lt;0,D1186&gt;1),"Outlier","OK")</f>
        <v>Outlier</v>
      </c>
      <c r="Q1186" t="str">
        <f t="shared" si="146"/>
        <v>40-60%</v>
      </c>
      <c r="R1186" t="str">
        <f>IF(B1186="","Missing","OK")</f>
        <v>OK</v>
      </c>
      <c r="S1186" t="str">
        <f>IF(E1186="","Missing","OK")</f>
        <v>OK</v>
      </c>
      <c r="T1186" t="str">
        <f t="shared" si="147"/>
        <v>OK</v>
      </c>
      <c r="U1186">
        <f>COUNTIF($A:$A,A1186)</f>
        <v>1</v>
      </c>
      <c r="V1186" t="str">
        <f t="shared" si="148"/>
        <v>OK</v>
      </c>
      <c r="W1186" t="str">
        <f>IF(I1186&gt;B1186,"ERROR","OK")</f>
        <v>OK</v>
      </c>
      <c r="X1186">
        <f>(B1186-I1186)/B1186</f>
        <v>0.48785817637269829</v>
      </c>
      <c r="Y1186" s="2">
        <f t="shared" si="149"/>
        <v>1.27675647831893E-15</v>
      </c>
      <c r="Z1186" s="2" t="str">
        <f t="shared" si="150"/>
        <v>OK</v>
      </c>
      <c r="AA1186" t="str">
        <f t="shared" si="151"/>
        <v>Unique</v>
      </c>
    </row>
    <row r="1187" spans="1:27" x14ac:dyDescent="0.3">
      <c r="A1187">
        <v>1186</v>
      </c>
      <c r="B1187">
        <v>370203.42315359903</v>
      </c>
      <c r="C1187">
        <v>0.87361034414337302</v>
      </c>
      <c r="D1187">
        <v>0.152323291435008</v>
      </c>
      <c r="E1187">
        <v>0.33957447567811</v>
      </c>
      <c r="F1187">
        <v>1</v>
      </c>
      <c r="G1187" t="s">
        <v>12</v>
      </c>
      <c r="H1187">
        <v>0</v>
      </c>
      <c r="I1187">
        <v>125711.633311625</v>
      </c>
      <c r="J1187">
        <v>0.66042552432188895</v>
      </c>
      <c r="K1187" t="str">
        <f t="shared" si="144"/>
        <v>OK</v>
      </c>
      <c r="L1187" t="str">
        <f t="shared" si="145"/>
        <v>OK</v>
      </c>
      <c r="M1187" t="str">
        <f>IF(OR(B1187&lt;$AE$20,B1187&gt;$AF$20),"Outlier","OK")</f>
        <v>OK</v>
      </c>
      <c r="N1187" t="str">
        <f>IF(OR(J1187&lt;$AE$21,J1187&gt;$AF$21),"Outlier","OK")</f>
        <v>OK</v>
      </c>
      <c r="O1187" t="str">
        <f>IF(OR(C1187&lt;0,C1187&gt;1),"Outlier","OK")</f>
        <v>OK</v>
      </c>
      <c r="P1187" t="str">
        <f>IF(OR(D1187&lt;0,D1187&gt;1),"Outlier","OK")</f>
        <v>OK</v>
      </c>
      <c r="Q1187" t="str">
        <f t="shared" si="146"/>
        <v>60-80%</v>
      </c>
      <c r="R1187" t="str">
        <f>IF(B1187="","Missing","OK")</f>
        <v>OK</v>
      </c>
      <c r="S1187" t="str">
        <f>IF(E1187="","Missing","OK")</f>
        <v>OK</v>
      </c>
      <c r="T1187" t="str">
        <f t="shared" si="147"/>
        <v>OK</v>
      </c>
      <c r="U1187">
        <f>COUNTIF($A:$A,A1187)</f>
        <v>1</v>
      </c>
      <c r="V1187" t="str">
        <f t="shared" si="148"/>
        <v>OK</v>
      </c>
      <c r="W1187" t="str">
        <f>IF(I1187&gt;B1187,"ERROR","OK")</f>
        <v>OK</v>
      </c>
      <c r="X1187">
        <f>(B1187-I1187)/B1187</f>
        <v>0.66042552432188972</v>
      </c>
      <c r="Y1187" s="2">
        <f t="shared" si="149"/>
        <v>7.7715611723760958E-16</v>
      </c>
      <c r="Z1187" s="2" t="str">
        <f t="shared" si="150"/>
        <v>OK</v>
      </c>
      <c r="AA1187" t="str">
        <f t="shared" si="151"/>
        <v>Unique</v>
      </c>
    </row>
    <row r="1188" spans="1:27" x14ac:dyDescent="0.3">
      <c r="A1188">
        <v>1187</v>
      </c>
      <c r="B1188">
        <v>85587.309085504996</v>
      </c>
      <c r="C1188">
        <v>0.70487995319241503</v>
      </c>
      <c r="D1188">
        <v>-5.4974460096679098E-2</v>
      </c>
      <c r="E1188">
        <v>4.1333391974496198E-3</v>
      </c>
      <c r="F1188">
        <v>1</v>
      </c>
      <c r="G1188" t="s">
        <v>10</v>
      </c>
      <c r="H1188">
        <v>1</v>
      </c>
      <c r="I1188">
        <v>353.76137944735399</v>
      </c>
      <c r="J1188">
        <v>0.99586666080255004</v>
      </c>
      <c r="K1188" t="str">
        <f t="shared" si="144"/>
        <v>OK</v>
      </c>
      <c r="L1188" t="str">
        <f t="shared" si="145"/>
        <v>OK</v>
      </c>
      <c r="M1188" t="str">
        <f>IF(OR(B1188&lt;$AE$20,B1188&gt;$AF$20),"Outlier","OK")</f>
        <v>OK</v>
      </c>
      <c r="N1188" t="str">
        <f>IF(OR(J1188&lt;$AE$21,J1188&gt;$AF$21),"Outlier","OK")</f>
        <v>Outlier</v>
      </c>
      <c r="O1188" t="str">
        <f>IF(OR(C1188&lt;0,C1188&gt;1),"Outlier","OK")</f>
        <v>OK</v>
      </c>
      <c r="P1188" t="str">
        <f>IF(OR(D1188&lt;0,D1188&gt;1),"Outlier","OK")</f>
        <v>Outlier</v>
      </c>
      <c r="Q1188" t="str">
        <f t="shared" si="146"/>
        <v>80-100%</v>
      </c>
      <c r="R1188" t="str">
        <f>IF(B1188="","Missing","OK")</f>
        <v>OK</v>
      </c>
      <c r="S1188" t="str">
        <f>IF(E1188="","Missing","OK")</f>
        <v>OK</v>
      </c>
      <c r="T1188" t="str">
        <f t="shared" si="147"/>
        <v>OK</v>
      </c>
      <c r="U1188">
        <f>COUNTIF($A:$A,A1188)</f>
        <v>1</v>
      </c>
      <c r="V1188" t="str">
        <f t="shared" si="148"/>
        <v>OK</v>
      </c>
      <c r="W1188" t="str">
        <f>IF(I1188&gt;B1188,"ERROR","OK")</f>
        <v>OK</v>
      </c>
      <c r="X1188">
        <f>(B1188-I1188)/B1188</f>
        <v>0.99586666080255037</v>
      </c>
      <c r="Y1188" s="2">
        <f t="shared" si="149"/>
        <v>3.3306690738754696E-16</v>
      </c>
      <c r="Z1188" s="2" t="str">
        <f t="shared" si="150"/>
        <v>OK</v>
      </c>
      <c r="AA1188" t="str">
        <f t="shared" si="151"/>
        <v>Unique</v>
      </c>
    </row>
    <row r="1189" spans="1:27" x14ac:dyDescent="0.3">
      <c r="A1189">
        <v>1188</v>
      </c>
      <c r="B1189">
        <v>741532.36772195296</v>
      </c>
      <c r="C1189">
        <v>0.85670872518945995</v>
      </c>
      <c r="D1189">
        <v>0.16165639938002799</v>
      </c>
      <c r="E1189">
        <v>0.374562020525114</v>
      </c>
      <c r="F1189">
        <v>1</v>
      </c>
      <c r="G1189" t="s">
        <v>11</v>
      </c>
      <c r="H1189">
        <v>0</v>
      </c>
      <c r="I1189">
        <v>277749.86193870701</v>
      </c>
      <c r="J1189">
        <v>0.625437979474885</v>
      </c>
      <c r="K1189" t="str">
        <f t="shared" si="144"/>
        <v>OK</v>
      </c>
      <c r="L1189" t="str">
        <f t="shared" si="145"/>
        <v>OK</v>
      </c>
      <c r="M1189" t="str">
        <f>IF(OR(B1189&lt;$AE$20,B1189&gt;$AF$20),"Outlier","OK")</f>
        <v>OK</v>
      </c>
      <c r="N1189" t="str">
        <f>IF(OR(J1189&lt;$AE$21,J1189&gt;$AF$21),"Outlier","OK")</f>
        <v>OK</v>
      </c>
      <c r="O1189" t="str">
        <f>IF(OR(C1189&lt;0,C1189&gt;1),"Outlier","OK")</f>
        <v>OK</v>
      </c>
      <c r="P1189" t="str">
        <f>IF(OR(D1189&lt;0,D1189&gt;1),"Outlier","OK")</f>
        <v>OK</v>
      </c>
      <c r="Q1189" t="str">
        <f t="shared" si="146"/>
        <v>60-80%</v>
      </c>
      <c r="R1189" t="str">
        <f>IF(B1189="","Missing","OK")</f>
        <v>OK</v>
      </c>
      <c r="S1189" t="str">
        <f>IF(E1189="","Missing","OK")</f>
        <v>OK</v>
      </c>
      <c r="T1189" t="str">
        <f t="shared" si="147"/>
        <v>OK</v>
      </c>
      <c r="U1189">
        <f>COUNTIF($A:$A,A1189)</f>
        <v>1</v>
      </c>
      <c r="V1189" t="str">
        <f t="shared" si="148"/>
        <v>OK</v>
      </c>
      <c r="W1189" t="str">
        <f>IF(I1189&gt;B1189,"ERROR","OK")</f>
        <v>OK</v>
      </c>
      <c r="X1189">
        <f>(B1189-I1189)/B1189</f>
        <v>0.62543797947488533</v>
      </c>
      <c r="Y1189" s="2">
        <f t="shared" si="149"/>
        <v>3.3306690738754696E-16</v>
      </c>
      <c r="Z1189" s="2" t="str">
        <f t="shared" si="150"/>
        <v>OK</v>
      </c>
      <c r="AA1189" t="str">
        <f t="shared" si="151"/>
        <v>Unique</v>
      </c>
    </row>
    <row r="1190" spans="1:27" x14ac:dyDescent="0.3">
      <c r="A1190">
        <v>1189</v>
      </c>
      <c r="B1190">
        <v>1660535.7846337899</v>
      </c>
      <c r="C1190">
        <v>0.54937250986247799</v>
      </c>
      <c r="D1190">
        <v>-0.117193094053006</v>
      </c>
      <c r="E1190">
        <v>0.499865750871123</v>
      </c>
      <c r="F1190">
        <v>1</v>
      </c>
      <c r="G1190" t="s">
        <v>10</v>
      </c>
      <c r="H1190">
        <v>0</v>
      </c>
      <c r="I1190">
        <v>830044.96683434094</v>
      </c>
      <c r="J1190">
        <v>0.50013424912887605</v>
      </c>
      <c r="K1190" t="str">
        <f t="shared" si="144"/>
        <v>OK</v>
      </c>
      <c r="L1190" t="str">
        <f t="shared" si="145"/>
        <v>OK</v>
      </c>
      <c r="M1190" t="str">
        <f>IF(OR(B1190&lt;$AE$20,B1190&gt;$AF$20),"Outlier","OK")</f>
        <v>OK</v>
      </c>
      <c r="N1190" t="str">
        <f>IF(OR(J1190&lt;$AE$21,J1190&gt;$AF$21),"Outlier","OK")</f>
        <v>OK</v>
      </c>
      <c r="O1190" t="str">
        <f>IF(OR(C1190&lt;0,C1190&gt;1),"Outlier","OK")</f>
        <v>OK</v>
      </c>
      <c r="P1190" t="str">
        <f>IF(OR(D1190&lt;0,D1190&gt;1),"Outlier","OK")</f>
        <v>Outlier</v>
      </c>
      <c r="Q1190" t="str">
        <f t="shared" si="146"/>
        <v>40-60%</v>
      </c>
      <c r="R1190" t="str">
        <f>IF(B1190="","Missing","OK")</f>
        <v>OK</v>
      </c>
      <c r="S1190" t="str">
        <f>IF(E1190="","Missing","OK")</f>
        <v>OK</v>
      </c>
      <c r="T1190" t="str">
        <f t="shared" si="147"/>
        <v>OK</v>
      </c>
      <c r="U1190">
        <f>COUNTIF($A:$A,A1190)</f>
        <v>1</v>
      </c>
      <c r="V1190" t="str">
        <f t="shared" si="148"/>
        <v>OK</v>
      </c>
      <c r="W1190" t="str">
        <f>IF(I1190&gt;B1190,"ERROR","OK")</f>
        <v>OK</v>
      </c>
      <c r="X1190">
        <f>(B1190-I1190)/B1190</f>
        <v>0.50013424912887572</v>
      </c>
      <c r="Y1190" s="2">
        <f t="shared" si="149"/>
        <v>3.3306690738754696E-16</v>
      </c>
      <c r="Z1190" s="2" t="str">
        <f t="shared" si="150"/>
        <v>OK</v>
      </c>
      <c r="AA1190" t="str">
        <f t="shared" si="151"/>
        <v>Unique</v>
      </c>
    </row>
    <row r="1191" spans="1:27" x14ac:dyDescent="0.3">
      <c r="A1191">
        <v>1190</v>
      </c>
      <c r="B1191">
        <v>642139.95479584497</v>
      </c>
      <c r="C1191">
        <v>0.20447768874036201</v>
      </c>
      <c r="D1191">
        <v>3.10086103316011E-2</v>
      </c>
      <c r="E1191">
        <v>6.1499238555594998E-2</v>
      </c>
      <c r="F1191">
        <v>1</v>
      </c>
      <c r="G1191" t="s">
        <v>12</v>
      </c>
      <c r="H1191">
        <v>0</v>
      </c>
      <c r="I1191">
        <v>39491.118266068603</v>
      </c>
      <c r="J1191">
        <v>0.93850076144440497</v>
      </c>
      <c r="K1191" t="str">
        <f t="shared" si="144"/>
        <v>OK</v>
      </c>
      <c r="L1191" t="str">
        <f t="shared" si="145"/>
        <v>OK</v>
      </c>
      <c r="M1191" t="str">
        <f>IF(OR(B1191&lt;$AE$20,B1191&gt;$AF$20),"Outlier","OK")</f>
        <v>OK</v>
      </c>
      <c r="N1191" t="str">
        <f>IF(OR(J1191&lt;$AE$21,J1191&gt;$AF$21),"Outlier","OK")</f>
        <v>OK</v>
      </c>
      <c r="O1191" t="str">
        <f>IF(OR(C1191&lt;0,C1191&gt;1),"Outlier","OK")</f>
        <v>OK</v>
      </c>
      <c r="P1191" t="str">
        <f>IF(OR(D1191&lt;0,D1191&gt;1),"Outlier","OK")</f>
        <v>OK</v>
      </c>
      <c r="Q1191" t="str">
        <f t="shared" si="146"/>
        <v>80-100%</v>
      </c>
      <c r="R1191" t="str">
        <f>IF(B1191="","Missing","OK")</f>
        <v>OK</v>
      </c>
      <c r="S1191" t="str">
        <f>IF(E1191="","Missing","OK")</f>
        <v>OK</v>
      </c>
      <c r="T1191" t="str">
        <f t="shared" si="147"/>
        <v>OK</v>
      </c>
      <c r="U1191">
        <f>COUNTIF($A:$A,A1191)</f>
        <v>1</v>
      </c>
      <c r="V1191" t="str">
        <f t="shared" si="148"/>
        <v>OK</v>
      </c>
      <c r="W1191" t="str">
        <f>IF(I1191&gt;B1191,"ERROR","OK")</f>
        <v>OK</v>
      </c>
      <c r="X1191">
        <f>(B1191-I1191)/B1191</f>
        <v>0.93850076144440508</v>
      </c>
      <c r="Y1191" s="2">
        <f t="shared" si="149"/>
        <v>1.1102230246251565E-16</v>
      </c>
      <c r="Z1191" s="2" t="str">
        <f t="shared" si="150"/>
        <v>OK</v>
      </c>
      <c r="AA1191" t="str">
        <f t="shared" si="151"/>
        <v>Unique</v>
      </c>
    </row>
    <row r="1192" spans="1:27" x14ac:dyDescent="0.3">
      <c r="A1192">
        <v>1191</v>
      </c>
      <c r="B1192">
        <v>1434694.48616248</v>
      </c>
      <c r="C1192">
        <v>0.12366415723771799</v>
      </c>
      <c r="D1192">
        <v>0.128868296029749</v>
      </c>
      <c r="E1192">
        <v>7.3321298891226197E-2</v>
      </c>
      <c r="F1192">
        <v>1</v>
      </c>
      <c r="G1192" t="s">
        <v>10</v>
      </c>
      <c r="H1192">
        <v>0</v>
      </c>
      <c r="I1192">
        <v>105193.663237514</v>
      </c>
      <c r="J1192">
        <v>0.92667870110877304</v>
      </c>
      <c r="K1192" t="str">
        <f t="shared" si="144"/>
        <v>OK</v>
      </c>
      <c r="L1192" t="str">
        <f t="shared" si="145"/>
        <v>OK</v>
      </c>
      <c r="M1192" t="str">
        <f>IF(OR(B1192&lt;$AE$20,B1192&gt;$AF$20),"Outlier","OK")</f>
        <v>OK</v>
      </c>
      <c r="N1192" t="str">
        <f>IF(OR(J1192&lt;$AE$21,J1192&gt;$AF$21),"Outlier","OK")</f>
        <v>OK</v>
      </c>
      <c r="O1192" t="str">
        <f>IF(OR(C1192&lt;0,C1192&gt;1),"Outlier","OK")</f>
        <v>OK</v>
      </c>
      <c r="P1192" t="str">
        <f>IF(OR(D1192&lt;0,D1192&gt;1),"Outlier","OK")</f>
        <v>OK</v>
      </c>
      <c r="Q1192" t="str">
        <f t="shared" si="146"/>
        <v>80-100%</v>
      </c>
      <c r="R1192" t="str">
        <f>IF(B1192="","Missing","OK")</f>
        <v>OK</v>
      </c>
      <c r="S1192" t="str">
        <f>IF(E1192="","Missing","OK")</f>
        <v>OK</v>
      </c>
      <c r="T1192" t="str">
        <f t="shared" si="147"/>
        <v>OK</v>
      </c>
      <c r="U1192">
        <f>COUNTIF($A:$A,A1192)</f>
        <v>1</v>
      </c>
      <c r="V1192" t="str">
        <f t="shared" si="148"/>
        <v>OK</v>
      </c>
      <c r="W1192" t="str">
        <f>IF(I1192&gt;B1192,"ERROR","OK")</f>
        <v>OK</v>
      </c>
      <c r="X1192">
        <f>(B1192-I1192)/B1192</f>
        <v>0.92667870110877337</v>
      </c>
      <c r="Y1192" s="2">
        <f t="shared" si="149"/>
        <v>3.3306690738754696E-16</v>
      </c>
      <c r="Z1192" s="2" t="str">
        <f t="shared" si="150"/>
        <v>OK</v>
      </c>
      <c r="AA1192" t="str">
        <f t="shared" si="151"/>
        <v>Unique</v>
      </c>
    </row>
    <row r="1193" spans="1:27" x14ac:dyDescent="0.3">
      <c r="A1193">
        <v>1192</v>
      </c>
      <c r="B1193">
        <v>1471033.1479209899</v>
      </c>
      <c r="C1193">
        <v>0.27890861382141902</v>
      </c>
      <c r="D1193">
        <v>0.15441836471377299</v>
      </c>
      <c r="E1193">
        <v>0.37943135889554702</v>
      </c>
      <c r="F1193">
        <v>1</v>
      </c>
      <c r="G1193" t="s">
        <v>10</v>
      </c>
      <c r="H1193">
        <v>1</v>
      </c>
      <c r="I1193">
        <v>558156.10629605805</v>
      </c>
      <c r="J1193">
        <v>0.62056864110445198</v>
      </c>
      <c r="K1193" t="str">
        <f t="shared" si="144"/>
        <v>OK</v>
      </c>
      <c r="L1193" t="str">
        <f t="shared" si="145"/>
        <v>OK</v>
      </c>
      <c r="M1193" t="str">
        <f>IF(OR(B1193&lt;$AE$20,B1193&gt;$AF$20),"Outlier","OK")</f>
        <v>OK</v>
      </c>
      <c r="N1193" t="str">
        <f>IF(OR(J1193&lt;$AE$21,J1193&gt;$AF$21),"Outlier","OK")</f>
        <v>OK</v>
      </c>
      <c r="O1193" t="str">
        <f>IF(OR(C1193&lt;0,C1193&gt;1),"Outlier","OK")</f>
        <v>OK</v>
      </c>
      <c r="P1193" t="str">
        <f>IF(OR(D1193&lt;0,D1193&gt;1),"Outlier","OK")</f>
        <v>OK</v>
      </c>
      <c r="Q1193" t="str">
        <f t="shared" si="146"/>
        <v>60-80%</v>
      </c>
      <c r="R1193" t="str">
        <f>IF(B1193="","Missing","OK")</f>
        <v>OK</v>
      </c>
      <c r="S1193" t="str">
        <f>IF(E1193="","Missing","OK")</f>
        <v>OK</v>
      </c>
      <c r="T1193" t="str">
        <f t="shared" si="147"/>
        <v>OK</v>
      </c>
      <c r="U1193">
        <f>COUNTIF($A:$A,A1193)</f>
        <v>1</v>
      </c>
      <c r="V1193" t="str">
        <f t="shared" si="148"/>
        <v>OK</v>
      </c>
      <c r="W1193" t="str">
        <f>IF(I1193&gt;B1193,"ERROR","OK")</f>
        <v>OK</v>
      </c>
      <c r="X1193">
        <f>(B1193-I1193)/B1193</f>
        <v>0.6205686411044512</v>
      </c>
      <c r="Y1193" s="2">
        <f t="shared" si="149"/>
        <v>7.7715611723760958E-16</v>
      </c>
      <c r="Z1193" s="2" t="str">
        <f t="shared" si="150"/>
        <v>OK</v>
      </c>
      <c r="AA1193" t="str">
        <f t="shared" si="151"/>
        <v>Unique</v>
      </c>
    </row>
    <row r="1194" spans="1:27" x14ac:dyDescent="0.3">
      <c r="A1194">
        <v>1193</v>
      </c>
      <c r="B1194">
        <v>99835.104207221098</v>
      </c>
      <c r="C1194">
        <v>0.309862490209387</v>
      </c>
      <c r="D1194">
        <v>-7.0776517530900002E-2</v>
      </c>
      <c r="E1194">
        <v>0.14141471986551199</v>
      </c>
      <c r="F1194">
        <v>1</v>
      </c>
      <c r="G1194" t="s">
        <v>11</v>
      </c>
      <c r="H1194">
        <v>0</v>
      </c>
      <c r="I1194">
        <v>14118.1532942084</v>
      </c>
      <c r="J1194">
        <v>0.85858528013448698</v>
      </c>
      <c r="K1194" t="str">
        <f t="shared" si="144"/>
        <v>OK</v>
      </c>
      <c r="L1194" t="str">
        <f t="shared" si="145"/>
        <v>OK</v>
      </c>
      <c r="M1194" t="str">
        <f>IF(OR(B1194&lt;$AE$20,B1194&gt;$AF$20),"Outlier","OK")</f>
        <v>OK</v>
      </c>
      <c r="N1194" t="str">
        <f>IF(OR(J1194&lt;$AE$21,J1194&gt;$AF$21),"Outlier","OK")</f>
        <v>OK</v>
      </c>
      <c r="O1194" t="str">
        <f>IF(OR(C1194&lt;0,C1194&gt;1),"Outlier","OK")</f>
        <v>OK</v>
      </c>
      <c r="P1194" t="str">
        <f>IF(OR(D1194&lt;0,D1194&gt;1),"Outlier","OK")</f>
        <v>Outlier</v>
      </c>
      <c r="Q1194" t="str">
        <f t="shared" si="146"/>
        <v>80-100%</v>
      </c>
      <c r="R1194" t="str">
        <f>IF(B1194="","Missing","OK")</f>
        <v>OK</v>
      </c>
      <c r="S1194" t="str">
        <f>IF(E1194="","Missing","OK")</f>
        <v>OK</v>
      </c>
      <c r="T1194" t="str">
        <f t="shared" si="147"/>
        <v>OK</v>
      </c>
      <c r="U1194">
        <f>COUNTIF($A:$A,A1194)</f>
        <v>1</v>
      </c>
      <c r="V1194" t="str">
        <f t="shared" si="148"/>
        <v>OK</v>
      </c>
      <c r="W1194" t="str">
        <f>IF(I1194&gt;B1194,"ERROR","OK")</f>
        <v>OK</v>
      </c>
      <c r="X1194">
        <f>(B1194-I1194)/B1194</f>
        <v>0.85858528013448765</v>
      </c>
      <c r="Y1194" s="2">
        <f t="shared" si="149"/>
        <v>6.6613381477509392E-16</v>
      </c>
      <c r="Z1194" s="2" t="str">
        <f t="shared" si="150"/>
        <v>OK</v>
      </c>
      <c r="AA1194" t="str">
        <f t="shared" si="151"/>
        <v>Unique</v>
      </c>
    </row>
    <row r="1195" spans="1:27" x14ac:dyDescent="0.3">
      <c r="A1195">
        <v>1194</v>
      </c>
      <c r="B1195">
        <v>1925480.95072134</v>
      </c>
      <c r="C1195">
        <v>0.72650045564577603</v>
      </c>
      <c r="D1195">
        <v>-0.158238153478784</v>
      </c>
      <c r="E1195">
        <v>0.35911895820800999</v>
      </c>
      <c r="F1195">
        <v>1</v>
      </c>
      <c r="G1195" t="s">
        <v>10</v>
      </c>
      <c r="H1195">
        <v>0</v>
      </c>
      <c r="I1195">
        <v>691476.71307241998</v>
      </c>
      <c r="J1195">
        <v>0.64088104179198901</v>
      </c>
      <c r="K1195" t="str">
        <f t="shared" si="144"/>
        <v>OK</v>
      </c>
      <c r="L1195" t="str">
        <f t="shared" si="145"/>
        <v>OK</v>
      </c>
      <c r="M1195" t="str">
        <f>IF(OR(B1195&lt;$AE$20,B1195&gt;$AF$20),"Outlier","OK")</f>
        <v>OK</v>
      </c>
      <c r="N1195" t="str">
        <f>IF(OR(J1195&lt;$AE$21,J1195&gt;$AF$21),"Outlier","OK")</f>
        <v>OK</v>
      </c>
      <c r="O1195" t="str">
        <f>IF(OR(C1195&lt;0,C1195&gt;1),"Outlier","OK")</f>
        <v>OK</v>
      </c>
      <c r="P1195" t="str">
        <f>IF(OR(D1195&lt;0,D1195&gt;1),"Outlier","OK")</f>
        <v>Outlier</v>
      </c>
      <c r="Q1195" t="str">
        <f t="shared" si="146"/>
        <v>60-80%</v>
      </c>
      <c r="R1195" t="str">
        <f>IF(B1195="","Missing","OK")</f>
        <v>OK</v>
      </c>
      <c r="S1195" t="str">
        <f>IF(E1195="","Missing","OK")</f>
        <v>OK</v>
      </c>
      <c r="T1195" t="str">
        <f t="shared" si="147"/>
        <v>OK</v>
      </c>
      <c r="U1195">
        <f>COUNTIF($A:$A,A1195)</f>
        <v>1</v>
      </c>
      <c r="V1195" t="str">
        <f t="shared" si="148"/>
        <v>OK</v>
      </c>
      <c r="W1195" t="str">
        <f>IF(I1195&gt;B1195,"ERROR","OK")</f>
        <v>OK</v>
      </c>
      <c r="X1195">
        <f>(B1195-I1195)/B1195</f>
        <v>0.64088104179198813</v>
      </c>
      <c r="Y1195" s="2">
        <f t="shared" si="149"/>
        <v>8.8817841970012523E-16</v>
      </c>
      <c r="Z1195" s="2" t="str">
        <f t="shared" si="150"/>
        <v>OK</v>
      </c>
      <c r="AA1195" t="str">
        <f t="shared" si="151"/>
        <v>Unique</v>
      </c>
    </row>
    <row r="1196" spans="1:27" x14ac:dyDescent="0.3">
      <c r="A1196">
        <v>1195</v>
      </c>
      <c r="B1196">
        <v>321068.31633052102</v>
      </c>
      <c r="C1196">
        <v>0.50996009852812696</v>
      </c>
      <c r="D1196">
        <v>-0.107652159420697</v>
      </c>
      <c r="E1196">
        <v>0.52102186256224803</v>
      </c>
      <c r="F1196">
        <v>1</v>
      </c>
      <c r="G1196" t="s">
        <v>12</v>
      </c>
      <c r="H1196">
        <v>0</v>
      </c>
      <c r="I1196">
        <v>167283.612184253</v>
      </c>
      <c r="J1196">
        <v>0.47897813743775097</v>
      </c>
      <c r="K1196" t="str">
        <f t="shared" si="144"/>
        <v>OK</v>
      </c>
      <c r="L1196" t="str">
        <f t="shared" si="145"/>
        <v>OK</v>
      </c>
      <c r="M1196" t="str">
        <f>IF(OR(B1196&lt;$AE$20,B1196&gt;$AF$20),"Outlier","OK")</f>
        <v>OK</v>
      </c>
      <c r="N1196" t="str">
        <f>IF(OR(J1196&lt;$AE$21,J1196&gt;$AF$21),"Outlier","OK")</f>
        <v>OK</v>
      </c>
      <c r="O1196" t="str">
        <f>IF(OR(C1196&lt;0,C1196&gt;1),"Outlier","OK")</f>
        <v>OK</v>
      </c>
      <c r="P1196" t="str">
        <f>IF(OR(D1196&lt;0,D1196&gt;1),"Outlier","OK")</f>
        <v>Outlier</v>
      </c>
      <c r="Q1196" t="str">
        <f t="shared" si="146"/>
        <v>40-60%</v>
      </c>
      <c r="R1196" t="str">
        <f>IF(B1196="","Missing","OK")</f>
        <v>OK</v>
      </c>
      <c r="S1196" t="str">
        <f>IF(E1196="","Missing","OK")</f>
        <v>OK</v>
      </c>
      <c r="T1196" t="str">
        <f t="shared" si="147"/>
        <v>OK</v>
      </c>
      <c r="U1196">
        <f>COUNTIF($A:$A,A1196)</f>
        <v>1</v>
      </c>
      <c r="V1196" t="str">
        <f t="shared" si="148"/>
        <v>OK</v>
      </c>
      <c r="W1196" t="str">
        <f>IF(I1196&gt;B1196,"ERROR","OK")</f>
        <v>OK</v>
      </c>
      <c r="X1196">
        <f>(B1196-I1196)/B1196</f>
        <v>0.4789781374377523</v>
      </c>
      <c r="Y1196" s="2">
        <f t="shared" si="149"/>
        <v>1.3322676295501878E-15</v>
      </c>
      <c r="Z1196" s="2" t="str">
        <f t="shared" si="150"/>
        <v>OK</v>
      </c>
      <c r="AA1196" t="str">
        <f t="shared" si="151"/>
        <v>Unique</v>
      </c>
    </row>
    <row r="1197" spans="1:27" x14ac:dyDescent="0.3">
      <c r="A1197">
        <v>1196</v>
      </c>
      <c r="B1197">
        <v>1449056.7291420801</v>
      </c>
      <c r="C1197">
        <v>0.879610174430003</v>
      </c>
      <c r="D1197">
        <v>-0.121521762108992</v>
      </c>
      <c r="E1197">
        <v>0.23044795921957201</v>
      </c>
      <c r="F1197">
        <v>1</v>
      </c>
      <c r="G1197" t="s">
        <v>12</v>
      </c>
      <c r="H1197">
        <v>0</v>
      </c>
      <c r="I1197">
        <v>333932.16602418298</v>
      </c>
      <c r="J1197">
        <v>0.76955204078042705</v>
      </c>
      <c r="K1197" t="str">
        <f t="shared" si="144"/>
        <v>OK</v>
      </c>
      <c r="L1197" t="str">
        <f t="shared" si="145"/>
        <v>OK</v>
      </c>
      <c r="M1197" t="str">
        <f>IF(OR(B1197&lt;$AE$20,B1197&gt;$AF$20),"Outlier","OK")</f>
        <v>OK</v>
      </c>
      <c r="N1197" t="str">
        <f>IF(OR(J1197&lt;$AE$21,J1197&gt;$AF$21),"Outlier","OK")</f>
        <v>OK</v>
      </c>
      <c r="O1197" t="str">
        <f>IF(OR(C1197&lt;0,C1197&gt;1),"Outlier","OK")</f>
        <v>OK</v>
      </c>
      <c r="P1197" t="str">
        <f>IF(OR(D1197&lt;0,D1197&gt;1),"Outlier","OK")</f>
        <v>Outlier</v>
      </c>
      <c r="Q1197" t="str">
        <f t="shared" si="146"/>
        <v>60-80%</v>
      </c>
      <c r="R1197" t="str">
        <f>IF(B1197="","Missing","OK")</f>
        <v>OK</v>
      </c>
      <c r="S1197" t="str">
        <f>IF(E1197="","Missing","OK")</f>
        <v>OK</v>
      </c>
      <c r="T1197" t="str">
        <f t="shared" si="147"/>
        <v>OK</v>
      </c>
      <c r="U1197">
        <f>COUNTIF($A:$A,A1197)</f>
        <v>1</v>
      </c>
      <c r="V1197" t="str">
        <f t="shared" si="148"/>
        <v>OK</v>
      </c>
      <c r="W1197" t="str">
        <f>IF(I1197&gt;B1197,"ERROR","OK")</f>
        <v>OK</v>
      </c>
      <c r="X1197">
        <f>(B1197-I1197)/B1197</f>
        <v>0.76955204078042627</v>
      </c>
      <c r="Y1197" s="2">
        <f t="shared" si="149"/>
        <v>7.7715611723760958E-16</v>
      </c>
      <c r="Z1197" s="2" t="str">
        <f t="shared" si="150"/>
        <v>OK</v>
      </c>
      <c r="AA1197" t="str">
        <f t="shared" si="151"/>
        <v>Unique</v>
      </c>
    </row>
    <row r="1198" spans="1:27" x14ac:dyDescent="0.3">
      <c r="A1198">
        <v>1197</v>
      </c>
      <c r="B1198">
        <v>789914.11315741099</v>
      </c>
      <c r="C1198">
        <v>0.111304629450446</v>
      </c>
      <c r="D1198">
        <v>-0.17011563442040101</v>
      </c>
      <c r="E1198">
        <v>0.15916394025910099</v>
      </c>
      <c r="F1198">
        <v>1</v>
      </c>
      <c r="G1198" t="s">
        <v>10</v>
      </c>
      <c r="H1198">
        <v>0</v>
      </c>
      <c r="I1198">
        <v>125725.842716407</v>
      </c>
      <c r="J1198">
        <v>0.84083605974089803</v>
      </c>
      <c r="K1198" t="str">
        <f t="shared" si="144"/>
        <v>OK</v>
      </c>
      <c r="L1198" t="str">
        <f t="shared" si="145"/>
        <v>OK</v>
      </c>
      <c r="M1198" t="str">
        <f>IF(OR(B1198&lt;$AE$20,B1198&gt;$AF$20),"Outlier","OK")</f>
        <v>OK</v>
      </c>
      <c r="N1198" t="str">
        <f>IF(OR(J1198&lt;$AE$21,J1198&gt;$AF$21),"Outlier","OK")</f>
        <v>OK</v>
      </c>
      <c r="O1198" t="str">
        <f>IF(OR(C1198&lt;0,C1198&gt;1),"Outlier","OK")</f>
        <v>OK</v>
      </c>
      <c r="P1198" t="str">
        <f>IF(OR(D1198&lt;0,D1198&gt;1),"Outlier","OK")</f>
        <v>Outlier</v>
      </c>
      <c r="Q1198" t="str">
        <f t="shared" si="146"/>
        <v>80-100%</v>
      </c>
      <c r="R1198" t="str">
        <f>IF(B1198="","Missing","OK")</f>
        <v>OK</v>
      </c>
      <c r="S1198" t="str">
        <f>IF(E1198="","Missing","OK")</f>
        <v>OK</v>
      </c>
      <c r="T1198" t="str">
        <f t="shared" si="147"/>
        <v>OK</v>
      </c>
      <c r="U1198">
        <f>COUNTIF($A:$A,A1198)</f>
        <v>1</v>
      </c>
      <c r="V1198" t="str">
        <f t="shared" si="148"/>
        <v>OK</v>
      </c>
      <c r="W1198" t="str">
        <f>IF(I1198&gt;B1198,"ERROR","OK")</f>
        <v>OK</v>
      </c>
      <c r="X1198">
        <f>(B1198-I1198)/B1198</f>
        <v>0.84083605974089881</v>
      </c>
      <c r="Y1198" s="2">
        <f t="shared" si="149"/>
        <v>7.7715611723760958E-16</v>
      </c>
      <c r="Z1198" s="2" t="str">
        <f t="shared" si="150"/>
        <v>OK</v>
      </c>
      <c r="AA1198" t="str">
        <f t="shared" si="151"/>
        <v>Unique</v>
      </c>
    </row>
    <row r="1199" spans="1:27" x14ac:dyDescent="0.3">
      <c r="A1199">
        <v>1198</v>
      </c>
      <c r="B1199">
        <v>1743033.95835936</v>
      </c>
      <c r="C1199">
        <v>0.25547489586349897</v>
      </c>
      <c r="D1199">
        <v>1.49736288681736E-2</v>
      </c>
      <c r="E1199">
        <v>0.11031032508854</v>
      </c>
      <c r="F1199">
        <v>1</v>
      </c>
      <c r="G1199" t="s">
        <v>13</v>
      </c>
      <c r="H1199">
        <v>0</v>
      </c>
      <c r="I1199">
        <v>192274.642586987</v>
      </c>
      <c r="J1199">
        <v>0.88968967491145901</v>
      </c>
      <c r="K1199" t="str">
        <f t="shared" si="144"/>
        <v>OK</v>
      </c>
      <c r="L1199" t="str">
        <f t="shared" si="145"/>
        <v>OK</v>
      </c>
      <c r="M1199" t="str">
        <f>IF(OR(B1199&lt;$AE$20,B1199&gt;$AF$20),"Outlier","OK")</f>
        <v>OK</v>
      </c>
      <c r="N1199" t="str">
        <f>IF(OR(J1199&lt;$AE$21,J1199&gt;$AF$21),"Outlier","OK")</f>
        <v>OK</v>
      </c>
      <c r="O1199" t="str">
        <f>IF(OR(C1199&lt;0,C1199&gt;1),"Outlier","OK")</f>
        <v>OK</v>
      </c>
      <c r="P1199" t="str">
        <f>IF(OR(D1199&lt;0,D1199&gt;1),"Outlier","OK")</f>
        <v>OK</v>
      </c>
      <c r="Q1199" t="str">
        <f t="shared" si="146"/>
        <v>80-100%</v>
      </c>
      <c r="R1199" t="str">
        <f>IF(B1199="","Missing","OK")</f>
        <v>OK</v>
      </c>
      <c r="S1199" t="str">
        <f>IF(E1199="","Missing","OK")</f>
        <v>OK</v>
      </c>
      <c r="T1199" t="str">
        <f t="shared" si="147"/>
        <v>OK</v>
      </c>
      <c r="U1199">
        <f>COUNTIF($A:$A,A1199)</f>
        <v>1</v>
      </c>
      <c r="V1199" t="str">
        <f t="shared" si="148"/>
        <v>OK</v>
      </c>
      <c r="W1199" t="str">
        <f>IF(I1199&gt;B1199,"ERROR","OK")</f>
        <v>OK</v>
      </c>
      <c r="X1199">
        <f>(B1199-I1199)/B1199</f>
        <v>0.88968967491145923</v>
      </c>
      <c r="Y1199" s="2">
        <f t="shared" si="149"/>
        <v>2.2204460492503131E-16</v>
      </c>
      <c r="Z1199" s="2" t="str">
        <f t="shared" si="150"/>
        <v>OK</v>
      </c>
      <c r="AA1199" t="str">
        <f t="shared" si="151"/>
        <v>Unique</v>
      </c>
    </row>
    <row r="1200" spans="1:27" x14ac:dyDescent="0.3">
      <c r="A1200">
        <v>1199</v>
      </c>
      <c r="B1200">
        <v>1990174.00542628</v>
      </c>
      <c r="C1200">
        <v>0.30963811085366399</v>
      </c>
      <c r="D1200">
        <v>7.4302176511411605E-2</v>
      </c>
      <c r="E1200">
        <v>0.132381427087753</v>
      </c>
      <c r="F1200">
        <v>1</v>
      </c>
      <c r="G1200" t="s">
        <v>12</v>
      </c>
      <c r="H1200">
        <v>1</v>
      </c>
      <c r="I1200">
        <v>263462.07499128202</v>
      </c>
      <c r="J1200">
        <v>0.86761857291224598</v>
      </c>
      <c r="K1200" t="str">
        <f t="shared" si="144"/>
        <v>OK</v>
      </c>
      <c r="L1200" t="str">
        <f t="shared" si="145"/>
        <v>OK</v>
      </c>
      <c r="M1200" t="str">
        <f>IF(OR(B1200&lt;$AE$20,B1200&gt;$AF$20),"Outlier","OK")</f>
        <v>Outlier</v>
      </c>
      <c r="N1200" t="str">
        <f>IF(OR(J1200&lt;$AE$21,J1200&gt;$AF$21),"Outlier","OK")</f>
        <v>OK</v>
      </c>
      <c r="O1200" t="str">
        <f>IF(OR(C1200&lt;0,C1200&gt;1),"Outlier","OK")</f>
        <v>OK</v>
      </c>
      <c r="P1200" t="str">
        <f>IF(OR(D1200&lt;0,D1200&gt;1),"Outlier","OK")</f>
        <v>OK</v>
      </c>
      <c r="Q1200" t="str">
        <f t="shared" si="146"/>
        <v>80-100%</v>
      </c>
      <c r="R1200" t="str">
        <f>IF(B1200="","Missing","OK")</f>
        <v>OK</v>
      </c>
      <c r="S1200" t="str">
        <f>IF(E1200="","Missing","OK")</f>
        <v>OK</v>
      </c>
      <c r="T1200" t="str">
        <f t="shared" si="147"/>
        <v>OK</v>
      </c>
      <c r="U1200">
        <f>COUNTIF($A:$A,A1200)</f>
        <v>1</v>
      </c>
      <c r="V1200" t="str">
        <f t="shared" si="148"/>
        <v>OK</v>
      </c>
      <c r="W1200" t="str">
        <f>IF(I1200&gt;B1200,"ERROR","OK")</f>
        <v>OK</v>
      </c>
      <c r="X1200">
        <f>(B1200-I1200)/B1200</f>
        <v>0.8676185729122462</v>
      </c>
      <c r="Y1200" s="2">
        <f t="shared" si="149"/>
        <v>2.2204460492503131E-16</v>
      </c>
      <c r="Z1200" s="2" t="str">
        <f t="shared" si="150"/>
        <v>OK</v>
      </c>
      <c r="AA1200" t="str">
        <f t="shared" si="151"/>
        <v>Unique</v>
      </c>
    </row>
    <row r="1201" spans="1:27" x14ac:dyDescent="0.3">
      <c r="A1201">
        <v>1200</v>
      </c>
      <c r="B1201">
        <v>426979.78634768003</v>
      </c>
      <c r="C1201">
        <v>0.54524695262891698</v>
      </c>
      <c r="D1201">
        <v>-0.137181994131098</v>
      </c>
      <c r="E1201">
        <v>0.50795369446024397</v>
      </c>
      <c r="F1201">
        <v>1</v>
      </c>
      <c r="G1201" t="s">
        <v>13</v>
      </c>
      <c r="H1201">
        <v>1</v>
      </c>
      <c r="I1201">
        <v>216885.95993514999</v>
      </c>
      <c r="J1201">
        <v>0.49204630553975498</v>
      </c>
      <c r="K1201" t="str">
        <f t="shared" si="144"/>
        <v>OK</v>
      </c>
      <c r="L1201" t="str">
        <f t="shared" si="145"/>
        <v>OK</v>
      </c>
      <c r="M1201" t="str">
        <f>IF(OR(B1201&lt;$AE$20,B1201&gt;$AF$20),"Outlier","OK")</f>
        <v>OK</v>
      </c>
      <c r="N1201" t="str">
        <f>IF(OR(J1201&lt;$AE$21,J1201&gt;$AF$21),"Outlier","OK")</f>
        <v>OK</v>
      </c>
      <c r="O1201" t="str">
        <f>IF(OR(C1201&lt;0,C1201&gt;1),"Outlier","OK")</f>
        <v>OK</v>
      </c>
      <c r="P1201" t="str">
        <f>IF(OR(D1201&lt;0,D1201&gt;1),"Outlier","OK")</f>
        <v>Outlier</v>
      </c>
      <c r="Q1201" t="str">
        <f t="shared" si="146"/>
        <v>40-60%</v>
      </c>
      <c r="R1201" t="str">
        <f>IF(B1201="","Missing","OK")</f>
        <v>OK</v>
      </c>
      <c r="S1201" t="str">
        <f>IF(E1201="","Missing","OK")</f>
        <v>OK</v>
      </c>
      <c r="T1201" t="str">
        <f t="shared" si="147"/>
        <v>OK</v>
      </c>
      <c r="U1201">
        <f>COUNTIF($A:$A,A1201)</f>
        <v>1</v>
      </c>
      <c r="V1201" t="str">
        <f t="shared" si="148"/>
        <v>OK</v>
      </c>
      <c r="W1201" t="str">
        <f>IF(I1201&gt;B1201,"ERROR","OK")</f>
        <v>OK</v>
      </c>
      <c r="X1201">
        <f>(B1201-I1201)/B1201</f>
        <v>0.49204630553975537</v>
      </c>
      <c r="Y1201" s="2">
        <f t="shared" si="149"/>
        <v>3.8857805861880479E-16</v>
      </c>
      <c r="Z1201" s="2" t="str">
        <f t="shared" si="150"/>
        <v>OK</v>
      </c>
      <c r="AA1201" t="str">
        <f t="shared" si="151"/>
        <v>Unique</v>
      </c>
    </row>
    <row r="1202" spans="1:27" x14ac:dyDescent="0.3">
      <c r="A1202">
        <v>1201</v>
      </c>
      <c r="B1202">
        <v>1647938.45519384</v>
      </c>
      <c r="C1202">
        <v>0.66870750036249704</v>
      </c>
      <c r="D1202">
        <v>1.46071755363625E-2</v>
      </c>
      <c r="E1202">
        <v>7.3183355581785195E-2</v>
      </c>
      <c r="F1202">
        <v>1</v>
      </c>
      <c r="G1202" t="s">
        <v>12</v>
      </c>
      <c r="H1202">
        <v>1</v>
      </c>
      <c r="I1202">
        <v>120601.665943349</v>
      </c>
      <c r="J1202">
        <v>0.92681664441821399</v>
      </c>
      <c r="K1202" t="str">
        <f t="shared" si="144"/>
        <v>OK</v>
      </c>
      <c r="L1202" t="str">
        <f t="shared" si="145"/>
        <v>OK</v>
      </c>
      <c r="M1202" t="str">
        <f>IF(OR(B1202&lt;$AE$20,B1202&gt;$AF$20),"Outlier","OK")</f>
        <v>OK</v>
      </c>
      <c r="N1202" t="str">
        <f>IF(OR(J1202&lt;$AE$21,J1202&gt;$AF$21),"Outlier","OK")</f>
        <v>OK</v>
      </c>
      <c r="O1202" t="str">
        <f>IF(OR(C1202&lt;0,C1202&gt;1),"Outlier","OK")</f>
        <v>OK</v>
      </c>
      <c r="P1202" t="str">
        <f>IF(OR(D1202&lt;0,D1202&gt;1),"Outlier","OK")</f>
        <v>OK</v>
      </c>
      <c r="Q1202" t="str">
        <f t="shared" si="146"/>
        <v>80-100%</v>
      </c>
      <c r="R1202" t="str">
        <f>IF(B1202="","Missing","OK")</f>
        <v>OK</v>
      </c>
      <c r="S1202" t="str">
        <f>IF(E1202="","Missing","OK")</f>
        <v>OK</v>
      </c>
      <c r="T1202" t="str">
        <f t="shared" si="147"/>
        <v>OK</v>
      </c>
      <c r="U1202">
        <f>COUNTIF($A:$A,A1202)</f>
        <v>1</v>
      </c>
      <c r="V1202" t="str">
        <f t="shared" si="148"/>
        <v>OK</v>
      </c>
      <c r="W1202" t="str">
        <f>IF(I1202&gt;B1202,"ERROR","OK")</f>
        <v>OK</v>
      </c>
      <c r="X1202">
        <f>(B1202-I1202)/B1202</f>
        <v>0.92681664441821454</v>
      </c>
      <c r="Y1202" s="2">
        <f t="shared" si="149"/>
        <v>5.5511151231257827E-16</v>
      </c>
      <c r="Z1202" s="2" t="str">
        <f t="shared" si="150"/>
        <v>OK</v>
      </c>
      <c r="AA1202" t="str">
        <f t="shared" si="151"/>
        <v>Unique</v>
      </c>
    </row>
    <row r="1203" spans="1:27" x14ac:dyDescent="0.3">
      <c r="A1203">
        <v>1202</v>
      </c>
      <c r="B1203">
        <v>1035730.74777984</v>
      </c>
      <c r="C1203">
        <v>0.89378803946206498</v>
      </c>
      <c r="D1203">
        <v>-7.7416955238053697E-2</v>
      </c>
      <c r="E1203">
        <v>0.40014362310021101</v>
      </c>
      <c r="F1203">
        <v>1</v>
      </c>
      <c r="G1203" t="s">
        <v>10</v>
      </c>
      <c r="H1203">
        <v>1</v>
      </c>
      <c r="I1203">
        <v>414441.05397291901</v>
      </c>
      <c r="J1203">
        <v>0.59985637689978799</v>
      </c>
      <c r="K1203" t="str">
        <f t="shared" si="144"/>
        <v>OK</v>
      </c>
      <c r="L1203" t="str">
        <f t="shared" si="145"/>
        <v>OK</v>
      </c>
      <c r="M1203" t="str">
        <f>IF(OR(B1203&lt;$AE$20,B1203&gt;$AF$20),"Outlier","OK")</f>
        <v>OK</v>
      </c>
      <c r="N1203" t="str">
        <f>IF(OR(J1203&lt;$AE$21,J1203&gt;$AF$21),"Outlier","OK")</f>
        <v>OK</v>
      </c>
      <c r="O1203" t="str">
        <f>IF(OR(C1203&lt;0,C1203&gt;1),"Outlier","OK")</f>
        <v>OK</v>
      </c>
      <c r="P1203" t="str">
        <f>IF(OR(D1203&lt;0,D1203&gt;1),"Outlier","OK")</f>
        <v>Outlier</v>
      </c>
      <c r="Q1203" t="str">
        <f t="shared" si="146"/>
        <v>40-60%</v>
      </c>
      <c r="R1203" t="str">
        <f>IF(B1203="","Missing","OK")</f>
        <v>OK</v>
      </c>
      <c r="S1203" t="str">
        <f>IF(E1203="","Missing","OK")</f>
        <v>OK</v>
      </c>
      <c r="T1203" t="str">
        <f t="shared" si="147"/>
        <v>OK</v>
      </c>
      <c r="U1203">
        <f>COUNTIF($A:$A,A1203)</f>
        <v>1</v>
      </c>
      <c r="V1203" t="str">
        <f t="shared" si="148"/>
        <v>OK</v>
      </c>
      <c r="W1203" t="str">
        <f>IF(I1203&gt;B1203,"ERROR","OK")</f>
        <v>OK</v>
      </c>
      <c r="X1203">
        <f>(B1203-I1203)/B1203</f>
        <v>0.5998563768997861</v>
      </c>
      <c r="Y1203" s="2">
        <f t="shared" si="149"/>
        <v>1.8873791418627661E-15</v>
      </c>
      <c r="Z1203" s="2" t="str">
        <f t="shared" si="150"/>
        <v>OK</v>
      </c>
      <c r="AA1203" t="str">
        <f t="shared" si="151"/>
        <v>Unique</v>
      </c>
    </row>
    <row r="1204" spans="1:27" x14ac:dyDescent="0.3">
      <c r="A1204">
        <v>1203</v>
      </c>
      <c r="B1204">
        <v>1932590.5753518301</v>
      </c>
      <c r="C1204">
        <v>0.60278738953531497</v>
      </c>
      <c r="D1204">
        <v>-0.166477689789362</v>
      </c>
      <c r="E1204">
        <v>0.18858007717462899</v>
      </c>
      <c r="F1204">
        <v>1</v>
      </c>
      <c r="G1204" t="s">
        <v>12</v>
      </c>
      <c r="H1204">
        <v>1</v>
      </c>
      <c r="I1204">
        <v>364448.07984681003</v>
      </c>
      <c r="J1204">
        <v>0.81141992282537101</v>
      </c>
      <c r="K1204" t="str">
        <f t="shared" si="144"/>
        <v>OK</v>
      </c>
      <c r="L1204" t="str">
        <f t="shared" si="145"/>
        <v>OK</v>
      </c>
      <c r="M1204" t="str">
        <f>IF(OR(B1204&lt;$AE$20,B1204&gt;$AF$20),"Outlier","OK")</f>
        <v>OK</v>
      </c>
      <c r="N1204" t="str">
        <f>IF(OR(J1204&lt;$AE$21,J1204&gt;$AF$21),"Outlier","OK")</f>
        <v>OK</v>
      </c>
      <c r="O1204" t="str">
        <f>IF(OR(C1204&lt;0,C1204&gt;1),"Outlier","OK")</f>
        <v>OK</v>
      </c>
      <c r="P1204" t="str">
        <f>IF(OR(D1204&lt;0,D1204&gt;1),"Outlier","OK")</f>
        <v>Outlier</v>
      </c>
      <c r="Q1204" t="str">
        <f t="shared" si="146"/>
        <v>80-100%</v>
      </c>
      <c r="R1204" t="str">
        <f>IF(B1204="","Missing","OK")</f>
        <v>OK</v>
      </c>
      <c r="S1204" t="str">
        <f>IF(E1204="","Missing","OK")</f>
        <v>OK</v>
      </c>
      <c r="T1204" t="str">
        <f t="shared" si="147"/>
        <v>OK</v>
      </c>
      <c r="U1204">
        <f>COUNTIF($A:$A,A1204)</f>
        <v>1</v>
      </c>
      <c r="V1204" t="str">
        <f t="shared" si="148"/>
        <v>OK</v>
      </c>
      <c r="W1204" t="str">
        <f>IF(I1204&gt;B1204,"ERROR","OK")</f>
        <v>OK</v>
      </c>
      <c r="X1204">
        <f>(B1204-I1204)/B1204</f>
        <v>0.81141992282537034</v>
      </c>
      <c r="Y1204" s="2">
        <f t="shared" si="149"/>
        <v>6.6613381477509392E-16</v>
      </c>
      <c r="Z1204" s="2" t="str">
        <f t="shared" si="150"/>
        <v>OK</v>
      </c>
      <c r="AA1204" t="str">
        <f t="shared" si="151"/>
        <v>Unique</v>
      </c>
    </row>
    <row r="1205" spans="1:27" x14ac:dyDescent="0.3">
      <c r="A1205">
        <v>1204</v>
      </c>
      <c r="B1205">
        <v>1333273.5449948299</v>
      </c>
      <c r="C1205">
        <v>0.59007018673760203</v>
      </c>
      <c r="D1205">
        <v>0.168764783689029</v>
      </c>
      <c r="E1205">
        <v>0.24770183617034</v>
      </c>
      <c r="F1205">
        <v>1</v>
      </c>
      <c r="G1205" t="s">
        <v>11</v>
      </c>
      <c r="H1205">
        <v>1</v>
      </c>
      <c r="I1205">
        <v>330254.305212559</v>
      </c>
      <c r="J1205">
        <v>0.75229816382965897</v>
      </c>
      <c r="K1205" t="str">
        <f t="shared" si="144"/>
        <v>OK</v>
      </c>
      <c r="L1205" t="str">
        <f t="shared" si="145"/>
        <v>OK</v>
      </c>
      <c r="M1205" t="str">
        <f>IF(OR(B1205&lt;$AE$20,B1205&gt;$AF$20),"Outlier","OK")</f>
        <v>OK</v>
      </c>
      <c r="N1205" t="str">
        <f>IF(OR(J1205&lt;$AE$21,J1205&gt;$AF$21),"Outlier","OK")</f>
        <v>OK</v>
      </c>
      <c r="O1205" t="str">
        <f>IF(OR(C1205&lt;0,C1205&gt;1),"Outlier","OK")</f>
        <v>OK</v>
      </c>
      <c r="P1205" t="str">
        <f>IF(OR(D1205&lt;0,D1205&gt;1),"Outlier","OK")</f>
        <v>OK</v>
      </c>
      <c r="Q1205" t="str">
        <f t="shared" si="146"/>
        <v>60-80%</v>
      </c>
      <c r="R1205" t="str">
        <f>IF(B1205="","Missing","OK")</f>
        <v>OK</v>
      </c>
      <c r="S1205" t="str">
        <f>IF(E1205="","Missing","OK")</f>
        <v>OK</v>
      </c>
      <c r="T1205" t="str">
        <f t="shared" si="147"/>
        <v>OK</v>
      </c>
      <c r="U1205">
        <f>COUNTIF($A:$A,A1205)</f>
        <v>1</v>
      </c>
      <c r="V1205" t="str">
        <f t="shared" si="148"/>
        <v>OK</v>
      </c>
      <c r="W1205" t="str">
        <f>IF(I1205&gt;B1205,"ERROR","OK")</f>
        <v>OK</v>
      </c>
      <c r="X1205">
        <f>(B1205-I1205)/B1205</f>
        <v>0.75229816382965919</v>
      </c>
      <c r="Y1205" s="2">
        <f t="shared" si="149"/>
        <v>2.2204460492503131E-16</v>
      </c>
      <c r="Z1205" s="2" t="str">
        <f t="shared" si="150"/>
        <v>OK</v>
      </c>
      <c r="AA1205" t="str">
        <f t="shared" si="151"/>
        <v>Unique</v>
      </c>
    </row>
    <row r="1206" spans="1:27" x14ac:dyDescent="0.3">
      <c r="A1206">
        <v>1205</v>
      </c>
      <c r="B1206">
        <v>1206813.9082102799</v>
      </c>
      <c r="C1206">
        <v>0.368683988050236</v>
      </c>
      <c r="D1206">
        <v>0.140581515532197</v>
      </c>
      <c r="E1206">
        <v>7.2217785871721299E-2</v>
      </c>
      <c r="F1206">
        <v>1</v>
      </c>
      <c r="G1206" t="s">
        <v>10</v>
      </c>
      <c r="H1206">
        <v>1</v>
      </c>
      <c r="I1206">
        <v>87153.428410145207</v>
      </c>
      <c r="J1206">
        <v>0.92778221412827799</v>
      </c>
      <c r="K1206" t="str">
        <f t="shared" si="144"/>
        <v>OK</v>
      </c>
      <c r="L1206" t="str">
        <f t="shared" si="145"/>
        <v>OK</v>
      </c>
      <c r="M1206" t="str">
        <f>IF(OR(B1206&lt;$AE$20,B1206&gt;$AF$20),"Outlier","OK")</f>
        <v>OK</v>
      </c>
      <c r="N1206" t="str">
        <f>IF(OR(J1206&lt;$AE$21,J1206&gt;$AF$21),"Outlier","OK")</f>
        <v>OK</v>
      </c>
      <c r="O1206" t="str">
        <f>IF(OR(C1206&lt;0,C1206&gt;1),"Outlier","OK")</f>
        <v>OK</v>
      </c>
      <c r="P1206" t="str">
        <f>IF(OR(D1206&lt;0,D1206&gt;1),"Outlier","OK")</f>
        <v>OK</v>
      </c>
      <c r="Q1206" t="str">
        <f t="shared" si="146"/>
        <v>80-100%</v>
      </c>
      <c r="R1206" t="str">
        <f>IF(B1206="","Missing","OK")</f>
        <v>OK</v>
      </c>
      <c r="S1206" t="str">
        <f>IF(E1206="","Missing","OK")</f>
        <v>OK</v>
      </c>
      <c r="T1206" t="str">
        <f t="shared" si="147"/>
        <v>OK</v>
      </c>
      <c r="U1206">
        <f>COUNTIF($A:$A,A1206)</f>
        <v>1</v>
      </c>
      <c r="V1206" t="str">
        <f t="shared" si="148"/>
        <v>OK</v>
      </c>
      <c r="W1206" t="str">
        <f>IF(I1206&gt;B1206,"ERROR","OK")</f>
        <v>OK</v>
      </c>
      <c r="X1206">
        <f>(B1206-I1206)/B1206</f>
        <v>0.92778221412827866</v>
      </c>
      <c r="Y1206" s="2">
        <f t="shared" si="149"/>
        <v>6.6613381477509392E-16</v>
      </c>
      <c r="Z1206" s="2" t="str">
        <f t="shared" si="150"/>
        <v>OK</v>
      </c>
      <c r="AA1206" t="str">
        <f t="shared" si="151"/>
        <v>Unique</v>
      </c>
    </row>
    <row r="1207" spans="1:27" x14ac:dyDescent="0.3">
      <c r="A1207">
        <v>1206</v>
      </c>
      <c r="B1207">
        <v>497570.72282624402</v>
      </c>
      <c r="C1207">
        <v>0.822995136843233</v>
      </c>
      <c r="D1207">
        <v>8.8932388220987393E-3</v>
      </c>
      <c r="E1207">
        <v>0.26422010595360901</v>
      </c>
      <c r="F1207">
        <v>1</v>
      </c>
      <c r="G1207" t="s">
        <v>13</v>
      </c>
      <c r="H1207">
        <v>0</v>
      </c>
      <c r="I1207">
        <v>131468.18910456399</v>
      </c>
      <c r="J1207">
        <v>0.73577989404638999</v>
      </c>
      <c r="K1207" t="str">
        <f t="shared" si="144"/>
        <v>OK</v>
      </c>
      <c r="L1207" t="str">
        <f t="shared" si="145"/>
        <v>OK</v>
      </c>
      <c r="M1207" t="str">
        <f>IF(OR(B1207&lt;$AE$20,B1207&gt;$AF$20),"Outlier","OK")</f>
        <v>OK</v>
      </c>
      <c r="N1207" t="str">
        <f>IF(OR(J1207&lt;$AE$21,J1207&gt;$AF$21),"Outlier","OK")</f>
        <v>OK</v>
      </c>
      <c r="O1207" t="str">
        <f>IF(OR(C1207&lt;0,C1207&gt;1),"Outlier","OK")</f>
        <v>OK</v>
      </c>
      <c r="P1207" t="str">
        <f>IF(OR(D1207&lt;0,D1207&gt;1),"Outlier","OK")</f>
        <v>OK</v>
      </c>
      <c r="Q1207" t="str">
        <f t="shared" si="146"/>
        <v>60-80%</v>
      </c>
      <c r="R1207" t="str">
        <f>IF(B1207="","Missing","OK")</f>
        <v>OK</v>
      </c>
      <c r="S1207" t="str">
        <f>IF(E1207="","Missing","OK")</f>
        <v>OK</v>
      </c>
      <c r="T1207" t="str">
        <f t="shared" si="147"/>
        <v>OK</v>
      </c>
      <c r="U1207">
        <f>COUNTIF($A:$A,A1207)</f>
        <v>1</v>
      </c>
      <c r="V1207" t="str">
        <f t="shared" si="148"/>
        <v>OK</v>
      </c>
      <c r="W1207" t="str">
        <f>IF(I1207&gt;B1207,"ERROR","OK")</f>
        <v>OK</v>
      </c>
      <c r="X1207">
        <f>(B1207-I1207)/B1207</f>
        <v>0.7357798940463911</v>
      </c>
      <c r="Y1207" s="2">
        <f t="shared" si="149"/>
        <v>1.1102230246251565E-15</v>
      </c>
      <c r="Z1207" s="2" t="str">
        <f t="shared" si="150"/>
        <v>OK</v>
      </c>
      <c r="AA1207" t="str">
        <f t="shared" si="151"/>
        <v>Unique</v>
      </c>
    </row>
    <row r="1208" spans="1:27" x14ac:dyDescent="0.3">
      <c r="A1208">
        <v>1207</v>
      </c>
      <c r="B1208">
        <v>1451465.1254060899</v>
      </c>
      <c r="C1208">
        <v>0.565950056015325</v>
      </c>
      <c r="D1208">
        <v>3.9267120833641797E-2</v>
      </c>
      <c r="E1208">
        <v>0.45124891280756102</v>
      </c>
      <c r="F1208">
        <v>1</v>
      </c>
      <c r="G1208" t="s">
        <v>13</v>
      </c>
      <c r="H1208">
        <v>1</v>
      </c>
      <c r="I1208">
        <v>654972.05981759296</v>
      </c>
      <c r="J1208">
        <v>0.54875108719243804</v>
      </c>
      <c r="K1208" t="str">
        <f t="shared" si="144"/>
        <v>OK</v>
      </c>
      <c r="L1208" t="str">
        <f t="shared" si="145"/>
        <v>OK</v>
      </c>
      <c r="M1208" t="str">
        <f>IF(OR(B1208&lt;$AE$20,B1208&gt;$AF$20),"Outlier","OK")</f>
        <v>OK</v>
      </c>
      <c r="N1208" t="str">
        <f>IF(OR(J1208&lt;$AE$21,J1208&gt;$AF$21),"Outlier","OK")</f>
        <v>OK</v>
      </c>
      <c r="O1208" t="str">
        <f>IF(OR(C1208&lt;0,C1208&gt;1),"Outlier","OK")</f>
        <v>OK</v>
      </c>
      <c r="P1208" t="str">
        <f>IF(OR(D1208&lt;0,D1208&gt;1),"Outlier","OK")</f>
        <v>OK</v>
      </c>
      <c r="Q1208" t="str">
        <f t="shared" si="146"/>
        <v>40-60%</v>
      </c>
      <c r="R1208" t="str">
        <f>IF(B1208="","Missing","OK")</f>
        <v>OK</v>
      </c>
      <c r="S1208" t="str">
        <f>IF(E1208="","Missing","OK")</f>
        <v>OK</v>
      </c>
      <c r="T1208" t="str">
        <f t="shared" si="147"/>
        <v>OK</v>
      </c>
      <c r="U1208">
        <f>COUNTIF($A:$A,A1208)</f>
        <v>1</v>
      </c>
      <c r="V1208" t="str">
        <f t="shared" si="148"/>
        <v>OK</v>
      </c>
      <c r="W1208" t="str">
        <f>IF(I1208&gt;B1208,"ERROR","OK")</f>
        <v>OK</v>
      </c>
      <c r="X1208">
        <f>(B1208-I1208)/B1208</f>
        <v>0.54875108719243582</v>
      </c>
      <c r="Y1208" s="2">
        <f t="shared" si="149"/>
        <v>2.2204460492503131E-15</v>
      </c>
      <c r="Z1208" s="2" t="str">
        <f t="shared" si="150"/>
        <v>OK</v>
      </c>
      <c r="AA1208" t="str">
        <f t="shared" si="151"/>
        <v>Unique</v>
      </c>
    </row>
    <row r="1209" spans="1:27" x14ac:dyDescent="0.3">
      <c r="A1209">
        <v>1208</v>
      </c>
      <c r="B1209">
        <v>611992.50977005099</v>
      </c>
      <c r="C1209">
        <v>0.412188230506912</v>
      </c>
      <c r="D1209">
        <v>0.10822311385486599</v>
      </c>
      <c r="E1209">
        <v>0.31430060342619398</v>
      </c>
      <c r="F1209">
        <v>1</v>
      </c>
      <c r="G1209" t="s">
        <v>13</v>
      </c>
      <c r="H1209">
        <v>0</v>
      </c>
      <c r="I1209">
        <v>192349.61511303799</v>
      </c>
      <c r="J1209">
        <v>0.68569939657380496</v>
      </c>
      <c r="K1209" t="str">
        <f t="shared" si="144"/>
        <v>OK</v>
      </c>
      <c r="L1209" t="str">
        <f t="shared" si="145"/>
        <v>OK</v>
      </c>
      <c r="M1209" t="str">
        <f>IF(OR(B1209&lt;$AE$20,B1209&gt;$AF$20),"Outlier","OK")</f>
        <v>OK</v>
      </c>
      <c r="N1209" t="str">
        <f>IF(OR(J1209&lt;$AE$21,J1209&gt;$AF$21),"Outlier","OK")</f>
        <v>OK</v>
      </c>
      <c r="O1209" t="str">
        <f>IF(OR(C1209&lt;0,C1209&gt;1),"Outlier","OK")</f>
        <v>OK</v>
      </c>
      <c r="P1209" t="str">
        <f>IF(OR(D1209&lt;0,D1209&gt;1),"Outlier","OK")</f>
        <v>OK</v>
      </c>
      <c r="Q1209" t="str">
        <f t="shared" si="146"/>
        <v>60-80%</v>
      </c>
      <c r="R1209" t="str">
        <f>IF(B1209="","Missing","OK")</f>
        <v>OK</v>
      </c>
      <c r="S1209" t="str">
        <f>IF(E1209="","Missing","OK")</f>
        <v>OK</v>
      </c>
      <c r="T1209" t="str">
        <f t="shared" si="147"/>
        <v>OK</v>
      </c>
      <c r="U1209">
        <f>COUNTIF($A:$A,A1209)</f>
        <v>1</v>
      </c>
      <c r="V1209" t="str">
        <f t="shared" si="148"/>
        <v>OK</v>
      </c>
      <c r="W1209" t="str">
        <f>IF(I1209&gt;B1209,"ERROR","OK")</f>
        <v>OK</v>
      </c>
      <c r="X1209">
        <f>(B1209-I1209)/B1209</f>
        <v>0.68569939657380596</v>
      </c>
      <c r="Y1209" s="2">
        <f t="shared" si="149"/>
        <v>9.9920072216264089E-16</v>
      </c>
      <c r="Z1209" s="2" t="str">
        <f t="shared" si="150"/>
        <v>OK</v>
      </c>
      <c r="AA1209" t="str">
        <f t="shared" si="151"/>
        <v>Unique</v>
      </c>
    </row>
    <row r="1210" spans="1:27" x14ac:dyDescent="0.3">
      <c r="A1210">
        <v>1209</v>
      </c>
      <c r="B1210">
        <v>1699229.2948445301</v>
      </c>
      <c r="C1210">
        <v>0.264156423239088</v>
      </c>
      <c r="D1210">
        <v>-0.170838826915577</v>
      </c>
      <c r="E1210">
        <v>0.45848334363342902</v>
      </c>
      <c r="F1210">
        <v>1</v>
      </c>
      <c r="G1210" t="s">
        <v>11</v>
      </c>
      <c r="H1210">
        <v>0</v>
      </c>
      <c r="I1210">
        <v>779068.328700196</v>
      </c>
      <c r="J1210">
        <v>0.54151665636656998</v>
      </c>
      <c r="K1210" t="str">
        <f t="shared" si="144"/>
        <v>OK</v>
      </c>
      <c r="L1210" t="str">
        <f t="shared" si="145"/>
        <v>OK</v>
      </c>
      <c r="M1210" t="str">
        <f>IF(OR(B1210&lt;$AE$20,B1210&gt;$AF$20),"Outlier","OK")</f>
        <v>OK</v>
      </c>
      <c r="N1210" t="str">
        <f>IF(OR(J1210&lt;$AE$21,J1210&gt;$AF$21),"Outlier","OK")</f>
        <v>OK</v>
      </c>
      <c r="O1210" t="str">
        <f>IF(OR(C1210&lt;0,C1210&gt;1),"Outlier","OK")</f>
        <v>OK</v>
      </c>
      <c r="P1210" t="str">
        <f>IF(OR(D1210&lt;0,D1210&gt;1),"Outlier","OK")</f>
        <v>Outlier</v>
      </c>
      <c r="Q1210" t="str">
        <f t="shared" si="146"/>
        <v>40-60%</v>
      </c>
      <c r="R1210" t="str">
        <f>IF(B1210="","Missing","OK")</f>
        <v>OK</v>
      </c>
      <c r="S1210" t="str">
        <f>IF(E1210="","Missing","OK")</f>
        <v>OK</v>
      </c>
      <c r="T1210" t="str">
        <f t="shared" si="147"/>
        <v>OK</v>
      </c>
      <c r="U1210">
        <f>COUNTIF($A:$A,A1210)</f>
        <v>1</v>
      </c>
      <c r="V1210" t="str">
        <f t="shared" si="148"/>
        <v>OK</v>
      </c>
      <c r="W1210" t="str">
        <f>IF(I1210&gt;B1210,"ERROR","OK")</f>
        <v>OK</v>
      </c>
      <c r="X1210">
        <f>(B1210-I1210)/B1210</f>
        <v>0.54151665636656976</v>
      </c>
      <c r="Y1210" s="2">
        <f t="shared" si="149"/>
        <v>2.2204460492503131E-16</v>
      </c>
      <c r="Z1210" s="2" t="str">
        <f t="shared" si="150"/>
        <v>OK</v>
      </c>
      <c r="AA1210" t="str">
        <f t="shared" si="151"/>
        <v>Unique</v>
      </c>
    </row>
    <row r="1211" spans="1:27" x14ac:dyDescent="0.3">
      <c r="A1211">
        <v>1210</v>
      </c>
      <c r="B1211">
        <v>1955664.13524181</v>
      </c>
      <c r="C1211">
        <v>0.52897818745163105</v>
      </c>
      <c r="D1211">
        <v>6.5255686114706696E-2</v>
      </c>
      <c r="E1211">
        <v>4.80515282252185E-2</v>
      </c>
      <c r="F1211">
        <v>1</v>
      </c>
      <c r="G1211" t="s">
        <v>11</v>
      </c>
      <c r="H1211">
        <v>0</v>
      </c>
      <c r="I1211">
        <v>93972.650393619493</v>
      </c>
      <c r="J1211">
        <v>0.95194847177478104</v>
      </c>
      <c r="K1211" t="str">
        <f t="shared" si="144"/>
        <v>OK</v>
      </c>
      <c r="L1211" t="str">
        <f t="shared" si="145"/>
        <v>OK</v>
      </c>
      <c r="M1211" t="str">
        <f>IF(OR(B1211&lt;$AE$20,B1211&gt;$AF$20),"Outlier","OK")</f>
        <v>OK</v>
      </c>
      <c r="N1211" t="str">
        <f>IF(OR(J1211&lt;$AE$21,J1211&gt;$AF$21),"Outlier","OK")</f>
        <v>OK</v>
      </c>
      <c r="O1211" t="str">
        <f>IF(OR(C1211&lt;0,C1211&gt;1),"Outlier","OK")</f>
        <v>OK</v>
      </c>
      <c r="P1211" t="str">
        <f>IF(OR(D1211&lt;0,D1211&gt;1),"Outlier","OK")</f>
        <v>OK</v>
      </c>
      <c r="Q1211" t="str">
        <f t="shared" si="146"/>
        <v>80-100%</v>
      </c>
      <c r="R1211" t="str">
        <f>IF(B1211="","Missing","OK")</f>
        <v>OK</v>
      </c>
      <c r="S1211" t="str">
        <f>IF(E1211="","Missing","OK")</f>
        <v>OK</v>
      </c>
      <c r="T1211" t="str">
        <f t="shared" si="147"/>
        <v>OK</v>
      </c>
      <c r="U1211">
        <f>COUNTIF($A:$A,A1211)</f>
        <v>1</v>
      </c>
      <c r="V1211" t="str">
        <f t="shared" si="148"/>
        <v>OK</v>
      </c>
      <c r="W1211" t="str">
        <f>IF(I1211&gt;B1211,"ERROR","OK")</f>
        <v>OK</v>
      </c>
      <c r="X1211">
        <f>(B1211-I1211)/B1211</f>
        <v>0.95194847177478148</v>
      </c>
      <c r="Y1211" s="2">
        <f t="shared" si="149"/>
        <v>4.4408920985006262E-16</v>
      </c>
      <c r="Z1211" s="2" t="str">
        <f t="shared" si="150"/>
        <v>OK</v>
      </c>
      <c r="AA1211" t="str">
        <f t="shared" si="151"/>
        <v>Unique</v>
      </c>
    </row>
    <row r="1212" spans="1:27" x14ac:dyDescent="0.3">
      <c r="A1212">
        <v>1211</v>
      </c>
      <c r="B1212">
        <v>65196.313884586401</v>
      </c>
      <c r="C1212">
        <v>0.68316294700755198</v>
      </c>
      <c r="D1212">
        <v>-4.9727292730641498E-2</v>
      </c>
      <c r="E1212">
        <v>0.31972837067320198</v>
      </c>
      <c r="F1212">
        <v>1</v>
      </c>
      <c r="G1212" t="s">
        <v>11</v>
      </c>
      <c r="H1212">
        <v>0</v>
      </c>
      <c r="I1212">
        <v>20845.1112122175</v>
      </c>
      <c r="J1212">
        <v>0.68027162932679697</v>
      </c>
      <c r="K1212" t="str">
        <f t="shared" si="144"/>
        <v>OK</v>
      </c>
      <c r="L1212" t="str">
        <f t="shared" si="145"/>
        <v>OK</v>
      </c>
      <c r="M1212" t="str">
        <f>IF(OR(B1212&lt;$AE$20,B1212&gt;$AF$20),"Outlier","OK")</f>
        <v>OK</v>
      </c>
      <c r="N1212" t="str">
        <f>IF(OR(J1212&lt;$AE$21,J1212&gt;$AF$21),"Outlier","OK")</f>
        <v>OK</v>
      </c>
      <c r="O1212" t="str">
        <f>IF(OR(C1212&lt;0,C1212&gt;1),"Outlier","OK")</f>
        <v>OK</v>
      </c>
      <c r="P1212" t="str">
        <f>IF(OR(D1212&lt;0,D1212&gt;1),"Outlier","OK")</f>
        <v>Outlier</v>
      </c>
      <c r="Q1212" t="str">
        <f t="shared" si="146"/>
        <v>60-80%</v>
      </c>
      <c r="R1212" t="str">
        <f>IF(B1212="","Missing","OK")</f>
        <v>OK</v>
      </c>
      <c r="S1212" t="str">
        <f>IF(E1212="","Missing","OK")</f>
        <v>OK</v>
      </c>
      <c r="T1212" t="str">
        <f t="shared" si="147"/>
        <v>OK</v>
      </c>
      <c r="U1212">
        <f>COUNTIF($A:$A,A1212)</f>
        <v>1</v>
      </c>
      <c r="V1212" t="str">
        <f t="shared" si="148"/>
        <v>OK</v>
      </c>
      <c r="W1212" t="str">
        <f>IF(I1212&gt;B1212,"ERROR","OK")</f>
        <v>OK</v>
      </c>
      <c r="X1212">
        <f>(B1212-I1212)/B1212</f>
        <v>0.68027162932679752</v>
      </c>
      <c r="Y1212" s="2">
        <f t="shared" si="149"/>
        <v>5.5511151231257827E-16</v>
      </c>
      <c r="Z1212" s="2" t="str">
        <f t="shared" si="150"/>
        <v>OK</v>
      </c>
      <c r="AA1212" t="str">
        <f t="shared" si="151"/>
        <v>Unique</v>
      </c>
    </row>
    <row r="1213" spans="1:27" x14ac:dyDescent="0.3">
      <c r="A1213">
        <v>1212</v>
      </c>
      <c r="B1213">
        <v>1911534.5096922501</v>
      </c>
      <c r="C1213">
        <v>0.242633257494414</v>
      </c>
      <c r="D1213">
        <v>4.7812593937197903E-2</v>
      </c>
      <c r="E1213">
        <v>0.30561887758755801</v>
      </c>
      <c r="F1213">
        <v>1</v>
      </c>
      <c r="G1213" t="s">
        <v>10</v>
      </c>
      <c r="H1213">
        <v>0</v>
      </c>
      <c r="I1213">
        <v>584201.03132203</v>
      </c>
      <c r="J1213">
        <v>0.69438112241244099</v>
      </c>
      <c r="K1213" t="str">
        <f t="shared" si="144"/>
        <v>OK</v>
      </c>
      <c r="L1213" t="str">
        <f t="shared" si="145"/>
        <v>OK</v>
      </c>
      <c r="M1213" t="str">
        <f>IF(OR(B1213&lt;$AE$20,B1213&gt;$AF$20),"Outlier","OK")</f>
        <v>OK</v>
      </c>
      <c r="N1213" t="str">
        <f>IF(OR(J1213&lt;$AE$21,J1213&gt;$AF$21),"Outlier","OK")</f>
        <v>OK</v>
      </c>
      <c r="O1213" t="str">
        <f>IF(OR(C1213&lt;0,C1213&gt;1),"Outlier","OK")</f>
        <v>OK</v>
      </c>
      <c r="P1213" t="str">
        <f>IF(OR(D1213&lt;0,D1213&gt;1),"Outlier","OK")</f>
        <v>OK</v>
      </c>
      <c r="Q1213" t="str">
        <f t="shared" si="146"/>
        <v>60-80%</v>
      </c>
      <c r="R1213" t="str">
        <f>IF(B1213="","Missing","OK")</f>
        <v>OK</v>
      </c>
      <c r="S1213" t="str">
        <f>IF(E1213="","Missing","OK")</f>
        <v>OK</v>
      </c>
      <c r="T1213" t="str">
        <f t="shared" si="147"/>
        <v>OK</v>
      </c>
      <c r="U1213">
        <f>COUNTIF($A:$A,A1213)</f>
        <v>1</v>
      </c>
      <c r="V1213" t="str">
        <f t="shared" si="148"/>
        <v>OK</v>
      </c>
      <c r="W1213" t="str">
        <f>IF(I1213&gt;B1213,"ERROR","OK")</f>
        <v>OK</v>
      </c>
      <c r="X1213">
        <f>(B1213-I1213)/B1213</f>
        <v>0.6943811224124411</v>
      </c>
      <c r="Y1213" s="2">
        <f t="shared" si="149"/>
        <v>1.1102230246251565E-16</v>
      </c>
      <c r="Z1213" s="2" t="str">
        <f t="shared" si="150"/>
        <v>OK</v>
      </c>
      <c r="AA1213" t="str">
        <f t="shared" si="151"/>
        <v>Unique</v>
      </c>
    </row>
    <row r="1214" spans="1:27" x14ac:dyDescent="0.3">
      <c r="A1214">
        <v>1213</v>
      </c>
      <c r="B1214">
        <v>748997.57167005702</v>
      </c>
      <c r="C1214">
        <v>0.89243779321346695</v>
      </c>
      <c r="D1214">
        <v>0.14416984729120999</v>
      </c>
      <c r="E1214">
        <v>0.24460533257363901</v>
      </c>
      <c r="F1214">
        <v>1</v>
      </c>
      <c r="G1214" t="s">
        <v>10</v>
      </c>
      <c r="H1214">
        <v>0</v>
      </c>
      <c r="I1214">
        <v>183208.800115202</v>
      </c>
      <c r="J1214">
        <v>0.75539466742635997</v>
      </c>
      <c r="K1214" t="str">
        <f t="shared" si="144"/>
        <v>OK</v>
      </c>
      <c r="L1214" t="str">
        <f t="shared" si="145"/>
        <v>OK</v>
      </c>
      <c r="M1214" t="str">
        <f>IF(OR(B1214&lt;$AE$20,B1214&gt;$AF$20),"Outlier","OK")</f>
        <v>OK</v>
      </c>
      <c r="N1214" t="str">
        <f>IF(OR(J1214&lt;$AE$21,J1214&gt;$AF$21),"Outlier","OK")</f>
        <v>OK</v>
      </c>
      <c r="O1214" t="str">
        <f>IF(OR(C1214&lt;0,C1214&gt;1),"Outlier","OK")</f>
        <v>OK</v>
      </c>
      <c r="P1214" t="str">
        <f>IF(OR(D1214&lt;0,D1214&gt;1),"Outlier","OK")</f>
        <v>OK</v>
      </c>
      <c r="Q1214" t="str">
        <f t="shared" si="146"/>
        <v>60-80%</v>
      </c>
      <c r="R1214" t="str">
        <f>IF(B1214="","Missing","OK")</f>
        <v>OK</v>
      </c>
      <c r="S1214" t="str">
        <f>IF(E1214="","Missing","OK")</f>
        <v>OK</v>
      </c>
      <c r="T1214" t="str">
        <f t="shared" si="147"/>
        <v>OK</v>
      </c>
      <c r="U1214">
        <f>COUNTIF($A:$A,A1214)</f>
        <v>1</v>
      </c>
      <c r="V1214" t="str">
        <f t="shared" si="148"/>
        <v>OK</v>
      </c>
      <c r="W1214" t="str">
        <f>IF(I1214&gt;B1214,"ERROR","OK")</f>
        <v>OK</v>
      </c>
      <c r="X1214">
        <f>(B1214-I1214)/B1214</f>
        <v>0.75539466742636141</v>
      </c>
      <c r="Y1214" s="2">
        <f t="shared" si="149"/>
        <v>1.4432899320127035E-15</v>
      </c>
      <c r="Z1214" s="2" t="str">
        <f t="shared" si="150"/>
        <v>OK</v>
      </c>
      <c r="AA1214" t="str">
        <f t="shared" si="151"/>
        <v>Unique</v>
      </c>
    </row>
    <row r="1215" spans="1:27" x14ac:dyDescent="0.3">
      <c r="A1215">
        <v>1214</v>
      </c>
      <c r="B1215">
        <v>1002215.5750450999</v>
      </c>
      <c r="C1215">
        <v>0.68550326988930699</v>
      </c>
      <c r="D1215">
        <v>3.7515635561917601E-2</v>
      </c>
      <c r="E1215">
        <v>0.39978788076620198</v>
      </c>
      <c r="F1215">
        <v>1</v>
      </c>
      <c r="G1215" t="s">
        <v>12</v>
      </c>
      <c r="H1215">
        <v>0</v>
      </c>
      <c r="I1215">
        <v>400673.64081816201</v>
      </c>
      <c r="J1215">
        <v>0.60021211923379703</v>
      </c>
      <c r="K1215" t="str">
        <f t="shared" si="144"/>
        <v>OK</v>
      </c>
      <c r="L1215" t="str">
        <f t="shared" si="145"/>
        <v>OK</v>
      </c>
      <c r="M1215" t="str">
        <f>IF(OR(B1215&lt;$AE$20,B1215&gt;$AF$20),"Outlier","OK")</f>
        <v>OK</v>
      </c>
      <c r="N1215" t="str">
        <f>IF(OR(J1215&lt;$AE$21,J1215&gt;$AF$21),"Outlier","OK")</f>
        <v>OK</v>
      </c>
      <c r="O1215" t="str">
        <f>IF(OR(C1215&lt;0,C1215&gt;1),"Outlier","OK")</f>
        <v>OK</v>
      </c>
      <c r="P1215" t="str">
        <f>IF(OR(D1215&lt;0,D1215&gt;1),"Outlier","OK")</f>
        <v>OK</v>
      </c>
      <c r="Q1215" t="str">
        <f t="shared" si="146"/>
        <v>60-80%</v>
      </c>
      <c r="R1215" t="str">
        <f>IF(B1215="","Missing","OK")</f>
        <v>OK</v>
      </c>
      <c r="S1215" t="str">
        <f>IF(E1215="","Missing","OK")</f>
        <v>OK</v>
      </c>
      <c r="T1215" t="str">
        <f t="shared" si="147"/>
        <v>OK</v>
      </c>
      <c r="U1215">
        <f>COUNTIF($A:$A,A1215)</f>
        <v>1</v>
      </c>
      <c r="V1215" t="str">
        <f t="shared" si="148"/>
        <v>OK</v>
      </c>
      <c r="W1215" t="str">
        <f>IF(I1215&gt;B1215,"ERROR","OK")</f>
        <v>OK</v>
      </c>
      <c r="X1215">
        <f>(B1215-I1215)/B1215</f>
        <v>0.60021211923379703</v>
      </c>
      <c r="Y1215" s="2">
        <f t="shared" si="149"/>
        <v>0</v>
      </c>
      <c r="Z1215" s="2" t="str">
        <f t="shared" si="150"/>
        <v>OK</v>
      </c>
      <c r="AA1215" t="str">
        <f t="shared" si="151"/>
        <v>Unique</v>
      </c>
    </row>
    <row r="1216" spans="1:27" x14ac:dyDescent="0.3">
      <c r="A1216">
        <v>1215</v>
      </c>
      <c r="B1216">
        <v>1851966.7517111499</v>
      </c>
      <c r="C1216">
        <v>0.425095112886407</v>
      </c>
      <c r="D1216">
        <v>-7.5163207509051103E-2</v>
      </c>
      <c r="E1216">
        <v>0.18533672930536901</v>
      </c>
      <c r="F1216">
        <v>1</v>
      </c>
      <c r="G1216" t="s">
        <v>13</v>
      </c>
      <c r="H1216">
        <v>1</v>
      </c>
      <c r="I1216">
        <v>343237.46054443502</v>
      </c>
      <c r="J1216">
        <v>0.81466327069462996</v>
      </c>
      <c r="K1216" t="str">
        <f t="shared" si="144"/>
        <v>OK</v>
      </c>
      <c r="L1216" t="str">
        <f t="shared" si="145"/>
        <v>OK</v>
      </c>
      <c r="M1216" t="str">
        <f>IF(OR(B1216&lt;$AE$20,B1216&gt;$AF$20),"Outlier","OK")</f>
        <v>OK</v>
      </c>
      <c r="N1216" t="str">
        <f>IF(OR(J1216&lt;$AE$21,J1216&gt;$AF$21),"Outlier","OK")</f>
        <v>OK</v>
      </c>
      <c r="O1216" t="str">
        <f>IF(OR(C1216&lt;0,C1216&gt;1),"Outlier","OK")</f>
        <v>OK</v>
      </c>
      <c r="P1216" t="str">
        <f>IF(OR(D1216&lt;0,D1216&gt;1),"Outlier","OK")</f>
        <v>Outlier</v>
      </c>
      <c r="Q1216" t="str">
        <f t="shared" si="146"/>
        <v>80-100%</v>
      </c>
      <c r="R1216" t="str">
        <f>IF(B1216="","Missing","OK")</f>
        <v>OK</v>
      </c>
      <c r="S1216" t="str">
        <f>IF(E1216="","Missing","OK")</f>
        <v>OK</v>
      </c>
      <c r="T1216" t="str">
        <f t="shared" si="147"/>
        <v>OK</v>
      </c>
      <c r="U1216">
        <f>COUNTIF($A:$A,A1216)</f>
        <v>1</v>
      </c>
      <c r="V1216" t="str">
        <f t="shared" si="148"/>
        <v>OK</v>
      </c>
      <c r="W1216" t="str">
        <f>IF(I1216&gt;B1216,"ERROR","OK")</f>
        <v>OK</v>
      </c>
      <c r="X1216">
        <f>(B1216-I1216)/B1216</f>
        <v>0.81466327069462985</v>
      </c>
      <c r="Y1216" s="2">
        <f t="shared" si="149"/>
        <v>1.1102230246251565E-16</v>
      </c>
      <c r="Z1216" s="2" t="str">
        <f t="shared" si="150"/>
        <v>OK</v>
      </c>
      <c r="AA1216" t="str">
        <f t="shared" si="151"/>
        <v>Unique</v>
      </c>
    </row>
    <row r="1217" spans="1:27" x14ac:dyDescent="0.3">
      <c r="A1217">
        <v>1216</v>
      </c>
      <c r="B1217">
        <v>1563117.49297514</v>
      </c>
      <c r="C1217">
        <v>0.41456271856221</v>
      </c>
      <c r="D1217">
        <v>-3.4309773083495497E-2</v>
      </c>
      <c r="E1217">
        <v>0.35344458422456498</v>
      </c>
      <c r="F1217">
        <v>1</v>
      </c>
      <c r="G1217" t="s">
        <v>11</v>
      </c>
      <c r="H1217">
        <v>1</v>
      </c>
      <c r="I1217">
        <v>552475.41239874298</v>
      </c>
      <c r="J1217">
        <v>0.64655541577543396</v>
      </c>
      <c r="K1217" t="str">
        <f t="shared" si="144"/>
        <v>OK</v>
      </c>
      <c r="L1217" t="str">
        <f t="shared" si="145"/>
        <v>OK</v>
      </c>
      <c r="M1217" t="str">
        <f>IF(OR(B1217&lt;$AE$20,B1217&gt;$AF$20),"Outlier","OK")</f>
        <v>OK</v>
      </c>
      <c r="N1217" t="str">
        <f>IF(OR(J1217&lt;$AE$21,J1217&gt;$AF$21),"Outlier","OK")</f>
        <v>OK</v>
      </c>
      <c r="O1217" t="str">
        <f>IF(OR(C1217&lt;0,C1217&gt;1),"Outlier","OK")</f>
        <v>OK</v>
      </c>
      <c r="P1217" t="str">
        <f>IF(OR(D1217&lt;0,D1217&gt;1),"Outlier","OK")</f>
        <v>Outlier</v>
      </c>
      <c r="Q1217" t="str">
        <f t="shared" si="146"/>
        <v>60-80%</v>
      </c>
      <c r="R1217" t="str">
        <f>IF(B1217="","Missing","OK")</f>
        <v>OK</v>
      </c>
      <c r="S1217" t="str">
        <f>IF(E1217="","Missing","OK")</f>
        <v>OK</v>
      </c>
      <c r="T1217" t="str">
        <f t="shared" si="147"/>
        <v>OK</v>
      </c>
      <c r="U1217">
        <f>COUNTIF($A:$A,A1217)</f>
        <v>1</v>
      </c>
      <c r="V1217" t="str">
        <f t="shared" si="148"/>
        <v>OK</v>
      </c>
      <c r="W1217" t="str">
        <f>IF(I1217&gt;B1217,"ERROR","OK")</f>
        <v>OK</v>
      </c>
      <c r="X1217">
        <f>(B1217-I1217)/B1217</f>
        <v>0.64655541577543485</v>
      </c>
      <c r="Y1217" s="2">
        <f t="shared" si="149"/>
        <v>8.8817841970012523E-16</v>
      </c>
      <c r="Z1217" s="2" t="str">
        <f t="shared" si="150"/>
        <v>OK</v>
      </c>
      <c r="AA1217" t="str">
        <f t="shared" si="151"/>
        <v>Unique</v>
      </c>
    </row>
    <row r="1218" spans="1:27" x14ac:dyDescent="0.3">
      <c r="A1218">
        <v>1217</v>
      </c>
      <c r="B1218">
        <v>524283.85181485699</v>
      </c>
      <c r="C1218">
        <v>0.51203253868245402</v>
      </c>
      <c r="D1218">
        <v>-7.6800997848011907E-2</v>
      </c>
      <c r="E1218">
        <v>0.13317860479479701</v>
      </c>
      <c r="F1218">
        <v>1</v>
      </c>
      <c r="G1218" t="s">
        <v>11</v>
      </c>
      <c r="H1218">
        <v>0</v>
      </c>
      <c r="I1218">
        <v>69823.391901145005</v>
      </c>
      <c r="J1218">
        <v>0.86682139520520196</v>
      </c>
      <c r="K1218" t="str">
        <f t="shared" si="144"/>
        <v>OK</v>
      </c>
      <c r="L1218" t="str">
        <f t="shared" si="145"/>
        <v>OK</v>
      </c>
      <c r="M1218" t="str">
        <f>IF(OR(B1218&lt;$AE$20,B1218&gt;$AF$20),"Outlier","OK")</f>
        <v>OK</v>
      </c>
      <c r="N1218" t="str">
        <f>IF(OR(J1218&lt;$AE$21,J1218&gt;$AF$21),"Outlier","OK")</f>
        <v>OK</v>
      </c>
      <c r="O1218" t="str">
        <f>IF(OR(C1218&lt;0,C1218&gt;1),"Outlier","OK")</f>
        <v>OK</v>
      </c>
      <c r="P1218" t="str">
        <f>IF(OR(D1218&lt;0,D1218&gt;1),"Outlier","OK")</f>
        <v>Outlier</v>
      </c>
      <c r="Q1218" t="str">
        <f t="shared" si="146"/>
        <v>80-100%</v>
      </c>
      <c r="R1218" t="str">
        <f>IF(B1218="","Missing","OK")</f>
        <v>OK</v>
      </c>
      <c r="S1218" t="str">
        <f>IF(E1218="","Missing","OK")</f>
        <v>OK</v>
      </c>
      <c r="T1218" t="str">
        <f t="shared" si="147"/>
        <v>OK</v>
      </c>
      <c r="U1218">
        <f>COUNTIF($A:$A,A1218)</f>
        <v>1</v>
      </c>
      <c r="V1218" t="str">
        <f t="shared" si="148"/>
        <v>OK</v>
      </c>
      <c r="W1218" t="str">
        <f>IF(I1218&gt;B1218,"ERROR","OK")</f>
        <v>OK</v>
      </c>
      <c r="X1218">
        <f>(B1218-I1218)/B1218</f>
        <v>0.86682139520520252</v>
      </c>
      <c r="Y1218" s="2">
        <f t="shared" si="149"/>
        <v>5.5511151231257827E-16</v>
      </c>
      <c r="Z1218" s="2" t="str">
        <f t="shared" si="150"/>
        <v>OK</v>
      </c>
      <c r="AA1218" t="str">
        <f t="shared" si="151"/>
        <v>Unique</v>
      </c>
    </row>
    <row r="1219" spans="1:27" x14ac:dyDescent="0.3">
      <c r="A1219">
        <v>1218</v>
      </c>
      <c r="B1219">
        <v>238862.74168873401</v>
      </c>
      <c r="C1219">
        <v>0.25272948960438901</v>
      </c>
      <c r="D1219">
        <v>0.15467508356247001</v>
      </c>
      <c r="E1219">
        <v>0.32955934560007899</v>
      </c>
      <c r="F1219">
        <v>1</v>
      </c>
      <c r="G1219" t="s">
        <v>11</v>
      </c>
      <c r="H1219">
        <v>1</v>
      </c>
      <c r="I1219">
        <v>78719.448839180201</v>
      </c>
      <c r="J1219">
        <v>0.67044065439991996</v>
      </c>
      <c r="K1219" t="str">
        <f t="shared" ref="K1219:K1282" si="152">IF(OR(J1219&lt;0,J1219&gt;1),"Error","OK")</f>
        <v>OK</v>
      </c>
      <c r="L1219" t="str">
        <f t="shared" ref="L1219:L1282" si="153">IF(I1219&gt;B1219,"Error","OK")</f>
        <v>OK</v>
      </c>
      <c r="M1219" t="str">
        <f>IF(OR(B1219&lt;$AE$20,B1219&gt;$AF$20),"Outlier","OK")</f>
        <v>OK</v>
      </c>
      <c r="N1219" t="str">
        <f>IF(OR(J1219&lt;$AE$21,J1219&gt;$AF$21),"Outlier","OK")</f>
        <v>OK</v>
      </c>
      <c r="O1219" t="str">
        <f>IF(OR(C1219&lt;0,C1219&gt;1),"Outlier","OK")</f>
        <v>OK</v>
      </c>
      <c r="P1219" t="str">
        <f>IF(OR(D1219&lt;0,D1219&gt;1),"Outlier","OK")</f>
        <v>OK</v>
      </c>
      <c r="Q1219" t="str">
        <f t="shared" ref="Q1219:Q1282" si="154">IF(J1219&lt;=0.2,"0-20%",
 IF(J1219&lt;=0.4,"20-40%",
 IF(J1219&lt;=0.6,"40-60%",
 IF(J1219&lt;=0.8,"60-80%","80-100%"))))</f>
        <v>60-80%</v>
      </c>
      <c r="R1219" t="str">
        <f>IF(B1219="","Missing","OK")</f>
        <v>OK</v>
      </c>
      <c r="S1219" t="str">
        <f>IF(E1219="","Missing","OK")</f>
        <v>OK</v>
      </c>
      <c r="T1219" t="str">
        <f t="shared" ref="T1219:T1282" si="155">IF(J1219="","Missing","OK")</f>
        <v>OK</v>
      </c>
      <c r="U1219">
        <f>COUNTIF($A:$A,A1219)</f>
        <v>1</v>
      </c>
      <c r="V1219" t="str">
        <f t="shared" ref="V1219:V1282" si="156">IF(OR(J1219&lt;0,J1219&gt;1),"ERROR","OK")</f>
        <v>OK</v>
      </c>
      <c r="W1219" t="str">
        <f>IF(I1219&gt;B1219,"ERROR","OK")</f>
        <v>OK</v>
      </c>
      <c r="X1219">
        <f>(B1219-I1219)/B1219</f>
        <v>0.67044065439991973</v>
      </c>
      <c r="Y1219" s="2">
        <f t="shared" ref="Y1219:Y1282" si="157">ABS(J1219-X1219)</f>
        <v>2.2204460492503131E-16</v>
      </c>
      <c r="Z1219" s="2" t="str">
        <f t="shared" ref="Z1219:Z1282" si="158">IF(OR(B1219="",I1219="",J1219=""),"Missing","OK")</f>
        <v>OK</v>
      </c>
      <c r="AA1219" t="str">
        <f t="shared" ref="AA1219:AA1282" si="159">IF(COUNTIF($A:$A,A1219)&gt;1,"Duplicate","Unique")</f>
        <v>Unique</v>
      </c>
    </row>
    <row r="1220" spans="1:27" x14ac:dyDescent="0.3">
      <c r="A1220">
        <v>1219</v>
      </c>
      <c r="B1220">
        <v>1690391.1441025599</v>
      </c>
      <c r="C1220">
        <v>0.77964598290935005</v>
      </c>
      <c r="D1220">
        <v>0.12561632324064601</v>
      </c>
      <c r="E1220">
        <v>0.39839916808530201</v>
      </c>
      <c r="F1220">
        <v>1</v>
      </c>
      <c r="G1220" t="s">
        <v>12</v>
      </c>
      <c r="H1220">
        <v>1</v>
      </c>
      <c r="I1220">
        <v>673450.425549226</v>
      </c>
      <c r="J1220">
        <v>0.60160083191469704</v>
      </c>
      <c r="K1220" t="str">
        <f t="shared" si="152"/>
        <v>OK</v>
      </c>
      <c r="L1220" t="str">
        <f t="shared" si="153"/>
        <v>OK</v>
      </c>
      <c r="M1220" t="str">
        <f>IF(OR(B1220&lt;$AE$20,B1220&gt;$AF$20),"Outlier","OK")</f>
        <v>OK</v>
      </c>
      <c r="N1220" t="str">
        <f>IF(OR(J1220&lt;$AE$21,J1220&gt;$AF$21),"Outlier","OK")</f>
        <v>OK</v>
      </c>
      <c r="O1220" t="str">
        <f>IF(OR(C1220&lt;0,C1220&gt;1),"Outlier","OK")</f>
        <v>OK</v>
      </c>
      <c r="P1220" t="str">
        <f>IF(OR(D1220&lt;0,D1220&gt;1),"Outlier","OK")</f>
        <v>OK</v>
      </c>
      <c r="Q1220" t="str">
        <f t="shared" si="154"/>
        <v>60-80%</v>
      </c>
      <c r="R1220" t="str">
        <f>IF(B1220="","Missing","OK")</f>
        <v>OK</v>
      </c>
      <c r="S1220" t="str">
        <f>IF(E1220="","Missing","OK")</f>
        <v>OK</v>
      </c>
      <c r="T1220" t="str">
        <f t="shared" si="155"/>
        <v>OK</v>
      </c>
      <c r="U1220">
        <f>COUNTIF($A:$A,A1220)</f>
        <v>1</v>
      </c>
      <c r="V1220" t="str">
        <f t="shared" si="156"/>
        <v>OK</v>
      </c>
      <c r="W1220" t="str">
        <f>IF(I1220&gt;B1220,"ERROR","OK")</f>
        <v>OK</v>
      </c>
      <c r="X1220">
        <f>(B1220-I1220)/B1220</f>
        <v>0.60160083191469549</v>
      </c>
      <c r="Y1220" s="2">
        <f t="shared" si="157"/>
        <v>1.5543122344752192E-15</v>
      </c>
      <c r="Z1220" s="2" t="str">
        <f t="shared" si="158"/>
        <v>OK</v>
      </c>
      <c r="AA1220" t="str">
        <f t="shared" si="159"/>
        <v>Unique</v>
      </c>
    </row>
    <row r="1221" spans="1:27" x14ac:dyDescent="0.3">
      <c r="A1221">
        <v>1220</v>
      </c>
      <c r="B1221">
        <v>1506767.2583228</v>
      </c>
      <c r="C1221">
        <v>0.65171364641187701</v>
      </c>
      <c r="D1221">
        <v>-0.13375154513565499</v>
      </c>
      <c r="E1221">
        <v>0.226858120837406</v>
      </c>
      <c r="F1221">
        <v>1</v>
      </c>
      <c r="G1221" t="s">
        <v>11</v>
      </c>
      <c r="H1221">
        <v>0</v>
      </c>
      <c r="I1221">
        <v>341822.388762441</v>
      </c>
      <c r="J1221">
        <v>0.77314187916259403</v>
      </c>
      <c r="K1221" t="str">
        <f t="shared" si="152"/>
        <v>OK</v>
      </c>
      <c r="L1221" t="str">
        <f t="shared" si="153"/>
        <v>OK</v>
      </c>
      <c r="M1221" t="str">
        <f>IF(OR(B1221&lt;$AE$20,B1221&gt;$AF$20),"Outlier","OK")</f>
        <v>OK</v>
      </c>
      <c r="N1221" t="str">
        <f>IF(OR(J1221&lt;$AE$21,J1221&gt;$AF$21),"Outlier","OK")</f>
        <v>OK</v>
      </c>
      <c r="O1221" t="str">
        <f>IF(OR(C1221&lt;0,C1221&gt;1),"Outlier","OK")</f>
        <v>OK</v>
      </c>
      <c r="P1221" t="str">
        <f>IF(OR(D1221&lt;0,D1221&gt;1),"Outlier","OK")</f>
        <v>Outlier</v>
      </c>
      <c r="Q1221" t="str">
        <f t="shared" si="154"/>
        <v>60-80%</v>
      </c>
      <c r="R1221" t="str">
        <f>IF(B1221="","Missing","OK")</f>
        <v>OK</v>
      </c>
      <c r="S1221" t="str">
        <f>IF(E1221="","Missing","OK")</f>
        <v>OK</v>
      </c>
      <c r="T1221" t="str">
        <f t="shared" si="155"/>
        <v>OK</v>
      </c>
      <c r="U1221">
        <f>COUNTIF($A:$A,A1221)</f>
        <v>1</v>
      </c>
      <c r="V1221" t="str">
        <f t="shared" si="156"/>
        <v>OK</v>
      </c>
      <c r="W1221" t="str">
        <f>IF(I1221&gt;B1221,"ERROR","OK")</f>
        <v>OK</v>
      </c>
      <c r="X1221">
        <f>(B1221-I1221)/B1221</f>
        <v>0.7731418791625938</v>
      </c>
      <c r="Y1221" s="2">
        <f t="shared" si="157"/>
        <v>2.2204460492503131E-16</v>
      </c>
      <c r="Z1221" s="2" t="str">
        <f t="shared" si="158"/>
        <v>OK</v>
      </c>
      <c r="AA1221" t="str">
        <f t="shared" si="159"/>
        <v>Unique</v>
      </c>
    </row>
    <row r="1222" spans="1:27" x14ac:dyDescent="0.3">
      <c r="A1222">
        <v>1221</v>
      </c>
      <c r="B1222">
        <v>1723761.87519432</v>
      </c>
      <c r="C1222">
        <v>0.64809385876815995</v>
      </c>
      <c r="D1222">
        <v>5.9411806146615502E-2</v>
      </c>
      <c r="E1222">
        <v>0.13392396382781399</v>
      </c>
      <c r="F1222">
        <v>1</v>
      </c>
      <c r="G1222" t="s">
        <v>12</v>
      </c>
      <c r="H1222">
        <v>0</v>
      </c>
      <c r="I1222">
        <v>230853.02302128999</v>
      </c>
      <c r="J1222">
        <v>0.86607603617218598</v>
      </c>
      <c r="K1222" t="str">
        <f t="shared" si="152"/>
        <v>OK</v>
      </c>
      <c r="L1222" t="str">
        <f t="shared" si="153"/>
        <v>OK</v>
      </c>
      <c r="M1222" t="str">
        <f>IF(OR(B1222&lt;$AE$20,B1222&gt;$AF$20),"Outlier","OK")</f>
        <v>OK</v>
      </c>
      <c r="N1222" t="str">
        <f>IF(OR(J1222&lt;$AE$21,J1222&gt;$AF$21),"Outlier","OK")</f>
        <v>OK</v>
      </c>
      <c r="O1222" t="str">
        <f>IF(OR(C1222&lt;0,C1222&gt;1),"Outlier","OK")</f>
        <v>OK</v>
      </c>
      <c r="P1222" t="str">
        <f>IF(OR(D1222&lt;0,D1222&gt;1),"Outlier","OK")</f>
        <v>OK</v>
      </c>
      <c r="Q1222" t="str">
        <f t="shared" si="154"/>
        <v>80-100%</v>
      </c>
      <c r="R1222" t="str">
        <f>IF(B1222="","Missing","OK")</f>
        <v>OK</v>
      </c>
      <c r="S1222" t="str">
        <f>IF(E1222="","Missing","OK")</f>
        <v>OK</v>
      </c>
      <c r="T1222" t="str">
        <f t="shared" si="155"/>
        <v>OK</v>
      </c>
      <c r="U1222">
        <f>COUNTIF($A:$A,A1222)</f>
        <v>1</v>
      </c>
      <c r="V1222" t="str">
        <f t="shared" si="156"/>
        <v>OK</v>
      </c>
      <c r="W1222" t="str">
        <f>IF(I1222&gt;B1222,"ERROR","OK")</f>
        <v>OK</v>
      </c>
      <c r="X1222">
        <f>(B1222-I1222)/B1222</f>
        <v>0.86607603617218532</v>
      </c>
      <c r="Y1222" s="2">
        <f t="shared" si="157"/>
        <v>6.6613381477509392E-16</v>
      </c>
      <c r="Z1222" s="2" t="str">
        <f t="shared" si="158"/>
        <v>OK</v>
      </c>
      <c r="AA1222" t="str">
        <f t="shared" si="159"/>
        <v>Unique</v>
      </c>
    </row>
    <row r="1223" spans="1:27" x14ac:dyDescent="0.3">
      <c r="A1223">
        <v>1222</v>
      </c>
      <c r="B1223">
        <v>798880.59036045405</v>
      </c>
      <c r="C1223">
        <v>0.62971821660512695</v>
      </c>
      <c r="D1223">
        <v>-0.18339630664311901</v>
      </c>
      <c r="E1223">
        <v>0.15108307134830601</v>
      </c>
      <c r="F1223">
        <v>1</v>
      </c>
      <c r="G1223" t="s">
        <v>13</v>
      </c>
      <c r="H1223">
        <v>0</v>
      </c>
      <c r="I1223">
        <v>120697.333232205</v>
      </c>
      <c r="J1223">
        <v>0.84891692865169299</v>
      </c>
      <c r="K1223" t="str">
        <f t="shared" si="152"/>
        <v>OK</v>
      </c>
      <c r="L1223" t="str">
        <f t="shared" si="153"/>
        <v>OK</v>
      </c>
      <c r="M1223" t="str">
        <f>IF(OR(B1223&lt;$AE$20,B1223&gt;$AF$20),"Outlier","OK")</f>
        <v>OK</v>
      </c>
      <c r="N1223" t="str">
        <f>IF(OR(J1223&lt;$AE$21,J1223&gt;$AF$21),"Outlier","OK")</f>
        <v>OK</v>
      </c>
      <c r="O1223" t="str">
        <f>IF(OR(C1223&lt;0,C1223&gt;1),"Outlier","OK")</f>
        <v>OK</v>
      </c>
      <c r="P1223" t="str">
        <f>IF(OR(D1223&lt;0,D1223&gt;1),"Outlier","OK")</f>
        <v>Outlier</v>
      </c>
      <c r="Q1223" t="str">
        <f t="shared" si="154"/>
        <v>80-100%</v>
      </c>
      <c r="R1223" t="str">
        <f>IF(B1223="","Missing","OK")</f>
        <v>OK</v>
      </c>
      <c r="S1223" t="str">
        <f>IF(E1223="","Missing","OK")</f>
        <v>OK</v>
      </c>
      <c r="T1223" t="str">
        <f t="shared" si="155"/>
        <v>OK</v>
      </c>
      <c r="U1223">
        <f>COUNTIF($A:$A,A1223)</f>
        <v>1</v>
      </c>
      <c r="V1223" t="str">
        <f t="shared" si="156"/>
        <v>OK</v>
      </c>
      <c r="W1223" t="str">
        <f>IF(I1223&gt;B1223,"ERROR","OK")</f>
        <v>OK</v>
      </c>
      <c r="X1223">
        <f>(B1223-I1223)/B1223</f>
        <v>0.84891692865169432</v>
      </c>
      <c r="Y1223" s="2">
        <f t="shared" si="157"/>
        <v>1.3322676295501878E-15</v>
      </c>
      <c r="Z1223" s="2" t="str">
        <f t="shared" si="158"/>
        <v>OK</v>
      </c>
      <c r="AA1223" t="str">
        <f t="shared" si="159"/>
        <v>Unique</v>
      </c>
    </row>
    <row r="1224" spans="1:27" x14ac:dyDescent="0.3">
      <c r="A1224">
        <v>1223</v>
      </c>
      <c r="B1224">
        <v>1009621.7357344</v>
      </c>
      <c r="C1224">
        <v>0.65026076263267796</v>
      </c>
      <c r="D1224">
        <v>8.4287172231278296E-2</v>
      </c>
      <c r="E1224">
        <v>0.43278034420454897</v>
      </c>
      <c r="F1224">
        <v>1</v>
      </c>
      <c r="G1224" t="s">
        <v>13</v>
      </c>
      <c r="H1224">
        <v>1</v>
      </c>
      <c r="I1224">
        <v>436944.44230752997</v>
      </c>
      <c r="J1224">
        <v>0.56721965579544997</v>
      </c>
      <c r="K1224" t="str">
        <f t="shared" si="152"/>
        <v>OK</v>
      </c>
      <c r="L1224" t="str">
        <f t="shared" si="153"/>
        <v>OK</v>
      </c>
      <c r="M1224" t="str">
        <f>IF(OR(B1224&lt;$AE$20,B1224&gt;$AF$20),"Outlier","OK")</f>
        <v>OK</v>
      </c>
      <c r="N1224" t="str">
        <f>IF(OR(J1224&lt;$AE$21,J1224&gt;$AF$21),"Outlier","OK")</f>
        <v>OK</v>
      </c>
      <c r="O1224" t="str">
        <f>IF(OR(C1224&lt;0,C1224&gt;1),"Outlier","OK")</f>
        <v>OK</v>
      </c>
      <c r="P1224" t="str">
        <f>IF(OR(D1224&lt;0,D1224&gt;1),"Outlier","OK")</f>
        <v>OK</v>
      </c>
      <c r="Q1224" t="str">
        <f t="shared" si="154"/>
        <v>40-60%</v>
      </c>
      <c r="R1224" t="str">
        <f>IF(B1224="","Missing","OK")</f>
        <v>OK</v>
      </c>
      <c r="S1224" t="str">
        <f>IF(E1224="","Missing","OK")</f>
        <v>OK</v>
      </c>
      <c r="T1224" t="str">
        <f t="shared" si="155"/>
        <v>OK</v>
      </c>
      <c r="U1224">
        <f>COUNTIF($A:$A,A1224)</f>
        <v>1</v>
      </c>
      <c r="V1224" t="str">
        <f t="shared" si="156"/>
        <v>OK</v>
      </c>
      <c r="W1224" t="str">
        <f>IF(I1224&gt;B1224,"ERROR","OK")</f>
        <v>OK</v>
      </c>
      <c r="X1224">
        <f>(B1224-I1224)/B1224</f>
        <v>0.56721965579544886</v>
      </c>
      <c r="Y1224" s="2">
        <f t="shared" si="157"/>
        <v>1.1102230246251565E-15</v>
      </c>
      <c r="Z1224" s="2" t="str">
        <f t="shared" si="158"/>
        <v>OK</v>
      </c>
      <c r="AA1224" t="str">
        <f t="shared" si="159"/>
        <v>Unique</v>
      </c>
    </row>
    <row r="1225" spans="1:27" x14ac:dyDescent="0.3">
      <c r="A1225">
        <v>1224</v>
      </c>
      <c r="B1225">
        <v>956786.32454773097</v>
      </c>
      <c r="C1225">
        <v>0.71955517221598897</v>
      </c>
      <c r="D1225">
        <v>7.8235516883540301E-2</v>
      </c>
      <c r="E1225">
        <v>0.142400536142539</v>
      </c>
      <c r="F1225">
        <v>1</v>
      </c>
      <c r="G1225" t="s">
        <v>10</v>
      </c>
      <c r="H1225">
        <v>1</v>
      </c>
      <c r="I1225">
        <v>136246.885589446</v>
      </c>
      <c r="J1225">
        <v>0.85759946385746</v>
      </c>
      <c r="K1225" t="str">
        <f t="shared" si="152"/>
        <v>OK</v>
      </c>
      <c r="L1225" t="str">
        <f t="shared" si="153"/>
        <v>OK</v>
      </c>
      <c r="M1225" t="str">
        <f>IF(OR(B1225&lt;$AE$20,B1225&gt;$AF$20),"Outlier","OK")</f>
        <v>OK</v>
      </c>
      <c r="N1225" t="str">
        <f>IF(OR(J1225&lt;$AE$21,J1225&gt;$AF$21),"Outlier","OK")</f>
        <v>OK</v>
      </c>
      <c r="O1225" t="str">
        <f>IF(OR(C1225&lt;0,C1225&gt;1),"Outlier","OK")</f>
        <v>OK</v>
      </c>
      <c r="P1225" t="str">
        <f>IF(OR(D1225&lt;0,D1225&gt;1),"Outlier","OK")</f>
        <v>OK</v>
      </c>
      <c r="Q1225" t="str">
        <f t="shared" si="154"/>
        <v>80-100%</v>
      </c>
      <c r="R1225" t="str">
        <f>IF(B1225="","Missing","OK")</f>
        <v>OK</v>
      </c>
      <c r="S1225" t="str">
        <f>IF(E1225="","Missing","OK")</f>
        <v>OK</v>
      </c>
      <c r="T1225" t="str">
        <f t="shared" si="155"/>
        <v>OK</v>
      </c>
      <c r="U1225">
        <f>COUNTIF($A:$A,A1225)</f>
        <v>1</v>
      </c>
      <c r="V1225" t="str">
        <f t="shared" si="156"/>
        <v>OK</v>
      </c>
      <c r="W1225" t="str">
        <f>IF(I1225&gt;B1225,"ERROR","OK")</f>
        <v>OK</v>
      </c>
      <c r="X1225">
        <f>(B1225-I1225)/B1225</f>
        <v>0.85759946385746111</v>
      </c>
      <c r="Y1225" s="2">
        <f t="shared" si="157"/>
        <v>1.1102230246251565E-15</v>
      </c>
      <c r="Z1225" s="2" t="str">
        <f t="shared" si="158"/>
        <v>OK</v>
      </c>
      <c r="AA1225" t="str">
        <f t="shared" si="159"/>
        <v>Unique</v>
      </c>
    </row>
    <row r="1226" spans="1:27" x14ac:dyDescent="0.3">
      <c r="A1226">
        <v>1225</v>
      </c>
      <c r="B1226">
        <v>663707.25757503603</v>
      </c>
      <c r="C1226">
        <v>0.71619221154898005</v>
      </c>
      <c r="D1226">
        <v>-0.14584538909994499</v>
      </c>
      <c r="E1226">
        <v>0.16005400690116001</v>
      </c>
      <c r="F1226">
        <v>1</v>
      </c>
      <c r="G1226" t="s">
        <v>12</v>
      </c>
      <c r="H1226">
        <v>0</v>
      </c>
      <c r="I1226">
        <v>106229.00598426499</v>
      </c>
      <c r="J1226">
        <v>0.83994599309883899</v>
      </c>
      <c r="K1226" t="str">
        <f t="shared" si="152"/>
        <v>OK</v>
      </c>
      <c r="L1226" t="str">
        <f t="shared" si="153"/>
        <v>OK</v>
      </c>
      <c r="M1226" t="str">
        <f>IF(OR(B1226&lt;$AE$20,B1226&gt;$AF$20),"Outlier","OK")</f>
        <v>OK</v>
      </c>
      <c r="N1226" t="str">
        <f>IF(OR(J1226&lt;$AE$21,J1226&gt;$AF$21),"Outlier","OK")</f>
        <v>OK</v>
      </c>
      <c r="O1226" t="str">
        <f>IF(OR(C1226&lt;0,C1226&gt;1),"Outlier","OK")</f>
        <v>OK</v>
      </c>
      <c r="P1226" t="str">
        <f>IF(OR(D1226&lt;0,D1226&gt;1),"Outlier","OK")</f>
        <v>Outlier</v>
      </c>
      <c r="Q1226" t="str">
        <f t="shared" si="154"/>
        <v>80-100%</v>
      </c>
      <c r="R1226" t="str">
        <f>IF(B1226="","Missing","OK")</f>
        <v>OK</v>
      </c>
      <c r="S1226" t="str">
        <f>IF(E1226="","Missing","OK")</f>
        <v>OK</v>
      </c>
      <c r="T1226" t="str">
        <f t="shared" si="155"/>
        <v>OK</v>
      </c>
      <c r="U1226">
        <f>COUNTIF($A:$A,A1226)</f>
        <v>1</v>
      </c>
      <c r="V1226" t="str">
        <f t="shared" si="156"/>
        <v>OK</v>
      </c>
      <c r="W1226" t="str">
        <f>IF(I1226&gt;B1226,"ERROR","OK")</f>
        <v>OK</v>
      </c>
      <c r="X1226">
        <f>(B1226-I1226)/B1226</f>
        <v>0.83994599309883966</v>
      </c>
      <c r="Y1226" s="2">
        <f t="shared" si="157"/>
        <v>6.6613381477509392E-16</v>
      </c>
      <c r="Z1226" s="2" t="str">
        <f t="shared" si="158"/>
        <v>OK</v>
      </c>
      <c r="AA1226" t="str">
        <f t="shared" si="159"/>
        <v>Unique</v>
      </c>
    </row>
    <row r="1227" spans="1:27" x14ac:dyDescent="0.3">
      <c r="A1227">
        <v>1226</v>
      </c>
      <c r="B1227">
        <v>704561.137110724</v>
      </c>
      <c r="C1227">
        <v>0.64355354224797101</v>
      </c>
      <c r="D1227">
        <v>9.3819653702022499E-3</v>
      </c>
      <c r="E1227">
        <v>0.315690450426651</v>
      </c>
      <c r="F1227">
        <v>1</v>
      </c>
      <c r="G1227" t="s">
        <v>13</v>
      </c>
      <c r="H1227">
        <v>0</v>
      </c>
      <c r="I1227">
        <v>222423.22272759801</v>
      </c>
      <c r="J1227">
        <v>0.684309549573348</v>
      </c>
      <c r="K1227" t="str">
        <f t="shared" si="152"/>
        <v>OK</v>
      </c>
      <c r="L1227" t="str">
        <f t="shared" si="153"/>
        <v>OK</v>
      </c>
      <c r="M1227" t="str">
        <f>IF(OR(B1227&lt;$AE$20,B1227&gt;$AF$20),"Outlier","OK")</f>
        <v>OK</v>
      </c>
      <c r="N1227" t="str">
        <f>IF(OR(J1227&lt;$AE$21,J1227&gt;$AF$21),"Outlier","OK")</f>
        <v>OK</v>
      </c>
      <c r="O1227" t="str">
        <f>IF(OR(C1227&lt;0,C1227&gt;1),"Outlier","OK")</f>
        <v>OK</v>
      </c>
      <c r="P1227" t="str">
        <f>IF(OR(D1227&lt;0,D1227&gt;1),"Outlier","OK")</f>
        <v>OK</v>
      </c>
      <c r="Q1227" t="str">
        <f t="shared" si="154"/>
        <v>60-80%</v>
      </c>
      <c r="R1227" t="str">
        <f>IF(B1227="","Missing","OK")</f>
        <v>OK</v>
      </c>
      <c r="S1227" t="str">
        <f>IF(E1227="","Missing","OK")</f>
        <v>OK</v>
      </c>
      <c r="T1227" t="str">
        <f t="shared" si="155"/>
        <v>OK</v>
      </c>
      <c r="U1227">
        <f>COUNTIF($A:$A,A1227)</f>
        <v>1</v>
      </c>
      <c r="V1227" t="str">
        <f t="shared" si="156"/>
        <v>OK</v>
      </c>
      <c r="W1227" t="str">
        <f>IF(I1227&gt;B1227,"ERROR","OK")</f>
        <v>OK</v>
      </c>
      <c r="X1227">
        <f>(B1227-I1227)/B1227</f>
        <v>0.68430954957334877</v>
      </c>
      <c r="Y1227" s="2">
        <f t="shared" si="157"/>
        <v>7.7715611723760958E-16</v>
      </c>
      <c r="Z1227" s="2" t="str">
        <f t="shared" si="158"/>
        <v>OK</v>
      </c>
      <c r="AA1227" t="str">
        <f t="shared" si="159"/>
        <v>Unique</v>
      </c>
    </row>
    <row r="1228" spans="1:27" x14ac:dyDescent="0.3">
      <c r="A1228">
        <v>1227</v>
      </c>
      <c r="B1228">
        <v>1451366.0554105199</v>
      </c>
      <c r="C1228">
        <v>0.20990740149670301</v>
      </c>
      <c r="D1228">
        <v>-8.6066827272732599E-2</v>
      </c>
      <c r="E1228">
        <v>0.51732905149922903</v>
      </c>
      <c r="F1228">
        <v>1</v>
      </c>
      <c r="G1228" t="s">
        <v>11</v>
      </c>
      <c r="H1228">
        <v>1</v>
      </c>
      <c r="I1228">
        <v>750833.82482370303</v>
      </c>
      <c r="J1228">
        <v>0.48267094850077003</v>
      </c>
      <c r="K1228" t="str">
        <f t="shared" si="152"/>
        <v>OK</v>
      </c>
      <c r="L1228" t="str">
        <f t="shared" si="153"/>
        <v>OK</v>
      </c>
      <c r="M1228" t="str">
        <f>IF(OR(B1228&lt;$AE$20,B1228&gt;$AF$20),"Outlier","OK")</f>
        <v>OK</v>
      </c>
      <c r="N1228" t="str">
        <f>IF(OR(J1228&lt;$AE$21,J1228&gt;$AF$21),"Outlier","OK")</f>
        <v>OK</v>
      </c>
      <c r="O1228" t="str">
        <f>IF(OR(C1228&lt;0,C1228&gt;1),"Outlier","OK")</f>
        <v>OK</v>
      </c>
      <c r="P1228" t="str">
        <f>IF(OR(D1228&lt;0,D1228&gt;1),"Outlier","OK")</f>
        <v>Outlier</v>
      </c>
      <c r="Q1228" t="str">
        <f t="shared" si="154"/>
        <v>40-60%</v>
      </c>
      <c r="R1228" t="str">
        <f>IF(B1228="","Missing","OK")</f>
        <v>OK</v>
      </c>
      <c r="S1228" t="str">
        <f>IF(E1228="","Missing","OK")</f>
        <v>OK</v>
      </c>
      <c r="T1228" t="str">
        <f t="shared" si="155"/>
        <v>OK</v>
      </c>
      <c r="U1228">
        <f>COUNTIF($A:$A,A1228)</f>
        <v>1</v>
      </c>
      <c r="V1228" t="str">
        <f t="shared" si="156"/>
        <v>OK</v>
      </c>
      <c r="W1228" t="str">
        <f>IF(I1228&gt;B1228,"ERROR","OK")</f>
        <v>OK</v>
      </c>
      <c r="X1228">
        <f>(B1228-I1228)/B1228</f>
        <v>0.48267094850077008</v>
      </c>
      <c r="Y1228" s="2">
        <f t="shared" si="157"/>
        <v>5.5511151231257827E-17</v>
      </c>
      <c r="Z1228" s="2" t="str">
        <f t="shared" si="158"/>
        <v>OK</v>
      </c>
      <c r="AA1228" t="str">
        <f t="shared" si="159"/>
        <v>Unique</v>
      </c>
    </row>
    <row r="1229" spans="1:27" x14ac:dyDescent="0.3">
      <c r="A1229">
        <v>1228</v>
      </c>
      <c r="B1229">
        <v>1518488.6971182399</v>
      </c>
      <c r="C1229">
        <v>0.57610650848447098</v>
      </c>
      <c r="D1229">
        <v>0.17583206050813399</v>
      </c>
      <c r="E1229">
        <v>0.34663680289146298</v>
      </c>
      <c r="F1229">
        <v>1</v>
      </c>
      <c r="G1229" t="s">
        <v>13</v>
      </c>
      <c r="H1229">
        <v>0</v>
      </c>
      <c r="I1229">
        <v>526364.06719589001</v>
      </c>
      <c r="J1229">
        <v>0.65336319710853596</v>
      </c>
      <c r="K1229" t="str">
        <f t="shared" si="152"/>
        <v>OK</v>
      </c>
      <c r="L1229" t="str">
        <f t="shared" si="153"/>
        <v>OK</v>
      </c>
      <c r="M1229" t="str">
        <f>IF(OR(B1229&lt;$AE$20,B1229&gt;$AF$20),"Outlier","OK")</f>
        <v>OK</v>
      </c>
      <c r="N1229" t="str">
        <f>IF(OR(J1229&lt;$AE$21,J1229&gt;$AF$21),"Outlier","OK")</f>
        <v>OK</v>
      </c>
      <c r="O1229" t="str">
        <f>IF(OR(C1229&lt;0,C1229&gt;1),"Outlier","OK")</f>
        <v>OK</v>
      </c>
      <c r="P1229" t="str">
        <f>IF(OR(D1229&lt;0,D1229&gt;1),"Outlier","OK")</f>
        <v>OK</v>
      </c>
      <c r="Q1229" t="str">
        <f t="shared" si="154"/>
        <v>60-80%</v>
      </c>
      <c r="R1229" t="str">
        <f>IF(B1229="","Missing","OK")</f>
        <v>OK</v>
      </c>
      <c r="S1229" t="str">
        <f>IF(E1229="","Missing","OK")</f>
        <v>OK</v>
      </c>
      <c r="T1229" t="str">
        <f t="shared" si="155"/>
        <v>OK</v>
      </c>
      <c r="U1229">
        <f>COUNTIF($A:$A,A1229)</f>
        <v>1</v>
      </c>
      <c r="V1229" t="str">
        <f t="shared" si="156"/>
        <v>OK</v>
      </c>
      <c r="W1229" t="str">
        <f>IF(I1229&gt;B1229,"ERROR","OK")</f>
        <v>OK</v>
      </c>
      <c r="X1229">
        <f>(B1229-I1229)/B1229</f>
        <v>0.65336319710853685</v>
      </c>
      <c r="Y1229" s="2">
        <f t="shared" si="157"/>
        <v>8.8817841970012523E-16</v>
      </c>
      <c r="Z1229" s="2" t="str">
        <f t="shared" si="158"/>
        <v>OK</v>
      </c>
      <c r="AA1229" t="str">
        <f t="shared" si="159"/>
        <v>Unique</v>
      </c>
    </row>
    <row r="1230" spans="1:27" x14ac:dyDescent="0.3">
      <c r="A1230">
        <v>1229</v>
      </c>
      <c r="B1230">
        <v>1734515.2736937799</v>
      </c>
      <c r="C1230">
        <v>0.48197285567691101</v>
      </c>
      <c r="D1230">
        <v>0.14671632688268599</v>
      </c>
      <c r="E1230">
        <v>0.255158492247684</v>
      </c>
      <c r="F1230">
        <v>1</v>
      </c>
      <c r="G1230" t="s">
        <v>11</v>
      </c>
      <c r="H1230">
        <v>1</v>
      </c>
      <c r="I1230">
        <v>442576.30201628502</v>
      </c>
      <c r="J1230">
        <v>0.74484150775231495</v>
      </c>
      <c r="K1230" t="str">
        <f t="shared" si="152"/>
        <v>OK</v>
      </c>
      <c r="L1230" t="str">
        <f t="shared" si="153"/>
        <v>OK</v>
      </c>
      <c r="M1230" t="str">
        <f>IF(OR(B1230&lt;$AE$20,B1230&gt;$AF$20),"Outlier","OK")</f>
        <v>OK</v>
      </c>
      <c r="N1230" t="str">
        <f>IF(OR(J1230&lt;$AE$21,J1230&gt;$AF$21),"Outlier","OK")</f>
        <v>OK</v>
      </c>
      <c r="O1230" t="str">
        <f>IF(OR(C1230&lt;0,C1230&gt;1),"Outlier","OK")</f>
        <v>OK</v>
      </c>
      <c r="P1230" t="str">
        <f>IF(OR(D1230&lt;0,D1230&gt;1),"Outlier","OK")</f>
        <v>OK</v>
      </c>
      <c r="Q1230" t="str">
        <f t="shared" si="154"/>
        <v>60-80%</v>
      </c>
      <c r="R1230" t="str">
        <f>IF(B1230="","Missing","OK")</f>
        <v>OK</v>
      </c>
      <c r="S1230" t="str">
        <f>IF(E1230="","Missing","OK")</f>
        <v>OK</v>
      </c>
      <c r="T1230" t="str">
        <f t="shared" si="155"/>
        <v>OK</v>
      </c>
      <c r="U1230">
        <f>COUNTIF($A:$A,A1230)</f>
        <v>1</v>
      </c>
      <c r="V1230" t="str">
        <f t="shared" si="156"/>
        <v>OK</v>
      </c>
      <c r="W1230" t="str">
        <f>IF(I1230&gt;B1230,"ERROR","OK")</f>
        <v>OK</v>
      </c>
      <c r="X1230">
        <f>(B1230-I1230)/B1230</f>
        <v>0.74484150775231528</v>
      </c>
      <c r="Y1230" s="2">
        <f t="shared" si="157"/>
        <v>3.3306690738754696E-16</v>
      </c>
      <c r="Z1230" s="2" t="str">
        <f t="shared" si="158"/>
        <v>OK</v>
      </c>
      <c r="AA1230" t="str">
        <f t="shared" si="159"/>
        <v>Unique</v>
      </c>
    </row>
    <row r="1231" spans="1:27" x14ac:dyDescent="0.3">
      <c r="A1231">
        <v>1230</v>
      </c>
      <c r="B1231">
        <v>1697558.97424742</v>
      </c>
      <c r="C1231">
        <v>0.25538086152920397</v>
      </c>
      <c r="D1231">
        <v>5.5474370854219003E-2</v>
      </c>
      <c r="E1231">
        <v>6.9022721558266803E-2</v>
      </c>
      <c r="F1231">
        <v>1</v>
      </c>
      <c r="G1231" t="s">
        <v>10</v>
      </c>
      <c r="H1231">
        <v>1</v>
      </c>
      <c r="I1231">
        <v>117170.140408216</v>
      </c>
      <c r="J1231">
        <v>0.93097727844173295</v>
      </c>
      <c r="K1231" t="str">
        <f t="shared" si="152"/>
        <v>OK</v>
      </c>
      <c r="L1231" t="str">
        <f t="shared" si="153"/>
        <v>OK</v>
      </c>
      <c r="M1231" t="str">
        <f>IF(OR(B1231&lt;$AE$20,B1231&gt;$AF$20),"Outlier","OK")</f>
        <v>OK</v>
      </c>
      <c r="N1231" t="str">
        <f>IF(OR(J1231&lt;$AE$21,J1231&gt;$AF$21),"Outlier","OK")</f>
        <v>OK</v>
      </c>
      <c r="O1231" t="str">
        <f>IF(OR(C1231&lt;0,C1231&gt;1),"Outlier","OK")</f>
        <v>OK</v>
      </c>
      <c r="P1231" t="str">
        <f>IF(OR(D1231&lt;0,D1231&gt;1),"Outlier","OK")</f>
        <v>OK</v>
      </c>
      <c r="Q1231" t="str">
        <f t="shared" si="154"/>
        <v>80-100%</v>
      </c>
      <c r="R1231" t="str">
        <f>IF(B1231="","Missing","OK")</f>
        <v>OK</v>
      </c>
      <c r="S1231" t="str">
        <f>IF(E1231="","Missing","OK")</f>
        <v>OK</v>
      </c>
      <c r="T1231" t="str">
        <f t="shared" si="155"/>
        <v>OK</v>
      </c>
      <c r="U1231">
        <f>COUNTIF($A:$A,A1231)</f>
        <v>1</v>
      </c>
      <c r="V1231" t="str">
        <f t="shared" si="156"/>
        <v>OK</v>
      </c>
      <c r="W1231" t="str">
        <f>IF(I1231&gt;B1231,"ERROR","OK")</f>
        <v>OK</v>
      </c>
      <c r="X1231">
        <f>(B1231-I1231)/B1231</f>
        <v>0.93097727844173361</v>
      </c>
      <c r="Y1231" s="2">
        <f t="shared" si="157"/>
        <v>6.6613381477509392E-16</v>
      </c>
      <c r="Z1231" s="2" t="str">
        <f t="shared" si="158"/>
        <v>OK</v>
      </c>
      <c r="AA1231" t="str">
        <f t="shared" si="159"/>
        <v>Unique</v>
      </c>
    </row>
    <row r="1232" spans="1:27" x14ac:dyDescent="0.3">
      <c r="A1232">
        <v>1231</v>
      </c>
      <c r="B1232">
        <v>1520178.53552301</v>
      </c>
      <c r="C1232">
        <v>0.42345851720258498</v>
      </c>
      <c r="D1232">
        <v>-0.15503295737650699</v>
      </c>
      <c r="E1232">
        <v>0.22395737447771999</v>
      </c>
      <c r="F1232">
        <v>1</v>
      </c>
      <c r="G1232" t="s">
        <v>12</v>
      </c>
      <c r="H1232">
        <v>1</v>
      </c>
      <c r="I1232">
        <v>340455.19355311902</v>
      </c>
      <c r="J1232">
        <v>0.77604262552227998</v>
      </c>
      <c r="K1232" t="str">
        <f t="shared" si="152"/>
        <v>OK</v>
      </c>
      <c r="L1232" t="str">
        <f t="shared" si="153"/>
        <v>OK</v>
      </c>
      <c r="M1232" t="str">
        <f>IF(OR(B1232&lt;$AE$20,B1232&gt;$AF$20),"Outlier","OK")</f>
        <v>OK</v>
      </c>
      <c r="N1232" t="str">
        <f>IF(OR(J1232&lt;$AE$21,J1232&gt;$AF$21),"Outlier","OK")</f>
        <v>OK</v>
      </c>
      <c r="O1232" t="str">
        <f>IF(OR(C1232&lt;0,C1232&gt;1),"Outlier","OK")</f>
        <v>OK</v>
      </c>
      <c r="P1232" t="str">
        <f>IF(OR(D1232&lt;0,D1232&gt;1),"Outlier","OK")</f>
        <v>Outlier</v>
      </c>
      <c r="Q1232" t="str">
        <f t="shared" si="154"/>
        <v>60-80%</v>
      </c>
      <c r="R1232" t="str">
        <f>IF(B1232="","Missing","OK")</f>
        <v>OK</v>
      </c>
      <c r="S1232" t="str">
        <f>IF(E1232="","Missing","OK")</f>
        <v>OK</v>
      </c>
      <c r="T1232" t="str">
        <f t="shared" si="155"/>
        <v>OK</v>
      </c>
      <c r="U1232">
        <f>COUNTIF($A:$A,A1232)</f>
        <v>1</v>
      </c>
      <c r="V1232" t="str">
        <f t="shared" si="156"/>
        <v>OK</v>
      </c>
      <c r="W1232" t="str">
        <f>IF(I1232&gt;B1232,"ERROR","OK")</f>
        <v>OK</v>
      </c>
      <c r="X1232">
        <f>(B1232-I1232)/B1232</f>
        <v>0.77604262552227987</v>
      </c>
      <c r="Y1232" s="2">
        <f t="shared" si="157"/>
        <v>1.1102230246251565E-16</v>
      </c>
      <c r="Z1232" s="2" t="str">
        <f t="shared" si="158"/>
        <v>OK</v>
      </c>
      <c r="AA1232" t="str">
        <f t="shared" si="159"/>
        <v>Unique</v>
      </c>
    </row>
    <row r="1233" spans="1:27" x14ac:dyDescent="0.3">
      <c r="A1233">
        <v>1232</v>
      </c>
      <c r="B1233">
        <v>698916.74484501604</v>
      </c>
      <c r="C1233">
        <v>0.440473682423413</v>
      </c>
      <c r="D1233">
        <v>0.104648439640613</v>
      </c>
      <c r="E1233">
        <v>0.27458950573768998</v>
      </c>
      <c r="F1233">
        <v>1</v>
      </c>
      <c r="G1233" t="s">
        <v>10</v>
      </c>
      <c r="H1233">
        <v>0</v>
      </c>
      <c r="I1233">
        <v>191915.20351878801</v>
      </c>
      <c r="J1233">
        <v>0.72541049426230897</v>
      </c>
      <c r="K1233" t="str">
        <f t="shared" si="152"/>
        <v>OK</v>
      </c>
      <c r="L1233" t="str">
        <f t="shared" si="153"/>
        <v>OK</v>
      </c>
      <c r="M1233" t="str">
        <f>IF(OR(B1233&lt;$AE$20,B1233&gt;$AF$20),"Outlier","OK")</f>
        <v>OK</v>
      </c>
      <c r="N1233" t="str">
        <f>IF(OR(J1233&lt;$AE$21,J1233&gt;$AF$21),"Outlier","OK")</f>
        <v>OK</v>
      </c>
      <c r="O1233" t="str">
        <f>IF(OR(C1233&lt;0,C1233&gt;1),"Outlier","OK")</f>
        <v>OK</v>
      </c>
      <c r="P1233" t="str">
        <f>IF(OR(D1233&lt;0,D1233&gt;1),"Outlier","OK")</f>
        <v>OK</v>
      </c>
      <c r="Q1233" t="str">
        <f t="shared" si="154"/>
        <v>60-80%</v>
      </c>
      <c r="R1233" t="str">
        <f>IF(B1233="","Missing","OK")</f>
        <v>OK</v>
      </c>
      <c r="S1233" t="str">
        <f>IF(E1233="","Missing","OK")</f>
        <v>OK</v>
      </c>
      <c r="T1233" t="str">
        <f t="shared" si="155"/>
        <v>OK</v>
      </c>
      <c r="U1233">
        <f>COUNTIF($A:$A,A1233)</f>
        <v>1</v>
      </c>
      <c r="V1233" t="str">
        <f t="shared" si="156"/>
        <v>OK</v>
      </c>
      <c r="W1233" t="str">
        <f>IF(I1233&gt;B1233,"ERROR","OK")</f>
        <v>OK</v>
      </c>
      <c r="X1233">
        <f>(B1233-I1233)/B1233</f>
        <v>0.72541049426231019</v>
      </c>
      <c r="Y1233" s="2">
        <f t="shared" si="157"/>
        <v>1.2212453270876722E-15</v>
      </c>
      <c r="Z1233" s="2" t="str">
        <f t="shared" si="158"/>
        <v>OK</v>
      </c>
      <c r="AA1233" t="str">
        <f t="shared" si="159"/>
        <v>Unique</v>
      </c>
    </row>
    <row r="1234" spans="1:27" x14ac:dyDescent="0.3">
      <c r="A1234">
        <v>1233</v>
      </c>
      <c r="B1234">
        <v>1434590.35875504</v>
      </c>
      <c r="C1234">
        <v>0.399426029591334</v>
      </c>
      <c r="D1234">
        <v>-4.83560250992119E-2</v>
      </c>
      <c r="E1234">
        <v>0.15785566217329799</v>
      </c>
      <c r="F1234">
        <v>1</v>
      </c>
      <c r="G1234" t="s">
        <v>13</v>
      </c>
      <c r="H1234">
        <v>1</v>
      </c>
      <c r="I1234">
        <v>226458.211028708</v>
      </c>
      <c r="J1234">
        <v>0.84214433782670095</v>
      </c>
      <c r="K1234" t="str">
        <f t="shared" si="152"/>
        <v>OK</v>
      </c>
      <c r="L1234" t="str">
        <f t="shared" si="153"/>
        <v>OK</v>
      </c>
      <c r="M1234" t="str">
        <f>IF(OR(B1234&lt;$AE$20,B1234&gt;$AF$20),"Outlier","OK")</f>
        <v>OK</v>
      </c>
      <c r="N1234" t="str">
        <f>IF(OR(J1234&lt;$AE$21,J1234&gt;$AF$21),"Outlier","OK")</f>
        <v>OK</v>
      </c>
      <c r="O1234" t="str">
        <f>IF(OR(C1234&lt;0,C1234&gt;1),"Outlier","OK")</f>
        <v>OK</v>
      </c>
      <c r="P1234" t="str">
        <f>IF(OR(D1234&lt;0,D1234&gt;1),"Outlier","OK")</f>
        <v>Outlier</v>
      </c>
      <c r="Q1234" t="str">
        <f t="shared" si="154"/>
        <v>80-100%</v>
      </c>
      <c r="R1234" t="str">
        <f>IF(B1234="","Missing","OK")</f>
        <v>OK</v>
      </c>
      <c r="S1234" t="str">
        <f>IF(E1234="","Missing","OK")</f>
        <v>OK</v>
      </c>
      <c r="T1234" t="str">
        <f t="shared" si="155"/>
        <v>OK</v>
      </c>
      <c r="U1234">
        <f>COUNTIF($A:$A,A1234)</f>
        <v>1</v>
      </c>
      <c r="V1234" t="str">
        <f t="shared" si="156"/>
        <v>OK</v>
      </c>
      <c r="W1234" t="str">
        <f>IF(I1234&gt;B1234,"ERROR","OK")</f>
        <v>OK</v>
      </c>
      <c r="X1234">
        <f>(B1234-I1234)/B1234</f>
        <v>0.84214433782670062</v>
      </c>
      <c r="Y1234" s="2">
        <f t="shared" si="157"/>
        <v>3.3306690738754696E-16</v>
      </c>
      <c r="Z1234" s="2" t="str">
        <f t="shared" si="158"/>
        <v>OK</v>
      </c>
      <c r="AA1234" t="str">
        <f t="shared" si="159"/>
        <v>Unique</v>
      </c>
    </row>
    <row r="1235" spans="1:27" x14ac:dyDescent="0.3">
      <c r="A1235">
        <v>1234</v>
      </c>
      <c r="B1235">
        <v>1946617.75961117</v>
      </c>
      <c r="C1235">
        <v>0.39175330960184501</v>
      </c>
      <c r="D1235">
        <v>0.19304959510252501</v>
      </c>
      <c r="E1235">
        <v>0.113574471851582</v>
      </c>
      <c r="F1235">
        <v>1</v>
      </c>
      <c r="G1235" t="s">
        <v>11</v>
      </c>
      <c r="H1235">
        <v>0</v>
      </c>
      <c r="I1235">
        <v>221086.083944749</v>
      </c>
      <c r="J1235">
        <v>0.88642552814841702</v>
      </c>
      <c r="K1235" t="str">
        <f t="shared" si="152"/>
        <v>OK</v>
      </c>
      <c r="L1235" t="str">
        <f t="shared" si="153"/>
        <v>OK</v>
      </c>
      <c r="M1235" t="str">
        <f>IF(OR(B1235&lt;$AE$20,B1235&gt;$AF$20),"Outlier","OK")</f>
        <v>OK</v>
      </c>
      <c r="N1235" t="str">
        <f>IF(OR(J1235&lt;$AE$21,J1235&gt;$AF$21),"Outlier","OK")</f>
        <v>OK</v>
      </c>
      <c r="O1235" t="str">
        <f>IF(OR(C1235&lt;0,C1235&gt;1),"Outlier","OK")</f>
        <v>OK</v>
      </c>
      <c r="P1235" t="str">
        <f>IF(OR(D1235&lt;0,D1235&gt;1),"Outlier","OK")</f>
        <v>OK</v>
      </c>
      <c r="Q1235" t="str">
        <f t="shared" si="154"/>
        <v>80-100%</v>
      </c>
      <c r="R1235" t="str">
        <f>IF(B1235="","Missing","OK")</f>
        <v>OK</v>
      </c>
      <c r="S1235" t="str">
        <f>IF(E1235="","Missing","OK")</f>
        <v>OK</v>
      </c>
      <c r="T1235" t="str">
        <f t="shared" si="155"/>
        <v>OK</v>
      </c>
      <c r="U1235">
        <f>COUNTIF($A:$A,A1235)</f>
        <v>1</v>
      </c>
      <c r="V1235" t="str">
        <f t="shared" si="156"/>
        <v>OK</v>
      </c>
      <c r="W1235" t="str">
        <f>IF(I1235&gt;B1235,"ERROR","OK")</f>
        <v>OK</v>
      </c>
      <c r="X1235">
        <f>(B1235-I1235)/B1235</f>
        <v>0.88642552814841769</v>
      </c>
      <c r="Y1235" s="2">
        <f t="shared" si="157"/>
        <v>6.6613381477509392E-16</v>
      </c>
      <c r="Z1235" s="2" t="str">
        <f t="shared" si="158"/>
        <v>OK</v>
      </c>
      <c r="AA1235" t="str">
        <f t="shared" si="159"/>
        <v>Unique</v>
      </c>
    </row>
    <row r="1236" spans="1:27" x14ac:dyDescent="0.3">
      <c r="A1236">
        <v>1235</v>
      </c>
      <c r="B1236">
        <v>1836667.8340008301</v>
      </c>
      <c r="C1236">
        <v>0.214333428245049</v>
      </c>
      <c r="D1236">
        <v>7.1818762516086807E-2</v>
      </c>
      <c r="E1236">
        <v>6.1752041568982098E-2</v>
      </c>
      <c r="F1236">
        <v>1</v>
      </c>
      <c r="G1236" t="s">
        <v>13</v>
      </c>
      <c r="H1236">
        <v>1</v>
      </c>
      <c r="I1236">
        <v>113417.98843363101</v>
      </c>
      <c r="J1236">
        <v>0.93824795843101705</v>
      </c>
      <c r="K1236" t="str">
        <f t="shared" si="152"/>
        <v>OK</v>
      </c>
      <c r="L1236" t="str">
        <f t="shared" si="153"/>
        <v>OK</v>
      </c>
      <c r="M1236" t="str">
        <f>IF(OR(B1236&lt;$AE$20,B1236&gt;$AF$20),"Outlier","OK")</f>
        <v>OK</v>
      </c>
      <c r="N1236" t="str">
        <f>IF(OR(J1236&lt;$AE$21,J1236&gt;$AF$21),"Outlier","OK")</f>
        <v>OK</v>
      </c>
      <c r="O1236" t="str">
        <f>IF(OR(C1236&lt;0,C1236&gt;1),"Outlier","OK")</f>
        <v>OK</v>
      </c>
      <c r="P1236" t="str">
        <f>IF(OR(D1236&lt;0,D1236&gt;1),"Outlier","OK")</f>
        <v>OK</v>
      </c>
      <c r="Q1236" t="str">
        <f t="shared" si="154"/>
        <v>80-100%</v>
      </c>
      <c r="R1236" t="str">
        <f>IF(B1236="","Missing","OK")</f>
        <v>OK</v>
      </c>
      <c r="S1236" t="str">
        <f>IF(E1236="","Missing","OK")</f>
        <v>OK</v>
      </c>
      <c r="T1236" t="str">
        <f t="shared" si="155"/>
        <v>OK</v>
      </c>
      <c r="U1236">
        <f>COUNTIF($A:$A,A1236)</f>
        <v>1</v>
      </c>
      <c r="V1236" t="str">
        <f t="shared" si="156"/>
        <v>OK</v>
      </c>
      <c r="W1236" t="str">
        <f>IF(I1236&gt;B1236,"ERROR","OK")</f>
        <v>OK</v>
      </c>
      <c r="X1236">
        <f>(B1236-I1236)/B1236</f>
        <v>0.93824795843101827</v>
      </c>
      <c r="Y1236" s="2">
        <f t="shared" si="157"/>
        <v>1.2212453270876722E-15</v>
      </c>
      <c r="Z1236" s="2" t="str">
        <f t="shared" si="158"/>
        <v>OK</v>
      </c>
      <c r="AA1236" t="str">
        <f t="shared" si="159"/>
        <v>Unique</v>
      </c>
    </row>
    <row r="1237" spans="1:27" x14ac:dyDescent="0.3">
      <c r="A1237">
        <v>1236</v>
      </c>
      <c r="B1237">
        <v>1944401.0664598199</v>
      </c>
      <c r="C1237">
        <v>0.23886078042193701</v>
      </c>
      <c r="D1237">
        <v>-7.6746243870355196E-2</v>
      </c>
      <c r="E1237">
        <v>0.37178881537347402</v>
      </c>
      <c r="F1237">
        <v>1</v>
      </c>
      <c r="G1237" t="s">
        <v>13</v>
      </c>
      <c r="H1237">
        <v>0</v>
      </c>
      <c r="I1237">
        <v>722906.56911001902</v>
      </c>
      <c r="J1237">
        <v>0.62821118462652503</v>
      </c>
      <c r="K1237" t="str">
        <f t="shared" si="152"/>
        <v>OK</v>
      </c>
      <c r="L1237" t="str">
        <f t="shared" si="153"/>
        <v>OK</v>
      </c>
      <c r="M1237" t="str">
        <f>IF(OR(B1237&lt;$AE$20,B1237&gt;$AF$20),"Outlier","OK")</f>
        <v>OK</v>
      </c>
      <c r="N1237" t="str">
        <f>IF(OR(J1237&lt;$AE$21,J1237&gt;$AF$21),"Outlier","OK")</f>
        <v>OK</v>
      </c>
      <c r="O1237" t="str">
        <f>IF(OR(C1237&lt;0,C1237&gt;1),"Outlier","OK")</f>
        <v>OK</v>
      </c>
      <c r="P1237" t="str">
        <f>IF(OR(D1237&lt;0,D1237&gt;1),"Outlier","OK")</f>
        <v>Outlier</v>
      </c>
      <c r="Q1237" t="str">
        <f t="shared" si="154"/>
        <v>60-80%</v>
      </c>
      <c r="R1237" t="str">
        <f>IF(B1237="","Missing","OK")</f>
        <v>OK</v>
      </c>
      <c r="S1237" t="str">
        <f>IF(E1237="","Missing","OK")</f>
        <v>OK</v>
      </c>
      <c r="T1237" t="str">
        <f t="shared" si="155"/>
        <v>OK</v>
      </c>
      <c r="U1237">
        <f>COUNTIF($A:$A,A1237)</f>
        <v>1</v>
      </c>
      <c r="V1237" t="str">
        <f t="shared" si="156"/>
        <v>OK</v>
      </c>
      <c r="W1237" t="str">
        <f>IF(I1237&gt;B1237,"ERROR","OK")</f>
        <v>OK</v>
      </c>
      <c r="X1237">
        <f>(B1237-I1237)/B1237</f>
        <v>0.62821118462652448</v>
      </c>
      <c r="Y1237" s="2">
        <f t="shared" si="157"/>
        <v>5.5511151231257827E-16</v>
      </c>
      <c r="Z1237" s="2" t="str">
        <f t="shared" si="158"/>
        <v>OK</v>
      </c>
      <c r="AA1237" t="str">
        <f t="shared" si="159"/>
        <v>Unique</v>
      </c>
    </row>
    <row r="1238" spans="1:27" x14ac:dyDescent="0.3">
      <c r="A1238">
        <v>1237</v>
      </c>
      <c r="B1238">
        <v>120604.66389023099</v>
      </c>
      <c r="C1238">
        <v>0.24358240292713701</v>
      </c>
      <c r="D1238">
        <v>-0.173770140722566</v>
      </c>
      <c r="E1238">
        <v>0.32723791605795699</v>
      </c>
      <c r="F1238">
        <v>1</v>
      </c>
      <c r="G1238" t="s">
        <v>12</v>
      </c>
      <c r="H1238">
        <v>0</v>
      </c>
      <c r="I1238">
        <v>39466.418878309902</v>
      </c>
      <c r="J1238">
        <v>0.67276208394204196</v>
      </c>
      <c r="K1238" t="str">
        <f t="shared" si="152"/>
        <v>OK</v>
      </c>
      <c r="L1238" t="str">
        <f t="shared" si="153"/>
        <v>OK</v>
      </c>
      <c r="M1238" t="str">
        <f>IF(OR(B1238&lt;$AE$20,B1238&gt;$AF$20),"Outlier","OK")</f>
        <v>OK</v>
      </c>
      <c r="N1238" t="str">
        <f>IF(OR(J1238&lt;$AE$21,J1238&gt;$AF$21),"Outlier","OK")</f>
        <v>OK</v>
      </c>
      <c r="O1238" t="str">
        <f>IF(OR(C1238&lt;0,C1238&gt;1),"Outlier","OK")</f>
        <v>OK</v>
      </c>
      <c r="P1238" t="str">
        <f>IF(OR(D1238&lt;0,D1238&gt;1),"Outlier","OK")</f>
        <v>Outlier</v>
      </c>
      <c r="Q1238" t="str">
        <f t="shared" si="154"/>
        <v>60-80%</v>
      </c>
      <c r="R1238" t="str">
        <f>IF(B1238="","Missing","OK")</f>
        <v>OK</v>
      </c>
      <c r="S1238" t="str">
        <f>IF(E1238="","Missing","OK")</f>
        <v>OK</v>
      </c>
      <c r="T1238" t="str">
        <f t="shared" si="155"/>
        <v>OK</v>
      </c>
      <c r="U1238">
        <f>COUNTIF($A:$A,A1238)</f>
        <v>1</v>
      </c>
      <c r="V1238" t="str">
        <f t="shared" si="156"/>
        <v>OK</v>
      </c>
      <c r="W1238" t="str">
        <f>IF(I1238&gt;B1238,"ERROR","OK")</f>
        <v>OK</v>
      </c>
      <c r="X1238">
        <f>(B1238-I1238)/B1238</f>
        <v>0.67276208394203996</v>
      </c>
      <c r="Y1238" s="2">
        <f t="shared" si="157"/>
        <v>1.9984014443252818E-15</v>
      </c>
      <c r="Z1238" s="2" t="str">
        <f t="shared" si="158"/>
        <v>OK</v>
      </c>
      <c r="AA1238" t="str">
        <f t="shared" si="159"/>
        <v>Unique</v>
      </c>
    </row>
    <row r="1239" spans="1:27" x14ac:dyDescent="0.3">
      <c r="A1239">
        <v>1238</v>
      </c>
      <c r="B1239">
        <v>1242618.31696957</v>
      </c>
      <c r="C1239">
        <v>0.30091181292219898</v>
      </c>
      <c r="D1239">
        <v>-6.0690164640523701E-2</v>
      </c>
      <c r="E1239">
        <v>4.2413432467666899E-2</v>
      </c>
      <c r="F1239">
        <v>1</v>
      </c>
      <c r="G1239" t="s">
        <v>12</v>
      </c>
      <c r="H1239">
        <v>0</v>
      </c>
      <c r="I1239">
        <v>52703.708069875</v>
      </c>
      <c r="J1239">
        <v>0.95758656753233296</v>
      </c>
      <c r="K1239" t="str">
        <f t="shared" si="152"/>
        <v>OK</v>
      </c>
      <c r="L1239" t="str">
        <f t="shared" si="153"/>
        <v>OK</v>
      </c>
      <c r="M1239" t="str">
        <f>IF(OR(B1239&lt;$AE$20,B1239&gt;$AF$20),"Outlier","OK")</f>
        <v>OK</v>
      </c>
      <c r="N1239" t="str">
        <f>IF(OR(J1239&lt;$AE$21,J1239&gt;$AF$21),"Outlier","OK")</f>
        <v>OK</v>
      </c>
      <c r="O1239" t="str">
        <f>IF(OR(C1239&lt;0,C1239&gt;1),"Outlier","OK")</f>
        <v>OK</v>
      </c>
      <c r="P1239" t="str">
        <f>IF(OR(D1239&lt;0,D1239&gt;1),"Outlier","OK")</f>
        <v>Outlier</v>
      </c>
      <c r="Q1239" t="str">
        <f t="shared" si="154"/>
        <v>80-100%</v>
      </c>
      <c r="R1239" t="str">
        <f>IF(B1239="","Missing","OK")</f>
        <v>OK</v>
      </c>
      <c r="S1239" t="str">
        <f>IF(E1239="","Missing","OK")</f>
        <v>OK</v>
      </c>
      <c r="T1239" t="str">
        <f t="shared" si="155"/>
        <v>OK</v>
      </c>
      <c r="U1239">
        <f>COUNTIF($A:$A,A1239)</f>
        <v>1</v>
      </c>
      <c r="V1239" t="str">
        <f t="shared" si="156"/>
        <v>OK</v>
      </c>
      <c r="W1239" t="str">
        <f>IF(I1239&gt;B1239,"ERROR","OK")</f>
        <v>OK</v>
      </c>
      <c r="X1239">
        <f>(B1239-I1239)/B1239</f>
        <v>0.95758656753233296</v>
      </c>
      <c r="Y1239" s="2">
        <f t="shared" si="157"/>
        <v>0</v>
      </c>
      <c r="Z1239" s="2" t="str">
        <f t="shared" si="158"/>
        <v>OK</v>
      </c>
      <c r="AA1239" t="str">
        <f t="shared" si="159"/>
        <v>Unique</v>
      </c>
    </row>
    <row r="1240" spans="1:27" x14ac:dyDescent="0.3">
      <c r="A1240">
        <v>1239</v>
      </c>
      <c r="B1240">
        <v>469918.65689876699</v>
      </c>
      <c r="C1240">
        <v>0.823906775293475</v>
      </c>
      <c r="D1240">
        <v>-0.14969656255397901</v>
      </c>
      <c r="E1240">
        <v>0.101421645550966</v>
      </c>
      <c r="F1240">
        <v>1</v>
      </c>
      <c r="G1240" t="s">
        <v>12</v>
      </c>
      <c r="H1240">
        <v>0</v>
      </c>
      <c r="I1240">
        <v>47659.923457772798</v>
      </c>
      <c r="J1240">
        <v>0.898578354449033</v>
      </c>
      <c r="K1240" t="str">
        <f t="shared" si="152"/>
        <v>OK</v>
      </c>
      <c r="L1240" t="str">
        <f t="shared" si="153"/>
        <v>OK</v>
      </c>
      <c r="M1240" t="str">
        <f>IF(OR(B1240&lt;$AE$20,B1240&gt;$AF$20),"Outlier","OK")</f>
        <v>OK</v>
      </c>
      <c r="N1240" t="str">
        <f>IF(OR(J1240&lt;$AE$21,J1240&gt;$AF$21),"Outlier","OK")</f>
        <v>OK</v>
      </c>
      <c r="O1240" t="str">
        <f>IF(OR(C1240&lt;0,C1240&gt;1),"Outlier","OK")</f>
        <v>OK</v>
      </c>
      <c r="P1240" t="str">
        <f>IF(OR(D1240&lt;0,D1240&gt;1),"Outlier","OK")</f>
        <v>Outlier</v>
      </c>
      <c r="Q1240" t="str">
        <f t="shared" si="154"/>
        <v>80-100%</v>
      </c>
      <c r="R1240" t="str">
        <f>IF(B1240="","Missing","OK")</f>
        <v>OK</v>
      </c>
      <c r="S1240" t="str">
        <f>IF(E1240="","Missing","OK")</f>
        <v>OK</v>
      </c>
      <c r="T1240" t="str">
        <f t="shared" si="155"/>
        <v>OK</v>
      </c>
      <c r="U1240">
        <f>COUNTIF($A:$A,A1240)</f>
        <v>1</v>
      </c>
      <c r="V1240" t="str">
        <f t="shared" si="156"/>
        <v>OK</v>
      </c>
      <c r="W1240" t="str">
        <f>IF(I1240&gt;B1240,"ERROR","OK")</f>
        <v>OK</v>
      </c>
      <c r="X1240">
        <f>(B1240-I1240)/B1240</f>
        <v>0.89857835444903389</v>
      </c>
      <c r="Y1240" s="2">
        <f t="shared" si="157"/>
        <v>8.8817841970012523E-16</v>
      </c>
      <c r="Z1240" s="2" t="str">
        <f t="shared" si="158"/>
        <v>OK</v>
      </c>
      <c r="AA1240" t="str">
        <f t="shared" si="159"/>
        <v>Unique</v>
      </c>
    </row>
    <row r="1241" spans="1:27" x14ac:dyDescent="0.3">
      <c r="A1241">
        <v>1240</v>
      </c>
      <c r="B1241">
        <v>530791.48207806004</v>
      </c>
      <c r="C1241">
        <v>0.75446718425709203</v>
      </c>
      <c r="D1241">
        <v>-3.03051849326289E-2</v>
      </c>
      <c r="E1241">
        <v>0.23866332112997801</v>
      </c>
      <c r="F1241">
        <v>1</v>
      </c>
      <c r="G1241" t="s">
        <v>12</v>
      </c>
      <c r="H1241">
        <v>0</v>
      </c>
      <c r="I1241">
        <v>126680.45794025301</v>
      </c>
      <c r="J1241">
        <v>0.76133667887002099</v>
      </c>
      <c r="K1241" t="str">
        <f t="shared" si="152"/>
        <v>OK</v>
      </c>
      <c r="L1241" t="str">
        <f t="shared" si="153"/>
        <v>OK</v>
      </c>
      <c r="M1241" t="str">
        <f>IF(OR(B1241&lt;$AE$20,B1241&gt;$AF$20),"Outlier","OK")</f>
        <v>OK</v>
      </c>
      <c r="N1241" t="str">
        <f>IF(OR(J1241&lt;$AE$21,J1241&gt;$AF$21),"Outlier","OK")</f>
        <v>OK</v>
      </c>
      <c r="O1241" t="str">
        <f>IF(OR(C1241&lt;0,C1241&gt;1),"Outlier","OK")</f>
        <v>OK</v>
      </c>
      <c r="P1241" t="str">
        <f>IF(OR(D1241&lt;0,D1241&gt;1),"Outlier","OK")</f>
        <v>Outlier</v>
      </c>
      <c r="Q1241" t="str">
        <f t="shared" si="154"/>
        <v>60-80%</v>
      </c>
      <c r="R1241" t="str">
        <f>IF(B1241="","Missing","OK")</f>
        <v>OK</v>
      </c>
      <c r="S1241" t="str">
        <f>IF(E1241="","Missing","OK")</f>
        <v>OK</v>
      </c>
      <c r="T1241" t="str">
        <f t="shared" si="155"/>
        <v>OK</v>
      </c>
      <c r="U1241">
        <f>COUNTIF($A:$A,A1241)</f>
        <v>1</v>
      </c>
      <c r="V1241" t="str">
        <f t="shared" si="156"/>
        <v>OK</v>
      </c>
      <c r="W1241" t="str">
        <f>IF(I1241&gt;B1241,"ERROR","OK")</f>
        <v>OK</v>
      </c>
      <c r="X1241">
        <f>(B1241-I1241)/B1241</f>
        <v>0.76133667887002199</v>
      </c>
      <c r="Y1241" s="2">
        <f t="shared" si="157"/>
        <v>9.9920072216264089E-16</v>
      </c>
      <c r="Z1241" s="2" t="str">
        <f t="shared" si="158"/>
        <v>OK</v>
      </c>
      <c r="AA1241" t="str">
        <f t="shared" si="159"/>
        <v>Unique</v>
      </c>
    </row>
    <row r="1242" spans="1:27" x14ac:dyDescent="0.3">
      <c r="A1242">
        <v>1241</v>
      </c>
      <c r="B1242">
        <v>1695918.77086437</v>
      </c>
      <c r="C1242">
        <v>0.88811613853723703</v>
      </c>
      <c r="D1242">
        <v>9.1635105145860193E-2</v>
      </c>
      <c r="E1242">
        <v>0.47575267320737102</v>
      </c>
      <c r="F1242">
        <v>1</v>
      </c>
      <c r="G1242" t="s">
        <v>13</v>
      </c>
      <c r="H1242">
        <v>0</v>
      </c>
      <c r="I1242">
        <v>806837.88878128503</v>
      </c>
      <c r="J1242">
        <v>0.52424732679262798</v>
      </c>
      <c r="K1242" t="str">
        <f t="shared" si="152"/>
        <v>OK</v>
      </c>
      <c r="L1242" t="str">
        <f t="shared" si="153"/>
        <v>OK</v>
      </c>
      <c r="M1242" t="str">
        <f>IF(OR(B1242&lt;$AE$20,B1242&gt;$AF$20),"Outlier","OK")</f>
        <v>OK</v>
      </c>
      <c r="N1242" t="str">
        <f>IF(OR(J1242&lt;$AE$21,J1242&gt;$AF$21),"Outlier","OK")</f>
        <v>OK</v>
      </c>
      <c r="O1242" t="str">
        <f>IF(OR(C1242&lt;0,C1242&gt;1),"Outlier","OK")</f>
        <v>OK</v>
      </c>
      <c r="P1242" t="str">
        <f>IF(OR(D1242&lt;0,D1242&gt;1),"Outlier","OK")</f>
        <v>OK</v>
      </c>
      <c r="Q1242" t="str">
        <f t="shared" si="154"/>
        <v>40-60%</v>
      </c>
      <c r="R1242" t="str">
        <f>IF(B1242="","Missing","OK")</f>
        <v>OK</v>
      </c>
      <c r="S1242" t="str">
        <f>IF(E1242="","Missing","OK")</f>
        <v>OK</v>
      </c>
      <c r="T1242" t="str">
        <f t="shared" si="155"/>
        <v>OK</v>
      </c>
      <c r="U1242">
        <f>COUNTIF($A:$A,A1242)</f>
        <v>1</v>
      </c>
      <c r="V1242" t="str">
        <f t="shared" si="156"/>
        <v>OK</v>
      </c>
      <c r="W1242" t="str">
        <f>IF(I1242&gt;B1242,"ERROR","OK")</f>
        <v>OK</v>
      </c>
      <c r="X1242">
        <f>(B1242-I1242)/B1242</f>
        <v>0.52424732679262775</v>
      </c>
      <c r="Y1242" s="2">
        <f t="shared" si="157"/>
        <v>2.2204460492503131E-16</v>
      </c>
      <c r="Z1242" s="2" t="str">
        <f t="shared" si="158"/>
        <v>OK</v>
      </c>
      <c r="AA1242" t="str">
        <f t="shared" si="159"/>
        <v>Unique</v>
      </c>
    </row>
    <row r="1243" spans="1:27" x14ac:dyDescent="0.3">
      <c r="A1243">
        <v>1242</v>
      </c>
      <c r="B1243">
        <v>1512873.7755938501</v>
      </c>
      <c r="C1243">
        <v>0.78729967890005503</v>
      </c>
      <c r="D1243">
        <v>3.4882365924557998E-2</v>
      </c>
      <c r="E1243">
        <v>8.8074211242585507E-2</v>
      </c>
      <c r="F1243">
        <v>1</v>
      </c>
      <c r="G1243" t="s">
        <v>13</v>
      </c>
      <c r="H1243">
        <v>0</v>
      </c>
      <c r="I1243">
        <v>133245.16449502099</v>
      </c>
      <c r="J1243">
        <v>0.91192578875741404</v>
      </c>
      <c r="K1243" t="str">
        <f t="shared" si="152"/>
        <v>OK</v>
      </c>
      <c r="L1243" t="str">
        <f t="shared" si="153"/>
        <v>OK</v>
      </c>
      <c r="M1243" t="str">
        <f>IF(OR(B1243&lt;$AE$20,B1243&gt;$AF$20),"Outlier","OK")</f>
        <v>OK</v>
      </c>
      <c r="N1243" t="str">
        <f>IF(OR(J1243&lt;$AE$21,J1243&gt;$AF$21),"Outlier","OK")</f>
        <v>OK</v>
      </c>
      <c r="O1243" t="str">
        <f>IF(OR(C1243&lt;0,C1243&gt;1),"Outlier","OK")</f>
        <v>OK</v>
      </c>
      <c r="P1243" t="str">
        <f>IF(OR(D1243&lt;0,D1243&gt;1),"Outlier","OK")</f>
        <v>OK</v>
      </c>
      <c r="Q1243" t="str">
        <f t="shared" si="154"/>
        <v>80-100%</v>
      </c>
      <c r="R1243" t="str">
        <f>IF(B1243="","Missing","OK")</f>
        <v>OK</v>
      </c>
      <c r="S1243" t="str">
        <f>IF(E1243="","Missing","OK")</f>
        <v>OK</v>
      </c>
      <c r="T1243" t="str">
        <f t="shared" si="155"/>
        <v>OK</v>
      </c>
      <c r="U1243">
        <f>COUNTIF($A:$A,A1243)</f>
        <v>1</v>
      </c>
      <c r="V1243" t="str">
        <f t="shared" si="156"/>
        <v>OK</v>
      </c>
      <c r="W1243" t="str">
        <f>IF(I1243&gt;B1243,"ERROR","OK")</f>
        <v>OK</v>
      </c>
      <c r="X1243">
        <f>(B1243-I1243)/B1243</f>
        <v>0.91192578875741437</v>
      </c>
      <c r="Y1243" s="2">
        <f t="shared" si="157"/>
        <v>3.3306690738754696E-16</v>
      </c>
      <c r="Z1243" s="2" t="str">
        <f t="shared" si="158"/>
        <v>OK</v>
      </c>
      <c r="AA1243" t="str">
        <f t="shared" si="159"/>
        <v>Unique</v>
      </c>
    </row>
    <row r="1244" spans="1:27" x14ac:dyDescent="0.3">
      <c r="A1244">
        <v>1243</v>
      </c>
      <c r="B1244">
        <v>691164.71692835796</v>
      </c>
      <c r="C1244">
        <v>0.49268378450725298</v>
      </c>
      <c r="D1244">
        <v>4.3778158067200201E-2</v>
      </c>
      <c r="E1244">
        <v>0.384110172638578</v>
      </c>
      <c r="F1244">
        <v>1</v>
      </c>
      <c r="G1244" t="s">
        <v>10</v>
      </c>
      <c r="H1244">
        <v>1</v>
      </c>
      <c r="I1244">
        <v>265483.39874104602</v>
      </c>
      <c r="J1244">
        <v>0.61588982736142095</v>
      </c>
      <c r="K1244" t="str">
        <f t="shared" si="152"/>
        <v>OK</v>
      </c>
      <c r="L1244" t="str">
        <f t="shared" si="153"/>
        <v>OK</v>
      </c>
      <c r="M1244" t="str">
        <f>IF(OR(B1244&lt;$AE$20,B1244&gt;$AF$20),"Outlier","OK")</f>
        <v>OK</v>
      </c>
      <c r="N1244" t="str">
        <f>IF(OR(J1244&lt;$AE$21,J1244&gt;$AF$21),"Outlier","OK")</f>
        <v>OK</v>
      </c>
      <c r="O1244" t="str">
        <f>IF(OR(C1244&lt;0,C1244&gt;1),"Outlier","OK")</f>
        <v>OK</v>
      </c>
      <c r="P1244" t="str">
        <f>IF(OR(D1244&lt;0,D1244&gt;1),"Outlier","OK")</f>
        <v>OK</v>
      </c>
      <c r="Q1244" t="str">
        <f t="shared" si="154"/>
        <v>60-80%</v>
      </c>
      <c r="R1244" t="str">
        <f>IF(B1244="","Missing","OK")</f>
        <v>OK</v>
      </c>
      <c r="S1244" t="str">
        <f>IF(E1244="","Missing","OK")</f>
        <v>OK</v>
      </c>
      <c r="T1244" t="str">
        <f t="shared" si="155"/>
        <v>OK</v>
      </c>
      <c r="U1244">
        <f>COUNTIF($A:$A,A1244)</f>
        <v>1</v>
      </c>
      <c r="V1244" t="str">
        <f t="shared" si="156"/>
        <v>OK</v>
      </c>
      <c r="W1244" t="str">
        <f>IF(I1244&gt;B1244,"ERROR","OK")</f>
        <v>OK</v>
      </c>
      <c r="X1244">
        <f>(B1244-I1244)/B1244</f>
        <v>0.61588982736142117</v>
      </c>
      <c r="Y1244" s="2">
        <f t="shared" si="157"/>
        <v>2.2204460492503131E-16</v>
      </c>
      <c r="Z1244" s="2" t="str">
        <f t="shared" si="158"/>
        <v>OK</v>
      </c>
      <c r="AA1244" t="str">
        <f t="shared" si="159"/>
        <v>Unique</v>
      </c>
    </row>
    <row r="1245" spans="1:27" x14ac:dyDescent="0.3">
      <c r="A1245">
        <v>1244</v>
      </c>
      <c r="B1245">
        <v>1063834.9591177499</v>
      </c>
      <c r="C1245">
        <v>0.39856309621296498</v>
      </c>
      <c r="D1245">
        <v>0.12695876796372199</v>
      </c>
      <c r="E1245">
        <v>0.23656920115688701</v>
      </c>
      <c r="F1245">
        <v>1</v>
      </c>
      <c r="G1245" t="s">
        <v>12</v>
      </c>
      <c r="H1245">
        <v>1</v>
      </c>
      <c r="I1245">
        <v>251670.586441258</v>
      </c>
      <c r="J1245">
        <v>0.76343079884311205</v>
      </c>
      <c r="K1245" t="str">
        <f t="shared" si="152"/>
        <v>OK</v>
      </c>
      <c r="L1245" t="str">
        <f t="shared" si="153"/>
        <v>OK</v>
      </c>
      <c r="M1245" t="str">
        <f>IF(OR(B1245&lt;$AE$20,B1245&gt;$AF$20),"Outlier","OK")</f>
        <v>OK</v>
      </c>
      <c r="N1245" t="str">
        <f>IF(OR(J1245&lt;$AE$21,J1245&gt;$AF$21),"Outlier","OK")</f>
        <v>OK</v>
      </c>
      <c r="O1245" t="str">
        <f>IF(OR(C1245&lt;0,C1245&gt;1),"Outlier","OK")</f>
        <v>OK</v>
      </c>
      <c r="P1245" t="str">
        <f>IF(OR(D1245&lt;0,D1245&gt;1),"Outlier","OK")</f>
        <v>OK</v>
      </c>
      <c r="Q1245" t="str">
        <f t="shared" si="154"/>
        <v>60-80%</v>
      </c>
      <c r="R1245" t="str">
        <f>IF(B1245="","Missing","OK")</f>
        <v>OK</v>
      </c>
      <c r="S1245" t="str">
        <f>IF(E1245="","Missing","OK")</f>
        <v>OK</v>
      </c>
      <c r="T1245" t="str">
        <f t="shared" si="155"/>
        <v>OK</v>
      </c>
      <c r="U1245">
        <f>COUNTIF($A:$A,A1245)</f>
        <v>1</v>
      </c>
      <c r="V1245" t="str">
        <f t="shared" si="156"/>
        <v>OK</v>
      </c>
      <c r="W1245" t="str">
        <f>IF(I1245&gt;B1245,"ERROR","OK")</f>
        <v>OK</v>
      </c>
      <c r="X1245">
        <f>(B1245-I1245)/B1245</f>
        <v>0.76343079884311082</v>
      </c>
      <c r="Y1245" s="2">
        <f t="shared" si="157"/>
        <v>1.2212453270876722E-15</v>
      </c>
      <c r="Z1245" s="2" t="str">
        <f t="shared" si="158"/>
        <v>OK</v>
      </c>
      <c r="AA1245" t="str">
        <f t="shared" si="159"/>
        <v>Unique</v>
      </c>
    </row>
    <row r="1246" spans="1:27" x14ac:dyDescent="0.3">
      <c r="A1246">
        <v>1245</v>
      </c>
      <c r="B1246">
        <v>417243.26026846899</v>
      </c>
      <c r="C1246">
        <v>0.153623695224269</v>
      </c>
      <c r="D1246">
        <v>4.7965931285142697E-2</v>
      </c>
      <c r="E1246">
        <v>0.47990756387925199</v>
      </c>
      <c r="F1246">
        <v>1</v>
      </c>
      <c r="G1246" t="s">
        <v>12</v>
      </c>
      <c r="H1246">
        <v>0</v>
      </c>
      <c r="I1246">
        <v>200238.19658047799</v>
      </c>
      <c r="J1246">
        <v>0.52009243612074696</v>
      </c>
      <c r="K1246" t="str">
        <f t="shared" si="152"/>
        <v>OK</v>
      </c>
      <c r="L1246" t="str">
        <f t="shared" si="153"/>
        <v>OK</v>
      </c>
      <c r="M1246" t="str">
        <f>IF(OR(B1246&lt;$AE$20,B1246&gt;$AF$20),"Outlier","OK")</f>
        <v>OK</v>
      </c>
      <c r="N1246" t="str">
        <f>IF(OR(J1246&lt;$AE$21,J1246&gt;$AF$21),"Outlier","OK")</f>
        <v>OK</v>
      </c>
      <c r="O1246" t="str">
        <f>IF(OR(C1246&lt;0,C1246&gt;1),"Outlier","OK")</f>
        <v>OK</v>
      </c>
      <c r="P1246" t="str">
        <f>IF(OR(D1246&lt;0,D1246&gt;1),"Outlier","OK")</f>
        <v>OK</v>
      </c>
      <c r="Q1246" t="str">
        <f t="shared" si="154"/>
        <v>40-60%</v>
      </c>
      <c r="R1246" t="str">
        <f>IF(B1246="","Missing","OK")</f>
        <v>OK</v>
      </c>
      <c r="S1246" t="str">
        <f>IF(E1246="","Missing","OK")</f>
        <v>OK</v>
      </c>
      <c r="T1246" t="str">
        <f t="shared" si="155"/>
        <v>OK</v>
      </c>
      <c r="U1246">
        <f>COUNTIF($A:$A,A1246)</f>
        <v>1</v>
      </c>
      <c r="V1246" t="str">
        <f t="shared" si="156"/>
        <v>OK</v>
      </c>
      <c r="W1246" t="str">
        <f>IF(I1246&gt;B1246,"ERROR","OK")</f>
        <v>OK</v>
      </c>
      <c r="X1246">
        <f>(B1246-I1246)/B1246</f>
        <v>0.52009243612074718</v>
      </c>
      <c r="Y1246" s="2">
        <f t="shared" si="157"/>
        <v>2.2204460492503131E-16</v>
      </c>
      <c r="Z1246" s="2" t="str">
        <f t="shared" si="158"/>
        <v>OK</v>
      </c>
      <c r="AA1246" t="str">
        <f t="shared" si="159"/>
        <v>Unique</v>
      </c>
    </row>
    <row r="1247" spans="1:27" x14ac:dyDescent="0.3">
      <c r="A1247">
        <v>1246</v>
      </c>
      <c r="B1247">
        <v>57463.0474102156</v>
      </c>
      <c r="C1247">
        <v>0.70829521060932998</v>
      </c>
      <c r="D1247">
        <v>-0.19207099226336199</v>
      </c>
      <c r="E1247">
        <v>0.18365730413650599</v>
      </c>
      <c r="F1247">
        <v>1</v>
      </c>
      <c r="G1247" t="s">
        <v>11</v>
      </c>
      <c r="H1247">
        <v>1</v>
      </c>
      <c r="I1247">
        <v>10553.5083748284</v>
      </c>
      <c r="J1247">
        <v>0.81634269586349295</v>
      </c>
      <c r="K1247" t="str">
        <f t="shared" si="152"/>
        <v>OK</v>
      </c>
      <c r="L1247" t="str">
        <f t="shared" si="153"/>
        <v>OK</v>
      </c>
      <c r="M1247" t="str">
        <f>IF(OR(B1247&lt;$AE$20,B1247&gt;$AF$20),"Outlier","OK")</f>
        <v>Outlier</v>
      </c>
      <c r="N1247" t="str">
        <f>IF(OR(J1247&lt;$AE$21,J1247&gt;$AF$21),"Outlier","OK")</f>
        <v>OK</v>
      </c>
      <c r="O1247" t="str">
        <f>IF(OR(C1247&lt;0,C1247&gt;1),"Outlier","OK")</f>
        <v>OK</v>
      </c>
      <c r="P1247" t="str">
        <f>IF(OR(D1247&lt;0,D1247&gt;1),"Outlier","OK")</f>
        <v>Outlier</v>
      </c>
      <c r="Q1247" t="str">
        <f t="shared" si="154"/>
        <v>80-100%</v>
      </c>
      <c r="R1247" t="str">
        <f>IF(B1247="","Missing","OK")</f>
        <v>OK</v>
      </c>
      <c r="S1247" t="str">
        <f>IF(E1247="","Missing","OK")</f>
        <v>OK</v>
      </c>
      <c r="T1247" t="str">
        <f t="shared" si="155"/>
        <v>OK</v>
      </c>
      <c r="U1247">
        <f>COUNTIF($A:$A,A1247)</f>
        <v>1</v>
      </c>
      <c r="V1247" t="str">
        <f t="shared" si="156"/>
        <v>OK</v>
      </c>
      <c r="W1247" t="str">
        <f>IF(I1247&gt;B1247,"ERROR","OK")</f>
        <v>OK</v>
      </c>
      <c r="X1247">
        <f>(B1247-I1247)/B1247</f>
        <v>0.81634269586349451</v>
      </c>
      <c r="Y1247" s="2">
        <f t="shared" si="157"/>
        <v>1.5543122344752192E-15</v>
      </c>
      <c r="Z1247" s="2" t="str">
        <f t="shared" si="158"/>
        <v>OK</v>
      </c>
      <c r="AA1247" t="str">
        <f t="shared" si="159"/>
        <v>Unique</v>
      </c>
    </row>
    <row r="1248" spans="1:27" x14ac:dyDescent="0.3">
      <c r="A1248">
        <v>1247</v>
      </c>
      <c r="B1248">
        <v>1804918.30860942</v>
      </c>
      <c r="C1248">
        <v>0.39661620525135</v>
      </c>
      <c r="D1248">
        <v>5.0905420138796703E-2</v>
      </c>
      <c r="E1248">
        <v>0.31232735559233299</v>
      </c>
      <c r="F1248">
        <v>1</v>
      </c>
      <c r="G1248" t="s">
        <v>13</v>
      </c>
      <c r="H1248">
        <v>0</v>
      </c>
      <c r="I1248">
        <v>563725.36238816904</v>
      </c>
      <c r="J1248">
        <v>0.68767264440766696</v>
      </c>
      <c r="K1248" t="str">
        <f t="shared" si="152"/>
        <v>OK</v>
      </c>
      <c r="L1248" t="str">
        <f t="shared" si="153"/>
        <v>OK</v>
      </c>
      <c r="M1248" t="str">
        <f>IF(OR(B1248&lt;$AE$20,B1248&gt;$AF$20),"Outlier","OK")</f>
        <v>OK</v>
      </c>
      <c r="N1248" t="str">
        <f>IF(OR(J1248&lt;$AE$21,J1248&gt;$AF$21),"Outlier","OK")</f>
        <v>OK</v>
      </c>
      <c r="O1248" t="str">
        <f>IF(OR(C1248&lt;0,C1248&gt;1),"Outlier","OK")</f>
        <v>OK</v>
      </c>
      <c r="P1248" t="str">
        <f>IF(OR(D1248&lt;0,D1248&gt;1),"Outlier","OK")</f>
        <v>OK</v>
      </c>
      <c r="Q1248" t="str">
        <f t="shared" si="154"/>
        <v>60-80%</v>
      </c>
      <c r="R1248" t="str">
        <f>IF(B1248="","Missing","OK")</f>
        <v>OK</v>
      </c>
      <c r="S1248" t="str">
        <f>IF(E1248="","Missing","OK")</f>
        <v>OK</v>
      </c>
      <c r="T1248" t="str">
        <f t="shared" si="155"/>
        <v>OK</v>
      </c>
      <c r="U1248">
        <f>COUNTIF($A:$A,A1248)</f>
        <v>1</v>
      </c>
      <c r="V1248" t="str">
        <f t="shared" si="156"/>
        <v>OK</v>
      </c>
      <c r="W1248" t="str">
        <f>IF(I1248&gt;B1248,"ERROR","OK")</f>
        <v>OK</v>
      </c>
      <c r="X1248">
        <f>(B1248-I1248)/B1248</f>
        <v>0.68767264440766573</v>
      </c>
      <c r="Y1248" s="2">
        <f t="shared" si="157"/>
        <v>1.2212453270876722E-15</v>
      </c>
      <c r="Z1248" s="2" t="str">
        <f t="shared" si="158"/>
        <v>OK</v>
      </c>
      <c r="AA1248" t="str">
        <f t="shared" si="159"/>
        <v>Unique</v>
      </c>
    </row>
    <row r="1249" spans="1:27" x14ac:dyDescent="0.3">
      <c r="A1249">
        <v>1248</v>
      </c>
      <c r="B1249">
        <v>1433802.52281597</v>
      </c>
      <c r="C1249">
        <v>0.76503402362068795</v>
      </c>
      <c r="D1249">
        <v>0.17461220444004699</v>
      </c>
      <c r="E1249">
        <v>0.411752765826779</v>
      </c>
      <c r="F1249">
        <v>1</v>
      </c>
      <c r="G1249" t="s">
        <v>11</v>
      </c>
      <c r="H1249">
        <v>1</v>
      </c>
      <c r="I1249">
        <v>590372.15441889002</v>
      </c>
      <c r="J1249">
        <v>0.58824723417322</v>
      </c>
      <c r="K1249" t="str">
        <f t="shared" si="152"/>
        <v>OK</v>
      </c>
      <c r="L1249" t="str">
        <f t="shared" si="153"/>
        <v>OK</v>
      </c>
      <c r="M1249" t="str">
        <f>IF(OR(B1249&lt;$AE$20,B1249&gt;$AF$20),"Outlier","OK")</f>
        <v>OK</v>
      </c>
      <c r="N1249" t="str">
        <f>IF(OR(J1249&lt;$AE$21,J1249&gt;$AF$21),"Outlier","OK")</f>
        <v>OK</v>
      </c>
      <c r="O1249" t="str">
        <f>IF(OR(C1249&lt;0,C1249&gt;1),"Outlier","OK")</f>
        <v>OK</v>
      </c>
      <c r="P1249" t="str">
        <f>IF(OR(D1249&lt;0,D1249&gt;1),"Outlier","OK")</f>
        <v>OK</v>
      </c>
      <c r="Q1249" t="str">
        <f t="shared" si="154"/>
        <v>40-60%</v>
      </c>
      <c r="R1249" t="str">
        <f>IF(B1249="","Missing","OK")</f>
        <v>OK</v>
      </c>
      <c r="S1249" t="str">
        <f>IF(E1249="","Missing","OK")</f>
        <v>OK</v>
      </c>
      <c r="T1249" t="str">
        <f t="shared" si="155"/>
        <v>OK</v>
      </c>
      <c r="U1249">
        <f>COUNTIF($A:$A,A1249)</f>
        <v>1</v>
      </c>
      <c r="V1249" t="str">
        <f t="shared" si="156"/>
        <v>OK</v>
      </c>
      <c r="W1249" t="str">
        <f>IF(I1249&gt;B1249,"ERROR","OK")</f>
        <v>OK</v>
      </c>
      <c r="X1249">
        <f>(B1249-I1249)/B1249</f>
        <v>0.58824723417322033</v>
      </c>
      <c r="Y1249" s="2">
        <f t="shared" si="157"/>
        <v>3.3306690738754696E-16</v>
      </c>
      <c r="Z1249" s="2" t="str">
        <f t="shared" si="158"/>
        <v>OK</v>
      </c>
      <c r="AA1249" t="str">
        <f t="shared" si="159"/>
        <v>Unique</v>
      </c>
    </row>
    <row r="1250" spans="1:27" x14ac:dyDescent="0.3">
      <c r="A1250">
        <v>1249</v>
      </c>
      <c r="B1250">
        <v>1081195.97165082</v>
      </c>
      <c r="C1250">
        <v>0.77065005146989296</v>
      </c>
      <c r="D1250">
        <v>-0.11200349118766301</v>
      </c>
      <c r="E1250">
        <v>0.28292081875001102</v>
      </c>
      <c r="F1250">
        <v>1</v>
      </c>
      <c r="G1250" t="s">
        <v>11</v>
      </c>
      <c r="H1250">
        <v>0</v>
      </c>
      <c r="I1250">
        <v>305892.84952866501</v>
      </c>
      <c r="J1250">
        <v>0.71707918124998804</v>
      </c>
      <c r="K1250" t="str">
        <f t="shared" si="152"/>
        <v>OK</v>
      </c>
      <c r="L1250" t="str">
        <f t="shared" si="153"/>
        <v>OK</v>
      </c>
      <c r="M1250" t="str">
        <f>IF(OR(B1250&lt;$AE$20,B1250&gt;$AF$20),"Outlier","OK")</f>
        <v>OK</v>
      </c>
      <c r="N1250" t="str">
        <f>IF(OR(J1250&lt;$AE$21,J1250&gt;$AF$21),"Outlier","OK")</f>
        <v>OK</v>
      </c>
      <c r="O1250" t="str">
        <f>IF(OR(C1250&lt;0,C1250&gt;1),"Outlier","OK")</f>
        <v>OK</v>
      </c>
      <c r="P1250" t="str">
        <f>IF(OR(D1250&lt;0,D1250&gt;1),"Outlier","OK")</f>
        <v>Outlier</v>
      </c>
      <c r="Q1250" t="str">
        <f t="shared" si="154"/>
        <v>60-80%</v>
      </c>
      <c r="R1250" t="str">
        <f>IF(B1250="","Missing","OK")</f>
        <v>OK</v>
      </c>
      <c r="S1250" t="str">
        <f>IF(E1250="","Missing","OK")</f>
        <v>OK</v>
      </c>
      <c r="T1250" t="str">
        <f t="shared" si="155"/>
        <v>OK</v>
      </c>
      <c r="U1250">
        <f>COUNTIF($A:$A,A1250)</f>
        <v>1</v>
      </c>
      <c r="V1250" t="str">
        <f t="shared" si="156"/>
        <v>OK</v>
      </c>
      <c r="W1250" t="str">
        <f>IF(I1250&gt;B1250,"ERROR","OK")</f>
        <v>OK</v>
      </c>
      <c r="X1250">
        <f>(B1250-I1250)/B1250</f>
        <v>0.71707918124998782</v>
      </c>
      <c r="Y1250" s="2">
        <f t="shared" si="157"/>
        <v>2.2204460492503131E-16</v>
      </c>
      <c r="Z1250" s="2" t="str">
        <f t="shared" si="158"/>
        <v>OK</v>
      </c>
      <c r="AA1250" t="str">
        <f t="shared" si="159"/>
        <v>Unique</v>
      </c>
    </row>
    <row r="1251" spans="1:27" x14ac:dyDescent="0.3">
      <c r="A1251">
        <v>1250</v>
      </c>
      <c r="B1251">
        <v>155492.78198346301</v>
      </c>
      <c r="C1251">
        <v>0.57488348124062005</v>
      </c>
      <c r="D1251">
        <v>0.117050767046337</v>
      </c>
      <c r="E1251">
        <v>0.438536152770023</v>
      </c>
      <c r="F1251">
        <v>1</v>
      </c>
      <c r="G1251" t="s">
        <v>13</v>
      </c>
      <c r="H1251">
        <v>1</v>
      </c>
      <c r="I1251">
        <v>68189.206394536202</v>
      </c>
      <c r="J1251">
        <v>0.561463847229976</v>
      </c>
      <c r="K1251" t="str">
        <f t="shared" si="152"/>
        <v>OK</v>
      </c>
      <c r="L1251" t="str">
        <f t="shared" si="153"/>
        <v>OK</v>
      </c>
      <c r="M1251" t="str">
        <f>IF(OR(B1251&lt;$AE$20,B1251&gt;$AF$20),"Outlier","OK")</f>
        <v>OK</v>
      </c>
      <c r="N1251" t="str">
        <f>IF(OR(J1251&lt;$AE$21,J1251&gt;$AF$21),"Outlier","OK")</f>
        <v>OK</v>
      </c>
      <c r="O1251" t="str">
        <f>IF(OR(C1251&lt;0,C1251&gt;1),"Outlier","OK")</f>
        <v>OK</v>
      </c>
      <c r="P1251" t="str">
        <f>IF(OR(D1251&lt;0,D1251&gt;1),"Outlier","OK")</f>
        <v>OK</v>
      </c>
      <c r="Q1251" t="str">
        <f t="shared" si="154"/>
        <v>40-60%</v>
      </c>
      <c r="R1251" t="str">
        <f>IF(B1251="","Missing","OK")</f>
        <v>OK</v>
      </c>
      <c r="S1251" t="str">
        <f>IF(E1251="","Missing","OK")</f>
        <v>OK</v>
      </c>
      <c r="T1251" t="str">
        <f t="shared" si="155"/>
        <v>OK</v>
      </c>
      <c r="U1251">
        <f>COUNTIF($A:$A,A1251)</f>
        <v>1</v>
      </c>
      <c r="V1251" t="str">
        <f t="shared" si="156"/>
        <v>OK</v>
      </c>
      <c r="W1251" t="str">
        <f>IF(I1251&gt;B1251,"ERROR","OK")</f>
        <v>OK</v>
      </c>
      <c r="X1251">
        <f>(B1251-I1251)/B1251</f>
        <v>0.56146384722997444</v>
      </c>
      <c r="Y1251" s="2">
        <f t="shared" si="157"/>
        <v>1.5543122344752192E-15</v>
      </c>
      <c r="Z1251" s="2" t="str">
        <f t="shared" si="158"/>
        <v>OK</v>
      </c>
      <c r="AA1251" t="str">
        <f t="shared" si="159"/>
        <v>Unique</v>
      </c>
    </row>
    <row r="1252" spans="1:27" x14ac:dyDescent="0.3">
      <c r="A1252">
        <v>1251</v>
      </c>
      <c r="B1252">
        <v>870638.34597350506</v>
      </c>
      <c r="C1252">
        <v>0.231417937454476</v>
      </c>
      <c r="D1252">
        <v>-0.16175643390911901</v>
      </c>
      <c r="E1252">
        <v>0.24845016558430699</v>
      </c>
      <c r="F1252">
        <v>1</v>
      </c>
      <c r="G1252" t="s">
        <v>13</v>
      </c>
      <c r="H1252">
        <v>1</v>
      </c>
      <c r="I1252">
        <v>216310.241221164</v>
      </c>
      <c r="J1252">
        <v>0.75154983441569201</v>
      </c>
      <c r="K1252" t="str">
        <f t="shared" si="152"/>
        <v>OK</v>
      </c>
      <c r="L1252" t="str">
        <f t="shared" si="153"/>
        <v>OK</v>
      </c>
      <c r="M1252" t="str">
        <f>IF(OR(B1252&lt;$AE$20,B1252&gt;$AF$20),"Outlier","OK")</f>
        <v>OK</v>
      </c>
      <c r="N1252" t="str">
        <f>IF(OR(J1252&lt;$AE$21,J1252&gt;$AF$21),"Outlier","OK")</f>
        <v>OK</v>
      </c>
      <c r="O1252" t="str">
        <f>IF(OR(C1252&lt;0,C1252&gt;1),"Outlier","OK")</f>
        <v>OK</v>
      </c>
      <c r="P1252" t="str">
        <f>IF(OR(D1252&lt;0,D1252&gt;1),"Outlier","OK")</f>
        <v>Outlier</v>
      </c>
      <c r="Q1252" t="str">
        <f t="shared" si="154"/>
        <v>60-80%</v>
      </c>
      <c r="R1252" t="str">
        <f>IF(B1252="","Missing","OK")</f>
        <v>OK</v>
      </c>
      <c r="S1252" t="str">
        <f>IF(E1252="","Missing","OK")</f>
        <v>OK</v>
      </c>
      <c r="T1252" t="str">
        <f t="shared" si="155"/>
        <v>OK</v>
      </c>
      <c r="U1252">
        <f>COUNTIF($A:$A,A1252)</f>
        <v>1</v>
      </c>
      <c r="V1252" t="str">
        <f t="shared" si="156"/>
        <v>OK</v>
      </c>
      <c r="W1252" t="str">
        <f>IF(I1252&gt;B1252,"ERROR","OK")</f>
        <v>OK</v>
      </c>
      <c r="X1252">
        <f>(B1252-I1252)/B1252</f>
        <v>0.75154983441569356</v>
      </c>
      <c r="Y1252" s="2">
        <f t="shared" si="157"/>
        <v>1.5543122344752192E-15</v>
      </c>
      <c r="Z1252" s="2" t="str">
        <f t="shared" si="158"/>
        <v>OK</v>
      </c>
      <c r="AA1252" t="str">
        <f t="shared" si="159"/>
        <v>Unique</v>
      </c>
    </row>
    <row r="1253" spans="1:27" x14ac:dyDescent="0.3">
      <c r="A1253">
        <v>1252</v>
      </c>
      <c r="B1253">
        <v>791081.706997453</v>
      </c>
      <c r="C1253">
        <v>0.87951081006251597</v>
      </c>
      <c r="D1253">
        <v>0.111259935411974</v>
      </c>
      <c r="E1253">
        <v>0.47527365601984201</v>
      </c>
      <c r="F1253">
        <v>1</v>
      </c>
      <c r="G1253" t="s">
        <v>10</v>
      </c>
      <c r="H1253">
        <v>1</v>
      </c>
      <c r="I1253">
        <v>375980.29509509698</v>
      </c>
      <c r="J1253">
        <v>0.52472634398015705</v>
      </c>
      <c r="K1253" t="str">
        <f t="shared" si="152"/>
        <v>OK</v>
      </c>
      <c r="L1253" t="str">
        <f t="shared" si="153"/>
        <v>OK</v>
      </c>
      <c r="M1253" t="str">
        <f>IF(OR(B1253&lt;$AE$20,B1253&gt;$AF$20),"Outlier","OK")</f>
        <v>OK</v>
      </c>
      <c r="N1253" t="str">
        <f>IF(OR(J1253&lt;$AE$21,J1253&gt;$AF$21),"Outlier","OK")</f>
        <v>OK</v>
      </c>
      <c r="O1253" t="str">
        <f>IF(OR(C1253&lt;0,C1253&gt;1),"Outlier","OK")</f>
        <v>OK</v>
      </c>
      <c r="P1253" t="str">
        <f>IF(OR(D1253&lt;0,D1253&gt;1),"Outlier","OK")</f>
        <v>OK</v>
      </c>
      <c r="Q1253" t="str">
        <f t="shared" si="154"/>
        <v>40-60%</v>
      </c>
      <c r="R1253" t="str">
        <f>IF(B1253="","Missing","OK")</f>
        <v>OK</v>
      </c>
      <c r="S1253" t="str">
        <f>IF(E1253="","Missing","OK")</f>
        <v>OK</v>
      </c>
      <c r="T1253" t="str">
        <f t="shared" si="155"/>
        <v>OK</v>
      </c>
      <c r="U1253">
        <f>COUNTIF($A:$A,A1253)</f>
        <v>1</v>
      </c>
      <c r="V1253" t="str">
        <f t="shared" si="156"/>
        <v>OK</v>
      </c>
      <c r="W1253" t="str">
        <f>IF(I1253&gt;B1253,"ERROR","OK")</f>
        <v>OK</v>
      </c>
      <c r="X1253">
        <f>(B1253-I1253)/B1253</f>
        <v>0.52472634398015794</v>
      </c>
      <c r="Y1253" s="2">
        <f t="shared" si="157"/>
        <v>8.8817841970012523E-16</v>
      </c>
      <c r="Z1253" s="2" t="str">
        <f t="shared" si="158"/>
        <v>OK</v>
      </c>
      <c r="AA1253" t="str">
        <f t="shared" si="159"/>
        <v>Unique</v>
      </c>
    </row>
    <row r="1254" spans="1:27" x14ac:dyDescent="0.3">
      <c r="A1254">
        <v>1253</v>
      </c>
      <c r="B1254">
        <v>384516.643194428</v>
      </c>
      <c r="C1254">
        <v>0.14081725524108199</v>
      </c>
      <c r="D1254">
        <v>-0.192021506953372</v>
      </c>
      <c r="E1254">
        <v>0.53453402201281497</v>
      </c>
      <c r="F1254">
        <v>1</v>
      </c>
      <c r="G1254" t="s">
        <v>12</v>
      </c>
      <c r="H1254">
        <v>0</v>
      </c>
      <c r="I1254">
        <v>205537.227817584</v>
      </c>
      <c r="J1254">
        <v>0.46546597798718398</v>
      </c>
      <c r="K1254" t="str">
        <f t="shared" si="152"/>
        <v>OK</v>
      </c>
      <c r="L1254" t="str">
        <f t="shared" si="153"/>
        <v>OK</v>
      </c>
      <c r="M1254" t="str">
        <f>IF(OR(B1254&lt;$AE$20,B1254&gt;$AF$20),"Outlier","OK")</f>
        <v>OK</v>
      </c>
      <c r="N1254" t="str">
        <f>IF(OR(J1254&lt;$AE$21,J1254&gt;$AF$21),"Outlier","OK")</f>
        <v>OK</v>
      </c>
      <c r="O1254" t="str">
        <f>IF(OR(C1254&lt;0,C1254&gt;1),"Outlier","OK")</f>
        <v>OK</v>
      </c>
      <c r="P1254" t="str">
        <f>IF(OR(D1254&lt;0,D1254&gt;1),"Outlier","OK")</f>
        <v>Outlier</v>
      </c>
      <c r="Q1254" t="str">
        <f t="shared" si="154"/>
        <v>40-60%</v>
      </c>
      <c r="R1254" t="str">
        <f>IF(B1254="","Missing","OK")</f>
        <v>OK</v>
      </c>
      <c r="S1254" t="str">
        <f>IF(E1254="","Missing","OK")</f>
        <v>OK</v>
      </c>
      <c r="T1254" t="str">
        <f t="shared" si="155"/>
        <v>OK</v>
      </c>
      <c r="U1254">
        <f>COUNTIF($A:$A,A1254)</f>
        <v>1</v>
      </c>
      <c r="V1254" t="str">
        <f t="shared" si="156"/>
        <v>OK</v>
      </c>
      <c r="W1254" t="str">
        <f>IF(I1254&gt;B1254,"ERROR","OK")</f>
        <v>OK</v>
      </c>
      <c r="X1254">
        <f>(B1254-I1254)/B1254</f>
        <v>0.46546597798718525</v>
      </c>
      <c r="Y1254" s="2">
        <f t="shared" si="157"/>
        <v>1.27675647831893E-15</v>
      </c>
      <c r="Z1254" s="2" t="str">
        <f t="shared" si="158"/>
        <v>OK</v>
      </c>
      <c r="AA1254" t="str">
        <f t="shared" si="159"/>
        <v>Unique</v>
      </c>
    </row>
    <row r="1255" spans="1:27" x14ac:dyDescent="0.3">
      <c r="A1255">
        <v>1254</v>
      </c>
      <c r="B1255">
        <v>354567.14366382401</v>
      </c>
      <c r="C1255">
        <v>0.34403558674411799</v>
      </c>
      <c r="D1255">
        <v>0.122704772786024</v>
      </c>
      <c r="E1255">
        <v>0.19275391875987599</v>
      </c>
      <c r="F1255">
        <v>1</v>
      </c>
      <c r="G1255" t="s">
        <v>11</v>
      </c>
      <c r="H1255">
        <v>0</v>
      </c>
      <c r="I1255">
        <v>68344.206404698096</v>
      </c>
      <c r="J1255">
        <v>0.80724608124012298</v>
      </c>
      <c r="K1255" t="str">
        <f t="shared" si="152"/>
        <v>OK</v>
      </c>
      <c r="L1255" t="str">
        <f t="shared" si="153"/>
        <v>OK</v>
      </c>
      <c r="M1255" t="str">
        <f>IF(OR(B1255&lt;$AE$20,B1255&gt;$AF$20),"Outlier","OK")</f>
        <v>OK</v>
      </c>
      <c r="N1255" t="str">
        <f>IF(OR(J1255&lt;$AE$21,J1255&gt;$AF$21),"Outlier","OK")</f>
        <v>OK</v>
      </c>
      <c r="O1255" t="str">
        <f>IF(OR(C1255&lt;0,C1255&gt;1),"Outlier","OK")</f>
        <v>OK</v>
      </c>
      <c r="P1255" t="str">
        <f>IF(OR(D1255&lt;0,D1255&gt;1),"Outlier","OK")</f>
        <v>OK</v>
      </c>
      <c r="Q1255" t="str">
        <f t="shared" si="154"/>
        <v>80-100%</v>
      </c>
      <c r="R1255" t="str">
        <f>IF(B1255="","Missing","OK")</f>
        <v>OK</v>
      </c>
      <c r="S1255" t="str">
        <f>IF(E1255="","Missing","OK")</f>
        <v>OK</v>
      </c>
      <c r="T1255" t="str">
        <f t="shared" si="155"/>
        <v>OK</v>
      </c>
      <c r="U1255">
        <f>COUNTIF($A:$A,A1255)</f>
        <v>1</v>
      </c>
      <c r="V1255" t="str">
        <f t="shared" si="156"/>
        <v>OK</v>
      </c>
      <c r="W1255" t="str">
        <f>IF(I1255&gt;B1255,"ERROR","OK")</f>
        <v>OK</v>
      </c>
      <c r="X1255">
        <f>(B1255-I1255)/B1255</f>
        <v>0.80724608124012387</v>
      </c>
      <c r="Y1255" s="2">
        <f t="shared" si="157"/>
        <v>8.8817841970012523E-16</v>
      </c>
      <c r="Z1255" s="2" t="str">
        <f t="shared" si="158"/>
        <v>OK</v>
      </c>
      <c r="AA1255" t="str">
        <f t="shared" si="159"/>
        <v>Unique</v>
      </c>
    </row>
    <row r="1256" spans="1:27" x14ac:dyDescent="0.3">
      <c r="A1256">
        <v>1255</v>
      </c>
      <c r="B1256">
        <v>387696.70459281298</v>
      </c>
      <c r="C1256">
        <v>0.67233466193702796</v>
      </c>
      <c r="D1256">
        <v>0.139481848746876</v>
      </c>
      <c r="E1256">
        <v>0.30279368120391997</v>
      </c>
      <c r="F1256">
        <v>1</v>
      </c>
      <c r="G1256" t="s">
        <v>13</v>
      </c>
      <c r="H1256">
        <v>1</v>
      </c>
      <c r="I1256">
        <v>117392.11237428601</v>
      </c>
      <c r="J1256">
        <v>0.69720631879607897</v>
      </c>
      <c r="K1256" t="str">
        <f t="shared" si="152"/>
        <v>OK</v>
      </c>
      <c r="L1256" t="str">
        <f t="shared" si="153"/>
        <v>OK</v>
      </c>
      <c r="M1256" t="str">
        <f>IF(OR(B1256&lt;$AE$20,B1256&gt;$AF$20),"Outlier","OK")</f>
        <v>OK</v>
      </c>
      <c r="N1256" t="str">
        <f>IF(OR(J1256&lt;$AE$21,J1256&gt;$AF$21),"Outlier","OK")</f>
        <v>OK</v>
      </c>
      <c r="O1256" t="str">
        <f>IF(OR(C1256&lt;0,C1256&gt;1),"Outlier","OK")</f>
        <v>OK</v>
      </c>
      <c r="P1256" t="str">
        <f>IF(OR(D1256&lt;0,D1256&gt;1),"Outlier","OK")</f>
        <v>OK</v>
      </c>
      <c r="Q1256" t="str">
        <f t="shared" si="154"/>
        <v>60-80%</v>
      </c>
      <c r="R1256" t="str">
        <f>IF(B1256="","Missing","OK")</f>
        <v>OK</v>
      </c>
      <c r="S1256" t="str">
        <f>IF(E1256="","Missing","OK")</f>
        <v>OK</v>
      </c>
      <c r="T1256" t="str">
        <f t="shared" si="155"/>
        <v>OK</v>
      </c>
      <c r="U1256">
        <f>COUNTIF($A:$A,A1256)</f>
        <v>1</v>
      </c>
      <c r="V1256" t="str">
        <f t="shared" si="156"/>
        <v>OK</v>
      </c>
      <c r="W1256" t="str">
        <f>IF(I1256&gt;B1256,"ERROR","OK")</f>
        <v>OK</v>
      </c>
      <c r="X1256">
        <f>(B1256-I1256)/B1256</f>
        <v>0.69720631879608141</v>
      </c>
      <c r="Y1256" s="2">
        <f t="shared" si="157"/>
        <v>2.4424906541753444E-15</v>
      </c>
      <c r="Z1256" s="2" t="str">
        <f t="shared" si="158"/>
        <v>OK</v>
      </c>
      <c r="AA1256" t="str">
        <f t="shared" si="159"/>
        <v>Unique</v>
      </c>
    </row>
    <row r="1257" spans="1:27" x14ac:dyDescent="0.3">
      <c r="A1257">
        <v>1256</v>
      </c>
      <c r="B1257">
        <v>1213829.41176117</v>
      </c>
      <c r="C1257">
        <v>0.253665826871877</v>
      </c>
      <c r="D1257">
        <v>-9.3940124078224496E-3</v>
      </c>
      <c r="E1257">
        <v>0.29563664219478297</v>
      </c>
      <c r="F1257">
        <v>1</v>
      </c>
      <c r="G1257" t="s">
        <v>12</v>
      </c>
      <c r="H1257">
        <v>1</v>
      </c>
      <c r="I1257">
        <v>358852.45149034099</v>
      </c>
      <c r="J1257">
        <v>0.70436335780521597</v>
      </c>
      <c r="K1257" t="str">
        <f t="shared" si="152"/>
        <v>OK</v>
      </c>
      <c r="L1257" t="str">
        <f t="shared" si="153"/>
        <v>OK</v>
      </c>
      <c r="M1257" t="str">
        <f>IF(OR(B1257&lt;$AE$20,B1257&gt;$AF$20),"Outlier","OK")</f>
        <v>OK</v>
      </c>
      <c r="N1257" t="str">
        <f>IF(OR(J1257&lt;$AE$21,J1257&gt;$AF$21),"Outlier","OK")</f>
        <v>OK</v>
      </c>
      <c r="O1257" t="str">
        <f>IF(OR(C1257&lt;0,C1257&gt;1),"Outlier","OK")</f>
        <v>OK</v>
      </c>
      <c r="P1257" t="str">
        <f>IF(OR(D1257&lt;0,D1257&gt;1),"Outlier","OK")</f>
        <v>Outlier</v>
      </c>
      <c r="Q1257" t="str">
        <f t="shared" si="154"/>
        <v>60-80%</v>
      </c>
      <c r="R1257" t="str">
        <f>IF(B1257="","Missing","OK")</f>
        <v>OK</v>
      </c>
      <c r="S1257" t="str">
        <f>IF(E1257="","Missing","OK")</f>
        <v>OK</v>
      </c>
      <c r="T1257" t="str">
        <f t="shared" si="155"/>
        <v>OK</v>
      </c>
      <c r="U1257">
        <f>COUNTIF($A:$A,A1257)</f>
        <v>1</v>
      </c>
      <c r="V1257" t="str">
        <f t="shared" si="156"/>
        <v>OK</v>
      </c>
      <c r="W1257" t="str">
        <f>IF(I1257&gt;B1257,"ERROR","OK")</f>
        <v>OK</v>
      </c>
      <c r="X1257">
        <f>(B1257-I1257)/B1257</f>
        <v>0.70436335780521697</v>
      </c>
      <c r="Y1257" s="2">
        <f t="shared" si="157"/>
        <v>9.9920072216264089E-16</v>
      </c>
      <c r="Z1257" s="2" t="str">
        <f t="shared" si="158"/>
        <v>OK</v>
      </c>
      <c r="AA1257" t="str">
        <f t="shared" si="159"/>
        <v>Unique</v>
      </c>
    </row>
    <row r="1258" spans="1:27" x14ac:dyDescent="0.3">
      <c r="A1258">
        <v>1257</v>
      </c>
      <c r="B1258">
        <v>293172.70608822699</v>
      </c>
      <c r="C1258">
        <v>0.37057401071076101</v>
      </c>
      <c r="D1258">
        <v>8.5857801628879599E-2</v>
      </c>
      <c r="E1258">
        <v>0.34922964080730201</v>
      </c>
      <c r="F1258">
        <v>1</v>
      </c>
      <c r="G1258" t="s">
        <v>11</v>
      </c>
      <c r="H1258">
        <v>0</v>
      </c>
      <c r="I1258">
        <v>102384.598841696</v>
      </c>
      <c r="J1258">
        <v>0.65077035919269699</v>
      </c>
      <c r="K1258" t="str">
        <f t="shared" si="152"/>
        <v>OK</v>
      </c>
      <c r="L1258" t="str">
        <f t="shared" si="153"/>
        <v>OK</v>
      </c>
      <c r="M1258" t="str">
        <f>IF(OR(B1258&lt;$AE$20,B1258&gt;$AF$20),"Outlier","OK")</f>
        <v>OK</v>
      </c>
      <c r="N1258" t="str">
        <f>IF(OR(J1258&lt;$AE$21,J1258&gt;$AF$21),"Outlier","OK")</f>
        <v>OK</v>
      </c>
      <c r="O1258" t="str">
        <f>IF(OR(C1258&lt;0,C1258&gt;1),"Outlier","OK")</f>
        <v>OK</v>
      </c>
      <c r="P1258" t="str">
        <f>IF(OR(D1258&lt;0,D1258&gt;1),"Outlier","OK")</f>
        <v>OK</v>
      </c>
      <c r="Q1258" t="str">
        <f t="shared" si="154"/>
        <v>60-80%</v>
      </c>
      <c r="R1258" t="str">
        <f>IF(B1258="","Missing","OK")</f>
        <v>OK</v>
      </c>
      <c r="S1258" t="str">
        <f>IF(E1258="","Missing","OK")</f>
        <v>OK</v>
      </c>
      <c r="T1258" t="str">
        <f t="shared" si="155"/>
        <v>OK</v>
      </c>
      <c r="U1258">
        <f>COUNTIF($A:$A,A1258)</f>
        <v>1</v>
      </c>
      <c r="V1258" t="str">
        <f t="shared" si="156"/>
        <v>OK</v>
      </c>
      <c r="W1258" t="str">
        <f>IF(I1258&gt;B1258,"ERROR","OK")</f>
        <v>OK</v>
      </c>
      <c r="X1258">
        <f>(B1258-I1258)/B1258</f>
        <v>0.65077035919269888</v>
      </c>
      <c r="Y1258" s="2">
        <f t="shared" si="157"/>
        <v>1.8873791418627661E-15</v>
      </c>
      <c r="Z1258" s="2" t="str">
        <f t="shared" si="158"/>
        <v>OK</v>
      </c>
      <c r="AA1258" t="str">
        <f t="shared" si="159"/>
        <v>Unique</v>
      </c>
    </row>
    <row r="1259" spans="1:27" x14ac:dyDescent="0.3">
      <c r="A1259">
        <v>1258</v>
      </c>
      <c r="B1259">
        <v>515171.05049362202</v>
      </c>
      <c r="C1259">
        <v>0.41244114202221599</v>
      </c>
      <c r="D1259">
        <v>0.17703911290972599</v>
      </c>
      <c r="E1259">
        <v>8.3065801109004606E-2</v>
      </c>
      <c r="F1259">
        <v>1</v>
      </c>
      <c r="G1259" t="s">
        <v>12</v>
      </c>
      <c r="H1259">
        <v>0</v>
      </c>
      <c r="I1259">
        <v>42793.096017420197</v>
      </c>
      <c r="J1259">
        <v>0.91693419889099503</v>
      </c>
      <c r="K1259" t="str">
        <f t="shared" si="152"/>
        <v>OK</v>
      </c>
      <c r="L1259" t="str">
        <f t="shared" si="153"/>
        <v>OK</v>
      </c>
      <c r="M1259" t="str">
        <f>IF(OR(B1259&lt;$AE$20,B1259&gt;$AF$20),"Outlier","OK")</f>
        <v>OK</v>
      </c>
      <c r="N1259" t="str">
        <f>IF(OR(J1259&lt;$AE$21,J1259&gt;$AF$21),"Outlier","OK")</f>
        <v>OK</v>
      </c>
      <c r="O1259" t="str">
        <f>IF(OR(C1259&lt;0,C1259&gt;1),"Outlier","OK")</f>
        <v>OK</v>
      </c>
      <c r="P1259" t="str">
        <f>IF(OR(D1259&lt;0,D1259&gt;1),"Outlier","OK")</f>
        <v>OK</v>
      </c>
      <c r="Q1259" t="str">
        <f t="shared" si="154"/>
        <v>80-100%</v>
      </c>
      <c r="R1259" t="str">
        <f>IF(B1259="","Missing","OK")</f>
        <v>OK</v>
      </c>
      <c r="S1259" t="str">
        <f>IF(E1259="","Missing","OK")</f>
        <v>OK</v>
      </c>
      <c r="T1259" t="str">
        <f t="shared" si="155"/>
        <v>OK</v>
      </c>
      <c r="U1259">
        <f>COUNTIF($A:$A,A1259)</f>
        <v>1</v>
      </c>
      <c r="V1259" t="str">
        <f t="shared" si="156"/>
        <v>OK</v>
      </c>
      <c r="W1259" t="str">
        <f>IF(I1259&gt;B1259,"ERROR","OK")</f>
        <v>OK</v>
      </c>
      <c r="X1259">
        <f>(B1259-I1259)/B1259</f>
        <v>0.91693419889099537</v>
      </c>
      <c r="Y1259" s="2">
        <f t="shared" si="157"/>
        <v>3.3306690738754696E-16</v>
      </c>
      <c r="Z1259" s="2" t="str">
        <f t="shared" si="158"/>
        <v>OK</v>
      </c>
      <c r="AA1259" t="str">
        <f t="shared" si="159"/>
        <v>Unique</v>
      </c>
    </row>
    <row r="1260" spans="1:27" x14ac:dyDescent="0.3">
      <c r="A1260">
        <v>1259</v>
      </c>
      <c r="B1260">
        <v>1895230.7529577301</v>
      </c>
      <c r="C1260">
        <v>0.26209124749159601</v>
      </c>
      <c r="D1260">
        <v>-3.3946809636771297E-2</v>
      </c>
      <c r="E1260">
        <v>0.42855341277777997</v>
      </c>
      <c r="F1260">
        <v>1</v>
      </c>
      <c r="G1260" t="s">
        <v>11</v>
      </c>
      <c r="H1260">
        <v>0</v>
      </c>
      <c r="I1260">
        <v>812207.60718143801</v>
      </c>
      <c r="J1260">
        <v>0.57144658722221897</v>
      </c>
      <c r="K1260" t="str">
        <f t="shared" si="152"/>
        <v>OK</v>
      </c>
      <c r="L1260" t="str">
        <f t="shared" si="153"/>
        <v>OK</v>
      </c>
      <c r="M1260" t="str">
        <f>IF(OR(B1260&lt;$AE$20,B1260&gt;$AF$20),"Outlier","OK")</f>
        <v>OK</v>
      </c>
      <c r="N1260" t="str">
        <f>IF(OR(J1260&lt;$AE$21,J1260&gt;$AF$21),"Outlier","OK")</f>
        <v>OK</v>
      </c>
      <c r="O1260" t="str">
        <f>IF(OR(C1260&lt;0,C1260&gt;1),"Outlier","OK")</f>
        <v>OK</v>
      </c>
      <c r="P1260" t="str">
        <f>IF(OR(D1260&lt;0,D1260&gt;1),"Outlier","OK")</f>
        <v>Outlier</v>
      </c>
      <c r="Q1260" t="str">
        <f t="shared" si="154"/>
        <v>40-60%</v>
      </c>
      <c r="R1260" t="str">
        <f>IF(B1260="","Missing","OK")</f>
        <v>OK</v>
      </c>
      <c r="S1260" t="str">
        <f>IF(E1260="","Missing","OK")</f>
        <v>OK</v>
      </c>
      <c r="T1260" t="str">
        <f t="shared" si="155"/>
        <v>OK</v>
      </c>
      <c r="U1260">
        <f>COUNTIF($A:$A,A1260)</f>
        <v>1</v>
      </c>
      <c r="V1260" t="str">
        <f t="shared" si="156"/>
        <v>OK</v>
      </c>
      <c r="W1260" t="str">
        <f>IF(I1260&gt;B1260,"ERROR","OK")</f>
        <v>OK</v>
      </c>
      <c r="X1260">
        <f>(B1260-I1260)/B1260</f>
        <v>0.57144658722221942</v>
      </c>
      <c r="Y1260" s="2">
        <f t="shared" si="157"/>
        <v>4.4408920985006262E-16</v>
      </c>
      <c r="Z1260" s="2" t="str">
        <f t="shared" si="158"/>
        <v>OK</v>
      </c>
      <c r="AA1260" t="str">
        <f t="shared" si="159"/>
        <v>Unique</v>
      </c>
    </row>
    <row r="1261" spans="1:27" x14ac:dyDescent="0.3">
      <c r="A1261">
        <v>1260</v>
      </c>
      <c r="B1261">
        <v>477950.47968145</v>
      </c>
      <c r="C1261">
        <v>0.890923733740419</v>
      </c>
      <c r="D1261">
        <v>-0.15911221284100299</v>
      </c>
      <c r="E1261">
        <v>0.32050677263831501</v>
      </c>
      <c r="F1261">
        <v>1</v>
      </c>
      <c r="G1261" t="s">
        <v>10</v>
      </c>
      <c r="H1261">
        <v>1</v>
      </c>
      <c r="I1261">
        <v>153186.365723636</v>
      </c>
      <c r="J1261">
        <v>0.67949322736168405</v>
      </c>
      <c r="K1261" t="str">
        <f t="shared" si="152"/>
        <v>OK</v>
      </c>
      <c r="L1261" t="str">
        <f t="shared" si="153"/>
        <v>OK</v>
      </c>
      <c r="M1261" t="str">
        <f>IF(OR(B1261&lt;$AE$20,B1261&gt;$AF$20),"Outlier","OK")</f>
        <v>OK</v>
      </c>
      <c r="N1261" t="str">
        <f>IF(OR(J1261&lt;$AE$21,J1261&gt;$AF$21),"Outlier","OK")</f>
        <v>OK</v>
      </c>
      <c r="O1261" t="str">
        <f>IF(OR(C1261&lt;0,C1261&gt;1),"Outlier","OK")</f>
        <v>OK</v>
      </c>
      <c r="P1261" t="str">
        <f>IF(OR(D1261&lt;0,D1261&gt;1),"Outlier","OK")</f>
        <v>Outlier</v>
      </c>
      <c r="Q1261" t="str">
        <f t="shared" si="154"/>
        <v>60-80%</v>
      </c>
      <c r="R1261" t="str">
        <f>IF(B1261="","Missing","OK")</f>
        <v>OK</v>
      </c>
      <c r="S1261" t="str">
        <f>IF(E1261="","Missing","OK")</f>
        <v>OK</v>
      </c>
      <c r="T1261" t="str">
        <f t="shared" si="155"/>
        <v>OK</v>
      </c>
      <c r="U1261">
        <f>COUNTIF($A:$A,A1261)</f>
        <v>1</v>
      </c>
      <c r="V1261" t="str">
        <f t="shared" si="156"/>
        <v>OK</v>
      </c>
      <c r="W1261" t="str">
        <f>IF(I1261&gt;B1261,"ERROR","OK")</f>
        <v>OK</v>
      </c>
      <c r="X1261">
        <f>(B1261-I1261)/B1261</f>
        <v>0.67949322736168516</v>
      </c>
      <c r="Y1261" s="2">
        <f t="shared" si="157"/>
        <v>1.1102230246251565E-15</v>
      </c>
      <c r="Z1261" s="2" t="str">
        <f t="shared" si="158"/>
        <v>OK</v>
      </c>
      <c r="AA1261" t="str">
        <f t="shared" si="159"/>
        <v>Unique</v>
      </c>
    </row>
    <row r="1262" spans="1:27" x14ac:dyDescent="0.3">
      <c r="A1262">
        <v>1261</v>
      </c>
      <c r="B1262">
        <v>1539520.3631720401</v>
      </c>
      <c r="C1262">
        <v>0.60633986743581203</v>
      </c>
      <c r="D1262">
        <v>-2.60610228720363E-2</v>
      </c>
      <c r="E1262">
        <v>0.16095960544575999</v>
      </c>
      <c r="F1262">
        <v>1</v>
      </c>
      <c r="G1262" t="s">
        <v>13</v>
      </c>
      <c r="H1262">
        <v>1</v>
      </c>
      <c r="I1262">
        <v>247800.59023188599</v>
      </c>
      <c r="J1262">
        <v>0.83904039455423896</v>
      </c>
      <c r="K1262" t="str">
        <f t="shared" si="152"/>
        <v>OK</v>
      </c>
      <c r="L1262" t="str">
        <f t="shared" si="153"/>
        <v>OK</v>
      </c>
      <c r="M1262" t="str">
        <f>IF(OR(B1262&lt;$AE$20,B1262&gt;$AF$20),"Outlier","OK")</f>
        <v>OK</v>
      </c>
      <c r="N1262" t="str">
        <f>IF(OR(J1262&lt;$AE$21,J1262&gt;$AF$21),"Outlier","OK")</f>
        <v>OK</v>
      </c>
      <c r="O1262" t="str">
        <f>IF(OR(C1262&lt;0,C1262&gt;1),"Outlier","OK")</f>
        <v>OK</v>
      </c>
      <c r="P1262" t="str">
        <f>IF(OR(D1262&lt;0,D1262&gt;1),"Outlier","OK")</f>
        <v>Outlier</v>
      </c>
      <c r="Q1262" t="str">
        <f t="shared" si="154"/>
        <v>80-100%</v>
      </c>
      <c r="R1262" t="str">
        <f>IF(B1262="","Missing","OK")</f>
        <v>OK</v>
      </c>
      <c r="S1262" t="str">
        <f>IF(E1262="","Missing","OK")</f>
        <v>OK</v>
      </c>
      <c r="T1262" t="str">
        <f t="shared" si="155"/>
        <v>OK</v>
      </c>
      <c r="U1262">
        <f>COUNTIF($A:$A,A1262)</f>
        <v>1</v>
      </c>
      <c r="V1262" t="str">
        <f t="shared" si="156"/>
        <v>OK</v>
      </c>
      <c r="W1262" t="str">
        <f>IF(I1262&gt;B1262,"ERROR","OK")</f>
        <v>OK</v>
      </c>
      <c r="X1262">
        <f>(B1262-I1262)/B1262</f>
        <v>0.83904039455423918</v>
      </c>
      <c r="Y1262" s="2">
        <f t="shared" si="157"/>
        <v>2.2204460492503131E-16</v>
      </c>
      <c r="Z1262" s="2" t="str">
        <f t="shared" si="158"/>
        <v>OK</v>
      </c>
      <c r="AA1262" t="str">
        <f t="shared" si="159"/>
        <v>Unique</v>
      </c>
    </row>
    <row r="1263" spans="1:27" x14ac:dyDescent="0.3">
      <c r="A1263">
        <v>1262</v>
      </c>
      <c r="B1263">
        <v>1216178.01861964</v>
      </c>
      <c r="C1263">
        <v>0.30251454993327098</v>
      </c>
      <c r="D1263">
        <v>-0.14146722872412301</v>
      </c>
      <c r="E1263">
        <v>0.21581435711069699</v>
      </c>
      <c r="F1263">
        <v>1</v>
      </c>
      <c r="G1263" t="s">
        <v>10</v>
      </c>
      <c r="H1263">
        <v>1</v>
      </c>
      <c r="I1263">
        <v>262468.67722055898</v>
      </c>
      <c r="J1263">
        <v>0.78418564288930204</v>
      </c>
      <c r="K1263" t="str">
        <f t="shared" si="152"/>
        <v>OK</v>
      </c>
      <c r="L1263" t="str">
        <f t="shared" si="153"/>
        <v>OK</v>
      </c>
      <c r="M1263" t="str">
        <f>IF(OR(B1263&lt;$AE$20,B1263&gt;$AF$20),"Outlier","OK")</f>
        <v>OK</v>
      </c>
      <c r="N1263" t="str">
        <f>IF(OR(J1263&lt;$AE$21,J1263&gt;$AF$21),"Outlier","OK")</f>
        <v>OK</v>
      </c>
      <c r="O1263" t="str">
        <f>IF(OR(C1263&lt;0,C1263&gt;1),"Outlier","OK")</f>
        <v>OK</v>
      </c>
      <c r="P1263" t="str">
        <f>IF(OR(D1263&lt;0,D1263&gt;1),"Outlier","OK")</f>
        <v>Outlier</v>
      </c>
      <c r="Q1263" t="str">
        <f t="shared" si="154"/>
        <v>60-80%</v>
      </c>
      <c r="R1263" t="str">
        <f>IF(B1263="","Missing","OK")</f>
        <v>OK</v>
      </c>
      <c r="S1263" t="str">
        <f>IF(E1263="","Missing","OK")</f>
        <v>OK</v>
      </c>
      <c r="T1263" t="str">
        <f t="shared" si="155"/>
        <v>OK</v>
      </c>
      <c r="U1263">
        <f>COUNTIF($A:$A,A1263)</f>
        <v>1</v>
      </c>
      <c r="V1263" t="str">
        <f t="shared" si="156"/>
        <v>OK</v>
      </c>
      <c r="W1263" t="str">
        <f>IF(I1263&gt;B1263,"ERROR","OK")</f>
        <v>OK</v>
      </c>
      <c r="X1263">
        <f>(B1263-I1263)/B1263</f>
        <v>0.78418564288930293</v>
      </c>
      <c r="Y1263" s="2">
        <f t="shared" si="157"/>
        <v>8.8817841970012523E-16</v>
      </c>
      <c r="Z1263" s="2" t="str">
        <f t="shared" si="158"/>
        <v>OK</v>
      </c>
      <c r="AA1263" t="str">
        <f t="shared" si="159"/>
        <v>Unique</v>
      </c>
    </row>
    <row r="1264" spans="1:27" x14ac:dyDescent="0.3">
      <c r="A1264">
        <v>1263</v>
      </c>
      <c r="B1264">
        <v>855655.77842155704</v>
      </c>
      <c r="C1264">
        <v>0.78096740692037003</v>
      </c>
      <c r="D1264">
        <v>-0.133525830909454</v>
      </c>
      <c r="E1264">
        <v>0.49333400664645899</v>
      </c>
      <c r="F1264">
        <v>1</v>
      </c>
      <c r="G1264" t="s">
        <v>12</v>
      </c>
      <c r="H1264">
        <v>1</v>
      </c>
      <c r="I1264">
        <v>422124.09347890201</v>
      </c>
      <c r="J1264">
        <v>0.50666599335354001</v>
      </c>
      <c r="K1264" t="str">
        <f t="shared" si="152"/>
        <v>OK</v>
      </c>
      <c r="L1264" t="str">
        <f t="shared" si="153"/>
        <v>OK</v>
      </c>
      <c r="M1264" t="str">
        <f>IF(OR(B1264&lt;$AE$20,B1264&gt;$AF$20),"Outlier","OK")</f>
        <v>OK</v>
      </c>
      <c r="N1264" t="str">
        <f>IF(OR(J1264&lt;$AE$21,J1264&gt;$AF$21),"Outlier","OK")</f>
        <v>OK</v>
      </c>
      <c r="O1264" t="str">
        <f>IF(OR(C1264&lt;0,C1264&gt;1),"Outlier","OK")</f>
        <v>OK</v>
      </c>
      <c r="P1264" t="str">
        <f>IF(OR(D1264&lt;0,D1264&gt;1),"Outlier","OK")</f>
        <v>Outlier</v>
      </c>
      <c r="Q1264" t="str">
        <f t="shared" si="154"/>
        <v>40-60%</v>
      </c>
      <c r="R1264" t="str">
        <f>IF(B1264="","Missing","OK")</f>
        <v>OK</v>
      </c>
      <c r="S1264" t="str">
        <f>IF(E1264="","Missing","OK")</f>
        <v>OK</v>
      </c>
      <c r="T1264" t="str">
        <f t="shared" si="155"/>
        <v>OK</v>
      </c>
      <c r="U1264">
        <f>COUNTIF($A:$A,A1264)</f>
        <v>1</v>
      </c>
      <c r="V1264" t="str">
        <f t="shared" si="156"/>
        <v>OK</v>
      </c>
      <c r="W1264" t="str">
        <f>IF(I1264&gt;B1264,"ERROR","OK")</f>
        <v>OK</v>
      </c>
      <c r="X1264">
        <f>(B1264-I1264)/B1264</f>
        <v>0.50666599335354034</v>
      </c>
      <c r="Y1264" s="2">
        <f t="shared" si="157"/>
        <v>3.3306690738754696E-16</v>
      </c>
      <c r="Z1264" s="2" t="str">
        <f t="shared" si="158"/>
        <v>OK</v>
      </c>
      <c r="AA1264" t="str">
        <f t="shared" si="159"/>
        <v>Unique</v>
      </c>
    </row>
    <row r="1265" spans="1:27" x14ac:dyDescent="0.3">
      <c r="A1265">
        <v>1264</v>
      </c>
      <c r="B1265">
        <v>1210807.4923204801</v>
      </c>
      <c r="C1265">
        <v>0.36449953128386903</v>
      </c>
      <c r="D1265">
        <v>0.14665054686606899</v>
      </c>
      <c r="E1265">
        <v>0.225788187473626</v>
      </c>
      <c r="F1265">
        <v>1</v>
      </c>
      <c r="G1265" t="s">
        <v>12</v>
      </c>
      <c r="H1265">
        <v>1</v>
      </c>
      <c r="I1265">
        <v>273386.02907052898</v>
      </c>
      <c r="J1265">
        <v>0.77421181252637306</v>
      </c>
      <c r="K1265" t="str">
        <f t="shared" si="152"/>
        <v>OK</v>
      </c>
      <c r="L1265" t="str">
        <f t="shared" si="153"/>
        <v>OK</v>
      </c>
      <c r="M1265" t="str">
        <f>IF(OR(B1265&lt;$AE$20,B1265&gt;$AF$20),"Outlier","OK")</f>
        <v>OK</v>
      </c>
      <c r="N1265" t="str">
        <f>IF(OR(J1265&lt;$AE$21,J1265&gt;$AF$21),"Outlier","OK")</f>
        <v>OK</v>
      </c>
      <c r="O1265" t="str">
        <f>IF(OR(C1265&lt;0,C1265&gt;1),"Outlier","OK")</f>
        <v>OK</v>
      </c>
      <c r="P1265" t="str">
        <f>IF(OR(D1265&lt;0,D1265&gt;1),"Outlier","OK")</f>
        <v>OK</v>
      </c>
      <c r="Q1265" t="str">
        <f t="shared" si="154"/>
        <v>60-80%</v>
      </c>
      <c r="R1265" t="str">
        <f>IF(B1265="","Missing","OK")</f>
        <v>OK</v>
      </c>
      <c r="S1265" t="str">
        <f>IF(E1265="","Missing","OK")</f>
        <v>OK</v>
      </c>
      <c r="T1265" t="str">
        <f t="shared" si="155"/>
        <v>OK</v>
      </c>
      <c r="U1265">
        <f>COUNTIF($A:$A,A1265)</f>
        <v>1</v>
      </c>
      <c r="V1265" t="str">
        <f t="shared" si="156"/>
        <v>OK</v>
      </c>
      <c r="W1265" t="str">
        <f>IF(I1265&gt;B1265,"ERROR","OK")</f>
        <v>OK</v>
      </c>
      <c r="X1265">
        <f>(B1265-I1265)/B1265</f>
        <v>0.77421181252637283</v>
      </c>
      <c r="Y1265" s="2">
        <f t="shared" si="157"/>
        <v>2.2204460492503131E-16</v>
      </c>
      <c r="Z1265" s="2" t="str">
        <f t="shared" si="158"/>
        <v>OK</v>
      </c>
      <c r="AA1265" t="str">
        <f t="shared" si="159"/>
        <v>Unique</v>
      </c>
    </row>
    <row r="1266" spans="1:27" x14ac:dyDescent="0.3">
      <c r="A1266">
        <v>1265</v>
      </c>
      <c r="B1266">
        <v>310559.05834723299</v>
      </c>
      <c r="C1266">
        <v>0.101507234971192</v>
      </c>
      <c r="D1266">
        <v>-6.5538530729009795E-2</v>
      </c>
      <c r="E1266">
        <v>0.26542473400794098</v>
      </c>
      <c r="F1266">
        <v>1</v>
      </c>
      <c r="G1266" t="s">
        <v>10</v>
      </c>
      <c r="H1266">
        <v>0</v>
      </c>
      <c r="I1266">
        <v>82430.055455570997</v>
      </c>
      <c r="J1266">
        <v>0.73457526599205802</v>
      </c>
      <c r="K1266" t="str">
        <f t="shared" si="152"/>
        <v>OK</v>
      </c>
      <c r="L1266" t="str">
        <f t="shared" si="153"/>
        <v>OK</v>
      </c>
      <c r="M1266" t="str">
        <f>IF(OR(B1266&lt;$AE$20,B1266&gt;$AF$20),"Outlier","OK")</f>
        <v>OK</v>
      </c>
      <c r="N1266" t="str">
        <f>IF(OR(J1266&lt;$AE$21,J1266&gt;$AF$21),"Outlier","OK")</f>
        <v>OK</v>
      </c>
      <c r="O1266" t="str">
        <f>IF(OR(C1266&lt;0,C1266&gt;1),"Outlier","OK")</f>
        <v>OK</v>
      </c>
      <c r="P1266" t="str">
        <f>IF(OR(D1266&lt;0,D1266&gt;1),"Outlier","OK")</f>
        <v>Outlier</v>
      </c>
      <c r="Q1266" t="str">
        <f t="shared" si="154"/>
        <v>60-80%</v>
      </c>
      <c r="R1266" t="str">
        <f>IF(B1266="","Missing","OK")</f>
        <v>OK</v>
      </c>
      <c r="S1266" t="str">
        <f>IF(E1266="","Missing","OK")</f>
        <v>OK</v>
      </c>
      <c r="T1266" t="str">
        <f t="shared" si="155"/>
        <v>OK</v>
      </c>
      <c r="U1266">
        <f>COUNTIF($A:$A,A1266)</f>
        <v>1</v>
      </c>
      <c r="V1266" t="str">
        <f t="shared" si="156"/>
        <v>OK</v>
      </c>
      <c r="W1266" t="str">
        <f>IF(I1266&gt;B1266,"ERROR","OK")</f>
        <v>OK</v>
      </c>
      <c r="X1266">
        <f>(B1266-I1266)/B1266</f>
        <v>0.73457526599205891</v>
      </c>
      <c r="Y1266" s="2">
        <f t="shared" si="157"/>
        <v>8.8817841970012523E-16</v>
      </c>
      <c r="Z1266" s="2" t="str">
        <f t="shared" si="158"/>
        <v>OK</v>
      </c>
      <c r="AA1266" t="str">
        <f t="shared" si="159"/>
        <v>Unique</v>
      </c>
    </row>
    <row r="1267" spans="1:27" x14ac:dyDescent="0.3">
      <c r="A1267">
        <v>1266</v>
      </c>
      <c r="B1267">
        <v>994166.38145978702</v>
      </c>
      <c r="C1267">
        <v>0.46971400115758999</v>
      </c>
      <c r="D1267">
        <v>0.179261615527019</v>
      </c>
      <c r="E1267">
        <v>0.24816613519756101</v>
      </c>
      <c r="F1267">
        <v>1</v>
      </c>
      <c r="G1267" t="s">
        <v>11</v>
      </c>
      <c r="H1267">
        <v>0</v>
      </c>
      <c r="I1267">
        <v>246718.42863021899</v>
      </c>
      <c r="J1267">
        <v>0.75183386480243897</v>
      </c>
      <c r="K1267" t="str">
        <f t="shared" si="152"/>
        <v>OK</v>
      </c>
      <c r="L1267" t="str">
        <f t="shared" si="153"/>
        <v>OK</v>
      </c>
      <c r="M1267" t="str">
        <f>IF(OR(B1267&lt;$AE$20,B1267&gt;$AF$20),"Outlier","OK")</f>
        <v>OK</v>
      </c>
      <c r="N1267" t="str">
        <f>IF(OR(J1267&lt;$AE$21,J1267&gt;$AF$21),"Outlier","OK")</f>
        <v>OK</v>
      </c>
      <c r="O1267" t="str">
        <f>IF(OR(C1267&lt;0,C1267&gt;1),"Outlier","OK")</f>
        <v>OK</v>
      </c>
      <c r="P1267" t="str">
        <f>IF(OR(D1267&lt;0,D1267&gt;1),"Outlier","OK")</f>
        <v>OK</v>
      </c>
      <c r="Q1267" t="str">
        <f t="shared" si="154"/>
        <v>60-80%</v>
      </c>
      <c r="R1267" t="str">
        <f>IF(B1267="","Missing","OK")</f>
        <v>OK</v>
      </c>
      <c r="S1267" t="str">
        <f>IF(E1267="","Missing","OK")</f>
        <v>OK</v>
      </c>
      <c r="T1267" t="str">
        <f t="shared" si="155"/>
        <v>OK</v>
      </c>
      <c r="U1267">
        <f>COUNTIF($A:$A,A1267)</f>
        <v>1</v>
      </c>
      <c r="V1267" t="str">
        <f t="shared" si="156"/>
        <v>OK</v>
      </c>
      <c r="W1267" t="str">
        <f>IF(I1267&gt;B1267,"ERROR","OK")</f>
        <v>OK</v>
      </c>
      <c r="X1267">
        <f>(B1267-I1267)/B1267</f>
        <v>0.75183386480243952</v>
      </c>
      <c r="Y1267" s="2">
        <f t="shared" si="157"/>
        <v>5.5511151231257827E-16</v>
      </c>
      <c r="Z1267" s="2" t="str">
        <f t="shared" si="158"/>
        <v>OK</v>
      </c>
      <c r="AA1267" t="str">
        <f t="shared" si="159"/>
        <v>Unique</v>
      </c>
    </row>
    <row r="1268" spans="1:27" x14ac:dyDescent="0.3">
      <c r="A1268">
        <v>1267</v>
      </c>
      <c r="B1268">
        <v>1945660.3326220301</v>
      </c>
      <c r="C1268">
        <v>0.61837831579869396</v>
      </c>
      <c r="D1268">
        <v>-8.1953406878215104E-3</v>
      </c>
      <c r="E1268">
        <v>0.31497377192506298</v>
      </c>
      <c r="F1268">
        <v>1</v>
      </c>
      <c r="G1268" t="s">
        <v>13</v>
      </c>
      <c r="H1268">
        <v>1</v>
      </c>
      <c r="I1268">
        <v>612831.973850935</v>
      </c>
      <c r="J1268">
        <v>0.68502622807493596</v>
      </c>
      <c r="K1268" t="str">
        <f t="shared" si="152"/>
        <v>OK</v>
      </c>
      <c r="L1268" t="str">
        <f t="shared" si="153"/>
        <v>OK</v>
      </c>
      <c r="M1268" t="str">
        <f>IF(OR(B1268&lt;$AE$20,B1268&gt;$AF$20),"Outlier","OK")</f>
        <v>OK</v>
      </c>
      <c r="N1268" t="str">
        <f>IF(OR(J1268&lt;$AE$21,J1268&gt;$AF$21),"Outlier","OK")</f>
        <v>OK</v>
      </c>
      <c r="O1268" t="str">
        <f>IF(OR(C1268&lt;0,C1268&gt;1),"Outlier","OK")</f>
        <v>OK</v>
      </c>
      <c r="P1268" t="str">
        <f>IF(OR(D1268&lt;0,D1268&gt;1),"Outlier","OK")</f>
        <v>Outlier</v>
      </c>
      <c r="Q1268" t="str">
        <f t="shared" si="154"/>
        <v>60-80%</v>
      </c>
      <c r="R1268" t="str">
        <f>IF(B1268="","Missing","OK")</f>
        <v>OK</v>
      </c>
      <c r="S1268" t="str">
        <f>IF(E1268="","Missing","OK")</f>
        <v>OK</v>
      </c>
      <c r="T1268" t="str">
        <f t="shared" si="155"/>
        <v>OK</v>
      </c>
      <c r="U1268">
        <f>COUNTIF($A:$A,A1268)</f>
        <v>1</v>
      </c>
      <c r="V1268" t="str">
        <f t="shared" si="156"/>
        <v>OK</v>
      </c>
      <c r="W1268" t="str">
        <f>IF(I1268&gt;B1268,"ERROR","OK")</f>
        <v>OK</v>
      </c>
      <c r="X1268">
        <f>(B1268-I1268)/B1268</f>
        <v>0.68502622807493618</v>
      </c>
      <c r="Y1268" s="2">
        <f t="shared" si="157"/>
        <v>2.2204460492503131E-16</v>
      </c>
      <c r="Z1268" s="2" t="str">
        <f t="shared" si="158"/>
        <v>OK</v>
      </c>
      <c r="AA1268" t="str">
        <f t="shared" si="159"/>
        <v>Unique</v>
      </c>
    </row>
    <row r="1269" spans="1:27" x14ac:dyDescent="0.3">
      <c r="A1269">
        <v>1268</v>
      </c>
      <c r="B1269">
        <v>884055.58946130599</v>
      </c>
      <c r="C1269">
        <v>0.21414716983122201</v>
      </c>
      <c r="D1269">
        <v>-8.5303881802208104E-2</v>
      </c>
      <c r="E1269">
        <v>0.42128762169108502</v>
      </c>
      <c r="F1269">
        <v>1</v>
      </c>
      <c r="G1269" t="s">
        <v>11</v>
      </c>
      <c r="H1269">
        <v>0</v>
      </c>
      <c r="I1269">
        <v>372441.67672686401</v>
      </c>
      <c r="J1269">
        <v>0.57871237830891398</v>
      </c>
      <c r="K1269" t="str">
        <f t="shared" si="152"/>
        <v>OK</v>
      </c>
      <c r="L1269" t="str">
        <f t="shared" si="153"/>
        <v>OK</v>
      </c>
      <c r="M1269" t="str">
        <f>IF(OR(B1269&lt;$AE$20,B1269&gt;$AF$20),"Outlier","OK")</f>
        <v>OK</v>
      </c>
      <c r="N1269" t="str">
        <f>IF(OR(J1269&lt;$AE$21,J1269&gt;$AF$21),"Outlier","OK")</f>
        <v>OK</v>
      </c>
      <c r="O1269" t="str">
        <f>IF(OR(C1269&lt;0,C1269&gt;1),"Outlier","OK")</f>
        <v>OK</v>
      </c>
      <c r="P1269" t="str">
        <f>IF(OR(D1269&lt;0,D1269&gt;1),"Outlier","OK")</f>
        <v>Outlier</v>
      </c>
      <c r="Q1269" t="str">
        <f t="shared" si="154"/>
        <v>40-60%</v>
      </c>
      <c r="R1269" t="str">
        <f>IF(B1269="","Missing","OK")</f>
        <v>OK</v>
      </c>
      <c r="S1269" t="str">
        <f>IF(E1269="","Missing","OK")</f>
        <v>OK</v>
      </c>
      <c r="T1269" t="str">
        <f t="shared" si="155"/>
        <v>OK</v>
      </c>
      <c r="U1269">
        <f>COUNTIF($A:$A,A1269)</f>
        <v>1</v>
      </c>
      <c r="V1269" t="str">
        <f t="shared" si="156"/>
        <v>OK</v>
      </c>
      <c r="W1269" t="str">
        <f>IF(I1269&gt;B1269,"ERROR","OK")</f>
        <v>OK</v>
      </c>
      <c r="X1269">
        <f>(B1269-I1269)/B1269</f>
        <v>0.57871237830891475</v>
      </c>
      <c r="Y1269" s="2">
        <f t="shared" si="157"/>
        <v>7.7715611723760958E-16</v>
      </c>
      <c r="Z1269" s="2" t="str">
        <f t="shared" si="158"/>
        <v>OK</v>
      </c>
      <c r="AA1269" t="str">
        <f t="shared" si="159"/>
        <v>Unique</v>
      </c>
    </row>
    <row r="1270" spans="1:27" x14ac:dyDescent="0.3">
      <c r="A1270">
        <v>1269</v>
      </c>
      <c r="B1270">
        <v>523618.42662078299</v>
      </c>
      <c r="C1270">
        <v>0.75004911417323095</v>
      </c>
      <c r="D1270">
        <v>-8.5768642562618E-2</v>
      </c>
      <c r="E1270">
        <v>0.74529552014670097</v>
      </c>
      <c r="F1270">
        <v>1</v>
      </c>
      <c r="G1270" t="s">
        <v>11</v>
      </c>
      <c r="H1270">
        <v>0</v>
      </c>
      <c r="I1270">
        <v>390250.467626734</v>
      </c>
      <c r="J1270">
        <v>0.25470447985329803</v>
      </c>
      <c r="K1270" t="str">
        <f t="shared" si="152"/>
        <v>OK</v>
      </c>
      <c r="L1270" t="str">
        <f t="shared" si="153"/>
        <v>OK</v>
      </c>
      <c r="M1270" t="str">
        <f>IF(OR(B1270&lt;$AE$20,B1270&gt;$AF$20),"Outlier","OK")</f>
        <v>OK</v>
      </c>
      <c r="N1270" t="str">
        <f>IF(OR(J1270&lt;$AE$21,J1270&gt;$AF$21),"Outlier","OK")</f>
        <v>Outlier</v>
      </c>
      <c r="O1270" t="str">
        <f>IF(OR(C1270&lt;0,C1270&gt;1),"Outlier","OK")</f>
        <v>OK</v>
      </c>
      <c r="P1270" t="str">
        <f>IF(OR(D1270&lt;0,D1270&gt;1),"Outlier","OK")</f>
        <v>Outlier</v>
      </c>
      <c r="Q1270" t="str">
        <f t="shared" si="154"/>
        <v>20-40%</v>
      </c>
      <c r="R1270" t="str">
        <f>IF(B1270="","Missing","OK")</f>
        <v>OK</v>
      </c>
      <c r="S1270" t="str">
        <f>IF(E1270="","Missing","OK")</f>
        <v>OK</v>
      </c>
      <c r="T1270" t="str">
        <f t="shared" si="155"/>
        <v>OK</v>
      </c>
      <c r="U1270">
        <f>COUNTIF($A:$A,A1270)</f>
        <v>1</v>
      </c>
      <c r="V1270" t="str">
        <f t="shared" si="156"/>
        <v>OK</v>
      </c>
      <c r="W1270" t="str">
        <f>IF(I1270&gt;B1270,"ERROR","OK")</f>
        <v>OK</v>
      </c>
      <c r="X1270">
        <f>(B1270-I1270)/B1270</f>
        <v>0.25470447985329836</v>
      </c>
      <c r="Y1270" s="2">
        <f t="shared" si="157"/>
        <v>3.3306690738754696E-16</v>
      </c>
      <c r="Z1270" s="2" t="str">
        <f t="shared" si="158"/>
        <v>OK</v>
      </c>
      <c r="AA1270" t="str">
        <f t="shared" si="159"/>
        <v>Unique</v>
      </c>
    </row>
    <row r="1271" spans="1:27" x14ac:dyDescent="0.3">
      <c r="A1271">
        <v>1270</v>
      </c>
      <c r="B1271">
        <v>1858638.4172143899</v>
      </c>
      <c r="C1271">
        <v>0.30682389092034501</v>
      </c>
      <c r="D1271">
        <v>5.6310416706875803E-2</v>
      </c>
      <c r="E1271">
        <v>4.1542636307765099E-2</v>
      </c>
      <c r="F1271">
        <v>1</v>
      </c>
      <c r="G1271" t="s">
        <v>13</v>
      </c>
      <c r="H1271">
        <v>1</v>
      </c>
      <c r="I1271">
        <v>77212.7397939777</v>
      </c>
      <c r="J1271">
        <v>0.958457363692234</v>
      </c>
      <c r="K1271" t="str">
        <f t="shared" si="152"/>
        <v>OK</v>
      </c>
      <c r="L1271" t="str">
        <f t="shared" si="153"/>
        <v>OK</v>
      </c>
      <c r="M1271" t="str">
        <f>IF(OR(B1271&lt;$AE$20,B1271&gt;$AF$20),"Outlier","OK")</f>
        <v>OK</v>
      </c>
      <c r="N1271" t="str">
        <f>IF(OR(J1271&lt;$AE$21,J1271&gt;$AF$21),"Outlier","OK")</f>
        <v>OK</v>
      </c>
      <c r="O1271" t="str">
        <f>IF(OR(C1271&lt;0,C1271&gt;1),"Outlier","OK")</f>
        <v>OK</v>
      </c>
      <c r="P1271" t="str">
        <f>IF(OR(D1271&lt;0,D1271&gt;1),"Outlier","OK")</f>
        <v>OK</v>
      </c>
      <c r="Q1271" t="str">
        <f t="shared" si="154"/>
        <v>80-100%</v>
      </c>
      <c r="R1271" t="str">
        <f>IF(B1271="","Missing","OK")</f>
        <v>OK</v>
      </c>
      <c r="S1271" t="str">
        <f>IF(E1271="","Missing","OK")</f>
        <v>OK</v>
      </c>
      <c r="T1271" t="str">
        <f t="shared" si="155"/>
        <v>OK</v>
      </c>
      <c r="U1271">
        <f>COUNTIF($A:$A,A1271)</f>
        <v>1</v>
      </c>
      <c r="V1271" t="str">
        <f t="shared" si="156"/>
        <v>OK</v>
      </c>
      <c r="W1271" t="str">
        <f>IF(I1271&gt;B1271,"ERROR","OK")</f>
        <v>OK</v>
      </c>
      <c r="X1271">
        <f>(B1271-I1271)/B1271</f>
        <v>0.95845736369223478</v>
      </c>
      <c r="Y1271" s="2">
        <f t="shared" si="157"/>
        <v>7.7715611723760958E-16</v>
      </c>
      <c r="Z1271" s="2" t="str">
        <f t="shared" si="158"/>
        <v>OK</v>
      </c>
      <c r="AA1271" t="str">
        <f t="shared" si="159"/>
        <v>Unique</v>
      </c>
    </row>
    <row r="1272" spans="1:27" x14ac:dyDescent="0.3">
      <c r="A1272">
        <v>1271</v>
      </c>
      <c r="B1272">
        <v>1241009.9239343</v>
      </c>
      <c r="C1272">
        <v>0.44443047370892103</v>
      </c>
      <c r="D1272">
        <v>7.0369025865798601E-2</v>
      </c>
      <c r="E1272">
        <v>0.34008874118202898</v>
      </c>
      <c r="F1272">
        <v>1</v>
      </c>
      <c r="G1272" t="s">
        <v>12</v>
      </c>
      <c r="H1272">
        <v>1</v>
      </c>
      <c r="I1272">
        <v>422053.502825225</v>
      </c>
      <c r="J1272">
        <v>0.65991125881796997</v>
      </c>
      <c r="K1272" t="str">
        <f t="shared" si="152"/>
        <v>OK</v>
      </c>
      <c r="L1272" t="str">
        <f t="shared" si="153"/>
        <v>OK</v>
      </c>
      <c r="M1272" t="str">
        <f>IF(OR(B1272&lt;$AE$20,B1272&gt;$AF$20),"Outlier","OK")</f>
        <v>OK</v>
      </c>
      <c r="N1272" t="str">
        <f>IF(OR(J1272&lt;$AE$21,J1272&gt;$AF$21),"Outlier","OK")</f>
        <v>OK</v>
      </c>
      <c r="O1272" t="str">
        <f>IF(OR(C1272&lt;0,C1272&gt;1),"Outlier","OK")</f>
        <v>OK</v>
      </c>
      <c r="P1272" t="str">
        <f>IF(OR(D1272&lt;0,D1272&gt;1),"Outlier","OK")</f>
        <v>OK</v>
      </c>
      <c r="Q1272" t="str">
        <f t="shared" si="154"/>
        <v>60-80%</v>
      </c>
      <c r="R1272" t="str">
        <f>IF(B1272="","Missing","OK")</f>
        <v>OK</v>
      </c>
      <c r="S1272" t="str">
        <f>IF(E1272="","Missing","OK")</f>
        <v>OK</v>
      </c>
      <c r="T1272" t="str">
        <f t="shared" si="155"/>
        <v>OK</v>
      </c>
      <c r="U1272">
        <f>COUNTIF($A:$A,A1272)</f>
        <v>1</v>
      </c>
      <c r="V1272" t="str">
        <f t="shared" si="156"/>
        <v>OK</v>
      </c>
      <c r="W1272" t="str">
        <f>IF(I1272&gt;B1272,"ERROR","OK")</f>
        <v>OK</v>
      </c>
      <c r="X1272">
        <f>(B1272-I1272)/B1272</f>
        <v>0.6599112588179683</v>
      </c>
      <c r="Y1272" s="2">
        <f t="shared" si="157"/>
        <v>1.6653345369377348E-15</v>
      </c>
      <c r="Z1272" s="2" t="str">
        <f t="shared" si="158"/>
        <v>OK</v>
      </c>
      <c r="AA1272" t="str">
        <f t="shared" si="159"/>
        <v>Unique</v>
      </c>
    </row>
    <row r="1273" spans="1:27" x14ac:dyDescent="0.3">
      <c r="A1273">
        <v>1272</v>
      </c>
      <c r="B1273">
        <v>1469321.6266685501</v>
      </c>
      <c r="C1273">
        <v>0.84559622359956199</v>
      </c>
      <c r="D1273">
        <v>8.5996693369482596E-2</v>
      </c>
      <c r="E1273">
        <v>0.30166678912728401</v>
      </c>
      <c r="F1273">
        <v>1</v>
      </c>
      <c r="G1273" t="s">
        <v>13</v>
      </c>
      <c r="H1273">
        <v>1</v>
      </c>
      <c r="I1273">
        <v>443245.53731237998</v>
      </c>
      <c r="J1273">
        <v>0.69833321087271505</v>
      </c>
      <c r="K1273" t="str">
        <f t="shared" si="152"/>
        <v>OK</v>
      </c>
      <c r="L1273" t="str">
        <f t="shared" si="153"/>
        <v>OK</v>
      </c>
      <c r="M1273" t="str">
        <f>IF(OR(B1273&lt;$AE$20,B1273&gt;$AF$20),"Outlier","OK")</f>
        <v>OK</v>
      </c>
      <c r="N1273" t="str">
        <f>IF(OR(J1273&lt;$AE$21,J1273&gt;$AF$21),"Outlier","OK")</f>
        <v>OK</v>
      </c>
      <c r="O1273" t="str">
        <f>IF(OR(C1273&lt;0,C1273&gt;1),"Outlier","OK")</f>
        <v>OK</v>
      </c>
      <c r="P1273" t="str">
        <f>IF(OR(D1273&lt;0,D1273&gt;1),"Outlier","OK")</f>
        <v>OK</v>
      </c>
      <c r="Q1273" t="str">
        <f t="shared" si="154"/>
        <v>60-80%</v>
      </c>
      <c r="R1273" t="str">
        <f>IF(B1273="","Missing","OK")</f>
        <v>OK</v>
      </c>
      <c r="S1273" t="str">
        <f>IF(E1273="","Missing","OK")</f>
        <v>OK</v>
      </c>
      <c r="T1273" t="str">
        <f t="shared" si="155"/>
        <v>OK</v>
      </c>
      <c r="U1273">
        <f>COUNTIF($A:$A,A1273)</f>
        <v>1</v>
      </c>
      <c r="V1273" t="str">
        <f t="shared" si="156"/>
        <v>OK</v>
      </c>
      <c r="W1273" t="str">
        <f>IF(I1273&gt;B1273,"ERROR","OK")</f>
        <v>OK</v>
      </c>
      <c r="X1273">
        <f>(B1273-I1273)/B1273</f>
        <v>0.6983332108727156</v>
      </c>
      <c r="Y1273" s="2">
        <f t="shared" si="157"/>
        <v>5.5511151231257827E-16</v>
      </c>
      <c r="Z1273" s="2" t="str">
        <f t="shared" si="158"/>
        <v>OK</v>
      </c>
      <c r="AA1273" t="str">
        <f t="shared" si="159"/>
        <v>Unique</v>
      </c>
    </row>
    <row r="1274" spans="1:27" x14ac:dyDescent="0.3">
      <c r="A1274">
        <v>1273</v>
      </c>
      <c r="B1274">
        <v>1109639.0179097001</v>
      </c>
      <c r="C1274">
        <v>0.50036036703408004</v>
      </c>
      <c r="D1274">
        <v>1.4733558315357599E-3</v>
      </c>
      <c r="E1274">
        <v>0.20148300116794399</v>
      </c>
      <c r="F1274">
        <v>1</v>
      </c>
      <c r="G1274" t="s">
        <v>12</v>
      </c>
      <c r="H1274">
        <v>1</v>
      </c>
      <c r="I1274">
        <v>223573.399541497</v>
      </c>
      <c r="J1274">
        <v>0.79851699883205496</v>
      </c>
      <c r="K1274" t="str">
        <f t="shared" si="152"/>
        <v>OK</v>
      </c>
      <c r="L1274" t="str">
        <f t="shared" si="153"/>
        <v>OK</v>
      </c>
      <c r="M1274" t="str">
        <f>IF(OR(B1274&lt;$AE$20,B1274&gt;$AF$20),"Outlier","OK")</f>
        <v>OK</v>
      </c>
      <c r="N1274" t="str">
        <f>IF(OR(J1274&lt;$AE$21,J1274&gt;$AF$21),"Outlier","OK")</f>
        <v>OK</v>
      </c>
      <c r="O1274" t="str">
        <f>IF(OR(C1274&lt;0,C1274&gt;1),"Outlier","OK")</f>
        <v>OK</v>
      </c>
      <c r="P1274" t="str">
        <f>IF(OR(D1274&lt;0,D1274&gt;1),"Outlier","OK")</f>
        <v>OK</v>
      </c>
      <c r="Q1274" t="str">
        <f t="shared" si="154"/>
        <v>60-80%</v>
      </c>
      <c r="R1274" t="str">
        <f>IF(B1274="","Missing","OK")</f>
        <v>OK</v>
      </c>
      <c r="S1274" t="str">
        <f>IF(E1274="","Missing","OK")</f>
        <v>OK</v>
      </c>
      <c r="T1274" t="str">
        <f t="shared" si="155"/>
        <v>OK</v>
      </c>
      <c r="U1274">
        <f>COUNTIF($A:$A,A1274)</f>
        <v>1</v>
      </c>
      <c r="V1274" t="str">
        <f t="shared" si="156"/>
        <v>OK</v>
      </c>
      <c r="W1274" t="str">
        <f>IF(I1274&gt;B1274,"ERROR","OK")</f>
        <v>OK</v>
      </c>
      <c r="X1274">
        <f>(B1274-I1274)/B1274</f>
        <v>0.7985169988320554</v>
      </c>
      <c r="Y1274" s="2">
        <f t="shared" si="157"/>
        <v>4.4408920985006262E-16</v>
      </c>
      <c r="Z1274" s="2" t="str">
        <f t="shared" si="158"/>
        <v>OK</v>
      </c>
      <c r="AA1274" t="str">
        <f t="shared" si="159"/>
        <v>Unique</v>
      </c>
    </row>
    <row r="1275" spans="1:27" x14ac:dyDescent="0.3">
      <c r="A1275">
        <v>1274</v>
      </c>
      <c r="B1275">
        <v>71843.919552534906</v>
      </c>
      <c r="C1275">
        <v>0.13422910506906299</v>
      </c>
      <c r="D1275">
        <v>-0.14619663830638399</v>
      </c>
      <c r="E1275">
        <v>9.5141346199504304E-2</v>
      </c>
      <c r="F1275">
        <v>1</v>
      </c>
      <c r="G1275" t="s">
        <v>10</v>
      </c>
      <c r="H1275">
        <v>1</v>
      </c>
      <c r="I1275">
        <v>6835.3272224770599</v>
      </c>
      <c r="J1275">
        <v>0.90485865380049502</v>
      </c>
      <c r="K1275" t="str">
        <f t="shared" si="152"/>
        <v>OK</v>
      </c>
      <c r="L1275" t="str">
        <f t="shared" si="153"/>
        <v>OK</v>
      </c>
      <c r="M1275" t="str">
        <f>IF(OR(B1275&lt;$AE$20,B1275&gt;$AF$20),"Outlier","OK")</f>
        <v>OK</v>
      </c>
      <c r="N1275" t="str">
        <f>IF(OR(J1275&lt;$AE$21,J1275&gt;$AF$21),"Outlier","OK")</f>
        <v>OK</v>
      </c>
      <c r="O1275" t="str">
        <f>IF(OR(C1275&lt;0,C1275&gt;1),"Outlier","OK")</f>
        <v>OK</v>
      </c>
      <c r="P1275" t="str">
        <f>IF(OR(D1275&lt;0,D1275&gt;1),"Outlier","OK")</f>
        <v>Outlier</v>
      </c>
      <c r="Q1275" t="str">
        <f t="shared" si="154"/>
        <v>80-100%</v>
      </c>
      <c r="R1275" t="str">
        <f>IF(B1275="","Missing","OK")</f>
        <v>OK</v>
      </c>
      <c r="S1275" t="str">
        <f>IF(E1275="","Missing","OK")</f>
        <v>OK</v>
      </c>
      <c r="T1275" t="str">
        <f t="shared" si="155"/>
        <v>OK</v>
      </c>
      <c r="U1275">
        <f>COUNTIF($A:$A,A1275)</f>
        <v>1</v>
      </c>
      <c r="V1275" t="str">
        <f t="shared" si="156"/>
        <v>OK</v>
      </c>
      <c r="W1275" t="str">
        <f>IF(I1275&gt;B1275,"ERROR","OK")</f>
        <v>OK</v>
      </c>
      <c r="X1275">
        <f>(B1275-I1275)/B1275</f>
        <v>0.90485865380049568</v>
      </c>
      <c r="Y1275" s="2">
        <f t="shared" si="157"/>
        <v>6.6613381477509392E-16</v>
      </c>
      <c r="Z1275" s="2" t="str">
        <f t="shared" si="158"/>
        <v>OK</v>
      </c>
      <c r="AA1275" t="str">
        <f t="shared" si="159"/>
        <v>Unique</v>
      </c>
    </row>
    <row r="1276" spans="1:27" x14ac:dyDescent="0.3">
      <c r="A1276">
        <v>1275</v>
      </c>
      <c r="B1276">
        <v>1523615.2153160099</v>
      </c>
      <c r="C1276">
        <v>0.82056684446342798</v>
      </c>
      <c r="D1276">
        <v>-0.16425716982966199</v>
      </c>
      <c r="E1276">
        <v>0.32834579350352</v>
      </c>
      <c r="F1276">
        <v>1</v>
      </c>
      <c r="G1276" t="s">
        <v>10</v>
      </c>
      <c r="H1276">
        <v>0</v>
      </c>
      <c r="I1276">
        <v>500272.64686697302</v>
      </c>
      <c r="J1276">
        <v>0.671654206496479</v>
      </c>
      <c r="K1276" t="str">
        <f t="shared" si="152"/>
        <v>OK</v>
      </c>
      <c r="L1276" t="str">
        <f t="shared" si="153"/>
        <v>OK</v>
      </c>
      <c r="M1276" t="str">
        <f>IF(OR(B1276&lt;$AE$20,B1276&gt;$AF$20),"Outlier","OK")</f>
        <v>OK</v>
      </c>
      <c r="N1276" t="str">
        <f>IF(OR(J1276&lt;$AE$21,J1276&gt;$AF$21),"Outlier","OK")</f>
        <v>OK</v>
      </c>
      <c r="O1276" t="str">
        <f>IF(OR(C1276&lt;0,C1276&gt;1),"Outlier","OK")</f>
        <v>OK</v>
      </c>
      <c r="P1276" t="str">
        <f>IF(OR(D1276&lt;0,D1276&gt;1),"Outlier","OK")</f>
        <v>Outlier</v>
      </c>
      <c r="Q1276" t="str">
        <f t="shared" si="154"/>
        <v>60-80%</v>
      </c>
      <c r="R1276" t="str">
        <f>IF(B1276="","Missing","OK")</f>
        <v>OK</v>
      </c>
      <c r="S1276" t="str">
        <f>IF(E1276="","Missing","OK")</f>
        <v>OK</v>
      </c>
      <c r="T1276" t="str">
        <f t="shared" si="155"/>
        <v>OK</v>
      </c>
      <c r="U1276">
        <f>COUNTIF($A:$A,A1276)</f>
        <v>1</v>
      </c>
      <c r="V1276" t="str">
        <f t="shared" si="156"/>
        <v>OK</v>
      </c>
      <c r="W1276" t="str">
        <f>IF(I1276&gt;B1276,"ERROR","OK")</f>
        <v>OK</v>
      </c>
      <c r="X1276">
        <f>(B1276-I1276)/B1276</f>
        <v>0.67165420649647922</v>
      </c>
      <c r="Y1276" s="2">
        <f t="shared" si="157"/>
        <v>2.2204460492503131E-16</v>
      </c>
      <c r="Z1276" s="2" t="str">
        <f t="shared" si="158"/>
        <v>OK</v>
      </c>
      <c r="AA1276" t="str">
        <f t="shared" si="159"/>
        <v>Unique</v>
      </c>
    </row>
    <row r="1277" spans="1:27" x14ac:dyDescent="0.3">
      <c r="A1277">
        <v>1276</v>
      </c>
      <c r="B1277">
        <v>1958459.49304784</v>
      </c>
      <c r="C1277">
        <v>0.65752555074083496</v>
      </c>
      <c r="D1277">
        <v>-0.12665017803402401</v>
      </c>
      <c r="E1277">
        <v>0.41420782247136101</v>
      </c>
      <c r="F1277">
        <v>1</v>
      </c>
      <c r="G1277" t="s">
        <v>12</v>
      </c>
      <c r="H1277">
        <v>0</v>
      </c>
      <c r="I1277">
        <v>811209.24201371602</v>
      </c>
      <c r="J1277">
        <v>0.58579217752863799</v>
      </c>
      <c r="K1277" t="str">
        <f t="shared" si="152"/>
        <v>OK</v>
      </c>
      <c r="L1277" t="str">
        <f t="shared" si="153"/>
        <v>OK</v>
      </c>
      <c r="M1277" t="str">
        <f>IF(OR(B1277&lt;$AE$20,B1277&gt;$AF$20),"Outlier","OK")</f>
        <v>OK</v>
      </c>
      <c r="N1277" t="str">
        <f>IF(OR(J1277&lt;$AE$21,J1277&gt;$AF$21),"Outlier","OK")</f>
        <v>OK</v>
      </c>
      <c r="O1277" t="str">
        <f>IF(OR(C1277&lt;0,C1277&gt;1),"Outlier","OK")</f>
        <v>OK</v>
      </c>
      <c r="P1277" t="str">
        <f>IF(OR(D1277&lt;0,D1277&gt;1),"Outlier","OK")</f>
        <v>Outlier</v>
      </c>
      <c r="Q1277" t="str">
        <f t="shared" si="154"/>
        <v>40-60%</v>
      </c>
      <c r="R1277" t="str">
        <f>IF(B1277="","Missing","OK")</f>
        <v>OK</v>
      </c>
      <c r="S1277" t="str">
        <f>IF(E1277="","Missing","OK")</f>
        <v>OK</v>
      </c>
      <c r="T1277" t="str">
        <f t="shared" si="155"/>
        <v>OK</v>
      </c>
      <c r="U1277">
        <f>COUNTIF($A:$A,A1277)</f>
        <v>1</v>
      </c>
      <c r="V1277" t="str">
        <f t="shared" si="156"/>
        <v>OK</v>
      </c>
      <c r="W1277" t="str">
        <f>IF(I1277&gt;B1277,"ERROR","OK")</f>
        <v>OK</v>
      </c>
      <c r="X1277">
        <f>(B1277-I1277)/B1277</f>
        <v>0.58579217752863655</v>
      </c>
      <c r="Y1277" s="2">
        <f t="shared" si="157"/>
        <v>1.4432899320127035E-15</v>
      </c>
      <c r="Z1277" s="2" t="str">
        <f t="shared" si="158"/>
        <v>OK</v>
      </c>
      <c r="AA1277" t="str">
        <f t="shared" si="159"/>
        <v>Unique</v>
      </c>
    </row>
    <row r="1278" spans="1:27" x14ac:dyDescent="0.3">
      <c r="A1278">
        <v>1277</v>
      </c>
      <c r="B1278">
        <v>1446565.8346191701</v>
      </c>
      <c r="C1278">
        <v>0.81809215179458195</v>
      </c>
      <c r="D1278">
        <v>0.11408975789648799</v>
      </c>
      <c r="E1278">
        <v>0.26899976594464597</v>
      </c>
      <c r="F1278">
        <v>1</v>
      </c>
      <c r="G1278" t="s">
        <v>11</v>
      </c>
      <c r="H1278">
        <v>0</v>
      </c>
      <c r="I1278">
        <v>389125.87093608</v>
      </c>
      <c r="J1278">
        <v>0.73100023405535297</v>
      </c>
      <c r="K1278" t="str">
        <f t="shared" si="152"/>
        <v>OK</v>
      </c>
      <c r="L1278" t="str">
        <f t="shared" si="153"/>
        <v>OK</v>
      </c>
      <c r="M1278" t="str">
        <f>IF(OR(B1278&lt;$AE$20,B1278&gt;$AF$20),"Outlier","OK")</f>
        <v>OK</v>
      </c>
      <c r="N1278" t="str">
        <f>IF(OR(J1278&lt;$AE$21,J1278&gt;$AF$21),"Outlier","OK")</f>
        <v>OK</v>
      </c>
      <c r="O1278" t="str">
        <f>IF(OR(C1278&lt;0,C1278&gt;1),"Outlier","OK")</f>
        <v>OK</v>
      </c>
      <c r="P1278" t="str">
        <f>IF(OR(D1278&lt;0,D1278&gt;1),"Outlier","OK")</f>
        <v>OK</v>
      </c>
      <c r="Q1278" t="str">
        <f t="shared" si="154"/>
        <v>60-80%</v>
      </c>
      <c r="R1278" t="str">
        <f>IF(B1278="","Missing","OK")</f>
        <v>OK</v>
      </c>
      <c r="S1278" t="str">
        <f>IF(E1278="","Missing","OK")</f>
        <v>OK</v>
      </c>
      <c r="T1278" t="str">
        <f t="shared" si="155"/>
        <v>OK</v>
      </c>
      <c r="U1278">
        <f>COUNTIF($A:$A,A1278)</f>
        <v>1</v>
      </c>
      <c r="V1278" t="str">
        <f t="shared" si="156"/>
        <v>OK</v>
      </c>
      <c r="W1278" t="str">
        <f>IF(I1278&gt;B1278,"ERROR","OK")</f>
        <v>OK</v>
      </c>
      <c r="X1278">
        <f>(B1278-I1278)/B1278</f>
        <v>0.73100023405535286</v>
      </c>
      <c r="Y1278" s="2">
        <f t="shared" si="157"/>
        <v>1.1102230246251565E-16</v>
      </c>
      <c r="Z1278" s="2" t="str">
        <f t="shared" si="158"/>
        <v>OK</v>
      </c>
      <c r="AA1278" t="str">
        <f t="shared" si="159"/>
        <v>Unique</v>
      </c>
    </row>
    <row r="1279" spans="1:27" x14ac:dyDescent="0.3">
      <c r="A1279">
        <v>1278</v>
      </c>
      <c r="B1279">
        <v>1627076.8725506</v>
      </c>
      <c r="C1279">
        <v>0.44102810631103001</v>
      </c>
      <c r="D1279">
        <v>-7.2220083614642994E-2</v>
      </c>
      <c r="E1279">
        <v>0.25467504939167301</v>
      </c>
      <c r="F1279">
        <v>1</v>
      </c>
      <c r="G1279" t="s">
        <v>10</v>
      </c>
      <c r="H1279">
        <v>0</v>
      </c>
      <c r="I1279">
        <v>414375.88288087503</v>
      </c>
      <c r="J1279">
        <v>0.74532495060832604</v>
      </c>
      <c r="K1279" t="str">
        <f t="shared" si="152"/>
        <v>OK</v>
      </c>
      <c r="L1279" t="str">
        <f t="shared" si="153"/>
        <v>OK</v>
      </c>
      <c r="M1279" t="str">
        <f>IF(OR(B1279&lt;$AE$20,B1279&gt;$AF$20),"Outlier","OK")</f>
        <v>OK</v>
      </c>
      <c r="N1279" t="str">
        <f>IF(OR(J1279&lt;$AE$21,J1279&gt;$AF$21),"Outlier","OK")</f>
        <v>OK</v>
      </c>
      <c r="O1279" t="str">
        <f>IF(OR(C1279&lt;0,C1279&gt;1),"Outlier","OK")</f>
        <v>OK</v>
      </c>
      <c r="P1279" t="str">
        <f>IF(OR(D1279&lt;0,D1279&gt;1),"Outlier","OK")</f>
        <v>Outlier</v>
      </c>
      <c r="Q1279" t="str">
        <f t="shared" si="154"/>
        <v>60-80%</v>
      </c>
      <c r="R1279" t="str">
        <f>IF(B1279="","Missing","OK")</f>
        <v>OK</v>
      </c>
      <c r="S1279" t="str">
        <f>IF(E1279="","Missing","OK")</f>
        <v>OK</v>
      </c>
      <c r="T1279" t="str">
        <f t="shared" si="155"/>
        <v>OK</v>
      </c>
      <c r="U1279">
        <f>COUNTIF($A:$A,A1279)</f>
        <v>1</v>
      </c>
      <c r="V1279" t="str">
        <f t="shared" si="156"/>
        <v>OK</v>
      </c>
      <c r="W1279" t="str">
        <f>IF(I1279&gt;B1279,"ERROR","OK")</f>
        <v>OK</v>
      </c>
      <c r="X1279">
        <f>(B1279-I1279)/B1279</f>
        <v>0.7453249506083256</v>
      </c>
      <c r="Y1279" s="2">
        <f t="shared" si="157"/>
        <v>4.4408920985006262E-16</v>
      </c>
      <c r="Z1279" s="2" t="str">
        <f t="shared" si="158"/>
        <v>OK</v>
      </c>
      <c r="AA1279" t="str">
        <f t="shared" si="159"/>
        <v>Unique</v>
      </c>
    </row>
    <row r="1280" spans="1:27" x14ac:dyDescent="0.3">
      <c r="A1280">
        <v>1279</v>
      </c>
      <c r="B1280">
        <v>1710594.0056443401</v>
      </c>
      <c r="C1280">
        <v>0.803460517857432</v>
      </c>
      <c r="D1280">
        <v>8.0307301753767907E-2</v>
      </c>
      <c r="E1280">
        <v>0.34321159705660498</v>
      </c>
      <c r="F1280">
        <v>1</v>
      </c>
      <c r="G1280" t="s">
        <v>11</v>
      </c>
      <c r="H1280">
        <v>1</v>
      </c>
      <c r="I1280">
        <v>587095.70059265103</v>
      </c>
      <c r="J1280">
        <v>0.65678840294339402</v>
      </c>
      <c r="K1280" t="str">
        <f t="shared" si="152"/>
        <v>OK</v>
      </c>
      <c r="L1280" t="str">
        <f t="shared" si="153"/>
        <v>OK</v>
      </c>
      <c r="M1280" t="str">
        <f>IF(OR(B1280&lt;$AE$20,B1280&gt;$AF$20),"Outlier","OK")</f>
        <v>OK</v>
      </c>
      <c r="N1280" t="str">
        <f>IF(OR(J1280&lt;$AE$21,J1280&gt;$AF$21),"Outlier","OK")</f>
        <v>OK</v>
      </c>
      <c r="O1280" t="str">
        <f>IF(OR(C1280&lt;0,C1280&gt;1),"Outlier","OK")</f>
        <v>OK</v>
      </c>
      <c r="P1280" t="str">
        <f>IF(OR(D1280&lt;0,D1280&gt;1),"Outlier","OK")</f>
        <v>OK</v>
      </c>
      <c r="Q1280" t="str">
        <f t="shared" si="154"/>
        <v>60-80%</v>
      </c>
      <c r="R1280" t="str">
        <f>IF(B1280="","Missing","OK")</f>
        <v>OK</v>
      </c>
      <c r="S1280" t="str">
        <f>IF(E1280="","Missing","OK")</f>
        <v>OK</v>
      </c>
      <c r="T1280" t="str">
        <f t="shared" si="155"/>
        <v>OK</v>
      </c>
      <c r="U1280">
        <f>COUNTIF($A:$A,A1280)</f>
        <v>1</v>
      </c>
      <c r="V1280" t="str">
        <f t="shared" si="156"/>
        <v>OK</v>
      </c>
      <c r="W1280" t="str">
        <f>IF(I1280&gt;B1280,"ERROR","OK")</f>
        <v>OK</v>
      </c>
      <c r="X1280">
        <f>(B1280-I1280)/B1280</f>
        <v>0.65678840294339391</v>
      </c>
      <c r="Y1280" s="2">
        <f t="shared" si="157"/>
        <v>1.1102230246251565E-16</v>
      </c>
      <c r="Z1280" s="2" t="str">
        <f t="shared" si="158"/>
        <v>OK</v>
      </c>
      <c r="AA1280" t="str">
        <f t="shared" si="159"/>
        <v>Unique</v>
      </c>
    </row>
    <row r="1281" spans="1:27" x14ac:dyDescent="0.3">
      <c r="A1281">
        <v>1280</v>
      </c>
      <c r="B1281">
        <v>1998442.4620400199</v>
      </c>
      <c r="C1281">
        <v>0.223404108636787</v>
      </c>
      <c r="D1281">
        <v>-0.16109903091106201</v>
      </c>
      <c r="E1281">
        <v>0.15836576279505099</v>
      </c>
      <c r="F1281">
        <v>1</v>
      </c>
      <c r="G1281" t="s">
        <v>13</v>
      </c>
      <c r="H1281">
        <v>0</v>
      </c>
      <c r="I1281">
        <v>316484.86490298901</v>
      </c>
      <c r="J1281">
        <v>0.84163423720494801</v>
      </c>
      <c r="K1281" t="str">
        <f t="shared" si="152"/>
        <v>OK</v>
      </c>
      <c r="L1281" t="str">
        <f t="shared" si="153"/>
        <v>OK</v>
      </c>
      <c r="M1281" t="str">
        <f>IF(OR(B1281&lt;$AE$20,B1281&gt;$AF$20),"Outlier","OK")</f>
        <v>Outlier</v>
      </c>
      <c r="N1281" t="str">
        <f>IF(OR(J1281&lt;$AE$21,J1281&gt;$AF$21),"Outlier","OK")</f>
        <v>OK</v>
      </c>
      <c r="O1281" t="str">
        <f>IF(OR(C1281&lt;0,C1281&gt;1),"Outlier","OK")</f>
        <v>OK</v>
      </c>
      <c r="P1281" t="str">
        <f>IF(OR(D1281&lt;0,D1281&gt;1),"Outlier","OK")</f>
        <v>Outlier</v>
      </c>
      <c r="Q1281" t="str">
        <f t="shared" si="154"/>
        <v>80-100%</v>
      </c>
      <c r="R1281" t="str">
        <f>IF(B1281="","Missing","OK")</f>
        <v>OK</v>
      </c>
      <c r="S1281" t="str">
        <f>IF(E1281="","Missing","OK")</f>
        <v>OK</v>
      </c>
      <c r="T1281" t="str">
        <f t="shared" si="155"/>
        <v>OK</v>
      </c>
      <c r="U1281">
        <f>COUNTIF($A:$A,A1281)</f>
        <v>1</v>
      </c>
      <c r="V1281" t="str">
        <f t="shared" si="156"/>
        <v>OK</v>
      </c>
      <c r="W1281" t="str">
        <f>IF(I1281&gt;B1281,"ERROR","OK")</f>
        <v>OK</v>
      </c>
      <c r="X1281">
        <f>(B1281-I1281)/B1281</f>
        <v>0.84163423720494823</v>
      </c>
      <c r="Y1281" s="2">
        <f t="shared" si="157"/>
        <v>2.2204460492503131E-16</v>
      </c>
      <c r="Z1281" s="2" t="str">
        <f t="shared" si="158"/>
        <v>OK</v>
      </c>
      <c r="AA1281" t="str">
        <f t="shared" si="159"/>
        <v>Unique</v>
      </c>
    </row>
    <row r="1282" spans="1:27" x14ac:dyDescent="0.3">
      <c r="A1282">
        <v>1281</v>
      </c>
      <c r="B1282">
        <v>612796.32299191004</v>
      </c>
      <c r="C1282">
        <v>0.73124720324216996</v>
      </c>
      <c r="D1282">
        <v>-0.18711936044001201</v>
      </c>
      <c r="E1282">
        <v>0.33434370663505603</v>
      </c>
      <c r="F1282">
        <v>1</v>
      </c>
      <c r="G1282" t="s">
        <v>10</v>
      </c>
      <c r="H1282">
        <v>0</v>
      </c>
      <c r="I1282">
        <v>204884.594041448</v>
      </c>
      <c r="J1282">
        <v>0.66565629336494303</v>
      </c>
      <c r="K1282" t="str">
        <f t="shared" si="152"/>
        <v>OK</v>
      </c>
      <c r="L1282" t="str">
        <f t="shared" si="153"/>
        <v>OK</v>
      </c>
      <c r="M1282" t="str">
        <f>IF(OR(B1282&lt;$AE$20,B1282&gt;$AF$20),"Outlier","OK")</f>
        <v>OK</v>
      </c>
      <c r="N1282" t="str">
        <f>IF(OR(J1282&lt;$AE$21,J1282&gt;$AF$21),"Outlier","OK")</f>
        <v>OK</v>
      </c>
      <c r="O1282" t="str">
        <f>IF(OR(C1282&lt;0,C1282&gt;1),"Outlier","OK")</f>
        <v>OK</v>
      </c>
      <c r="P1282" t="str">
        <f>IF(OR(D1282&lt;0,D1282&gt;1),"Outlier","OK")</f>
        <v>Outlier</v>
      </c>
      <c r="Q1282" t="str">
        <f t="shared" si="154"/>
        <v>60-80%</v>
      </c>
      <c r="R1282" t="str">
        <f>IF(B1282="","Missing","OK")</f>
        <v>OK</v>
      </c>
      <c r="S1282" t="str">
        <f>IF(E1282="","Missing","OK")</f>
        <v>OK</v>
      </c>
      <c r="T1282" t="str">
        <f t="shared" si="155"/>
        <v>OK</v>
      </c>
      <c r="U1282">
        <f>COUNTIF($A:$A,A1282)</f>
        <v>1</v>
      </c>
      <c r="V1282" t="str">
        <f t="shared" si="156"/>
        <v>OK</v>
      </c>
      <c r="W1282" t="str">
        <f>IF(I1282&gt;B1282,"ERROR","OK")</f>
        <v>OK</v>
      </c>
      <c r="X1282">
        <f>(B1282-I1282)/B1282</f>
        <v>0.66565629336494436</v>
      </c>
      <c r="Y1282" s="2">
        <f t="shared" si="157"/>
        <v>1.3322676295501878E-15</v>
      </c>
      <c r="Z1282" s="2" t="str">
        <f t="shared" si="158"/>
        <v>OK</v>
      </c>
      <c r="AA1282" t="str">
        <f t="shared" si="159"/>
        <v>Unique</v>
      </c>
    </row>
    <row r="1283" spans="1:27" x14ac:dyDescent="0.3">
      <c r="A1283">
        <v>1282</v>
      </c>
      <c r="B1283">
        <v>926299.17502169497</v>
      </c>
      <c r="C1283">
        <v>0.78328127016172699</v>
      </c>
      <c r="D1283">
        <v>4.3677550680044197E-2</v>
      </c>
      <c r="E1283">
        <v>5.1798604270578197E-2</v>
      </c>
      <c r="F1283">
        <v>1</v>
      </c>
      <c r="G1283" t="s">
        <v>13</v>
      </c>
      <c r="H1283">
        <v>1</v>
      </c>
      <c r="I1283">
        <v>47981.004403111903</v>
      </c>
      <c r="J1283">
        <v>0.94820139572942097</v>
      </c>
      <c r="K1283" t="str">
        <f t="shared" ref="K1283:K1346" si="160">IF(OR(J1283&lt;0,J1283&gt;1),"Error","OK")</f>
        <v>OK</v>
      </c>
      <c r="L1283" t="str">
        <f t="shared" ref="L1283:L1346" si="161">IF(I1283&gt;B1283,"Error","OK")</f>
        <v>OK</v>
      </c>
      <c r="M1283" t="str">
        <f>IF(OR(B1283&lt;$AE$20,B1283&gt;$AF$20),"Outlier","OK")</f>
        <v>OK</v>
      </c>
      <c r="N1283" t="str">
        <f>IF(OR(J1283&lt;$AE$21,J1283&gt;$AF$21),"Outlier","OK")</f>
        <v>OK</v>
      </c>
      <c r="O1283" t="str">
        <f>IF(OR(C1283&lt;0,C1283&gt;1),"Outlier","OK")</f>
        <v>OK</v>
      </c>
      <c r="P1283" t="str">
        <f>IF(OR(D1283&lt;0,D1283&gt;1),"Outlier","OK")</f>
        <v>OK</v>
      </c>
      <c r="Q1283" t="str">
        <f t="shared" ref="Q1283:Q1346" si="162">IF(J1283&lt;=0.2,"0-20%",
 IF(J1283&lt;=0.4,"20-40%",
 IF(J1283&lt;=0.6,"40-60%",
 IF(J1283&lt;=0.8,"60-80%","80-100%"))))</f>
        <v>80-100%</v>
      </c>
      <c r="R1283" t="str">
        <f>IF(B1283="","Missing","OK")</f>
        <v>OK</v>
      </c>
      <c r="S1283" t="str">
        <f>IF(E1283="","Missing","OK")</f>
        <v>OK</v>
      </c>
      <c r="T1283" t="str">
        <f t="shared" ref="T1283:T1346" si="163">IF(J1283="","Missing","OK")</f>
        <v>OK</v>
      </c>
      <c r="U1283">
        <f>COUNTIF($A:$A,A1283)</f>
        <v>1</v>
      </c>
      <c r="V1283" t="str">
        <f t="shared" ref="V1283:V1346" si="164">IF(OR(J1283&lt;0,J1283&gt;1),"ERROR","OK")</f>
        <v>OK</v>
      </c>
      <c r="W1283" t="str">
        <f>IF(I1283&gt;B1283,"ERROR","OK")</f>
        <v>OK</v>
      </c>
      <c r="X1283">
        <f>(B1283-I1283)/B1283</f>
        <v>0.94820139572942175</v>
      </c>
      <c r="Y1283" s="2">
        <f t="shared" ref="Y1283:Y1346" si="165">ABS(J1283-X1283)</f>
        <v>7.7715611723760958E-16</v>
      </c>
      <c r="Z1283" s="2" t="str">
        <f t="shared" ref="Z1283:Z1346" si="166">IF(OR(B1283="",I1283="",J1283=""),"Missing","OK")</f>
        <v>OK</v>
      </c>
      <c r="AA1283" t="str">
        <f t="shared" ref="AA1283:AA1346" si="167">IF(COUNTIF($A:$A,A1283)&gt;1,"Duplicate","Unique")</f>
        <v>Unique</v>
      </c>
    </row>
    <row r="1284" spans="1:27" x14ac:dyDescent="0.3">
      <c r="A1284">
        <v>1283</v>
      </c>
      <c r="B1284">
        <v>1108510.87549776</v>
      </c>
      <c r="C1284">
        <v>0.68533941589234304</v>
      </c>
      <c r="D1284">
        <v>-0.148115583781397</v>
      </c>
      <c r="E1284">
        <v>0.13376725025140901</v>
      </c>
      <c r="F1284">
        <v>1</v>
      </c>
      <c r="G1284" t="s">
        <v>10</v>
      </c>
      <c r="H1284">
        <v>0</v>
      </c>
      <c r="I1284">
        <v>148282.451689118</v>
      </c>
      <c r="J1284">
        <v>0.86623274974858999</v>
      </c>
      <c r="K1284" t="str">
        <f t="shared" si="160"/>
        <v>OK</v>
      </c>
      <c r="L1284" t="str">
        <f t="shared" si="161"/>
        <v>OK</v>
      </c>
      <c r="M1284" t="str">
        <f>IF(OR(B1284&lt;$AE$20,B1284&gt;$AF$20),"Outlier","OK")</f>
        <v>OK</v>
      </c>
      <c r="N1284" t="str">
        <f>IF(OR(J1284&lt;$AE$21,J1284&gt;$AF$21),"Outlier","OK")</f>
        <v>OK</v>
      </c>
      <c r="O1284" t="str">
        <f>IF(OR(C1284&lt;0,C1284&gt;1),"Outlier","OK")</f>
        <v>OK</v>
      </c>
      <c r="P1284" t="str">
        <f>IF(OR(D1284&lt;0,D1284&gt;1),"Outlier","OK")</f>
        <v>Outlier</v>
      </c>
      <c r="Q1284" t="str">
        <f t="shared" si="162"/>
        <v>80-100%</v>
      </c>
      <c r="R1284" t="str">
        <f>IF(B1284="","Missing","OK")</f>
        <v>OK</v>
      </c>
      <c r="S1284" t="str">
        <f>IF(E1284="","Missing","OK")</f>
        <v>OK</v>
      </c>
      <c r="T1284" t="str">
        <f t="shared" si="163"/>
        <v>OK</v>
      </c>
      <c r="U1284">
        <f>COUNTIF($A:$A,A1284)</f>
        <v>1</v>
      </c>
      <c r="V1284" t="str">
        <f t="shared" si="164"/>
        <v>OK</v>
      </c>
      <c r="W1284" t="str">
        <f>IF(I1284&gt;B1284,"ERROR","OK")</f>
        <v>OK</v>
      </c>
      <c r="X1284">
        <f>(B1284-I1284)/B1284</f>
        <v>0.86623274974859032</v>
      </c>
      <c r="Y1284" s="2">
        <f t="shared" si="165"/>
        <v>3.3306690738754696E-16</v>
      </c>
      <c r="Z1284" s="2" t="str">
        <f t="shared" si="166"/>
        <v>OK</v>
      </c>
      <c r="AA1284" t="str">
        <f t="shared" si="167"/>
        <v>Unique</v>
      </c>
    </row>
    <row r="1285" spans="1:27" x14ac:dyDescent="0.3">
      <c r="A1285">
        <v>1284</v>
      </c>
      <c r="B1285">
        <v>347288.6038936</v>
      </c>
      <c r="C1285">
        <v>0.73807249204562897</v>
      </c>
      <c r="D1285">
        <v>-9.7231228561585295E-2</v>
      </c>
      <c r="E1285">
        <v>0.16669590341108001</v>
      </c>
      <c r="F1285">
        <v>1</v>
      </c>
      <c r="G1285" t="s">
        <v>12</v>
      </c>
      <c r="H1285">
        <v>1</v>
      </c>
      <c r="I1285">
        <v>57891.587570416501</v>
      </c>
      <c r="J1285">
        <v>0.83330409658891902</v>
      </c>
      <c r="K1285" t="str">
        <f t="shared" si="160"/>
        <v>OK</v>
      </c>
      <c r="L1285" t="str">
        <f t="shared" si="161"/>
        <v>OK</v>
      </c>
      <c r="M1285" t="str">
        <f>IF(OR(B1285&lt;$AE$20,B1285&gt;$AF$20),"Outlier","OK")</f>
        <v>OK</v>
      </c>
      <c r="N1285" t="str">
        <f>IF(OR(J1285&lt;$AE$21,J1285&gt;$AF$21),"Outlier","OK")</f>
        <v>OK</v>
      </c>
      <c r="O1285" t="str">
        <f>IF(OR(C1285&lt;0,C1285&gt;1),"Outlier","OK")</f>
        <v>OK</v>
      </c>
      <c r="P1285" t="str">
        <f>IF(OR(D1285&lt;0,D1285&gt;1),"Outlier","OK")</f>
        <v>Outlier</v>
      </c>
      <c r="Q1285" t="str">
        <f t="shared" si="162"/>
        <v>80-100%</v>
      </c>
      <c r="R1285" t="str">
        <f>IF(B1285="","Missing","OK")</f>
        <v>OK</v>
      </c>
      <c r="S1285" t="str">
        <f>IF(E1285="","Missing","OK")</f>
        <v>OK</v>
      </c>
      <c r="T1285" t="str">
        <f t="shared" si="163"/>
        <v>OK</v>
      </c>
      <c r="U1285">
        <f>COUNTIF($A:$A,A1285)</f>
        <v>1</v>
      </c>
      <c r="V1285" t="str">
        <f t="shared" si="164"/>
        <v>OK</v>
      </c>
      <c r="W1285" t="str">
        <f>IF(I1285&gt;B1285,"ERROR","OK")</f>
        <v>OK</v>
      </c>
      <c r="X1285">
        <f>(B1285-I1285)/B1285</f>
        <v>0.83330409658891957</v>
      </c>
      <c r="Y1285" s="2">
        <f t="shared" si="165"/>
        <v>5.5511151231257827E-16</v>
      </c>
      <c r="Z1285" s="2" t="str">
        <f t="shared" si="166"/>
        <v>OK</v>
      </c>
      <c r="AA1285" t="str">
        <f t="shared" si="167"/>
        <v>Unique</v>
      </c>
    </row>
    <row r="1286" spans="1:27" x14ac:dyDescent="0.3">
      <c r="A1286">
        <v>1285</v>
      </c>
      <c r="B1286">
        <v>987903.20113525901</v>
      </c>
      <c r="C1286">
        <v>0.56128337559626595</v>
      </c>
      <c r="D1286">
        <v>2.05736279112602E-2</v>
      </c>
      <c r="E1286">
        <v>0.30022687143932097</v>
      </c>
      <c r="F1286">
        <v>1</v>
      </c>
      <c r="G1286" t="s">
        <v>12</v>
      </c>
      <c r="H1286">
        <v>0</v>
      </c>
      <c r="I1286">
        <v>296595.08736172901</v>
      </c>
      <c r="J1286">
        <v>0.69977312856067797</v>
      </c>
      <c r="K1286" t="str">
        <f t="shared" si="160"/>
        <v>OK</v>
      </c>
      <c r="L1286" t="str">
        <f t="shared" si="161"/>
        <v>OK</v>
      </c>
      <c r="M1286" t="str">
        <f>IF(OR(B1286&lt;$AE$20,B1286&gt;$AF$20),"Outlier","OK")</f>
        <v>OK</v>
      </c>
      <c r="N1286" t="str">
        <f>IF(OR(J1286&lt;$AE$21,J1286&gt;$AF$21),"Outlier","OK")</f>
        <v>OK</v>
      </c>
      <c r="O1286" t="str">
        <f>IF(OR(C1286&lt;0,C1286&gt;1),"Outlier","OK")</f>
        <v>OK</v>
      </c>
      <c r="P1286" t="str">
        <f>IF(OR(D1286&lt;0,D1286&gt;1),"Outlier","OK")</f>
        <v>OK</v>
      </c>
      <c r="Q1286" t="str">
        <f t="shared" si="162"/>
        <v>60-80%</v>
      </c>
      <c r="R1286" t="str">
        <f>IF(B1286="","Missing","OK")</f>
        <v>OK</v>
      </c>
      <c r="S1286" t="str">
        <f>IF(E1286="","Missing","OK")</f>
        <v>OK</v>
      </c>
      <c r="T1286" t="str">
        <f t="shared" si="163"/>
        <v>OK</v>
      </c>
      <c r="U1286">
        <f>COUNTIF($A:$A,A1286)</f>
        <v>1</v>
      </c>
      <c r="V1286" t="str">
        <f t="shared" si="164"/>
        <v>OK</v>
      </c>
      <c r="W1286" t="str">
        <f>IF(I1286&gt;B1286,"ERROR","OK")</f>
        <v>OK</v>
      </c>
      <c r="X1286">
        <f>(B1286-I1286)/B1286</f>
        <v>0.69977312856067908</v>
      </c>
      <c r="Y1286" s="2">
        <f t="shared" si="165"/>
        <v>1.1102230246251565E-15</v>
      </c>
      <c r="Z1286" s="2" t="str">
        <f t="shared" si="166"/>
        <v>OK</v>
      </c>
      <c r="AA1286" t="str">
        <f t="shared" si="167"/>
        <v>Unique</v>
      </c>
    </row>
    <row r="1287" spans="1:27" x14ac:dyDescent="0.3">
      <c r="A1287">
        <v>1286</v>
      </c>
      <c r="B1287">
        <v>590112.72924599005</v>
      </c>
      <c r="C1287">
        <v>0.41794861877751899</v>
      </c>
      <c r="D1287">
        <v>-0.11117102044609301</v>
      </c>
      <c r="E1287">
        <v>6.2393778522019099E-2</v>
      </c>
      <c r="F1287">
        <v>1</v>
      </c>
      <c r="G1287" t="s">
        <v>13</v>
      </c>
      <c r="H1287">
        <v>0</v>
      </c>
      <c r="I1287">
        <v>36819.362931598502</v>
      </c>
      <c r="J1287">
        <v>0.93760622147798001</v>
      </c>
      <c r="K1287" t="str">
        <f t="shared" si="160"/>
        <v>OK</v>
      </c>
      <c r="L1287" t="str">
        <f t="shared" si="161"/>
        <v>OK</v>
      </c>
      <c r="M1287" t="str">
        <f>IF(OR(B1287&lt;$AE$20,B1287&gt;$AF$20),"Outlier","OK")</f>
        <v>OK</v>
      </c>
      <c r="N1287" t="str">
        <f>IF(OR(J1287&lt;$AE$21,J1287&gt;$AF$21),"Outlier","OK")</f>
        <v>OK</v>
      </c>
      <c r="O1287" t="str">
        <f>IF(OR(C1287&lt;0,C1287&gt;1),"Outlier","OK")</f>
        <v>OK</v>
      </c>
      <c r="P1287" t="str">
        <f>IF(OR(D1287&lt;0,D1287&gt;1),"Outlier","OK")</f>
        <v>Outlier</v>
      </c>
      <c r="Q1287" t="str">
        <f t="shared" si="162"/>
        <v>80-100%</v>
      </c>
      <c r="R1287" t="str">
        <f>IF(B1287="","Missing","OK")</f>
        <v>OK</v>
      </c>
      <c r="S1287" t="str">
        <f>IF(E1287="","Missing","OK")</f>
        <v>OK</v>
      </c>
      <c r="T1287" t="str">
        <f t="shared" si="163"/>
        <v>OK</v>
      </c>
      <c r="U1287">
        <f>COUNTIF($A:$A,A1287)</f>
        <v>1</v>
      </c>
      <c r="V1287" t="str">
        <f t="shared" si="164"/>
        <v>OK</v>
      </c>
      <c r="W1287" t="str">
        <f>IF(I1287&gt;B1287,"ERROR","OK")</f>
        <v>OK</v>
      </c>
      <c r="X1287">
        <f>(B1287-I1287)/B1287</f>
        <v>0.93760622147798101</v>
      </c>
      <c r="Y1287" s="2">
        <f t="shared" si="165"/>
        <v>9.9920072216264089E-16</v>
      </c>
      <c r="Z1287" s="2" t="str">
        <f t="shared" si="166"/>
        <v>OK</v>
      </c>
      <c r="AA1287" t="str">
        <f t="shared" si="167"/>
        <v>Unique</v>
      </c>
    </row>
    <row r="1288" spans="1:27" x14ac:dyDescent="0.3">
      <c r="A1288">
        <v>1287</v>
      </c>
      <c r="B1288">
        <v>1682018.0835446401</v>
      </c>
      <c r="C1288">
        <v>0.62876949728425902</v>
      </c>
      <c r="D1288">
        <v>-6.2414447753359602E-2</v>
      </c>
      <c r="E1288">
        <v>6.5124132040227295E-2</v>
      </c>
      <c r="F1288">
        <v>1</v>
      </c>
      <c r="G1288" t="s">
        <v>12</v>
      </c>
      <c r="H1288">
        <v>0</v>
      </c>
      <c r="I1288">
        <v>109539.96776681099</v>
      </c>
      <c r="J1288">
        <v>0.93487586795977196</v>
      </c>
      <c r="K1288" t="str">
        <f t="shared" si="160"/>
        <v>OK</v>
      </c>
      <c r="L1288" t="str">
        <f t="shared" si="161"/>
        <v>OK</v>
      </c>
      <c r="M1288" t="str">
        <f>IF(OR(B1288&lt;$AE$20,B1288&gt;$AF$20),"Outlier","OK")</f>
        <v>OK</v>
      </c>
      <c r="N1288" t="str">
        <f>IF(OR(J1288&lt;$AE$21,J1288&gt;$AF$21),"Outlier","OK")</f>
        <v>OK</v>
      </c>
      <c r="O1288" t="str">
        <f>IF(OR(C1288&lt;0,C1288&gt;1),"Outlier","OK")</f>
        <v>OK</v>
      </c>
      <c r="P1288" t="str">
        <f>IF(OR(D1288&lt;0,D1288&gt;1),"Outlier","OK")</f>
        <v>Outlier</v>
      </c>
      <c r="Q1288" t="str">
        <f t="shared" si="162"/>
        <v>80-100%</v>
      </c>
      <c r="R1288" t="str">
        <f>IF(B1288="","Missing","OK")</f>
        <v>OK</v>
      </c>
      <c r="S1288" t="str">
        <f>IF(E1288="","Missing","OK")</f>
        <v>OK</v>
      </c>
      <c r="T1288" t="str">
        <f t="shared" si="163"/>
        <v>OK</v>
      </c>
      <c r="U1288">
        <f>COUNTIF($A:$A,A1288)</f>
        <v>1</v>
      </c>
      <c r="V1288" t="str">
        <f t="shared" si="164"/>
        <v>OK</v>
      </c>
      <c r="W1288" t="str">
        <f>IF(I1288&gt;B1288,"ERROR","OK")</f>
        <v>OK</v>
      </c>
      <c r="X1288">
        <f>(B1288-I1288)/B1288</f>
        <v>0.93487586795977284</v>
      </c>
      <c r="Y1288" s="2">
        <f t="shared" si="165"/>
        <v>8.8817841970012523E-16</v>
      </c>
      <c r="Z1288" s="2" t="str">
        <f t="shared" si="166"/>
        <v>OK</v>
      </c>
      <c r="AA1288" t="str">
        <f t="shared" si="167"/>
        <v>Unique</v>
      </c>
    </row>
    <row r="1289" spans="1:27" x14ac:dyDescent="0.3">
      <c r="A1289">
        <v>1288</v>
      </c>
      <c r="B1289">
        <v>726774.01555952802</v>
      </c>
      <c r="C1289">
        <v>0.1183140499011</v>
      </c>
      <c r="D1289">
        <v>-0.15229723395980499</v>
      </c>
      <c r="E1289">
        <v>0.35149389190624702</v>
      </c>
      <c r="F1289">
        <v>1</v>
      </c>
      <c r="G1289" t="s">
        <v>10</v>
      </c>
      <c r="H1289">
        <v>0</v>
      </c>
      <c r="I1289">
        <v>255456.62726534999</v>
      </c>
      <c r="J1289">
        <v>0.64850610809375198</v>
      </c>
      <c r="K1289" t="str">
        <f t="shared" si="160"/>
        <v>OK</v>
      </c>
      <c r="L1289" t="str">
        <f t="shared" si="161"/>
        <v>OK</v>
      </c>
      <c r="M1289" t="str">
        <f>IF(OR(B1289&lt;$AE$20,B1289&gt;$AF$20),"Outlier","OK")</f>
        <v>OK</v>
      </c>
      <c r="N1289" t="str">
        <f>IF(OR(J1289&lt;$AE$21,J1289&gt;$AF$21),"Outlier","OK")</f>
        <v>OK</v>
      </c>
      <c r="O1289" t="str">
        <f>IF(OR(C1289&lt;0,C1289&gt;1),"Outlier","OK")</f>
        <v>OK</v>
      </c>
      <c r="P1289" t="str">
        <f>IF(OR(D1289&lt;0,D1289&gt;1),"Outlier","OK")</f>
        <v>Outlier</v>
      </c>
      <c r="Q1289" t="str">
        <f t="shared" si="162"/>
        <v>60-80%</v>
      </c>
      <c r="R1289" t="str">
        <f>IF(B1289="","Missing","OK")</f>
        <v>OK</v>
      </c>
      <c r="S1289" t="str">
        <f>IF(E1289="","Missing","OK")</f>
        <v>OK</v>
      </c>
      <c r="T1289" t="str">
        <f t="shared" si="163"/>
        <v>OK</v>
      </c>
      <c r="U1289">
        <f>COUNTIF($A:$A,A1289)</f>
        <v>1</v>
      </c>
      <c r="V1289" t="str">
        <f t="shared" si="164"/>
        <v>OK</v>
      </c>
      <c r="W1289" t="str">
        <f>IF(I1289&gt;B1289,"ERROR","OK")</f>
        <v>OK</v>
      </c>
      <c r="X1289">
        <f>(B1289-I1289)/B1289</f>
        <v>0.64850610809375275</v>
      </c>
      <c r="Y1289" s="2">
        <f t="shared" si="165"/>
        <v>7.7715611723760958E-16</v>
      </c>
      <c r="Z1289" s="2" t="str">
        <f t="shared" si="166"/>
        <v>OK</v>
      </c>
      <c r="AA1289" t="str">
        <f t="shared" si="167"/>
        <v>Unique</v>
      </c>
    </row>
    <row r="1290" spans="1:27" x14ac:dyDescent="0.3">
      <c r="A1290">
        <v>1289</v>
      </c>
      <c r="B1290">
        <v>209285.09112039601</v>
      </c>
      <c r="C1290">
        <v>0.63000837148051902</v>
      </c>
      <c r="D1290">
        <v>-5.0475578735309702E-2</v>
      </c>
      <c r="E1290">
        <v>0.30942723255816901</v>
      </c>
      <c r="F1290">
        <v>1</v>
      </c>
      <c r="G1290" t="s">
        <v>11</v>
      </c>
      <c r="H1290">
        <v>0</v>
      </c>
      <c r="I1290">
        <v>64758.506561068498</v>
      </c>
      <c r="J1290">
        <v>0.69057276744183005</v>
      </c>
      <c r="K1290" t="str">
        <f t="shared" si="160"/>
        <v>OK</v>
      </c>
      <c r="L1290" t="str">
        <f t="shared" si="161"/>
        <v>OK</v>
      </c>
      <c r="M1290" t="str">
        <f>IF(OR(B1290&lt;$AE$20,B1290&gt;$AF$20),"Outlier","OK")</f>
        <v>OK</v>
      </c>
      <c r="N1290" t="str">
        <f>IF(OR(J1290&lt;$AE$21,J1290&gt;$AF$21),"Outlier","OK")</f>
        <v>OK</v>
      </c>
      <c r="O1290" t="str">
        <f>IF(OR(C1290&lt;0,C1290&gt;1),"Outlier","OK")</f>
        <v>OK</v>
      </c>
      <c r="P1290" t="str">
        <f>IF(OR(D1290&lt;0,D1290&gt;1),"Outlier","OK")</f>
        <v>Outlier</v>
      </c>
      <c r="Q1290" t="str">
        <f t="shared" si="162"/>
        <v>60-80%</v>
      </c>
      <c r="R1290" t="str">
        <f>IF(B1290="","Missing","OK")</f>
        <v>OK</v>
      </c>
      <c r="S1290" t="str">
        <f>IF(E1290="","Missing","OK")</f>
        <v>OK</v>
      </c>
      <c r="T1290" t="str">
        <f t="shared" si="163"/>
        <v>OK</v>
      </c>
      <c r="U1290">
        <f>COUNTIF($A:$A,A1290)</f>
        <v>1</v>
      </c>
      <c r="V1290" t="str">
        <f t="shared" si="164"/>
        <v>OK</v>
      </c>
      <c r="W1290" t="str">
        <f>IF(I1290&gt;B1290,"ERROR","OK")</f>
        <v>OK</v>
      </c>
      <c r="X1290">
        <f>(B1290-I1290)/B1290</f>
        <v>0.69057276744183038</v>
      </c>
      <c r="Y1290" s="2">
        <f t="shared" si="165"/>
        <v>3.3306690738754696E-16</v>
      </c>
      <c r="Z1290" s="2" t="str">
        <f t="shared" si="166"/>
        <v>OK</v>
      </c>
      <c r="AA1290" t="str">
        <f t="shared" si="167"/>
        <v>Unique</v>
      </c>
    </row>
    <row r="1291" spans="1:27" x14ac:dyDescent="0.3">
      <c r="A1291">
        <v>1290</v>
      </c>
      <c r="B1291">
        <v>69666.566895286596</v>
      </c>
      <c r="C1291">
        <v>0.32747979542196098</v>
      </c>
      <c r="D1291">
        <v>0.100745427194965</v>
      </c>
      <c r="E1291">
        <v>0.18664534401986499</v>
      </c>
      <c r="F1291">
        <v>1</v>
      </c>
      <c r="G1291" t="s">
        <v>12</v>
      </c>
      <c r="H1291">
        <v>0</v>
      </c>
      <c r="I1291">
        <v>13002.9403448537</v>
      </c>
      <c r="J1291">
        <v>0.81335465598013401</v>
      </c>
      <c r="K1291" t="str">
        <f t="shared" si="160"/>
        <v>OK</v>
      </c>
      <c r="L1291" t="str">
        <f t="shared" si="161"/>
        <v>OK</v>
      </c>
      <c r="M1291" t="str">
        <f>IF(OR(B1291&lt;$AE$20,B1291&gt;$AF$20),"Outlier","OK")</f>
        <v>OK</v>
      </c>
      <c r="N1291" t="str">
        <f>IF(OR(J1291&lt;$AE$21,J1291&gt;$AF$21),"Outlier","OK")</f>
        <v>OK</v>
      </c>
      <c r="O1291" t="str">
        <f>IF(OR(C1291&lt;0,C1291&gt;1),"Outlier","OK")</f>
        <v>OK</v>
      </c>
      <c r="P1291" t="str">
        <f>IF(OR(D1291&lt;0,D1291&gt;1),"Outlier","OK")</f>
        <v>OK</v>
      </c>
      <c r="Q1291" t="str">
        <f t="shared" si="162"/>
        <v>80-100%</v>
      </c>
      <c r="R1291" t="str">
        <f>IF(B1291="","Missing","OK")</f>
        <v>OK</v>
      </c>
      <c r="S1291" t="str">
        <f>IF(E1291="","Missing","OK")</f>
        <v>OK</v>
      </c>
      <c r="T1291" t="str">
        <f t="shared" si="163"/>
        <v>OK</v>
      </c>
      <c r="U1291">
        <f>COUNTIF($A:$A,A1291)</f>
        <v>1</v>
      </c>
      <c r="V1291" t="str">
        <f t="shared" si="164"/>
        <v>OK</v>
      </c>
      <c r="W1291" t="str">
        <f>IF(I1291&gt;B1291,"ERROR","OK")</f>
        <v>OK</v>
      </c>
      <c r="X1291">
        <f>(B1291-I1291)/B1291</f>
        <v>0.81335465598013512</v>
      </c>
      <c r="Y1291" s="2">
        <f t="shared" si="165"/>
        <v>1.1102230246251565E-15</v>
      </c>
      <c r="Z1291" s="2" t="str">
        <f t="shared" si="166"/>
        <v>OK</v>
      </c>
      <c r="AA1291" t="str">
        <f t="shared" si="167"/>
        <v>Unique</v>
      </c>
    </row>
    <row r="1292" spans="1:27" x14ac:dyDescent="0.3">
      <c r="A1292">
        <v>1291</v>
      </c>
      <c r="B1292">
        <v>1728059.8007105701</v>
      </c>
      <c r="C1292">
        <v>0.73913801534555601</v>
      </c>
      <c r="D1292">
        <v>7.0834254790419396E-2</v>
      </c>
      <c r="E1292">
        <v>0.22420917159046599</v>
      </c>
      <c r="F1292">
        <v>1</v>
      </c>
      <c r="G1292" t="s">
        <v>11</v>
      </c>
      <c r="H1292">
        <v>0</v>
      </c>
      <c r="I1292">
        <v>387446.85637610301</v>
      </c>
      <c r="J1292">
        <v>0.77579082840953395</v>
      </c>
      <c r="K1292" t="str">
        <f t="shared" si="160"/>
        <v>OK</v>
      </c>
      <c r="L1292" t="str">
        <f t="shared" si="161"/>
        <v>OK</v>
      </c>
      <c r="M1292" t="str">
        <f>IF(OR(B1292&lt;$AE$20,B1292&gt;$AF$20),"Outlier","OK")</f>
        <v>OK</v>
      </c>
      <c r="N1292" t="str">
        <f>IF(OR(J1292&lt;$AE$21,J1292&gt;$AF$21),"Outlier","OK")</f>
        <v>OK</v>
      </c>
      <c r="O1292" t="str">
        <f>IF(OR(C1292&lt;0,C1292&gt;1),"Outlier","OK")</f>
        <v>OK</v>
      </c>
      <c r="P1292" t="str">
        <f>IF(OR(D1292&lt;0,D1292&gt;1),"Outlier","OK")</f>
        <v>OK</v>
      </c>
      <c r="Q1292" t="str">
        <f t="shared" si="162"/>
        <v>60-80%</v>
      </c>
      <c r="R1292" t="str">
        <f>IF(B1292="","Missing","OK")</f>
        <v>OK</v>
      </c>
      <c r="S1292" t="str">
        <f>IF(E1292="","Missing","OK")</f>
        <v>OK</v>
      </c>
      <c r="T1292" t="str">
        <f t="shared" si="163"/>
        <v>OK</v>
      </c>
      <c r="U1292">
        <f>COUNTIF($A:$A,A1292)</f>
        <v>1</v>
      </c>
      <c r="V1292" t="str">
        <f t="shared" si="164"/>
        <v>OK</v>
      </c>
      <c r="W1292" t="str">
        <f>IF(I1292&gt;B1292,"ERROR","OK")</f>
        <v>OK</v>
      </c>
      <c r="X1292">
        <f>(B1292-I1292)/B1292</f>
        <v>0.77579082840953373</v>
      </c>
      <c r="Y1292" s="2">
        <f t="shared" si="165"/>
        <v>2.2204460492503131E-16</v>
      </c>
      <c r="Z1292" s="2" t="str">
        <f t="shared" si="166"/>
        <v>OK</v>
      </c>
      <c r="AA1292" t="str">
        <f t="shared" si="167"/>
        <v>Unique</v>
      </c>
    </row>
    <row r="1293" spans="1:27" x14ac:dyDescent="0.3">
      <c r="A1293">
        <v>1292</v>
      </c>
      <c r="B1293">
        <v>1724749.1419089499</v>
      </c>
      <c r="C1293">
        <v>0.27375584503336697</v>
      </c>
      <c r="D1293">
        <v>0.10370147437965201</v>
      </c>
      <c r="E1293">
        <v>0.30756776557840398</v>
      </c>
      <c r="F1293">
        <v>1</v>
      </c>
      <c r="G1293" t="s">
        <v>11</v>
      </c>
      <c r="H1293">
        <v>1</v>
      </c>
      <c r="I1293">
        <v>530477.23976020503</v>
      </c>
      <c r="J1293">
        <v>0.69243223442159596</v>
      </c>
      <c r="K1293" t="str">
        <f t="shared" si="160"/>
        <v>OK</v>
      </c>
      <c r="L1293" t="str">
        <f t="shared" si="161"/>
        <v>OK</v>
      </c>
      <c r="M1293" t="str">
        <f>IF(OR(B1293&lt;$AE$20,B1293&gt;$AF$20),"Outlier","OK")</f>
        <v>OK</v>
      </c>
      <c r="N1293" t="str">
        <f>IF(OR(J1293&lt;$AE$21,J1293&gt;$AF$21),"Outlier","OK")</f>
        <v>OK</v>
      </c>
      <c r="O1293" t="str">
        <f>IF(OR(C1293&lt;0,C1293&gt;1),"Outlier","OK")</f>
        <v>OK</v>
      </c>
      <c r="P1293" t="str">
        <f>IF(OR(D1293&lt;0,D1293&gt;1),"Outlier","OK")</f>
        <v>OK</v>
      </c>
      <c r="Q1293" t="str">
        <f t="shared" si="162"/>
        <v>60-80%</v>
      </c>
      <c r="R1293" t="str">
        <f>IF(B1293="","Missing","OK")</f>
        <v>OK</v>
      </c>
      <c r="S1293" t="str">
        <f>IF(E1293="","Missing","OK")</f>
        <v>OK</v>
      </c>
      <c r="T1293" t="str">
        <f t="shared" si="163"/>
        <v>OK</v>
      </c>
      <c r="U1293">
        <f>COUNTIF($A:$A,A1293)</f>
        <v>1</v>
      </c>
      <c r="V1293" t="str">
        <f t="shared" si="164"/>
        <v>OK</v>
      </c>
      <c r="W1293" t="str">
        <f>IF(I1293&gt;B1293,"ERROR","OK")</f>
        <v>OK</v>
      </c>
      <c r="X1293">
        <f>(B1293-I1293)/B1293</f>
        <v>0.69243223442159629</v>
      </c>
      <c r="Y1293" s="2">
        <f t="shared" si="165"/>
        <v>3.3306690738754696E-16</v>
      </c>
      <c r="Z1293" s="2" t="str">
        <f t="shared" si="166"/>
        <v>OK</v>
      </c>
      <c r="AA1293" t="str">
        <f t="shared" si="167"/>
        <v>Unique</v>
      </c>
    </row>
    <row r="1294" spans="1:27" x14ac:dyDescent="0.3">
      <c r="A1294">
        <v>1293</v>
      </c>
      <c r="B1294">
        <v>1871472.9758679001</v>
      </c>
      <c r="C1294">
        <v>0.42486176127781</v>
      </c>
      <c r="D1294">
        <v>0.13626419917248001</v>
      </c>
      <c r="E1294">
        <v>0.32308183721016998</v>
      </c>
      <c r="F1294">
        <v>1</v>
      </c>
      <c r="G1294" t="s">
        <v>12</v>
      </c>
      <c r="H1294">
        <v>0</v>
      </c>
      <c r="I1294">
        <v>604638.92733258801</v>
      </c>
      <c r="J1294">
        <v>0.67691816278982897</v>
      </c>
      <c r="K1294" t="str">
        <f t="shared" si="160"/>
        <v>OK</v>
      </c>
      <c r="L1294" t="str">
        <f t="shared" si="161"/>
        <v>OK</v>
      </c>
      <c r="M1294" t="str">
        <f>IF(OR(B1294&lt;$AE$20,B1294&gt;$AF$20),"Outlier","OK")</f>
        <v>OK</v>
      </c>
      <c r="N1294" t="str">
        <f>IF(OR(J1294&lt;$AE$21,J1294&gt;$AF$21),"Outlier","OK")</f>
        <v>OK</v>
      </c>
      <c r="O1294" t="str">
        <f>IF(OR(C1294&lt;0,C1294&gt;1),"Outlier","OK")</f>
        <v>OK</v>
      </c>
      <c r="P1294" t="str">
        <f>IF(OR(D1294&lt;0,D1294&gt;1),"Outlier","OK")</f>
        <v>OK</v>
      </c>
      <c r="Q1294" t="str">
        <f t="shared" si="162"/>
        <v>60-80%</v>
      </c>
      <c r="R1294" t="str">
        <f>IF(B1294="","Missing","OK")</f>
        <v>OK</v>
      </c>
      <c r="S1294" t="str">
        <f>IF(E1294="","Missing","OK")</f>
        <v>OK</v>
      </c>
      <c r="T1294" t="str">
        <f t="shared" si="163"/>
        <v>OK</v>
      </c>
      <c r="U1294">
        <f>COUNTIF($A:$A,A1294)</f>
        <v>1</v>
      </c>
      <c r="V1294" t="str">
        <f t="shared" si="164"/>
        <v>OK</v>
      </c>
      <c r="W1294" t="str">
        <f>IF(I1294&gt;B1294,"ERROR","OK")</f>
        <v>OK</v>
      </c>
      <c r="X1294">
        <f>(B1294-I1294)/B1294</f>
        <v>0.67691816278982853</v>
      </c>
      <c r="Y1294" s="2">
        <f t="shared" si="165"/>
        <v>4.4408920985006262E-16</v>
      </c>
      <c r="Z1294" s="2" t="str">
        <f t="shared" si="166"/>
        <v>OK</v>
      </c>
      <c r="AA1294" t="str">
        <f t="shared" si="167"/>
        <v>Unique</v>
      </c>
    </row>
    <row r="1295" spans="1:27" x14ac:dyDescent="0.3">
      <c r="A1295">
        <v>1294</v>
      </c>
      <c r="B1295">
        <v>191463.78929775601</v>
      </c>
      <c r="C1295">
        <v>0.24714257560019101</v>
      </c>
      <c r="D1295">
        <v>-0.115998512755556</v>
      </c>
      <c r="E1295">
        <v>0.39641279647827399</v>
      </c>
      <c r="F1295">
        <v>1</v>
      </c>
      <c r="G1295" t="s">
        <v>12</v>
      </c>
      <c r="H1295">
        <v>0</v>
      </c>
      <c r="I1295">
        <v>75898.696139850901</v>
      </c>
      <c r="J1295">
        <v>0.60358720352172501</v>
      </c>
      <c r="K1295" t="str">
        <f t="shared" si="160"/>
        <v>OK</v>
      </c>
      <c r="L1295" t="str">
        <f t="shared" si="161"/>
        <v>OK</v>
      </c>
      <c r="M1295" t="str">
        <f>IF(OR(B1295&lt;$AE$20,B1295&gt;$AF$20),"Outlier","OK")</f>
        <v>OK</v>
      </c>
      <c r="N1295" t="str">
        <f>IF(OR(J1295&lt;$AE$21,J1295&gt;$AF$21),"Outlier","OK")</f>
        <v>OK</v>
      </c>
      <c r="O1295" t="str">
        <f>IF(OR(C1295&lt;0,C1295&gt;1),"Outlier","OK")</f>
        <v>OK</v>
      </c>
      <c r="P1295" t="str">
        <f>IF(OR(D1295&lt;0,D1295&gt;1),"Outlier","OK")</f>
        <v>Outlier</v>
      </c>
      <c r="Q1295" t="str">
        <f t="shared" si="162"/>
        <v>60-80%</v>
      </c>
      <c r="R1295" t="str">
        <f>IF(B1295="","Missing","OK")</f>
        <v>OK</v>
      </c>
      <c r="S1295" t="str">
        <f>IF(E1295="","Missing","OK")</f>
        <v>OK</v>
      </c>
      <c r="T1295" t="str">
        <f t="shared" si="163"/>
        <v>OK</v>
      </c>
      <c r="U1295">
        <f>COUNTIF($A:$A,A1295)</f>
        <v>1</v>
      </c>
      <c r="V1295" t="str">
        <f t="shared" si="164"/>
        <v>OK</v>
      </c>
      <c r="W1295" t="str">
        <f>IF(I1295&gt;B1295,"ERROR","OK")</f>
        <v>OK</v>
      </c>
      <c r="X1295">
        <f>(B1295-I1295)/B1295</f>
        <v>0.6035872035217239</v>
      </c>
      <c r="Y1295" s="2">
        <f t="shared" si="165"/>
        <v>1.1102230246251565E-15</v>
      </c>
      <c r="Z1295" s="2" t="str">
        <f t="shared" si="166"/>
        <v>OK</v>
      </c>
      <c r="AA1295" t="str">
        <f t="shared" si="167"/>
        <v>Unique</v>
      </c>
    </row>
    <row r="1296" spans="1:27" x14ac:dyDescent="0.3">
      <c r="A1296">
        <v>1295</v>
      </c>
      <c r="B1296">
        <v>819779.36598065204</v>
      </c>
      <c r="C1296">
        <v>0.515336326411862</v>
      </c>
      <c r="D1296">
        <v>-0.17114586366002499</v>
      </c>
      <c r="E1296">
        <v>0.712217575039505</v>
      </c>
      <c r="F1296">
        <v>1</v>
      </c>
      <c r="G1296" t="s">
        <v>12</v>
      </c>
      <c r="H1296">
        <v>0</v>
      </c>
      <c r="I1296">
        <v>583861.27210616297</v>
      </c>
      <c r="J1296">
        <v>0.287782424960494</v>
      </c>
      <c r="K1296" t="str">
        <f t="shared" si="160"/>
        <v>OK</v>
      </c>
      <c r="L1296" t="str">
        <f t="shared" si="161"/>
        <v>OK</v>
      </c>
      <c r="M1296" t="str">
        <f>IF(OR(B1296&lt;$AE$20,B1296&gt;$AF$20),"Outlier","OK")</f>
        <v>OK</v>
      </c>
      <c r="N1296" t="str">
        <f>IF(OR(J1296&lt;$AE$21,J1296&gt;$AF$21),"Outlier","OK")</f>
        <v>Outlier</v>
      </c>
      <c r="O1296" t="str">
        <f>IF(OR(C1296&lt;0,C1296&gt;1),"Outlier","OK")</f>
        <v>OK</v>
      </c>
      <c r="P1296" t="str">
        <f>IF(OR(D1296&lt;0,D1296&gt;1),"Outlier","OK")</f>
        <v>Outlier</v>
      </c>
      <c r="Q1296" t="str">
        <f t="shared" si="162"/>
        <v>20-40%</v>
      </c>
      <c r="R1296" t="str">
        <f>IF(B1296="","Missing","OK")</f>
        <v>OK</v>
      </c>
      <c r="S1296" t="str">
        <f>IF(E1296="","Missing","OK")</f>
        <v>OK</v>
      </c>
      <c r="T1296" t="str">
        <f t="shared" si="163"/>
        <v>OK</v>
      </c>
      <c r="U1296">
        <f>COUNTIF($A:$A,A1296)</f>
        <v>1</v>
      </c>
      <c r="V1296" t="str">
        <f t="shared" si="164"/>
        <v>OK</v>
      </c>
      <c r="W1296" t="str">
        <f>IF(I1296&gt;B1296,"ERROR","OK")</f>
        <v>OK</v>
      </c>
      <c r="X1296">
        <f>(B1296-I1296)/B1296</f>
        <v>0.28778242496049489</v>
      </c>
      <c r="Y1296" s="2">
        <f t="shared" si="165"/>
        <v>8.8817841970012523E-16</v>
      </c>
      <c r="Z1296" s="2" t="str">
        <f t="shared" si="166"/>
        <v>OK</v>
      </c>
      <c r="AA1296" t="str">
        <f t="shared" si="167"/>
        <v>Unique</v>
      </c>
    </row>
    <row r="1297" spans="1:27" x14ac:dyDescent="0.3">
      <c r="A1297">
        <v>1296</v>
      </c>
      <c r="B1297">
        <v>884978.18990094506</v>
      </c>
      <c r="C1297">
        <v>0.56700943849472996</v>
      </c>
      <c r="D1297">
        <v>0.18310876926082101</v>
      </c>
      <c r="E1297">
        <v>0.450438524065982</v>
      </c>
      <c r="F1297">
        <v>1</v>
      </c>
      <c r="G1297" t="s">
        <v>10</v>
      </c>
      <c r="H1297">
        <v>1</v>
      </c>
      <c r="I1297">
        <v>398628.26968956698</v>
      </c>
      <c r="J1297">
        <v>0.54956147593401705</v>
      </c>
      <c r="K1297" t="str">
        <f t="shared" si="160"/>
        <v>OK</v>
      </c>
      <c r="L1297" t="str">
        <f t="shared" si="161"/>
        <v>OK</v>
      </c>
      <c r="M1297" t="str">
        <f>IF(OR(B1297&lt;$AE$20,B1297&gt;$AF$20),"Outlier","OK")</f>
        <v>OK</v>
      </c>
      <c r="N1297" t="str">
        <f>IF(OR(J1297&lt;$AE$21,J1297&gt;$AF$21),"Outlier","OK")</f>
        <v>OK</v>
      </c>
      <c r="O1297" t="str">
        <f>IF(OR(C1297&lt;0,C1297&gt;1),"Outlier","OK")</f>
        <v>OK</v>
      </c>
      <c r="P1297" t="str">
        <f>IF(OR(D1297&lt;0,D1297&gt;1),"Outlier","OK")</f>
        <v>OK</v>
      </c>
      <c r="Q1297" t="str">
        <f t="shared" si="162"/>
        <v>40-60%</v>
      </c>
      <c r="R1297" t="str">
        <f>IF(B1297="","Missing","OK")</f>
        <v>OK</v>
      </c>
      <c r="S1297" t="str">
        <f>IF(E1297="","Missing","OK")</f>
        <v>OK</v>
      </c>
      <c r="T1297" t="str">
        <f t="shared" si="163"/>
        <v>OK</v>
      </c>
      <c r="U1297">
        <f>COUNTIF($A:$A,A1297)</f>
        <v>1</v>
      </c>
      <c r="V1297" t="str">
        <f t="shared" si="164"/>
        <v>OK</v>
      </c>
      <c r="W1297" t="str">
        <f>IF(I1297&gt;B1297,"ERROR","OK")</f>
        <v>OK</v>
      </c>
      <c r="X1297">
        <f>(B1297-I1297)/B1297</f>
        <v>0.54956147593401694</v>
      </c>
      <c r="Y1297" s="2">
        <f t="shared" si="165"/>
        <v>1.1102230246251565E-16</v>
      </c>
      <c r="Z1297" s="2" t="str">
        <f t="shared" si="166"/>
        <v>OK</v>
      </c>
      <c r="AA1297" t="str">
        <f t="shared" si="167"/>
        <v>Unique</v>
      </c>
    </row>
    <row r="1298" spans="1:27" x14ac:dyDescent="0.3">
      <c r="A1298">
        <v>1297</v>
      </c>
      <c r="B1298">
        <v>1728723.37894657</v>
      </c>
      <c r="C1298">
        <v>0.67427334212440104</v>
      </c>
      <c r="D1298">
        <v>-0.145982569376436</v>
      </c>
      <c r="E1298">
        <v>0.17110080785020601</v>
      </c>
      <c r="F1298">
        <v>1</v>
      </c>
      <c r="G1298" t="s">
        <v>11</v>
      </c>
      <c r="H1298">
        <v>0</v>
      </c>
      <c r="I1298">
        <v>295785.96668729797</v>
      </c>
      <c r="J1298">
        <v>0.82889919214979302</v>
      </c>
      <c r="K1298" t="str">
        <f t="shared" si="160"/>
        <v>OK</v>
      </c>
      <c r="L1298" t="str">
        <f t="shared" si="161"/>
        <v>OK</v>
      </c>
      <c r="M1298" t="str">
        <f>IF(OR(B1298&lt;$AE$20,B1298&gt;$AF$20),"Outlier","OK")</f>
        <v>OK</v>
      </c>
      <c r="N1298" t="str">
        <f>IF(OR(J1298&lt;$AE$21,J1298&gt;$AF$21),"Outlier","OK")</f>
        <v>OK</v>
      </c>
      <c r="O1298" t="str">
        <f>IF(OR(C1298&lt;0,C1298&gt;1),"Outlier","OK")</f>
        <v>OK</v>
      </c>
      <c r="P1298" t="str">
        <f>IF(OR(D1298&lt;0,D1298&gt;1),"Outlier","OK")</f>
        <v>Outlier</v>
      </c>
      <c r="Q1298" t="str">
        <f t="shared" si="162"/>
        <v>80-100%</v>
      </c>
      <c r="R1298" t="str">
        <f>IF(B1298="","Missing","OK")</f>
        <v>OK</v>
      </c>
      <c r="S1298" t="str">
        <f>IF(E1298="","Missing","OK")</f>
        <v>OK</v>
      </c>
      <c r="T1298" t="str">
        <f t="shared" si="163"/>
        <v>OK</v>
      </c>
      <c r="U1298">
        <f>COUNTIF($A:$A,A1298)</f>
        <v>1</v>
      </c>
      <c r="V1298" t="str">
        <f t="shared" si="164"/>
        <v>OK</v>
      </c>
      <c r="W1298" t="str">
        <f>IF(I1298&gt;B1298,"ERROR","OK")</f>
        <v>OK</v>
      </c>
      <c r="X1298">
        <f>(B1298-I1298)/B1298</f>
        <v>0.8288991921497928</v>
      </c>
      <c r="Y1298" s="2">
        <f t="shared" si="165"/>
        <v>2.2204460492503131E-16</v>
      </c>
      <c r="Z1298" s="2" t="str">
        <f t="shared" si="166"/>
        <v>OK</v>
      </c>
      <c r="AA1298" t="str">
        <f t="shared" si="167"/>
        <v>Unique</v>
      </c>
    </row>
    <row r="1299" spans="1:27" x14ac:dyDescent="0.3">
      <c r="A1299">
        <v>1298</v>
      </c>
      <c r="B1299">
        <v>559769.765395544</v>
      </c>
      <c r="C1299">
        <v>0.223849592669395</v>
      </c>
      <c r="D1299">
        <v>0.121027281028945</v>
      </c>
      <c r="E1299">
        <v>0.39923667366885202</v>
      </c>
      <c r="F1299">
        <v>1</v>
      </c>
      <c r="G1299" t="s">
        <v>10</v>
      </c>
      <c r="H1299">
        <v>1</v>
      </c>
      <c r="I1299">
        <v>223480.61915691101</v>
      </c>
      <c r="J1299">
        <v>0.60076332633114704</v>
      </c>
      <c r="K1299" t="str">
        <f t="shared" si="160"/>
        <v>OK</v>
      </c>
      <c r="L1299" t="str">
        <f t="shared" si="161"/>
        <v>OK</v>
      </c>
      <c r="M1299" t="str">
        <f>IF(OR(B1299&lt;$AE$20,B1299&gt;$AF$20),"Outlier","OK")</f>
        <v>OK</v>
      </c>
      <c r="N1299" t="str">
        <f>IF(OR(J1299&lt;$AE$21,J1299&gt;$AF$21),"Outlier","OK")</f>
        <v>OK</v>
      </c>
      <c r="O1299" t="str">
        <f>IF(OR(C1299&lt;0,C1299&gt;1),"Outlier","OK")</f>
        <v>OK</v>
      </c>
      <c r="P1299" t="str">
        <f>IF(OR(D1299&lt;0,D1299&gt;1),"Outlier","OK")</f>
        <v>OK</v>
      </c>
      <c r="Q1299" t="str">
        <f t="shared" si="162"/>
        <v>60-80%</v>
      </c>
      <c r="R1299" t="str">
        <f>IF(B1299="","Missing","OK")</f>
        <v>OK</v>
      </c>
      <c r="S1299" t="str">
        <f>IF(E1299="","Missing","OK")</f>
        <v>OK</v>
      </c>
      <c r="T1299" t="str">
        <f t="shared" si="163"/>
        <v>OK</v>
      </c>
      <c r="U1299">
        <f>COUNTIF($A:$A,A1299)</f>
        <v>1</v>
      </c>
      <c r="V1299" t="str">
        <f t="shared" si="164"/>
        <v>OK</v>
      </c>
      <c r="W1299" t="str">
        <f>IF(I1299&gt;B1299,"ERROR","OK")</f>
        <v>OK</v>
      </c>
      <c r="X1299">
        <f>(B1299-I1299)/B1299</f>
        <v>0.60076332633114726</v>
      </c>
      <c r="Y1299" s="2">
        <f t="shared" si="165"/>
        <v>2.2204460492503131E-16</v>
      </c>
      <c r="Z1299" s="2" t="str">
        <f t="shared" si="166"/>
        <v>OK</v>
      </c>
      <c r="AA1299" t="str">
        <f t="shared" si="167"/>
        <v>Unique</v>
      </c>
    </row>
    <row r="1300" spans="1:27" x14ac:dyDescent="0.3">
      <c r="A1300">
        <v>1299</v>
      </c>
      <c r="B1300">
        <v>639298.57610593899</v>
      </c>
      <c r="C1300">
        <v>0.712039148640771</v>
      </c>
      <c r="D1300">
        <v>-2.8386071464412299E-2</v>
      </c>
      <c r="E1300">
        <v>0.289977549026329</v>
      </c>
      <c r="F1300">
        <v>1</v>
      </c>
      <c r="G1300" t="s">
        <v>10</v>
      </c>
      <c r="H1300">
        <v>0</v>
      </c>
      <c r="I1300">
        <v>185382.234195222</v>
      </c>
      <c r="J1300">
        <v>0.71002245097367001</v>
      </c>
      <c r="K1300" t="str">
        <f t="shared" si="160"/>
        <v>OK</v>
      </c>
      <c r="L1300" t="str">
        <f t="shared" si="161"/>
        <v>OK</v>
      </c>
      <c r="M1300" t="str">
        <f>IF(OR(B1300&lt;$AE$20,B1300&gt;$AF$20),"Outlier","OK")</f>
        <v>OK</v>
      </c>
      <c r="N1300" t="str">
        <f>IF(OR(J1300&lt;$AE$21,J1300&gt;$AF$21),"Outlier","OK")</f>
        <v>OK</v>
      </c>
      <c r="O1300" t="str">
        <f>IF(OR(C1300&lt;0,C1300&gt;1),"Outlier","OK")</f>
        <v>OK</v>
      </c>
      <c r="P1300" t="str">
        <f>IF(OR(D1300&lt;0,D1300&gt;1),"Outlier","OK")</f>
        <v>Outlier</v>
      </c>
      <c r="Q1300" t="str">
        <f t="shared" si="162"/>
        <v>60-80%</v>
      </c>
      <c r="R1300" t="str">
        <f>IF(B1300="","Missing","OK")</f>
        <v>OK</v>
      </c>
      <c r="S1300" t="str">
        <f>IF(E1300="","Missing","OK")</f>
        <v>OK</v>
      </c>
      <c r="T1300" t="str">
        <f t="shared" si="163"/>
        <v>OK</v>
      </c>
      <c r="U1300">
        <f>COUNTIF($A:$A,A1300)</f>
        <v>1</v>
      </c>
      <c r="V1300" t="str">
        <f t="shared" si="164"/>
        <v>OK</v>
      </c>
      <c r="W1300" t="str">
        <f>IF(I1300&gt;B1300,"ERROR","OK")</f>
        <v>OK</v>
      </c>
      <c r="X1300">
        <f>(B1300-I1300)/B1300</f>
        <v>0.71002245097367134</v>
      </c>
      <c r="Y1300" s="2">
        <f t="shared" si="165"/>
        <v>1.3322676295501878E-15</v>
      </c>
      <c r="Z1300" s="2" t="str">
        <f t="shared" si="166"/>
        <v>OK</v>
      </c>
      <c r="AA1300" t="str">
        <f t="shared" si="167"/>
        <v>Unique</v>
      </c>
    </row>
    <row r="1301" spans="1:27" x14ac:dyDescent="0.3">
      <c r="A1301">
        <v>1300</v>
      </c>
      <c r="B1301">
        <v>1478818.1749159701</v>
      </c>
      <c r="C1301">
        <v>0.41535502793754098</v>
      </c>
      <c r="D1301">
        <v>2.2978459062014699E-2</v>
      </c>
      <c r="E1301">
        <v>5.24573347873016E-2</v>
      </c>
      <c r="F1301">
        <v>1</v>
      </c>
      <c r="G1301" t="s">
        <v>12</v>
      </c>
      <c r="H1301">
        <v>0</v>
      </c>
      <c r="I1301">
        <v>77574.860091113398</v>
      </c>
      <c r="J1301">
        <v>0.94754266521269803</v>
      </c>
      <c r="K1301" t="str">
        <f t="shared" si="160"/>
        <v>OK</v>
      </c>
      <c r="L1301" t="str">
        <f t="shared" si="161"/>
        <v>OK</v>
      </c>
      <c r="M1301" t="str">
        <f>IF(OR(B1301&lt;$AE$20,B1301&gt;$AF$20),"Outlier","OK")</f>
        <v>OK</v>
      </c>
      <c r="N1301" t="str">
        <f>IF(OR(J1301&lt;$AE$21,J1301&gt;$AF$21),"Outlier","OK")</f>
        <v>OK</v>
      </c>
      <c r="O1301" t="str">
        <f>IF(OR(C1301&lt;0,C1301&gt;1),"Outlier","OK")</f>
        <v>OK</v>
      </c>
      <c r="P1301" t="str">
        <f>IF(OR(D1301&lt;0,D1301&gt;1),"Outlier","OK")</f>
        <v>OK</v>
      </c>
      <c r="Q1301" t="str">
        <f t="shared" si="162"/>
        <v>80-100%</v>
      </c>
      <c r="R1301" t="str">
        <f>IF(B1301="","Missing","OK")</f>
        <v>OK</v>
      </c>
      <c r="S1301" t="str">
        <f>IF(E1301="","Missing","OK")</f>
        <v>OK</v>
      </c>
      <c r="T1301" t="str">
        <f t="shared" si="163"/>
        <v>OK</v>
      </c>
      <c r="U1301">
        <f>COUNTIF($A:$A,A1301)</f>
        <v>1</v>
      </c>
      <c r="V1301" t="str">
        <f t="shared" si="164"/>
        <v>OK</v>
      </c>
      <c r="W1301" t="str">
        <f>IF(I1301&gt;B1301,"ERROR","OK")</f>
        <v>OK</v>
      </c>
      <c r="X1301">
        <f>(B1301-I1301)/B1301</f>
        <v>0.94754266521269837</v>
      </c>
      <c r="Y1301" s="2">
        <f t="shared" si="165"/>
        <v>3.3306690738754696E-16</v>
      </c>
      <c r="Z1301" s="2" t="str">
        <f t="shared" si="166"/>
        <v>OK</v>
      </c>
      <c r="AA1301" t="str">
        <f t="shared" si="167"/>
        <v>Unique</v>
      </c>
    </row>
    <row r="1302" spans="1:27" x14ac:dyDescent="0.3">
      <c r="A1302">
        <v>1301</v>
      </c>
      <c r="B1302">
        <v>401102.35673792899</v>
      </c>
      <c r="C1302">
        <v>0.63901060660289999</v>
      </c>
      <c r="D1302">
        <v>-0.14340697911963601</v>
      </c>
      <c r="E1302">
        <v>0.17988375424587699</v>
      </c>
      <c r="F1302">
        <v>1</v>
      </c>
      <c r="G1302" t="s">
        <v>12</v>
      </c>
      <c r="H1302">
        <v>0</v>
      </c>
      <c r="I1302">
        <v>72151.797766887903</v>
      </c>
      <c r="J1302">
        <v>0.82011624575412201</v>
      </c>
      <c r="K1302" t="str">
        <f t="shared" si="160"/>
        <v>OK</v>
      </c>
      <c r="L1302" t="str">
        <f t="shared" si="161"/>
        <v>OK</v>
      </c>
      <c r="M1302" t="str">
        <f>IF(OR(B1302&lt;$AE$20,B1302&gt;$AF$20),"Outlier","OK")</f>
        <v>OK</v>
      </c>
      <c r="N1302" t="str">
        <f>IF(OR(J1302&lt;$AE$21,J1302&gt;$AF$21),"Outlier","OK")</f>
        <v>OK</v>
      </c>
      <c r="O1302" t="str">
        <f>IF(OR(C1302&lt;0,C1302&gt;1),"Outlier","OK")</f>
        <v>OK</v>
      </c>
      <c r="P1302" t="str">
        <f>IF(OR(D1302&lt;0,D1302&gt;1),"Outlier","OK")</f>
        <v>Outlier</v>
      </c>
      <c r="Q1302" t="str">
        <f t="shared" si="162"/>
        <v>80-100%</v>
      </c>
      <c r="R1302" t="str">
        <f>IF(B1302="","Missing","OK")</f>
        <v>OK</v>
      </c>
      <c r="S1302" t="str">
        <f>IF(E1302="","Missing","OK")</f>
        <v>OK</v>
      </c>
      <c r="T1302" t="str">
        <f t="shared" si="163"/>
        <v>OK</v>
      </c>
      <c r="U1302">
        <f>COUNTIF($A:$A,A1302)</f>
        <v>1</v>
      </c>
      <c r="V1302" t="str">
        <f t="shared" si="164"/>
        <v>OK</v>
      </c>
      <c r="W1302" t="str">
        <f>IF(I1302&gt;B1302,"ERROR","OK")</f>
        <v>OK</v>
      </c>
      <c r="X1302">
        <f>(B1302-I1302)/B1302</f>
        <v>0.82011624575412256</v>
      </c>
      <c r="Y1302" s="2">
        <f t="shared" si="165"/>
        <v>5.5511151231257827E-16</v>
      </c>
      <c r="Z1302" s="2" t="str">
        <f t="shared" si="166"/>
        <v>OK</v>
      </c>
      <c r="AA1302" t="str">
        <f t="shared" si="167"/>
        <v>Unique</v>
      </c>
    </row>
    <row r="1303" spans="1:27" x14ac:dyDescent="0.3">
      <c r="A1303">
        <v>1302</v>
      </c>
      <c r="B1303">
        <v>1288980.9305454399</v>
      </c>
      <c r="C1303">
        <v>0.240629475751201</v>
      </c>
      <c r="D1303">
        <v>-1.22267577476654E-2</v>
      </c>
      <c r="E1303">
        <v>0.25870086982007501</v>
      </c>
      <c r="F1303">
        <v>1</v>
      </c>
      <c r="G1303" t="s">
        <v>13</v>
      </c>
      <c r="H1303">
        <v>1</v>
      </c>
      <c r="I1303">
        <v>333460.48791359802</v>
      </c>
      <c r="J1303">
        <v>0.74129913017992399</v>
      </c>
      <c r="K1303" t="str">
        <f t="shared" si="160"/>
        <v>OK</v>
      </c>
      <c r="L1303" t="str">
        <f t="shared" si="161"/>
        <v>OK</v>
      </c>
      <c r="M1303" t="str">
        <f>IF(OR(B1303&lt;$AE$20,B1303&gt;$AF$20),"Outlier","OK")</f>
        <v>OK</v>
      </c>
      <c r="N1303" t="str">
        <f>IF(OR(J1303&lt;$AE$21,J1303&gt;$AF$21),"Outlier","OK")</f>
        <v>OK</v>
      </c>
      <c r="O1303" t="str">
        <f>IF(OR(C1303&lt;0,C1303&gt;1),"Outlier","OK")</f>
        <v>OK</v>
      </c>
      <c r="P1303" t="str">
        <f>IF(OR(D1303&lt;0,D1303&gt;1),"Outlier","OK")</f>
        <v>Outlier</v>
      </c>
      <c r="Q1303" t="str">
        <f t="shared" si="162"/>
        <v>60-80%</v>
      </c>
      <c r="R1303" t="str">
        <f>IF(B1303="","Missing","OK")</f>
        <v>OK</v>
      </c>
      <c r="S1303" t="str">
        <f>IF(E1303="","Missing","OK")</f>
        <v>OK</v>
      </c>
      <c r="T1303" t="str">
        <f t="shared" si="163"/>
        <v>OK</v>
      </c>
      <c r="U1303">
        <f>COUNTIF($A:$A,A1303)</f>
        <v>1</v>
      </c>
      <c r="V1303" t="str">
        <f t="shared" si="164"/>
        <v>OK</v>
      </c>
      <c r="W1303" t="str">
        <f>IF(I1303&gt;B1303,"ERROR","OK")</f>
        <v>OK</v>
      </c>
      <c r="X1303">
        <f>(B1303-I1303)/B1303</f>
        <v>0.74129913017992266</v>
      </c>
      <c r="Y1303" s="2">
        <f t="shared" si="165"/>
        <v>1.3322676295501878E-15</v>
      </c>
      <c r="Z1303" s="2" t="str">
        <f t="shared" si="166"/>
        <v>OK</v>
      </c>
      <c r="AA1303" t="str">
        <f t="shared" si="167"/>
        <v>Unique</v>
      </c>
    </row>
    <row r="1304" spans="1:27" x14ac:dyDescent="0.3">
      <c r="A1304">
        <v>1303</v>
      </c>
      <c r="B1304">
        <v>1497308.00824232</v>
      </c>
      <c r="C1304">
        <v>0.33269103248746001</v>
      </c>
      <c r="D1304">
        <v>7.10886796371408E-2</v>
      </c>
      <c r="E1304">
        <v>0.23564231698465801</v>
      </c>
      <c r="F1304">
        <v>1</v>
      </c>
      <c r="G1304" t="s">
        <v>12</v>
      </c>
      <c r="H1304">
        <v>1</v>
      </c>
      <c r="I1304">
        <v>352829.128301905</v>
      </c>
      <c r="J1304">
        <v>0.76435768301534102</v>
      </c>
      <c r="K1304" t="str">
        <f t="shared" si="160"/>
        <v>OK</v>
      </c>
      <c r="L1304" t="str">
        <f t="shared" si="161"/>
        <v>OK</v>
      </c>
      <c r="M1304" t="str">
        <f>IF(OR(B1304&lt;$AE$20,B1304&gt;$AF$20),"Outlier","OK")</f>
        <v>OK</v>
      </c>
      <c r="N1304" t="str">
        <f>IF(OR(J1304&lt;$AE$21,J1304&gt;$AF$21),"Outlier","OK")</f>
        <v>OK</v>
      </c>
      <c r="O1304" t="str">
        <f>IF(OR(C1304&lt;0,C1304&gt;1),"Outlier","OK")</f>
        <v>OK</v>
      </c>
      <c r="P1304" t="str">
        <f>IF(OR(D1304&lt;0,D1304&gt;1),"Outlier","OK")</f>
        <v>OK</v>
      </c>
      <c r="Q1304" t="str">
        <f t="shared" si="162"/>
        <v>60-80%</v>
      </c>
      <c r="R1304" t="str">
        <f>IF(B1304="","Missing","OK")</f>
        <v>OK</v>
      </c>
      <c r="S1304" t="str">
        <f>IF(E1304="","Missing","OK")</f>
        <v>OK</v>
      </c>
      <c r="T1304" t="str">
        <f t="shared" si="163"/>
        <v>OK</v>
      </c>
      <c r="U1304">
        <f>COUNTIF($A:$A,A1304)</f>
        <v>1</v>
      </c>
      <c r="V1304" t="str">
        <f t="shared" si="164"/>
        <v>OK</v>
      </c>
      <c r="W1304" t="str">
        <f>IF(I1304&gt;B1304,"ERROR","OK")</f>
        <v>OK</v>
      </c>
      <c r="X1304">
        <f>(B1304-I1304)/B1304</f>
        <v>0.76435768301534113</v>
      </c>
      <c r="Y1304" s="2">
        <f t="shared" si="165"/>
        <v>1.1102230246251565E-16</v>
      </c>
      <c r="Z1304" s="2" t="str">
        <f t="shared" si="166"/>
        <v>OK</v>
      </c>
      <c r="AA1304" t="str">
        <f t="shared" si="167"/>
        <v>Unique</v>
      </c>
    </row>
    <row r="1305" spans="1:27" x14ac:dyDescent="0.3">
      <c r="A1305">
        <v>1304</v>
      </c>
      <c r="B1305">
        <v>401884.25814767898</v>
      </c>
      <c r="C1305">
        <v>0.223934737621273</v>
      </c>
      <c r="D1305">
        <v>7.1782195421160599E-2</v>
      </c>
      <c r="E1305">
        <v>0.28030477009471999</v>
      </c>
      <c r="F1305">
        <v>1</v>
      </c>
      <c r="G1305" t="s">
        <v>13</v>
      </c>
      <c r="H1305">
        <v>0</v>
      </c>
      <c r="I1305">
        <v>112650.074584772</v>
      </c>
      <c r="J1305">
        <v>0.71969522990527901</v>
      </c>
      <c r="K1305" t="str">
        <f t="shared" si="160"/>
        <v>OK</v>
      </c>
      <c r="L1305" t="str">
        <f t="shared" si="161"/>
        <v>OK</v>
      </c>
      <c r="M1305" t="str">
        <f>IF(OR(B1305&lt;$AE$20,B1305&gt;$AF$20),"Outlier","OK")</f>
        <v>OK</v>
      </c>
      <c r="N1305" t="str">
        <f>IF(OR(J1305&lt;$AE$21,J1305&gt;$AF$21),"Outlier","OK")</f>
        <v>OK</v>
      </c>
      <c r="O1305" t="str">
        <f>IF(OR(C1305&lt;0,C1305&gt;1),"Outlier","OK")</f>
        <v>OK</v>
      </c>
      <c r="P1305" t="str">
        <f>IF(OR(D1305&lt;0,D1305&gt;1),"Outlier","OK")</f>
        <v>OK</v>
      </c>
      <c r="Q1305" t="str">
        <f t="shared" si="162"/>
        <v>60-80%</v>
      </c>
      <c r="R1305" t="str">
        <f>IF(B1305="","Missing","OK")</f>
        <v>OK</v>
      </c>
      <c r="S1305" t="str">
        <f>IF(E1305="","Missing","OK")</f>
        <v>OK</v>
      </c>
      <c r="T1305" t="str">
        <f t="shared" si="163"/>
        <v>OK</v>
      </c>
      <c r="U1305">
        <f>COUNTIF($A:$A,A1305)</f>
        <v>1</v>
      </c>
      <c r="V1305" t="str">
        <f t="shared" si="164"/>
        <v>OK</v>
      </c>
      <c r="W1305" t="str">
        <f>IF(I1305&gt;B1305,"ERROR","OK")</f>
        <v>OK</v>
      </c>
      <c r="X1305">
        <f>(B1305-I1305)/B1305</f>
        <v>0.71969522990528068</v>
      </c>
      <c r="Y1305" s="2">
        <f t="shared" si="165"/>
        <v>1.6653345369377348E-15</v>
      </c>
      <c r="Z1305" s="2" t="str">
        <f t="shared" si="166"/>
        <v>OK</v>
      </c>
      <c r="AA1305" t="str">
        <f t="shared" si="167"/>
        <v>Unique</v>
      </c>
    </row>
    <row r="1306" spans="1:27" x14ac:dyDescent="0.3">
      <c r="A1306">
        <v>1305</v>
      </c>
      <c r="B1306">
        <v>482792.29704105499</v>
      </c>
      <c r="C1306">
        <v>0.36097377206528503</v>
      </c>
      <c r="D1306">
        <v>-0.16940743009045101</v>
      </c>
      <c r="E1306">
        <v>0.12688149465380699</v>
      </c>
      <c r="F1306">
        <v>1</v>
      </c>
      <c r="G1306" t="s">
        <v>12</v>
      </c>
      <c r="H1306">
        <v>0</v>
      </c>
      <c r="I1306">
        <v>61257.408255913899</v>
      </c>
      <c r="J1306">
        <v>0.87311850534619295</v>
      </c>
      <c r="K1306" t="str">
        <f t="shared" si="160"/>
        <v>OK</v>
      </c>
      <c r="L1306" t="str">
        <f t="shared" si="161"/>
        <v>OK</v>
      </c>
      <c r="M1306" t="str">
        <f>IF(OR(B1306&lt;$AE$20,B1306&gt;$AF$20),"Outlier","OK")</f>
        <v>OK</v>
      </c>
      <c r="N1306" t="str">
        <f>IF(OR(J1306&lt;$AE$21,J1306&gt;$AF$21),"Outlier","OK")</f>
        <v>OK</v>
      </c>
      <c r="O1306" t="str">
        <f>IF(OR(C1306&lt;0,C1306&gt;1),"Outlier","OK")</f>
        <v>OK</v>
      </c>
      <c r="P1306" t="str">
        <f>IF(OR(D1306&lt;0,D1306&gt;1),"Outlier","OK")</f>
        <v>Outlier</v>
      </c>
      <c r="Q1306" t="str">
        <f t="shared" si="162"/>
        <v>80-100%</v>
      </c>
      <c r="R1306" t="str">
        <f>IF(B1306="","Missing","OK")</f>
        <v>OK</v>
      </c>
      <c r="S1306" t="str">
        <f>IF(E1306="","Missing","OK")</f>
        <v>OK</v>
      </c>
      <c r="T1306" t="str">
        <f t="shared" si="163"/>
        <v>OK</v>
      </c>
      <c r="U1306">
        <f>COUNTIF($A:$A,A1306)</f>
        <v>1</v>
      </c>
      <c r="V1306" t="str">
        <f t="shared" si="164"/>
        <v>OK</v>
      </c>
      <c r="W1306" t="str">
        <f>IF(I1306&gt;B1306,"ERROR","OK")</f>
        <v>OK</v>
      </c>
      <c r="X1306">
        <f>(B1306-I1306)/B1306</f>
        <v>0.87311850534619284</v>
      </c>
      <c r="Y1306" s="2">
        <f t="shared" si="165"/>
        <v>1.1102230246251565E-16</v>
      </c>
      <c r="Z1306" s="2" t="str">
        <f t="shared" si="166"/>
        <v>OK</v>
      </c>
      <c r="AA1306" t="str">
        <f t="shared" si="167"/>
        <v>Unique</v>
      </c>
    </row>
    <row r="1307" spans="1:27" x14ac:dyDescent="0.3">
      <c r="A1307">
        <v>1306</v>
      </c>
      <c r="B1307">
        <v>1414628.0334985501</v>
      </c>
      <c r="C1307">
        <v>0.85696961121159099</v>
      </c>
      <c r="D1307">
        <v>0.18320059757229601</v>
      </c>
      <c r="E1307">
        <v>0.43036736365468198</v>
      </c>
      <c r="F1307">
        <v>1</v>
      </c>
      <c r="G1307" t="s">
        <v>10</v>
      </c>
      <c r="H1307">
        <v>1</v>
      </c>
      <c r="I1307">
        <v>608809.73732878105</v>
      </c>
      <c r="J1307">
        <v>0.56963263634531702</v>
      </c>
      <c r="K1307" t="str">
        <f t="shared" si="160"/>
        <v>OK</v>
      </c>
      <c r="L1307" t="str">
        <f t="shared" si="161"/>
        <v>OK</v>
      </c>
      <c r="M1307" t="str">
        <f>IF(OR(B1307&lt;$AE$20,B1307&gt;$AF$20),"Outlier","OK")</f>
        <v>OK</v>
      </c>
      <c r="N1307" t="str">
        <f>IF(OR(J1307&lt;$AE$21,J1307&gt;$AF$21),"Outlier","OK")</f>
        <v>OK</v>
      </c>
      <c r="O1307" t="str">
        <f>IF(OR(C1307&lt;0,C1307&gt;1),"Outlier","OK")</f>
        <v>OK</v>
      </c>
      <c r="P1307" t="str">
        <f>IF(OR(D1307&lt;0,D1307&gt;1),"Outlier","OK")</f>
        <v>OK</v>
      </c>
      <c r="Q1307" t="str">
        <f t="shared" si="162"/>
        <v>40-60%</v>
      </c>
      <c r="R1307" t="str">
        <f>IF(B1307="","Missing","OK")</f>
        <v>OK</v>
      </c>
      <c r="S1307" t="str">
        <f>IF(E1307="","Missing","OK")</f>
        <v>OK</v>
      </c>
      <c r="T1307" t="str">
        <f t="shared" si="163"/>
        <v>OK</v>
      </c>
      <c r="U1307">
        <f>COUNTIF($A:$A,A1307)</f>
        <v>1</v>
      </c>
      <c r="V1307" t="str">
        <f t="shared" si="164"/>
        <v>OK</v>
      </c>
      <c r="W1307" t="str">
        <f>IF(I1307&gt;B1307,"ERROR","OK")</f>
        <v>OK</v>
      </c>
      <c r="X1307">
        <f>(B1307-I1307)/B1307</f>
        <v>0.56963263634531591</v>
      </c>
      <c r="Y1307" s="2">
        <f t="shared" si="165"/>
        <v>1.1102230246251565E-15</v>
      </c>
      <c r="Z1307" s="2" t="str">
        <f t="shared" si="166"/>
        <v>OK</v>
      </c>
      <c r="AA1307" t="str">
        <f t="shared" si="167"/>
        <v>Unique</v>
      </c>
    </row>
    <row r="1308" spans="1:27" x14ac:dyDescent="0.3">
      <c r="A1308">
        <v>1307</v>
      </c>
      <c r="B1308">
        <v>1599283.41923366</v>
      </c>
      <c r="C1308">
        <v>0.27965797385089503</v>
      </c>
      <c r="D1308">
        <v>-2.4563854771463299E-2</v>
      </c>
      <c r="E1308">
        <v>0.38741112729486299</v>
      </c>
      <c r="F1308">
        <v>1</v>
      </c>
      <c r="G1308" t="s">
        <v>10</v>
      </c>
      <c r="H1308">
        <v>1</v>
      </c>
      <c r="I1308">
        <v>619580.19230929797</v>
      </c>
      <c r="J1308">
        <v>0.61258887270513596</v>
      </c>
      <c r="K1308" t="str">
        <f t="shared" si="160"/>
        <v>OK</v>
      </c>
      <c r="L1308" t="str">
        <f t="shared" si="161"/>
        <v>OK</v>
      </c>
      <c r="M1308" t="str">
        <f>IF(OR(B1308&lt;$AE$20,B1308&gt;$AF$20),"Outlier","OK")</f>
        <v>OK</v>
      </c>
      <c r="N1308" t="str">
        <f>IF(OR(J1308&lt;$AE$21,J1308&gt;$AF$21),"Outlier","OK")</f>
        <v>OK</v>
      </c>
      <c r="O1308" t="str">
        <f>IF(OR(C1308&lt;0,C1308&gt;1),"Outlier","OK")</f>
        <v>OK</v>
      </c>
      <c r="P1308" t="str">
        <f>IF(OR(D1308&lt;0,D1308&gt;1),"Outlier","OK")</f>
        <v>Outlier</v>
      </c>
      <c r="Q1308" t="str">
        <f t="shared" si="162"/>
        <v>60-80%</v>
      </c>
      <c r="R1308" t="str">
        <f>IF(B1308="","Missing","OK")</f>
        <v>OK</v>
      </c>
      <c r="S1308" t="str">
        <f>IF(E1308="","Missing","OK")</f>
        <v>OK</v>
      </c>
      <c r="T1308" t="str">
        <f t="shared" si="163"/>
        <v>OK</v>
      </c>
      <c r="U1308">
        <f>COUNTIF($A:$A,A1308)</f>
        <v>1</v>
      </c>
      <c r="V1308" t="str">
        <f t="shared" si="164"/>
        <v>OK</v>
      </c>
      <c r="W1308" t="str">
        <f>IF(I1308&gt;B1308,"ERROR","OK")</f>
        <v>OK</v>
      </c>
      <c r="X1308">
        <f>(B1308-I1308)/B1308</f>
        <v>0.61258887270513529</v>
      </c>
      <c r="Y1308" s="2">
        <f t="shared" si="165"/>
        <v>6.6613381477509392E-16</v>
      </c>
      <c r="Z1308" s="2" t="str">
        <f t="shared" si="166"/>
        <v>OK</v>
      </c>
      <c r="AA1308" t="str">
        <f t="shared" si="167"/>
        <v>Unique</v>
      </c>
    </row>
    <row r="1309" spans="1:27" x14ac:dyDescent="0.3">
      <c r="A1309">
        <v>1308</v>
      </c>
      <c r="B1309">
        <v>1909041.9124988299</v>
      </c>
      <c r="C1309">
        <v>0.24168965903487899</v>
      </c>
      <c r="D1309">
        <v>-9.0132996415909702E-2</v>
      </c>
      <c r="E1309">
        <v>0.13692256018037</v>
      </c>
      <c r="F1309">
        <v>1</v>
      </c>
      <c r="G1309" t="s">
        <v>11</v>
      </c>
      <c r="H1309">
        <v>0</v>
      </c>
      <c r="I1309">
        <v>261390.90615097099</v>
      </c>
      <c r="J1309">
        <v>0.86307743981962903</v>
      </c>
      <c r="K1309" t="str">
        <f t="shared" si="160"/>
        <v>OK</v>
      </c>
      <c r="L1309" t="str">
        <f t="shared" si="161"/>
        <v>OK</v>
      </c>
      <c r="M1309" t="str">
        <f>IF(OR(B1309&lt;$AE$20,B1309&gt;$AF$20),"Outlier","OK")</f>
        <v>OK</v>
      </c>
      <c r="N1309" t="str">
        <f>IF(OR(J1309&lt;$AE$21,J1309&gt;$AF$21),"Outlier","OK")</f>
        <v>OK</v>
      </c>
      <c r="O1309" t="str">
        <f>IF(OR(C1309&lt;0,C1309&gt;1),"Outlier","OK")</f>
        <v>OK</v>
      </c>
      <c r="P1309" t="str">
        <f>IF(OR(D1309&lt;0,D1309&gt;1),"Outlier","OK")</f>
        <v>Outlier</v>
      </c>
      <c r="Q1309" t="str">
        <f t="shared" si="162"/>
        <v>80-100%</v>
      </c>
      <c r="R1309" t="str">
        <f>IF(B1309="","Missing","OK")</f>
        <v>OK</v>
      </c>
      <c r="S1309" t="str">
        <f>IF(E1309="","Missing","OK")</f>
        <v>OK</v>
      </c>
      <c r="T1309" t="str">
        <f t="shared" si="163"/>
        <v>OK</v>
      </c>
      <c r="U1309">
        <f>COUNTIF($A:$A,A1309)</f>
        <v>1</v>
      </c>
      <c r="V1309" t="str">
        <f t="shared" si="164"/>
        <v>OK</v>
      </c>
      <c r="W1309" t="str">
        <f>IF(I1309&gt;B1309,"ERROR","OK")</f>
        <v>OK</v>
      </c>
      <c r="X1309">
        <f>(B1309-I1309)/B1309</f>
        <v>0.86307743981962926</v>
      </c>
      <c r="Y1309" s="2">
        <f t="shared" si="165"/>
        <v>2.2204460492503131E-16</v>
      </c>
      <c r="Z1309" s="2" t="str">
        <f t="shared" si="166"/>
        <v>OK</v>
      </c>
      <c r="AA1309" t="str">
        <f t="shared" si="167"/>
        <v>Unique</v>
      </c>
    </row>
    <row r="1310" spans="1:27" x14ac:dyDescent="0.3">
      <c r="A1310">
        <v>1309</v>
      </c>
      <c r="B1310">
        <v>651867.29986016604</v>
      </c>
      <c r="C1310">
        <v>0.21103431845201401</v>
      </c>
      <c r="D1310">
        <v>-0.14603828674200001</v>
      </c>
      <c r="E1310">
        <v>0.16412236192416799</v>
      </c>
      <c r="F1310">
        <v>1</v>
      </c>
      <c r="G1310" t="s">
        <v>12</v>
      </c>
      <c r="H1310">
        <v>1</v>
      </c>
      <c r="I1310">
        <v>106986.00091418</v>
      </c>
      <c r="J1310">
        <v>0.83587763807583104</v>
      </c>
      <c r="K1310" t="str">
        <f t="shared" si="160"/>
        <v>OK</v>
      </c>
      <c r="L1310" t="str">
        <f t="shared" si="161"/>
        <v>OK</v>
      </c>
      <c r="M1310" t="str">
        <f>IF(OR(B1310&lt;$AE$20,B1310&gt;$AF$20),"Outlier","OK")</f>
        <v>OK</v>
      </c>
      <c r="N1310" t="str">
        <f>IF(OR(J1310&lt;$AE$21,J1310&gt;$AF$21),"Outlier","OK")</f>
        <v>OK</v>
      </c>
      <c r="O1310" t="str">
        <f>IF(OR(C1310&lt;0,C1310&gt;1),"Outlier","OK")</f>
        <v>OK</v>
      </c>
      <c r="P1310" t="str">
        <f>IF(OR(D1310&lt;0,D1310&gt;1),"Outlier","OK")</f>
        <v>Outlier</v>
      </c>
      <c r="Q1310" t="str">
        <f t="shared" si="162"/>
        <v>80-100%</v>
      </c>
      <c r="R1310" t="str">
        <f>IF(B1310="","Missing","OK")</f>
        <v>OK</v>
      </c>
      <c r="S1310" t="str">
        <f>IF(E1310="","Missing","OK")</f>
        <v>OK</v>
      </c>
      <c r="T1310" t="str">
        <f t="shared" si="163"/>
        <v>OK</v>
      </c>
      <c r="U1310">
        <f>COUNTIF($A:$A,A1310)</f>
        <v>1</v>
      </c>
      <c r="V1310" t="str">
        <f t="shared" si="164"/>
        <v>OK</v>
      </c>
      <c r="W1310" t="str">
        <f>IF(I1310&gt;B1310,"ERROR","OK")</f>
        <v>OK</v>
      </c>
      <c r="X1310">
        <f>(B1310-I1310)/B1310</f>
        <v>0.8358776380758326</v>
      </c>
      <c r="Y1310" s="2">
        <f t="shared" si="165"/>
        <v>1.5543122344752192E-15</v>
      </c>
      <c r="Z1310" s="2" t="str">
        <f t="shared" si="166"/>
        <v>OK</v>
      </c>
      <c r="AA1310" t="str">
        <f t="shared" si="167"/>
        <v>Unique</v>
      </c>
    </row>
    <row r="1311" spans="1:27" x14ac:dyDescent="0.3">
      <c r="A1311">
        <v>1310</v>
      </c>
      <c r="B1311">
        <v>1119835.48902319</v>
      </c>
      <c r="C1311">
        <v>0.67394226434277205</v>
      </c>
      <c r="D1311">
        <v>0.119655998774316</v>
      </c>
      <c r="E1311">
        <v>0.46814840846879502</v>
      </c>
      <c r="F1311">
        <v>1</v>
      </c>
      <c r="G1311" t="s">
        <v>13</v>
      </c>
      <c r="H1311">
        <v>0</v>
      </c>
      <c r="I1311">
        <v>524249.20193308103</v>
      </c>
      <c r="J1311">
        <v>0.53185159153120498</v>
      </c>
      <c r="K1311" t="str">
        <f t="shared" si="160"/>
        <v>OK</v>
      </c>
      <c r="L1311" t="str">
        <f t="shared" si="161"/>
        <v>OK</v>
      </c>
      <c r="M1311" t="str">
        <f>IF(OR(B1311&lt;$AE$20,B1311&gt;$AF$20),"Outlier","OK")</f>
        <v>OK</v>
      </c>
      <c r="N1311" t="str">
        <f>IF(OR(J1311&lt;$AE$21,J1311&gt;$AF$21),"Outlier","OK")</f>
        <v>OK</v>
      </c>
      <c r="O1311" t="str">
        <f>IF(OR(C1311&lt;0,C1311&gt;1),"Outlier","OK")</f>
        <v>OK</v>
      </c>
      <c r="P1311" t="str">
        <f>IF(OR(D1311&lt;0,D1311&gt;1),"Outlier","OK")</f>
        <v>OK</v>
      </c>
      <c r="Q1311" t="str">
        <f t="shared" si="162"/>
        <v>40-60%</v>
      </c>
      <c r="R1311" t="str">
        <f>IF(B1311="","Missing","OK")</f>
        <v>OK</v>
      </c>
      <c r="S1311" t="str">
        <f>IF(E1311="","Missing","OK")</f>
        <v>OK</v>
      </c>
      <c r="T1311" t="str">
        <f t="shared" si="163"/>
        <v>OK</v>
      </c>
      <c r="U1311">
        <f>COUNTIF($A:$A,A1311)</f>
        <v>1</v>
      </c>
      <c r="V1311" t="str">
        <f t="shared" si="164"/>
        <v>OK</v>
      </c>
      <c r="W1311" t="str">
        <f>IF(I1311&gt;B1311,"ERROR","OK")</f>
        <v>OK</v>
      </c>
      <c r="X1311">
        <f>(B1311-I1311)/B1311</f>
        <v>0.53185159153120509</v>
      </c>
      <c r="Y1311" s="2">
        <f t="shared" si="165"/>
        <v>1.1102230246251565E-16</v>
      </c>
      <c r="Z1311" s="2" t="str">
        <f t="shared" si="166"/>
        <v>OK</v>
      </c>
      <c r="AA1311" t="str">
        <f t="shared" si="167"/>
        <v>Unique</v>
      </c>
    </row>
    <row r="1312" spans="1:27" x14ac:dyDescent="0.3">
      <c r="A1312">
        <v>1311</v>
      </c>
      <c r="B1312">
        <v>336284.87334011501</v>
      </c>
      <c r="C1312">
        <v>0.59012986495046305</v>
      </c>
      <c r="D1312">
        <v>-0.18980336833481501</v>
      </c>
      <c r="E1312">
        <v>0.27764964918453999</v>
      </c>
      <c r="F1312">
        <v>1</v>
      </c>
      <c r="G1312" t="s">
        <v>13</v>
      </c>
      <c r="H1312">
        <v>0</v>
      </c>
      <c r="I1312">
        <v>93369.377108950604</v>
      </c>
      <c r="J1312">
        <v>0.72235035081545895</v>
      </c>
      <c r="K1312" t="str">
        <f t="shared" si="160"/>
        <v>OK</v>
      </c>
      <c r="L1312" t="str">
        <f t="shared" si="161"/>
        <v>OK</v>
      </c>
      <c r="M1312" t="str">
        <f>IF(OR(B1312&lt;$AE$20,B1312&gt;$AF$20),"Outlier","OK")</f>
        <v>OK</v>
      </c>
      <c r="N1312" t="str">
        <f>IF(OR(J1312&lt;$AE$21,J1312&gt;$AF$21),"Outlier","OK")</f>
        <v>OK</v>
      </c>
      <c r="O1312" t="str">
        <f>IF(OR(C1312&lt;0,C1312&gt;1),"Outlier","OK")</f>
        <v>OK</v>
      </c>
      <c r="P1312" t="str">
        <f>IF(OR(D1312&lt;0,D1312&gt;1),"Outlier","OK")</f>
        <v>Outlier</v>
      </c>
      <c r="Q1312" t="str">
        <f t="shared" si="162"/>
        <v>60-80%</v>
      </c>
      <c r="R1312" t="str">
        <f>IF(B1312="","Missing","OK")</f>
        <v>OK</v>
      </c>
      <c r="S1312" t="str">
        <f>IF(E1312="","Missing","OK")</f>
        <v>OK</v>
      </c>
      <c r="T1312" t="str">
        <f t="shared" si="163"/>
        <v>OK</v>
      </c>
      <c r="U1312">
        <f>COUNTIF($A:$A,A1312)</f>
        <v>1</v>
      </c>
      <c r="V1312" t="str">
        <f t="shared" si="164"/>
        <v>OK</v>
      </c>
      <c r="W1312" t="str">
        <f>IF(I1312&gt;B1312,"ERROR","OK")</f>
        <v>OK</v>
      </c>
      <c r="X1312">
        <f>(B1312-I1312)/B1312</f>
        <v>0.7223503508154594</v>
      </c>
      <c r="Y1312" s="2">
        <f t="shared" si="165"/>
        <v>4.4408920985006262E-16</v>
      </c>
      <c r="Z1312" s="2" t="str">
        <f t="shared" si="166"/>
        <v>OK</v>
      </c>
      <c r="AA1312" t="str">
        <f t="shared" si="167"/>
        <v>Unique</v>
      </c>
    </row>
    <row r="1313" spans="1:27" x14ac:dyDescent="0.3">
      <c r="A1313">
        <v>1312</v>
      </c>
      <c r="B1313">
        <v>901945.56068548304</v>
      </c>
      <c r="C1313">
        <v>0.70568896970960104</v>
      </c>
      <c r="D1313">
        <v>-0.153186139517062</v>
      </c>
      <c r="E1313">
        <v>0.15706502167266101</v>
      </c>
      <c r="F1313">
        <v>1</v>
      </c>
      <c r="G1313" t="s">
        <v>11</v>
      </c>
      <c r="H1313">
        <v>1</v>
      </c>
      <c r="I1313">
        <v>141664.099036625</v>
      </c>
      <c r="J1313">
        <v>0.84293497832733899</v>
      </c>
      <c r="K1313" t="str">
        <f t="shared" si="160"/>
        <v>OK</v>
      </c>
      <c r="L1313" t="str">
        <f t="shared" si="161"/>
        <v>OK</v>
      </c>
      <c r="M1313" t="str">
        <f>IF(OR(B1313&lt;$AE$20,B1313&gt;$AF$20),"Outlier","OK")</f>
        <v>OK</v>
      </c>
      <c r="N1313" t="str">
        <f>IF(OR(J1313&lt;$AE$21,J1313&gt;$AF$21),"Outlier","OK")</f>
        <v>OK</v>
      </c>
      <c r="O1313" t="str">
        <f>IF(OR(C1313&lt;0,C1313&gt;1),"Outlier","OK")</f>
        <v>OK</v>
      </c>
      <c r="P1313" t="str">
        <f>IF(OR(D1313&lt;0,D1313&gt;1),"Outlier","OK")</f>
        <v>Outlier</v>
      </c>
      <c r="Q1313" t="str">
        <f t="shared" si="162"/>
        <v>80-100%</v>
      </c>
      <c r="R1313" t="str">
        <f>IF(B1313="","Missing","OK")</f>
        <v>OK</v>
      </c>
      <c r="S1313" t="str">
        <f>IF(E1313="","Missing","OK")</f>
        <v>OK</v>
      </c>
      <c r="T1313" t="str">
        <f t="shared" si="163"/>
        <v>OK</v>
      </c>
      <c r="U1313">
        <f>COUNTIF($A:$A,A1313)</f>
        <v>1</v>
      </c>
      <c r="V1313" t="str">
        <f t="shared" si="164"/>
        <v>OK</v>
      </c>
      <c r="W1313" t="str">
        <f>IF(I1313&gt;B1313,"ERROR","OK")</f>
        <v>OK</v>
      </c>
      <c r="X1313">
        <f>(B1313-I1313)/B1313</f>
        <v>0.84293497832733988</v>
      </c>
      <c r="Y1313" s="2">
        <f t="shared" si="165"/>
        <v>8.8817841970012523E-16</v>
      </c>
      <c r="Z1313" s="2" t="str">
        <f t="shared" si="166"/>
        <v>OK</v>
      </c>
      <c r="AA1313" t="str">
        <f t="shared" si="167"/>
        <v>Unique</v>
      </c>
    </row>
    <row r="1314" spans="1:27" x14ac:dyDescent="0.3">
      <c r="A1314">
        <v>1313</v>
      </c>
      <c r="B1314">
        <v>559185.33491480502</v>
      </c>
      <c r="C1314">
        <v>0.48142268393862198</v>
      </c>
      <c r="D1314">
        <v>2.6298410778158301E-3</v>
      </c>
      <c r="E1314">
        <v>0.14019047292112299</v>
      </c>
      <c r="F1314">
        <v>1</v>
      </c>
      <c r="G1314" t="s">
        <v>10</v>
      </c>
      <c r="H1314">
        <v>0</v>
      </c>
      <c r="I1314">
        <v>78392.456552263495</v>
      </c>
      <c r="J1314">
        <v>0.85980952707887603</v>
      </c>
      <c r="K1314" t="str">
        <f t="shared" si="160"/>
        <v>OK</v>
      </c>
      <c r="L1314" t="str">
        <f t="shared" si="161"/>
        <v>OK</v>
      </c>
      <c r="M1314" t="str">
        <f>IF(OR(B1314&lt;$AE$20,B1314&gt;$AF$20),"Outlier","OK")</f>
        <v>OK</v>
      </c>
      <c r="N1314" t="str">
        <f>IF(OR(J1314&lt;$AE$21,J1314&gt;$AF$21),"Outlier","OK")</f>
        <v>OK</v>
      </c>
      <c r="O1314" t="str">
        <f>IF(OR(C1314&lt;0,C1314&gt;1),"Outlier","OK")</f>
        <v>OK</v>
      </c>
      <c r="P1314" t="str">
        <f>IF(OR(D1314&lt;0,D1314&gt;1),"Outlier","OK")</f>
        <v>OK</v>
      </c>
      <c r="Q1314" t="str">
        <f t="shared" si="162"/>
        <v>80-100%</v>
      </c>
      <c r="R1314" t="str">
        <f>IF(B1314="","Missing","OK")</f>
        <v>OK</v>
      </c>
      <c r="S1314" t="str">
        <f>IF(E1314="","Missing","OK")</f>
        <v>OK</v>
      </c>
      <c r="T1314" t="str">
        <f t="shared" si="163"/>
        <v>OK</v>
      </c>
      <c r="U1314">
        <f>COUNTIF($A:$A,A1314)</f>
        <v>1</v>
      </c>
      <c r="V1314" t="str">
        <f t="shared" si="164"/>
        <v>OK</v>
      </c>
      <c r="W1314" t="str">
        <f>IF(I1314&gt;B1314,"ERROR","OK")</f>
        <v>OK</v>
      </c>
      <c r="X1314">
        <f>(B1314-I1314)/B1314</f>
        <v>0.85980952707887626</v>
      </c>
      <c r="Y1314" s="2">
        <f t="shared" si="165"/>
        <v>2.2204460492503131E-16</v>
      </c>
      <c r="Z1314" s="2" t="str">
        <f t="shared" si="166"/>
        <v>OK</v>
      </c>
      <c r="AA1314" t="str">
        <f t="shared" si="167"/>
        <v>Unique</v>
      </c>
    </row>
    <row r="1315" spans="1:27" x14ac:dyDescent="0.3">
      <c r="A1315">
        <v>1314</v>
      </c>
      <c r="B1315">
        <v>730160.35175200796</v>
      </c>
      <c r="C1315">
        <v>0.65228192517565298</v>
      </c>
      <c r="D1315">
        <v>0.18072412240277999</v>
      </c>
      <c r="E1315">
        <v>0.350315241065911</v>
      </c>
      <c r="F1315">
        <v>1</v>
      </c>
      <c r="G1315" t="s">
        <v>10</v>
      </c>
      <c r="H1315">
        <v>1</v>
      </c>
      <c r="I1315">
        <v>255786.29964077499</v>
      </c>
      <c r="J1315">
        <v>0.64968475893408795</v>
      </c>
      <c r="K1315" t="str">
        <f t="shared" si="160"/>
        <v>OK</v>
      </c>
      <c r="L1315" t="str">
        <f t="shared" si="161"/>
        <v>OK</v>
      </c>
      <c r="M1315" t="str">
        <f>IF(OR(B1315&lt;$AE$20,B1315&gt;$AF$20),"Outlier","OK")</f>
        <v>OK</v>
      </c>
      <c r="N1315" t="str">
        <f>IF(OR(J1315&lt;$AE$21,J1315&gt;$AF$21),"Outlier","OK")</f>
        <v>OK</v>
      </c>
      <c r="O1315" t="str">
        <f>IF(OR(C1315&lt;0,C1315&gt;1),"Outlier","OK")</f>
        <v>OK</v>
      </c>
      <c r="P1315" t="str">
        <f>IF(OR(D1315&lt;0,D1315&gt;1),"Outlier","OK")</f>
        <v>OK</v>
      </c>
      <c r="Q1315" t="str">
        <f t="shared" si="162"/>
        <v>60-80%</v>
      </c>
      <c r="R1315" t="str">
        <f>IF(B1315="","Missing","OK")</f>
        <v>OK</v>
      </c>
      <c r="S1315" t="str">
        <f>IF(E1315="","Missing","OK")</f>
        <v>OK</v>
      </c>
      <c r="T1315" t="str">
        <f t="shared" si="163"/>
        <v>OK</v>
      </c>
      <c r="U1315">
        <f>COUNTIF($A:$A,A1315)</f>
        <v>1</v>
      </c>
      <c r="V1315" t="str">
        <f t="shared" si="164"/>
        <v>OK</v>
      </c>
      <c r="W1315" t="str">
        <f>IF(I1315&gt;B1315,"ERROR","OK")</f>
        <v>OK</v>
      </c>
      <c r="X1315">
        <f>(B1315-I1315)/B1315</f>
        <v>0.64968475893408906</v>
      </c>
      <c r="Y1315" s="2">
        <f t="shared" si="165"/>
        <v>1.1102230246251565E-15</v>
      </c>
      <c r="Z1315" s="2" t="str">
        <f t="shared" si="166"/>
        <v>OK</v>
      </c>
      <c r="AA1315" t="str">
        <f t="shared" si="167"/>
        <v>Unique</v>
      </c>
    </row>
    <row r="1316" spans="1:27" x14ac:dyDescent="0.3">
      <c r="A1316">
        <v>1315</v>
      </c>
      <c r="B1316">
        <v>1616562.9175752799</v>
      </c>
      <c r="C1316">
        <v>0.79491401325170596</v>
      </c>
      <c r="D1316">
        <v>3.5668064964892401E-2</v>
      </c>
      <c r="E1316">
        <v>0.23299395034277101</v>
      </c>
      <c r="F1316">
        <v>1</v>
      </c>
      <c r="G1316" t="s">
        <v>11</v>
      </c>
      <c r="H1316">
        <v>0</v>
      </c>
      <c r="I1316">
        <v>376649.38014350302</v>
      </c>
      <c r="J1316">
        <v>0.76700604965722796</v>
      </c>
      <c r="K1316" t="str">
        <f t="shared" si="160"/>
        <v>OK</v>
      </c>
      <c r="L1316" t="str">
        <f t="shared" si="161"/>
        <v>OK</v>
      </c>
      <c r="M1316" t="str">
        <f>IF(OR(B1316&lt;$AE$20,B1316&gt;$AF$20),"Outlier","OK")</f>
        <v>OK</v>
      </c>
      <c r="N1316" t="str">
        <f>IF(OR(J1316&lt;$AE$21,J1316&gt;$AF$21),"Outlier","OK")</f>
        <v>OK</v>
      </c>
      <c r="O1316" t="str">
        <f>IF(OR(C1316&lt;0,C1316&gt;1),"Outlier","OK")</f>
        <v>OK</v>
      </c>
      <c r="P1316" t="str">
        <f>IF(OR(D1316&lt;0,D1316&gt;1),"Outlier","OK")</f>
        <v>OK</v>
      </c>
      <c r="Q1316" t="str">
        <f t="shared" si="162"/>
        <v>60-80%</v>
      </c>
      <c r="R1316" t="str">
        <f>IF(B1316="","Missing","OK")</f>
        <v>OK</v>
      </c>
      <c r="S1316" t="str">
        <f>IF(E1316="","Missing","OK")</f>
        <v>OK</v>
      </c>
      <c r="T1316" t="str">
        <f t="shared" si="163"/>
        <v>OK</v>
      </c>
      <c r="U1316">
        <f>COUNTIF($A:$A,A1316)</f>
        <v>1</v>
      </c>
      <c r="V1316" t="str">
        <f t="shared" si="164"/>
        <v>OK</v>
      </c>
      <c r="W1316" t="str">
        <f>IF(I1316&gt;B1316,"ERROR","OK")</f>
        <v>OK</v>
      </c>
      <c r="X1316">
        <f>(B1316-I1316)/B1316</f>
        <v>0.76700604965722707</v>
      </c>
      <c r="Y1316" s="2">
        <f t="shared" si="165"/>
        <v>8.8817841970012523E-16</v>
      </c>
      <c r="Z1316" s="2" t="str">
        <f t="shared" si="166"/>
        <v>OK</v>
      </c>
      <c r="AA1316" t="str">
        <f t="shared" si="167"/>
        <v>Unique</v>
      </c>
    </row>
    <row r="1317" spans="1:27" x14ac:dyDescent="0.3">
      <c r="A1317">
        <v>1316</v>
      </c>
      <c r="B1317">
        <v>1616297.96218637</v>
      </c>
      <c r="C1317">
        <v>0.64084542989406101</v>
      </c>
      <c r="D1317">
        <v>-1.7159509217047599E-2</v>
      </c>
      <c r="E1317">
        <v>0.47089888822828702</v>
      </c>
      <c r="F1317">
        <v>1</v>
      </c>
      <c r="G1317" t="s">
        <v>10</v>
      </c>
      <c r="H1317">
        <v>0</v>
      </c>
      <c r="I1317">
        <v>761112.91343920899</v>
      </c>
      <c r="J1317">
        <v>0.52910111177171304</v>
      </c>
      <c r="K1317" t="str">
        <f t="shared" si="160"/>
        <v>OK</v>
      </c>
      <c r="L1317" t="str">
        <f t="shared" si="161"/>
        <v>OK</v>
      </c>
      <c r="M1317" t="str">
        <f>IF(OR(B1317&lt;$AE$20,B1317&gt;$AF$20),"Outlier","OK")</f>
        <v>OK</v>
      </c>
      <c r="N1317" t="str">
        <f>IF(OR(J1317&lt;$AE$21,J1317&gt;$AF$21),"Outlier","OK")</f>
        <v>OK</v>
      </c>
      <c r="O1317" t="str">
        <f>IF(OR(C1317&lt;0,C1317&gt;1),"Outlier","OK")</f>
        <v>OK</v>
      </c>
      <c r="P1317" t="str">
        <f>IF(OR(D1317&lt;0,D1317&gt;1),"Outlier","OK")</f>
        <v>Outlier</v>
      </c>
      <c r="Q1317" t="str">
        <f t="shared" si="162"/>
        <v>40-60%</v>
      </c>
      <c r="R1317" t="str">
        <f>IF(B1317="","Missing","OK")</f>
        <v>OK</v>
      </c>
      <c r="S1317" t="str">
        <f>IF(E1317="","Missing","OK")</f>
        <v>OK</v>
      </c>
      <c r="T1317" t="str">
        <f t="shared" si="163"/>
        <v>OK</v>
      </c>
      <c r="U1317">
        <f>COUNTIF($A:$A,A1317)</f>
        <v>1</v>
      </c>
      <c r="V1317" t="str">
        <f t="shared" si="164"/>
        <v>OK</v>
      </c>
      <c r="W1317" t="str">
        <f>IF(I1317&gt;B1317,"ERROR","OK")</f>
        <v>OK</v>
      </c>
      <c r="X1317">
        <f>(B1317-I1317)/B1317</f>
        <v>0.52910111177171204</v>
      </c>
      <c r="Y1317" s="2">
        <f t="shared" si="165"/>
        <v>9.9920072216264089E-16</v>
      </c>
      <c r="Z1317" s="2" t="str">
        <f t="shared" si="166"/>
        <v>OK</v>
      </c>
      <c r="AA1317" t="str">
        <f t="shared" si="167"/>
        <v>Unique</v>
      </c>
    </row>
    <row r="1318" spans="1:27" x14ac:dyDescent="0.3">
      <c r="A1318">
        <v>1317</v>
      </c>
      <c r="B1318">
        <v>1423786.07456031</v>
      </c>
      <c r="C1318">
        <v>0.58118525099838803</v>
      </c>
      <c r="D1318">
        <v>-0.12683352377719601</v>
      </c>
      <c r="E1318">
        <v>0.24312648494988101</v>
      </c>
      <c r="F1318">
        <v>1</v>
      </c>
      <c r="G1318" t="s">
        <v>10</v>
      </c>
      <c r="H1318">
        <v>1</v>
      </c>
      <c r="I1318">
        <v>346160.10362843901</v>
      </c>
      <c r="J1318">
        <v>0.75687351505011802</v>
      </c>
      <c r="K1318" t="str">
        <f t="shared" si="160"/>
        <v>OK</v>
      </c>
      <c r="L1318" t="str">
        <f t="shared" si="161"/>
        <v>OK</v>
      </c>
      <c r="M1318" t="str">
        <f>IF(OR(B1318&lt;$AE$20,B1318&gt;$AF$20),"Outlier","OK")</f>
        <v>OK</v>
      </c>
      <c r="N1318" t="str">
        <f>IF(OR(J1318&lt;$AE$21,J1318&gt;$AF$21),"Outlier","OK")</f>
        <v>OK</v>
      </c>
      <c r="O1318" t="str">
        <f>IF(OR(C1318&lt;0,C1318&gt;1),"Outlier","OK")</f>
        <v>OK</v>
      </c>
      <c r="P1318" t="str">
        <f>IF(OR(D1318&lt;0,D1318&gt;1),"Outlier","OK")</f>
        <v>Outlier</v>
      </c>
      <c r="Q1318" t="str">
        <f t="shared" si="162"/>
        <v>60-80%</v>
      </c>
      <c r="R1318" t="str">
        <f>IF(B1318="","Missing","OK")</f>
        <v>OK</v>
      </c>
      <c r="S1318" t="str">
        <f>IF(E1318="","Missing","OK")</f>
        <v>OK</v>
      </c>
      <c r="T1318" t="str">
        <f t="shared" si="163"/>
        <v>OK</v>
      </c>
      <c r="U1318">
        <f>COUNTIF($A:$A,A1318)</f>
        <v>1</v>
      </c>
      <c r="V1318" t="str">
        <f t="shared" si="164"/>
        <v>OK</v>
      </c>
      <c r="W1318" t="str">
        <f>IF(I1318&gt;B1318,"ERROR","OK")</f>
        <v>OK</v>
      </c>
      <c r="X1318">
        <f>(B1318-I1318)/B1318</f>
        <v>0.7568735150501178</v>
      </c>
      <c r="Y1318" s="2">
        <f t="shared" si="165"/>
        <v>2.2204460492503131E-16</v>
      </c>
      <c r="Z1318" s="2" t="str">
        <f t="shared" si="166"/>
        <v>OK</v>
      </c>
      <c r="AA1318" t="str">
        <f t="shared" si="167"/>
        <v>Unique</v>
      </c>
    </row>
    <row r="1319" spans="1:27" x14ac:dyDescent="0.3">
      <c r="A1319">
        <v>1318</v>
      </c>
      <c r="B1319">
        <v>291096.65152053302</v>
      </c>
      <c r="C1319">
        <v>0.29991524548562698</v>
      </c>
      <c r="D1319">
        <v>-0.18563468495789801</v>
      </c>
      <c r="E1319">
        <v>0.71423297029964605</v>
      </c>
      <c r="F1319">
        <v>1</v>
      </c>
      <c r="G1319" t="s">
        <v>12</v>
      </c>
      <c r="H1319">
        <v>1</v>
      </c>
      <c r="I1319">
        <v>207910.826059791</v>
      </c>
      <c r="J1319">
        <v>0.285767029700353</v>
      </c>
      <c r="K1319" t="str">
        <f t="shared" si="160"/>
        <v>OK</v>
      </c>
      <c r="L1319" t="str">
        <f t="shared" si="161"/>
        <v>OK</v>
      </c>
      <c r="M1319" t="str">
        <f>IF(OR(B1319&lt;$AE$20,B1319&gt;$AF$20),"Outlier","OK")</f>
        <v>OK</v>
      </c>
      <c r="N1319" t="str">
        <f>IF(OR(J1319&lt;$AE$21,J1319&gt;$AF$21),"Outlier","OK")</f>
        <v>Outlier</v>
      </c>
      <c r="O1319" t="str">
        <f>IF(OR(C1319&lt;0,C1319&gt;1),"Outlier","OK")</f>
        <v>OK</v>
      </c>
      <c r="P1319" t="str">
        <f>IF(OR(D1319&lt;0,D1319&gt;1),"Outlier","OK")</f>
        <v>Outlier</v>
      </c>
      <c r="Q1319" t="str">
        <f t="shared" si="162"/>
        <v>20-40%</v>
      </c>
      <c r="R1319" t="str">
        <f>IF(B1319="","Missing","OK")</f>
        <v>OK</v>
      </c>
      <c r="S1319" t="str">
        <f>IF(E1319="","Missing","OK")</f>
        <v>OK</v>
      </c>
      <c r="T1319" t="str">
        <f t="shared" si="163"/>
        <v>OK</v>
      </c>
      <c r="U1319">
        <f>COUNTIF($A:$A,A1319)</f>
        <v>1</v>
      </c>
      <c r="V1319" t="str">
        <f t="shared" si="164"/>
        <v>OK</v>
      </c>
      <c r="W1319" t="str">
        <f>IF(I1319&gt;B1319,"ERROR","OK")</f>
        <v>OK</v>
      </c>
      <c r="X1319">
        <f>(B1319-I1319)/B1319</f>
        <v>0.28576702970035489</v>
      </c>
      <c r="Y1319" s="2">
        <f t="shared" si="165"/>
        <v>1.8873791418627661E-15</v>
      </c>
      <c r="Z1319" s="2" t="str">
        <f t="shared" si="166"/>
        <v>OK</v>
      </c>
      <c r="AA1319" t="str">
        <f t="shared" si="167"/>
        <v>Unique</v>
      </c>
    </row>
    <row r="1320" spans="1:27" x14ac:dyDescent="0.3">
      <c r="A1320">
        <v>1319</v>
      </c>
      <c r="B1320">
        <v>603848.90356014902</v>
      </c>
      <c r="C1320">
        <v>0.119071966713065</v>
      </c>
      <c r="D1320">
        <v>7.3771399170669202E-2</v>
      </c>
      <c r="E1320">
        <v>0.480898891125911</v>
      </c>
      <c r="F1320">
        <v>1</v>
      </c>
      <c r="G1320" t="s">
        <v>11</v>
      </c>
      <c r="H1320">
        <v>1</v>
      </c>
      <c r="I1320">
        <v>290390.26812967297</v>
      </c>
      <c r="J1320">
        <v>0.519101108874088</v>
      </c>
      <c r="K1320" t="str">
        <f t="shared" si="160"/>
        <v>OK</v>
      </c>
      <c r="L1320" t="str">
        <f t="shared" si="161"/>
        <v>OK</v>
      </c>
      <c r="M1320" t="str">
        <f>IF(OR(B1320&lt;$AE$20,B1320&gt;$AF$20),"Outlier","OK")</f>
        <v>OK</v>
      </c>
      <c r="N1320" t="str">
        <f>IF(OR(J1320&lt;$AE$21,J1320&gt;$AF$21),"Outlier","OK")</f>
        <v>OK</v>
      </c>
      <c r="O1320" t="str">
        <f>IF(OR(C1320&lt;0,C1320&gt;1),"Outlier","OK")</f>
        <v>OK</v>
      </c>
      <c r="P1320" t="str">
        <f>IF(OR(D1320&lt;0,D1320&gt;1),"Outlier","OK")</f>
        <v>OK</v>
      </c>
      <c r="Q1320" t="str">
        <f t="shared" si="162"/>
        <v>40-60%</v>
      </c>
      <c r="R1320" t="str">
        <f>IF(B1320="","Missing","OK")</f>
        <v>OK</v>
      </c>
      <c r="S1320" t="str">
        <f>IF(E1320="","Missing","OK")</f>
        <v>OK</v>
      </c>
      <c r="T1320" t="str">
        <f t="shared" si="163"/>
        <v>OK</v>
      </c>
      <c r="U1320">
        <f>COUNTIF($A:$A,A1320)</f>
        <v>1</v>
      </c>
      <c r="V1320" t="str">
        <f t="shared" si="164"/>
        <v>OK</v>
      </c>
      <c r="W1320" t="str">
        <f>IF(I1320&gt;B1320,"ERROR","OK")</f>
        <v>OK</v>
      </c>
      <c r="X1320">
        <f>(B1320-I1320)/B1320</f>
        <v>0.51910110887408878</v>
      </c>
      <c r="Y1320" s="2">
        <f t="shared" si="165"/>
        <v>7.7715611723760958E-16</v>
      </c>
      <c r="Z1320" s="2" t="str">
        <f t="shared" si="166"/>
        <v>OK</v>
      </c>
      <c r="AA1320" t="str">
        <f t="shared" si="167"/>
        <v>Unique</v>
      </c>
    </row>
    <row r="1321" spans="1:27" x14ac:dyDescent="0.3">
      <c r="A1321">
        <v>1320</v>
      </c>
      <c r="B1321">
        <v>1881626.8541336199</v>
      </c>
      <c r="C1321">
        <v>0.86067076421032795</v>
      </c>
      <c r="D1321">
        <v>0.14292359248361</v>
      </c>
      <c r="E1321">
        <v>0.58085439891712098</v>
      </c>
      <c r="F1321">
        <v>1</v>
      </c>
      <c r="G1321" t="s">
        <v>11</v>
      </c>
      <c r="H1321">
        <v>1</v>
      </c>
      <c r="I1321">
        <v>1092951.2353441</v>
      </c>
      <c r="J1321">
        <v>0.41914560108287802</v>
      </c>
      <c r="K1321" t="str">
        <f t="shared" si="160"/>
        <v>OK</v>
      </c>
      <c r="L1321" t="str">
        <f t="shared" si="161"/>
        <v>OK</v>
      </c>
      <c r="M1321" t="str">
        <f>IF(OR(B1321&lt;$AE$20,B1321&gt;$AF$20),"Outlier","OK")</f>
        <v>OK</v>
      </c>
      <c r="N1321" t="str">
        <f>IF(OR(J1321&lt;$AE$21,J1321&gt;$AF$21),"Outlier","OK")</f>
        <v>OK</v>
      </c>
      <c r="O1321" t="str">
        <f>IF(OR(C1321&lt;0,C1321&gt;1),"Outlier","OK")</f>
        <v>OK</v>
      </c>
      <c r="P1321" t="str">
        <f>IF(OR(D1321&lt;0,D1321&gt;1),"Outlier","OK")</f>
        <v>OK</v>
      </c>
      <c r="Q1321" t="str">
        <f t="shared" si="162"/>
        <v>40-60%</v>
      </c>
      <c r="R1321" t="str">
        <f>IF(B1321="","Missing","OK")</f>
        <v>OK</v>
      </c>
      <c r="S1321" t="str">
        <f>IF(E1321="","Missing","OK")</f>
        <v>OK</v>
      </c>
      <c r="T1321" t="str">
        <f t="shared" si="163"/>
        <v>OK</v>
      </c>
      <c r="U1321">
        <f>COUNTIF($A:$A,A1321)</f>
        <v>1</v>
      </c>
      <c r="V1321" t="str">
        <f t="shared" si="164"/>
        <v>OK</v>
      </c>
      <c r="W1321" t="str">
        <f>IF(I1321&gt;B1321,"ERROR","OK")</f>
        <v>OK</v>
      </c>
      <c r="X1321">
        <f>(B1321-I1321)/B1321</f>
        <v>0.41914560108287746</v>
      </c>
      <c r="Y1321" s="2">
        <f t="shared" si="165"/>
        <v>5.5511151231257827E-16</v>
      </c>
      <c r="Z1321" s="2" t="str">
        <f t="shared" si="166"/>
        <v>OK</v>
      </c>
      <c r="AA1321" t="str">
        <f t="shared" si="167"/>
        <v>Unique</v>
      </c>
    </row>
    <row r="1322" spans="1:27" x14ac:dyDescent="0.3">
      <c r="A1322">
        <v>1321</v>
      </c>
      <c r="B1322">
        <v>932425.99450389401</v>
      </c>
      <c r="C1322">
        <v>0.247326203836333</v>
      </c>
      <c r="D1322">
        <v>0.19039981586281199</v>
      </c>
      <c r="E1322">
        <v>0.33028845542410501</v>
      </c>
      <c r="F1322">
        <v>1</v>
      </c>
      <c r="G1322" t="s">
        <v>10</v>
      </c>
      <c r="H1322">
        <v>1</v>
      </c>
      <c r="I1322">
        <v>307969.541521976</v>
      </c>
      <c r="J1322">
        <v>0.66971154457589499</v>
      </c>
      <c r="K1322" t="str">
        <f t="shared" si="160"/>
        <v>OK</v>
      </c>
      <c r="L1322" t="str">
        <f t="shared" si="161"/>
        <v>OK</v>
      </c>
      <c r="M1322" t="str">
        <f>IF(OR(B1322&lt;$AE$20,B1322&gt;$AF$20),"Outlier","OK")</f>
        <v>OK</v>
      </c>
      <c r="N1322" t="str">
        <f>IF(OR(J1322&lt;$AE$21,J1322&gt;$AF$21),"Outlier","OK")</f>
        <v>OK</v>
      </c>
      <c r="O1322" t="str">
        <f>IF(OR(C1322&lt;0,C1322&gt;1),"Outlier","OK")</f>
        <v>OK</v>
      </c>
      <c r="P1322" t="str">
        <f>IF(OR(D1322&lt;0,D1322&gt;1),"Outlier","OK")</f>
        <v>OK</v>
      </c>
      <c r="Q1322" t="str">
        <f t="shared" si="162"/>
        <v>60-80%</v>
      </c>
      <c r="R1322" t="str">
        <f>IF(B1322="","Missing","OK")</f>
        <v>OK</v>
      </c>
      <c r="S1322" t="str">
        <f>IF(E1322="","Missing","OK")</f>
        <v>OK</v>
      </c>
      <c r="T1322" t="str">
        <f t="shared" si="163"/>
        <v>OK</v>
      </c>
      <c r="U1322">
        <f>COUNTIF($A:$A,A1322)</f>
        <v>1</v>
      </c>
      <c r="V1322" t="str">
        <f t="shared" si="164"/>
        <v>OK</v>
      </c>
      <c r="W1322" t="str">
        <f>IF(I1322&gt;B1322,"ERROR","OK")</f>
        <v>OK</v>
      </c>
      <c r="X1322">
        <f>(B1322-I1322)/B1322</f>
        <v>0.66971154457589521</v>
      </c>
      <c r="Y1322" s="2">
        <f t="shared" si="165"/>
        <v>2.2204460492503131E-16</v>
      </c>
      <c r="Z1322" s="2" t="str">
        <f t="shared" si="166"/>
        <v>OK</v>
      </c>
      <c r="AA1322" t="str">
        <f t="shared" si="167"/>
        <v>Unique</v>
      </c>
    </row>
    <row r="1323" spans="1:27" x14ac:dyDescent="0.3">
      <c r="A1323">
        <v>1322</v>
      </c>
      <c r="B1323">
        <v>1262597.2653429301</v>
      </c>
      <c r="C1323">
        <v>0.86020105891041598</v>
      </c>
      <c r="D1323">
        <v>0.19281254119586799</v>
      </c>
      <c r="E1323">
        <v>0.48052342001881598</v>
      </c>
      <c r="F1323">
        <v>1</v>
      </c>
      <c r="G1323" t="s">
        <v>11</v>
      </c>
      <c r="H1323">
        <v>0</v>
      </c>
      <c r="I1323">
        <v>606707.55604899395</v>
      </c>
      <c r="J1323">
        <v>0.51947657998118302</v>
      </c>
      <c r="K1323" t="str">
        <f t="shared" si="160"/>
        <v>OK</v>
      </c>
      <c r="L1323" t="str">
        <f t="shared" si="161"/>
        <v>OK</v>
      </c>
      <c r="M1323" t="str">
        <f>IF(OR(B1323&lt;$AE$20,B1323&gt;$AF$20),"Outlier","OK")</f>
        <v>OK</v>
      </c>
      <c r="N1323" t="str">
        <f>IF(OR(J1323&lt;$AE$21,J1323&gt;$AF$21),"Outlier","OK")</f>
        <v>OK</v>
      </c>
      <c r="O1323" t="str">
        <f>IF(OR(C1323&lt;0,C1323&gt;1),"Outlier","OK")</f>
        <v>OK</v>
      </c>
      <c r="P1323" t="str">
        <f>IF(OR(D1323&lt;0,D1323&gt;1),"Outlier","OK")</f>
        <v>OK</v>
      </c>
      <c r="Q1323" t="str">
        <f t="shared" si="162"/>
        <v>40-60%</v>
      </c>
      <c r="R1323" t="str">
        <f>IF(B1323="","Missing","OK")</f>
        <v>OK</v>
      </c>
      <c r="S1323" t="str">
        <f>IF(E1323="","Missing","OK")</f>
        <v>OK</v>
      </c>
      <c r="T1323" t="str">
        <f t="shared" si="163"/>
        <v>OK</v>
      </c>
      <c r="U1323">
        <f>COUNTIF($A:$A,A1323)</f>
        <v>1</v>
      </c>
      <c r="V1323" t="str">
        <f t="shared" si="164"/>
        <v>OK</v>
      </c>
      <c r="W1323" t="str">
        <f>IF(I1323&gt;B1323,"ERROR","OK")</f>
        <v>OK</v>
      </c>
      <c r="X1323">
        <f>(B1323-I1323)/B1323</f>
        <v>0.51947657998118024</v>
      </c>
      <c r="Y1323" s="2">
        <f t="shared" si="165"/>
        <v>2.7755575615628914E-15</v>
      </c>
      <c r="Z1323" s="2" t="str">
        <f t="shared" si="166"/>
        <v>OK</v>
      </c>
      <c r="AA1323" t="str">
        <f t="shared" si="167"/>
        <v>Unique</v>
      </c>
    </row>
    <row r="1324" spans="1:27" x14ac:dyDescent="0.3">
      <c r="A1324">
        <v>1323</v>
      </c>
      <c r="B1324">
        <v>85702.657290016694</v>
      </c>
      <c r="C1324">
        <v>0.19738711483231</v>
      </c>
      <c r="D1324">
        <v>0.16598915210581</v>
      </c>
      <c r="E1324">
        <v>0.29199870465092098</v>
      </c>
      <c r="F1324">
        <v>1</v>
      </c>
      <c r="G1324" t="s">
        <v>10</v>
      </c>
      <c r="H1324">
        <v>1</v>
      </c>
      <c r="I1324">
        <v>25025.0649138267</v>
      </c>
      <c r="J1324">
        <v>0.70800129534907796</v>
      </c>
      <c r="K1324" t="str">
        <f t="shared" si="160"/>
        <v>OK</v>
      </c>
      <c r="L1324" t="str">
        <f t="shared" si="161"/>
        <v>OK</v>
      </c>
      <c r="M1324" t="str">
        <f>IF(OR(B1324&lt;$AE$20,B1324&gt;$AF$20),"Outlier","OK")</f>
        <v>OK</v>
      </c>
      <c r="N1324" t="str">
        <f>IF(OR(J1324&lt;$AE$21,J1324&gt;$AF$21),"Outlier","OK")</f>
        <v>OK</v>
      </c>
      <c r="O1324" t="str">
        <f>IF(OR(C1324&lt;0,C1324&gt;1),"Outlier","OK")</f>
        <v>OK</v>
      </c>
      <c r="P1324" t="str">
        <f>IF(OR(D1324&lt;0,D1324&gt;1),"Outlier","OK")</f>
        <v>OK</v>
      </c>
      <c r="Q1324" t="str">
        <f t="shared" si="162"/>
        <v>60-80%</v>
      </c>
      <c r="R1324" t="str">
        <f>IF(B1324="","Missing","OK")</f>
        <v>OK</v>
      </c>
      <c r="S1324" t="str">
        <f>IF(E1324="","Missing","OK")</f>
        <v>OK</v>
      </c>
      <c r="T1324" t="str">
        <f t="shared" si="163"/>
        <v>OK</v>
      </c>
      <c r="U1324">
        <f>COUNTIF($A:$A,A1324)</f>
        <v>1</v>
      </c>
      <c r="V1324" t="str">
        <f t="shared" si="164"/>
        <v>OK</v>
      </c>
      <c r="W1324" t="str">
        <f>IF(I1324&gt;B1324,"ERROR","OK")</f>
        <v>OK</v>
      </c>
      <c r="X1324">
        <f>(B1324-I1324)/B1324</f>
        <v>0.70800129534907885</v>
      </c>
      <c r="Y1324" s="2">
        <f t="shared" si="165"/>
        <v>8.8817841970012523E-16</v>
      </c>
      <c r="Z1324" s="2" t="str">
        <f t="shared" si="166"/>
        <v>OK</v>
      </c>
      <c r="AA1324" t="str">
        <f t="shared" si="167"/>
        <v>Unique</v>
      </c>
    </row>
    <row r="1325" spans="1:27" x14ac:dyDescent="0.3">
      <c r="A1325">
        <v>1324</v>
      </c>
      <c r="B1325">
        <v>1060139.09380981</v>
      </c>
      <c r="C1325">
        <v>0.80943876091673295</v>
      </c>
      <c r="D1325">
        <v>0.111357358937726</v>
      </c>
      <c r="E1325">
        <v>0.15501557109936301</v>
      </c>
      <c r="F1325">
        <v>1</v>
      </c>
      <c r="G1325" t="s">
        <v>12</v>
      </c>
      <c r="H1325">
        <v>1</v>
      </c>
      <c r="I1325">
        <v>164338.06707169101</v>
      </c>
      <c r="J1325">
        <v>0.84498442890063596</v>
      </c>
      <c r="K1325" t="str">
        <f t="shared" si="160"/>
        <v>OK</v>
      </c>
      <c r="L1325" t="str">
        <f t="shared" si="161"/>
        <v>OK</v>
      </c>
      <c r="M1325" t="str">
        <f>IF(OR(B1325&lt;$AE$20,B1325&gt;$AF$20),"Outlier","OK")</f>
        <v>OK</v>
      </c>
      <c r="N1325" t="str">
        <f>IF(OR(J1325&lt;$AE$21,J1325&gt;$AF$21),"Outlier","OK")</f>
        <v>OK</v>
      </c>
      <c r="O1325" t="str">
        <f>IF(OR(C1325&lt;0,C1325&gt;1),"Outlier","OK")</f>
        <v>OK</v>
      </c>
      <c r="P1325" t="str">
        <f>IF(OR(D1325&lt;0,D1325&gt;1),"Outlier","OK")</f>
        <v>OK</v>
      </c>
      <c r="Q1325" t="str">
        <f t="shared" si="162"/>
        <v>80-100%</v>
      </c>
      <c r="R1325" t="str">
        <f>IF(B1325="","Missing","OK")</f>
        <v>OK</v>
      </c>
      <c r="S1325" t="str">
        <f>IF(E1325="","Missing","OK")</f>
        <v>OK</v>
      </c>
      <c r="T1325" t="str">
        <f t="shared" si="163"/>
        <v>OK</v>
      </c>
      <c r="U1325">
        <f>COUNTIF($A:$A,A1325)</f>
        <v>1</v>
      </c>
      <c r="V1325" t="str">
        <f t="shared" si="164"/>
        <v>OK</v>
      </c>
      <c r="W1325" t="str">
        <f>IF(I1325&gt;B1325,"ERROR","OK")</f>
        <v>OK</v>
      </c>
      <c r="X1325">
        <f>(B1325-I1325)/B1325</f>
        <v>0.84498442890063497</v>
      </c>
      <c r="Y1325" s="2">
        <f t="shared" si="165"/>
        <v>9.9920072216264089E-16</v>
      </c>
      <c r="Z1325" s="2" t="str">
        <f t="shared" si="166"/>
        <v>OK</v>
      </c>
      <c r="AA1325" t="str">
        <f t="shared" si="167"/>
        <v>Unique</v>
      </c>
    </row>
    <row r="1326" spans="1:27" x14ac:dyDescent="0.3">
      <c r="A1326">
        <v>1325</v>
      </c>
      <c r="B1326">
        <v>1393828.5968357699</v>
      </c>
      <c r="C1326">
        <v>0.84637066735062105</v>
      </c>
      <c r="D1326">
        <v>-9.2356014290327901E-2</v>
      </c>
      <c r="E1326">
        <v>0.258346139596762</v>
      </c>
      <c r="F1326">
        <v>1</v>
      </c>
      <c r="G1326" t="s">
        <v>13</v>
      </c>
      <c r="H1326">
        <v>0</v>
      </c>
      <c r="I1326">
        <v>360090.23725209502</v>
      </c>
      <c r="J1326">
        <v>0.741653860403237</v>
      </c>
      <c r="K1326" t="str">
        <f t="shared" si="160"/>
        <v>OK</v>
      </c>
      <c r="L1326" t="str">
        <f t="shared" si="161"/>
        <v>OK</v>
      </c>
      <c r="M1326" t="str">
        <f>IF(OR(B1326&lt;$AE$20,B1326&gt;$AF$20),"Outlier","OK")</f>
        <v>OK</v>
      </c>
      <c r="N1326" t="str">
        <f>IF(OR(J1326&lt;$AE$21,J1326&gt;$AF$21),"Outlier","OK")</f>
        <v>OK</v>
      </c>
      <c r="O1326" t="str">
        <f>IF(OR(C1326&lt;0,C1326&gt;1),"Outlier","OK")</f>
        <v>OK</v>
      </c>
      <c r="P1326" t="str">
        <f>IF(OR(D1326&lt;0,D1326&gt;1),"Outlier","OK")</f>
        <v>Outlier</v>
      </c>
      <c r="Q1326" t="str">
        <f t="shared" si="162"/>
        <v>60-80%</v>
      </c>
      <c r="R1326" t="str">
        <f>IF(B1326="","Missing","OK")</f>
        <v>OK</v>
      </c>
      <c r="S1326" t="str">
        <f>IF(E1326="","Missing","OK")</f>
        <v>OK</v>
      </c>
      <c r="T1326" t="str">
        <f t="shared" si="163"/>
        <v>OK</v>
      </c>
      <c r="U1326">
        <f>COUNTIF($A:$A,A1326)</f>
        <v>1</v>
      </c>
      <c r="V1326" t="str">
        <f t="shared" si="164"/>
        <v>OK</v>
      </c>
      <c r="W1326" t="str">
        <f>IF(I1326&gt;B1326,"ERROR","OK")</f>
        <v>OK</v>
      </c>
      <c r="X1326">
        <f>(B1326-I1326)/B1326</f>
        <v>0.74165386040323633</v>
      </c>
      <c r="Y1326" s="2">
        <f t="shared" si="165"/>
        <v>6.6613381477509392E-16</v>
      </c>
      <c r="Z1326" s="2" t="str">
        <f t="shared" si="166"/>
        <v>OK</v>
      </c>
      <c r="AA1326" t="str">
        <f t="shared" si="167"/>
        <v>Unique</v>
      </c>
    </row>
    <row r="1327" spans="1:27" x14ac:dyDescent="0.3">
      <c r="A1327">
        <v>1326</v>
      </c>
      <c r="B1327">
        <v>164819.47652427299</v>
      </c>
      <c r="C1327">
        <v>0.68612369174204002</v>
      </c>
      <c r="D1327">
        <v>-0.11367032808256899</v>
      </c>
      <c r="E1327">
        <v>0.14687436071458801</v>
      </c>
      <c r="F1327">
        <v>1</v>
      </c>
      <c r="G1327" t="s">
        <v>13</v>
      </c>
      <c r="H1327">
        <v>0</v>
      </c>
      <c r="I1327">
        <v>24207.7552478158</v>
      </c>
      <c r="J1327">
        <v>0.85312563928541096</v>
      </c>
      <c r="K1327" t="str">
        <f t="shared" si="160"/>
        <v>OK</v>
      </c>
      <c r="L1327" t="str">
        <f t="shared" si="161"/>
        <v>OK</v>
      </c>
      <c r="M1327" t="str">
        <f>IF(OR(B1327&lt;$AE$20,B1327&gt;$AF$20),"Outlier","OK")</f>
        <v>OK</v>
      </c>
      <c r="N1327" t="str">
        <f>IF(OR(J1327&lt;$AE$21,J1327&gt;$AF$21),"Outlier","OK")</f>
        <v>OK</v>
      </c>
      <c r="O1327" t="str">
        <f>IF(OR(C1327&lt;0,C1327&gt;1),"Outlier","OK")</f>
        <v>OK</v>
      </c>
      <c r="P1327" t="str">
        <f>IF(OR(D1327&lt;0,D1327&gt;1),"Outlier","OK")</f>
        <v>Outlier</v>
      </c>
      <c r="Q1327" t="str">
        <f t="shared" si="162"/>
        <v>80-100%</v>
      </c>
      <c r="R1327" t="str">
        <f>IF(B1327="","Missing","OK")</f>
        <v>OK</v>
      </c>
      <c r="S1327" t="str">
        <f>IF(E1327="","Missing","OK")</f>
        <v>OK</v>
      </c>
      <c r="T1327" t="str">
        <f t="shared" si="163"/>
        <v>OK</v>
      </c>
      <c r="U1327">
        <f>COUNTIF($A:$A,A1327)</f>
        <v>1</v>
      </c>
      <c r="V1327" t="str">
        <f t="shared" si="164"/>
        <v>OK</v>
      </c>
      <c r="W1327" t="str">
        <f>IF(I1327&gt;B1327,"ERROR","OK")</f>
        <v>OK</v>
      </c>
      <c r="X1327">
        <f>(B1327-I1327)/B1327</f>
        <v>0.85312563928541096</v>
      </c>
      <c r="Y1327" s="2">
        <f t="shared" si="165"/>
        <v>0</v>
      </c>
      <c r="Z1327" s="2" t="str">
        <f t="shared" si="166"/>
        <v>OK</v>
      </c>
      <c r="AA1327" t="str">
        <f t="shared" si="167"/>
        <v>Unique</v>
      </c>
    </row>
    <row r="1328" spans="1:27" x14ac:dyDescent="0.3">
      <c r="A1328">
        <v>1327</v>
      </c>
      <c r="B1328">
        <v>274804.83943802101</v>
      </c>
      <c r="C1328">
        <v>0.39013106561552102</v>
      </c>
      <c r="D1328">
        <v>-0.14952700794553</v>
      </c>
      <c r="E1328">
        <v>0.64131921602756004</v>
      </c>
      <c r="F1328">
        <v>1</v>
      </c>
      <c r="G1328" t="s">
        <v>11</v>
      </c>
      <c r="H1328">
        <v>0</v>
      </c>
      <c r="I1328">
        <v>176237.62418897101</v>
      </c>
      <c r="J1328">
        <v>0.35868078397243902</v>
      </c>
      <c r="K1328" t="str">
        <f t="shared" si="160"/>
        <v>OK</v>
      </c>
      <c r="L1328" t="str">
        <f t="shared" si="161"/>
        <v>OK</v>
      </c>
      <c r="M1328" t="str">
        <f>IF(OR(B1328&lt;$AE$20,B1328&gt;$AF$20),"Outlier","OK")</f>
        <v>OK</v>
      </c>
      <c r="N1328" t="str">
        <f>IF(OR(J1328&lt;$AE$21,J1328&gt;$AF$21),"Outlier","OK")</f>
        <v>OK</v>
      </c>
      <c r="O1328" t="str">
        <f>IF(OR(C1328&lt;0,C1328&gt;1),"Outlier","OK")</f>
        <v>OK</v>
      </c>
      <c r="P1328" t="str">
        <f>IF(OR(D1328&lt;0,D1328&gt;1),"Outlier","OK")</f>
        <v>Outlier</v>
      </c>
      <c r="Q1328" t="str">
        <f t="shared" si="162"/>
        <v>20-40%</v>
      </c>
      <c r="R1328" t="str">
        <f>IF(B1328="","Missing","OK")</f>
        <v>OK</v>
      </c>
      <c r="S1328" t="str">
        <f>IF(E1328="","Missing","OK")</f>
        <v>OK</v>
      </c>
      <c r="T1328" t="str">
        <f t="shared" si="163"/>
        <v>OK</v>
      </c>
      <c r="U1328">
        <f>COUNTIF($A:$A,A1328)</f>
        <v>1</v>
      </c>
      <c r="V1328" t="str">
        <f t="shared" si="164"/>
        <v>OK</v>
      </c>
      <c r="W1328" t="str">
        <f>IF(I1328&gt;B1328,"ERROR","OK")</f>
        <v>OK</v>
      </c>
      <c r="X1328">
        <f>(B1328-I1328)/B1328</f>
        <v>0.35868078397244046</v>
      </c>
      <c r="Y1328" s="2">
        <f t="shared" si="165"/>
        <v>1.4432899320127035E-15</v>
      </c>
      <c r="Z1328" s="2" t="str">
        <f t="shared" si="166"/>
        <v>OK</v>
      </c>
      <c r="AA1328" t="str">
        <f t="shared" si="167"/>
        <v>Unique</v>
      </c>
    </row>
    <row r="1329" spans="1:27" x14ac:dyDescent="0.3">
      <c r="A1329">
        <v>1328</v>
      </c>
      <c r="B1329">
        <v>768320.12924743199</v>
      </c>
      <c r="C1329">
        <v>0.72143332089430601</v>
      </c>
      <c r="D1329">
        <v>0.15116090496207901</v>
      </c>
      <c r="E1329">
        <v>0.37112986380241902</v>
      </c>
      <c r="F1329">
        <v>1</v>
      </c>
      <c r="G1329" t="s">
        <v>11</v>
      </c>
      <c r="H1329">
        <v>1</v>
      </c>
      <c r="I1329">
        <v>285146.54492425598</v>
      </c>
      <c r="J1329">
        <v>0.62887013619758003</v>
      </c>
      <c r="K1329" t="str">
        <f t="shared" si="160"/>
        <v>OK</v>
      </c>
      <c r="L1329" t="str">
        <f t="shared" si="161"/>
        <v>OK</v>
      </c>
      <c r="M1329" t="str">
        <f>IF(OR(B1329&lt;$AE$20,B1329&gt;$AF$20),"Outlier","OK")</f>
        <v>OK</v>
      </c>
      <c r="N1329" t="str">
        <f>IF(OR(J1329&lt;$AE$21,J1329&gt;$AF$21),"Outlier","OK")</f>
        <v>OK</v>
      </c>
      <c r="O1329" t="str">
        <f>IF(OR(C1329&lt;0,C1329&gt;1),"Outlier","OK")</f>
        <v>OK</v>
      </c>
      <c r="P1329" t="str">
        <f>IF(OR(D1329&lt;0,D1329&gt;1),"Outlier","OK")</f>
        <v>OK</v>
      </c>
      <c r="Q1329" t="str">
        <f t="shared" si="162"/>
        <v>60-80%</v>
      </c>
      <c r="R1329" t="str">
        <f>IF(B1329="","Missing","OK")</f>
        <v>OK</v>
      </c>
      <c r="S1329" t="str">
        <f>IF(E1329="","Missing","OK")</f>
        <v>OK</v>
      </c>
      <c r="T1329" t="str">
        <f t="shared" si="163"/>
        <v>OK</v>
      </c>
      <c r="U1329">
        <f>COUNTIF($A:$A,A1329)</f>
        <v>1</v>
      </c>
      <c r="V1329" t="str">
        <f t="shared" si="164"/>
        <v>OK</v>
      </c>
      <c r="W1329" t="str">
        <f>IF(I1329&gt;B1329,"ERROR","OK")</f>
        <v>OK</v>
      </c>
      <c r="X1329">
        <f>(B1329-I1329)/B1329</f>
        <v>0.62887013619758159</v>
      </c>
      <c r="Y1329" s="2">
        <f t="shared" si="165"/>
        <v>1.5543122344752192E-15</v>
      </c>
      <c r="Z1329" s="2" t="str">
        <f t="shared" si="166"/>
        <v>OK</v>
      </c>
      <c r="AA1329" t="str">
        <f t="shared" si="167"/>
        <v>Unique</v>
      </c>
    </row>
    <row r="1330" spans="1:27" x14ac:dyDescent="0.3">
      <c r="A1330">
        <v>1329</v>
      </c>
      <c r="B1330">
        <v>1891694.5883929399</v>
      </c>
      <c r="C1330">
        <v>0.74223199047627897</v>
      </c>
      <c r="D1330">
        <v>5.0264112784147302E-2</v>
      </c>
      <c r="E1330">
        <v>0.19543625247848101</v>
      </c>
      <c r="F1330">
        <v>1</v>
      </c>
      <c r="G1330" t="s">
        <v>10</v>
      </c>
      <c r="H1330">
        <v>1</v>
      </c>
      <c r="I1330">
        <v>369705.70118933899</v>
      </c>
      <c r="J1330">
        <v>0.80456374752151905</v>
      </c>
      <c r="K1330" t="str">
        <f t="shared" si="160"/>
        <v>OK</v>
      </c>
      <c r="L1330" t="str">
        <f t="shared" si="161"/>
        <v>OK</v>
      </c>
      <c r="M1330" t="str">
        <f>IF(OR(B1330&lt;$AE$20,B1330&gt;$AF$20),"Outlier","OK")</f>
        <v>OK</v>
      </c>
      <c r="N1330" t="str">
        <f>IF(OR(J1330&lt;$AE$21,J1330&gt;$AF$21),"Outlier","OK")</f>
        <v>OK</v>
      </c>
      <c r="O1330" t="str">
        <f>IF(OR(C1330&lt;0,C1330&gt;1),"Outlier","OK")</f>
        <v>OK</v>
      </c>
      <c r="P1330" t="str">
        <f>IF(OR(D1330&lt;0,D1330&gt;1),"Outlier","OK")</f>
        <v>OK</v>
      </c>
      <c r="Q1330" t="str">
        <f t="shared" si="162"/>
        <v>80-100%</v>
      </c>
      <c r="R1330" t="str">
        <f>IF(B1330="","Missing","OK")</f>
        <v>OK</v>
      </c>
      <c r="S1330" t="str">
        <f>IF(E1330="","Missing","OK")</f>
        <v>OK</v>
      </c>
      <c r="T1330" t="str">
        <f t="shared" si="163"/>
        <v>OK</v>
      </c>
      <c r="U1330">
        <f>COUNTIF($A:$A,A1330)</f>
        <v>1</v>
      </c>
      <c r="V1330" t="str">
        <f t="shared" si="164"/>
        <v>OK</v>
      </c>
      <c r="W1330" t="str">
        <f>IF(I1330&gt;B1330,"ERROR","OK")</f>
        <v>OK</v>
      </c>
      <c r="X1330">
        <f>(B1330-I1330)/B1330</f>
        <v>0.80456374752151893</v>
      </c>
      <c r="Y1330" s="2">
        <f t="shared" si="165"/>
        <v>1.1102230246251565E-16</v>
      </c>
      <c r="Z1330" s="2" t="str">
        <f t="shared" si="166"/>
        <v>OK</v>
      </c>
      <c r="AA1330" t="str">
        <f t="shared" si="167"/>
        <v>Unique</v>
      </c>
    </row>
    <row r="1331" spans="1:27" x14ac:dyDescent="0.3">
      <c r="A1331">
        <v>1330</v>
      </c>
      <c r="B1331">
        <v>535156.10730294301</v>
      </c>
      <c r="C1331">
        <v>0.81426959741394001</v>
      </c>
      <c r="D1331">
        <v>0.190128530212297</v>
      </c>
      <c r="E1331">
        <v>0.53430734682497005</v>
      </c>
      <c r="F1331">
        <v>1</v>
      </c>
      <c r="G1331" t="s">
        <v>10</v>
      </c>
      <c r="H1331">
        <v>1</v>
      </c>
      <c r="I1331">
        <v>285937.83983021497</v>
      </c>
      <c r="J1331">
        <v>0.465692653175029</v>
      </c>
      <c r="K1331" t="str">
        <f t="shared" si="160"/>
        <v>OK</v>
      </c>
      <c r="L1331" t="str">
        <f t="shared" si="161"/>
        <v>OK</v>
      </c>
      <c r="M1331" t="str">
        <f>IF(OR(B1331&lt;$AE$20,B1331&gt;$AF$20),"Outlier","OK")</f>
        <v>OK</v>
      </c>
      <c r="N1331" t="str">
        <f>IF(OR(J1331&lt;$AE$21,J1331&gt;$AF$21),"Outlier","OK")</f>
        <v>OK</v>
      </c>
      <c r="O1331" t="str">
        <f>IF(OR(C1331&lt;0,C1331&gt;1),"Outlier","OK")</f>
        <v>OK</v>
      </c>
      <c r="P1331" t="str">
        <f>IF(OR(D1331&lt;0,D1331&gt;1),"Outlier","OK")</f>
        <v>OK</v>
      </c>
      <c r="Q1331" t="str">
        <f t="shared" si="162"/>
        <v>40-60%</v>
      </c>
      <c r="R1331" t="str">
        <f>IF(B1331="","Missing","OK")</f>
        <v>OK</v>
      </c>
      <c r="S1331" t="str">
        <f>IF(E1331="","Missing","OK")</f>
        <v>OK</v>
      </c>
      <c r="T1331" t="str">
        <f t="shared" si="163"/>
        <v>OK</v>
      </c>
      <c r="U1331">
        <f>COUNTIF($A:$A,A1331)</f>
        <v>1</v>
      </c>
      <c r="V1331" t="str">
        <f t="shared" si="164"/>
        <v>OK</v>
      </c>
      <c r="W1331" t="str">
        <f>IF(I1331&gt;B1331,"ERROR","OK")</f>
        <v>OK</v>
      </c>
      <c r="X1331">
        <f>(B1331-I1331)/B1331</f>
        <v>0.465692653175029</v>
      </c>
      <c r="Y1331" s="2">
        <f t="shared" si="165"/>
        <v>0</v>
      </c>
      <c r="Z1331" s="2" t="str">
        <f t="shared" si="166"/>
        <v>OK</v>
      </c>
      <c r="AA1331" t="str">
        <f t="shared" si="167"/>
        <v>Unique</v>
      </c>
    </row>
    <row r="1332" spans="1:27" x14ac:dyDescent="0.3">
      <c r="A1332">
        <v>1331</v>
      </c>
      <c r="B1332">
        <v>92125.211650228593</v>
      </c>
      <c r="C1332">
        <v>0.12892968418823</v>
      </c>
      <c r="D1332">
        <v>1.16310386123558E-4</v>
      </c>
      <c r="E1332">
        <v>0.214315079304845</v>
      </c>
      <c r="F1332">
        <v>1</v>
      </c>
      <c r="G1332" t="s">
        <v>10</v>
      </c>
      <c r="H1332">
        <v>0</v>
      </c>
      <c r="I1332">
        <v>19743.822040794399</v>
      </c>
      <c r="J1332">
        <v>0.78568492069515405</v>
      </c>
      <c r="K1332" t="str">
        <f t="shared" si="160"/>
        <v>OK</v>
      </c>
      <c r="L1332" t="str">
        <f t="shared" si="161"/>
        <v>OK</v>
      </c>
      <c r="M1332" t="str">
        <f>IF(OR(B1332&lt;$AE$20,B1332&gt;$AF$20),"Outlier","OK")</f>
        <v>OK</v>
      </c>
      <c r="N1332" t="str">
        <f>IF(OR(J1332&lt;$AE$21,J1332&gt;$AF$21),"Outlier","OK")</f>
        <v>OK</v>
      </c>
      <c r="O1332" t="str">
        <f>IF(OR(C1332&lt;0,C1332&gt;1),"Outlier","OK")</f>
        <v>OK</v>
      </c>
      <c r="P1332" t="str">
        <f>IF(OR(D1332&lt;0,D1332&gt;1),"Outlier","OK")</f>
        <v>OK</v>
      </c>
      <c r="Q1332" t="str">
        <f t="shared" si="162"/>
        <v>60-80%</v>
      </c>
      <c r="R1332" t="str">
        <f>IF(B1332="","Missing","OK")</f>
        <v>OK</v>
      </c>
      <c r="S1332" t="str">
        <f>IF(E1332="","Missing","OK")</f>
        <v>OK</v>
      </c>
      <c r="T1332" t="str">
        <f t="shared" si="163"/>
        <v>OK</v>
      </c>
      <c r="U1332">
        <f>COUNTIF($A:$A,A1332)</f>
        <v>1</v>
      </c>
      <c r="V1332" t="str">
        <f t="shared" si="164"/>
        <v>OK</v>
      </c>
      <c r="W1332" t="str">
        <f>IF(I1332&gt;B1332,"ERROR","OK")</f>
        <v>OK</v>
      </c>
      <c r="X1332">
        <f>(B1332-I1332)/B1332</f>
        <v>0.78568492069515461</v>
      </c>
      <c r="Y1332" s="2">
        <f t="shared" si="165"/>
        <v>5.5511151231257827E-16</v>
      </c>
      <c r="Z1332" s="2" t="str">
        <f t="shared" si="166"/>
        <v>OK</v>
      </c>
      <c r="AA1332" t="str">
        <f t="shared" si="167"/>
        <v>Unique</v>
      </c>
    </row>
    <row r="1333" spans="1:27" x14ac:dyDescent="0.3">
      <c r="A1333">
        <v>1332</v>
      </c>
      <c r="B1333">
        <v>1628093.0212429699</v>
      </c>
      <c r="C1333">
        <v>0.721588721056169</v>
      </c>
      <c r="D1333">
        <v>-0.14055570102062101</v>
      </c>
      <c r="E1333">
        <v>0.20914111338807201</v>
      </c>
      <c r="F1333">
        <v>1</v>
      </c>
      <c r="G1333" t="s">
        <v>11</v>
      </c>
      <c r="H1333">
        <v>0</v>
      </c>
      <c r="I1333">
        <v>340501.18716210598</v>
      </c>
      <c r="J1333">
        <v>0.79085888661192705</v>
      </c>
      <c r="K1333" t="str">
        <f t="shared" si="160"/>
        <v>OK</v>
      </c>
      <c r="L1333" t="str">
        <f t="shared" si="161"/>
        <v>OK</v>
      </c>
      <c r="M1333" t="str">
        <f>IF(OR(B1333&lt;$AE$20,B1333&gt;$AF$20),"Outlier","OK")</f>
        <v>OK</v>
      </c>
      <c r="N1333" t="str">
        <f>IF(OR(J1333&lt;$AE$21,J1333&gt;$AF$21),"Outlier","OK")</f>
        <v>OK</v>
      </c>
      <c r="O1333" t="str">
        <f>IF(OR(C1333&lt;0,C1333&gt;1),"Outlier","OK")</f>
        <v>OK</v>
      </c>
      <c r="P1333" t="str">
        <f>IF(OR(D1333&lt;0,D1333&gt;1),"Outlier","OK")</f>
        <v>Outlier</v>
      </c>
      <c r="Q1333" t="str">
        <f t="shared" si="162"/>
        <v>60-80%</v>
      </c>
      <c r="R1333" t="str">
        <f>IF(B1333="","Missing","OK")</f>
        <v>OK</v>
      </c>
      <c r="S1333" t="str">
        <f>IF(E1333="","Missing","OK")</f>
        <v>OK</v>
      </c>
      <c r="T1333" t="str">
        <f t="shared" si="163"/>
        <v>OK</v>
      </c>
      <c r="U1333">
        <f>COUNTIF($A:$A,A1333)</f>
        <v>1</v>
      </c>
      <c r="V1333" t="str">
        <f t="shared" si="164"/>
        <v>OK</v>
      </c>
      <c r="W1333" t="str">
        <f>IF(I1333&gt;B1333,"ERROR","OK")</f>
        <v>OK</v>
      </c>
      <c r="X1333">
        <f>(B1333-I1333)/B1333</f>
        <v>0.79085888661192727</v>
      </c>
      <c r="Y1333" s="2">
        <f t="shared" si="165"/>
        <v>2.2204460492503131E-16</v>
      </c>
      <c r="Z1333" s="2" t="str">
        <f t="shared" si="166"/>
        <v>OK</v>
      </c>
      <c r="AA1333" t="str">
        <f t="shared" si="167"/>
        <v>Unique</v>
      </c>
    </row>
    <row r="1334" spans="1:27" x14ac:dyDescent="0.3">
      <c r="A1334">
        <v>1333</v>
      </c>
      <c r="B1334">
        <v>1706034.3355056499</v>
      </c>
      <c r="C1334">
        <v>0.78520763251012504</v>
      </c>
      <c r="D1334">
        <v>-7.96263070779787E-2</v>
      </c>
      <c r="E1334">
        <v>0.10604695230931099</v>
      </c>
      <c r="F1334">
        <v>1</v>
      </c>
      <c r="G1334" t="s">
        <v>12</v>
      </c>
      <c r="H1334">
        <v>1</v>
      </c>
      <c r="I1334">
        <v>180919.74181541501</v>
      </c>
      <c r="J1334">
        <v>0.89395304769068795</v>
      </c>
      <c r="K1334" t="str">
        <f t="shared" si="160"/>
        <v>OK</v>
      </c>
      <c r="L1334" t="str">
        <f t="shared" si="161"/>
        <v>OK</v>
      </c>
      <c r="M1334" t="str">
        <f>IF(OR(B1334&lt;$AE$20,B1334&gt;$AF$20),"Outlier","OK")</f>
        <v>OK</v>
      </c>
      <c r="N1334" t="str">
        <f>IF(OR(J1334&lt;$AE$21,J1334&gt;$AF$21),"Outlier","OK")</f>
        <v>OK</v>
      </c>
      <c r="O1334" t="str">
        <f>IF(OR(C1334&lt;0,C1334&gt;1),"Outlier","OK")</f>
        <v>OK</v>
      </c>
      <c r="P1334" t="str">
        <f>IF(OR(D1334&lt;0,D1334&gt;1),"Outlier","OK")</f>
        <v>Outlier</v>
      </c>
      <c r="Q1334" t="str">
        <f t="shared" si="162"/>
        <v>80-100%</v>
      </c>
      <c r="R1334" t="str">
        <f>IF(B1334="","Missing","OK")</f>
        <v>OK</v>
      </c>
      <c r="S1334" t="str">
        <f>IF(E1334="","Missing","OK")</f>
        <v>OK</v>
      </c>
      <c r="T1334" t="str">
        <f t="shared" si="163"/>
        <v>OK</v>
      </c>
      <c r="U1334">
        <f>COUNTIF($A:$A,A1334)</f>
        <v>1</v>
      </c>
      <c r="V1334" t="str">
        <f t="shared" si="164"/>
        <v>OK</v>
      </c>
      <c r="W1334" t="str">
        <f>IF(I1334&gt;B1334,"ERROR","OK")</f>
        <v>OK</v>
      </c>
      <c r="X1334">
        <f>(B1334-I1334)/B1334</f>
        <v>0.89395304769068884</v>
      </c>
      <c r="Y1334" s="2">
        <f t="shared" si="165"/>
        <v>8.8817841970012523E-16</v>
      </c>
      <c r="Z1334" s="2" t="str">
        <f t="shared" si="166"/>
        <v>OK</v>
      </c>
      <c r="AA1334" t="str">
        <f t="shared" si="167"/>
        <v>Unique</v>
      </c>
    </row>
    <row r="1335" spans="1:27" x14ac:dyDescent="0.3">
      <c r="A1335">
        <v>1334</v>
      </c>
      <c r="B1335">
        <v>1096556.22684786</v>
      </c>
      <c r="C1335">
        <v>0.69105957622075798</v>
      </c>
      <c r="D1335">
        <v>0.16660547457191499</v>
      </c>
      <c r="E1335">
        <v>0.42225216916847402</v>
      </c>
      <c r="F1335">
        <v>1</v>
      </c>
      <c r="G1335" t="s">
        <v>11</v>
      </c>
      <c r="H1335">
        <v>1</v>
      </c>
      <c r="I1335">
        <v>463023.24540170701</v>
      </c>
      <c r="J1335">
        <v>0.57774783083152503</v>
      </c>
      <c r="K1335" t="str">
        <f t="shared" si="160"/>
        <v>OK</v>
      </c>
      <c r="L1335" t="str">
        <f t="shared" si="161"/>
        <v>OK</v>
      </c>
      <c r="M1335" t="str">
        <f>IF(OR(B1335&lt;$AE$20,B1335&gt;$AF$20),"Outlier","OK")</f>
        <v>OK</v>
      </c>
      <c r="N1335" t="str">
        <f>IF(OR(J1335&lt;$AE$21,J1335&gt;$AF$21),"Outlier","OK")</f>
        <v>OK</v>
      </c>
      <c r="O1335" t="str">
        <f>IF(OR(C1335&lt;0,C1335&gt;1),"Outlier","OK")</f>
        <v>OK</v>
      </c>
      <c r="P1335" t="str">
        <f>IF(OR(D1335&lt;0,D1335&gt;1),"Outlier","OK")</f>
        <v>OK</v>
      </c>
      <c r="Q1335" t="str">
        <f t="shared" si="162"/>
        <v>40-60%</v>
      </c>
      <c r="R1335" t="str">
        <f>IF(B1335="","Missing","OK")</f>
        <v>OK</v>
      </c>
      <c r="S1335" t="str">
        <f>IF(E1335="","Missing","OK")</f>
        <v>OK</v>
      </c>
      <c r="T1335" t="str">
        <f t="shared" si="163"/>
        <v>OK</v>
      </c>
      <c r="U1335">
        <f>COUNTIF($A:$A,A1335)</f>
        <v>1</v>
      </c>
      <c r="V1335" t="str">
        <f t="shared" si="164"/>
        <v>OK</v>
      </c>
      <c r="W1335" t="str">
        <f>IF(I1335&gt;B1335,"ERROR","OK")</f>
        <v>OK</v>
      </c>
      <c r="X1335">
        <f>(B1335-I1335)/B1335</f>
        <v>0.57774783083152526</v>
      </c>
      <c r="Y1335" s="2">
        <f t="shared" si="165"/>
        <v>2.2204460492503131E-16</v>
      </c>
      <c r="Z1335" s="2" t="str">
        <f t="shared" si="166"/>
        <v>OK</v>
      </c>
      <c r="AA1335" t="str">
        <f t="shared" si="167"/>
        <v>Unique</v>
      </c>
    </row>
    <row r="1336" spans="1:27" x14ac:dyDescent="0.3">
      <c r="A1336">
        <v>1335</v>
      </c>
      <c r="B1336">
        <v>1791442.0768443099</v>
      </c>
      <c r="C1336">
        <v>0.70937858811827204</v>
      </c>
      <c r="D1336">
        <v>0.120216639476472</v>
      </c>
      <c r="E1336">
        <v>0.19449475058117</v>
      </c>
      <c r="F1336">
        <v>1</v>
      </c>
      <c r="G1336" t="s">
        <v>13</v>
      </c>
      <c r="H1336">
        <v>1</v>
      </c>
      <c r="I1336">
        <v>348426.07991645002</v>
      </c>
      <c r="J1336">
        <v>0.80550524941882895</v>
      </c>
      <c r="K1336" t="str">
        <f t="shared" si="160"/>
        <v>OK</v>
      </c>
      <c r="L1336" t="str">
        <f t="shared" si="161"/>
        <v>OK</v>
      </c>
      <c r="M1336" t="str">
        <f>IF(OR(B1336&lt;$AE$20,B1336&gt;$AF$20),"Outlier","OK")</f>
        <v>OK</v>
      </c>
      <c r="N1336" t="str">
        <f>IF(OR(J1336&lt;$AE$21,J1336&gt;$AF$21),"Outlier","OK")</f>
        <v>OK</v>
      </c>
      <c r="O1336" t="str">
        <f>IF(OR(C1336&lt;0,C1336&gt;1),"Outlier","OK")</f>
        <v>OK</v>
      </c>
      <c r="P1336" t="str">
        <f>IF(OR(D1336&lt;0,D1336&gt;1),"Outlier","OK")</f>
        <v>OK</v>
      </c>
      <c r="Q1336" t="str">
        <f t="shared" si="162"/>
        <v>80-100%</v>
      </c>
      <c r="R1336" t="str">
        <f>IF(B1336="","Missing","OK")</f>
        <v>OK</v>
      </c>
      <c r="S1336" t="str">
        <f>IF(E1336="","Missing","OK")</f>
        <v>OK</v>
      </c>
      <c r="T1336" t="str">
        <f t="shared" si="163"/>
        <v>OK</v>
      </c>
      <c r="U1336">
        <f>COUNTIF($A:$A,A1336)</f>
        <v>1</v>
      </c>
      <c r="V1336" t="str">
        <f t="shared" si="164"/>
        <v>OK</v>
      </c>
      <c r="W1336" t="str">
        <f>IF(I1336&gt;B1336,"ERROR","OK")</f>
        <v>OK</v>
      </c>
      <c r="X1336">
        <f>(B1336-I1336)/B1336</f>
        <v>0.80550524941882851</v>
      </c>
      <c r="Y1336" s="2">
        <f t="shared" si="165"/>
        <v>4.4408920985006262E-16</v>
      </c>
      <c r="Z1336" s="2" t="str">
        <f t="shared" si="166"/>
        <v>OK</v>
      </c>
      <c r="AA1336" t="str">
        <f t="shared" si="167"/>
        <v>Unique</v>
      </c>
    </row>
    <row r="1337" spans="1:27" x14ac:dyDescent="0.3">
      <c r="A1337">
        <v>1336</v>
      </c>
      <c r="B1337">
        <v>399116.445588139</v>
      </c>
      <c r="C1337">
        <v>0.112755139841546</v>
      </c>
      <c r="D1337">
        <v>4.2711932087487102E-2</v>
      </c>
      <c r="E1337">
        <v>0.34771062832798399</v>
      </c>
      <c r="F1337">
        <v>1</v>
      </c>
      <c r="G1337" t="s">
        <v>13</v>
      </c>
      <c r="H1337">
        <v>0</v>
      </c>
      <c r="I1337">
        <v>138777.03007148299</v>
      </c>
      <c r="J1337">
        <v>0.65228937167201495</v>
      </c>
      <c r="K1337" t="str">
        <f t="shared" si="160"/>
        <v>OK</v>
      </c>
      <c r="L1337" t="str">
        <f t="shared" si="161"/>
        <v>OK</v>
      </c>
      <c r="M1337" t="str">
        <f>IF(OR(B1337&lt;$AE$20,B1337&gt;$AF$20),"Outlier","OK")</f>
        <v>OK</v>
      </c>
      <c r="N1337" t="str">
        <f>IF(OR(J1337&lt;$AE$21,J1337&gt;$AF$21),"Outlier","OK")</f>
        <v>OK</v>
      </c>
      <c r="O1337" t="str">
        <f>IF(OR(C1337&lt;0,C1337&gt;1),"Outlier","OK")</f>
        <v>OK</v>
      </c>
      <c r="P1337" t="str">
        <f>IF(OR(D1337&lt;0,D1337&gt;1),"Outlier","OK")</f>
        <v>OK</v>
      </c>
      <c r="Q1337" t="str">
        <f t="shared" si="162"/>
        <v>60-80%</v>
      </c>
      <c r="R1337" t="str">
        <f>IF(B1337="","Missing","OK")</f>
        <v>OK</v>
      </c>
      <c r="S1337" t="str">
        <f>IF(E1337="","Missing","OK")</f>
        <v>OK</v>
      </c>
      <c r="T1337" t="str">
        <f t="shared" si="163"/>
        <v>OK</v>
      </c>
      <c r="U1337">
        <f>COUNTIF($A:$A,A1337)</f>
        <v>1</v>
      </c>
      <c r="V1337" t="str">
        <f t="shared" si="164"/>
        <v>OK</v>
      </c>
      <c r="W1337" t="str">
        <f>IF(I1337&gt;B1337,"ERROR","OK")</f>
        <v>OK</v>
      </c>
      <c r="X1337">
        <f>(B1337-I1337)/B1337</f>
        <v>0.65228937167201717</v>
      </c>
      <c r="Y1337" s="2">
        <f t="shared" si="165"/>
        <v>2.2204460492503131E-15</v>
      </c>
      <c r="Z1337" s="2" t="str">
        <f t="shared" si="166"/>
        <v>OK</v>
      </c>
      <c r="AA1337" t="str">
        <f t="shared" si="167"/>
        <v>Unique</v>
      </c>
    </row>
    <row r="1338" spans="1:27" x14ac:dyDescent="0.3">
      <c r="A1338">
        <v>1337</v>
      </c>
      <c r="B1338">
        <v>585603.81525993196</v>
      </c>
      <c r="C1338">
        <v>0.87698293850431996</v>
      </c>
      <c r="D1338">
        <v>-0.16119169304466399</v>
      </c>
      <c r="E1338">
        <v>0.272770134666592</v>
      </c>
      <c r="F1338">
        <v>1</v>
      </c>
      <c r="G1338" t="s">
        <v>13</v>
      </c>
      <c r="H1338">
        <v>0</v>
      </c>
      <c r="I1338">
        <v>159735.23154972101</v>
      </c>
      <c r="J1338">
        <v>0.72722986533340706</v>
      </c>
      <c r="K1338" t="str">
        <f t="shared" si="160"/>
        <v>OK</v>
      </c>
      <c r="L1338" t="str">
        <f t="shared" si="161"/>
        <v>OK</v>
      </c>
      <c r="M1338" t="str">
        <f>IF(OR(B1338&lt;$AE$20,B1338&gt;$AF$20),"Outlier","OK")</f>
        <v>OK</v>
      </c>
      <c r="N1338" t="str">
        <f>IF(OR(J1338&lt;$AE$21,J1338&gt;$AF$21),"Outlier","OK")</f>
        <v>OK</v>
      </c>
      <c r="O1338" t="str">
        <f>IF(OR(C1338&lt;0,C1338&gt;1),"Outlier","OK")</f>
        <v>OK</v>
      </c>
      <c r="P1338" t="str">
        <f>IF(OR(D1338&lt;0,D1338&gt;1),"Outlier","OK")</f>
        <v>Outlier</v>
      </c>
      <c r="Q1338" t="str">
        <f t="shared" si="162"/>
        <v>60-80%</v>
      </c>
      <c r="R1338" t="str">
        <f>IF(B1338="","Missing","OK")</f>
        <v>OK</v>
      </c>
      <c r="S1338" t="str">
        <f>IF(E1338="","Missing","OK")</f>
        <v>OK</v>
      </c>
      <c r="T1338" t="str">
        <f t="shared" si="163"/>
        <v>OK</v>
      </c>
      <c r="U1338">
        <f>COUNTIF($A:$A,A1338)</f>
        <v>1</v>
      </c>
      <c r="V1338" t="str">
        <f t="shared" si="164"/>
        <v>OK</v>
      </c>
      <c r="W1338" t="str">
        <f>IF(I1338&gt;B1338,"ERROR","OK")</f>
        <v>OK</v>
      </c>
      <c r="X1338">
        <f>(B1338-I1338)/B1338</f>
        <v>0.72722986533340928</v>
      </c>
      <c r="Y1338" s="2">
        <f t="shared" si="165"/>
        <v>2.2204460492503131E-15</v>
      </c>
      <c r="Z1338" s="2" t="str">
        <f t="shared" si="166"/>
        <v>OK</v>
      </c>
      <c r="AA1338" t="str">
        <f t="shared" si="167"/>
        <v>Unique</v>
      </c>
    </row>
    <row r="1339" spans="1:27" x14ac:dyDescent="0.3">
      <c r="A1339">
        <v>1338</v>
      </c>
      <c r="B1339">
        <v>89876.983063954394</v>
      </c>
      <c r="C1339">
        <v>0.44351762225589197</v>
      </c>
      <c r="D1339">
        <v>-2.5501838293825099E-2</v>
      </c>
      <c r="E1339">
        <v>0.29041169267364503</v>
      </c>
      <c r="F1339">
        <v>1</v>
      </c>
      <c r="G1339" t="s">
        <v>12</v>
      </c>
      <c r="H1339">
        <v>1</v>
      </c>
      <c r="I1339">
        <v>26101.326784003501</v>
      </c>
      <c r="J1339">
        <v>0.70958830732635403</v>
      </c>
      <c r="K1339" t="str">
        <f t="shared" si="160"/>
        <v>OK</v>
      </c>
      <c r="L1339" t="str">
        <f t="shared" si="161"/>
        <v>OK</v>
      </c>
      <c r="M1339" t="str">
        <f>IF(OR(B1339&lt;$AE$20,B1339&gt;$AF$20),"Outlier","OK")</f>
        <v>OK</v>
      </c>
      <c r="N1339" t="str">
        <f>IF(OR(J1339&lt;$AE$21,J1339&gt;$AF$21),"Outlier","OK")</f>
        <v>OK</v>
      </c>
      <c r="O1339" t="str">
        <f>IF(OR(C1339&lt;0,C1339&gt;1),"Outlier","OK")</f>
        <v>OK</v>
      </c>
      <c r="P1339" t="str">
        <f>IF(OR(D1339&lt;0,D1339&gt;1),"Outlier","OK")</f>
        <v>Outlier</v>
      </c>
      <c r="Q1339" t="str">
        <f t="shared" si="162"/>
        <v>60-80%</v>
      </c>
      <c r="R1339" t="str">
        <f>IF(B1339="","Missing","OK")</f>
        <v>OK</v>
      </c>
      <c r="S1339" t="str">
        <f>IF(E1339="","Missing","OK")</f>
        <v>OK</v>
      </c>
      <c r="T1339" t="str">
        <f t="shared" si="163"/>
        <v>OK</v>
      </c>
      <c r="U1339">
        <f>COUNTIF($A:$A,A1339)</f>
        <v>1</v>
      </c>
      <c r="V1339" t="str">
        <f t="shared" si="164"/>
        <v>OK</v>
      </c>
      <c r="W1339" t="str">
        <f>IF(I1339&gt;B1339,"ERROR","OK")</f>
        <v>OK</v>
      </c>
      <c r="X1339">
        <f>(B1339-I1339)/B1339</f>
        <v>0.70958830732635525</v>
      </c>
      <c r="Y1339" s="2">
        <f t="shared" si="165"/>
        <v>1.2212453270876722E-15</v>
      </c>
      <c r="Z1339" s="2" t="str">
        <f t="shared" si="166"/>
        <v>OK</v>
      </c>
      <c r="AA1339" t="str">
        <f t="shared" si="167"/>
        <v>Unique</v>
      </c>
    </row>
    <row r="1340" spans="1:27" x14ac:dyDescent="0.3">
      <c r="A1340">
        <v>1339</v>
      </c>
      <c r="B1340">
        <v>1187692.9494269099</v>
      </c>
      <c r="C1340">
        <v>0.65856469574888099</v>
      </c>
      <c r="D1340">
        <v>7.5860510633649902E-2</v>
      </c>
      <c r="E1340">
        <v>0.162183683799099</v>
      </c>
      <c r="F1340">
        <v>1</v>
      </c>
      <c r="G1340" t="s">
        <v>10</v>
      </c>
      <c r="H1340">
        <v>0</v>
      </c>
      <c r="I1340">
        <v>192624.41776027399</v>
      </c>
      <c r="J1340">
        <v>0.83781631620090002</v>
      </c>
      <c r="K1340" t="str">
        <f t="shared" si="160"/>
        <v>OK</v>
      </c>
      <c r="L1340" t="str">
        <f t="shared" si="161"/>
        <v>OK</v>
      </c>
      <c r="M1340" t="str">
        <f>IF(OR(B1340&lt;$AE$20,B1340&gt;$AF$20),"Outlier","OK")</f>
        <v>OK</v>
      </c>
      <c r="N1340" t="str">
        <f>IF(OR(J1340&lt;$AE$21,J1340&gt;$AF$21),"Outlier","OK")</f>
        <v>OK</v>
      </c>
      <c r="O1340" t="str">
        <f>IF(OR(C1340&lt;0,C1340&gt;1),"Outlier","OK")</f>
        <v>OK</v>
      </c>
      <c r="P1340" t="str">
        <f>IF(OR(D1340&lt;0,D1340&gt;1),"Outlier","OK")</f>
        <v>OK</v>
      </c>
      <c r="Q1340" t="str">
        <f t="shared" si="162"/>
        <v>80-100%</v>
      </c>
      <c r="R1340" t="str">
        <f>IF(B1340="","Missing","OK")</f>
        <v>OK</v>
      </c>
      <c r="S1340" t="str">
        <f>IF(E1340="","Missing","OK")</f>
        <v>OK</v>
      </c>
      <c r="T1340" t="str">
        <f t="shared" si="163"/>
        <v>OK</v>
      </c>
      <c r="U1340">
        <f>COUNTIF($A:$A,A1340)</f>
        <v>1</v>
      </c>
      <c r="V1340" t="str">
        <f t="shared" si="164"/>
        <v>OK</v>
      </c>
      <c r="W1340" t="str">
        <f>IF(I1340&gt;B1340,"ERROR","OK")</f>
        <v>OK</v>
      </c>
      <c r="X1340">
        <f>(B1340-I1340)/B1340</f>
        <v>0.83781631620090036</v>
      </c>
      <c r="Y1340" s="2">
        <f t="shared" si="165"/>
        <v>3.3306690738754696E-16</v>
      </c>
      <c r="Z1340" s="2" t="str">
        <f t="shared" si="166"/>
        <v>OK</v>
      </c>
      <c r="AA1340" t="str">
        <f t="shared" si="167"/>
        <v>Unique</v>
      </c>
    </row>
    <row r="1341" spans="1:27" x14ac:dyDescent="0.3">
      <c r="A1341">
        <v>1340</v>
      </c>
      <c r="B1341">
        <v>1780408.0594913401</v>
      </c>
      <c r="C1341">
        <v>0.38412729254132899</v>
      </c>
      <c r="D1341">
        <v>0.14325932898677601</v>
      </c>
      <c r="E1341">
        <v>0.23556262832396099</v>
      </c>
      <c r="F1341">
        <v>1</v>
      </c>
      <c r="G1341" t="s">
        <v>10</v>
      </c>
      <c r="H1341">
        <v>0</v>
      </c>
      <c r="I1341">
        <v>419397.601982944</v>
      </c>
      <c r="J1341">
        <v>0.76443737167603798</v>
      </c>
      <c r="K1341" t="str">
        <f t="shared" si="160"/>
        <v>OK</v>
      </c>
      <c r="L1341" t="str">
        <f t="shared" si="161"/>
        <v>OK</v>
      </c>
      <c r="M1341" t="str">
        <f>IF(OR(B1341&lt;$AE$20,B1341&gt;$AF$20),"Outlier","OK")</f>
        <v>OK</v>
      </c>
      <c r="N1341" t="str">
        <f>IF(OR(J1341&lt;$AE$21,J1341&gt;$AF$21),"Outlier","OK")</f>
        <v>OK</v>
      </c>
      <c r="O1341" t="str">
        <f>IF(OR(C1341&lt;0,C1341&gt;1),"Outlier","OK")</f>
        <v>OK</v>
      </c>
      <c r="P1341" t="str">
        <f>IF(OR(D1341&lt;0,D1341&gt;1),"Outlier","OK")</f>
        <v>OK</v>
      </c>
      <c r="Q1341" t="str">
        <f t="shared" si="162"/>
        <v>60-80%</v>
      </c>
      <c r="R1341" t="str">
        <f>IF(B1341="","Missing","OK")</f>
        <v>OK</v>
      </c>
      <c r="S1341" t="str">
        <f>IF(E1341="","Missing","OK")</f>
        <v>OK</v>
      </c>
      <c r="T1341" t="str">
        <f t="shared" si="163"/>
        <v>OK</v>
      </c>
      <c r="U1341">
        <f>COUNTIF($A:$A,A1341)</f>
        <v>1</v>
      </c>
      <c r="V1341" t="str">
        <f t="shared" si="164"/>
        <v>OK</v>
      </c>
      <c r="W1341" t="str">
        <f>IF(I1341&gt;B1341,"ERROR","OK")</f>
        <v>OK</v>
      </c>
      <c r="X1341">
        <f>(B1341-I1341)/B1341</f>
        <v>0.76443737167603854</v>
      </c>
      <c r="Y1341" s="2">
        <f t="shared" si="165"/>
        <v>5.5511151231257827E-16</v>
      </c>
      <c r="Z1341" s="2" t="str">
        <f t="shared" si="166"/>
        <v>OK</v>
      </c>
      <c r="AA1341" t="str">
        <f t="shared" si="167"/>
        <v>Unique</v>
      </c>
    </row>
    <row r="1342" spans="1:27" x14ac:dyDescent="0.3">
      <c r="A1342">
        <v>1341</v>
      </c>
      <c r="B1342">
        <v>1232482.45489247</v>
      </c>
      <c r="C1342">
        <v>0.40967085817214899</v>
      </c>
      <c r="D1342">
        <v>7.5399412943285907E-2</v>
      </c>
      <c r="E1342">
        <v>9.1091824201410501E-2</v>
      </c>
      <c r="F1342">
        <v>1</v>
      </c>
      <c r="G1342" t="s">
        <v>12</v>
      </c>
      <c r="H1342">
        <v>0</v>
      </c>
      <c r="I1342">
        <v>112269.075112387</v>
      </c>
      <c r="J1342">
        <v>0.90890817579858896</v>
      </c>
      <c r="K1342" t="str">
        <f t="shared" si="160"/>
        <v>OK</v>
      </c>
      <c r="L1342" t="str">
        <f t="shared" si="161"/>
        <v>OK</v>
      </c>
      <c r="M1342" t="str">
        <f>IF(OR(B1342&lt;$AE$20,B1342&gt;$AF$20),"Outlier","OK")</f>
        <v>OK</v>
      </c>
      <c r="N1342" t="str">
        <f>IF(OR(J1342&lt;$AE$21,J1342&gt;$AF$21),"Outlier","OK")</f>
        <v>OK</v>
      </c>
      <c r="O1342" t="str">
        <f>IF(OR(C1342&lt;0,C1342&gt;1),"Outlier","OK")</f>
        <v>OK</v>
      </c>
      <c r="P1342" t="str">
        <f>IF(OR(D1342&lt;0,D1342&gt;1),"Outlier","OK")</f>
        <v>OK</v>
      </c>
      <c r="Q1342" t="str">
        <f t="shared" si="162"/>
        <v>80-100%</v>
      </c>
      <c r="R1342" t="str">
        <f>IF(B1342="","Missing","OK")</f>
        <v>OK</v>
      </c>
      <c r="S1342" t="str">
        <f>IF(E1342="","Missing","OK")</f>
        <v>OK</v>
      </c>
      <c r="T1342" t="str">
        <f t="shared" si="163"/>
        <v>OK</v>
      </c>
      <c r="U1342">
        <f>COUNTIF($A:$A,A1342)</f>
        <v>1</v>
      </c>
      <c r="V1342" t="str">
        <f t="shared" si="164"/>
        <v>OK</v>
      </c>
      <c r="W1342" t="str">
        <f>IF(I1342&gt;B1342,"ERROR","OK")</f>
        <v>OK</v>
      </c>
      <c r="X1342">
        <f>(B1342-I1342)/B1342</f>
        <v>0.90890817579859007</v>
      </c>
      <c r="Y1342" s="2">
        <f t="shared" si="165"/>
        <v>1.1102230246251565E-15</v>
      </c>
      <c r="Z1342" s="2" t="str">
        <f t="shared" si="166"/>
        <v>OK</v>
      </c>
      <c r="AA1342" t="str">
        <f t="shared" si="167"/>
        <v>Unique</v>
      </c>
    </row>
    <row r="1343" spans="1:27" x14ac:dyDescent="0.3">
      <c r="A1343">
        <v>1342</v>
      </c>
      <c r="B1343">
        <v>206557.34969039101</v>
      </c>
      <c r="C1343">
        <v>0.55606307304861802</v>
      </c>
      <c r="D1343">
        <v>0.125618984118673</v>
      </c>
      <c r="E1343">
        <v>0.448042192543464</v>
      </c>
      <c r="F1343">
        <v>1</v>
      </c>
      <c r="G1343" t="s">
        <v>13</v>
      </c>
      <c r="H1343">
        <v>0</v>
      </c>
      <c r="I1343">
        <v>92546.407841250199</v>
      </c>
      <c r="J1343">
        <v>0.551957807456535</v>
      </c>
      <c r="K1343" t="str">
        <f t="shared" si="160"/>
        <v>OK</v>
      </c>
      <c r="L1343" t="str">
        <f t="shared" si="161"/>
        <v>OK</v>
      </c>
      <c r="M1343" t="str">
        <f>IF(OR(B1343&lt;$AE$20,B1343&gt;$AF$20),"Outlier","OK")</f>
        <v>OK</v>
      </c>
      <c r="N1343" t="str">
        <f>IF(OR(J1343&lt;$AE$21,J1343&gt;$AF$21),"Outlier","OK")</f>
        <v>OK</v>
      </c>
      <c r="O1343" t="str">
        <f>IF(OR(C1343&lt;0,C1343&gt;1),"Outlier","OK")</f>
        <v>OK</v>
      </c>
      <c r="P1343" t="str">
        <f>IF(OR(D1343&lt;0,D1343&gt;1),"Outlier","OK")</f>
        <v>OK</v>
      </c>
      <c r="Q1343" t="str">
        <f t="shared" si="162"/>
        <v>40-60%</v>
      </c>
      <c r="R1343" t="str">
        <f>IF(B1343="","Missing","OK")</f>
        <v>OK</v>
      </c>
      <c r="S1343" t="str">
        <f>IF(E1343="","Missing","OK")</f>
        <v>OK</v>
      </c>
      <c r="T1343" t="str">
        <f t="shared" si="163"/>
        <v>OK</v>
      </c>
      <c r="U1343">
        <f>COUNTIF($A:$A,A1343)</f>
        <v>1</v>
      </c>
      <c r="V1343" t="str">
        <f t="shared" si="164"/>
        <v>OK</v>
      </c>
      <c r="W1343" t="str">
        <f>IF(I1343&gt;B1343,"ERROR","OK")</f>
        <v>OK</v>
      </c>
      <c r="X1343">
        <f>(B1343-I1343)/B1343</f>
        <v>0.551957807456534</v>
      </c>
      <c r="Y1343" s="2">
        <f t="shared" si="165"/>
        <v>9.9920072216264089E-16</v>
      </c>
      <c r="Z1343" s="2" t="str">
        <f t="shared" si="166"/>
        <v>OK</v>
      </c>
      <c r="AA1343" t="str">
        <f t="shared" si="167"/>
        <v>Unique</v>
      </c>
    </row>
    <row r="1344" spans="1:27" x14ac:dyDescent="0.3">
      <c r="A1344">
        <v>1343</v>
      </c>
      <c r="B1344">
        <v>1401785.9105820199</v>
      </c>
      <c r="C1344">
        <v>0.17691949513514801</v>
      </c>
      <c r="D1344">
        <v>4.32283611641597E-2</v>
      </c>
      <c r="E1344">
        <v>0.34458894081748198</v>
      </c>
      <c r="F1344">
        <v>1</v>
      </c>
      <c r="G1344" t="s">
        <v>11</v>
      </c>
      <c r="H1344">
        <v>1</v>
      </c>
      <c r="I1344">
        <v>483039.92218032997</v>
      </c>
      <c r="J1344">
        <v>0.65541105918251696</v>
      </c>
      <c r="K1344" t="str">
        <f t="shared" si="160"/>
        <v>OK</v>
      </c>
      <c r="L1344" t="str">
        <f t="shared" si="161"/>
        <v>OK</v>
      </c>
      <c r="M1344" t="str">
        <f>IF(OR(B1344&lt;$AE$20,B1344&gt;$AF$20),"Outlier","OK")</f>
        <v>OK</v>
      </c>
      <c r="N1344" t="str">
        <f>IF(OR(J1344&lt;$AE$21,J1344&gt;$AF$21),"Outlier","OK")</f>
        <v>OK</v>
      </c>
      <c r="O1344" t="str">
        <f>IF(OR(C1344&lt;0,C1344&gt;1),"Outlier","OK")</f>
        <v>OK</v>
      </c>
      <c r="P1344" t="str">
        <f>IF(OR(D1344&lt;0,D1344&gt;1),"Outlier","OK")</f>
        <v>OK</v>
      </c>
      <c r="Q1344" t="str">
        <f t="shared" si="162"/>
        <v>60-80%</v>
      </c>
      <c r="R1344" t="str">
        <f>IF(B1344="","Missing","OK")</f>
        <v>OK</v>
      </c>
      <c r="S1344" t="str">
        <f>IF(E1344="","Missing","OK")</f>
        <v>OK</v>
      </c>
      <c r="T1344" t="str">
        <f t="shared" si="163"/>
        <v>OK</v>
      </c>
      <c r="U1344">
        <f>COUNTIF($A:$A,A1344)</f>
        <v>1</v>
      </c>
      <c r="V1344" t="str">
        <f t="shared" si="164"/>
        <v>OK</v>
      </c>
      <c r="W1344" t="str">
        <f>IF(I1344&gt;B1344,"ERROR","OK")</f>
        <v>OK</v>
      </c>
      <c r="X1344">
        <f>(B1344-I1344)/B1344</f>
        <v>0.65541105918251652</v>
      </c>
      <c r="Y1344" s="2">
        <f t="shared" si="165"/>
        <v>4.4408920985006262E-16</v>
      </c>
      <c r="Z1344" s="2" t="str">
        <f t="shared" si="166"/>
        <v>OK</v>
      </c>
      <c r="AA1344" t="str">
        <f t="shared" si="167"/>
        <v>Unique</v>
      </c>
    </row>
    <row r="1345" spans="1:27" x14ac:dyDescent="0.3">
      <c r="A1345">
        <v>1344</v>
      </c>
      <c r="B1345">
        <v>1368084.1950417501</v>
      </c>
      <c r="C1345">
        <v>0.16620000816391101</v>
      </c>
      <c r="D1345">
        <v>-7.4956245801746202E-2</v>
      </c>
      <c r="E1345">
        <v>0.26413171238668898</v>
      </c>
      <c r="F1345">
        <v>1</v>
      </c>
      <c r="G1345" t="s">
        <v>13</v>
      </c>
      <c r="H1345">
        <v>1</v>
      </c>
      <c r="I1345">
        <v>361354.42112554499</v>
      </c>
      <c r="J1345">
        <v>0.73586828761331002</v>
      </c>
      <c r="K1345" t="str">
        <f t="shared" si="160"/>
        <v>OK</v>
      </c>
      <c r="L1345" t="str">
        <f t="shared" si="161"/>
        <v>OK</v>
      </c>
      <c r="M1345" t="str">
        <f>IF(OR(B1345&lt;$AE$20,B1345&gt;$AF$20),"Outlier","OK")</f>
        <v>OK</v>
      </c>
      <c r="N1345" t="str">
        <f>IF(OR(J1345&lt;$AE$21,J1345&gt;$AF$21),"Outlier","OK")</f>
        <v>OK</v>
      </c>
      <c r="O1345" t="str">
        <f>IF(OR(C1345&lt;0,C1345&gt;1),"Outlier","OK")</f>
        <v>OK</v>
      </c>
      <c r="P1345" t="str">
        <f>IF(OR(D1345&lt;0,D1345&gt;1),"Outlier","OK")</f>
        <v>Outlier</v>
      </c>
      <c r="Q1345" t="str">
        <f t="shared" si="162"/>
        <v>60-80%</v>
      </c>
      <c r="R1345" t="str">
        <f>IF(B1345="","Missing","OK")</f>
        <v>OK</v>
      </c>
      <c r="S1345" t="str">
        <f>IF(E1345="","Missing","OK")</f>
        <v>OK</v>
      </c>
      <c r="T1345" t="str">
        <f t="shared" si="163"/>
        <v>OK</v>
      </c>
      <c r="U1345">
        <f>COUNTIF($A:$A,A1345)</f>
        <v>1</v>
      </c>
      <c r="V1345" t="str">
        <f t="shared" si="164"/>
        <v>OK</v>
      </c>
      <c r="W1345" t="str">
        <f>IF(I1345&gt;B1345,"ERROR","OK")</f>
        <v>OK</v>
      </c>
      <c r="X1345">
        <f>(B1345-I1345)/B1345</f>
        <v>0.73586828761330925</v>
      </c>
      <c r="Y1345" s="2">
        <f t="shared" si="165"/>
        <v>7.7715611723760958E-16</v>
      </c>
      <c r="Z1345" s="2" t="str">
        <f t="shared" si="166"/>
        <v>OK</v>
      </c>
      <c r="AA1345" t="str">
        <f t="shared" si="167"/>
        <v>Unique</v>
      </c>
    </row>
    <row r="1346" spans="1:27" x14ac:dyDescent="0.3">
      <c r="A1346">
        <v>1345</v>
      </c>
      <c r="B1346">
        <v>375151.20985061699</v>
      </c>
      <c r="C1346">
        <v>0.37346817449456898</v>
      </c>
      <c r="D1346">
        <v>-9.2690539508123504E-2</v>
      </c>
      <c r="E1346">
        <v>0.19533298337501601</v>
      </c>
      <c r="F1346">
        <v>1</v>
      </c>
      <c r="G1346" t="s">
        <v>11</v>
      </c>
      <c r="H1346">
        <v>1</v>
      </c>
      <c r="I1346">
        <v>73279.405036868004</v>
      </c>
      <c r="J1346">
        <v>0.80466701662498297</v>
      </c>
      <c r="K1346" t="str">
        <f t="shared" si="160"/>
        <v>OK</v>
      </c>
      <c r="L1346" t="str">
        <f t="shared" si="161"/>
        <v>OK</v>
      </c>
      <c r="M1346" t="str">
        <f>IF(OR(B1346&lt;$AE$20,B1346&gt;$AF$20),"Outlier","OK")</f>
        <v>OK</v>
      </c>
      <c r="N1346" t="str">
        <f>IF(OR(J1346&lt;$AE$21,J1346&gt;$AF$21),"Outlier","OK")</f>
        <v>OK</v>
      </c>
      <c r="O1346" t="str">
        <f>IF(OR(C1346&lt;0,C1346&gt;1),"Outlier","OK")</f>
        <v>OK</v>
      </c>
      <c r="P1346" t="str">
        <f>IF(OR(D1346&lt;0,D1346&gt;1),"Outlier","OK")</f>
        <v>Outlier</v>
      </c>
      <c r="Q1346" t="str">
        <f t="shared" si="162"/>
        <v>80-100%</v>
      </c>
      <c r="R1346" t="str">
        <f>IF(B1346="","Missing","OK")</f>
        <v>OK</v>
      </c>
      <c r="S1346" t="str">
        <f>IF(E1346="","Missing","OK")</f>
        <v>OK</v>
      </c>
      <c r="T1346" t="str">
        <f t="shared" si="163"/>
        <v>OK</v>
      </c>
      <c r="U1346">
        <f>COUNTIF($A:$A,A1346)</f>
        <v>1</v>
      </c>
      <c r="V1346" t="str">
        <f t="shared" si="164"/>
        <v>OK</v>
      </c>
      <c r="W1346" t="str">
        <f>IF(I1346&gt;B1346,"ERROR","OK")</f>
        <v>OK</v>
      </c>
      <c r="X1346">
        <f>(B1346-I1346)/B1346</f>
        <v>0.80466701662498319</v>
      </c>
      <c r="Y1346" s="2">
        <f t="shared" si="165"/>
        <v>2.2204460492503131E-16</v>
      </c>
      <c r="Z1346" s="2" t="str">
        <f t="shared" si="166"/>
        <v>OK</v>
      </c>
      <c r="AA1346" t="str">
        <f t="shared" si="167"/>
        <v>Unique</v>
      </c>
    </row>
    <row r="1347" spans="1:27" x14ac:dyDescent="0.3">
      <c r="A1347">
        <v>1346</v>
      </c>
      <c r="B1347">
        <v>1666519.3672170499</v>
      </c>
      <c r="C1347">
        <v>0.38563970052144098</v>
      </c>
      <c r="D1347">
        <v>4.6483405357933702E-2</v>
      </c>
      <c r="E1347">
        <v>0.215179829200287</v>
      </c>
      <c r="F1347">
        <v>1</v>
      </c>
      <c r="G1347" t="s">
        <v>12</v>
      </c>
      <c r="H1347">
        <v>0</v>
      </c>
      <c r="I1347">
        <v>358601.35279673699</v>
      </c>
      <c r="J1347">
        <v>0.784820170799712</v>
      </c>
      <c r="K1347" t="str">
        <f t="shared" ref="K1347:K1410" si="168">IF(OR(J1347&lt;0,J1347&gt;1),"Error","OK")</f>
        <v>OK</v>
      </c>
      <c r="L1347" t="str">
        <f t="shared" ref="L1347:L1410" si="169">IF(I1347&gt;B1347,"Error","OK")</f>
        <v>OK</v>
      </c>
      <c r="M1347" t="str">
        <f>IF(OR(B1347&lt;$AE$20,B1347&gt;$AF$20),"Outlier","OK")</f>
        <v>OK</v>
      </c>
      <c r="N1347" t="str">
        <f>IF(OR(J1347&lt;$AE$21,J1347&gt;$AF$21),"Outlier","OK")</f>
        <v>OK</v>
      </c>
      <c r="O1347" t="str">
        <f>IF(OR(C1347&lt;0,C1347&gt;1),"Outlier","OK")</f>
        <v>OK</v>
      </c>
      <c r="P1347" t="str">
        <f>IF(OR(D1347&lt;0,D1347&gt;1),"Outlier","OK")</f>
        <v>OK</v>
      </c>
      <c r="Q1347" t="str">
        <f t="shared" ref="Q1347:Q1410" si="170">IF(J1347&lt;=0.2,"0-20%",
 IF(J1347&lt;=0.4,"20-40%",
 IF(J1347&lt;=0.6,"40-60%",
 IF(J1347&lt;=0.8,"60-80%","80-100%"))))</f>
        <v>60-80%</v>
      </c>
      <c r="R1347" t="str">
        <f>IF(B1347="","Missing","OK")</f>
        <v>OK</v>
      </c>
      <c r="S1347" t="str">
        <f>IF(E1347="","Missing","OK")</f>
        <v>OK</v>
      </c>
      <c r="T1347" t="str">
        <f t="shared" ref="T1347:T1410" si="171">IF(J1347="","Missing","OK")</f>
        <v>OK</v>
      </c>
      <c r="U1347">
        <f>COUNTIF($A:$A,A1347)</f>
        <v>1</v>
      </c>
      <c r="V1347" t="str">
        <f t="shared" ref="V1347:V1410" si="172">IF(OR(J1347&lt;0,J1347&gt;1),"ERROR","OK")</f>
        <v>OK</v>
      </c>
      <c r="W1347" t="str">
        <f>IF(I1347&gt;B1347,"ERROR","OK")</f>
        <v>OK</v>
      </c>
      <c r="X1347">
        <f>(B1347-I1347)/B1347</f>
        <v>0.78482017079971189</v>
      </c>
      <c r="Y1347" s="2">
        <f t="shared" ref="Y1347:Y1410" si="173">ABS(J1347-X1347)</f>
        <v>1.1102230246251565E-16</v>
      </c>
      <c r="Z1347" s="2" t="str">
        <f t="shared" ref="Z1347:Z1410" si="174">IF(OR(B1347="",I1347="",J1347=""),"Missing","OK")</f>
        <v>OK</v>
      </c>
      <c r="AA1347" t="str">
        <f t="shared" ref="AA1347:AA1410" si="175">IF(COUNTIF($A:$A,A1347)&gt;1,"Duplicate","Unique")</f>
        <v>Unique</v>
      </c>
    </row>
    <row r="1348" spans="1:27" x14ac:dyDescent="0.3">
      <c r="A1348">
        <v>1347</v>
      </c>
      <c r="B1348">
        <v>1829161.2062532499</v>
      </c>
      <c r="C1348">
        <v>0.56168829700269396</v>
      </c>
      <c r="D1348">
        <v>-0.13665633774725899</v>
      </c>
      <c r="E1348">
        <v>0.48573852962290998</v>
      </c>
      <c r="F1348">
        <v>1</v>
      </c>
      <c r="G1348" t="s">
        <v>10</v>
      </c>
      <c r="H1348">
        <v>1</v>
      </c>
      <c r="I1348">
        <v>888494.07476872497</v>
      </c>
      <c r="J1348">
        <v>0.51426147037708902</v>
      </c>
      <c r="K1348" t="str">
        <f t="shared" si="168"/>
        <v>OK</v>
      </c>
      <c r="L1348" t="str">
        <f t="shared" si="169"/>
        <v>OK</v>
      </c>
      <c r="M1348" t="str">
        <f>IF(OR(B1348&lt;$AE$20,B1348&gt;$AF$20),"Outlier","OK")</f>
        <v>OK</v>
      </c>
      <c r="N1348" t="str">
        <f>IF(OR(J1348&lt;$AE$21,J1348&gt;$AF$21),"Outlier","OK")</f>
        <v>OK</v>
      </c>
      <c r="O1348" t="str">
        <f>IF(OR(C1348&lt;0,C1348&gt;1),"Outlier","OK")</f>
        <v>OK</v>
      </c>
      <c r="P1348" t="str">
        <f>IF(OR(D1348&lt;0,D1348&gt;1),"Outlier","OK")</f>
        <v>Outlier</v>
      </c>
      <c r="Q1348" t="str">
        <f t="shared" si="170"/>
        <v>40-60%</v>
      </c>
      <c r="R1348" t="str">
        <f>IF(B1348="","Missing","OK")</f>
        <v>OK</v>
      </c>
      <c r="S1348" t="str">
        <f>IF(E1348="","Missing","OK")</f>
        <v>OK</v>
      </c>
      <c r="T1348" t="str">
        <f t="shared" si="171"/>
        <v>OK</v>
      </c>
      <c r="U1348">
        <f>COUNTIF($A:$A,A1348)</f>
        <v>1</v>
      </c>
      <c r="V1348" t="str">
        <f t="shared" si="172"/>
        <v>OK</v>
      </c>
      <c r="W1348" t="str">
        <f>IF(I1348&gt;B1348,"ERROR","OK")</f>
        <v>OK</v>
      </c>
      <c r="X1348">
        <f>(B1348-I1348)/B1348</f>
        <v>0.51426147037708836</v>
      </c>
      <c r="Y1348" s="2">
        <f t="shared" si="173"/>
        <v>6.6613381477509392E-16</v>
      </c>
      <c r="Z1348" s="2" t="str">
        <f t="shared" si="174"/>
        <v>OK</v>
      </c>
      <c r="AA1348" t="str">
        <f t="shared" si="175"/>
        <v>Unique</v>
      </c>
    </row>
    <row r="1349" spans="1:27" x14ac:dyDescent="0.3">
      <c r="A1349">
        <v>1348</v>
      </c>
      <c r="B1349">
        <v>813813.21721730405</v>
      </c>
      <c r="C1349">
        <v>0.51893652419428804</v>
      </c>
      <c r="D1349">
        <v>-0.17949867590931301</v>
      </c>
      <c r="E1349">
        <v>0.46604479631380402</v>
      </c>
      <c r="F1349">
        <v>1</v>
      </c>
      <c r="G1349" t="s">
        <v>10</v>
      </c>
      <c r="H1349">
        <v>0</v>
      </c>
      <c r="I1349">
        <v>379273.41505552002</v>
      </c>
      <c r="J1349">
        <v>0.53395520368619498</v>
      </c>
      <c r="K1349" t="str">
        <f t="shared" si="168"/>
        <v>OK</v>
      </c>
      <c r="L1349" t="str">
        <f t="shared" si="169"/>
        <v>OK</v>
      </c>
      <c r="M1349" t="str">
        <f>IF(OR(B1349&lt;$AE$20,B1349&gt;$AF$20),"Outlier","OK")</f>
        <v>OK</v>
      </c>
      <c r="N1349" t="str">
        <f>IF(OR(J1349&lt;$AE$21,J1349&gt;$AF$21),"Outlier","OK")</f>
        <v>OK</v>
      </c>
      <c r="O1349" t="str">
        <f>IF(OR(C1349&lt;0,C1349&gt;1),"Outlier","OK")</f>
        <v>OK</v>
      </c>
      <c r="P1349" t="str">
        <f>IF(OR(D1349&lt;0,D1349&gt;1),"Outlier","OK")</f>
        <v>Outlier</v>
      </c>
      <c r="Q1349" t="str">
        <f t="shared" si="170"/>
        <v>40-60%</v>
      </c>
      <c r="R1349" t="str">
        <f>IF(B1349="","Missing","OK")</f>
        <v>OK</v>
      </c>
      <c r="S1349" t="str">
        <f>IF(E1349="","Missing","OK")</f>
        <v>OK</v>
      </c>
      <c r="T1349" t="str">
        <f t="shared" si="171"/>
        <v>OK</v>
      </c>
      <c r="U1349">
        <f>COUNTIF($A:$A,A1349)</f>
        <v>1</v>
      </c>
      <c r="V1349" t="str">
        <f t="shared" si="172"/>
        <v>OK</v>
      </c>
      <c r="W1349" t="str">
        <f>IF(I1349&gt;B1349,"ERROR","OK")</f>
        <v>OK</v>
      </c>
      <c r="X1349">
        <f>(B1349-I1349)/B1349</f>
        <v>0.53395520368619598</v>
      </c>
      <c r="Y1349" s="2">
        <f t="shared" si="173"/>
        <v>9.9920072216264089E-16</v>
      </c>
      <c r="Z1349" s="2" t="str">
        <f t="shared" si="174"/>
        <v>OK</v>
      </c>
      <c r="AA1349" t="str">
        <f t="shared" si="175"/>
        <v>Unique</v>
      </c>
    </row>
    <row r="1350" spans="1:27" x14ac:dyDescent="0.3">
      <c r="A1350">
        <v>1349</v>
      </c>
      <c r="B1350">
        <v>652090.02755906805</v>
      </c>
      <c r="C1350">
        <v>0.40952713104038302</v>
      </c>
      <c r="D1350">
        <v>-0.15838770829374099</v>
      </c>
      <c r="E1350">
        <v>0.364319051990246</v>
      </c>
      <c r="F1350">
        <v>1</v>
      </c>
      <c r="G1350" t="s">
        <v>11</v>
      </c>
      <c r="H1350">
        <v>0</v>
      </c>
      <c r="I1350">
        <v>237568.82065261301</v>
      </c>
      <c r="J1350">
        <v>0.63568094800975306</v>
      </c>
      <c r="K1350" t="str">
        <f t="shared" si="168"/>
        <v>OK</v>
      </c>
      <c r="L1350" t="str">
        <f t="shared" si="169"/>
        <v>OK</v>
      </c>
      <c r="M1350" t="str">
        <f>IF(OR(B1350&lt;$AE$20,B1350&gt;$AF$20),"Outlier","OK")</f>
        <v>OK</v>
      </c>
      <c r="N1350" t="str">
        <f>IF(OR(J1350&lt;$AE$21,J1350&gt;$AF$21),"Outlier","OK")</f>
        <v>OK</v>
      </c>
      <c r="O1350" t="str">
        <f>IF(OR(C1350&lt;0,C1350&gt;1),"Outlier","OK")</f>
        <v>OK</v>
      </c>
      <c r="P1350" t="str">
        <f>IF(OR(D1350&lt;0,D1350&gt;1),"Outlier","OK")</f>
        <v>Outlier</v>
      </c>
      <c r="Q1350" t="str">
        <f t="shared" si="170"/>
        <v>60-80%</v>
      </c>
      <c r="R1350" t="str">
        <f>IF(B1350="","Missing","OK")</f>
        <v>OK</v>
      </c>
      <c r="S1350" t="str">
        <f>IF(E1350="","Missing","OK")</f>
        <v>OK</v>
      </c>
      <c r="T1350" t="str">
        <f t="shared" si="171"/>
        <v>OK</v>
      </c>
      <c r="U1350">
        <f>COUNTIF($A:$A,A1350)</f>
        <v>1</v>
      </c>
      <c r="V1350" t="str">
        <f t="shared" si="172"/>
        <v>OK</v>
      </c>
      <c r="W1350" t="str">
        <f>IF(I1350&gt;B1350,"ERROR","OK")</f>
        <v>OK</v>
      </c>
      <c r="X1350">
        <f>(B1350-I1350)/B1350</f>
        <v>0.63568094800975405</v>
      </c>
      <c r="Y1350" s="2">
        <f t="shared" si="173"/>
        <v>9.9920072216264089E-16</v>
      </c>
      <c r="Z1350" s="2" t="str">
        <f t="shared" si="174"/>
        <v>OK</v>
      </c>
      <c r="AA1350" t="str">
        <f t="shared" si="175"/>
        <v>Unique</v>
      </c>
    </row>
    <row r="1351" spans="1:27" x14ac:dyDescent="0.3">
      <c r="A1351">
        <v>1350</v>
      </c>
      <c r="B1351">
        <v>1170613.81609526</v>
      </c>
      <c r="C1351">
        <v>0.59522543140266704</v>
      </c>
      <c r="D1351">
        <v>-0.12269028726982401</v>
      </c>
      <c r="E1351">
        <v>0.56218897863697703</v>
      </c>
      <c r="F1351">
        <v>1</v>
      </c>
      <c r="G1351" t="s">
        <v>10</v>
      </c>
      <c r="H1351">
        <v>1</v>
      </c>
      <c r="I1351">
        <v>658106.18564893003</v>
      </c>
      <c r="J1351">
        <v>0.43781102136302202</v>
      </c>
      <c r="K1351" t="str">
        <f t="shared" si="168"/>
        <v>OK</v>
      </c>
      <c r="L1351" t="str">
        <f t="shared" si="169"/>
        <v>OK</v>
      </c>
      <c r="M1351" t="str">
        <f>IF(OR(B1351&lt;$AE$20,B1351&gt;$AF$20),"Outlier","OK")</f>
        <v>OK</v>
      </c>
      <c r="N1351" t="str">
        <f>IF(OR(J1351&lt;$AE$21,J1351&gt;$AF$21),"Outlier","OK")</f>
        <v>OK</v>
      </c>
      <c r="O1351" t="str">
        <f>IF(OR(C1351&lt;0,C1351&gt;1),"Outlier","OK")</f>
        <v>OK</v>
      </c>
      <c r="P1351" t="str">
        <f>IF(OR(D1351&lt;0,D1351&gt;1),"Outlier","OK")</f>
        <v>Outlier</v>
      </c>
      <c r="Q1351" t="str">
        <f t="shared" si="170"/>
        <v>40-60%</v>
      </c>
      <c r="R1351" t="str">
        <f>IF(B1351="","Missing","OK")</f>
        <v>OK</v>
      </c>
      <c r="S1351" t="str">
        <f>IF(E1351="","Missing","OK")</f>
        <v>OK</v>
      </c>
      <c r="T1351" t="str">
        <f t="shared" si="171"/>
        <v>OK</v>
      </c>
      <c r="U1351">
        <f>COUNTIF($A:$A,A1351)</f>
        <v>1</v>
      </c>
      <c r="V1351" t="str">
        <f t="shared" si="172"/>
        <v>OK</v>
      </c>
      <c r="W1351" t="str">
        <f>IF(I1351&gt;B1351,"ERROR","OK")</f>
        <v>OK</v>
      </c>
      <c r="X1351">
        <f>(B1351-I1351)/B1351</f>
        <v>0.43781102136302147</v>
      </c>
      <c r="Y1351" s="2">
        <f t="shared" si="173"/>
        <v>5.5511151231257827E-16</v>
      </c>
      <c r="Z1351" s="2" t="str">
        <f t="shared" si="174"/>
        <v>OK</v>
      </c>
      <c r="AA1351" t="str">
        <f t="shared" si="175"/>
        <v>Unique</v>
      </c>
    </row>
    <row r="1352" spans="1:27" x14ac:dyDescent="0.3">
      <c r="A1352">
        <v>1351</v>
      </c>
      <c r="B1352">
        <v>1946408.5242496701</v>
      </c>
      <c r="C1352">
        <v>0.70875025749713005</v>
      </c>
      <c r="D1352">
        <v>-3.9261805023325602E-2</v>
      </c>
      <c r="E1352">
        <v>0.45959974371078699</v>
      </c>
      <c r="F1352">
        <v>1</v>
      </c>
      <c r="G1352" t="s">
        <v>11</v>
      </c>
      <c r="H1352">
        <v>0</v>
      </c>
      <c r="I1352">
        <v>894568.85890164506</v>
      </c>
      <c r="J1352">
        <v>0.54040025628921196</v>
      </c>
      <c r="K1352" t="str">
        <f t="shared" si="168"/>
        <v>OK</v>
      </c>
      <c r="L1352" t="str">
        <f t="shared" si="169"/>
        <v>OK</v>
      </c>
      <c r="M1352" t="str">
        <f>IF(OR(B1352&lt;$AE$20,B1352&gt;$AF$20),"Outlier","OK")</f>
        <v>OK</v>
      </c>
      <c r="N1352" t="str">
        <f>IF(OR(J1352&lt;$AE$21,J1352&gt;$AF$21),"Outlier","OK")</f>
        <v>OK</v>
      </c>
      <c r="O1352" t="str">
        <f>IF(OR(C1352&lt;0,C1352&gt;1),"Outlier","OK")</f>
        <v>OK</v>
      </c>
      <c r="P1352" t="str">
        <f>IF(OR(D1352&lt;0,D1352&gt;1),"Outlier","OK")</f>
        <v>Outlier</v>
      </c>
      <c r="Q1352" t="str">
        <f t="shared" si="170"/>
        <v>40-60%</v>
      </c>
      <c r="R1352" t="str">
        <f>IF(B1352="","Missing","OK")</f>
        <v>OK</v>
      </c>
      <c r="S1352" t="str">
        <f>IF(E1352="","Missing","OK")</f>
        <v>OK</v>
      </c>
      <c r="T1352" t="str">
        <f t="shared" si="171"/>
        <v>OK</v>
      </c>
      <c r="U1352">
        <f>COUNTIF($A:$A,A1352)</f>
        <v>1</v>
      </c>
      <c r="V1352" t="str">
        <f t="shared" si="172"/>
        <v>OK</v>
      </c>
      <c r="W1352" t="str">
        <f>IF(I1352&gt;B1352,"ERROR","OK")</f>
        <v>OK</v>
      </c>
      <c r="X1352">
        <f>(B1352-I1352)/B1352</f>
        <v>0.54040025628921018</v>
      </c>
      <c r="Y1352" s="2">
        <f t="shared" si="173"/>
        <v>1.7763568394002505E-15</v>
      </c>
      <c r="Z1352" s="2" t="str">
        <f t="shared" si="174"/>
        <v>OK</v>
      </c>
      <c r="AA1352" t="str">
        <f t="shared" si="175"/>
        <v>Unique</v>
      </c>
    </row>
    <row r="1353" spans="1:27" x14ac:dyDescent="0.3">
      <c r="A1353">
        <v>1352</v>
      </c>
      <c r="B1353">
        <v>1463678.08220514</v>
      </c>
      <c r="C1353">
        <v>0.21940041355868201</v>
      </c>
      <c r="D1353">
        <v>6.9038189490294097E-2</v>
      </c>
      <c r="E1353">
        <v>0.56173237354435102</v>
      </c>
      <c r="F1353">
        <v>1</v>
      </c>
      <c r="G1353" t="s">
        <v>10</v>
      </c>
      <c r="H1353">
        <v>0</v>
      </c>
      <c r="I1353">
        <v>822195.36322194303</v>
      </c>
      <c r="J1353">
        <v>0.43826762645564799</v>
      </c>
      <c r="K1353" t="str">
        <f t="shared" si="168"/>
        <v>OK</v>
      </c>
      <c r="L1353" t="str">
        <f t="shared" si="169"/>
        <v>OK</v>
      </c>
      <c r="M1353" t="str">
        <f>IF(OR(B1353&lt;$AE$20,B1353&gt;$AF$20),"Outlier","OK")</f>
        <v>OK</v>
      </c>
      <c r="N1353" t="str">
        <f>IF(OR(J1353&lt;$AE$21,J1353&gt;$AF$21),"Outlier","OK")</f>
        <v>OK</v>
      </c>
      <c r="O1353" t="str">
        <f>IF(OR(C1353&lt;0,C1353&gt;1),"Outlier","OK")</f>
        <v>OK</v>
      </c>
      <c r="P1353" t="str">
        <f>IF(OR(D1353&lt;0,D1353&gt;1),"Outlier","OK")</f>
        <v>OK</v>
      </c>
      <c r="Q1353" t="str">
        <f t="shared" si="170"/>
        <v>40-60%</v>
      </c>
      <c r="R1353" t="str">
        <f>IF(B1353="","Missing","OK")</f>
        <v>OK</v>
      </c>
      <c r="S1353" t="str">
        <f>IF(E1353="","Missing","OK")</f>
        <v>OK</v>
      </c>
      <c r="T1353" t="str">
        <f t="shared" si="171"/>
        <v>OK</v>
      </c>
      <c r="U1353">
        <f>COUNTIF($A:$A,A1353)</f>
        <v>1</v>
      </c>
      <c r="V1353" t="str">
        <f t="shared" si="172"/>
        <v>OK</v>
      </c>
      <c r="W1353" t="str">
        <f>IF(I1353&gt;B1353,"ERROR","OK")</f>
        <v>OK</v>
      </c>
      <c r="X1353">
        <f>(B1353-I1353)/B1353</f>
        <v>0.43826762645564488</v>
      </c>
      <c r="Y1353" s="2">
        <f t="shared" si="173"/>
        <v>3.1086244689504383E-15</v>
      </c>
      <c r="Z1353" s="2" t="str">
        <f t="shared" si="174"/>
        <v>OK</v>
      </c>
      <c r="AA1353" t="str">
        <f t="shared" si="175"/>
        <v>Unique</v>
      </c>
    </row>
    <row r="1354" spans="1:27" x14ac:dyDescent="0.3">
      <c r="A1354">
        <v>1353</v>
      </c>
      <c r="B1354">
        <v>1590621.9772765201</v>
      </c>
      <c r="C1354">
        <v>0.18227762502348999</v>
      </c>
      <c r="D1354">
        <v>3.0149346373621402E-2</v>
      </c>
      <c r="E1354">
        <v>0.20014750720840799</v>
      </c>
      <c r="F1354">
        <v>1</v>
      </c>
      <c r="G1354" t="s">
        <v>12</v>
      </c>
      <c r="H1354">
        <v>0</v>
      </c>
      <c r="I1354">
        <v>318359.02366280701</v>
      </c>
      <c r="J1354">
        <v>0.79985249279159099</v>
      </c>
      <c r="K1354" t="str">
        <f t="shared" si="168"/>
        <v>OK</v>
      </c>
      <c r="L1354" t="str">
        <f t="shared" si="169"/>
        <v>OK</v>
      </c>
      <c r="M1354" t="str">
        <f>IF(OR(B1354&lt;$AE$20,B1354&gt;$AF$20),"Outlier","OK")</f>
        <v>OK</v>
      </c>
      <c r="N1354" t="str">
        <f>IF(OR(J1354&lt;$AE$21,J1354&gt;$AF$21),"Outlier","OK")</f>
        <v>OK</v>
      </c>
      <c r="O1354" t="str">
        <f>IF(OR(C1354&lt;0,C1354&gt;1),"Outlier","OK")</f>
        <v>OK</v>
      </c>
      <c r="P1354" t="str">
        <f>IF(OR(D1354&lt;0,D1354&gt;1),"Outlier","OK")</f>
        <v>OK</v>
      </c>
      <c r="Q1354" t="str">
        <f t="shared" si="170"/>
        <v>60-80%</v>
      </c>
      <c r="R1354" t="str">
        <f>IF(B1354="","Missing","OK")</f>
        <v>OK</v>
      </c>
      <c r="S1354" t="str">
        <f>IF(E1354="","Missing","OK")</f>
        <v>OK</v>
      </c>
      <c r="T1354" t="str">
        <f t="shared" si="171"/>
        <v>OK</v>
      </c>
      <c r="U1354">
        <f>COUNTIF($A:$A,A1354)</f>
        <v>1</v>
      </c>
      <c r="V1354" t="str">
        <f t="shared" si="172"/>
        <v>OK</v>
      </c>
      <c r="W1354" t="str">
        <f>IF(I1354&gt;B1354,"ERROR","OK")</f>
        <v>OK</v>
      </c>
      <c r="X1354">
        <f>(B1354-I1354)/B1354</f>
        <v>0.79985249279159043</v>
      </c>
      <c r="Y1354" s="2">
        <f t="shared" si="173"/>
        <v>5.5511151231257827E-16</v>
      </c>
      <c r="Z1354" s="2" t="str">
        <f t="shared" si="174"/>
        <v>OK</v>
      </c>
      <c r="AA1354" t="str">
        <f t="shared" si="175"/>
        <v>Unique</v>
      </c>
    </row>
    <row r="1355" spans="1:27" x14ac:dyDescent="0.3">
      <c r="A1355">
        <v>1354</v>
      </c>
      <c r="B1355">
        <v>1548737.77032728</v>
      </c>
      <c r="C1355">
        <v>0.130161775970913</v>
      </c>
      <c r="D1355">
        <v>-6.3883982292245404E-3</v>
      </c>
      <c r="E1355">
        <v>0.27838854652341599</v>
      </c>
      <c r="F1355">
        <v>1</v>
      </c>
      <c r="G1355" t="s">
        <v>11</v>
      </c>
      <c r="H1355">
        <v>0</v>
      </c>
      <c r="I1355">
        <v>431150.85682732798</v>
      </c>
      <c r="J1355">
        <v>0.72161145347658395</v>
      </c>
      <c r="K1355" t="str">
        <f t="shared" si="168"/>
        <v>OK</v>
      </c>
      <c r="L1355" t="str">
        <f t="shared" si="169"/>
        <v>OK</v>
      </c>
      <c r="M1355" t="str">
        <f>IF(OR(B1355&lt;$AE$20,B1355&gt;$AF$20),"Outlier","OK")</f>
        <v>OK</v>
      </c>
      <c r="N1355" t="str">
        <f>IF(OR(J1355&lt;$AE$21,J1355&gt;$AF$21),"Outlier","OK")</f>
        <v>OK</v>
      </c>
      <c r="O1355" t="str">
        <f>IF(OR(C1355&lt;0,C1355&gt;1),"Outlier","OK")</f>
        <v>OK</v>
      </c>
      <c r="P1355" t="str">
        <f>IF(OR(D1355&lt;0,D1355&gt;1),"Outlier","OK")</f>
        <v>Outlier</v>
      </c>
      <c r="Q1355" t="str">
        <f t="shared" si="170"/>
        <v>60-80%</v>
      </c>
      <c r="R1355" t="str">
        <f>IF(B1355="","Missing","OK")</f>
        <v>OK</v>
      </c>
      <c r="S1355" t="str">
        <f>IF(E1355="","Missing","OK")</f>
        <v>OK</v>
      </c>
      <c r="T1355" t="str">
        <f t="shared" si="171"/>
        <v>OK</v>
      </c>
      <c r="U1355">
        <f>COUNTIF($A:$A,A1355)</f>
        <v>1</v>
      </c>
      <c r="V1355" t="str">
        <f t="shared" si="172"/>
        <v>OK</v>
      </c>
      <c r="W1355" t="str">
        <f>IF(I1355&gt;B1355,"ERROR","OK")</f>
        <v>OK</v>
      </c>
      <c r="X1355">
        <f>(B1355-I1355)/B1355</f>
        <v>0.72161145347658373</v>
      </c>
      <c r="Y1355" s="2">
        <f t="shared" si="173"/>
        <v>2.2204460492503131E-16</v>
      </c>
      <c r="Z1355" s="2" t="str">
        <f t="shared" si="174"/>
        <v>OK</v>
      </c>
      <c r="AA1355" t="str">
        <f t="shared" si="175"/>
        <v>Unique</v>
      </c>
    </row>
    <row r="1356" spans="1:27" x14ac:dyDescent="0.3">
      <c r="A1356">
        <v>1355</v>
      </c>
      <c r="B1356">
        <v>1916138.2166814201</v>
      </c>
      <c r="C1356">
        <v>0.11742989147029401</v>
      </c>
      <c r="D1356">
        <v>0.144863405622361</v>
      </c>
      <c r="E1356">
        <v>7.3520977078885094E-2</v>
      </c>
      <c r="F1356">
        <v>1</v>
      </c>
      <c r="G1356" t="s">
        <v>11</v>
      </c>
      <c r="H1356">
        <v>1</v>
      </c>
      <c r="I1356">
        <v>140876.35390861001</v>
      </c>
      <c r="J1356">
        <v>0.92647902292111395</v>
      </c>
      <c r="K1356" t="str">
        <f t="shared" si="168"/>
        <v>OK</v>
      </c>
      <c r="L1356" t="str">
        <f t="shared" si="169"/>
        <v>OK</v>
      </c>
      <c r="M1356" t="str">
        <f>IF(OR(B1356&lt;$AE$20,B1356&gt;$AF$20),"Outlier","OK")</f>
        <v>OK</v>
      </c>
      <c r="N1356" t="str">
        <f>IF(OR(J1356&lt;$AE$21,J1356&gt;$AF$21),"Outlier","OK")</f>
        <v>OK</v>
      </c>
      <c r="O1356" t="str">
        <f>IF(OR(C1356&lt;0,C1356&gt;1),"Outlier","OK")</f>
        <v>OK</v>
      </c>
      <c r="P1356" t="str">
        <f>IF(OR(D1356&lt;0,D1356&gt;1),"Outlier","OK")</f>
        <v>OK</v>
      </c>
      <c r="Q1356" t="str">
        <f t="shared" si="170"/>
        <v>80-100%</v>
      </c>
      <c r="R1356" t="str">
        <f>IF(B1356="","Missing","OK")</f>
        <v>OK</v>
      </c>
      <c r="S1356" t="str">
        <f>IF(E1356="","Missing","OK")</f>
        <v>OK</v>
      </c>
      <c r="T1356" t="str">
        <f t="shared" si="171"/>
        <v>OK</v>
      </c>
      <c r="U1356">
        <f>COUNTIF($A:$A,A1356)</f>
        <v>1</v>
      </c>
      <c r="V1356" t="str">
        <f t="shared" si="172"/>
        <v>OK</v>
      </c>
      <c r="W1356" t="str">
        <f>IF(I1356&gt;B1356,"ERROR","OK")</f>
        <v>OK</v>
      </c>
      <c r="X1356">
        <f>(B1356-I1356)/B1356</f>
        <v>0.92647902292111506</v>
      </c>
      <c r="Y1356" s="2">
        <f t="shared" si="173"/>
        <v>1.1102230246251565E-15</v>
      </c>
      <c r="Z1356" s="2" t="str">
        <f t="shared" si="174"/>
        <v>OK</v>
      </c>
      <c r="AA1356" t="str">
        <f t="shared" si="175"/>
        <v>Unique</v>
      </c>
    </row>
    <row r="1357" spans="1:27" x14ac:dyDescent="0.3">
      <c r="A1357">
        <v>1356</v>
      </c>
      <c r="B1357">
        <v>1641574.7893111</v>
      </c>
      <c r="C1357">
        <v>0.86545833354604496</v>
      </c>
      <c r="D1357">
        <v>1.3226105079276801E-2</v>
      </c>
      <c r="E1357">
        <v>0.119579942122512</v>
      </c>
      <c r="F1357">
        <v>1</v>
      </c>
      <c r="G1357" t="s">
        <v>10</v>
      </c>
      <c r="H1357">
        <v>1</v>
      </c>
      <c r="I1357">
        <v>196299.41829559699</v>
      </c>
      <c r="J1357">
        <v>0.88042005787748701</v>
      </c>
      <c r="K1357" t="str">
        <f t="shared" si="168"/>
        <v>OK</v>
      </c>
      <c r="L1357" t="str">
        <f t="shared" si="169"/>
        <v>OK</v>
      </c>
      <c r="M1357" t="str">
        <f>IF(OR(B1357&lt;$AE$20,B1357&gt;$AF$20),"Outlier","OK")</f>
        <v>OK</v>
      </c>
      <c r="N1357" t="str">
        <f>IF(OR(J1357&lt;$AE$21,J1357&gt;$AF$21),"Outlier","OK")</f>
        <v>OK</v>
      </c>
      <c r="O1357" t="str">
        <f>IF(OR(C1357&lt;0,C1357&gt;1),"Outlier","OK")</f>
        <v>OK</v>
      </c>
      <c r="P1357" t="str">
        <f>IF(OR(D1357&lt;0,D1357&gt;1),"Outlier","OK")</f>
        <v>OK</v>
      </c>
      <c r="Q1357" t="str">
        <f t="shared" si="170"/>
        <v>80-100%</v>
      </c>
      <c r="R1357" t="str">
        <f>IF(B1357="","Missing","OK")</f>
        <v>OK</v>
      </c>
      <c r="S1357" t="str">
        <f>IF(E1357="","Missing","OK")</f>
        <v>OK</v>
      </c>
      <c r="T1357" t="str">
        <f t="shared" si="171"/>
        <v>OK</v>
      </c>
      <c r="U1357">
        <f>COUNTIF($A:$A,A1357)</f>
        <v>1</v>
      </c>
      <c r="V1357" t="str">
        <f t="shared" si="172"/>
        <v>OK</v>
      </c>
      <c r="W1357" t="str">
        <f>IF(I1357&gt;B1357,"ERROR","OK")</f>
        <v>OK</v>
      </c>
      <c r="X1357">
        <f>(B1357-I1357)/B1357</f>
        <v>0.88042005787748756</v>
      </c>
      <c r="Y1357" s="2">
        <f t="shared" si="173"/>
        <v>5.5511151231257827E-16</v>
      </c>
      <c r="Z1357" s="2" t="str">
        <f t="shared" si="174"/>
        <v>OK</v>
      </c>
      <c r="AA1357" t="str">
        <f t="shared" si="175"/>
        <v>Unique</v>
      </c>
    </row>
    <row r="1358" spans="1:27" x14ac:dyDescent="0.3">
      <c r="A1358">
        <v>1357</v>
      </c>
      <c r="B1358">
        <v>573212.764483543</v>
      </c>
      <c r="C1358">
        <v>0.371341844734628</v>
      </c>
      <c r="D1358">
        <v>0.157661478581647</v>
      </c>
      <c r="E1358">
        <v>0.140625406221877</v>
      </c>
      <c r="F1358">
        <v>1</v>
      </c>
      <c r="G1358" t="s">
        <v>10</v>
      </c>
      <c r="H1358">
        <v>0</v>
      </c>
      <c r="I1358">
        <v>80608.277857063498</v>
      </c>
      <c r="J1358">
        <v>0.85937459377812198</v>
      </c>
      <c r="K1358" t="str">
        <f t="shared" si="168"/>
        <v>OK</v>
      </c>
      <c r="L1358" t="str">
        <f t="shared" si="169"/>
        <v>OK</v>
      </c>
      <c r="M1358" t="str">
        <f>IF(OR(B1358&lt;$AE$20,B1358&gt;$AF$20),"Outlier","OK")</f>
        <v>OK</v>
      </c>
      <c r="N1358" t="str">
        <f>IF(OR(J1358&lt;$AE$21,J1358&gt;$AF$21),"Outlier","OK")</f>
        <v>OK</v>
      </c>
      <c r="O1358" t="str">
        <f>IF(OR(C1358&lt;0,C1358&gt;1),"Outlier","OK")</f>
        <v>OK</v>
      </c>
      <c r="P1358" t="str">
        <f>IF(OR(D1358&lt;0,D1358&gt;1),"Outlier","OK")</f>
        <v>OK</v>
      </c>
      <c r="Q1358" t="str">
        <f t="shared" si="170"/>
        <v>80-100%</v>
      </c>
      <c r="R1358" t="str">
        <f>IF(B1358="","Missing","OK")</f>
        <v>OK</v>
      </c>
      <c r="S1358" t="str">
        <f>IF(E1358="","Missing","OK")</f>
        <v>OK</v>
      </c>
      <c r="T1358" t="str">
        <f t="shared" si="171"/>
        <v>OK</v>
      </c>
      <c r="U1358">
        <f>COUNTIF($A:$A,A1358)</f>
        <v>1</v>
      </c>
      <c r="V1358" t="str">
        <f t="shared" si="172"/>
        <v>OK</v>
      </c>
      <c r="W1358" t="str">
        <f>IF(I1358&gt;B1358,"ERROR","OK")</f>
        <v>OK</v>
      </c>
      <c r="X1358">
        <f>(B1358-I1358)/B1358</f>
        <v>0.85937459377812275</v>
      </c>
      <c r="Y1358" s="2">
        <f t="shared" si="173"/>
        <v>7.7715611723760958E-16</v>
      </c>
      <c r="Z1358" s="2" t="str">
        <f t="shared" si="174"/>
        <v>OK</v>
      </c>
      <c r="AA1358" t="str">
        <f t="shared" si="175"/>
        <v>Unique</v>
      </c>
    </row>
    <row r="1359" spans="1:27" x14ac:dyDescent="0.3">
      <c r="A1359">
        <v>1358</v>
      </c>
      <c r="B1359">
        <v>501037.05140371399</v>
      </c>
      <c r="C1359">
        <v>0.56304017514237903</v>
      </c>
      <c r="D1359">
        <v>0.100900947075738</v>
      </c>
      <c r="E1359">
        <v>0.338736004352725</v>
      </c>
      <c r="F1359">
        <v>1</v>
      </c>
      <c r="G1359" t="s">
        <v>13</v>
      </c>
      <c r="H1359">
        <v>1</v>
      </c>
      <c r="I1359">
        <v>169719.28882516499</v>
      </c>
      <c r="J1359">
        <v>0.66126399564727401</v>
      </c>
      <c r="K1359" t="str">
        <f t="shared" si="168"/>
        <v>OK</v>
      </c>
      <c r="L1359" t="str">
        <f t="shared" si="169"/>
        <v>OK</v>
      </c>
      <c r="M1359" t="str">
        <f>IF(OR(B1359&lt;$AE$20,B1359&gt;$AF$20),"Outlier","OK")</f>
        <v>OK</v>
      </c>
      <c r="N1359" t="str">
        <f>IF(OR(J1359&lt;$AE$21,J1359&gt;$AF$21),"Outlier","OK")</f>
        <v>OK</v>
      </c>
      <c r="O1359" t="str">
        <f>IF(OR(C1359&lt;0,C1359&gt;1),"Outlier","OK")</f>
        <v>OK</v>
      </c>
      <c r="P1359" t="str">
        <f>IF(OR(D1359&lt;0,D1359&gt;1),"Outlier","OK")</f>
        <v>OK</v>
      </c>
      <c r="Q1359" t="str">
        <f t="shared" si="170"/>
        <v>60-80%</v>
      </c>
      <c r="R1359" t="str">
        <f>IF(B1359="","Missing","OK")</f>
        <v>OK</v>
      </c>
      <c r="S1359" t="str">
        <f>IF(E1359="","Missing","OK")</f>
        <v>OK</v>
      </c>
      <c r="T1359" t="str">
        <f t="shared" si="171"/>
        <v>OK</v>
      </c>
      <c r="U1359">
        <f>COUNTIF($A:$A,A1359)</f>
        <v>1</v>
      </c>
      <c r="V1359" t="str">
        <f t="shared" si="172"/>
        <v>OK</v>
      </c>
      <c r="W1359" t="str">
        <f>IF(I1359&gt;B1359,"ERROR","OK")</f>
        <v>OK</v>
      </c>
      <c r="X1359">
        <f>(B1359-I1359)/B1359</f>
        <v>0.66126399564727489</v>
      </c>
      <c r="Y1359" s="2">
        <f t="shared" si="173"/>
        <v>8.8817841970012523E-16</v>
      </c>
      <c r="Z1359" s="2" t="str">
        <f t="shared" si="174"/>
        <v>OK</v>
      </c>
      <c r="AA1359" t="str">
        <f t="shared" si="175"/>
        <v>Unique</v>
      </c>
    </row>
    <row r="1360" spans="1:27" x14ac:dyDescent="0.3">
      <c r="A1360">
        <v>1359</v>
      </c>
      <c r="B1360">
        <v>522076.757329827</v>
      </c>
      <c r="C1360">
        <v>0.84648015205053595</v>
      </c>
      <c r="D1360">
        <v>1.47455341642622E-2</v>
      </c>
      <c r="E1360">
        <v>0.21465243948820001</v>
      </c>
      <c r="F1360">
        <v>1</v>
      </c>
      <c r="G1360" t="s">
        <v>10</v>
      </c>
      <c r="H1360">
        <v>0</v>
      </c>
      <c r="I1360">
        <v>112065.04956093599</v>
      </c>
      <c r="J1360">
        <v>0.78534756051179899</v>
      </c>
      <c r="K1360" t="str">
        <f t="shared" si="168"/>
        <v>OK</v>
      </c>
      <c r="L1360" t="str">
        <f t="shared" si="169"/>
        <v>OK</v>
      </c>
      <c r="M1360" t="str">
        <f>IF(OR(B1360&lt;$AE$20,B1360&gt;$AF$20),"Outlier","OK")</f>
        <v>OK</v>
      </c>
      <c r="N1360" t="str">
        <f>IF(OR(J1360&lt;$AE$21,J1360&gt;$AF$21),"Outlier","OK")</f>
        <v>OK</v>
      </c>
      <c r="O1360" t="str">
        <f>IF(OR(C1360&lt;0,C1360&gt;1),"Outlier","OK")</f>
        <v>OK</v>
      </c>
      <c r="P1360" t="str">
        <f>IF(OR(D1360&lt;0,D1360&gt;1),"Outlier","OK")</f>
        <v>OK</v>
      </c>
      <c r="Q1360" t="str">
        <f t="shared" si="170"/>
        <v>60-80%</v>
      </c>
      <c r="R1360" t="str">
        <f>IF(B1360="","Missing","OK")</f>
        <v>OK</v>
      </c>
      <c r="S1360" t="str">
        <f>IF(E1360="","Missing","OK")</f>
        <v>OK</v>
      </c>
      <c r="T1360" t="str">
        <f t="shared" si="171"/>
        <v>OK</v>
      </c>
      <c r="U1360">
        <f>COUNTIF($A:$A,A1360)</f>
        <v>1</v>
      </c>
      <c r="V1360" t="str">
        <f t="shared" si="172"/>
        <v>OK</v>
      </c>
      <c r="W1360" t="str">
        <f>IF(I1360&gt;B1360,"ERROR","OK")</f>
        <v>OK</v>
      </c>
      <c r="X1360">
        <f>(B1360-I1360)/B1360</f>
        <v>0.78534756051180077</v>
      </c>
      <c r="Y1360" s="2">
        <f t="shared" si="173"/>
        <v>1.7763568394002505E-15</v>
      </c>
      <c r="Z1360" s="2" t="str">
        <f t="shared" si="174"/>
        <v>OK</v>
      </c>
      <c r="AA1360" t="str">
        <f t="shared" si="175"/>
        <v>Unique</v>
      </c>
    </row>
    <row r="1361" spans="1:27" x14ac:dyDescent="0.3">
      <c r="A1361">
        <v>1360</v>
      </c>
      <c r="B1361">
        <v>465223.06960409001</v>
      </c>
      <c r="C1361">
        <v>0.71410689904166902</v>
      </c>
      <c r="D1361">
        <v>7.0948110783180696E-2</v>
      </c>
      <c r="E1361">
        <v>0.51036728346856197</v>
      </c>
      <c r="F1361">
        <v>1</v>
      </c>
      <c r="G1361" t="s">
        <v>12</v>
      </c>
      <c r="H1361">
        <v>0</v>
      </c>
      <c r="I1361">
        <v>237434.63424074501</v>
      </c>
      <c r="J1361">
        <v>0.48963271653143697</v>
      </c>
      <c r="K1361" t="str">
        <f t="shared" si="168"/>
        <v>OK</v>
      </c>
      <c r="L1361" t="str">
        <f t="shared" si="169"/>
        <v>OK</v>
      </c>
      <c r="M1361" t="str">
        <f>IF(OR(B1361&lt;$AE$20,B1361&gt;$AF$20),"Outlier","OK")</f>
        <v>OK</v>
      </c>
      <c r="N1361" t="str">
        <f>IF(OR(J1361&lt;$AE$21,J1361&gt;$AF$21),"Outlier","OK")</f>
        <v>OK</v>
      </c>
      <c r="O1361" t="str">
        <f>IF(OR(C1361&lt;0,C1361&gt;1),"Outlier","OK")</f>
        <v>OK</v>
      </c>
      <c r="P1361" t="str">
        <f>IF(OR(D1361&lt;0,D1361&gt;1),"Outlier","OK")</f>
        <v>OK</v>
      </c>
      <c r="Q1361" t="str">
        <f t="shared" si="170"/>
        <v>40-60%</v>
      </c>
      <c r="R1361" t="str">
        <f>IF(B1361="","Missing","OK")</f>
        <v>OK</v>
      </c>
      <c r="S1361" t="str">
        <f>IF(E1361="","Missing","OK")</f>
        <v>OK</v>
      </c>
      <c r="T1361" t="str">
        <f t="shared" si="171"/>
        <v>OK</v>
      </c>
      <c r="U1361">
        <f>COUNTIF($A:$A,A1361)</f>
        <v>1</v>
      </c>
      <c r="V1361" t="str">
        <f t="shared" si="172"/>
        <v>OK</v>
      </c>
      <c r="W1361" t="str">
        <f>IF(I1361&gt;B1361,"ERROR","OK")</f>
        <v>OK</v>
      </c>
      <c r="X1361">
        <f>(B1361-I1361)/B1361</f>
        <v>0.48963271653143831</v>
      </c>
      <c r="Y1361" s="2">
        <f t="shared" si="173"/>
        <v>1.3322676295501878E-15</v>
      </c>
      <c r="Z1361" s="2" t="str">
        <f t="shared" si="174"/>
        <v>OK</v>
      </c>
      <c r="AA1361" t="str">
        <f t="shared" si="175"/>
        <v>Unique</v>
      </c>
    </row>
    <row r="1362" spans="1:27" x14ac:dyDescent="0.3">
      <c r="A1362">
        <v>1361</v>
      </c>
      <c r="B1362">
        <v>456113.64588427899</v>
      </c>
      <c r="C1362">
        <v>0.31669636051365802</v>
      </c>
      <c r="D1362">
        <v>5.7848044949812299E-2</v>
      </c>
      <c r="E1362">
        <v>0.48933584200442998</v>
      </c>
      <c r="F1362">
        <v>1</v>
      </c>
      <c r="G1362" t="s">
        <v>12</v>
      </c>
      <c r="H1362">
        <v>0</v>
      </c>
      <c r="I1362">
        <v>223192.75495849401</v>
      </c>
      <c r="J1362">
        <v>0.51066415799556897</v>
      </c>
      <c r="K1362" t="str">
        <f t="shared" si="168"/>
        <v>OK</v>
      </c>
      <c r="L1362" t="str">
        <f t="shared" si="169"/>
        <v>OK</v>
      </c>
      <c r="M1362" t="str">
        <f>IF(OR(B1362&lt;$AE$20,B1362&gt;$AF$20),"Outlier","OK")</f>
        <v>OK</v>
      </c>
      <c r="N1362" t="str">
        <f>IF(OR(J1362&lt;$AE$21,J1362&gt;$AF$21),"Outlier","OK")</f>
        <v>OK</v>
      </c>
      <c r="O1362" t="str">
        <f>IF(OR(C1362&lt;0,C1362&gt;1),"Outlier","OK")</f>
        <v>OK</v>
      </c>
      <c r="P1362" t="str">
        <f>IF(OR(D1362&lt;0,D1362&gt;1),"Outlier","OK")</f>
        <v>OK</v>
      </c>
      <c r="Q1362" t="str">
        <f t="shared" si="170"/>
        <v>40-60%</v>
      </c>
      <c r="R1362" t="str">
        <f>IF(B1362="","Missing","OK")</f>
        <v>OK</v>
      </c>
      <c r="S1362" t="str">
        <f>IF(E1362="","Missing","OK")</f>
        <v>OK</v>
      </c>
      <c r="T1362" t="str">
        <f t="shared" si="171"/>
        <v>OK</v>
      </c>
      <c r="U1362">
        <f>COUNTIF($A:$A,A1362)</f>
        <v>1</v>
      </c>
      <c r="V1362" t="str">
        <f t="shared" si="172"/>
        <v>OK</v>
      </c>
      <c r="W1362" t="str">
        <f>IF(I1362&gt;B1362,"ERROR","OK")</f>
        <v>OK</v>
      </c>
      <c r="X1362">
        <f>(B1362-I1362)/B1362</f>
        <v>0.51066415799557019</v>
      </c>
      <c r="Y1362" s="2">
        <f t="shared" si="173"/>
        <v>1.2212453270876722E-15</v>
      </c>
      <c r="Z1362" s="2" t="str">
        <f t="shared" si="174"/>
        <v>OK</v>
      </c>
      <c r="AA1362" t="str">
        <f t="shared" si="175"/>
        <v>Unique</v>
      </c>
    </row>
    <row r="1363" spans="1:27" x14ac:dyDescent="0.3">
      <c r="A1363">
        <v>1362</v>
      </c>
      <c r="B1363">
        <v>1872279.63650797</v>
      </c>
      <c r="C1363">
        <v>0.53552197430304105</v>
      </c>
      <c r="D1363">
        <v>0.13284724897160799</v>
      </c>
      <c r="E1363">
        <v>0.33047198487007201</v>
      </c>
      <c r="F1363">
        <v>1</v>
      </c>
      <c r="G1363" t="s">
        <v>11</v>
      </c>
      <c r="H1363">
        <v>0</v>
      </c>
      <c r="I1363">
        <v>618735.96770860697</v>
      </c>
      <c r="J1363">
        <v>0.66952801512992699</v>
      </c>
      <c r="K1363" t="str">
        <f t="shared" si="168"/>
        <v>OK</v>
      </c>
      <c r="L1363" t="str">
        <f t="shared" si="169"/>
        <v>OK</v>
      </c>
      <c r="M1363" t="str">
        <f>IF(OR(B1363&lt;$AE$20,B1363&gt;$AF$20),"Outlier","OK")</f>
        <v>OK</v>
      </c>
      <c r="N1363" t="str">
        <f>IF(OR(J1363&lt;$AE$21,J1363&gt;$AF$21),"Outlier","OK")</f>
        <v>OK</v>
      </c>
      <c r="O1363" t="str">
        <f>IF(OR(C1363&lt;0,C1363&gt;1),"Outlier","OK")</f>
        <v>OK</v>
      </c>
      <c r="P1363" t="str">
        <f>IF(OR(D1363&lt;0,D1363&gt;1),"Outlier","OK")</f>
        <v>OK</v>
      </c>
      <c r="Q1363" t="str">
        <f t="shared" si="170"/>
        <v>60-80%</v>
      </c>
      <c r="R1363" t="str">
        <f>IF(B1363="","Missing","OK")</f>
        <v>OK</v>
      </c>
      <c r="S1363" t="str">
        <f>IF(E1363="","Missing","OK")</f>
        <v>OK</v>
      </c>
      <c r="T1363" t="str">
        <f t="shared" si="171"/>
        <v>OK</v>
      </c>
      <c r="U1363">
        <f>COUNTIF($A:$A,A1363)</f>
        <v>1</v>
      </c>
      <c r="V1363" t="str">
        <f t="shared" si="172"/>
        <v>OK</v>
      </c>
      <c r="W1363" t="str">
        <f>IF(I1363&gt;B1363,"ERROR","OK")</f>
        <v>OK</v>
      </c>
      <c r="X1363">
        <f>(B1363-I1363)/B1363</f>
        <v>0.66952801512992732</v>
      </c>
      <c r="Y1363" s="2">
        <f t="shared" si="173"/>
        <v>3.3306690738754696E-16</v>
      </c>
      <c r="Z1363" s="2" t="str">
        <f t="shared" si="174"/>
        <v>OK</v>
      </c>
      <c r="AA1363" t="str">
        <f t="shared" si="175"/>
        <v>Unique</v>
      </c>
    </row>
    <row r="1364" spans="1:27" x14ac:dyDescent="0.3">
      <c r="A1364">
        <v>1363</v>
      </c>
      <c r="B1364">
        <v>1905741.7648559599</v>
      </c>
      <c r="C1364">
        <v>0.31333242918132398</v>
      </c>
      <c r="D1364">
        <v>0.112595153549016</v>
      </c>
      <c r="E1364">
        <v>0.14135243864847</v>
      </c>
      <c r="F1364">
        <v>1</v>
      </c>
      <c r="G1364" t="s">
        <v>10</v>
      </c>
      <c r="H1364">
        <v>1</v>
      </c>
      <c r="I1364">
        <v>269381.24589663203</v>
      </c>
      <c r="J1364">
        <v>0.85864756135152898</v>
      </c>
      <c r="K1364" t="str">
        <f t="shared" si="168"/>
        <v>OK</v>
      </c>
      <c r="L1364" t="str">
        <f t="shared" si="169"/>
        <v>OK</v>
      </c>
      <c r="M1364" t="str">
        <f>IF(OR(B1364&lt;$AE$20,B1364&gt;$AF$20),"Outlier","OK")</f>
        <v>OK</v>
      </c>
      <c r="N1364" t="str">
        <f>IF(OR(J1364&lt;$AE$21,J1364&gt;$AF$21),"Outlier","OK")</f>
        <v>OK</v>
      </c>
      <c r="O1364" t="str">
        <f>IF(OR(C1364&lt;0,C1364&gt;1),"Outlier","OK")</f>
        <v>OK</v>
      </c>
      <c r="P1364" t="str">
        <f>IF(OR(D1364&lt;0,D1364&gt;1),"Outlier","OK")</f>
        <v>OK</v>
      </c>
      <c r="Q1364" t="str">
        <f t="shared" si="170"/>
        <v>80-100%</v>
      </c>
      <c r="R1364" t="str">
        <f>IF(B1364="","Missing","OK")</f>
        <v>OK</v>
      </c>
      <c r="S1364" t="str">
        <f>IF(E1364="","Missing","OK")</f>
        <v>OK</v>
      </c>
      <c r="T1364" t="str">
        <f t="shared" si="171"/>
        <v>OK</v>
      </c>
      <c r="U1364">
        <f>COUNTIF($A:$A,A1364)</f>
        <v>1</v>
      </c>
      <c r="V1364" t="str">
        <f t="shared" si="172"/>
        <v>OK</v>
      </c>
      <c r="W1364" t="str">
        <f>IF(I1364&gt;B1364,"ERROR","OK")</f>
        <v>OK</v>
      </c>
      <c r="X1364">
        <f>(B1364-I1364)/B1364</f>
        <v>0.85864756135152842</v>
      </c>
      <c r="Y1364" s="2">
        <f t="shared" si="173"/>
        <v>5.5511151231257827E-16</v>
      </c>
      <c r="Z1364" s="2" t="str">
        <f t="shared" si="174"/>
        <v>OK</v>
      </c>
      <c r="AA1364" t="str">
        <f t="shared" si="175"/>
        <v>Unique</v>
      </c>
    </row>
    <row r="1365" spans="1:27" x14ac:dyDescent="0.3">
      <c r="A1365">
        <v>1364</v>
      </c>
      <c r="B1365">
        <v>225216.08857351201</v>
      </c>
      <c r="C1365">
        <v>0.19251164610552501</v>
      </c>
      <c r="D1365">
        <v>-3.11241520144213E-2</v>
      </c>
      <c r="E1365">
        <v>0.33311016454278902</v>
      </c>
      <c r="F1365">
        <v>1</v>
      </c>
      <c r="G1365" t="s">
        <v>12</v>
      </c>
      <c r="H1365">
        <v>1</v>
      </c>
      <c r="I1365">
        <v>75021.768322406104</v>
      </c>
      <c r="J1365">
        <v>0.66688983545721003</v>
      </c>
      <c r="K1365" t="str">
        <f t="shared" si="168"/>
        <v>OK</v>
      </c>
      <c r="L1365" t="str">
        <f t="shared" si="169"/>
        <v>OK</v>
      </c>
      <c r="M1365" t="str">
        <f>IF(OR(B1365&lt;$AE$20,B1365&gt;$AF$20),"Outlier","OK")</f>
        <v>OK</v>
      </c>
      <c r="N1365" t="str">
        <f>IF(OR(J1365&lt;$AE$21,J1365&gt;$AF$21),"Outlier","OK")</f>
        <v>OK</v>
      </c>
      <c r="O1365" t="str">
        <f>IF(OR(C1365&lt;0,C1365&gt;1),"Outlier","OK")</f>
        <v>OK</v>
      </c>
      <c r="P1365" t="str">
        <f>IF(OR(D1365&lt;0,D1365&gt;1),"Outlier","OK")</f>
        <v>Outlier</v>
      </c>
      <c r="Q1365" t="str">
        <f t="shared" si="170"/>
        <v>60-80%</v>
      </c>
      <c r="R1365" t="str">
        <f>IF(B1365="","Missing","OK")</f>
        <v>OK</v>
      </c>
      <c r="S1365" t="str">
        <f>IF(E1365="","Missing","OK")</f>
        <v>OK</v>
      </c>
      <c r="T1365" t="str">
        <f t="shared" si="171"/>
        <v>OK</v>
      </c>
      <c r="U1365">
        <f>COUNTIF($A:$A,A1365)</f>
        <v>1</v>
      </c>
      <c r="V1365" t="str">
        <f t="shared" si="172"/>
        <v>OK</v>
      </c>
      <c r="W1365" t="str">
        <f>IF(I1365&gt;B1365,"ERROR","OK")</f>
        <v>OK</v>
      </c>
      <c r="X1365">
        <f>(B1365-I1365)/B1365</f>
        <v>0.66688983545721026</v>
      </c>
      <c r="Y1365" s="2">
        <f t="shared" si="173"/>
        <v>2.2204460492503131E-16</v>
      </c>
      <c r="Z1365" s="2" t="str">
        <f t="shared" si="174"/>
        <v>OK</v>
      </c>
      <c r="AA1365" t="str">
        <f t="shared" si="175"/>
        <v>Unique</v>
      </c>
    </row>
    <row r="1366" spans="1:27" x14ac:dyDescent="0.3">
      <c r="A1366">
        <v>1365</v>
      </c>
      <c r="B1366">
        <v>174944.98174409699</v>
      </c>
      <c r="C1366">
        <v>0.71687290719442698</v>
      </c>
      <c r="D1366">
        <v>-3.3012180509570999E-2</v>
      </c>
      <c r="E1366">
        <v>0.64183957347377496</v>
      </c>
      <c r="F1366">
        <v>1</v>
      </c>
      <c r="G1366" t="s">
        <v>13</v>
      </c>
      <c r="H1366">
        <v>0</v>
      </c>
      <c r="I1366">
        <v>112286.61246400799</v>
      </c>
      <c r="J1366">
        <v>0.35816042652622399</v>
      </c>
      <c r="K1366" t="str">
        <f t="shared" si="168"/>
        <v>OK</v>
      </c>
      <c r="L1366" t="str">
        <f t="shared" si="169"/>
        <v>OK</v>
      </c>
      <c r="M1366" t="str">
        <f>IF(OR(B1366&lt;$AE$20,B1366&gt;$AF$20),"Outlier","OK")</f>
        <v>OK</v>
      </c>
      <c r="N1366" t="str">
        <f>IF(OR(J1366&lt;$AE$21,J1366&gt;$AF$21),"Outlier","OK")</f>
        <v>OK</v>
      </c>
      <c r="O1366" t="str">
        <f>IF(OR(C1366&lt;0,C1366&gt;1),"Outlier","OK")</f>
        <v>OK</v>
      </c>
      <c r="P1366" t="str">
        <f>IF(OR(D1366&lt;0,D1366&gt;1),"Outlier","OK")</f>
        <v>Outlier</v>
      </c>
      <c r="Q1366" t="str">
        <f t="shared" si="170"/>
        <v>20-40%</v>
      </c>
      <c r="R1366" t="str">
        <f>IF(B1366="","Missing","OK")</f>
        <v>OK</v>
      </c>
      <c r="S1366" t="str">
        <f>IF(E1366="","Missing","OK")</f>
        <v>OK</v>
      </c>
      <c r="T1366" t="str">
        <f t="shared" si="171"/>
        <v>OK</v>
      </c>
      <c r="U1366">
        <f>COUNTIF($A:$A,A1366)</f>
        <v>1</v>
      </c>
      <c r="V1366" t="str">
        <f t="shared" si="172"/>
        <v>OK</v>
      </c>
      <c r="W1366" t="str">
        <f>IF(I1366&gt;B1366,"ERROR","OK")</f>
        <v>OK</v>
      </c>
      <c r="X1366">
        <f>(B1366-I1366)/B1366</f>
        <v>0.35816042652622826</v>
      </c>
      <c r="Y1366" s="2">
        <f t="shared" si="173"/>
        <v>4.2743586448068527E-15</v>
      </c>
      <c r="Z1366" s="2" t="str">
        <f t="shared" si="174"/>
        <v>OK</v>
      </c>
      <c r="AA1366" t="str">
        <f t="shared" si="175"/>
        <v>Unique</v>
      </c>
    </row>
    <row r="1367" spans="1:27" x14ac:dyDescent="0.3">
      <c r="A1367">
        <v>1366</v>
      </c>
      <c r="B1367">
        <v>1721209.12498472</v>
      </c>
      <c r="C1367">
        <v>0.64668403833003196</v>
      </c>
      <c r="D1367">
        <v>-6.8918527489129799E-2</v>
      </c>
      <c r="E1367">
        <v>0.38360310819948801</v>
      </c>
      <c r="F1367">
        <v>1</v>
      </c>
      <c r="G1367" t="s">
        <v>13</v>
      </c>
      <c r="H1367">
        <v>0</v>
      </c>
      <c r="I1367">
        <v>660261.17020546296</v>
      </c>
      <c r="J1367">
        <v>0.61639689180051105</v>
      </c>
      <c r="K1367" t="str">
        <f t="shared" si="168"/>
        <v>OK</v>
      </c>
      <c r="L1367" t="str">
        <f t="shared" si="169"/>
        <v>OK</v>
      </c>
      <c r="M1367" t="str">
        <f>IF(OR(B1367&lt;$AE$20,B1367&gt;$AF$20),"Outlier","OK")</f>
        <v>OK</v>
      </c>
      <c r="N1367" t="str">
        <f>IF(OR(J1367&lt;$AE$21,J1367&gt;$AF$21),"Outlier","OK")</f>
        <v>OK</v>
      </c>
      <c r="O1367" t="str">
        <f>IF(OR(C1367&lt;0,C1367&gt;1),"Outlier","OK")</f>
        <v>OK</v>
      </c>
      <c r="P1367" t="str">
        <f>IF(OR(D1367&lt;0,D1367&gt;1),"Outlier","OK")</f>
        <v>Outlier</v>
      </c>
      <c r="Q1367" t="str">
        <f t="shared" si="170"/>
        <v>60-80%</v>
      </c>
      <c r="R1367" t="str">
        <f>IF(B1367="","Missing","OK")</f>
        <v>OK</v>
      </c>
      <c r="S1367" t="str">
        <f>IF(E1367="","Missing","OK")</f>
        <v>OK</v>
      </c>
      <c r="T1367" t="str">
        <f t="shared" si="171"/>
        <v>OK</v>
      </c>
      <c r="U1367">
        <f>COUNTIF($A:$A,A1367)</f>
        <v>1</v>
      </c>
      <c r="V1367" t="str">
        <f t="shared" si="172"/>
        <v>OK</v>
      </c>
      <c r="W1367" t="str">
        <f>IF(I1367&gt;B1367,"ERROR","OK")</f>
        <v>OK</v>
      </c>
      <c r="X1367">
        <f>(B1367-I1367)/B1367</f>
        <v>0.61639689180051005</v>
      </c>
      <c r="Y1367" s="2">
        <f t="shared" si="173"/>
        <v>9.9920072216264089E-16</v>
      </c>
      <c r="Z1367" s="2" t="str">
        <f t="shared" si="174"/>
        <v>OK</v>
      </c>
      <c r="AA1367" t="str">
        <f t="shared" si="175"/>
        <v>Unique</v>
      </c>
    </row>
    <row r="1368" spans="1:27" x14ac:dyDescent="0.3">
      <c r="A1368">
        <v>1367</v>
      </c>
      <c r="B1368">
        <v>1149296.6325159599</v>
      </c>
      <c r="C1368">
        <v>0.78628894007796002</v>
      </c>
      <c r="D1368">
        <v>-7.8687918364691606E-2</v>
      </c>
      <c r="E1368">
        <v>0.25857344477136401</v>
      </c>
      <c r="F1368">
        <v>1</v>
      </c>
      <c r="G1368" t="s">
        <v>13</v>
      </c>
      <c r="H1368">
        <v>1</v>
      </c>
      <c r="I1368">
        <v>297177.58933378197</v>
      </c>
      <c r="J1368">
        <v>0.74142655522863499</v>
      </c>
      <c r="K1368" t="str">
        <f t="shared" si="168"/>
        <v>OK</v>
      </c>
      <c r="L1368" t="str">
        <f t="shared" si="169"/>
        <v>OK</v>
      </c>
      <c r="M1368" t="str">
        <f>IF(OR(B1368&lt;$AE$20,B1368&gt;$AF$20),"Outlier","OK")</f>
        <v>OK</v>
      </c>
      <c r="N1368" t="str">
        <f>IF(OR(J1368&lt;$AE$21,J1368&gt;$AF$21),"Outlier","OK")</f>
        <v>OK</v>
      </c>
      <c r="O1368" t="str">
        <f>IF(OR(C1368&lt;0,C1368&gt;1),"Outlier","OK")</f>
        <v>OK</v>
      </c>
      <c r="P1368" t="str">
        <f>IF(OR(D1368&lt;0,D1368&gt;1),"Outlier","OK")</f>
        <v>Outlier</v>
      </c>
      <c r="Q1368" t="str">
        <f t="shared" si="170"/>
        <v>60-80%</v>
      </c>
      <c r="R1368" t="str">
        <f>IF(B1368="","Missing","OK")</f>
        <v>OK</v>
      </c>
      <c r="S1368" t="str">
        <f>IF(E1368="","Missing","OK")</f>
        <v>OK</v>
      </c>
      <c r="T1368" t="str">
        <f t="shared" si="171"/>
        <v>OK</v>
      </c>
      <c r="U1368">
        <f>COUNTIF($A:$A,A1368)</f>
        <v>1</v>
      </c>
      <c r="V1368" t="str">
        <f t="shared" si="172"/>
        <v>OK</v>
      </c>
      <c r="W1368" t="str">
        <f>IF(I1368&gt;B1368,"ERROR","OK")</f>
        <v>OK</v>
      </c>
      <c r="X1368">
        <f>(B1368-I1368)/B1368</f>
        <v>0.74142655522863443</v>
      </c>
      <c r="Y1368" s="2">
        <f t="shared" si="173"/>
        <v>5.5511151231257827E-16</v>
      </c>
      <c r="Z1368" s="2" t="str">
        <f t="shared" si="174"/>
        <v>OK</v>
      </c>
      <c r="AA1368" t="str">
        <f t="shared" si="175"/>
        <v>Unique</v>
      </c>
    </row>
    <row r="1369" spans="1:27" x14ac:dyDescent="0.3">
      <c r="A1369">
        <v>1368</v>
      </c>
      <c r="B1369">
        <v>462554.32131822797</v>
      </c>
      <c r="C1369">
        <v>0.38690985001337103</v>
      </c>
      <c r="D1369">
        <v>3.2519566353550897E-2</v>
      </c>
      <c r="E1369">
        <v>0.22488052483552601</v>
      </c>
      <c r="F1369">
        <v>1</v>
      </c>
      <c r="G1369" t="s">
        <v>13</v>
      </c>
      <c r="H1369">
        <v>0</v>
      </c>
      <c r="I1369">
        <v>104019.458542983</v>
      </c>
      <c r="J1369">
        <v>0.77511947516447299</v>
      </c>
      <c r="K1369" t="str">
        <f t="shared" si="168"/>
        <v>OK</v>
      </c>
      <c r="L1369" t="str">
        <f t="shared" si="169"/>
        <v>OK</v>
      </c>
      <c r="M1369" t="str">
        <f>IF(OR(B1369&lt;$AE$20,B1369&gt;$AF$20),"Outlier","OK")</f>
        <v>OK</v>
      </c>
      <c r="N1369" t="str">
        <f>IF(OR(J1369&lt;$AE$21,J1369&gt;$AF$21),"Outlier","OK")</f>
        <v>OK</v>
      </c>
      <c r="O1369" t="str">
        <f>IF(OR(C1369&lt;0,C1369&gt;1),"Outlier","OK")</f>
        <v>OK</v>
      </c>
      <c r="P1369" t="str">
        <f>IF(OR(D1369&lt;0,D1369&gt;1),"Outlier","OK")</f>
        <v>OK</v>
      </c>
      <c r="Q1369" t="str">
        <f t="shared" si="170"/>
        <v>60-80%</v>
      </c>
      <c r="R1369" t="str">
        <f>IF(B1369="","Missing","OK")</f>
        <v>OK</v>
      </c>
      <c r="S1369" t="str">
        <f>IF(E1369="","Missing","OK")</f>
        <v>OK</v>
      </c>
      <c r="T1369" t="str">
        <f t="shared" si="171"/>
        <v>OK</v>
      </c>
      <c r="U1369">
        <f>COUNTIF($A:$A,A1369)</f>
        <v>1</v>
      </c>
      <c r="V1369" t="str">
        <f t="shared" si="172"/>
        <v>OK</v>
      </c>
      <c r="W1369" t="str">
        <f>IF(I1369&gt;B1369,"ERROR","OK")</f>
        <v>OK</v>
      </c>
      <c r="X1369">
        <f>(B1369-I1369)/B1369</f>
        <v>0.77511947516447544</v>
      </c>
      <c r="Y1369" s="2">
        <f t="shared" si="173"/>
        <v>2.4424906541753444E-15</v>
      </c>
      <c r="Z1369" s="2" t="str">
        <f t="shared" si="174"/>
        <v>OK</v>
      </c>
      <c r="AA1369" t="str">
        <f t="shared" si="175"/>
        <v>Unique</v>
      </c>
    </row>
    <row r="1370" spans="1:27" x14ac:dyDescent="0.3">
      <c r="A1370">
        <v>1369</v>
      </c>
      <c r="B1370">
        <v>950542.53744013899</v>
      </c>
      <c r="C1370">
        <v>0.44944678841340902</v>
      </c>
      <c r="D1370">
        <v>-0.184607532536986</v>
      </c>
      <c r="E1370">
        <v>0.352059347070169</v>
      </c>
      <c r="F1370">
        <v>1</v>
      </c>
      <c r="G1370" t="s">
        <v>10</v>
      </c>
      <c r="H1370">
        <v>0</v>
      </c>
      <c r="I1370">
        <v>334647.385093597</v>
      </c>
      <c r="J1370">
        <v>0.64794065292983005</v>
      </c>
      <c r="K1370" t="str">
        <f t="shared" si="168"/>
        <v>OK</v>
      </c>
      <c r="L1370" t="str">
        <f t="shared" si="169"/>
        <v>OK</v>
      </c>
      <c r="M1370" t="str">
        <f>IF(OR(B1370&lt;$AE$20,B1370&gt;$AF$20),"Outlier","OK")</f>
        <v>OK</v>
      </c>
      <c r="N1370" t="str">
        <f>IF(OR(J1370&lt;$AE$21,J1370&gt;$AF$21),"Outlier","OK")</f>
        <v>OK</v>
      </c>
      <c r="O1370" t="str">
        <f>IF(OR(C1370&lt;0,C1370&gt;1),"Outlier","OK")</f>
        <v>OK</v>
      </c>
      <c r="P1370" t="str">
        <f>IF(OR(D1370&lt;0,D1370&gt;1),"Outlier","OK")</f>
        <v>Outlier</v>
      </c>
      <c r="Q1370" t="str">
        <f t="shared" si="170"/>
        <v>60-80%</v>
      </c>
      <c r="R1370" t="str">
        <f>IF(B1370="","Missing","OK")</f>
        <v>OK</v>
      </c>
      <c r="S1370" t="str">
        <f>IF(E1370="","Missing","OK")</f>
        <v>OK</v>
      </c>
      <c r="T1370" t="str">
        <f t="shared" si="171"/>
        <v>OK</v>
      </c>
      <c r="U1370">
        <f>COUNTIF($A:$A,A1370)</f>
        <v>1</v>
      </c>
      <c r="V1370" t="str">
        <f t="shared" si="172"/>
        <v>OK</v>
      </c>
      <c r="W1370" t="str">
        <f>IF(I1370&gt;B1370,"ERROR","OK")</f>
        <v>OK</v>
      </c>
      <c r="X1370">
        <f>(B1370-I1370)/B1370</f>
        <v>0.64794065292983105</v>
      </c>
      <c r="Y1370" s="2">
        <f t="shared" si="173"/>
        <v>9.9920072216264089E-16</v>
      </c>
      <c r="Z1370" s="2" t="str">
        <f t="shared" si="174"/>
        <v>OK</v>
      </c>
      <c r="AA1370" t="str">
        <f t="shared" si="175"/>
        <v>Unique</v>
      </c>
    </row>
    <row r="1371" spans="1:27" x14ac:dyDescent="0.3">
      <c r="A1371">
        <v>1370</v>
      </c>
      <c r="B1371">
        <v>193805.28307083499</v>
      </c>
      <c r="C1371">
        <v>0.68982858649519396</v>
      </c>
      <c r="D1371">
        <v>4.4306969732743E-2</v>
      </c>
      <c r="E1371">
        <v>0.163328058200957</v>
      </c>
      <c r="F1371">
        <v>1</v>
      </c>
      <c r="G1371" t="s">
        <v>10</v>
      </c>
      <c r="H1371">
        <v>0</v>
      </c>
      <c r="I1371">
        <v>31653.840553046401</v>
      </c>
      <c r="J1371">
        <v>0.83667194179904203</v>
      </c>
      <c r="K1371" t="str">
        <f t="shared" si="168"/>
        <v>OK</v>
      </c>
      <c r="L1371" t="str">
        <f t="shared" si="169"/>
        <v>OK</v>
      </c>
      <c r="M1371" t="str">
        <f>IF(OR(B1371&lt;$AE$20,B1371&gt;$AF$20),"Outlier","OK")</f>
        <v>OK</v>
      </c>
      <c r="N1371" t="str">
        <f>IF(OR(J1371&lt;$AE$21,J1371&gt;$AF$21),"Outlier","OK")</f>
        <v>OK</v>
      </c>
      <c r="O1371" t="str">
        <f>IF(OR(C1371&lt;0,C1371&gt;1),"Outlier","OK")</f>
        <v>OK</v>
      </c>
      <c r="P1371" t="str">
        <f>IF(OR(D1371&lt;0,D1371&gt;1),"Outlier","OK")</f>
        <v>OK</v>
      </c>
      <c r="Q1371" t="str">
        <f t="shared" si="170"/>
        <v>80-100%</v>
      </c>
      <c r="R1371" t="str">
        <f>IF(B1371="","Missing","OK")</f>
        <v>OK</v>
      </c>
      <c r="S1371" t="str">
        <f>IF(E1371="","Missing","OK")</f>
        <v>OK</v>
      </c>
      <c r="T1371" t="str">
        <f t="shared" si="171"/>
        <v>OK</v>
      </c>
      <c r="U1371">
        <f>COUNTIF($A:$A,A1371)</f>
        <v>1</v>
      </c>
      <c r="V1371" t="str">
        <f t="shared" si="172"/>
        <v>OK</v>
      </c>
      <c r="W1371" t="str">
        <f>IF(I1371&gt;B1371,"ERROR","OK")</f>
        <v>OK</v>
      </c>
      <c r="X1371">
        <f>(B1371-I1371)/B1371</f>
        <v>0.83667194179904236</v>
      </c>
      <c r="Y1371" s="2">
        <f t="shared" si="173"/>
        <v>3.3306690738754696E-16</v>
      </c>
      <c r="Z1371" s="2" t="str">
        <f t="shared" si="174"/>
        <v>OK</v>
      </c>
      <c r="AA1371" t="str">
        <f t="shared" si="175"/>
        <v>Unique</v>
      </c>
    </row>
    <row r="1372" spans="1:27" x14ac:dyDescent="0.3">
      <c r="A1372">
        <v>1371</v>
      </c>
      <c r="B1372">
        <v>1965322.5327576499</v>
      </c>
      <c r="C1372">
        <v>0.89139244431543097</v>
      </c>
      <c r="D1372">
        <v>-0.119639925076471</v>
      </c>
      <c r="E1372">
        <v>0.29271564941761802</v>
      </c>
      <c r="F1372">
        <v>1</v>
      </c>
      <c r="G1372" t="s">
        <v>10</v>
      </c>
      <c r="H1372">
        <v>0</v>
      </c>
      <c r="I1372">
        <v>575280.66149123595</v>
      </c>
      <c r="J1372">
        <v>0.70728435058238104</v>
      </c>
      <c r="K1372" t="str">
        <f t="shared" si="168"/>
        <v>OK</v>
      </c>
      <c r="L1372" t="str">
        <f t="shared" si="169"/>
        <v>OK</v>
      </c>
      <c r="M1372" t="str">
        <f>IF(OR(B1372&lt;$AE$20,B1372&gt;$AF$20),"Outlier","OK")</f>
        <v>OK</v>
      </c>
      <c r="N1372" t="str">
        <f>IF(OR(J1372&lt;$AE$21,J1372&gt;$AF$21),"Outlier","OK")</f>
        <v>OK</v>
      </c>
      <c r="O1372" t="str">
        <f>IF(OR(C1372&lt;0,C1372&gt;1),"Outlier","OK")</f>
        <v>OK</v>
      </c>
      <c r="P1372" t="str">
        <f>IF(OR(D1372&lt;0,D1372&gt;1),"Outlier","OK")</f>
        <v>Outlier</v>
      </c>
      <c r="Q1372" t="str">
        <f t="shared" si="170"/>
        <v>60-80%</v>
      </c>
      <c r="R1372" t="str">
        <f>IF(B1372="","Missing","OK")</f>
        <v>OK</v>
      </c>
      <c r="S1372" t="str">
        <f>IF(E1372="","Missing","OK")</f>
        <v>OK</v>
      </c>
      <c r="T1372" t="str">
        <f t="shared" si="171"/>
        <v>OK</v>
      </c>
      <c r="U1372">
        <f>COUNTIF($A:$A,A1372)</f>
        <v>1</v>
      </c>
      <c r="V1372" t="str">
        <f t="shared" si="172"/>
        <v>OK</v>
      </c>
      <c r="W1372" t="str">
        <f>IF(I1372&gt;B1372,"ERROR","OK")</f>
        <v>OK</v>
      </c>
      <c r="X1372">
        <f>(B1372-I1372)/B1372</f>
        <v>0.70728435058238071</v>
      </c>
      <c r="Y1372" s="2">
        <f t="shared" si="173"/>
        <v>3.3306690738754696E-16</v>
      </c>
      <c r="Z1372" s="2" t="str">
        <f t="shared" si="174"/>
        <v>OK</v>
      </c>
      <c r="AA1372" t="str">
        <f t="shared" si="175"/>
        <v>Unique</v>
      </c>
    </row>
    <row r="1373" spans="1:27" x14ac:dyDescent="0.3">
      <c r="A1373">
        <v>1372</v>
      </c>
      <c r="B1373">
        <v>322905.29238148697</v>
      </c>
      <c r="C1373">
        <v>0.62861333203121295</v>
      </c>
      <c r="D1373">
        <v>-0.14677718867727599</v>
      </c>
      <c r="E1373">
        <v>0.39034085013415598</v>
      </c>
      <c r="F1373">
        <v>1</v>
      </c>
      <c r="G1373" t="s">
        <v>10</v>
      </c>
      <c r="H1373">
        <v>1</v>
      </c>
      <c r="I1373">
        <v>126043.126341008</v>
      </c>
      <c r="J1373">
        <v>0.60965914986584302</v>
      </c>
      <c r="K1373" t="str">
        <f t="shared" si="168"/>
        <v>OK</v>
      </c>
      <c r="L1373" t="str">
        <f t="shared" si="169"/>
        <v>OK</v>
      </c>
      <c r="M1373" t="str">
        <f>IF(OR(B1373&lt;$AE$20,B1373&gt;$AF$20),"Outlier","OK")</f>
        <v>OK</v>
      </c>
      <c r="N1373" t="str">
        <f>IF(OR(J1373&lt;$AE$21,J1373&gt;$AF$21),"Outlier","OK")</f>
        <v>OK</v>
      </c>
      <c r="O1373" t="str">
        <f>IF(OR(C1373&lt;0,C1373&gt;1),"Outlier","OK")</f>
        <v>OK</v>
      </c>
      <c r="P1373" t="str">
        <f>IF(OR(D1373&lt;0,D1373&gt;1),"Outlier","OK")</f>
        <v>Outlier</v>
      </c>
      <c r="Q1373" t="str">
        <f t="shared" si="170"/>
        <v>60-80%</v>
      </c>
      <c r="R1373" t="str">
        <f>IF(B1373="","Missing","OK")</f>
        <v>OK</v>
      </c>
      <c r="S1373" t="str">
        <f>IF(E1373="","Missing","OK")</f>
        <v>OK</v>
      </c>
      <c r="T1373" t="str">
        <f t="shared" si="171"/>
        <v>OK</v>
      </c>
      <c r="U1373">
        <f>COUNTIF($A:$A,A1373)</f>
        <v>1</v>
      </c>
      <c r="V1373" t="str">
        <f t="shared" si="172"/>
        <v>OK</v>
      </c>
      <c r="W1373" t="str">
        <f>IF(I1373&gt;B1373,"ERROR","OK")</f>
        <v>OK</v>
      </c>
      <c r="X1373">
        <f>(B1373-I1373)/B1373</f>
        <v>0.60965914986584346</v>
      </c>
      <c r="Y1373" s="2">
        <f t="shared" si="173"/>
        <v>4.4408920985006262E-16</v>
      </c>
      <c r="Z1373" s="2" t="str">
        <f t="shared" si="174"/>
        <v>OK</v>
      </c>
      <c r="AA1373" t="str">
        <f t="shared" si="175"/>
        <v>Unique</v>
      </c>
    </row>
    <row r="1374" spans="1:27" x14ac:dyDescent="0.3">
      <c r="A1374">
        <v>1373</v>
      </c>
      <c r="B1374">
        <v>1622779.0033253699</v>
      </c>
      <c r="C1374">
        <v>0.149406258960121</v>
      </c>
      <c r="D1374">
        <v>-0.16466145340329799</v>
      </c>
      <c r="E1374">
        <v>0.16188454149644499</v>
      </c>
      <c r="F1374">
        <v>1</v>
      </c>
      <c r="G1374" t="s">
        <v>10</v>
      </c>
      <c r="H1374">
        <v>0</v>
      </c>
      <c r="I1374">
        <v>262702.834903387</v>
      </c>
      <c r="J1374">
        <v>0.83811545850355396</v>
      </c>
      <c r="K1374" t="str">
        <f t="shared" si="168"/>
        <v>OK</v>
      </c>
      <c r="L1374" t="str">
        <f t="shared" si="169"/>
        <v>OK</v>
      </c>
      <c r="M1374" t="str">
        <f>IF(OR(B1374&lt;$AE$20,B1374&gt;$AF$20),"Outlier","OK")</f>
        <v>OK</v>
      </c>
      <c r="N1374" t="str">
        <f>IF(OR(J1374&lt;$AE$21,J1374&gt;$AF$21),"Outlier","OK")</f>
        <v>OK</v>
      </c>
      <c r="O1374" t="str">
        <f>IF(OR(C1374&lt;0,C1374&gt;1),"Outlier","OK")</f>
        <v>OK</v>
      </c>
      <c r="P1374" t="str">
        <f>IF(OR(D1374&lt;0,D1374&gt;1),"Outlier","OK")</f>
        <v>Outlier</v>
      </c>
      <c r="Q1374" t="str">
        <f t="shared" si="170"/>
        <v>80-100%</v>
      </c>
      <c r="R1374" t="str">
        <f>IF(B1374="","Missing","OK")</f>
        <v>OK</v>
      </c>
      <c r="S1374" t="str">
        <f>IF(E1374="","Missing","OK")</f>
        <v>OK</v>
      </c>
      <c r="T1374" t="str">
        <f t="shared" si="171"/>
        <v>OK</v>
      </c>
      <c r="U1374">
        <f>COUNTIF($A:$A,A1374)</f>
        <v>1</v>
      </c>
      <c r="V1374" t="str">
        <f t="shared" si="172"/>
        <v>OK</v>
      </c>
      <c r="W1374" t="str">
        <f>IF(I1374&gt;B1374,"ERROR","OK")</f>
        <v>OK</v>
      </c>
      <c r="X1374">
        <f>(B1374-I1374)/B1374</f>
        <v>0.83811545850355396</v>
      </c>
      <c r="Y1374" s="2">
        <f t="shared" si="173"/>
        <v>0</v>
      </c>
      <c r="Z1374" s="2" t="str">
        <f t="shared" si="174"/>
        <v>OK</v>
      </c>
      <c r="AA1374" t="str">
        <f t="shared" si="175"/>
        <v>Unique</v>
      </c>
    </row>
    <row r="1375" spans="1:27" x14ac:dyDescent="0.3">
      <c r="A1375">
        <v>1374</v>
      </c>
      <c r="B1375">
        <v>1918450.64608447</v>
      </c>
      <c r="C1375">
        <v>0.83798149857537196</v>
      </c>
      <c r="D1375">
        <v>-3.2060030364949199E-2</v>
      </c>
      <c r="E1375">
        <v>0.39455221391964002</v>
      </c>
      <c r="F1375">
        <v>1</v>
      </c>
      <c r="G1375" t="s">
        <v>10</v>
      </c>
      <c r="H1375">
        <v>0</v>
      </c>
      <c r="I1375">
        <v>756928.94970819203</v>
      </c>
      <c r="J1375">
        <v>0.60544778608035899</v>
      </c>
      <c r="K1375" t="str">
        <f t="shared" si="168"/>
        <v>OK</v>
      </c>
      <c r="L1375" t="str">
        <f t="shared" si="169"/>
        <v>OK</v>
      </c>
      <c r="M1375" t="str">
        <f>IF(OR(B1375&lt;$AE$20,B1375&gt;$AF$20),"Outlier","OK")</f>
        <v>OK</v>
      </c>
      <c r="N1375" t="str">
        <f>IF(OR(J1375&lt;$AE$21,J1375&gt;$AF$21),"Outlier","OK")</f>
        <v>OK</v>
      </c>
      <c r="O1375" t="str">
        <f>IF(OR(C1375&lt;0,C1375&gt;1),"Outlier","OK")</f>
        <v>OK</v>
      </c>
      <c r="P1375" t="str">
        <f>IF(OR(D1375&lt;0,D1375&gt;1),"Outlier","OK")</f>
        <v>Outlier</v>
      </c>
      <c r="Q1375" t="str">
        <f t="shared" si="170"/>
        <v>60-80%</v>
      </c>
      <c r="R1375" t="str">
        <f>IF(B1375="","Missing","OK")</f>
        <v>OK</v>
      </c>
      <c r="S1375" t="str">
        <f>IF(E1375="","Missing","OK")</f>
        <v>OK</v>
      </c>
      <c r="T1375" t="str">
        <f t="shared" si="171"/>
        <v>OK</v>
      </c>
      <c r="U1375">
        <f>COUNTIF($A:$A,A1375)</f>
        <v>1</v>
      </c>
      <c r="V1375" t="str">
        <f t="shared" si="172"/>
        <v>OK</v>
      </c>
      <c r="W1375" t="str">
        <f>IF(I1375&gt;B1375,"ERROR","OK")</f>
        <v>OK</v>
      </c>
      <c r="X1375">
        <f>(B1375-I1375)/B1375</f>
        <v>0.60544778608035976</v>
      </c>
      <c r="Y1375" s="2">
        <f t="shared" si="173"/>
        <v>7.7715611723760958E-16</v>
      </c>
      <c r="Z1375" s="2" t="str">
        <f t="shared" si="174"/>
        <v>OK</v>
      </c>
      <c r="AA1375" t="str">
        <f t="shared" si="175"/>
        <v>Unique</v>
      </c>
    </row>
    <row r="1376" spans="1:27" x14ac:dyDescent="0.3">
      <c r="A1376">
        <v>1375</v>
      </c>
      <c r="B1376">
        <v>1436471.6697498499</v>
      </c>
      <c r="C1376">
        <v>0.39698113675211799</v>
      </c>
      <c r="D1376">
        <v>0.102599311146634</v>
      </c>
      <c r="E1376">
        <v>0.24865133608087001</v>
      </c>
      <c r="F1376">
        <v>1</v>
      </c>
      <c r="G1376" t="s">
        <v>11</v>
      </c>
      <c r="H1376">
        <v>0</v>
      </c>
      <c r="I1376">
        <v>357180.59992562101</v>
      </c>
      <c r="J1376">
        <v>0.75134866391912902</v>
      </c>
      <c r="K1376" t="str">
        <f t="shared" si="168"/>
        <v>OK</v>
      </c>
      <c r="L1376" t="str">
        <f t="shared" si="169"/>
        <v>OK</v>
      </c>
      <c r="M1376" t="str">
        <f>IF(OR(B1376&lt;$AE$20,B1376&gt;$AF$20),"Outlier","OK")</f>
        <v>OK</v>
      </c>
      <c r="N1376" t="str">
        <f>IF(OR(J1376&lt;$AE$21,J1376&gt;$AF$21),"Outlier","OK")</f>
        <v>OK</v>
      </c>
      <c r="O1376" t="str">
        <f>IF(OR(C1376&lt;0,C1376&gt;1),"Outlier","OK")</f>
        <v>OK</v>
      </c>
      <c r="P1376" t="str">
        <f>IF(OR(D1376&lt;0,D1376&gt;1),"Outlier","OK")</f>
        <v>OK</v>
      </c>
      <c r="Q1376" t="str">
        <f t="shared" si="170"/>
        <v>60-80%</v>
      </c>
      <c r="R1376" t="str">
        <f>IF(B1376="","Missing","OK")</f>
        <v>OK</v>
      </c>
      <c r="S1376" t="str">
        <f>IF(E1376="","Missing","OK")</f>
        <v>OK</v>
      </c>
      <c r="T1376" t="str">
        <f t="shared" si="171"/>
        <v>OK</v>
      </c>
      <c r="U1376">
        <f>COUNTIF($A:$A,A1376)</f>
        <v>1</v>
      </c>
      <c r="V1376" t="str">
        <f t="shared" si="172"/>
        <v>OK</v>
      </c>
      <c r="W1376" t="str">
        <f>IF(I1376&gt;B1376,"ERROR","OK")</f>
        <v>OK</v>
      </c>
      <c r="X1376">
        <f>(B1376-I1376)/B1376</f>
        <v>0.75134866391912825</v>
      </c>
      <c r="Y1376" s="2">
        <f t="shared" si="173"/>
        <v>7.7715611723760958E-16</v>
      </c>
      <c r="Z1376" s="2" t="str">
        <f t="shared" si="174"/>
        <v>OK</v>
      </c>
      <c r="AA1376" t="str">
        <f t="shared" si="175"/>
        <v>Unique</v>
      </c>
    </row>
    <row r="1377" spans="1:27" x14ac:dyDescent="0.3">
      <c r="A1377">
        <v>1376</v>
      </c>
      <c r="B1377">
        <v>222674.39993940099</v>
      </c>
      <c r="C1377">
        <v>0.666950302981143</v>
      </c>
      <c r="D1377">
        <v>-0.111370674551124</v>
      </c>
      <c r="E1377">
        <v>0.32649114635001503</v>
      </c>
      <c r="F1377">
        <v>1</v>
      </c>
      <c r="G1377" t="s">
        <v>11</v>
      </c>
      <c r="H1377">
        <v>1</v>
      </c>
      <c r="I1377">
        <v>72701.220099016806</v>
      </c>
      <c r="J1377">
        <v>0.67350885364998403</v>
      </c>
      <c r="K1377" t="str">
        <f t="shared" si="168"/>
        <v>OK</v>
      </c>
      <c r="L1377" t="str">
        <f t="shared" si="169"/>
        <v>OK</v>
      </c>
      <c r="M1377" t="str">
        <f>IF(OR(B1377&lt;$AE$20,B1377&gt;$AF$20),"Outlier","OK")</f>
        <v>OK</v>
      </c>
      <c r="N1377" t="str">
        <f>IF(OR(J1377&lt;$AE$21,J1377&gt;$AF$21),"Outlier","OK")</f>
        <v>OK</v>
      </c>
      <c r="O1377" t="str">
        <f>IF(OR(C1377&lt;0,C1377&gt;1),"Outlier","OK")</f>
        <v>OK</v>
      </c>
      <c r="P1377" t="str">
        <f>IF(OR(D1377&lt;0,D1377&gt;1),"Outlier","OK")</f>
        <v>Outlier</v>
      </c>
      <c r="Q1377" t="str">
        <f t="shared" si="170"/>
        <v>60-80%</v>
      </c>
      <c r="R1377" t="str">
        <f>IF(B1377="","Missing","OK")</f>
        <v>OK</v>
      </c>
      <c r="S1377" t="str">
        <f>IF(E1377="","Missing","OK")</f>
        <v>OK</v>
      </c>
      <c r="T1377" t="str">
        <f t="shared" si="171"/>
        <v>OK</v>
      </c>
      <c r="U1377">
        <f>COUNTIF($A:$A,A1377)</f>
        <v>1</v>
      </c>
      <c r="V1377" t="str">
        <f t="shared" si="172"/>
        <v>OK</v>
      </c>
      <c r="W1377" t="str">
        <f>IF(I1377&gt;B1377,"ERROR","OK")</f>
        <v>OK</v>
      </c>
      <c r="X1377">
        <f>(B1377-I1377)/B1377</f>
        <v>0.67350885364998458</v>
      </c>
      <c r="Y1377" s="2">
        <f t="shared" si="173"/>
        <v>5.5511151231257827E-16</v>
      </c>
      <c r="Z1377" s="2" t="str">
        <f t="shared" si="174"/>
        <v>OK</v>
      </c>
      <c r="AA1377" t="str">
        <f t="shared" si="175"/>
        <v>Unique</v>
      </c>
    </row>
    <row r="1378" spans="1:27" x14ac:dyDescent="0.3">
      <c r="A1378">
        <v>1377</v>
      </c>
      <c r="B1378">
        <v>1200470.7117236999</v>
      </c>
      <c r="C1378">
        <v>0.69610460653786299</v>
      </c>
      <c r="D1378">
        <v>7.2861804108084099E-2</v>
      </c>
      <c r="E1378">
        <v>0.28325654088456298</v>
      </c>
      <c r="F1378">
        <v>1</v>
      </c>
      <c r="G1378" t="s">
        <v>12</v>
      </c>
      <c r="H1378">
        <v>1</v>
      </c>
      <c r="I1378">
        <v>340041.18123608601</v>
      </c>
      <c r="J1378">
        <v>0.71674345911543602</v>
      </c>
      <c r="K1378" t="str">
        <f t="shared" si="168"/>
        <v>OK</v>
      </c>
      <c r="L1378" t="str">
        <f t="shared" si="169"/>
        <v>OK</v>
      </c>
      <c r="M1378" t="str">
        <f>IF(OR(B1378&lt;$AE$20,B1378&gt;$AF$20),"Outlier","OK")</f>
        <v>OK</v>
      </c>
      <c r="N1378" t="str">
        <f>IF(OR(J1378&lt;$AE$21,J1378&gt;$AF$21),"Outlier","OK")</f>
        <v>OK</v>
      </c>
      <c r="O1378" t="str">
        <f>IF(OR(C1378&lt;0,C1378&gt;1),"Outlier","OK")</f>
        <v>OK</v>
      </c>
      <c r="P1378" t="str">
        <f>IF(OR(D1378&lt;0,D1378&gt;1),"Outlier","OK")</f>
        <v>OK</v>
      </c>
      <c r="Q1378" t="str">
        <f t="shared" si="170"/>
        <v>60-80%</v>
      </c>
      <c r="R1378" t="str">
        <f>IF(B1378="","Missing","OK")</f>
        <v>OK</v>
      </c>
      <c r="S1378" t="str">
        <f>IF(E1378="","Missing","OK")</f>
        <v>OK</v>
      </c>
      <c r="T1378" t="str">
        <f t="shared" si="171"/>
        <v>OK</v>
      </c>
      <c r="U1378">
        <f>COUNTIF($A:$A,A1378)</f>
        <v>1</v>
      </c>
      <c r="V1378" t="str">
        <f t="shared" si="172"/>
        <v>OK</v>
      </c>
      <c r="W1378" t="str">
        <f>IF(I1378&gt;B1378,"ERROR","OK")</f>
        <v>OK</v>
      </c>
      <c r="X1378">
        <f>(B1378-I1378)/B1378</f>
        <v>0.71674345911543591</v>
      </c>
      <c r="Y1378" s="2">
        <f t="shared" si="173"/>
        <v>1.1102230246251565E-16</v>
      </c>
      <c r="Z1378" s="2" t="str">
        <f t="shared" si="174"/>
        <v>OK</v>
      </c>
      <c r="AA1378" t="str">
        <f t="shared" si="175"/>
        <v>Unique</v>
      </c>
    </row>
    <row r="1379" spans="1:27" x14ac:dyDescent="0.3">
      <c r="A1379">
        <v>1378</v>
      </c>
      <c r="B1379">
        <v>301972.17483508901</v>
      </c>
      <c r="C1379">
        <v>0.33165818091926902</v>
      </c>
      <c r="D1379">
        <v>-4.12828409929967E-2</v>
      </c>
      <c r="E1379">
        <v>0.48598797430096302</v>
      </c>
      <c r="F1379">
        <v>1</v>
      </c>
      <c r="G1379" t="s">
        <v>13</v>
      </c>
      <c r="H1379">
        <v>1</v>
      </c>
      <c r="I1379">
        <v>146754.84554336101</v>
      </c>
      <c r="J1379">
        <v>0.51401202569903603</v>
      </c>
      <c r="K1379" t="str">
        <f t="shared" si="168"/>
        <v>OK</v>
      </c>
      <c r="L1379" t="str">
        <f t="shared" si="169"/>
        <v>OK</v>
      </c>
      <c r="M1379" t="str">
        <f>IF(OR(B1379&lt;$AE$20,B1379&gt;$AF$20),"Outlier","OK")</f>
        <v>OK</v>
      </c>
      <c r="N1379" t="str">
        <f>IF(OR(J1379&lt;$AE$21,J1379&gt;$AF$21),"Outlier","OK")</f>
        <v>OK</v>
      </c>
      <c r="O1379" t="str">
        <f>IF(OR(C1379&lt;0,C1379&gt;1),"Outlier","OK")</f>
        <v>OK</v>
      </c>
      <c r="P1379" t="str">
        <f>IF(OR(D1379&lt;0,D1379&gt;1),"Outlier","OK")</f>
        <v>Outlier</v>
      </c>
      <c r="Q1379" t="str">
        <f t="shared" si="170"/>
        <v>40-60%</v>
      </c>
      <c r="R1379" t="str">
        <f>IF(B1379="","Missing","OK")</f>
        <v>OK</v>
      </c>
      <c r="S1379" t="str">
        <f>IF(E1379="","Missing","OK")</f>
        <v>OK</v>
      </c>
      <c r="T1379" t="str">
        <f t="shared" si="171"/>
        <v>OK</v>
      </c>
      <c r="U1379">
        <f>COUNTIF($A:$A,A1379)</f>
        <v>1</v>
      </c>
      <c r="V1379" t="str">
        <f t="shared" si="172"/>
        <v>OK</v>
      </c>
      <c r="W1379" t="str">
        <f>IF(I1379&gt;B1379,"ERROR","OK")</f>
        <v>OK</v>
      </c>
      <c r="X1379">
        <f>(B1379-I1379)/B1379</f>
        <v>0.51401202569903748</v>
      </c>
      <c r="Y1379" s="2">
        <f t="shared" si="173"/>
        <v>1.4432899320127035E-15</v>
      </c>
      <c r="Z1379" s="2" t="str">
        <f t="shared" si="174"/>
        <v>OK</v>
      </c>
      <c r="AA1379" t="str">
        <f t="shared" si="175"/>
        <v>Unique</v>
      </c>
    </row>
    <row r="1380" spans="1:27" x14ac:dyDescent="0.3">
      <c r="A1380">
        <v>1379</v>
      </c>
      <c r="B1380">
        <v>1740552.56391119</v>
      </c>
      <c r="C1380">
        <v>0.217483551034756</v>
      </c>
      <c r="D1380">
        <v>0.17973776019502499</v>
      </c>
      <c r="E1380">
        <v>0.55536362456670396</v>
      </c>
      <c r="F1380">
        <v>1</v>
      </c>
      <c r="G1380" t="s">
        <v>10</v>
      </c>
      <c r="H1380">
        <v>0</v>
      </c>
      <c r="I1380">
        <v>966639.58064259402</v>
      </c>
      <c r="J1380">
        <v>0.44463637543329498</v>
      </c>
      <c r="K1380" t="str">
        <f t="shared" si="168"/>
        <v>OK</v>
      </c>
      <c r="L1380" t="str">
        <f t="shared" si="169"/>
        <v>OK</v>
      </c>
      <c r="M1380" t="str">
        <f>IF(OR(B1380&lt;$AE$20,B1380&gt;$AF$20),"Outlier","OK")</f>
        <v>OK</v>
      </c>
      <c r="N1380" t="str">
        <f>IF(OR(J1380&lt;$AE$21,J1380&gt;$AF$21),"Outlier","OK")</f>
        <v>OK</v>
      </c>
      <c r="O1380" t="str">
        <f>IF(OR(C1380&lt;0,C1380&gt;1),"Outlier","OK")</f>
        <v>OK</v>
      </c>
      <c r="P1380" t="str">
        <f>IF(OR(D1380&lt;0,D1380&gt;1),"Outlier","OK")</f>
        <v>OK</v>
      </c>
      <c r="Q1380" t="str">
        <f t="shared" si="170"/>
        <v>40-60%</v>
      </c>
      <c r="R1380" t="str">
        <f>IF(B1380="","Missing","OK")</f>
        <v>OK</v>
      </c>
      <c r="S1380" t="str">
        <f>IF(E1380="","Missing","OK")</f>
        <v>OK</v>
      </c>
      <c r="T1380" t="str">
        <f t="shared" si="171"/>
        <v>OK</v>
      </c>
      <c r="U1380">
        <f>COUNTIF($A:$A,A1380)</f>
        <v>1</v>
      </c>
      <c r="V1380" t="str">
        <f t="shared" si="172"/>
        <v>OK</v>
      </c>
      <c r="W1380" t="str">
        <f>IF(I1380&gt;B1380,"ERROR","OK")</f>
        <v>OK</v>
      </c>
      <c r="X1380">
        <f>(B1380-I1380)/B1380</f>
        <v>0.44463637543329265</v>
      </c>
      <c r="Y1380" s="2">
        <f t="shared" si="173"/>
        <v>2.3314683517128287E-15</v>
      </c>
      <c r="Z1380" s="2" t="str">
        <f t="shared" si="174"/>
        <v>OK</v>
      </c>
      <c r="AA1380" t="str">
        <f t="shared" si="175"/>
        <v>Unique</v>
      </c>
    </row>
    <row r="1381" spans="1:27" x14ac:dyDescent="0.3">
      <c r="A1381">
        <v>1380</v>
      </c>
      <c r="B1381">
        <v>1362011.3946014701</v>
      </c>
      <c r="C1381">
        <v>0.63117283801161495</v>
      </c>
      <c r="D1381">
        <v>-0.109281209083014</v>
      </c>
      <c r="E1381">
        <v>0.29591219495068999</v>
      </c>
      <c r="F1381">
        <v>1</v>
      </c>
      <c r="G1381" t="s">
        <v>11</v>
      </c>
      <c r="H1381">
        <v>0</v>
      </c>
      <c r="I1381">
        <v>403035.78132437298</v>
      </c>
      <c r="J1381">
        <v>0.70408780504930901</v>
      </c>
      <c r="K1381" t="str">
        <f t="shared" si="168"/>
        <v>OK</v>
      </c>
      <c r="L1381" t="str">
        <f t="shared" si="169"/>
        <v>OK</v>
      </c>
      <c r="M1381" t="str">
        <f>IF(OR(B1381&lt;$AE$20,B1381&gt;$AF$20),"Outlier","OK")</f>
        <v>OK</v>
      </c>
      <c r="N1381" t="str">
        <f>IF(OR(J1381&lt;$AE$21,J1381&gt;$AF$21),"Outlier","OK")</f>
        <v>OK</v>
      </c>
      <c r="O1381" t="str">
        <f>IF(OR(C1381&lt;0,C1381&gt;1),"Outlier","OK")</f>
        <v>OK</v>
      </c>
      <c r="P1381" t="str">
        <f>IF(OR(D1381&lt;0,D1381&gt;1),"Outlier","OK")</f>
        <v>Outlier</v>
      </c>
      <c r="Q1381" t="str">
        <f t="shared" si="170"/>
        <v>60-80%</v>
      </c>
      <c r="R1381" t="str">
        <f>IF(B1381="","Missing","OK")</f>
        <v>OK</v>
      </c>
      <c r="S1381" t="str">
        <f>IF(E1381="","Missing","OK")</f>
        <v>OK</v>
      </c>
      <c r="T1381" t="str">
        <f t="shared" si="171"/>
        <v>OK</v>
      </c>
      <c r="U1381">
        <f>COUNTIF($A:$A,A1381)</f>
        <v>1</v>
      </c>
      <c r="V1381" t="str">
        <f t="shared" si="172"/>
        <v>OK</v>
      </c>
      <c r="W1381" t="str">
        <f>IF(I1381&gt;B1381,"ERROR","OK")</f>
        <v>OK</v>
      </c>
      <c r="X1381">
        <f>(B1381-I1381)/B1381</f>
        <v>0.70408780504930879</v>
      </c>
      <c r="Y1381" s="2">
        <f t="shared" si="173"/>
        <v>2.2204460492503131E-16</v>
      </c>
      <c r="Z1381" s="2" t="str">
        <f t="shared" si="174"/>
        <v>OK</v>
      </c>
      <c r="AA1381" t="str">
        <f t="shared" si="175"/>
        <v>Unique</v>
      </c>
    </row>
    <row r="1382" spans="1:27" x14ac:dyDescent="0.3">
      <c r="A1382">
        <v>1381</v>
      </c>
      <c r="B1382">
        <v>1887009.4906144701</v>
      </c>
      <c r="C1382">
        <v>0.62927391701410496</v>
      </c>
      <c r="D1382">
        <v>-3.6834048048914797E-2</v>
      </c>
      <c r="E1382">
        <v>0.21883732772078199</v>
      </c>
      <c r="F1382">
        <v>1</v>
      </c>
      <c r="G1382" t="s">
        <v>13</v>
      </c>
      <c r="H1382">
        <v>1</v>
      </c>
      <c r="I1382">
        <v>412948.114309825</v>
      </c>
      <c r="J1382">
        <v>0.78116267227921699</v>
      </c>
      <c r="K1382" t="str">
        <f t="shared" si="168"/>
        <v>OK</v>
      </c>
      <c r="L1382" t="str">
        <f t="shared" si="169"/>
        <v>OK</v>
      </c>
      <c r="M1382" t="str">
        <f>IF(OR(B1382&lt;$AE$20,B1382&gt;$AF$20),"Outlier","OK")</f>
        <v>OK</v>
      </c>
      <c r="N1382" t="str">
        <f>IF(OR(J1382&lt;$AE$21,J1382&gt;$AF$21),"Outlier","OK")</f>
        <v>OK</v>
      </c>
      <c r="O1382" t="str">
        <f>IF(OR(C1382&lt;0,C1382&gt;1),"Outlier","OK")</f>
        <v>OK</v>
      </c>
      <c r="P1382" t="str">
        <f>IF(OR(D1382&lt;0,D1382&gt;1),"Outlier","OK")</f>
        <v>Outlier</v>
      </c>
      <c r="Q1382" t="str">
        <f t="shared" si="170"/>
        <v>60-80%</v>
      </c>
      <c r="R1382" t="str">
        <f>IF(B1382="","Missing","OK")</f>
        <v>OK</v>
      </c>
      <c r="S1382" t="str">
        <f>IF(E1382="","Missing","OK")</f>
        <v>OK</v>
      </c>
      <c r="T1382" t="str">
        <f t="shared" si="171"/>
        <v>OK</v>
      </c>
      <c r="U1382">
        <f>COUNTIF($A:$A,A1382)</f>
        <v>1</v>
      </c>
      <c r="V1382" t="str">
        <f t="shared" si="172"/>
        <v>OK</v>
      </c>
      <c r="W1382" t="str">
        <f>IF(I1382&gt;B1382,"ERROR","OK")</f>
        <v>OK</v>
      </c>
      <c r="X1382">
        <f>(B1382-I1382)/B1382</f>
        <v>0.78116267227921787</v>
      </c>
      <c r="Y1382" s="2">
        <f t="shared" si="173"/>
        <v>8.8817841970012523E-16</v>
      </c>
      <c r="Z1382" s="2" t="str">
        <f t="shared" si="174"/>
        <v>OK</v>
      </c>
      <c r="AA1382" t="str">
        <f t="shared" si="175"/>
        <v>Unique</v>
      </c>
    </row>
    <row r="1383" spans="1:27" x14ac:dyDescent="0.3">
      <c r="A1383">
        <v>1382</v>
      </c>
      <c r="B1383">
        <v>334477.42099095898</v>
      </c>
      <c r="C1383">
        <v>0.73049336767058803</v>
      </c>
      <c r="D1383">
        <v>-0.14551511333518199</v>
      </c>
      <c r="E1383">
        <v>0.349845730518486</v>
      </c>
      <c r="F1383">
        <v>1</v>
      </c>
      <c r="G1383" t="s">
        <v>11</v>
      </c>
      <c r="H1383">
        <v>1</v>
      </c>
      <c r="I1383">
        <v>117015.49768852101</v>
      </c>
      <c r="J1383">
        <v>0.650154269481513</v>
      </c>
      <c r="K1383" t="str">
        <f t="shared" si="168"/>
        <v>OK</v>
      </c>
      <c r="L1383" t="str">
        <f t="shared" si="169"/>
        <v>OK</v>
      </c>
      <c r="M1383" t="str">
        <f>IF(OR(B1383&lt;$AE$20,B1383&gt;$AF$20),"Outlier","OK")</f>
        <v>OK</v>
      </c>
      <c r="N1383" t="str">
        <f>IF(OR(J1383&lt;$AE$21,J1383&gt;$AF$21),"Outlier","OK")</f>
        <v>OK</v>
      </c>
      <c r="O1383" t="str">
        <f>IF(OR(C1383&lt;0,C1383&gt;1),"Outlier","OK")</f>
        <v>OK</v>
      </c>
      <c r="P1383" t="str">
        <f>IF(OR(D1383&lt;0,D1383&gt;1),"Outlier","OK")</f>
        <v>Outlier</v>
      </c>
      <c r="Q1383" t="str">
        <f t="shared" si="170"/>
        <v>60-80%</v>
      </c>
      <c r="R1383" t="str">
        <f>IF(B1383="","Missing","OK")</f>
        <v>OK</v>
      </c>
      <c r="S1383" t="str">
        <f>IF(E1383="","Missing","OK")</f>
        <v>OK</v>
      </c>
      <c r="T1383" t="str">
        <f t="shared" si="171"/>
        <v>OK</v>
      </c>
      <c r="U1383">
        <f>COUNTIF($A:$A,A1383)</f>
        <v>1</v>
      </c>
      <c r="V1383" t="str">
        <f t="shared" si="172"/>
        <v>OK</v>
      </c>
      <c r="W1383" t="str">
        <f>IF(I1383&gt;B1383,"ERROR","OK")</f>
        <v>OK</v>
      </c>
      <c r="X1383">
        <f>(B1383-I1383)/B1383</f>
        <v>0.65015426948151467</v>
      </c>
      <c r="Y1383" s="2">
        <f t="shared" si="173"/>
        <v>1.6653345369377348E-15</v>
      </c>
      <c r="Z1383" s="2" t="str">
        <f t="shared" si="174"/>
        <v>OK</v>
      </c>
      <c r="AA1383" t="str">
        <f t="shared" si="175"/>
        <v>Unique</v>
      </c>
    </row>
    <row r="1384" spans="1:27" x14ac:dyDescent="0.3">
      <c r="A1384">
        <v>1383</v>
      </c>
      <c r="B1384">
        <v>934684.49799798895</v>
      </c>
      <c r="C1384">
        <v>0.63281179458895997</v>
      </c>
      <c r="D1384">
        <v>-8.5663081441052003E-2</v>
      </c>
      <c r="E1384">
        <v>0.32926666653311598</v>
      </c>
      <c r="F1384">
        <v>1</v>
      </c>
      <c r="G1384" t="s">
        <v>12</v>
      </c>
      <c r="H1384">
        <v>1</v>
      </c>
      <c r="I1384">
        <v>307760.44891597697</v>
      </c>
      <c r="J1384">
        <v>0.67073333346688302</v>
      </c>
      <c r="K1384" t="str">
        <f t="shared" si="168"/>
        <v>OK</v>
      </c>
      <c r="L1384" t="str">
        <f t="shared" si="169"/>
        <v>OK</v>
      </c>
      <c r="M1384" t="str">
        <f>IF(OR(B1384&lt;$AE$20,B1384&gt;$AF$20),"Outlier","OK")</f>
        <v>OK</v>
      </c>
      <c r="N1384" t="str">
        <f>IF(OR(J1384&lt;$AE$21,J1384&gt;$AF$21),"Outlier","OK")</f>
        <v>OK</v>
      </c>
      <c r="O1384" t="str">
        <f>IF(OR(C1384&lt;0,C1384&gt;1),"Outlier","OK")</f>
        <v>OK</v>
      </c>
      <c r="P1384" t="str">
        <f>IF(OR(D1384&lt;0,D1384&gt;1),"Outlier","OK")</f>
        <v>Outlier</v>
      </c>
      <c r="Q1384" t="str">
        <f t="shared" si="170"/>
        <v>60-80%</v>
      </c>
      <c r="R1384" t="str">
        <f>IF(B1384="","Missing","OK")</f>
        <v>OK</v>
      </c>
      <c r="S1384" t="str">
        <f>IF(E1384="","Missing","OK")</f>
        <v>OK</v>
      </c>
      <c r="T1384" t="str">
        <f t="shared" si="171"/>
        <v>OK</v>
      </c>
      <c r="U1384">
        <f>COUNTIF($A:$A,A1384)</f>
        <v>1</v>
      </c>
      <c r="V1384" t="str">
        <f t="shared" si="172"/>
        <v>OK</v>
      </c>
      <c r="W1384" t="str">
        <f>IF(I1384&gt;B1384,"ERROR","OK")</f>
        <v>OK</v>
      </c>
      <c r="X1384">
        <f>(B1384-I1384)/B1384</f>
        <v>0.67073333346688369</v>
      </c>
      <c r="Y1384" s="2">
        <f t="shared" si="173"/>
        <v>6.6613381477509392E-16</v>
      </c>
      <c r="Z1384" s="2" t="str">
        <f t="shared" si="174"/>
        <v>OK</v>
      </c>
      <c r="AA1384" t="str">
        <f t="shared" si="175"/>
        <v>Unique</v>
      </c>
    </row>
    <row r="1385" spans="1:27" x14ac:dyDescent="0.3">
      <c r="A1385">
        <v>1384</v>
      </c>
      <c r="B1385">
        <v>1109948.0917511701</v>
      </c>
      <c r="C1385">
        <v>0.64903005322785201</v>
      </c>
      <c r="D1385">
        <v>-0.171378142979698</v>
      </c>
      <c r="E1385">
        <v>0.470978908278539</v>
      </c>
      <c r="F1385">
        <v>1</v>
      </c>
      <c r="G1385" t="s">
        <v>10</v>
      </c>
      <c r="H1385">
        <v>1</v>
      </c>
      <c r="I1385">
        <v>522762.14049881703</v>
      </c>
      <c r="J1385">
        <v>0.52902109172145995</v>
      </c>
      <c r="K1385" t="str">
        <f t="shared" si="168"/>
        <v>OK</v>
      </c>
      <c r="L1385" t="str">
        <f t="shared" si="169"/>
        <v>OK</v>
      </c>
      <c r="M1385" t="str">
        <f>IF(OR(B1385&lt;$AE$20,B1385&gt;$AF$20),"Outlier","OK")</f>
        <v>OK</v>
      </c>
      <c r="N1385" t="str">
        <f>IF(OR(J1385&lt;$AE$21,J1385&gt;$AF$21),"Outlier","OK")</f>
        <v>OK</v>
      </c>
      <c r="O1385" t="str">
        <f>IF(OR(C1385&lt;0,C1385&gt;1),"Outlier","OK")</f>
        <v>OK</v>
      </c>
      <c r="P1385" t="str">
        <f>IF(OR(D1385&lt;0,D1385&gt;1),"Outlier","OK")</f>
        <v>Outlier</v>
      </c>
      <c r="Q1385" t="str">
        <f t="shared" si="170"/>
        <v>40-60%</v>
      </c>
      <c r="R1385" t="str">
        <f>IF(B1385="","Missing","OK")</f>
        <v>OK</v>
      </c>
      <c r="S1385" t="str">
        <f>IF(E1385="","Missing","OK")</f>
        <v>OK</v>
      </c>
      <c r="T1385" t="str">
        <f t="shared" si="171"/>
        <v>OK</v>
      </c>
      <c r="U1385">
        <f>COUNTIF($A:$A,A1385)</f>
        <v>1</v>
      </c>
      <c r="V1385" t="str">
        <f t="shared" si="172"/>
        <v>OK</v>
      </c>
      <c r="W1385" t="str">
        <f>IF(I1385&gt;B1385,"ERROR","OK")</f>
        <v>OK</v>
      </c>
      <c r="X1385">
        <f>(B1385-I1385)/B1385</f>
        <v>0.52902109172145806</v>
      </c>
      <c r="Y1385" s="2">
        <f t="shared" si="173"/>
        <v>1.8873791418627661E-15</v>
      </c>
      <c r="Z1385" s="2" t="str">
        <f t="shared" si="174"/>
        <v>OK</v>
      </c>
      <c r="AA1385" t="str">
        <f t="shared" si="175"/>
        <v>Unique</v>
      </c>
    </row>
    <row r="1386" spans="1:27" x14ac:dyDescent="0.3">
      <c r="A1386">
        <v>1385</v>
      </c>
      <c r="B1386">
        <v>261259.158678306</v>
      </c>
      <c r="C1386">
        <v>0.54287937071061299</v>
      </c>
      <c r="D1386">
        <v>-0.10313086651407</v>
      </c>
      <c r="E1386">
        <v>0.40671984285113499</v>
      </c>
      <c r="F1386">
        <v>1</v>
      </c>
      <c r="G1386" t="s">
        <v>10</v>
      </c>
      <c r="H1386">
        <v>0</v>
      </c>
      <c r="I1386">
        <v>106259.28396106001</v>
      </c>
      <c r="J1386">
        <v>0.59328015714886395</v>
      </c>
      <c r="K1386" t="str">
        <f t="shared" si="168"/>
        <v>OK</v>
      </c>
      <c r="L1386" t="str">
        <f t="shared" si="169"/>
        <v>OK</v>
      </c>
      <c r="M1386" t="str">
        <f>IF(OR(B1386&lt;$AE$20,B1386&gt;$AF$20),"Outlier","OK")</f>
        <v>OK</v>
      </c>
      <c r="N1386" t="str">
        <f>IF(OR(J1386&lt;$AE$21,J1386&gt;$AF$21),"Outlier","OK")</f>
        <v>OK</v>
      </c>
      <c r="O1386" t="str">
        <f>IF(OR(C1386&lt;0,C1386&gt;1),"Outlier","OK")</f>
        <v>OK</v>
      </c>
      <c r="P1386" t="str">
        <f>IF(OR(D1386&lt;0,D1386&gt;1),"Outlier","OK")</f>
        <v>Outlier</v>
      </c>
      <c r="Q1386" t="str">
        <f t="shared" si="170"/>
        <v>40-60%</v>
      </c>
      <c r="R1386" t="str">
        <f>IF(B1386="","Missing","OK")</f>
        <v>OK</v>
      </c>
      <c r="S1386" t="str">
        <f>IF(E1386="","Missing","OK")</f>
        <v>OK</v>
      </c>
      <c r="T1386" t="str">
        <f t="shared" si="171"/>
        <v>OK</v>
      </c>
      <c r="U1386">
        <f>COUNTIF($A:$A,A1386)</f>
        <v>1</v>
      </c>
      <c r="V1386" t="str">
        <f t="shared" si="172"/>
        <v>OK</v>
      </c>
      <c r="W1386" t="str">
        <f>IF(I1386&gt;B1386,"ERROR","OK")</f>
        <v>OK</v>
      </c>
      <c r="X1386">
        <f>(B1386-I1386)/B1386</f>
        <v>0.59328015714886628</v>
      </c>
      <c r="Y1386" s="2">
        <f t="shared" si="173"/>
        <v>2.3314683517128287E-15</v>
      </c>
      <c r="Z1386" s="2" t="str">
        <f t="shared" si="174"/>
        <v>OK</v>
      </c>
      <c r="AA1386" t="str">
        <f t="shared" si="175"/>
        <v>Unique</v>
      </c>
    </row>
    <row r="1387" spans="1:27" x14ac:dyDescent="0.3">
      <c r="A1387">
        <v>1386</v>
      </c>
      <c r="B1387">
        <v>1369966.0992773699</v>
      </c>
      <c r="C1387">
        <v>0.49307116836971099</v>
      </c>
      <c r="D1387">
        <v>-0.14555254674847601</v>
      </c>
      <c r="E1387">
        <v>0.47443662593192998</v>
      </c>
      <c r="F1387">
        <v>1</v>
      </c>
      <c r="G1387" t="s">
        <v>10</v>
      </c>
      <c r="H1387">
        <v>1</v>
      </c>
      <c r="I1387">
        <v>649962.09378228697</v>
      </c>
      <c r="J1387">
        <v>0.52556337406806897</v>
      </c>
      <c r="K1387" t="str">
        <f t="shared" si="168"/>
        <v>OK</v>
      </c>
      <c r="L1387" t="str">
        <f t="shared" si="169"/>
        <v>OK</v>
      </c>
      <c r="M1387" t="str">
        <f>IF(OR(B1387&lt;$AE$20,B1387&gt;$AF$20),"Outlier","OK")</f>
        <v>OK</v>
      </c>
      <c r="N1387" t="str">
        <f>IF(OR(J1387&lt;$AE$21,J1387&gt;$AF$21),"Outlier","OK")</f>
        <v>OK</v>
      </c>
      <c r="O1387" t="str">
        <f>IF(OR(C1387&lt;0,C1387&gt;1),"Outlier","OK")</f>
        <v>OK</v>
      </c>
      <c r="P1387" t="str">
        <f>IF(OR(D1387&lt;0,D1387&gt;1),"Outlier","OK")</f>
        <v>Outlier</v>
      </c>
      <c r="Q1387" t="str">
        <f t="shared" si="170"/>
        <v>40-60%</v>
      </c>
      <c r="R1387" t="str">
        <f>IF(B1387="","Missing","OK")</f>
        <v>OK</v>
      </c>
      <c r="S1387" t="str">
        <f>IF(E1387="","Missing","OK")</f>
        <v>OK</v>
      </c>
      <c r="T1387" t="str">
        <f t="shared" si="171"/>
        <v>OK</v>
      </c>
      <c r="U1387">
        <f>COUNTIF($A:$A,A1387)</f>
        <v>1</v>
      </c>
      <c r="V1387" t="str">
        <f t="shared" si="172"/>
        <v>OK</v>
      </c>
      <c r="W1387" t="str">
        <f>IF(I1387&gt;B1387,"ERROR","OK")</f>
        <v>OK</v>
      </c>
      <c r="X1387">
        <f>(B1387-I1387)/B1387</f>
        <v>0.52556337406806697</v>
      </c>
      <c r="Y1387" s="2">
        <f t="shared" si="173"/>
        <v>1.9984014443252818E-15</v>
      </c>
      <c r="Z1387" s="2" t="str">
        <f t="shared" si="174"/>
        <v>OK</v>
      </c>
      <c r="AA1387" t="str">
        <f t="shared" si="175"/>
        <v>Unique</v>
      </c>
    </row>
    <row r="1388" spans="1:27" x14ac:dyDescent="0.3">
      <c r="A1388">
        <v>1387</v>
      </c>
      <c r="B1388">
        <v>1154549.4490970001</v>
      </c>
      <c r="C1388">
        <v>0.55340685035771697</v>
      </c>
      <c r="D1388">
        <v>-1.79059732236771E-2</v>
      </c>
      <c r="E1388">
        <v>0.17252872445801201</v>
      </c>
      <c r="F1388">
        <v>1</v>
      </c>
      <c r="G1388" t="s">
        <v>12</v>
      </c>
      <c r="H1388">
        <v>0</v>
      </c>
      <c r="I1388">
        <v>199192.94377640699</v>
      </c>
      <c r="J1388">
        <v>0.82747127554198696</v>
      </c>
      <c r="K1388" t="str">
        <f t="shared" si="168"/>
        <v>OK</v>
      </c>
      <c r="L1388" t="str">
        <f t="shared" si="169"/>
        <v>OK</v>
      </c>
      <c r="M1388" t="str">
        <f>IF(OR(B1388&lt;$AE$20,B1388&gt;$AF$20),"Outlier","OK")</f>
        <v>OK</v>
      </c>
      <c r="N1388" t="str">
        <f>IF(OR(J1388&lt;$AE$21,J1388&gt;$AF$21),"Outlier","OK")</f>
        <v>OK</v>
      </c>
      <c r="O1388" t="str">
        <f>IF(OR(C1388&lt;0,C1388&gt;1),"Outlier","OK")</f>
        <v>OK</v>
      </c>
      <c r="P1388" t="str">
        <f>IF(OR(D1388&lt;0,D1388&gt;1),"Outlier","OK")</f>
        <v>Outlier</v>
      </c>
      <c r="Q1388" t="str">
        <f t="shared" si="170"/>
        <v>80-100%</v>
      </c>
      <c r="R1388" t="str">
        <f>IF(B1388="","Missing","OK")</f>
        <v>OK</v>
      </c>
      <c r="S1388" t="str">
        <f>IF(E1388="","Missing","OK")</f>
        <v>OK</v>
      </c>
      <c r="T1388" t="str">
        <f t="shared" si="171"/>
        <v>OK</v>
      </c>
      <c r="U1388">
        <f>COUNTIF($A:$A,A1388)</f>
        <v>1</v>
      </c>
      <c r="V1388" t="str">
        <f t="shared" si="172"/>
        <v>OK</v>
      </c>
      <c r="W1388" t="str">
        <f>IF(I1388&gt;B1388,"ERROR","OK")</f>
        <v>OK</v>
      </c>
      <c r="X1388">
        <f>(B1388-I1388)/B1388</f>
        <v>0.82747127554198696</v>
      </c>
      <c r="Y1388" s="2">
        <f t="shared" si="173"/>
        <v>0</v>
      </c>
      <c r="Z1388" s="2" t="str">
        <f t="shared" si="174"/>
        <v>OK</v>
      </c>
      <c r="AA1388" t="str">
        <f t="shared" si="175"/>
        <v>Unique</v>
      </c>
    </row>
    <row r="1389" spans="1:27" x14ac:dyDescent="0.3">
      <c r="A1389">
        <v>1388</v>
      </c>
      <c r="B1389">
        <v>728682.01483064704</v>
      </c>
      <c r="C1389">
        <v>0.42449718269614101</v>
      </c>
      <c r="D1389">
        <v>3.7425967560579497E-2</v>
      </c>
      <c r="E1389">
        <v>0.40131455751246897</v>
      </c>
      <c r="F1389">
        <v>1</v>
      </c>
      <c r="G1389" t="s">
        <v>10</v>
      </c>
      <c r="H1389">
        <v>0</v>
      </c>
      <c r="I1389">
        <v>292430.70034905599</v>
      </c>
      <c r="J1389">
        <v>0.59868544248752997</v>
      </c>
      <c r="K1389" t="str">
        <f t="shared" si="168"/>
        <v>OK</v>
      </c>
      <c r="L1389" t="str">
        <f t="shared" si="169"/>
        <v>OK</v>
      </c>
      <c r="M1389" t="str">
        <f>IF(OR(B1389&lt;$AE$20,B1389&gt;$AF$20),"Outlier","OK")</f>
        <v>OK</v>
      </c>
      <c r="N1389" t="str">
        <f>IF(OR(J1389&lt;$AE$21,J1389&gt;$AF$21),"Outlier","OK")</f>
        <v>OK</v>
      </c>
      <c r="O1389" t="str">
        <f>IF(OR(C1389&lt;0,C1389&gt;1),"Outlier","OK")</f>
        <v>OK</v>
      </c>
      <c r="P1389" t="str">
        <f>IF(OR(D1389&lt;0,D1389&gt;1),"Outlier","OK")</f>
        <v>OK</v>
      </c>
      <c r="Q1389" t="str">
        <f t="shared" si="170"/>
        <v>40-60%</v>
      </c>
      <c r="R1389" t="str">
        <f>IF(B1389="","Missing","OK")</f>
        <v>OK</v>
      </c>
      <c r="S1389" t="str">
        <f>IF(E1389="","Missing","OK")</f>
        <v>OK</v>
      </c>
      <c r="T1389" t="str">
        <f t="shared" si="171"/>
        <v>OK</v>
      </c>
      <c r="U1389">
        <f>COUNTIF($A:$A,A1389)</f>
        <v>1</v>
      </c>
      <c r="V1389" t="str">
        <f t="shared" si="172"/>
        <v>OK</v>
      </c>
      <c r="W1389" t="str">
        <f>IF(I1389&gt;B1389,"ERROR","OK")</f>
        <v>OK</v>
      </c>
      <c r="X1389">
        <f>(B1389-I1389)/B1389</f>
        <v>0.59868544248753031</v>
      </c>
      <c r="Y1389" s="2">
        <f t="shared" si="173"/>
        <v>3.3306690738754696E-16</v>
      </c>
      <c r="Z1389" s="2" t="str">
        <f t="shared" si="174"/>
        <v>OK</v>
      </c>
      <c r="AA1389" t="str">
        <f t="shared" si="175"/>
        <v>Unique</v>
      </c>
    </row>
    <row r="1390" spans="1:27" x14ac:dyDescent="0.3">
      <c r="A1390">
        <v>1389</v>
      </c>
      <c r="B1390">
        <v>855188.89607675502</v>
      </c>
      <c r="C1390">
        <v>0.52575026971743599</v>
      </c>
      <c r="D1390">
        <v>-0.15110287070345399</v>
      </c>
      <c r="E1390">
        <v>8.6244851087692101E-2</v>
      </c>
      <c r="F1390">
        <v>1</v>
      </c>
      <c r="G1390" t="s">
        <v>11</v>
      </c>
      <c r="H1390">
        <v>0</v>
      </c>
      <c r="I1390">
        <v>73755.638993987493</v>
      </c>
      <c r="J1390">
        <v>0.91375514891230702</v>
      </c>
      <c r="K1390" t="str">
        <f t="shared" si="168"/>
        <v>OK</v>
      </c>
      <c r="L1390" t="str">
        <f t="shared" si="169"/>
        <v>OK</v>
      </c>
      <c r="M1390" t="str">
        <f>IF(OR(B1390&lt;$AE$20,B1390&gt;$AF$20),"Outlier","OK")</f>
        <v>OK</v>
      </c>
      <c r="N1390" t="str">
        <f>IF(OR(J1390&lt;$AE$21,J1390&gt;$AF$21),"Outlier","OK")</f>
        <v>OK</v>
      </c>
      <c r="O1390" t="str">
        <f>IF(OR(C1390&lt;0,C1390&gt;1),"Outlier","OK")</f>
        <v>OK</v>
      </c>
      <c r="P1390" t="str">
        <f>IF(OR(D1390&lt;0,D1390&gt;1),"Outlier","OK")</f>
        <v>Outlier</v>
      </c>
      <c r="Q1390" t="str">
        <f t="shared" si="170"/>
        <v>80-100%</v>
      </c>
      <c r="R1390" t="str">
        <f>IF(B1390="","Missing","OK")</f>
        <v>OK</v>
      </c>
      <c r="S1390" t="str">
        <f>IF(E1390="","Missing","OK")</f>
        <v>OK</v>
      </c>
      <c r="T1390" t="str">
        <f t="shared" si="171"/>
        <v>OK</v>
      </c>
      <c r="U1390">
        <f>COUNTIF($A:$A,A1390)</f>
        <v>1</v>
      </c>
      <c r="V1390" t="str">
        <f t="shared" si="172"/>
        <v>OK</v>
      </c>
      <c r="W1390" t="str">
        <f>IF(I1390&gt;B1390,"ERROR","OK")</f>
        <v>OK</v>
      </c>
      <c r="X1390">
        <f>(B1390-I1390)/B1390</f>
        <v>0.91375514891230802</v>
      </c>
      <c r="Y1390" s="2">
        <f t="shared" si="173"/>
        <v>9.9920072216264089E-16</v>
      </c>
      <c r="Z1390" s="2" t="str">
        <f t="shared" si="174"/>
        <v>OK</v>
      </c>
      <c r="AA1390" t="str">
        <f t="shared" si="175"/>
        <v>Unique</v>
      </c>
    </row>
    <row r="1391" spans="1:27" x14ac:dyDescent="0.3">
      <c r="A1391">
        <v>1390</v>
      </c>
      <c r="B1391">
        <v>1602646.3893277999</v>
      </c>
      <c r="C1391">
        <v>0.86052913996326097</v>
      </c>
      <c r="D1391">
        <v>9.8623643368225503E-2</v>
      </c>
      <c r="E1391">
        <v>0.21105009106605499</v>
      </c>
      <c r="F1391">
        <v>1</v>
      </c>
      <c r="G1391" t="s">
        <v>12</v>
      </c>
      <c r="H1391">
        <v>1</v>
      </c>
      <c r="I1391">
        <v>338238.66641431901</v>
      </c>
      <c r="J1391">
        <v>0.78894990893394401</v>
      </c>
      <c r="K1391" t="str">
        <f t="shared" si="168"/>
        <v>OK</v>
      </c>
      <c r="L1391" t="str">
        <f t="shared" si="169"/>
        <v>OK</v>
      </c>
      <c r="M1391" t="str">
        <f>IF(OR(B1391&lt;$AE$20,B1391&gt;$AF$20),"Outlier","OK")</f>
        <v>OK</v>
      </c>
      <c r="N1391" t="str">
        <f>IF(OR(J1391&lt;$AE$21,J1391&gt;$AF$21),"Outlier","OK")</f>
        <v>OK</v>
      </c>
      <c r="O1391" t="str">
        <f>IF(OR(C1391&lt;0,C1391&gt;1),"Outlier","OK")</f>
        <v>OK</v>
      </c>
      <c r="P1391" t="str">
        <f>IF(OR(D1391&lt;0,D1391&gt;1),"Outlier","OK")</f>
        <v>OK</v>
      </c>
      <c r="Q1391" t="str">
        <f t="shared" si="170"/>
        <v>60-80%</v>
      </c>
      <c r="R1391" t="str">
        <f>IF(B1391="","Missing","OK")</f>
        <v>OK</v>
      </c>
      <c r="S1391" t="str">
        <f>IF(E1391="","Missing","OK")</f>
        <v>OK</v>
      </c>
      <c r="T1391" t="str">
        <f t="shared" si="171"/>
        <v>OK</v>
      </c>
      <c r="U1391">
        <f>COUNTIF($A:$A,A1391)</f>
        <v>1</v>
      </c>
      <c r="V1391" t="str">
        <f t="shared" si="172"/>
        <v>OK</v>
      </c>
      <c r="W1391" t="str">
        <f>IF(I1391&gt;B1391,"ERROR","OK")</f>
        <v>OK</v>
      </c>
      <c r="X1391">
        <f>(B1391-I1391)/B1391</f>
        <v>0.78894990893394334</v>
      </c>
      <c r="Y1391" s="2">
        <f t="shared" si="173"/>
        <v>6.6613381477509392E-16</v>
      </c>
      <c r="Z1391" s="2" t="str">
        <f t="shared" si="174"/>
        <v>OK</v>
      </c>
      <c r="AA1391" t="str">
        <f t="shared" si="175"/>
        <v>Unique</v>
      </c>
    </row>
    <row r="1392" spans="1:27" x14ac:dyDescent="0.3">
      <c r="A1392">
        <v>1391</v>
      </c>
      <c r="B1392">
        <v>745005.78447359102</v>
      </c>
      <c r="C1392">
        <v>0.45560543741816101</v>
      </c>
      <c r="D1392">
        <v>0.18972106474783801</v>
      </c>
      <c r="E1392">
        <v>0.101975336265549</v>
      </c>
      <c r="F1392">
        <v>1</v>
      </c>
      <c r="G1392" t="s">
        <v>12</v>
      </c>
      <c r="H1392">
        <v>1</v>
      </c>
      <c r="I1392">
        <v>75972.215391474005</v>
      </c>
      <c r="J1392">
        <v>0.89802466373445</v>
      </c>
      <c r="K1392" t="str">
        <f t="shared" si="168"/>
        <v>OK</v>
      </c>
      <c r="L1392" t="str">
        <f t="shared" si="169"/>
        <v>OK</v>
      </c>
      <c r="M1392" t="str">
        <f>IF(OR(B1392&lt;$AE$20,B1392&gt;$AF$20),"Outlier","OK")</f>
        <v>OK</v>
      </c>
      <c r="N1392" t="str">
        <f>IF(OR(J1392&lt;$AE$21,J1392&gt;$AF$21),"Outlier","OK")</f>
        <v>OK</v>
      </c>
      <c r="O1392" t="str">
        <f>IF(OR(C1392&lt;0,C1392&gt;1),"Outlier","OK")</f>
        <v>OK</v>
      </c>
      <c r="P1392" t="str">
        <f>IF(OR(D1392&lt;0,D1392&gt;1),"Outlier","OK")</f>
        <v>OK</v>
      </c>
      <c r="Q1392" t="str">
        <f t="shared" si="170"/>
        <v>80-100%</v>
      </c>
      <c r="R1392" t="str">
        <f>IF(B1392="","Missing","OK")</f>
        <v>OK</v>
      </c>
      <c r="S1392" t="str">
        <f>IF(E1392="","Missing","OK")</f>
        <v>OK</v>
      </c>
      <c r="T1392" t="str">
        <f t="shared" si="171"/>
        <v>OK</v>
      </c>
      <c r="U1392">
        <f>COUNTIF($A:$A,A1392)</f>
        <v>1</v>
      </c>
      <c r="V1392" t="str">
        <f t="shared" si="172"/>
        <v>OK</v>
      </c>
      <c r="W1392" t="str">
        <f>IF(I1392&gt;B1392,"ERROR","OK")</f>
        <v>OK</v>
      </c>
      <c r="X1392">
        <f>(B1392-I1392)/B1392</f>
        <v>0.89802466373445045</v>
      </c>
      <c r="Y1392" s="2">
        <f t="shared" si="173"/>
        <v>4.4408920985006262E-16</v>
      </c>
      <c r="Z1392" s="2" t="str">
        <f t="shared" si="174"/>
        <v>OK</v>
      </c>
      <c r="AA1392" t="str">
        <f t="shared" si="175"/>
        <v>Unique</v>
      </c>
    </row>
    <row r="1393" spans="1:27" x14ac:dyDescent="0.3">
      <c r="A1393">
        <v>1392</v>
      </c>
      <c r="B1393">
        <v>1946634.63297362</v>
      </c>
      <c r="C1393">
        <v>0.55417576586909401</v>
      </c>
      <c r="D1393">
        <v>-0.134027849493212</v>
      </c>
      <c r="E1393">
        <v>0.20994385462353299</v>
      </c>
      <c r="F1393">
        <v>1</v>
      </c>
      <c r="G1393" t="s">
        <v>12</v>
      </c>
      <c r="H1393">
        <v>0</v>
      </c>
      <c r="I1393">
        <v>408683.97839015</v>
      </c>
      <c r="J1393">
        <v>0.79005614537646596</v>
      </c>
      <c r="K1393" t="str">
        <f t="shared" si="168"/>
        <v>OK</v>
      </c>
      <c r="L1393" t="str">
        <f t="shared" si="169"/>
        <v>OK</v>
      </c>
      <c r="M1393" t="str">
        <f>IF(OR(B1393&lt;$AE$20,B1393&gt;$AF$20),"Outlier","OK")</f>
        <v>OK</v>
      </c>
      <c r="N1393" t="str">
        <f>IF(OR(J1393&lt;$AE$21,J1393&gt;$AF$21),"Outlier","OK")</f>
        <v>OK</v>
      </c>
      <c r="O1393" t="str">
        <f>IF(OR(C1393&lt;0,C1393&gt;1),"Outlier","OK")</f>
        <v>OK</v>
      </c>
      <c r="P1393" t="str">
        <f>IF(OR(D1393&lt;0,D1393&gt;1),"Outlier","OK")</f>
        <v>Outlier</v>
      </c>
      <c r="Q1393" t="str">
        <f t="shared" si="170"/>
        <v>60-80%</v>
      </c>
      <c r="R1393" t="str">
        <f>IF(B1393="","Missing","OK")</f>
        <v>OK</v>
      </c>
      <c r="S1393" t="str">
        <f>IF(E1393="","Missing","OK")</f>
        <v>OK</v>
      </c>
      <c r="T1393" t="str">
        <f t="shared" si="171"/>
        <v>OK</v>
      </c>
      <c r="U1393">
        <f>COUNTIF($A:$A,A1393)</f>
        <v>1</v>
      </c>
      <c r="V1393" t="str">
        <f t="shared" si="172"/>
        <v>OK</v>
      </c>
      <c r="W1393" t="str">
        <f>IF(I1393&gt;B1393,"ERROR","OK")</f>
        <v>OK</v>
      </c>
      <c r="X1393">
        <f>(B1393-I1393)/B1393</f>
        <v>0.79005614537646607</v>
      </c>
      <c r="Y1393" s="2">
        <f t="shared" si="173"/>
        <v>1.1102230246251565E-16</v>
      </c>
      <c r="Z1393" s="2" t="str">
        <f t="shared" si="174"/>
        <v>OK</v>
      </c>
      <c r="AA1393" t="str">
        <f t="shared" si="175"/>
        <v>Unique</v>
      </c>
    </row>
    <row r="1394" spans="1:27" x14ac:dyDescent="0.3">
      <c r="A1394">
        <v>1393</v>
      </c>
      <c r="B1394">
        <v>1840460.03542725</v>
      </c>
      <c r="C1394">
        <v>0.441121422116662</v>
      </c>
      <c r="D1394">
        <v>0.16594561914671399</v>
      </c>
      <c r="E1394">
        <v>0.12374415290999501</v>
      </c>
      <c r="F1394">
        <v>1</v>
      </c>
      <c r="G1394" t="s">
        <v>13</v>
      </c>
      <c r="H1394">
        <v>1</v>
      </c>
      <c r="I1394">
        <v>227746.16804864601</v>
      </c>
      <c r="J1394">
        <v>0.87625584709000404</v>
      </c>
      <c r="K1394" t="str">
        <f t="shared" si="168"/>
        <v>OK</v>
      </c>
      <c r="L1394" t="str">
        <f t="shared" si="169"/>
        <v>OK</v>
      </c>
      <c r="M1394" t="str">
        <f>IF(OR(B1394&lt;$AE$20,B1394&gt;$AF$20),"Outlier","OK")</f>
        <v>OK</v>
      </c>
      <c r="N1394" t="str">
        <f>IF(OR(J1394&lt;$AE$21,J1394&gt;$AF$21),"Outlier","OK")</f>
        <v>OK</v>
      </c>
      <c r="O1394" t="str">
        <f>IF(OR(C1394&lt;0,C1394&gt;1),"Outlier","OK")</f>
        <v>OK</v>
      </c>
      <c r="P1394" t="str">
        <f>IF(OR(D1394&lt;0,D1394&gt;1),"Outlier","OK")</f>
        <v>OK</v>
      </c>
      <c r="Q1394" t="str">
        <f t="shared" si="170"/>
        <v>80-100%</v>
      </c>
      <c r="R1394" t="str">
        <f>IF(B1394="","Missing","OK")</f>
        <v>OK</v>
      </c>
      <c r="S1394" t="str">
        <f>IF(E1394="","Missing","OK")</f>
        <v>OK</v>
      </c>
      <c r="T1394" t="str">
        <f t="shared" si="171"/>
        <v>OK</v>
      </c>
      <c r="U1394">
        <f>COUNTIF($A:$A,A1394)</f>
        <v>1</v>
      </c>
      <c r="V1394" t="str">
        <f t="shared" si="172"/>
        <v>OK</v>
      </c>
      <c r="W1394" t="str">
        <f>IF(I1394&gt;B1394,"ERROR","OK")</f>
        <v>OK</v>
      </c>
      <c r="X1394">
        <f>(B1394-I1394)/B1394</f>
        <v>0.87625584709000415</v>
      </c>
      <c r="Y1394" s="2">
        <f t="shared" si="173"/>
        <v>1.1102230246251565E-16</v>
      </c>
      <c r="Z1394" s="2" t="str">
        <f t="shared" si="174"/>
        <v>OK</v>
      </c>
      <c r="AA1394" t="str">
        <f t="shared" si="175"/>
        <v>Unique</v>
      </c>
    </row>
    <row r="1395" spans="1:27" x14ac:dyDescent="0.3">
      <c r="A1395">
        <v>1394</v>
      </c>
      <c r="B1395">
        <v>202267.927741458</v>
      </c>
      <c r="C1395">
        <v>0.804621129233136</v>
      </c>
      <c r="D1395">
        <v>3.7315687484237602E-2</v>
      </c>
      <c r="E1395">
        <v>0.20329896377736201</v>
      </c>
      <c r="F1395">
        <v>1</v>
      </c>
      <c r="G1395" t="s">
        <v>10</v>
      </c>
      <c r="H1395">
        <v>1</v>
      </c>
      <c r="I1395">
        <v>41120.860115232797</v>
      </c>
      <c r="J1395">
        <v>0.79670103622263699</v>
      </c>
      <c r="K1395" t="str">
        <f t="shared" si="168"/>
        <v>OK</v>
      </c>
      <c r="L1395" t="str">
        <f t="shared" si="169"/>
        <v>OK</v>
      </c>
      <c r="M1395" t="str">
        <f>IF(OR(B1395&lt;$AE$20,B1395&gt;$AF$20),"Outlier","OK")</f>
        <v>OK</v>
      </c>
      <c r="N1395" t="str">
        <f>IF(OR(J1395&lt;$AE$21,J1395&gt;$AF$21),"Outlier","OK")</f>
        <v>OK</v>
      </c>
      <c r="O1395" t="str">
        <f>IF(OR(C1395&lt;0,C1395&gt;1),"Outlier","OK")</f>
        <v>OK</v>
      </c>
      <c r="P1395" t="str">
        <f>IF(OR(D1395&lt;0,D1395&gt;1),"Outlier","OK")</f>
        <v>OK</v>
      </c>
      <c r="Q1395" t="str">
        <f t="shared" si="170"/>
        <v>60-80%</v>
      </c>
      <c r="R1395" t="str">
        <f>IF(B1395="","Missing","OK")</f>
        <v>OK</v>
      </c>
      <c r="S1395" t="str">
        <f>IF(E1395="","Missing","OK")</f>
        <v>OK</v>
      </c>
      <c r="T1395" t="str">
        <f t="shared" si="171"/>
        <v>OK</v>
      </c>
      <c r="U1395">
        <f>COUNTIF($A:$A,A1395)</f>
        <v>1</v>
      </c>
      <c r="V1395" t="str">
        <f t="shared" si="172"/>
        <v>OK</v>
      </c>
      <c r="W1395" t="str">
        <f>IF(I1395&gt;B1395,"ERROR","OK")</f>
        <v>OK</v>
      </c>
      <c r="X1395">
        <f>(B1395-I1395)/B1395</f>
        <v>0.79670103622263777</v>
      </c>
      <c r="Y1395" s="2">
        <f t="shared" si="173"/>
        <v>7.7715611723760958E-16</v>
      </c>
      <c r="Z1395" s="2" t="str">
        <f t="shared" si="174"/>
        <v>OK</v>
      </c>
      <c r="AA1395" t="str">
        <f t="shared" si="175"/>
        <v>Unique</v>
      </c>
    </row>
    <row r="1396" spans="1:27" x14ac:dyDescent="0.3">
      <c r="A1396">
        <v>1395</v>
      </c>
      <c r="B1396">
        <v>1712212.8114732699</v>
      </c>
      <c r="C1396">
        <v>0.44266380884858703</v>
      </c>
      <c r="D1396">
        <v>0.18860900390935101</v>
      </c>
      <c r="E1396">
        <v>0.156227271875645</v>
      </c>
      <c r="F1396">
        <v>1</v>
      </c>
      <c r="G1396" t="s">
        <v>11</v>
      </c>
      <c r="H1396">
        <v>0</v>
      </c>
      <c r="I1396">
        <v>267494.33640699898</v>
      </c>
      <c r="J1396">
        <v>0.843772728124354</v>
      </c>
      <c r="K1396" t="str">
        <f t="shared" si="168"/>
        <v>OK</v>
      </c>
      <c r="L1396" t="str">
        <f t="shared" si="169"/>
        <v>OK</v>
      </c>
      <c r="M1396" t="str">
        <f>IF(OR(B1396&lt;$AE$20,B1396&gt;$AF$20),"Outlier","OK")</f>
        <v>OK</v>
      </c>
      <c r="N1396" t="str">
        <f>IF(OR(J1396&lt;$AE$21,J1396&gt;$AF$21),"Outlier","OK")</f>
        <v>OK</v>
      </c>
      <c r="O1396" t="str">
        <f>IF(OR(C1396&lt;0,C1396&gt;1),"Outlier","OK")</f>
        <v>OK</v>
      </c>
      <c r="P1396" t="str">
        <f>IF(OR(D1396&lt;0,D1396&gt;1),"Outlier","OK")</f>
        <v>OK</v>
      </c>
      <c r="Q1396" t="str">
        <f t="shared" si="170"/>
        <v>80-100%</v>
      </c>
      <c r="R1396" t="str">
        <f>IF(B1396="","Missing","OK")</f>
        <v>OK</v>
      </c>
      <c r="S1396" t="str">
        <f>IF(E1396="","Missing","OK")</f>
        <v>OK</v>
      </c>
      <c r="T1396" t="str">
        <f t="shared" si="171"/>
        <v>OK</v>
      </c>
      <c r="U1396">
        <f>COUNTIF($A:$A,A1396)</f>
        <v>1</v>
      </c>
      <c r="V1396" t="str">
        <f t="shared" si="172"/>
        <v>OK</v>
      </c>
      <c r="W1396" t="str">
        <f>IF(I1396&gt;B1396,"ERROR","OK")</f>
        <v>OK</v>
      </c>
      <c r="X1396">
        <f>(B1396-I1396)/B1396</f>
        <v>0.84377272812435389</v>
      </c>
      <c r="Y1396" s="2">
        <f t="shared" si="173"/>
        <v>1.1102230246251565E-16</v>
      </c>
      <c r="Z1396" s="2" t="str">
        <f t="shared" si="174"/>
        <v>OK</v>
      </c>
      <c r="AA1396" t="str">
        <f t="shared" si="175"/>
        <v>Unique</v>
      </c>
    </row>
    <row r="1397" spans="1:27" x14ac:dyDescent="0.3">
      <c r="A1397">
        <v>1396</v>
      </c>
      <c r="B1397">
        <v>1363868.9222331101</v>
      </c>
      <c r="C1397">
        <v>0.47357633833532697</v>
      </c>
      <c r="D1397">
        <v>-0.146738166723658</v>
      </c>
      <c r="E1397">
        <v>0.323426852792359</v>
      </c>
      <c r="F1397">
        <v>1</v>
      </c>
      <c r="G1397" t="s">
        <v>10</v>
      </c>
      <c r="H1397">
        <v>0</v>
      </c>
      <c r="I1397">
        <v>441111.83313916199</v>
      </c>
      <c r="J1397">
        <v>0.67657314720763995</v>
      </c>
      <c r="K1397" t="str">
        <f t="shared" si="168"/>
        <v>OK</v>
      </c>
      <c r="L1397" t="str">
        <f t="shared" si="169"/>
        <v>OK</v>
      </c>
      <c r="M1397" t="str">
        <f>IF(OR(B1397&lt;$AE$20,B1397&gt;$AF$20),"Outlier","OK")</f>
        <v>OK</v>
      </c>
      <c r="N1397" t="str">
        <f>IF(OR(J1397&lt;$AE$21,J1397&gt;$AF$21),"Outlier","OK")</f>
        <v>OK</v>
      </c>
      <c r="O1397" t="str">
        <f>IF(OR(C1397&lt;0,C1397&gt;1),"Outlier","OK")</f>
        <v>OK</v>
      </c>
      <c r="P1397" t="str">
        <f>IF(OR(D1397&lt;0,D1397&gt;1),"Outlier","OK")</f>
        <v>Outlier</v>
      </c>
      <c r="Q1397" t="str">
        <f t="shared" si="170"/>
        <v>60-80%</v>
      </c>
      <c r="R1397" t="str">
        <f>IF(B1397="","Missing","OK")</f>
        <v>OK</v>
      </c>
      <c r="S1397" t="str">
        <f>IF(E1397="","Missing","OK")</f>
        <v>OK</v>
      </c>
      <c r="T1397" t="str">
        <f t="shared" si="171"/>
        <v>OK</v>
      </c>
      <c r="U1397">
        <f>COUNTIF($A:$A,A1397)</f>
        <v>1</v>
      </c>
      <c r="V1397" t="str">
        <f t="shared" si="172"/>
        <v>OK</v>
      </c>
      <c r="W1397" t="str">
        <f>IF(I1397&gt;B1397,"ERROR","OK")</f>
        <v>OK</v>
      </c>
      <c r="X1397">
        <f>(B1397-I1397)/B1397</f>
        <v>0.6765731472076405</v>
      </c>
      <c r="Y1397" s="2">
        <f t="shared" si="173"/>
        <v>5.5511151231257827E-16</v>
      </c>
      <c r="Z1397" s="2" t="str">
        <f t="shared" si="174"/>
        <v>OK</v>
      </c>
      <c r="AA1397" t="str">
        <f t="shared" si="175"/>
        <v>Unique</v>
      </c>
    </row>
    <row r="1398" spans="1:27" x14ac:dyDescent="0.3">
      <c r="A1398">
        <v>1397</v>
      </c>
      <c r="B1398">
        <v>157873.01912179601</v>
      </c>
      <c r="C1398">
        <v>0.43985068985202203</v>
      </c>
      <c r="D1398">
        <v>-0.19149364214665901</v>
      </c>
      <c r="E1398">
        <v>0.39587649838757999</v>
      </c>
      <c r="F1398">
        <v>1</v>
      </c>
      <c r="G1398" t="s">
        <v>12</v>
      </c>
      <c r="H1398">
        <v>0</v>
      </c>
      <c r="I1398">
        <v>62498.217999812397</v>
      </c>
      <c r="J1398">
        <v>0.60412350161241901</v>
      </c>
      <c r="K1398" t="str">
        <f t="shared" si="168"/>
        <v>OK</v>
      </c>
      <c r="L1398" t="str">
        <f t="shared" si="169"/>
        <v>OK</v>
      </c>
      <c r="M1398" t="str">
        <f>IF(OR(B1398&lt;$AE$20,B1398&gt;$AF$20),"Outlier","OK")</f>
        <v>OK</v>
      </c>
      <c r="N1398" t="str">
        <f>IF(OR(J1398&lt;$AE$21,J1398&gt;$AF$21),"Outlier","OK")</f>
        <v>OK</v>
      </c>
      <c r="O1398" t="str">
        <f>IF(OR(C1398&lt;0,C1398&gt;1),"Outlier","OK")</f>
        <v>OK</v>
      </c>
      <c r="P1398" t="str">
        <f>IF(OR(D1398&lt;0,D1398&gt;1),"Outlier","OK")</f>
        <v>Outlier</v>
      </c>
      <c r="Q1398" t="str">
        <f t="shared" si="170"/>
        <v>60-80%</v>
      </c>
      <c r="R1398" t="str">
        <f>IF(B1398="","Missing","OK")</f>
        <v>OK</v>
      </c>
      <c r="S1398" t="str">
        <f>IF(E1398="","Missing","OK")</f>
        <v>OK</v>
      </c>
      <c r="T1398" t="str">
        <f t="shared" si="171"/>
        <v>OK</v>
      </c>
      <c r="U1398">
        <f>COUNTIF($A:$A,A1398)</f>
        <v>1</v>
      </c>
      <c r="V1398" t="str">
        <f t="shared" si="172"/>
        <v>OK</v>
      </c>
      <c r="W1398" t="str">
        <f>IF(I1398&gt;B1398,"ERROR","OK")</f>
        <v>OK</v>
      </c>
      <c r="X1398">
        <f>(B1398-I1398)/B1398</f>
        <v>0.6041235016124179</v>
      </c>
      <c r="Y1398" s="2">
        <f t="shared" si="173"/>
        <v>1.1102230246251565E-15</v>
      </c>
      <c r="Z1398" s="2" t="str">
        <f t="shared" si="174"/>
        <v>OK</v>
      </c>
      <c r="AA1398" t="str">
        <f t="shared" si="175"/>
        <v>Unique</v>
      </c>
    </row>
    <row r="1399" spans="1:27" x14ac:dyDescent="0.3">
      <c r="A1399">
        <v>1398</v>
      </c>
      <c r="B1399">
        <v>1912963.96679477</v>
      </c>
      <c r="C1399">
        <v>0.50393296038160096</v>
      </c>
      <c r="D1399">
        <v>-0.13325860013509599</v>
      </c>
      <c r="E1399">
        <v>0.23077845469972799</v>
      </c>
      <c r="F1399">
        <v>1</v>
      </c>
      <c r="G1399" t="s">
        <v>10</v>
      </c>
      <c r="H1399">
        <v>1</v>
      </c>
      <c r="I1399">
        <v>441470.86815316102</v>
      </c>
      <c r="J1399">
        <v>0.76922154530027098</v>
      </c>
      <c r="K1399" t="str">
        <f t="shared" si="168"/>
        <v>OK</v>
      </c>
      <c r="L1399" t="str">
        <f t="shared" si="169"/>
        <v>OK</v>
      </c>
      <c r="M1399" t="str">
        <f>IF(OR(B1399&lt;$AE$20,B1399&gt;$AF$20),"Outlier","OK")</f>
        <v>OK</v>
      </c>
      <c r="N1399" t="str">
        <f>IF(OR(J1399&lt;$AE$21,J1399&gt;$AF$21),"Outlier","OK")</f>
        <v>OK</v>
      </c>
      <c r="O1399" t="str">
        <f>IF(OR(C1399&lt;0,C1399&gt;1),"Outlier","OK")</f>
        <v>OK</v>
      </c>
      <c r="P1399" t="str">
        <f>IF(OR(D1399&lt;0,D1399&gt;1),"Outlier","OK")</f>
        <v>Outlier</v>
      </c>
      <c r="Q1399" t="str">
        <f t="shared" si="170"/>
        <v>60-80%</v>
      </c>
      <c r="R1399" t="str">
        <f>IF(B1399="","Missing","OK")</f>
        <v>OK</v>
      </c>
      <c r="S1399" t="str">
        <f>IF(E1399="","Missing","OK")</f>
        <v>OK</v>
      </c>
      <c r="T1399" t="str">
        <f t="shared" si="171"/>
        <v>OK</v>
      </c>
      <c r="U1399">
        <f>COUNTIF($A:$A,A1399)</f>
        <v>1</v>
      </c>
      <c r="V1399" t="str">
        <f t="shared" si="172"/>
        <v>OK</v>
      </c>
      <c r="W1399" t="str">
        <f>IF(I1399&gt;B1399,"ERROR","OK")</f>
        <v>OK</v>
      </c>
      <c r="X1399">
        <f>(B1399-I1399)/B1399</f>
        <v>0.76922154530027076</v>
      </c>
      <c r="Y1399" s="2">
        <f t="shared" si="173"/>
        <v>2.2204460492503131E-16</v>
      </c>
      <c r="Z1399" s="2" t="str">
        <f t="shared" si="174"/>
        <v>OK</v>
      </c>
      <c r="AA1399" t="str">
        <f t="shared" si="175"/>
        <v>Unique</v>
      </c>
    </row>
    <row r="1400" spans="1:27" x14ac:dyDescent="0.3">
      <c r="A1400">
        <v>1399</v>
      </c>
      <c r="B1400">
        <v>1675299.6117805501</v>
      </c>
      <c r="C1400">
        <v>0.77953677409594702</v>
      </c>
      <c r="D1400">
        <v>-0.11341804542259</v>
      </c>
      <c r="E1400">
        <v>0.43893900476015002</v>
      </c>
      <c r="F1400">
        <v>1</v>
      </c>
      <c r="G1400" t="s">
        <v>13</v>
      </c>
      <c r="H1400">
        <v>0</v>
      </c>
      <c r="I1400">
        <v>735354.34427002398</v>
      </c>
      <c r="J1400">
        <v>0.56106099523984898</v>
      </c>
      <c r="K1400" t="str">
        <f t="shared" si="168"/>
        <v>OK</v>
      </c>
      <c r="L1400" t="str">
        <f t="shared" si="169"/>
        <v>OK</v>
      </c>
      <c r="M1400" t="str">
        <f>IF(OR(B1400&lt;$AE$20,B1400&gt;$AF$20),"Outlier","OK")</f>
        <v>OK</v>
      </c>
      <c r="N1400" t="str">
        <f>IF(OR(J1400&lt;$AE$21,J1400&gt;$AF$21),"Outlier","OK")</f>
        <v>OK</v>
      </c>
      <c r="O1400" t="str">
        <f>IF(OR(C1400&lt;0,C1400&gt;1),"Outlier","OK")</f>
        <v>OK</v>
      </c>
      <c r="P1400" t="str">
        <f>IF(OR(D1400&lt;0,D1400&gt;1),"Outlier","OK")</f>
        <v>Outlier</v>
      </c>
      <c r="Q1400" t="str">
        <f t="shared" si="170"/>
        <v>40-60%</v>
      </c>
      <c r="R1400" t="str">
        <f>IF(B1400="","Missing","OK")</f>
        <v>OK</v>
      </c>
      <c r="S1400" t="str">
        <f>IF(E1400="","Missing","OK")</f>
        <v>OK</v>
      </c>
      <c r="T1400" t="str">
        <f t="shared" si="171"/>
        <v>OK</v>
      </c>
      <c r="U1400">
        <f>COUNTIF($A:$A,A1400)</f>
        <v>1</v>
      </c>
      <c r="V1400" t="str">
        <f t="shared" si="172"/>
        <v>OK</v>
      </c>
      <c r="W1400" t="str">
        <f>IF(I1400&gt;B1400,"ERROR","OK")</f>
        <v>OK</v>
      </c>
      <c r="X1400">
        <f>(B1400-I1400)/B1400</f>
        <v>0.56106099523984787</v>
      </c>
      <c r="Y1400" s="2">
        <f t="shared" si="173"/>
        <v>1.1102230246251565E-15</v>
      </c>
      <c r="Z1400" s="2" t="str">
        <f t="shared" si="174"/>
        <v>OK</v>
      </c>
      <c r="AA1400" t="str">
        <f t="shared" si="175"/>
        <v>Unique</v>
      </c>
    </row>
    <row r="1401" spans="1:27" x14ac:dyDescent="0.3">
      <c r="A1401">
        <v>1400</v>
      </c>
      <c r="B1401">
        <v>1673733.7283500901</v>
      </c>
      <c r="C1401">
        <v>0.70984685864697095</v>
      </c>
      <c r="D1401">
        <v>0.17271656248122499</v>
      </c>
      <c r="E1401">
        <v>0.15289694564565601</v>
      </c>
      <c r="F1401">
        <v>1</v>
      </c>
      <c r="G1401" t="s">
        <v>12</v>
      </c>
      <c r="H1401">
        <v>0</v>
      </c>
      <c r="I1401">
        <v>255908.77488884499</v>
      </c>
      <c r="J1401">
        <v>0.84710305435434297</v>
      </c>
      <c r="K1401" t="str">
        <f t="shared" si="168"/>
        <v>OK</v>
      </c>
      <c r="L1401" t="str">
        <f t="shared" si="169"/>
        <v>OK</v>
      </c>
      <c r="M1401" t="str">
        <f>IF(OR(B1401&lt;$AE$20,B1401&gt;$AF$20),"Outlier","OK")</f>
        <v>OK</v>
      </c>
      <c r="N1401" t="str">
        <f>IF(OR(J1401&lt;$AE$21,J1401&gt;$AF$21),"Outlier","OK")</f>
        <v>OK</v>
      </c>
      <c r="O1401" t="str">
        <f>IF(OR(C1401&lt;0,C1401&gt;1),"Outlier","OK")</f>
        <v>OK</v>
      </c>
      <c r="P1401" t="str">
        <f>IF(OR(D1401&lt;0,D1401&gt;1),"Outlier","OK")</f>
        <v>OK</v>
      </c>
      <c r="Q1401" t="str">
        <f t="shared" si="170"/>
        <v>80-100%</v>
      </c>
      <c r="R1401" t="str">
        <f>IF(B1401="","Missing","OK")</f>
        <v>OK</v>
      </c>
      <c r="S1401" t="str">
        <f>IF(E1401="","Missing","OK")</f>
        <v>OK</v>
      </c>
      <c r="T1401" t="str">
        <f t="shared" si="171"/>
        <v>OK</v>
      </c>
      <c r="U1401">
        <f>COUNTIF($A:$A,A1401)</f>
        <v>1</v>
      </c>
      <c r="V1401" t="str">
        <f t="shared" si="172"/>
        <v>OK</v>
      </c>
      <c r="W1401" t="str">
        <f>IF(I1401&gt;B1401,"ERROR","OK")</f>
        <v>OK</v>
      </c>
      <c r="X1401">
        <f>(B1401-I1401)/B1401</f>
        <v>0.84710305435434397</v>
      </c>
      <c r="Y1401" s="2">
        <f t="shared" si="173"/>
        <v>9.9920072216264089E-16</v>
      </c>
      <c r="Z1401" s="2" t="str">
        <f t="shared" si="174"/>
        <v>OK</v>
      </c>
      <c r="AA1401" t="str">
        <f t="shared" si="175"/>
        <v>Unique</v>
      </c>
    </row>
    <row r="1402" spans="1:27" x14ac:dyDescent="0.3">
      <c r="A1402">
        <v>1401</v>
      </c>
      <c r="B1402">
        <v>1835507.73461744</v>
      </c>
      <c r="C1402">
        <v>0.77018016306903603</v>
      </c>
      <c r="D1402">
        <v>-0.129495572430297</v>
      </c>
      <c r="E1402">
        <v>0.47291417071446901</v>
      </c>
      <c r="F1402">
        <v>1</v>
      </c>
      <c r="G1402" t="s">
        <v>10</v>
      </c>
      <c r="H1402">
        <v>1</v>
      </c>
      <c r="I1402">
        <v>868037.61815660098</v>
      </c>
      <c r="J1402">
        <v>0.52708582928553005</v>
      </c>
      <c r="K1402" t="str">
        <f t="shared" si="168"/>
        <v>OK</v>
      </c>
      <c r="L1402" t="str">
        <f t="shared" si="169"/>
        <v>OK</v>
      </c>
      <c r="M1402" t="str">
        <f>IF(OR(B1402&lt;$AE$20,B1402&gt;$AF$20),"Outlier","OK")</f>
        <v>OK</v>
      </c>
      <c r="N1402" t="str">
        <f>IF(OR(J1402&lt;$AE$21,J1402&gt;$AF$21),"Outlier","OK")</f>
        <v>OK</v>
      </c>
      <c r="O1402" t="str">
        <f>IF(OR(C1402&lt;0,C1402&gt;1),"Outlier","OK")</f>
        <v>OK</v>
      </c>
      <c r="P1402" t="str">
        <f>IF(OR(D1402&lt;0,D1402&gt;1),"Outlier","OK")</f>
        <v>Outlier</v>
      </c>
      <c r="Q1402" t="str">
        <f t="shared" si="170"/>
        <v>40-60%</v>
      </c>
      <c r="R1402" t="str">
        <f>IF(B1402="","Missing","OK")</f>
        <v>OK</v>
      </c>
      <c r="S1402" t="str">
        <f>IF(E1402="","Missing","OK")</f>
        <v>OK</v>
      </c>
      <c r="T1402" t="str">
        <f t="shared" si="171"/>
        <v>OK</v>
      </c>
      <c r="U1402">
        <f>COUNTIF($A:$A,A1402)</f>
        <v>1</v>
      </c>
      <c r="V1402" t="str">
        <f t="shared" si="172"/>
        <v>OK</v>
      </c>
      <c r="W1402" t="str">
        <f>IF(I1402&gt;B1402,"ERROR","OK")</f>
        <v>OK</v>
      </c>
      <c r="X1402">
        <f>(B1402-I1402)/B1402</f>
        <v>0.5270858292855306</v>
      </c>
      <c r="Y1402" s="2">
        <f t="shared" si="173"/>
        <v>5.5511151231257827E-16</v>
      </c>
      <c r="Z1402" s="2" t="str">
        <f t="shared" si="174"/>
        <v>OK</v>
      </c>
      <c r="AA1402" t="str">
        <f t="shared" si="175"/>
        <v>Unique</v>
      </c>
    </row>
    <row r="1403" spans="1:27" x14ac:dyDescent="0.3">
      <c r="A1403">
        <v>1402</v>
      </c>
      <c r="B1403">
        <v>1846114.38699315</v>
      </c>
      <c r="C1403">
        <v>0.84279792435983203</v>
      </c>
      <c r="D1403">
        <v>-0.146662120687411</v>
      </c>
      <c r="E1403">
        <v>0.133721427828881</v>
      </c>
      <c r="F1403">
        <v>1</v>
      </c>
      <c r="G1403" t="s">
        <v>13</v>
      </c>
      <c r="H1403">
        <v>1</v>
      </c>
      <c r="I1403">
        <v>246865.05176416499</v>
      </c>
      <c r="J1403">
        <v>0.86627857217111803</v>
      </c>
      <c r="K1403" t="str">
        <f t="shared" si="168"/>
        <v>OK</v>
      </c>
      <c r="L1403" t="str">
        <f t="shared" si="169"/>
        <v>OK</v>
      </c>
      <c r="M1403" t="str">
        <f>IF(OR(B1403&lt;$AE$20,B1403&gt;$AF$20),"Outlier","OK")</f>
        <v>OK</v>
      </c>
      <c r="N1403" t="str">
        <f>IF(OR(J1403&lt;$AE$21,J1403&gt;$AF$21),"Outlier","OK")</f>
        <v>OK</v>
      </c>
      <c r="O1403" t="str">
        <f>IF(OR(C1403&lt;0,C1403&gt;1),"Outlier","OK")</f>
        <v>OK</v>
      </c>
      <c r="P1403" t="str">
        <f>IF(OR(D1403&lt;0,D1403&gt;1),"Outlier","OK")</f>
        <v>Outlier</v>
      </c>
      <c r="Q1403" t="str">
        <f t="shared" si="170"/>
        <v>80-100%</v>
      </c>
      <c r="R1403" t="str">
        <f>IF(B1403="","Missing","OK")</f>
        <v>OK</v>
      </c>
      <c r="S1403" t="str">
        <f>IF(E1403="","Missing","OK")</f>
        <v>OK</v>
      </c>
      <c r="T1403" t="str">
        <f t="shared" si="171"/>
        <v>OK</v>
      </c>
      <c r="U1403">
        <f>COUNTIF($A:$A,A1403)</f>
        <v>1</v>
      </c>
      <c r="V1403" t="str">
        <f t="shared" si="172"/>
        <v>OK</v>
      </c>
      <c r="W1403" t="str">
        <f>IF(I1403&gt;B1403,"ERROR","OK")</f>
        <v>OK</v>
      </c>
      <c r="X1403">
        <f>(B1403-I1403)/B1403</f>
        <v>0.86627857217111814</v>
      </c>
      <c r="Y1403" s="2">
        <f t="shared" si="173"/>
        <v>1.1102230246251565E-16</v>
      </c>
      <c r="Z1403" s="2" t="str">
        <f t="shared" si="174"/>
        <v>OK</v>
      </c>
      <c r="AA1403" t="str">
        <f t="shared" si="175"/>
        <v>Unique</v>
      </c>
    </row>
    <row r="1404" spans="1:27" x14ac:dyDescent="0.3">
      <c r="A1404">
        <v>1403</v>
      </c>
      <c r="B1404">
        <v>477205.08635561098</v>
      </c>
      <c r="C1404">
        <v>0.77987648948232902</v>
      </c>
      <c r="D1404">
        <v>-5.281117410932E-2</v>
      </c>
      <c r="E1404">
        <v>0.114783068609491</v>
      </c>
      <c r="F1404">
        <v>1</v>
      </c>
      <c r="G1404" t="s">
        <v>12</v>
      </c>
      <c r="H1404">
        <v>0</v>
      </c>
      <c r="I1404">
        <v>54775.064167954501</v>
      </c>
      <c r="J1404">
        <v>0.88521693139050805</v>
      </c>
      <c r="K1404" t="str">
        <f t="shared" si="168"/>
        <v>OK</v>
      </c>
      <c r="L1404" t="str">
        <f t="shared" si="169"/>
        <v>OK</v>
      </c>
      <c r="M1404" t="str">
        <f>IF(OR(B1404&lt;$AE$20,B1404&gt;$AF$20),"Outlier","OK")</f>
        <v>OK</v>
      </c>
      <c r="N1404" t="str">
        <f>IF(OR(J1404&lt;$AE$21,J1404&gt;$AF$21),"Outlier","OK")</f>
        <v>OK</v>
      </c>
      <c r="O1404" t="str">
        <f>IF(OR(C1404&lt;0,C1404&gt;1),"Outlier","OK")</f>
        <v>OK</v>
      </c>
      <c r="P1404" t="str">
        <f>IF(OR(D1404&lt;0,D1404&gt;1),"Outlier","OK")</f>
        <v>Outlier</v>
      </c>
      <c r="Q1404" t="str">
        <f t="shared" si="170"/>
        <v>80-100%</v>
      </c>
      <c r="R1404" t="str">
        <f>IF(B1404="","Missing","OK")</f>
        <v>OK</v>
      </c>
      <c r="S1404" t="str">
        <f>IF(E1404="","Missing","OK")</f>
        <v>OK</v>
      </c>
      <c r="T1404" t="str">
        <f t="shared" si="171"/>
        <v>OK</v>
      </c>
      <c r="U1404">
        <f>COUNTIF($A:$A,A1404)</f>
        <v>1</v>
      </c>
      <c r="V1404" t="str">
        <f t="shared" si="172"/>
        <v>OK</v>
      </c>
      <c r="W1404" t="str">
        <f>IF(I1404&gt;B1404,"ERROR","OK")</f>
        <v>OK</v>
      </c>
      <c r="X1404">
        <f>(B1404-I1404)/B1404</f>
        <v>0.88521693139050828</v>
      </c>
      <c r="Y1404" s="2">
        <f t="shared" si="173"/>
        <v>2.2204460492503131E-16</v>
      </c>
      <c r="Z1404" s="2" t="str">
        <f t="shared" si="174"/>
        <v>OK</v>
      </c>
      <c r="AA1404" t="str">
        <f t="shared" si="175"/>
        <v>Unique</v>
      </c>
    </row>
    <row r="1405" spans="1:27" x14ac:dyDescent="0.3">
      <c r="A1405">
        <v>1404</v>
      </c>
      <c r="B1405">
        <v>1877857.0886251801</v>
      </c>
      <c r="C1405">
        <v>0.11887398610269199</v>
      </c>
      <c r="D1405">
        <v>-0.16215248191715001</v>
      </c>
      <c r="E1405">
        <v>0.18100100260986701</v>
      </c>
      <c r="F1405">
        <v>1</v>
      </c>
      <c r="G1405" t="s">
        <v>13</v>
      </c>
      <c r="H1405">
        <v>0</v>
      </c>
      <c r="I1405">
        <v>339894.01579920301</v>
      </c>
      <c r="J1405">
        <v>0.81899899739013204</v>
      </c>
      <c r="K1405" t="str">
        <f t="shared" si="168"/>
        <v>OK</v>
      </c>
      <c r="L1405" t="str">
        <f t="shared" si="169"/>
        <v>OK</v>
      </c>
      <c r="M1405" t="str">
        <f>IF(OR(B1405&lt;$AE$20,B1405&gt;$AF$20),"Outlier","OK")</f>
        <v>OK</v>
      </c>
      <c r="N1405" t="str">
        <f>IF(OR(J1405&lt;$AE$21,J1405&gt;$AF$21),"Outlier","OK")</f>
        <v>OK</v>
      </c>
      <c r="O1405" t="str">
        <f>IF(OR(C1405&lt;0,C1405&gt;1),"Outlier","OK")</f>
        <v>OK</v>
      </c>
      <c r="P1405" t="str">
        <f>IF(OR(D1405&lt;0,D1405&gt;1),"Outlier","OK")</f>
        <v>Outlier</v>
      </c>
      <c r="Q1405" t="str">
        <f t="shared" si="170"/>
        <v>80-100%</v>
      </c>
      <c r="R1405" t="str">
        <f>IF(B1405="","Missing","OK")</f>
        <v>OK</v>
      </c>
      <c r="S1405" t="str">
        <f>IF(E1405="","Missing","OK")</f>
        <v>OK</v>
      </c>
      <c r="T1405" t="str">
        <f t="shared" si="171"/>
        <v>OK</v>
      </c>
      <c r="U1405">
        <f>COUNTIF($A:$A,A1405)</f>
        <v>1</v>
      </c>
      <c r="V1405" t="str">
        <f t="shared" si="172"/>
        <v>OK</v>
      </c>
      <c r="W1405" t="str">
        <f>IF(I1405&gt;B1405,"ERROR","OK")</f>
        <v>OK</v>
      </c>
      <c r="X1405">
        <f>(B1405-I1405)/B1405</f>
        <v>0.81899899739013327</v>
      </c>
      <c r="Y1405" s="2">
        <f t="shared" si="173"/>
        <v>1.2212453270876722E-15</v>
      </c>
      <c r="Z1405" s="2" t="str">
        <f t="shared" si="174"/>
        <v>OK</v>
      </c>
      <c r="AA1405" t="str">
        <f t="shared" si="175"/>
        <v>Unique</v>
      </c>
    </row>
    <row r="1406" spans="1:27" x14ac:dyDescent="0.3">
      <c r="A1406">
        <v>1405</v>
      </c>
      <c r="B1406">
        <v>143463.752299035</v>
      </c>
      <c r="C1406">
        <v>0.68155558005618899</v>
      </c>
      <c r="D1406">
        <v>-0.18025266729042</v>
      </c>
      <c r="E1406">
        <v>0.42563348025470199</v>
      </c>
      <c r="F1406">
        <v>1</v>
      </c>
      <c r="G1406" t="s">
        <v>11</v>
      </c>
      <c r="H1406">
        <v>0</v>
      </c>
      <c r="I1406">
        <v>61062.976181437101</v>
      </c>
      <c r="J1406">
        <v>0.57436651974529696</v>
      </c>
      <c r="K1406" t="str">
        <f t="shared" si="168"/>
        <v>OK</v>
      </c>
      <c r="L1406" t="str">
        <f t="shared" si="169"/>
        <v>OK</v>
      </c>
      <c r="M1406" t="str">
        <f>IF(OR(B1406&lt;$AE$20,B1406&gt;$AF$20),"Outlier","OK")</f>
        <v>OK</v>
      </c>
      <c r="N1406" t="str">
        <f>IF(OR(J1406&lt;$AE$21,J1406&gt;$AF$21),"Outlier","OK")</f>
        <v>OK</v>
      </c>
      <c r="O1406" t="str">
        <f>IF(OR(C1406&lt;0,C1406&gt;1),"Outlier","OK")</f>
        <v>OK</v>
      </c>
      <c r="P1406" t="str">
        <f>IF(OR(D1406&lt;0,D1406&gt;1),"Outlier","OK")</f>
        <v>Outlier</v>
      </c>
      <c r="Q1406" t="str">
        <f t="shared" si="170"/>
        <v>40-60%</v>
      </c>
      <c r="R1406" t="str">
        <f>IF(B1406="","Missing","OK")</f>
        <v>OK</v>
      </c>
      <c r="S1406" t="str">
        <f>IF(E1406="","Missing","OK")</f>
        <v>OK</v>
      </c>
      <c r="T1406" t="str">
        <f t="shared" si="171"/>
        <v>OK</v>
      </c>
      <c r="U1406">
        <f>COUNTIF($A:$A,A1406)</f>
        <v>1</v>
      </c>
      <c r="V1406" t="str">
        <f t="shared" si="172"/>
        <v>OK</v>
      </c>
      <c r="W1406" t="str">
        <f>IF(I1406&gt;B1406,"ERROR","OK")</f>
        <v>OK</v>
      </c>
      <c r="X1406">
        <f>(B1406-I1406)/B1406</f>
        <v>0.57436651974529573</v>
      </c>
      <c r="Y1406" s="2">
        <f t="shared" si="173"/>
        <v>1.2212453270876722E-15</v>
      </c>
      <c r="Z1406" s="2" t="str">
        <f t="shared" si="174"/>
        <v>OK</v>
      </c>
      <c r="AA1406" t="str">
        <f t="shared" si="175"/>
        <v>Unique</v>
      </c>
    </row>
    <row r="1407" spans="1:27" x14ac:dyDescent="0.3">
      <c r="A1407">
        <v>1406</v>
      </c>
      <c r="B1407">
        <v>1768792.9956030799</v>
      </c>
      <c r="C1407">
        <v>0.59775340981047098</v>
      </c>
      <c r="D1407">
        <v>-2.4876031922370298E-3</v>
      </c>
      <c r="E1407">
        <v>0.18934793232276501</v>
      </c>
      <c r="F1407">
        <v>1</v>
      </c>
      <c r="G1407" t="s">
        <v>10</v>
      </c>
      <c r="H1407">
        <v>1</v>
      </c>
      <c r="I1407">
        <v>334917.296424434</v>
      </c>
      <c r="J1407">
        <v>0.81065206767723397</v>
      </c>
      <c r="K1407" t="str">
        <f t="shared" si="168"/>
        <v>OK</v>
      </c>
      <c r="L1407" t="str">
        <f t="shared" si="169"/>
        <v>OK</v>
      </c>
      <c r="M1407" t="str">
        <f>IF(OR(B1407&lt;$AE$20,B1407&gt;$AF$20),"Outlier","OK")</f>
        <v>OK</v>
      </c>
      <c r="N1407" t="str">
        <f>IF(OR(J1407&lt;$AE$21,J1407&gt;$AF$21),"Outlier","OK")</f>
        <v>OK</v>
      </c>
      <c r="O1407" t="str">
        <f>IF(OR(C1407&lt;0,C1407&gt;1),"Outlier","OK")</f>
        <v>OK</v>
      </c>
      <c r="P1407" t="str">
        <f>IF(OR(D1407&lt;0,D1407&gt;1),"Outlier","OK")</f>
        <v>Outlier</v>
      </c>
      <c r="Q1407" t="str">
        <f t="shared" si="170"/>
        <v>80-100%</v>
      </c>
      <c r="R1407" t="str">
        <f>IF(B1407="","Missing","OK")</f>
        <v>OK</v>
      </c>
      <c r="S1407" t="str">
        <f>IF(E1407="","Missing","OK")</f>
        <v>OK</v>
      </c>
      <c r="T1407" t="str">
        <f t="shared" si="171"/>
        <v>OK</v>
      </c>
      <c r="U1407">
        <f>COUNTIF($A:$A,A1407)</f>
        <v>1</v>
      </c>
      <c r="V1407" t="str">
        <f t="shared" si="172"/>
        <v>OK</v>
      </c>
      <c r="W1407" t="str">
        <f>IF(I1407&gt;B1407,"ERROR","OK")</f>
        <v>OK</v>
      </c>
      <c r="X1407">
        <f>(B1407-I1407)/B1407</f>
        <v>0.8106520676772343</v>
      </c>
      <c r="Y1407" s="2">
        <f t="shared" si="173"/>
        <v>3.3306690738754696E-16</v>
      </c>
      <c r="Z1407" s="2" t="str">
        <f t="shared" si="174"/>
        <v>OK</v>
      </c>
      <c r="AA1407" t="str">
        <f t="shared" si="175"/>
        <v>Unique</v>
      </c>
    </row>
    <row r="1408" spans="1:27" x14ac:dyDescent="0.3">
      <c r="A1408">
        <v>1407</v>
      </c>
      <c r="B1408">
        <v>940589.41871438897</v>
      </c>
      <c r="C1408">
        <v>0.50501355881697496</v>
      </c>
      <c r="D1408">
        <v>9.5503131657770607E-2</v>
      </c>
      <c r="E1408">
        <v>0.30861519610125199</v>
      </c>
      <c r="F1408">
        <v>1</v>
      </c>
      <c r="G1408" t="s">
        <v>12</v>
      </c>
      <c r="H1408">
        <v>0</v>
      </c>
      <c r="I1408">
        <v>290280.18790730397</v>
      </c>
      <c r="J1408">
        <v>0.69138480389874701</v>
      </c>
      <c r="K1408" t="str">
        <f t="shared" si="168"/>
        <v>OK</v>
      </c>
      <c r="L1408" t="str">
        <f t="shared" si="169"/>
        <v>OK</v>
      </c>
      <c r="M1408" t="str">
        <f>IF(OR(B1408&lt;$AE$20,B1408&gt;$AF$20),"Outlier","OK")</f>
        <v>OK</v>
      </c>
      <c r="N1408" t="str">
        <f>IF(OR(J1408&lt;$AE$21,J1408&gt;$AF$21),"Outlier","OK")</f>
        <v>OK</v>
      </c>
      <c r="O1408" t="str">
        <f>IF(OR(C1408&lt;0,C1408&gt;1),"Outlier","OK")</f>
        <v>OK</v>
      </c>
      <c r="P1408" t="str">
        <f>IF(OR(D1408&lt;0,D1408&gt;1),"Outlier","OK")</f>
        <v>OK</v>
      </c>
      <c r="Q1408" t="str">
        <f t="shared" si="170"/>
        <v>60-80%</v>
      </c>
      <c r="R1408" t="str">
        <f>IF(B1408="","Missing","OK")</f>
        <v>OK</v>
      </c>
      <c r="S1408" t="str">
        <f>IF(E1408="","Missing","OK")</f>
        <v>OK</v>
      </c>
      <c r="T1408" t="str">
        <f t="shared" si="171"/>
        <v>OK</v>
      </c>
      <c r="U1408">
        <f>COUNTIF($A:$A,A1408)</f>
        <v>1</v>
      </c>
      <c r="V1408" t="str">
        <f t="shared" si="172"/>
        <v>OK</v>
      </c>
      <c r="W1408" t="str">
        <f>IF(I1408&gt;B1408,"ERROR","OK")</f>
        <v>OK</v>
      </c>
      <c r="X1408">
        <f>(B1408-I1408)/B1408</f>
        <v>0.6913848038987479</v>
      </c>
      <c r="Y1408" s="2">
        <f t="shared" si="173"/>
        <v>8.8817841970012523E-16</v>
      </c>
      <c r="Z1408" s="2" t="str">
        <f t="shared" si="174"/>
        <v>OK</v>
      </c>
      <c r="AA1408" t="str">
        <f t="shared" si="175"/>
        <v>Unique</v>
      </c>
    </row>
    <row r="1409" spans="1:27" x14ac:dyDescent="0.3">
      <c r="A1409">
        <v>1408</v>
      </c>
      <c r="B1409">
        <v>1670777.1093144999</v>
      </c>
      <c r="C1409">
        <v>0.73184355821146196</v>
      </c>
      <c r="D1409">
        <v>-3.9139758490394201E-2</v>
      </c>
      <c r="E1409">
        <v>0.13411315447848601</v>
      </c>
      <c r="F1409">
        <v>1</v>
      </c>
      <c r="G1409" t="s">
        <v>10</v>
      </c>
      <c r="H1409">
        <v>0</v>
      </c>
      <c r="I1409">
        <v>224073.188560615</v>
      </c>
      <c r="J1409">
        <v>0.86588684552151296</v>
      </c>
      <c r="K1409" t="str">
        <f t="shared" si="168"/>
        <v>OK</v>
      </c>
      <c r="L1409" t="str">
        <f t="shared" si="169"/>
        <v>OK</v>
      </c>
      <c r="M1409" t="str">
        <f>IF(OR(B1409&lt;$AE$20,B1409&gt;$AF$20),"Outlier","OK")</f>
        <v>OK</v>
      </c>
      <c r="N1409" t="str">
        <f>IF(OR(J1409&lt;$AE$21,J1409&gt;$AF$21),"Outlier","OK")</f>
        <v>OK</v>
      </c>
      <c r="O1409" t="str">
        <f>IF(OR(C1409&lt;0,C1409&gt;1),"Outlier","OK")</f>
        <v>OK</v>
      </c>
      <c r="P1409" t="str">
        <f>IF(OR(D1409&lt;0,D1409&gt;1),"Outlier","OK")</f>
        <v>Outlier</v>
      </c>
      <c r="Q1409" t="str">
        <f t="shared" si="170"/>
        <v>80-100%</v>
      </c>
      <c r="R1409" t="str">
        <f>IF(B1409="","Missing","OK")</f>
        <v>OK</v>
      </c>
      <c r="S1409" t="str">
        <f>IF(E1409="","Missing","OK")</f>
        <v>OK</v>
      </c>
      <c r="T1409" t="str">
        <f t="shared" si="171"/>
        <v>OK</v>
      </c>
      <c r="U1409">
        <f>COUNTIF($A:$A,A1409)</f>
        <v>1</v>
      </c>
      <c r="V1409" t="str">
        <f t="shared" si="172"/>
        <v>OK</v>
      </c>
      <c r="W1409" t="str">
        <f>IF(I1409&gt;B1409,"ERROR","OK")</f>
        <v>OK</v>
      </c>
      <c r="X1409">
        <f>(B1409-I1409)/B1409</f>
        <v>0.86588684552151329</v>
      </c>
      <c r="Y1409" s="2">
        <f t="shared" si="173"/>
        <v>3.3306690738754696E-16</v>
      </c>
      <c r="Z1409" s="2" t="str">
        <f t="shared" si="174"/>
        <v>OK</v>
      </c>
      <c r="AA1409" t="str">
        <f t="shared" si="175"/>
        <v>Unique</v>
      </c>
    </row>
    <row r="1410" spans="1:27" x14ac:dyDescent="0.3">
      <c r="A1410">
        <v>1409</v>
      </c>
      <c r="B1410">
        <v>582430.53216072998</v>
      </c>
      <c r="C1410">
        <v>0.71320079727124097</v>
      </c>
      <c r="D1410">
        <v>-0.112865774246955</v>
      </c>
      <c r="E1410">
        <v>0.20043230200731199</v>
      </c>
      <c r="F1410">
        <v>1</v>
      </c>
      <c r="G1410" t="s">
        <v>12</v>
      </c>
      <c r="H1410">
        <v>0</v>
      </c>
      <c r="I1410">
        <v>116737.89232031901</v>
      </c>
      <c r="J1410">
        <v>0.79956769799268701</v>
      </c>
      <c r="K1410" t="str">
        <f t="shared" si="168"/>
        <v>OK</v>
      </c>
      <c r="L1410" t="str">
        <f t="shared" si="169"/>
        <v>OK</v>
      </c>
      <c r="M1410" t="str">
        <f>IF(OR(B1410&lt;$AE$20,B1410&gt;$AF$20),"Outlier","OK")</f>
        <v>OK</v>
      </c>
      <c r="N1410" t="str">
        <f>IF(OR(J1410&lt;$AE$21,J1410&gt;$AF$21),"Outlier","OK")</f>
        <v>OK</v>
      </c>
      <c r="O1410" t="str">
        <f>IF(OR(C1410&lt;0,C1410&gt;1),"Outlier","OK")</f>
        <v>OK</v>
      </c>
      <c r="P1410" t="str">
        <f>IF(OR(D1410&lt;0,D1410&gt;1),"Outlier","OK")</f>
        <v>Outlier</v>
      </c>
      <c r="Q1410" t="str">
        <f t="shared" si="170"/>
        <v>60-80%</v>
      </c>
      <c r="R1410" t="str">
        <f>IF(B1410="","Missing","OK")</f>
        <v>OK</v>
      </c>
      <c r="S1410" t="str">
        <f>IF(E1410="","Missing","OK")</f>
        <v>OK</v>
      </c>
      <c r="T1410" t="str">
        <f t="shared" si="171"/>
        <v>OK</v>
      </c>
      <c r="U1410">
        <f>COUNTIF($A:$A,A1410)</f>
        <v>1</v>
      </c>
      <c r="V1410" t="str">
        <f t="shared" si="172"/>
        <v>OK</v>
      </c>
      <c r="W1410" t="str">
        <f>IF(I1410&gt;B1410,"ERROR","OK")</f>
        <v>OK</v>
      </c>
      <c r="X1410">
        <f>(B1410-I1410)/B1410</f>
        <v>0.79956769799268779</v>
      </c>
      <c r="Y1410" s="2">
        <f t="shared" si="173"/>
        <v>7.7715611723760958E-16</v>
      </c>
      <c r="Z1410" s="2" t="str">
        <f t="shared" si="174"/>
        <v>OK</v>
      </c>
      <c r="AA1410" t="str">
        <f t="shared" si="175"/>
        <v>Unique</v>
      </c>
    </row>
    <row r="1411" spans="1:27" x14ac:dyDescent="0.3">
      <c r="A1411">
        <v>1410</v>
      </c>
      <c r="B1411">
        <v>1521982.9516777</v>
      </c>
      <c r="C1411">
        <v>0.62777017952984704</v>
      </c>
      <c r="D1411">
        <v>-0.12469891200987</v>
      </c>
      <c r="E1411">
        <v>0.145832282932122</v>
      </c>
      <c r="F1411">
        <v>1</v>
      </c>
      <c r="G1411" t="s">
        <v>13</v>
      </c>
      <c r="H1411">
        <v>1</v>
      </c>
      <c r="I1411">
        <v>221954.248426929</v>
      </c>
      <c r="J1411">
        <v>0.85416771706787697</v>
      </c>
      <c r="K1411" t="str">
        <f t="shared" ref="K1411:K1474" si="176">IF(OR(J1411&lt;0,J1411&gt;1),"Error","OK")</f>
        <v>OK</v>
      </c>
      <c r="L1411" t="str">
        <f t="shared" ref="L1411:L1474" si="177">IF(I1411&gt;B1411,"Error","OK")</f>
        <v>OK</v>
      </c>
      <c r="M1411" t="str">
        <f>IF(OR(B1411&lt;$AE$20,B1411&gt;$AF$20),"Outlier","OK")</f>
        <v>OK</v>
      </c>
      <c r="N1411" t="str">
        <f>IF(OR(J1411&lt;$AE$21,J1411&gt;$AF$21),"Outlier","OK")</f>
        <v>OK</v>
      </c>
      <c r="O1411" t="str">
        <f>IF(OR(C1411&lt;0,C1411&gt;1),"Outlier","OK")</f>
        <v>OK</v>
      </c>
      <c r="P1411" t="str">
        <f>IF(OR(D1411&lt;0,D1411&gt;1),"Outlier","OK")</f>
        <v>Outlier</v>
      </c>
      <c r="Q1411" t="str">
        <f t="shared" ref="Q1411:Q1474" si="178">IF(J1411&lt;=0.2,"0-20%",
 IF(J1411&lt;=0.4,"20-40%",
 IF(J1411&lt;=0.6,"40-60%",
 IF(J1411&lt;=0.8,"60-80%","80-100%"))))</f>
        <v>80-100%</v>
      </c>
      <c r="R1411" t="str">
        <f>IF(B1411="","Missing","OK")</f>
        <v>OK</v>
      </c>
      <c r="S1411" t="str">
        <f>IF(E1411="","Missing","OK")</f>
        <v>OK</v>
      </c>
      <c r="T1411" t="str">
        <f t="shared" ref="T1411:T1474" si="179">IF(J1411="","Missing","OK")</f>
        <v>OK</v>
      </c>
      <c r="U1411">
        <f>COUNTIF($A:$A,A1411)</f>
        <v>1</v>
      </c>
      <c r="V1411" t="str">
        <f t="shared" ref="V1411:V1474" si="180">IF(OR(J1411&lt;0,J1411&gt;1),"ERROR","OK")</f>
        <v>OK</v>
      </c>
      <c r="W1411" t="str">
        <f>IF(I1411&gt;B1411,"ERROR","OK")</f>
        <v>OK</v>
      </c>
      <c r="X1411">
        <f>(B1411-I1411)/B1411</f>
        <v>0.85416771706787764</v>
      </c>
      <c r="Y1411" s="2">
        <f t="shared" ref="Y1411:Y1474" si="181">ABS(J1411-X1411)</f>
        <v>6.6613381477509392E-16</v>
      </c>
      <c r="Z1411" s="2" t="str">
        <f t="shared" ref="Z1411:Z1474" si="182">IF(OR(B1411="",I1411="",J1411=""),"Missing","OK")</f>
        <v>OK</v>
      </c>
      <c r="AA1411" t="str">
        <f t="shared" ref="AA1411:AA1474" si="183">IF(COUNTIF($A:$A,A1411)&gt;1,"Duplicate","Unique")</f>
        <v>Unique</v>
      </c>
    </row>
    <row r="1412" spans="1:27" x14ac:dyDescent="0.3">
      <c r="A1412">
        <v>1411</v>
      </c>
      <c r="B1412">
        <v>1619164.8164099101</v>
      </c>
      <c r="C1412">
        <v>0.38885797540601502</v>
      </c>
      <c r="D1412">
        <v>-2.1463182904917701E-2</v>
      </c>
      <c r="E1412">
        <v>0.30504735608021499</v>
      </c>
      <c r="F1412">
        <v>1</v>
      </c>
      <c r="G1412" t="s">
        <v>10</v>
      </c>
      <c r="H1412">
        <v>0</v>
      </c>
      <c r="I1412">
        <v>493921.94630395202</v>
      </c>
      <c r="J1412">
        <v>0.69495264391978395</v>
      </c>
      <c r="K1412" t="str">
        <f t="shared" si="176"/>
        <v>OK</v>
      </c>
      <c r="L1412" t="str">
        <f t="shared" si="177"/>
        <v>OK</v>
      </c>
      <c r="M1412" t="str">
        <f>IF(OR(B1412&lt;$AE$20,B1412&gt;$AF$20),"Outlier","OK")</f>
        <v>OK</v>
      </c>
      <c r="N1412" t="str">
        <f>IF(OR(J1412&lt;$AE$21,J1412&gt;$AF$21),"Outlier","OK")</f>
        <v>OK</v>
      </c>
      <c r="O1412" t="str">
        <f>IF(OR(C1412&lt;0,C1412&gt;1),"Outlier","OK")</f>
        <v>OK</v>
      </c>
      <c r="P1412" t="str">
        <f>IF(OR(D1412&lt;0,D1412&gt;1),"Outlier","OK")</f>
        <v>Outlier</v>
      </c>
      <c r="Q1412" t="str">
        <f t="shared" si="178"/>
        <v>60-80%</v>
      </c>
      <c r="R1412" t="str">
        <f>IF(B1412="","Missing","OK")</f>
        <v>OK</v>
      </c>
      <c r="S1412" t="str">
        <f>IF(E1412="","Missing","OK")</f>
        <v>OK</v>
      </c>
      <c r="T1412" t="str">
        <f t="shared" si="179"/>
        <v>OK</v>
      </c>
      <c r="U1412">
        <f>COUNTIF($A:$A,A1412)</f>
        <v>1</v>
      </c>
      <c r="V1412" t="str">
        <f t="shared" si="180"/>
        <v>OK</v>
      </c>
      <c r="W1412" t="str">
        <f>IF(I1412&gt;B1412,"ERROR","OK")</f>
        <v>OK</v>
      </c>
      <c r="X1412">
        <f>(B1412-I1412)/B1412</f>
        <v>0.69495264391978362</v>
      </c>
      <c r="Y1412" s="2">
        <f t="shared" si="181"/>
        <v>3.3306690738754696E-16</v>
      </c>
      <c r="Z1412" s="2" t="str">
        <f t="shared" si="182"/>
        <v>OK</v>
      </c>
      <c r="AA1412" t="str">
        <f t="shared" si="183"/>
        <v>Unique</v>
      </c>
    </row>
    <row r="1413" spans="1:27" x14ac:dyDescent="0.3">
      <c r="A1413">
        <v>1412</v>
      </c>
      <c r="B1413">
        <v>207827.874588279</v>
      </c>
      <c r="C1413">
        <v>0.473227590794572</v>
      </c>
      <c r="D1413">
        <v>-6.1475002727650198E-2</v>
      </c>
      <c r="E1413">
        <v>1.1012715074785E-2</v>
      </c>
      <c r="F1413">
        <v>1</v>
      </c>
      <c r="G1413" t="s">
        <v>10</v>
      </c>
      <c r="H1413">
        <v>1</v>
      </c>
      <c r="I1413">
        <v>2288.7491674388798</v>
      </c>
      <c r="J1413">
        <v>0.98898728492521404</v>
      </c>
      <c r="K1413" t="str">
        <f t="shared" si="176"/>
        <v>OK</v>
      </c>
      <c r="L1413" t="str">
        <f t="shared" si="177"/>
        <v>OK</v>
      </c>
      <c r="M1413" t="str">
        <f>IF(OR(B1413&lt;$AE$20,B1413&gt;$AF$20),"Outlier","OK")</f>
        <v>OK</v>
      </c>
      <c r="N1413" t="str">
        <f>IF(OR(J1413&lt;$AE$21,J1413&gt;$AF$21),"Outlier","OK")</f>
        <v>Outlier</v>
      </c>
      <c r="O1413" t="str">
        <f>IF(OR(C1413&lt;0,C1413&gt;1),"Outlier","OK")</f>
        <v>OK</v>
      </c>
      <c r="P1413" t="str">
        <f>IF(OR(D1413&lt;0,D1413&gt;1),"Outlier","OK")</f>
        <v>Outlier</v>
      </c>
      <c r="Q1413" t="str">
        <f t="shared" si="178"/>
        <v>80-100%</v>
      </c>
      <c r="R1413" t="str">
        <f>IF(B1413="","Missing","OK")</f>
        <v>OK</v>
      </c>
      <c r="S1413" t="str">
        <f>IF(E1413="","Missing","OK")</f>
        <v>OK</v>
      </c>
      <c r="T1413" t="str">
        <f t="shared" si="179"/>
        <v>OK</v>
      </c>
      <c r="U1413">
        <f>COUNTIF($A:$A,A1413)</f>
        <v>1</v>
      </c>
      <c r="V1413" t="str">
        <f t="shared" si="180"/>
        <v>OK</v>
      </c>
      <c r="W1413" t="str">
        <f>IF(I1413&gt;B1413,"ERROR","OK")</f>
        <v>OK</v>
      </c>
      <c r="X1413">
        <f>(B1413-I1413)/B1413</f>
        <v>0.98898728492521493</v>
      </c>
      <c r="Y1413" s="2">
        <f t="shared" si="181"/>
        <v>8.8817841970012523E-16</v>
      </c>
      <c r="Z1413" s="2" t="str">
        <f t="shared" si="182"/>
        <v>OK</v>
      </c>
      <c r="AA1413" t="str">
        <f t="shared" si="183"/>
        <v>Unique</v>
      </c>
    </row>
    <row r="1414" spans="1:27" x14ac:dyDescent="0.3">
      <c r="A1414">
        <v>1413</v>
      </c>
      <c r="B1414">
        <v>1833108.19846765</v>
      </c>
      <c r="C1414">
        <v>0.51173621982647499</v>
      </c>
      <c r="D1414">
        <v>-9.2582307951196402E-2</v>
      </c>
      <c r="E1414">
        <v>7.9122084749720295E-2</v>
      </c>
      <c r="F1414">
        <v>1</v>
      </c>
      <c r="G1414" t="s">
        <v>12</v>
      </c>
      <c r="H1414">
        <v>0</v>
      </c>
      <c r="I1414">
        <v>145039.34223456401</v>
      </c>
      <c r="J1414">
        <v>0.92087791525027896</v>
      </c>
      <c r="K1414" t="str">
        <f t="shared" si="176"/>
        <v>OK</v>
      </c>
      <c r="L1414" t="str">
        <f t="shared" si="177"/>
        <v>OK</v>
      </c>
      <c r="M1414" t="str">
        <f>IF(OR(B1414&lt;$AE$20,B1414&gt;$AF$20),"Outlier","OK")</f>
        <v>OK</v>
      </c>
      <c r="N1414" t="str">
        <f>IF(OR(J1414&lt;$AE$21,J1414&gt;$AF$21),"Outlier","OK")</f>
        <v>OK</v>
      </c>
      <c r="O1414" t="str">
        <f>IF(OR(C1414&lt;0,C1414&gt;1),"Outlier","OK")</f>
        <v>OK</v>
      </c>
      <c r="P1414" t="str">
        <f>IF(OR(D1414&lt;0,D1414&gt;1),"Outlier","OK")</f>
        <v>Outlier</v>
      </c>
      <c r="Q1414" t="str">
        <f t="shared" si="178"/>
        <v>80-100%</v>
      </c>
      <c r="R1414" t="str">
        <f>IF(B1414="","Missing","OK")</f>
        <v>OK</v>
      </c>
      <c r="S1414" t="str">
        <f>IF(E1414="","Missing","OK")</f>
        <v>OK</v>
      </c>
      <c r="T1414" t="str">
        <f t="shared" si="179"/>
        <v>OK</v>
      </c>
      <c r="U1414">
        <f>COUNTIF($A:$A,A1414)</f>
        <v>1</v>
      </c>
      <c r="V1414" t="str">
        <f t="shared" si="180"/>
        <v>OK</v>
      </c>
      <c r="W1414" t="str">
        <f>IF(I1414&gt;B1414,"ERROR","OK")</f>
        <v>OK</v>
      </c>
      <c r="X1414">
        <f>(B1414-I1414)/B1414</f>
        <v>0.92087791525027995</v>
      </c>
      <c r="Y1414" s="2">
        <f t="shared" si="181"/>
        <v>9.9920072216264089E-16</v>
      </c>
      <c r="Z1414" s="2" t="str">
        <f t="shared" si="182"/>
        <v>OK</v>
      </c>
      <c r="AA1414" t="str">
        <f t="shared" si="183"/>
        <v>Unique</v>
      </c>
    </row>
    <row r="1415" spans="1:27" x14ac:dyDescent="0.3">
      <c r="A1415">
        <v>1414</v>
      </c>
      <c r="B1415">
        <v>1643638.66507148</v>
      </c>
      <c r="C1415">
        <v>0.62672101485812404</v>
      </c>
      <c r="D1415">
        <v>-0.134998065851857</v>
      </c>
      <c r="E1415">
        <v>0.17247693564078401</v>
      </c>
      <c r="F1415">
        <v>1</v>
      </c>
      <c r="G1415" t="s">
        <v>11</v>
      </c>
      <c r="H1415">
        <v>0</v>
      </c>
      <c r="I1415">
        <v>283489.76025223802</v>
      </c>
      <c r="J1415">
        <v>0.82752306435921497</v>
      </c>
      <c r="K1415" t="str">
        <f t="shared" si="176"/>
        <v>OK</v>
      </c>
      <c r="L1415" t="str">
        <f t="shared" si="177"/>
        <v>OK</v>
      </c>
      <c r="M1415" t="str">
        <f>IF(OR(B1415&lt;$AE$20,B1415&gt;$AF$20),"Outlier","OK")</f>
        <v>OK</v>
      </c>
      <c r="N1415" t="str">
        <f>IF(OR(J1415&lt;$AE$21,J1415&gt;$AF$21),"Outlier","OK")</f>
        <v>OK</v>
      </c>
      <c r="O1415" t="str">
        <f>IF(OR(C1415&lt;0,C1415&gt;1),"Outlier","OK")</f>
        <v>OK</v>
      </c>
      <c r="P1415" t="str">
        <f>IF(OR(D1415&lt;0,D1415&gt;1),"Outlier","OK")</f>
        <v>Outlier</v>
      </c>
      <c r="Q1415" t="str">
        <f t="shared" si="178"/>
        <v>80-100%</v>
      </c>
      <c r="R1415" t="str">
        <f>IF(B1415="","Missing","OK")</f>
        <v>OK</v>
      </c>
      <c r="S1415" t="str">
        <f>IF(E1415="","Missing","OK")</f>
        <v>OK</v>
      </c>
      <c r="T1415" t="str">
        <f t="shared" si="179"/>
        <v>OK</v>
      </c>
      <c r="U1415">
        <f>COUNTIF($A:$A,A1415)</f>
        <v>1</v>
      </c>
      <c r="V1415" t="str">
        <f t="shared" si="180"/>
        <v>OK</v>
      </c>
      <c r="W1415" t="str">
        <f>IF(I1415&gt;B1415,"ERROR","OK")</f>
        <v>OK</v>
      </c>
      <c r="X1415">
        <f>(B1415-I1415)/B1415</f>
        <v>0.82752306435921585</v>
      </c>
      <c r="Y1415" s="2">
        <f t="shared" si="181"/>
        <v>8.8817841970012523E-16</v>
      </c>
      <c r="Z1415" s="2" t="str">
        <f t="shared" si="182"/>
        <v>OK</v>
      </c>
      <c r="AA1415" t="str">
        <f t="shared" si="183"/>
        <v>Unique</v>
      </c>
    </row>
    <row r="1416" spans="1:27" x14ac:dyDescent="0.3">
      <c r="A1416">
        <v>1415</v>
      </c>
      <c r="B1416">
        <v>1211150.9581460899</v>
      </c>
      <c r="C1416">
        <v>0.85806203991404295</v>
      </c>
      <c r="D1416">
        <v>-4.20664093732942E-2</v>
      </c>
      <c r="E1416">
        <v>0.17996597362960701</v>
      </c>
      <c r="F1416">
        <v>1</v>
      </c>
      <c r="G1416" t="s">
        <v>10</v>
      </c>
      <c r="H1416">
        <v>1</v>
      </c>
      <c r="I1416">
        <v>217965.96139519301</v>
      </c>
      <c r="J1416">
        <v>0.82003402637039202</v>
      </c>
      <c r="K1416" t="str">
        <f t="shared" si="176"/>
        <v>OK</v>
      </c>
      <c r="L1416" t="str">
        <f t="shared" si="177"/>
        <v>OK</v>
      </c>
      <c r="M1416" t="str">
        <f>IF(OR(B1416&lt;$AE$20,B1416&gt;$AF$20),"Outlier","OK")</f>
        <v>OK</v>
      </c>
      <c r="N1416" t="str">
        <f>IF(OR(J1416&lt;$AE$21,J1416&gt;$AF$21),"Outlier","OK")</f>
        <v>OK</v>
      </c>
      <c r="O1416" t="str">
        <f>IF(OR(C1416&lt;0,C1416&gt;1),"Outlier","OK")</f>
        <v>OK</v>
      </c>
      <c r="P1416" t="str">
        <f>IF(OR(D1416&lt;0,D1416&gt;1),"Outlier","OK")</f>
        <v>Outlier</v>
      </c>
      <c r="Q1416" t="str">
        <f t="shared" si="178"/>
        <v>80-100%</v>
      </c>
      <c r="R1416" t="str">
        <f>IF(B1416="","Missing","OK")</f>
        <v>OK</v>
      </c>
      <c r="S1416" t="str">
        <f>IF(E1416="","Missing","OK")</f>
        <v>OK</v>
      </c>
      <c r="T1416" t="str">
        <f t="shared" si="179"/>
        <v>OK</v>
      </c>
      <c r="U1416">
        <f>COUNTIF($A:$A,A1416)</f>
        <v>1</v>
      </c>
      <c r="V1416" t="str">
        <f t="shared" si="180"/>
        <v>OK</v>
      </c>
      <c r="W1416" t="str">
        <f>IF(I1416&gt;B1416,"ERROR","OK")</f>
        <v>OK</v>
      </c>
      <c r="X1416">
        <f>(B1416-I1416)/B1416</f>
        <v>0.82003402637039258</v>
      </c>
      <c r="Y1416" s="2">
        <f t="shared" si="181"/>
        <v>5.5511151231257827E-16</v>
      </c>
      <c r="Z1416" s="2" t="str">
        <f t="shared" si="182"/>
        <v>OK</v>
      </c>
      <c r="AA1416" t="str">
        <f t="shared" si="183"/>
        <v>Unique</v>
      </c>
    </row>
    <row r="1417" spans="1:27" x14ac:dyDescent="0.3">
      <c r="A1417">
        <v>1416</v>
      </c>
      <c r="B1417">
        <v>1430462.3299034899</v>
      </c>
      <c r="C1417">
        <v>0.65426680344202903</v>
      </c>
      <c r="D1417">
        <v>4.2782458587468403E-2</v>
      </c>
      <c r="E1417">
        <v>0.11531720127791301</v>
      </c>
      <c r="F1417">
        <v>1</v>
      </c>
      <c r="G1417" t="s">
        <v>10</v>
      </c>
      <c r="H1417">
        <v>0</v>
      </c>
      <c r="I1417">
        <v>164956.91241795401</v>
      </c>
      <c r="J1417">
        <v>0.88468279872208599</v>
      </c>
      <c r="K1417" t="str">
        <f t="shared" si="176"/>
        <v>OK</v>
      </c>
      <c r="L1417" t="str">
        <f t="shared" si="177"/>
        <v>OK</v>
      </c>
      <c r="M1417" t="str">
        <f>IF(OR(B1417&lt;$AE$20,B1417&gt;$AF$20),"Outlier","OK")</f>
        <v>OK</v>
      </c>
      <c r="N1417" t="str">
        <f>IF(OR(J1417&lt;$AE$21,J1417&gt;$AF$21),"Outlier","OK")</f>
        <v>OK</v>
      </c>
      <c r="O1417" t="str">
        <f>IF(OR(C1417&lt;0,C1417&gt;1),"Outlier","OK")</f>
        <v>OK</v>
      </c>
      <c r="P1417" t="str">
        <f>IF(OR(D1417&lt;0,D1417&gt;1),"Outlier","OK")</f>
        <v>OK</v>
      </c>
      <c r="Q1417" t="str">
        <f t="shared" si="178"/>
        <v>80-100%</v>
      </c>
      <c r="R1417" t="str">
        <f>IF(B1417="","Missing","OK")</f>
        <v>OK</v>
      </c>
      <c r="S1417" t="str">
        <f>IF(E1417="","Missing","OK")</f>
        <v>OK</v>
      </c>
      <c r="T1417" t="str">
        <f t="shared" si="179"/>
        <v>OK</v>
      </c>
      <c r="U1417">
        <f>COUNTIF($A:$A,A1417)</f>
        <v>1</v>
      </c>
      <c r="V1417" t="str">
        <f t="shared" si="180"/>
        <v>OK</v>
      </c>
      <c r="W1417" t="str">
        <f>IF(I1417&gt;B1417,"ERROR","OK")</f>
        <v>OK</v>
      </c>
      <c r="X1417">
        <f>(B1417-I1417)/B1417</f>
        <v>0.88468279872208633</v>
      </c>
      <c r="Y1417" s="2">
        <f t="shared" si="181"/>
        <v>3.3306690738754696E-16</v>
      </c>
      <c r="Z1417" s="2" t="str">
        <f t="shared" si="182"/>
        <v>OK</v>
      </c>
      <c r="AA1417" t="str">
        <f t="shared" si="183"/>
        <v>Unique</v>
      </c>
    </row>
    <row r="1418" spans="1:27" x14ac:dyDescent="0.3">
      <c r="A1418">
        <v>1417</v>
      </c>
      <c r="B1418">
        <v>724349.55234078795</v>
      </c>
      <c r="C1418">
        <v>0.43994495200896799</v>
      </c>
      <c r="D1418">
        <v>-2.1879631193294901E-2</v>
      </c>
      <c r="E1418">
        <v>7.9788549669765604E-2</v>
      </c>
      <c r="F1418">
        <v>1</v>
      </c>
      <c r="G1418" t="s">
        <v>11</v>
      </c>
      <c r="H1418">
        <v>1</v>
      </c>
      <c r="I1418">
        <v>57794.8002352154</v>
      </c>
      <c r="J1418">
        <v>0.92021145033023399</v>
      </c>
      <c r="K1418" t="str">
        <f t="shared" si="176"/>
        <v>OK</v>
      </c>
      <c r="L1418" t="str">
        <f t="shared" si="177"/>
        <v>OK</v>
      </c>
      <c r="M1418" t="str">
        <f>IF(OR(B1418&lt;$AE$20,B1418&gt;$AF$20),"Outlier","OK")</f>
        <v>OK</v>
      </c>
      <c r="N1418" t="str">
        <f>IF(OR(J1418&lt;$AE$21,J1418&gt;$AF$21),"Outlier","OK")</f>
        <v>OK</v>
      </c>
      <c r="O1418" t="str">
        <f>IF(OR(C1418&lt;0,C1418&gt;1),"Outlier","OK")</f>
        <v>OK</v>
      </c>
      <c r="P1418" t="str">
        <f>IF(OR(D1418&lt;0,D1418&gt;1),"Outlier","OK")</f>
        <v>Outlier</v>
      </c>
      <c r="Q1418" t="str">
        <f t="shared" si="178"/>
        <v>80-100%</v>
      </c>
      <c r="R1418" t="str">
        <f>IF(B1418="","Missing","OK")</f>
        <v>OK</v>
      </c>
      <c r="S1418" t="str">
        <f>IF(E1418="","Missing","OK")</f>
        <v>OK</v>
      </c>
      <c r="T1418" t="str">
        <f t="shared" si="179"/>
        <v>OK</v>
      </c>
      <c r="U1418">
        <f>COUNTIF($A:$A,A1418)</f>
        <v>1</v>
      </c>
      <c r="V1418" t="str">
        <f t="shared" si="180"/>
        <v>OK</v>
      </c>
      <c r="W1418" t="str">
        <f>IF(I1418&gt;B1418,"ERROR","OK")</f>
        <v>OK</v>
      </c>
      <c r="X1418">
        <f>(B1418-I1418)/B1418</f>
        <v>0.92021145033023433</v>
      </c>
      <c r="Y1418" s="2">
        <f t="shared" si="181"/>
        <v>3.3306690738754696E-16</v>
      </c>
      <c r="Z1418" s="2" t="str">
        <f t="shared" si="182"/>
        <v>OK</v>
      </c>
      <c r="AA1418" t="str">
        <f t="shared" si="183"/>
        <v>Unique</v>
      </c>
    </row>
    <row r="1419" spans="1:27" x14ac:dyDescent="0.3">
      <c r="A1419">
        <v>1418</v>
      </c>
      <c r="B1419">
        <v>967592.70720403397</v>
      </c>
      <c r="C1419">
        <v>0.72894973208476799</v>
      </c>
      <c r="D1419">
        <v>3.0512230431265101E-2</v>
      </c>
      <c r="E1419">
        <v>0.270126248353381</v>
      </c>
      <c r="F1419">
        <v>1</v>
      </c>
      <c r="G1419" t="s">
        <v>13</v>
      </c>
      <c r="H1419">
        <v>1</v>
      </c>
      <c r="I1419">
        <v>261372.18793111801</v>
      </c>
      <c r="J1419">
        <v>0.72987375164661805</v>
      </c>
      <c r="K1419" t="str">
        <f t="shared" si="176"/>
        <v>OK</v>
      </c>
      <c r="L1419" t="str">
        <f t="shared" si="177"/>
        <v>OK</v>
      </c>
      <c r="M1419" t="str">
        <f>IF(OR(B1419&lt;$AE$20,B1419&gt;$AF$20),"Outlier","OK")</f>
        <v>OK</v>
      </c>
      <c r="N1419" t="str">
        <f>IF(OR(J1419&lt;$AE$21,J1419&gt;$AF$21),"Outlier","OK")</f>
        <v>OK</v>
      </c>
      <c r="O1419" t="str">
        <f>IF(OR(C1419&lt;0,C1419&gt;1),"Outlier","OK")</f>
        <v>OK</v>
      </c>
      <c r="P1419" t="str">
        <f>IF(OR(D1419&lt;0,D1419&gt;1),"Outlier","OK")</f>
        <v>OK</v>
      </c>
      <c r="Q1419" t="str">
        <f t="shared" si="178"/>
        <v>60-80%</v>
      </c>
      <c r="R1419" t="str">
        <f>IF(B1419="","Missing","OK")</f>
        <v>OK</v>
      </c>
      <c r="S1419" t="str">
        <f>IF(E1419="","Missing","OK")</f>
        <v>OK</v>
      </c>
      <c r="T1419" t="str">
        <f t="shared" si="179"/>
        <v>OK</v>
      </c>
      <c r="U1419">
        <f>COUNTIF($A:$A,A1419)</f>
        <v>1</v>
      </c>
      <c r="V1419" t="str">
        <f t="shared" si="180"/>
        <v>OK</v>
      </c>
      <c r="W1419" t="str">
        <f>IF(I1419&gt;B1419,"ERROR","OK")</f>
        <v>OK</v>
      </c>
      <c r="X1419">
        <f>(B1419-I1419)/B1419</f>
        <v>0.72987375164661816</v>
      </c>
      <c r="Y1419" s="2">
        <f t="shared" si="181"/>
        <v>1.1102230246251565E-16</v>
      </c>
      <c r="Z1419" s="2" t="str">
        <f t="shared" si="182"/>
        <v>OK</v>
      </c>
      <c r="AA1419" t="str">
        <f t="shared" si="183"/>
        <v>Unique</v>
      </c>
    </row>
    <row r="1420" spans="1:27" x14ac:dyDescent="0.3">
      <c r="A1420">
        <v>1419</v>
      </c>
      <c r="B1420">
        <v>337357.526237485</v>
      </c>
      <c r="C1420">
        <v>0.25015436173165301</v>
      </c>
      <c r="D1420">
        <v>2.8445242520109201E-2</v>
      </c>
      <c r="E1420">
        <v>9.0176017695988195E-2</v>
      </c>
      <c r="F1420">
        <v>1</v>
      </c>
      <c r="G1420" t="s">
        <v>11</v>
      </c>
      <c r="H1420">
        <v>1</v>
      </c>
      <c r="I1420">
        <v>30421.558255866301</v>
      </c>
      <c r="J1420">
        <v>0.90982398230401096</v>
      </c>
      <c r="K1420" t="str">
        <f t="shared" si="176"/>
        <v>OK</v>
      </c>
      <c r="L1420" t="str">
        <f t="shared" si="177"/>
        <v>OK</v>
      </c>
      <c r="M1420" t="str">
        <f>IF(OR(B1420&lt;$AE$20,B1420&gt;$AF$20),"Outlier","OK")</f>
        <v>OK</v>
      </c>
      <c r="N1420" t="str">
        <f>IF(OR(J1420&lt;$AE$21,J1420&gt;$AF$21),"Outlier","OK")</f>
        <v>OK</v>
      </c>
      <c r="O1420" t="str">
        <f>IF(OR(C1420&lt;0,C1420&gt;1),"Outlier","OK")</f>
        <v>OK</v>
      </c>
      <c r="P1420" t="str">
        <f>IF(OR(D1420&lt;0,D1420&gt;1),"Outlier","OK")</f>
        <v>OK</v>
      </c>
      <c r="Q1420" t="str">
        <f t="shared" si="178"/>
        <v>80-100%</v>
      </c>
      <c r="R1420" t="str">
        <f>IF(B1420="","Missing","OK")</f>
        <v>OK</v>
      </c>
      <c r="S1420" t="str">
        <f>IF(E1420="","Missing","OK")</f>
        <v>OK</v>
      </c>
      <c r="T1420" t="str">
        <f t="shared" si="179"/>
        <v>OK</v>
      </c>
      <c r="U1420">
        <f>COUNTIF($A:$A,A1420)</f>
        <v>1</v>
      </c>
      <c r="V1420" t="str">
        <f t="shared" si="180"/>
        <v>OK</v>
      </c>
      <c r="W1420" t="str">
        <f>IF(I1420&gt;B1420,"ERROR","OK")</f>
        <v>OK</v>
      </c>
      <c r="X1420">
        <f>(B1420-I1420)/B1420</f>
        <v>0.90982398230401174</v>
      </c>
      <c r="Y1420" s="2">
        <f t="shared" si="181"/>
        <v>7.7715611723760958E-16</v>
      </c>
      <c r="Z1420" s="2" t="str">
        <f t="shared" si="182"/>
        <v>OK</v>
      </c>
      <c r="AA1420" t="str">
        <f t="shared" si="183"/>
        <v>Unique</v>
      </c>
    </row>
    <row r="1421" spans="1:27" x14ac:dyDescent="0.3">
      <c r="A1421">
        <v>1420</v>
      </c>
      <c r="B1421">
        <v>1024819.20748377</v>
      </c>
      <c r="C1421">
        <v>0.27920273830707598</v>
      </c>
      <c r="D1421">
        <v>7.1853651913516794E-2</v>
      </c>
      <c r="E1421">
        <v>0.31011229877858298</v>
      </c>
      <c r="F1421">
        <v>1</v>
      </c>
      <c r="G1421" t="s">
        <v>11</v>
      </c>
      <c r="H1421">
        <v>0</v>
      </c>
      <c r="I1421">
        <v>317809.040265241</v>
      </c>
      <c r="J1421">
        <v>0.68988770122141596</v>
      </c>
      <c r="K1421" t="str">
        <f t="shared" si="176"/>
        <v>OK</v>
      </c>
      <c r="L1421" t="str">
        <f t="shared" si="177"/>
        <v>OK</v>
      </c>
      <c r="M1421" t="str">
        <f>IF(OR(B1421&lt;$AE$20,B1421&gt;$AF$20),"Outlier","OK")</f>
        <v>OK</v>
      </c>
      <c r="N1421" t="str">
        <f>IF(OR(J1421&lt;$AE$21,J1421&gt;$AF$21),"Outlier","OK")</f>
        <v>OK</v>
      </c>
      <c r="O1421" t="str">
        <f>IF(OR(C1421&lt;0,C1421&gt;1),"Outlier","OK")</f>
        <v>OK</v>
      </c>
      <c r="P1421" t="str">
        <f>IF(OR(D1421&lt;0,D1421&gt;1),"Outlier","OK")</f>
        <v>OK</v>
      </c>
      <c r="Q1421" t="str">
        <f t="shared" si="178"/>
        <v>60-80%</v>
      </c>
      <c r="R1421" t="str">
        <f>IF(B1421="","Missing","OK")</f>
        <v>OK</v>
      </c>
      <c r="S1421" t="str">
        <f>IF(E1421="","Missing","OK")</f>
        <v>OK</v>
      </c>
      <c r="T1421" t="str">
        <f t="shared" si="179"/>
        <v>OK</v>
      </c>
      <c r="U1421">
        <f>COUNTIF($A:$A,A1421)</f>
        <v>1</v>
      </c>
      <c r="V1421" t="str">
        <f t="shared" si="180"/>
        <v>OK</v>
      </c>
      <c r="W1421" t="str">
        <f>IF(I1421&gt;B1421,"ERROR","OK")</f>
        <v>OK</v>
      </c>
      <c r="X1421">
        <f>(B1421-I1421)/B1421</f>
        <v>0.68988770122141352</v>
      </c>
      <c r="Y1421" s="2">
        <f t="shared" si="181"/>
        <v>2.4424906541753444E-15</v>
      </c>
      <c r="Z1421" s="2" t="str">
        <f t="shared" si="182"/>
        <v>OK</v>
      </c>
      <c r="AA1421" t="str">
        <f t="shared" si="183"/>
        <v>Unique</v>
      </c>
    </row>
    <row r="1422" spans="1:27" x14ac:dyDescent="0.3">
      <c r="A1422">
        <v>1421</v>
      </c>
      <c r="B1422">
        <v>1576501.6249800699</v>
      </c>
      <c r="C1422">
        <v>0.87130425451549898</v>
      </c>
      <c r="D1422">
        <v>0.13335499992000999</v>
      </c>
      <c r="E1422">
        <v>0.47808127696955299</v>
      </c>
      <c r="F1422">
        <v>1</v>
      </c>
      <c r="G1422" t="s">
        <v>13</v>
      </c>
      <c r="H1422">
        <v>1</v>
      </c>
      <c r="I1422">
        <v>753695.91001505102</v>
      </c>
      <c r="J1422">
        <v>0.52191872303044595</v>
      </c>
      <c r="K1422" t="str">
        <f t="shared" si="176"/>
        <v>OK</v>
      </c>
      <c r="L1422" t="str">
        <f t="shared" si="177"/>
        <v>OK</v>
      </c>
      <c r="M1422" t="str">
        <f>IF(OR(B1422&lt;$AE$20,B1422&gt;$AF$20),"Outlier","OK")</f>
        <v>OK</v>
      </c>
      <c r="N1422" t="str">
        <f>IF(OR(J1422&lt;$AE$21,J1422&gt;$AF$21),"Outlier","OK")</f>
        <v>OK</v>
      </c>
      <c r="O1422" t="str">
        <f>IF(OR(C1422&lt;0,C1422&gt;1),"Outlier","OK")</f>
        <v>OK</v>
      </c>
      <c r="P1422" t="str">
        <f>IF(OR(D1422&lt;0,D1422&gt;1),"Outlier","OK")</f>
        <v>OK</v>
      </c>
      <c r="Q1422" t="str">
        <f t="shared" si="178"/>
        <v>40-60%</v>
      </c>
      <c r="R1422" t="str">
        <f>IF(B1422="","Missing","OK")</f>
        <v>OK</v>
      </c>
      <c r="S1422" t="str">
        <f>IF(E1422="","Missing","OK")</f>
        <v>OK</v>
      </c>
      <c r="T1422" t="str">
        <f t="shared" si="179"/>
        <v>OK</v>
      </c>
      <c r="U1422">
        <f>COUNTIF($A:$A,A1422)</f>
        <v>1</v>
      </c>
      <c r="V1422" t="str">
        <f t="shared" si="180"/>
        <v>OK</v>
      </c>
      <c r="W1422" t="str">
        <f>IF(I1422&gt;B1422,"ERROR","OK")</f>
        <v>OK</v>
      </c>
      <c r="X1422">
        <f>(B1422-I1422)/B1422</f>
        <v>0.52191872303044462</v>
      </c>
      <c r="Y1422" s="2">
        <f t="shared" si="181"/>
        <v>1.3322676295501878E-15</v>
      </c>
      <c r="Z1422" s="2" t="str">
        <f t="shared" si="182"/>
        <v>OK</v>
      </c>
      <c r="AA1422" t="str">
        <f t="shared" si="183"/>
        <v>Unique</v>
      </c>
    </row>
    <row r="1423" spans="1:27" x14ac:dyDescent="0.3">
      <c r="A1423">
        <v>1422</v>
      </c>
      <c r="B1423">
        <v>1138873.0159837501</v>
      </c>
      <c r="C1423">
        <v>0.44969222038397799</v>
      </c>
      <c r="D1423">
        <v>-4.5356242695287298E-2</v>
      </c>
      <c r="E1423">
        <v>0.34056294958241501</v>
      </c>
      <c r="F1423">
        <v>1</v>
      </c>
      <c r="G1423" t="s">
        <v>13</v>
      </c>
      <c r="H1423">
        <v>1</v>
      </c>
      <c r="I1423">
        <v>387857.95352325001</v>
      </c>
      <c r="J1423">
        <v>0.65943705041758405</v>
      </c>
      <c r="K1423" t="str">
        <f t="shared" si="176"/>
        <v>OK</v>
      </c>
      <c r="L1423" t="str">
        <f t="shared" si="177"/>
        <v>OK</v>
      </c>
      <c r="M1423" t="str">
        <f>IF(OR(B1423&lt;$AE$20,B1423&gt;$AF$20),"Outlier","OK")</f>
        <v>OK</v>
      </c>
      <c r="N1423" t="str">
        <f>IF(OR(J1423&lt;$AE$21,J1423&gt;$AF$21),"Outlier","OK")</f>
        <v>OK</v>
      </c>
      <c r="O1423" t="str">
        <f>IF(OR(C1423&lt;0,C1423&gt;1),"Outlier","OK")</f>
        <v>OK</v>
      </c>
      <c r="P1423" t="str">
        <f>IF(OR(D1423&lt;0,D1423&gt;1),"Outlier","OK")</f>
        <v>Outlier</v>
      </c>
      <c r="Q1423" t="str">
        <f t="shared" si="178"/>
        <v>60-80%</v>
      </c>
      <c r="R1423" t="str">
        <f>IF(B1423="","Missing","OK")</f>
        <v>OK</v>
      </c>
      <c r="S1423" t="str">
        <f>IF(E1423="","Missing","OK")</f>
        <v>OK</v>
      </c>
      <c r="T1423" t="str">
        <f t="shared" si="179"/>
        <v>OK</v>
      </c>
      <c r="U1423">
        <f>COUNTIF($A:$A,A1423)</f>
        <v>1</v>
      </c>
      <c r="V1423" t="str">
        <f t="shared" si="180"/>
        <v>OK</v>
      </c>
      <c r="W1423" t="str">
        <f>IF(I1423&gt;B1423,"ERROR","OK")</f>
        <v>OK</v>
      </c>
      <c r="X1423">
        <f>(B1423-I1423)/B1423</f>
        <v>0.65943705041758216</v>
      </c>
      <c r="Y1423" s="2">
        <f t="shared" si="181"/>
        <v>1.8873791418627661E-15</v>
      </c>
      <c r="Z1423" s="2" t="str">
        <f t="shared" si="182"/>
        <v>OK</v>
      </c>
      <c r="AA1423" t="str">
        <f t="shared" si="183"/>
        <v>Unique</v>
      </c>
    </row>
    <row r="1424" spans="1:27" x14ac:dyDescent="0.3">
      <c r="A1424">
        <v>1423</v>
      </c>
      <c r="B1424">
        <v>310294.57218044897</v>
      </c>
      <c r="C1424">
        <v>0.23824140419005599</v>
      </c>
      <c r="D1424">
        <v>-5.1182662035481302E-2</v>
      </c>
      <c r="E1424">
        <v>0.205330550066298</v>
      </c>
      <c r="F1424">
        <v>1</v>
      </c>
      <c r="G1424" t="s">
        <v>12</v>
      </c>
      <c r="H1424">
        <v>1</v>
      </c>
      <c r="I1424">
        <v>63712.955188398497</v>
      </c>
      <c r="J1424">
        <v>0.79466944993370103</v>
      </c>
      <c r="K1424" t="str">
        <f t="shared" si="176"/>
        <v>OK</v>
      </c>
      <c r="L1424" t="str">
        <f t="shared" si="177"/>
        <v>OK</v>
      </c>
      <c r="M1424" t="str">
        <f>IF(OR(B1424&lt;$AE$20,B1424&gt;$AF$20),"Outlier","OK")</f>
        <v>OK</v>
      </c>
      <c r="N1424" t="str">
        <f>IF(OR(J1424&lt;$AE$21,J1424&gt;$AF$21),"Outlier","OK")</f>
        <v>OK</v>
      </c>
      <c r="O1424" t="str">
        <f>IF(OR(C1424&lt;0,C1424&gt;1),"Outlier","OK")</f>
        <v>OK</v>
      </c>
      <c r="P1424" t="str">
        <f>IF(OR(D1424&lt;0,D1424&gt;1),"Outlier","OK")</f>
        <v>Outlier</v>
      </c>
      <c r="Q1424" t="str">
        <f t="shared" si="178"/>
        <v>60-80%</v>
      </c>
      <c r="R1424" t="str">
        <f>IF(B1424="","Missing","OK")</f>
        <v>OK</v>
      </c>
      <c r="S1424" t="str">
        <f>IF(E1424="","Missing","OK")</f>
        <v>OK</v>
      </c>
      <c r="T1424" t="str">
        <f t="shared" si="179"/>
        <v>OK</v>
      </c>
      <c r="U1424">
        <f>COUNTIF($A:$A,A1424)</f>
        <v>1</v>
      </c>
      <c r="V1424" t="str">
        <f t="shared" si="180"/>
        <v>OK</v>
      </c>
      <c r="W1424" t="str">
        <f>IF(I1424&gt;B1424,"ERROR","OK")</f>
        <v>OK</v>
      </c>
      <c r="X1424">
        <f>(B1424-I1424)/B1424</f>
        <v>0.79466944993370103</v>
      </c>
      <c r="Y1424" s="2">
        <f t="shared" si="181"/>
        <v>0</v>
      </c>
      <c r="Z1424" s="2" t="str">
        <f t="shared" si="182"/>
        <v>OK</v>
      </c>
      <c r="AA1424" t="str">
        <f t="shared" si="183"/>
        <v>Unique</v>
      </c>
    </row>
    <row r="1425" spans="1:27" x14ac:dyDescent="0.3">
      <c r="A1425">
        <v>1424</v>
      </c>
      <c r="B1425">
        <v>1667626.3842110401</v>
      </c>
      <c r="C1425">
        <v>0.68434859384274005</v>
      </c>
      <c r="D1425">
        <v>0.19413329887481701</v>
      </c>
      <c r="E1425">
        <v>0.28920735172552903</v>
      </c>
      <c r="F1425">
        <v>1</v>
      </c>
      <c r="G1425" t="s">
        <v>13</v>
      </c>
      <c r="H1425">
        <v>0</v>
      </c>
      <c r="I1425">
        <v>482289.810245295</v>
      </c>
      <c r="J1425">
        <v>0.71079264827446997</v>
      </c>
      <c r="K1425" t="str">
        <f t="shared" si="176"/>
        <v>OK</v>
      </c>
      <c r="L1425" t="str">
        <f t="shared" si="177"/>
        <v>OK</v>
      </c>
      <c r="M1425" t="str">
        <f>IF(OR(B1425&lt;$AE$20,B1425&gt;$AF$20),"Outlier","OK")</f>
        <v>OK</v>
      </c>
      <c r="N1425" t="str">
        <f>IF(OR(J1425&lt;$AE$21,J1425&gt;$AF$21),"Outlier","OK")</f>
        <v>OK</v>
      </c>
      <c r="O1425" t="str">
        <f>IF(OR(C1425&lt;0,C1425&gt;1),"Outlier","OK")</f>
        <v>OK</v>
      </c>
      <c r="P1425" t="str">
        <f>IF(OR(D1425&lt;0,D1425&gt;1),"Outlier","OK")</f>
        <v>OK</v>
      </c>
      <c r="Q1425" t="str">
        <f t="shared" si="178"/>
        <v>60-80%</v>
      </c>
      <c r="R1425" t="str">
        <f>IF(B1425="","Missing","OK")</f>
        <v>OK</v>
      </c>
      <c r="S1425" t="str">
        <f>IF(E1425="","Missing","OK")</f>
        <v>OK</v>
      </c>
      <c r="T1425" t="str">
        <f t="shared" si="179"/>
        <v>OK</v>
      </c>
      <c r="U1425">
        <f>COUNTIF($A:$A,A1425)</f>
        <v>1</v>
      </c>
      <c r="V1425" t="str">
        <f t="shared" si="180"/>
        <v>OK</v>
      </c>
      <c r="W1425" t="str">
        <f>IF(I1425&gt;B1425,"ERROR","OK")</f>
        <v>OK</v>
      </c>
      <c r="X1425">
        <f>(B1425-I1425)/B1425</f>
        <v>0.71079264827447064</v>
      </c>
      <c r="Y1425" s="2">
        <f t="shared" si="181"/>
        <v>6.6613381477509392E-16</v>
      </c>
      <c r="Z1425" s="2" t="str">
        <f t="shared" si="182"/>
        <v>OK</v>
      </c>
      <c r="AA1425" t="str">
        <f t="shared" si="183"/>
        <v>Unique</v>
      </c>
    </row>
    <row r="1426" spans="1:27" x14ac:dyDescent="0.3">
      <c r="A1426">
        <v>1425</v>
      </c>
      <c r="B1426">
        <v>1489074.1966804301</v>
      </c>
      <c r="C1426">
        <v>0.34180115159115698</v>
      </c>
      <c r="D1426">
        <v>-1.20264829372769E-2</v>
      </c>
      <c r="E1426">
        <v>0.403680142015376</v>
      </c>
      <c r="F1426">
        <v>1</v>
      </c>
      <c r="G1426" t="s">
        <v>12</v>
      </c>
      <c r="H1426">
        <v>1</v>
      </c>
      <c r="I1426">
        <v>601109.68318739301</v>
      </c>
      <c r="J1426">
        <v>0.59631985798462295</v>
      </c>
      <c r="K1426" t="str">
        <f t="shared" si="176"/>
        <v>OK</v>
      </c>
      <c r="L1426" t="str">
        <f t="shared" si="177"/>
        <v>OK</v>
      </c>
      <c r="M1426" t="str">
        <f>IF(OR(B1426&lt;$AE$20,B1426&gt;$AF$20),"Outlier","OK")</f>
        <v>OK</v>
      </c>
      <c r="N1426" t="str">
        <f>IF(OR(J1426&lt;$AE$21,J1426&gt;$AF$21),"Outlier","OK")</f>
        <v>OK</v>
      </c>
      <c r="O1426" t="str">
        <f>IF(OR(C1426&lt;0,C1426&gt;1),"Outlier","OK")</f>
        <v>OK</v>
      </c>
      <c r="P1426" t="str">
        <f>IF(OR(D1426&lt;0,D1426&gt;1),"Outlier","OK")</f>
        <v>Outlier</v>
      </c>
      <c r="Q1426" t="str">
        <f t="shared" si="178"/>
        <v>40-60%</v>
      </c>
      <c r="R1426" t="str">
        <f>IF(B1426="","Missing","OK")</f>
        <v>OK</v>
      </c>
      <c r="S1426" t="str">
        <f>IF(E1426="","Missing","OK")</f>
        <v>OK</v>
      </c>
      <c r="T1426" t="str">
        <f t="shared" si="179"/>
        <v>OK</v>
      </c>
      <c r="U1426">
        <f>COUNTIF($A:$A,A1426)</f>
        <v>1</v>
      </c>
      <c r="V1426" t="str">
        <f t="shared" si="180"/>
        <v>OK</v>
      </c>
      <c r="W1426" t="str">
        <f>IF(I1426&gt;B1426,"ERROR","OK")</f>
        <v>OK</v>
      </c>
      <c r="X1426">
        <f>(B1426-I1426)/B1426</f>
        <v>0.59631985798462062</v>
      </c>
      <c r="Y1426" s="2">
        <f t="shared" si="181"/>
        <v>2.3314683517128287E-15</v>
      </c>
      <c r="Z1426" s="2" t="str">
        <f t="shared" si="182"/>
        <v>OK</v>
      </c>
      <c r="AA1426" t="str">
        <f t="shared" si="183"/>
        <v>Unique</v>
      </c>
    </row>
    <row r="1427" spans="1:27" x14ac:dyDescent="0.3">
      <c r="A1427">
        <v>1426</v>
      </c>
      <c r="B1427">
        <v>122842.201953918</v>
      </c>
      <c r="C1427">
        <v>0.81278590446937404</v>
      </c>
      <c r="D1427">
        <v>-0.102395795977367</v>
      </c>
      <c r="E1427">
        <v>0.40807141392462498</v>
      </c>
      <c r="F1427">
        <v>1</v>
      </c>
      <c r="G1427" t="s">
        <v>10</v>
      </c>
      <c r="H1427">
        <v>0</v>
      </c>
      <c r="I1427">
        <v>50128.391040949697</v>
      </c>
      <c r="J1427">
        <v>0.59192858607537402</v>
      </c>
      <c r="K1427" t="str">
        <f t="shared" si="176"/>
        <v>OK</v>
      </c>
      <c r="L1427" t="str">
        <f t="shared" si="177"/>
        <v>OK</v>
      </c>
      <c r="M1427" t="str">
        <f>IF(OR(B1427&lt;$AE$20,B1427&gt;$AF$20),"Outlier","OK")</f>
        <v>OK</v>
      </c>
      <c r="N1427" t="str">
        <f>IF(OR(J1427&lt;$AE$21,J1427&gt;$AF$21),"Outlier","OK")</f>
        <v>OK</v>
      </c>
      <c r="O1427" t="str">
        <f>IF(OR(C1427&lt;0,C1427&gt;1),"Outlier","OK")</f>
        <v>OK</v>
      </c>
      <c r="P1427" t="str">
        <f>IF(OR(D1427&lt;0,D1427&gt;1),"Outlier","OK")</f>
        <v>Outlier</v>
      </c>
      <c r="Q1427" t="str">
        <f t="shared" si="178"/>
        <v>40-60%</v>
      </c>
      <c r="R1427" t="str">
        <f>IF(B1427="","Missing","OK")</f>
        <v>OK</v>
      </c>
      <c r="S1427" t="str">
        <f>IF(E1427="","Missing","OK")</f>
        <v>OK</v>
      </c>
      <c r="T1427" t="str">
        <f t="shared" si="179"/>
        <v>OK</v>
      </c>
      <c r="U1427">
        <f>COUNTIF($A:$A,A1427)</f>
        <v>1</v>
      </c>
      <c r="V1427" t="str">
        <f t="shared" si="180"/>
        <v>OK</v>
      </c>
      <c r="W1427" t="str">
        <f>IF(I1427&gt;B1427,"ERROR","OK")</f>
        <v>OK</v>
      </c>
      <c r="X1427">
        <f>(B1427-I1427)/B1427</f>
        <v>0.59192858607537457</v>
      </c>
      <c r="Y1427" s="2">
        <f t="shared" si="181"/>
        <v>5.5511151231257827E-16</v>
      </c>
      <c r="Z1427" s="2" t="str">
        <f t="shared" si="182"/>
        <v>OK</v>
      </c>
      <c r="AA1427" t="str">
        <f t="shared" si="183"/>
        <v>Unique</v>
      </c>
    </row>
    <row r="1428" spans="1:27" x14ac:dyDescent="0.3">
      <c r="A1428">
        <v>1427</v>
      </c>
      <c r="B1428">
        <v>1619519.2781735</v>
      </c>
      <c r="C1428">
        <v>0.206550955502638</v>
      </c>
      <c r="D1428">
        <v>-7.6675625896415703E-2</v>
      </c>
      <c r="E1428">
        <v>0.11058771260002501</v>
      </c>
      <c r="F1428">
        <v>1</v>
      </c>
      <c r="G1428" t="s">
        <v>13</v>
      </c>
      <c r="H1428">
        <v>1</v>
      </c>
      <c r="I1428">
        <v>179098.932484852</v>
      </c>
      <c r="J1428">
        <v>0.88941228739997402</v>
      </c>
      <c r="K1428" t="str">
        <f t="shared" si="176"/>
        <v>OK</v>
      </c>
      <c r="L1428" t="str">
        <f t="shared" si="177"/>
        <v>OK</v>
      </c>
      <c r="M1428" t="str">
        <f>IF(OR(B1428&lt;$AE$20,B1428&gt;$AF$20),"Outlier","OK")</f>
        <v>OK</v>
      </c>
      <c r="N1428" t="str">
        <f>IF(OR(J1428&lt;$AE$21,J1428&gt;$AF$21),"Outlier","OK")</f>
        <v>OK</v>
      </c>
      <c r="O1428" t="str">
        <f>IF(OR(C1428&lt;0,C1428&gt;1),"Outlier","OK")</f>
        <v>OK</v>
      </c>
      <c r="P1428" t="str">
        <f>IF(OR(D1428&lt;0,D1428&gt;1),"Outlier","OK")</f>
        <v>Outlier</v>
      </c>
      <c r="Q1428" t="str">
        <f t="shared" si="178"/>
        <v>80-100%</v>
      </c>
      <c r="R1428" t="str">
        <f>IF(B1428="","Missing","OK")</f>
        <v>OK</v>
      </c>
      <c r="S1428" t="str">
        <f>IF(E1428="","Missing","OK")</f>
        <v>OK</v>
      </c>
      <c r="T1428" t="str">
        <f t="shared" si="179"/>
        <v>OK</v>
      </c>
      <c r="U1428">
        <f>COUNTIF($A:$A,A1428)</f>
        <v>1</v>
      </c>
      <c r="V1428" t="str">
        <f t="shared" si="180"/>
        <v>OK</v>
      </c>
      <c r="W1428" t="str">
        <f>IF(I1428&gt;B1428,"ERROR","OK")</f>
        <v>OK</v>
      </c>
      <c r="X1428">
        <f>(B1428-I1428)/B1428</f>
        <v>0.88941228739997436</v>
      </c>
      <c r="Y1428" s="2">
        <f t="shared" si="181"/>
        <v>3.3306690738754696E-16</v>
      </c>
      <c r="Z1428" s="2" t="str">
        <f t="shared" si="182"/>
        <v>OK</v>
      </c>
      <c r="AA1428" t="str">
        <f t="shared" si="183"/>
        <v>Unique</v>
      </c>
    </row>
    <row r="1429" spans="1:27" x14ac:dyDescent="0.3">
      <c r="A1429">
        <v>1428</v>
      </c>
      <c r="B1429">
        <v>1737226.7463539001</v>
      </c>
      <c r="C1429">
        <v>0.27378824008663899</v>
      </c>
      <c r="D1429">
        <v>-0.109882480290334</v>
      </c>
      <c r="E1429">
        <v>0.191944362414393</v>
      </c>
      <c r="F1429">
        <v>1</v>
      </c>
      <c r="G1429" t="s">
        <v>10</v>
      </c>
      <c r="H1429">
        <v>0</v>
      </c>
      <c r="I1429">
        <v>333450.88019813201</v>
      </c>
      <c r="J1429">
        <v>0.80805563758560595</v>
      </c>
      <c r="K1429" t="str">
        <f t="shared" si="176"/>
        <v>OK</v>
      </c>
      <c r="L1429" t="str">
        <f t="shared" si="177"/>
        <v>OK</v>
      </c>
      <c r="M1429" t="str">
        <f>IF(OR(B1429&lt;$AE$20,B1429&gt;$AF$20),"Outlier","OK")</f>
        <v>OK</v>
      </c>
      <c r="N1429" t="str">
        <f>IF(OR(J1429&lt;$AE$21,J1429&gt;$AF$21),"Outlier","OK")</f>
        <v>OK</v>
      </c>
      <c r="O1429" t="str">
        <f>IF(OR(C1429&lt;0,C1429&gt;1),"Outlier","OK")</f>
        <v>OK</v>
      </c>
      <c r="P1429" t="str">
        <f>IF(OR(D1429&lt;0,D1429&gt;1),"Outlier","OK")</f>
        <v>Outlier</v>
      </c>
      <c r="Q1429" t="str">
        <f t="shared" si="178"/>
        <v>80-100%</v>
      </c>
      <c r="R1429" t="str">
        <f>IF(B1429="","Missing","OK")</f>
        <v>OK</v>
      </c>
      <c r="S1429" t="str">
        <f>IF(E1429="","Missing","OK")</f>
        <v>OK</v>
      </c>
      <c r="T1429" t="str">
        <f t="shared" si="179"/>
        <v>OK</v>
      </c>
      <c r="U1429">
        <f>COUNTIF($A:$A,A1429)</f>
        <v>1</v>
      </c>
      <c r="V1429" t="str">
        <f t="shared" si="180"/>
        <v>OK</v>
      </c>
      <c r="W1429" t="str">
        <f>IF(I1429&gt;B1429,"ERROR","OK")</f>
        <v>OK</v>
      </c>
      <c r="X1429">
        <f>(B1429-I1429)/B1429</f>
        <v>0.80805563758560572</v>
      </c>
      <c r="Y1429" s="2">
        <f t="shared" si="181"/>
        <v>2.2204460492503131E-16</v>
      </c>
      <c r="Z1429" s="2" t="str">
        <f t="shared" si="182"/>
        <v>OK</v>
      </c>
      <c r="AA1429" t="str">
        <f t="shared" si="183"/>
        <v>Unique</v>
      </c>
    </row>
    <row r="1430" spans="1:27" x14ac:dyDescent="0.3">
      <c r="A1430">
        <v>1429</v>
      </c>
      <c r="B1430">
        <v>1049140.14871306</v>
      </c>
      <c r="C1430">
        <v>0.56128480932361802</v>
      </c>
      <c r="D1430">
        <v>0.16028895762460599</v>
      </c>
      <c r="E1430">
        <v>0.332884205759445</v>
      </c>
      <c r="F1430">
        <v>1</v>
      </c>
      <c r="G1430" t="s">
        <v>11</v>
      </c>
      <c r="H1430">
        <v>0</v>
      </c>
      <c r="I1430">
        <v>349242.18513469398</v>
      </c>
      <c r="J1430">
        <v>0.66711579424055401</v>
      </c>
      <c r="K1430" t="str">
        <f t="shared" si="176"/>
        <v>OK</v>
      </c>
      <c r="L1430" t="str">
        <f t="shared" si="177"/>
        <v>OK</v>
      </c>
      <c r="M1430" t="str">
        <f>IF(OR(B1430&lt;$AE$20,B1430&gt;$AF$20),"Outlier","OK")</f>
        <v>OK</v>
      </c>
      <c r="N1430" t="str">
        <f>IF(OR(J1430&lt;$AE$21,J1430&gt;$AF$21),"Outlier","OK")</f>
        <v>OK</v>
      </c>
      <c r="O1430" t="str">
        <f>IF(OR(C1430&lt;0,C1430&gt;1),"Outlier","OK")</f>
        <v>OK</v>
      </c>
      <c r="P1430" t="str">
        <f>IF(OR(D1430&lt;0,D1430&gt;1),"Outlier","OK")</f>
        <v>OK</v>
      </c>
      <c r="Q1430" t="str">
        <f t="shared" si="178"/>
        <v>60-80%</v>
      </c>
      <c r="R1430" t="str">
        <f>IF(B1430="","Missing","OK")</f>
        <v>OK</v>
      </c>
      <c r="S1430" t="str">
        <f>IF(E1430="","Missing","OK")</f>
        <v>OK</v>
      </c>
      <c r="T1430" t="str">
        <f t="shared" si="179"/>
        <v>OK</v>
      </c>
      <c r="U1430">
        <f>COUNTIF($A:$A,A1430)</f>
        <v>1</v>
      </c>
      <c r="V1430" t="str">
        <f t="shared" si="180"/>
        <v>OK</v>
      </c>
      <c r="W1430" t="str">
        <f>IF(I1430&gt;B1430,"ERROR","OK")</f>
        <v>OK</v>
      </c>
      <c r="X1430">
        <f>(B1430-I1430)/B1430</f>
        <v>0.66711579424055401</v>
      </c>
      <c r="Y1430" s="2">
        <f t="shared" si="181"/>
        <v>0</v>
      </c>
      <c r="Z1430" s="2" t="str">
        <f t="shared" si="182"/>
        <v>OK</v>
      </c>
      <c r="AA1430" t="str">
        <f t="shared" si="183"/>
        <v>Unique</v>
      </c>
    </row>
    <row r="1431" spans="1:27" x14ac:dyDescent="0.3">
      <c r="A1431">
        <v>1430</v>
      </c>
      <c r="B1431">
        <v>788257.93403659295</v>
      </c>
      <c r="C1431">
        <v>0.121338104422964</v>
      </c>
      <c r="D1431">
        <v>0.11554435053096899</v>
      </c>
      <c r="E1431">
        <v>9.6273800534817697E-2</v>
      </c>
      <c r="F1431">
        <v>1</v>
      </c>
      <c r="G1431" t="s">
        <v>13</v>
      </c>
      <c r="H1431">
        <v>0</v>
      </c>
      <c r="I1431">
        <v>75888.587111426503</v>
      </c>
      <c r="J1431">
        <v>0.90372619946518196</v>
      </c>
      <c r="K1431" t="str">
        <f t="shared" si="176"/>
        <v>OK</v>
      </c>
      <c r="L1431" t="str">
        <f t="shared" si="177"/>
        <v>OK</v>
      </c>
      <c r="M1431" t="str">
        <f>IF(OR(B1431&lt;$AE$20,B1431&gt;$AF$20),"Outlier","OK")</f>
        <v>OK</v>
      </c>
      <c r="N1431" t="str">
        <f>IF(OR(J1431&lt;$AE$21,J1431&gt;$AF$21),"Outlier","OK")</f>
        <v>OK</v>
      </c>
      <c r="O1431" t="str">
        <f>IF(OR(C1431&lt;0,C1431&gt;1),"Outlier","OK")</f>
        <v>OK</v>
      </c>
      <c r="P1431" t="str">
        <f>IF(OR(D1431&lt;0,D1431&gt;1),"Outlier","OK")</f>
        <v>OK</v>
      </c>
      <c r="Q1431" t="str">
        <f t="shared" si="178"/>
        <v>80-100%</v>
      </c>
      <c r="R1431" t="str">
        <f>IF(B1431="","Missing","OK")</f>
        <v>OK</v>
      </c>
      <c r="S1431" t="str">
        <f>IF(E1431="","Missing","OK")</f>
        <v>OK</v>
      </c>
      <c r="T1431" t="str">
        <f t="shared" si="179"/>
        <v>OK</v>
      </c>
      <c r="U1431">
        <f>COUNTIF($A:$A,A1431)</f>
        <v>1</v>
      </c>
      <c r="V1431" t="str">
        <f t="shared" si="180"/>
        <v>OK</v>
      </c>
      <c r="W1431" t="str">
        <f>IF(I1431&gt;B1431,"ERROR","OK")</f>
        <v>OK</v>
      </c>
      <c r="X1431">
        <f>(B1431-I1431)/B1431</f>
        <v>0.90372619946518218</v>
      </c>
      <c r="Y1431" s="2">
        <f t="shared" si="181"/>
        <v>2.2204460492503131E-16</v>
      </c>
      <c r="Z1431" s="2" t="str">
        <f t="shared" si="182"/>
        <v>OK</v>
      </c>
      <c r="AA1431" t="str">
        <f t="shared" si="183"/>
        <v>Unique</v>
      </c>
    </row>
    <row r="1432" spans="1:27" x14ac:dyDescent="0.3">
      <c r="A1432">
        <v>1431</v>
      </c>
      <c r="B1432">
        <v>212784.229035761</v>
      </c>
      <c r="C1432">
        <v>0.184261295045099</v>
      </c>
      <c r="D1432">
        <v>3.4760995149238597E-2</v>
      </c>
      <c r="E1432">
        <v>0.37883510713944402</v>
      </c>
      <c r="F1432">
        <v>1</v>
      </c>
      <c r="G1432" t="s">
        <v>13</v>
      </c>
      <c r="H1432">
        <v>0</v>
      </c>
      <c r="I1432">
        <v>80610.136204347</v>
      </c>
      <c r="J1432">
        <v>0.62116489286055498</v>
      </c>
      <c r="K1432" t="str">
        <f t="shared" si="176"/>
        <v>OK</v>
      </c>
      <c r="L1432" t="str">
        <f t="shared" si="177"/>
        <v>OK</v>
      </c>
      <c r="M1432" t="str">
        <f>IF(OR(B1432&lt;$AE$20,B1432&gt;$AF$20),"Outlier","OK")</f>
        <v>OK</v>
      </c>
      <c r="N1432" t="str">
        <f>IF(OR(J1432&lt;$AE$21,J1432&gt;$AF$21),"Outlier","OK")</f>
        <v>OK</v>
      </c>
      <c r="O1432" t="str">
        <f>IF(OR(C1432&lt;0,C1432&gt;1),"Outlier","OK")</f>
        <v>OK</v>
      </c>
      <c r="P1432" t="str">
        <f>IF(OR(D1432&lt;0,D1432&gt;1),"Outlier","OK")</f>
        <v>OK</v>
      </c>
      <c r="Q1432" t="str">
        <f t="shared" si="178"/>
        <v>60-80%</v>
      </c>
      <c r="R1432" t="str">
        <f>IF(B1432="","Missing","OK")</f>
        <v>OK</v>
      </c>
      <c r="S1432" t="str">
        <f>IF(E1432="","Missing","OK")</f>
        <v>OK</v>
      </c>
      <c r="T1432" t="str">
        <f t="shared" si="179"/>
        <v>OK</v>
      </c>
      <c r="U1432">
        <f>COUNTIF($A:$A,A1432)</f>
        <v>1</v>
      </c>
      <c r="V1432" t="str">
        <f t="shared" si="180"/>
        <v>OK</v>
      </c>
      <c r="W1432" t="str">
        <f>IF(I1432&gt;B1432,"ERROR","OK")</f>
        <v>OK</v>
      </c>
      <c r="X1432">
        <f>(B1432-I1432)/B1432</f>
        <v>0.62116489286055376</v>
      </c>
      <c r="Y1432" s="2">
        <f t="shared" si="181"/>
        <v>1.2212453270876722E-15</v>
      </c>
      <c r="Z1432" s="2" t="str">
        <f t="shared" si="182"/>
        <v>OK</v>
      </c>
      <c r="AA1432" t="str">
        <f t="shared" si="183"/>
        <v>Unique</v>
      </c>
    </row>
    <row r="1433" spans="1:27" x14ac:dyDescent="0.3">
      <c r="A1433">
        <v>1432</v>
      </c>
      <c r="B1433">
        <v>1665138.15770009</v>
      </c>
      <c r="C1433">
        <v>0.80965460461657301</v>
      </c>
      <c r="D1433">
        <v>0.13027957638333201</v>
      </c>
      <c r="E1433">
        <v>0.224039458624302</v>
      </c>
      <c r="F1433">
        <v>1</v>
      </c>
      <c r="G1433" t="s">
        <v>10</v>
      </c>
      <c r="H1433">
        <v>0</v>
      </c>
      <c r="I1433">
        <v>373056.65138579701</v>
      </c>
      <c r="J1433">
        <v>0.77596054137569703</v>
      </c>
      <c r="K1433" t="str">
        <f t="shared" si="176"/>
        <v>OK</v>
      </c>
      <c r="L1433" t="str">
        <f t="shared" si="177"/>
        <v>OK</v>
      </c>
      <c r="M1433" t="str">
        <f>IF(OR(B1433&lt;$AE$20,B1433&gt;$AF$20),"Outlier","OK")</f>
        <v>OK</v>
      </c>
      <c r="N1433" t="str">
        <f>IF(OR(J1433&lt;$AE$21,J1433&gt;$AF$21),"Outlier","OK")</f>
        <v>OK</v>
      </c>
      <c r="O1433" t="str">
        <f>IF(OR(C1433&lt;0,C1433&gt;1),"Outlier","OK")</f>
        <v>OK</v>
      </c>
      <c r="P1433" t="str">
        <f>IF(OR(D1433&lt;0,D1433&gt;1),"Outlier","OK")</f>
        <v>OK</v>
      </c>
      <c r="Q1433" t="str">
        <f t="shared" si="178"/>
        <v>60-80%</v>
      </c>
      <c r="R1433" t="str">
        <f>IF(B1433="","Missing","OK")</f>
        <v>OK</v>
      </c>
      <c r="S1433" t="str">
        <f>IF(E1433="","Missing","OK")</f>
        <v>OK</v>
      </c>
      <c r="T1433" t="str">
        <f t="shared" si="179"/>
        <v>OK</v>
      </c>
      <c r="U1433">
        <f>COUNTIF($A:$A,A1433)</f>
        <v>1</v>
      </c>
      <c r="V1433" t="str">
        <f t="shared" si="180"/>
        <v>OK</v>
      </c>
      <c r="W1433" t="str">
        <f>IF(I1433&gt;B1433,"ERROR","OK")</f>
        <v>OK</v>
      </c>
      <c r="X1433">
        <f>(B1433-I1433)/B1433</f>
        <v>0.77596054137569725</v>
      </c>
      <c r="Y1433" s="2">
        <f t="shared" si="181"/>
        <v>2.2204460492503131E-16</v>
      </c>
      <c r="Z1433" s="2" t="str">
        <f t="shared" si="182"/>
        <v>OK</v>
      </c>
      <c r="AA1433" t="str">
        <f t="shared" si="183"/>
        <v>Unique</v>
      </c>
    </row>
    <row r="1434" spans="1:27" x14ac:dyDescent="0.3">
      <c r="A1434">
        <v>1433</v>
      </c>
      <c r="B1434">
        <v>57134.784925727297</v>
      </c>
      <c r="C1434">
        <v>0.54815518451841805</v>
      </c>
      <c r="D1434">
        <v>-7.8484249608523196E-2</v>
      </c>
      <c r="E1434">
        <v>0.14453897532427701</v>
      </c>
      <c r="F1434">
        <v>1</v>
      </c>
      <c r="G1434" t="s">
        <v>10</v>
      </c>
      <c r="H1434">
        <v>0</v>
      </c>
      <c r="I1434">
        <v>8258.2032685375798</v>
      </c>
      <c r="J1434">
        <v>0.85546102467572205</v>
      </c>
      <c r="K1434" t="str">
        <f t="shared" si="176"/>
        <v>OK</v>
      </c>
      <c r="L1434" t="str">
        <f t="shared" si="177"/>
        <v>OK</v>
      </c>
      <c r="M1434" t="str">
        <f>IF(OR(B1434&lt;$AE$20,B1434&gt;$AF$20),"Outlier","OK")</f>
        <v>Outlier</v>
      </c>
      <c r="N1434" t="str">
        <f>IF(OR(J1434&lt;$AE$21,J1434&gt;$AF$21),"Outlier","OK")</f>
        <v>OK</v>
      </c>
      <c r="O1434" t="str">
        <f>IF(OR(C1434&lt;0,C1434&gt;1),"Outlier","OK")</f>
        <v>OK</v>
      </c>
      <c r="P1434" t="str">
        <f>IF(OR(D1434&lt;0,D1434&gt;1),"Outlier","OK")</f>
        <v>Outlier</v>
      </c>
      <c r="Q1434" t="str">
        <f t="shared" si="178"/>
        <v>80-100%</v>
      </c>
      <c r="R1434" t="str">
        <f>IF(B1434="","Missing","OK")</f>
        <v>OK</v>
      </c>
      <c r="S1434" t="str">
        <f>IF(E1434="","Missing","OK")</f>
        <v>OK</v>
      </c>
      <c r="T1434" t="str">
        <f t="shared" si="179"/>
        <v>OK</v>
      </c>
      <c r="U1434">
        <f>COUNTIF($A:$A,A1434)</f>
        <v>1</v>
      </c>
      <c r="V1434" t="str">
        <f t="shared" si="180"/>
        <v>OK</v>
      </c>
      <c r="W1434" t="str">
        <f>IF(I1434&gt;B1434,"ERROR","OK")</f>
        <v>OK</v>
      </c>
      <c r="X1434">
        <f>(B1434-I1434)/B1434</f>
        <v>0.85546102467572283</v>
      </c>
      <c r="Y1434" s="2">
        <f t="shared" si="181"/>
        <v>7.7715611723760958E-16</v>
      </c>
      <c r="Z1434" s="2" t="str">
        <f t="shared" si="182"/>
        <v>OK</v>
      </c>
      <c r="AA1434" t="str">
        <f t="shared" si="183"/>
        <v>Unique</v>
      </c>
    </row>
    <row r="1435" spans="1:27" x14ac:dyDescent="0.3">
      <c r="A1435">
        <v>1434</v>
      </c>
      <c r="B1435">
        <v>719799.05705586902</v>
      </c>
      <c r="C1435">
        <v>0.35222905002960297</v>
      </c>
      <c r="D1435">
        <v>-0.16158549535814901</v>
      </c>
      <c r="E1435">
        <v>0.29788604772919802</v>
      </c>
      <c r="F1435">
        <v>1</v>
      </c>
      <c r="G1435" t="s">
        <v>13</v>
      </c>
      <c r="H1435">
        <v>1</v>
      </c>
      <c r="I1435">
        <v>214418.09626557599</v>
      </c>
      <c r="J1435">
        <v>0.70211395227080098</v>
      </c>
      <c r="K1435" t="str">
        <f t="shared" si="176"/>
        <v>OK</v>
      </c>
      <c r="L1435" t="str">
        <f t="shared" si="177"/>
        <v>OK</v>
      </c>
      <c r="M1435" t="str">
        <f>IF(OR(B1435&lt;$AE$20,B1435&gt;$AF$20),"Outlier","OK")</f>
        <v>OK</v>
      </c>
      <c r="N1435" t="str">
        <f>IF(OR(J1435&lt;$AE$21,J1435&gt;$AF$21),"Outlier","OK")</f>
        <v>OK</v>
      </c>
      <c r="O1435" t="str">
        <f>IF(OR(C1435&lt;0,C1435&gt;1),"Outlier","OK")</f>
        <v>OK</v>
      </c>
      <c r="P1435" t="str">
        <f>IF(OR(D1435&lt;0,D1435&gt;1),"Outlier","OK")</f>
        <v>Outlier</v>
      </c>
      <c r="Q1435" t="str">
        <f t="shared" si="178"/>
        <v>60-80%</v>
      </c>
      <c r="R1435" t="str">
        <f>IF(B1435="","Missing","OK")</f>
        <v>OK</v>
      </c>
      <c r="S1435" t="str">
        <f>IF(E1435="","Missing","OK")</f>
        <v>OK</v>
      </c>
      <c r="T1435" t="str">
        <f t="shared" si="179"/>
        <v>OK</v>
      </c>
      <c r="U1435">
        <f>COUNTIF($A:$A,A1435)</f>
        <v>1</v>
      </c>
      <c r="V1435" t="str">
        <f t="shared" si="180"/>
        <v>OK</v>
      </c>
      <c r="W1435" t="str">
        <f>IF(I1435&gt;B1435,"ERROR","OK")</f>
        <v>OK</v>
      </c>
      <c r="X1435">
        <f>(B1435-I1435)/B1435</f>
        <v>0.70211395227080253</v>
      </c>
      <c r="Y1435" s="2">
        <f t="shared" si="181"/>
        <v>1.5543122344752192E-15</v>
      </c>
      <c r="Z1435" s="2" t="str">
        <f t="shared" si="182"/>
        <v>OK</v>
      </c>
      <c r="AA1435" t="str">
        <f t="shared" si="183"/>
        <v>Unique</v>
      </c>
    </row>
    <row r="1436" spans="1:27" x14ac:dyDescent="0.3">
      <c r="A1436">
        <v>1435</v>
      </c>
      <c r="B1436">
        <v>689083.65285943996</v>
      </c>
      <c r="C1436">
        <v>0.250253818413187</v>
      </c>
      <c r="D1436">
        <v>7.6503652311126102E-2</v>
      </c>
      <c r="E1436">
        <v>5.0854627793663697E-2</v>
      </c>
      <c r="F1436">
        <v>1</v>
      </c>
      <c r="G1436" t="s">
        <v>13</v>
      </c>
      <c r="H1436">
        <v>1</v>
      </c>
      <c r="I1436">
        <v>35043.092684864998</v>
      </c>
      <c r="J1436">
        <v>0.94914537220633599</v>
      </c>
      <c r="K1436" t="str">
        <f t="shared" si="176"/>
        <v>OK</v>
      </c>
      <c r="L1436" t="str">
        <f t="shared" si="177"/>
        <v>OK</v>
      </c>
      <c r="M1436" t="str">
        <f>IF(OR(B1436&lt;$AE$20,B1436&gt;$AF$20),"Outlier","OK")</f>
        <v>OK</v>
      </c>
      <c r="N1436" t="str">
        <f>IF(OR(J1436&lt;$AE$21,J1436&gt;$AF$21),"Outlier","OK")</f>
        <v>OK</v>
      </c>
      <c r="O1436" t="str">
        <f>IF(OR(C1436&lt;0,C1436&gt;1),"Outlier","OK")</f>
        <v>OK</v>
      </c>
      <c r="P1436" t="str">
        <f>IF(OR(D1436&lt;0,D1436&gt;1),"Outlier","OK")</f>
        <v>OK</v>
      </c>
      <c r="Q1436" t="str">
        <f t="shared" si="178"/>
        <v>80-100%</v>
      </c>
      <c r="R1436" t="str">
        <f>IF(B1436="","Missing","OK")</f>
        <v>OK</v>
      </c>
      <c r="S1436" t="str">
        <f>IF(E1436="","Missing","OK")</f>
        <v>OK</v>
      </c>
      <c r="T1436" t="str">
        <f t="shared" si="179"/>
        <v>OK</v>
      </c>
      <c r="U1436">
        <f>COUNTIF($A:$A,A1436)</f>
        <v>1</v>
      </c>
      <c r="V1436" t="str">
        <f t="shared" si="180"/>
        <v>OK</v>
      </c>
      <c r="W1436" t="str">
        <f>IF(I1436&gt;B1436,"ERROR","OK")</f>
        <v>OK</v>
      </c>
      <c r="X1436">
        <f>(B1436-I1436)/B1436</f>
        <v>0.94914537220633632</v>
      </c>
      <c r="Y1436" s="2">
        <f t="shared" si="181"/>
        <v>3.3306690738754696E-16</v>
      </c>
      <c r="Z1436" s="2" t="str">
        <f t="shared" si="182"/>
        <v>OK</v>
      </c>
      <c r="AA1436" t="str">
        <f t="shared" si="183"/>
        <v>Unique</v>
      </c>
    </row>
    <row r="1437" spans="1:27" x14ac:dyDescent="0.3">
      <c r="A1437">
        <v>1436</v>
      </c>
      <c r="B1437">
        <v>1828424.0404527199</v>
      </c>
      <c r="C1437">
        <v>0.85567603866882302</v>
      </c>
      <c r="D1437">
        <v>-0.10377871981212</v>
      </c>
      <c r="E1437">
        <v>0.27479846105112499</v>
      </c>
      <c r="F1437">
        <v>1</v>
      </c>
      <c r="G1437" t="s">
        <v>10</v>
      </c>
      <c r="H1437">
        <v>0</v>
      </c>
      <c r="I1437">
        <v>502448.11246529</v>
      </c>
      <c r="J1437">
        <v>0.72520153894887396</v>
      </c>
      <c r="K1437" t="str">
        <f t="shared" si="176"/>
        <v>OK</v>
      </c>
      <c r="L1437" t="str">
        <f t="shared" si="177"/>
        <v>OK</v>
      </c>
      <c r="M1437" t="str">
        <f>IF(OR(B1437&lt;$AE$20,B1437&gt;$AF$20),"Outlier","OK")</f>
        <v>OK</v>
      </c>
      <c r="N1437" t="str">
        <f>IF(OR(J1437&lt;$AE$21,J1437&gt;$AF$21),"Outlier","OK")</f>
        <v>OK</v>
      </c>
      <c r="O1437" t="str">
        <f>IF(OR(C1437&lt;0,C1437&gt;1),"Outlier","OK")</f>
        <v>OK</v>
      </c>
      <c r="P1437" t="str">
        <f>IF(OR(D1437&lt;0,D1437&gt;1),"Outlier","OK")</f>
        <v>Outlier</v>
      </c>
      <c r="Q1437" t="str">
        <f t="shared" si="178"/>
        <v>60-80%</v>
      </c>
      <c r="R1437" t="str">
        <f>IF(B1437="","Missing","OK")</f>
        <v>OK</v>
      </c>
      <c r="S1437" t="str">
        <f>IF(E1437="","Missing","OK")</f>
        <v>OK</v>
      </c>
      <c r="T1437" t="str">
        <f t="shared" si="179"/>
        <v>OK</v>
      </c>
      <c r="U1437">
        <f>COUNTIF($A:$A,A1437)</f>
        <v>1</v>
      </c>
      <c r="V1437" t="str">
        <f t="shared" si="180"/>
        <v>OK</v>
      </c>
      <c r="W1437" t="str">
        <f>IF(I1437&gt;B1437,"ERROR","OK")</f>
        <v>OK</v>
      </c>
      <c r="X1437">
        <f>(B1437-I1437)/B1437</f>
        <v>0.72520153894887351</v>
      </c>
      <c r="Y1437" s="2">
        <f t="shared" si="181"/>
        <v>4.4408920985006262E-16</v>
      </c>
      <c r="Z1437" s="2" t="str">
        <f t="shared" si="182"/>
        <v>OK</v>
      </c>
      <c r="AA1437" t="str">
        <f t="shared" si="183"/>
        <v>Unique</v>
      </c>
    </row>
    <row r="1438" spans="1:27" x14ac:dyDescent="0.3">
      <c r="A1438">
        <v>1437</v>
      </c>
      <c r="B1438">
        <v>926117.582355313</v>
      </c>
      <c r="C1438">
        <v>0.35229929035221802</v>
      </c>
      <c r="D1438">
        <v>-7.4513079227826401E-3</v>
      </c>
      <c r="E1438">
        <v>0.29877352356438602</v>
      </c>
      <c r="F1438">
        <v>1</v>
      </c>
      <c r="G1438" t="s">
        <v>13</v>
      </c>
      <c r="H1438">
        <v>0</v>
      </c>
      <c r="I1438">
        <v>276699.41331522702</v>
      </c>
      <c r="J1438">
        <v>0.70122647643561298</v>
      </c>
      <c r="K1438" t="str">
        <f t="shared" si="176"/>
        <v>OK</v>
      </c>
      <c r="L1438" t="str">
        <f t="shared" si="177"/>
        <v>OK</v>
      </c>
      <c r="M1438" t="str">
        <f>IF(OR(B1438&lt;$AE$20,B1438&gt;$AF$20),"Outlier","OK")</f>
        <v>OK</v>
      </c>
      <c r="N1438" t="str">
        <f>IF(OR(J1438&lt;$AE$21,J1438&gt;$AF$21),"Outlier","OK")</f>
        <v>OK</v>
      </c>
      <c r="O1438" t="str">
        <f>IF(OR(C1438&lt;0,C1438&gt;1),"Outlier","OK")</f>
        <v>OK</v>
      </c>
      <c r="P1438" t="str">
        <f>IF(OR(D1438&lt;0,D1438&gt;1),"Outlier","OK")</f>
        <v>Outlier</v>
      </c>
      <c r="Q1438" t="str">
        <f t="shared" si="178"/>
        <v>60-80%</v>
      </c>
      <c r="R1438" t="str">
        <f>IF(B1438="","Missing","OK")</f>
        <v>OK</v>
      </c>
      <c r="S1438" t="str">
        <f>IF(E1438="","Missing","OK")</f>
        <v>OK</v>
      </c>
      <c r="T1438" t="str">
        <f t="shared" si="179"/>
        <v>OK</v>
      </c>
      <c r="U1438">
        <f>COUNTIF($A:$A,A1438)</f>
        <v>1</v>
      </c>
      <c r="V1438" t="str">
        <f t="shared" si="180"/>
        <v>OK</v>
      </c>
      <c r="W1438" t="str">
        <f>IF(I1438&gt;B1438,"ERROR","OK")</f>
        <v>OK</v>
      </c>
      <c r="X1438">
        <f>(B1438-I1438)/B1438</f>
        <v>0.70122647643561431</v>
      </c>
      <c r="Y1438" s="2">
        <f t="shared" si="181"/>
        <v>1.3322676295501878E-15</v>
      </c>
      <c r="Z1438" s="2" t="str">
        <f t="shared" si="182"/>
        <v>OK</v>
      </c>
      <c r="AA1438" t="str">
        <f t="shared" si="183"/>
        <v>Unique</v>
      </c>
    </row>
    <row r="1439" spans="1:27" x14ac:dyDescent="0.3">
      <c r="A1439">
        <v>1438</v>
      </c>
      <c r="B1439">
        <v>1782882.1998877099</v>
      </c>
      <c r="C1439">
        <v>0.70557850355555596</v>
      </c>
      <c r="D1439">
        <v>-0.17132251300811899</v>
      </c>
      <c r="E1439">
        <v>0.46141636143988402</v>
      </c>
      <c r="F1439">
        <v>1</v>
      </c>
      <c r="G1439" t="s">
        <v>12</v>
      </c>
      <c r="H1439">
        <v>1</v>
      </c>
      <c r="I1439">
        <v>822651.017548125</v>
      </c>
      <c r="J1439">
        <v>0.53858363856011504</v>
      </c>
      <c r="K1439" t="str">
        <f t="shared" si="176"/>
        <v>OK</v>
      </c>
      <c r="L1439" t="str">
        <f t="shared" si="177"/>
        <v>OK</v>
      </c>
      <c r="M1439" t="str">
        <f>IF(OR(B1439&lt;$AE$20,B1439&gt;$AF$20),"Outlier","OK")</f>
        <v>OK</v>
      </c>
      <c r="N1439" t="str">
        <f>IF(OR(J1439&lt;$AE$21,J1439&gt;$AF$21),"Outlier","OK")</f>
        <v>OK</v>
      </c>
      <c r="O1439" t="str">
        <f>IF(OR(C1439&lt;0,C1439&gt;1),"Outlier","OK")</f>
        <v>OK</v>
      </c>
      <c r="P1439" t="str">
        <f>IF(OR(D1439&lt;0,D1439&gt;1),"Outlier","OK")</f>
        <v>Outlier</v>
      </c>
      <c r="Q1439" t="str">
        <f t="shared" si="178"/>
        <v>40-60%</v>
      </c>
      <c r="R1439" t="str">
        <f>IF(B1439="","Missing","OK")</f>
        <v>OK</v>
      </c>
      <c r="S1439" t="str">
        <f>IF(E1439="","Missing","OK")</f>
        <v>OK</v>
      </c>
      <c r="T1439" t="str">
        <f t="shared" si="179"/>
        <v>OK</v>
      </c>
      <c r="U1439">
        <f>COUNTIF($A:$A,A1439)</f>
        <v>1</v>
      </c>
      <c r="V1439" t="str">
        <f t="shared" si="180"/>
        <v>OK</v>
      </c>
      <c r="W1439" t="str">
        <f>IF(I1439&gt;B1439,"ERROR","OK")</f>
        <v>OK</v>
      </c>
      <c r="X1439">
        <f>(B1439-I1439)/B1439</f>
        <v>0.53858363856011493</v>
      </c>
      <c r="Y1439" s="2">
        <f t="shared" si="181"/>
        <v>1.1102230246251565E-16</v>
      </c>
      <c r="Z1439" s="2" t="str">
        <f t="shared" si="182"/>
        <v>OK</v>
      </c>
      <c r="AA1439" t="str">
        <f t="shared" si="183"/>
        <v>Unique</v>
      </c>
    </row>
    <row r="1440" spans="1:27" x14ac:dyDescent="0.3">
      <c r="A1440">
        <v>1439</v>
      </c>
      <c r="B1440">
        <v>224125.70769219199</v>
      </c>
      <c r="C1440">
        <v>0.53332355325649805</v>
      </c>
      <c r="D1440">
        <v>0.14477421283950201</v>
      </c>
      <c r="E1440">
        <v>1.7836652231658302E-2</v>
      </c>
      <c r="F1440">
        <v>1</v>
      </c>
      <c r="G1440" t="s">
        <v>12</v>
      </c>
      <c r="H1440">
        <v>1</v>
      </c>
      <c r="I1440">
        <v>3997.6523042799399</v>
      </c>
      <c r="J1440">
        <v>0.98216334776834102</v>
      </c>
      <c r="K1440" t="str">
        <f t="shared" si="176"/>
        <v>OK</v>
      </c>
      <c r="L1440" t="str">
        <f t="shared" si="177"/>
        <v>OK</v>
      </c>
      <c r="M1440" t="str">
        <f>IF(OR(B1440&lt;$AE$20,B1440&gt;$AF$20),"Outlier","OK")</f>
        <v>OK</v>
      </c>
      <c r="N1440" t="str">
        <f>IF(OR(J1440&lt;$AE$21,J1440&gt;$AF$21),"Outlier","OK")</f>
        <v>Outlier</v>
      </c>
      <c r="O1440" t="str">
        <f>IF(OR(C1440&lt;0,C1440&gt;1),"Outlier","OK")</f>
        <v>OK</v>
      </c>
      <c r="P1440" t="str">
        <f>IF(OR(D1440&lt;0,D1440&gt;1),"Outlier","OK")</f>
        <v>OK</v>
      </c>
      <c r="Q1440" t="str">
        <f t="shared" si="178"/>
        <v>80-100%</v>
      </c>
      <c r="R1440" t="str">
        <f>IF(B1440="","Missing","OK")</f>
        <v>OK</v>
      </c>
      <c r="S1440" t="str">
        <f>IF(E1440="","Missing","OK")</f>
        <v>OK</v>
      </c>
      <c r="T1440" t="str">
        <f t="shared" si="179"/>
        <v>OK</v>
      </c>
      <c r="U1440">
        <f>COUNTIF($A:$A,A1440)</f>
        <v>1</v>
      </c>
      <c r="V1440" t="str">
        <f t="shared" si="180"/>
        <v>OK</v>
      </c>
      <c r="W1440" t="str">
        <f>IF(I1440&gt;B1440,"ERROR","OK")</f>
        <v>OK</v>
      </c>
      <c r="X1440">
        <f>(B1440-I1440)/B1440</f>
        <v>0.98216334776834169</v>
      </c>
      <c r="Y1440" s="2">
        <f t="shared" si="181"/>
        <v>6.6613381477509392E-16</v>
      </c>
      <c r="Z1440" s="2" t="str">
        <f t="shared" si="182"/>
        <v>OK</v>
      </c>
      <c r="AA1440" t="str">
        <f t="shared" si="183"/>
        <v>Unique</v>
      </c>
    </row>
    <row r="1441" spans="1:27" x14ac:dyDescent="0.3">
      <c r="A1441">
        <v>1440</v>
      </c>
      <c r="B1441">
        <v>1699853.6940826699</v>
      </c>
      <c r="C1441">
        <v>0.72086532677349002</v>
      </c>
      <c r="D1441">
        <v>-0.14488755397278899</v>
      </c>
      <c r="E1441">
        <v>0.25954969416054902</v>
      </c>
      <c r="F1441">
        <v>1</v>
      </c>
      <c r="G1441" t="s">
        <v>13</v>
      </c>
      <c r="H1441">
        <v>0</v>
      </c>
      <c r="I1441">
        <v>441196.50641683699</v>
      </c>
      <c r="J1441">
        <v>0.74045030583945004</v>
      </c>
      <c r="K1441" t="str">
        <f t="shared" si="176"/>
        <v>OK</v>
      </c>
      <c r="L1441" t="str">
        <f t="shared" si="177"/>
        <v>OK</v>
      </c>
      <c r="M1441" t="str">
        <f>IF(OR(B1441&lt;$AE$20,B1441&gt;$AF$20),"Outlier","OK")</f>
        <v>OK</v>
      </c>
      <c r="N1441" t="str">
        <f>IF(OR(J1441&lt;$AE$21,J1441&gt;$AF$21),"Outlier","OK")</f>
        <v>OK</v>
      </c>
      <c r="O1441" t="str">
        <f>IF(OR(C1441&lt;0,C1441&gt;1),"Outlier","OK")</f>
        <v>OK</v>
      </c>
      <c r="P1441" t="str">
        <f>IF(OR(D1441&lt;0,D1441&gt;1),"Outlier","OK")</f>
        <v>Outlier</v>
      </c>
      <c r="Q1441" t="str">
        <f t="shared" si="178"/>
        <v>60-80%</v>
      </c>
      <c r="R1441" t="str">
        <f>IF(B1441="","Missing","OK")</f>
        <v>OK</v>
      </c>
      <c r="S1441" t="str">
        <f>IF(E1441="","Missing","OK")</f>
        <v>OK</v>
      </c>
      <c r="T1441" t="str">
        <f t="shared" si="179"/>
        <v>OK</v>
      </c>
      <c r="U1441">
        <f>COUNTIF($A:$A,A1441)</f>
        <v>1</v>
      </c>
      <c r="V1441" t="str">
        <f t="shared" si="180"/>
        <v>OK</v>
      </c>
      <c r="W1441" t="str">
        <f>IF(I1441&gt;B1441,"ERROR","OK")</f>
        <v>OK</v>
      </c>
      <c r="X1441">
        <f>(B1441-I1441)/B1441</f>
        <v>0.74045030583945071</v>
      </c>
      <c r="Y1441" s="2">
        <f t="shared" si="181"/>
        <v>6.6613381477509392E-16</v>
      </c>
      <c r="Z1441" s="2" t="str">
        <f t="shared" si="182"/>
        <v>OK</v>
      </c>
      <c r="AA1441" t="str">
        <f t="shared" si="183"/>
        <v>Unique</v>
      </c>
    </row>
    <row r="1442" spans="1:27" x14ac:dyDescent="0.3">
      <c r="A1442">
        <v>1441</v>
      </c>
      <c r="B1442">
        <v>1244137.79145765</v>
      </c>
      <c r="C1442">
        <v>0.37410312633175202</v>
      </c>
      <c r="D1442">
        <v>0.13100236516278099</v>
      </c>
      <c r="E1442">
        <v>0.343925830691103</v>
      </c>
      <c r="F1442">
        <v>1</v>
      </c>
      <c r="G1442" t="s">
        <v>13</v>
      </c>
      <c r="H1442">
        <v>0</v>
      </c>
      <c r="I1442">
        <v>427891.12342126702</v>
      </c>
      <c r="J1442">
        <v>0.65607416930889595</v>
      </c>
      <c r="K1442" t="str">
        <f t="shared" si="176"/>
        <v>OK</v>
      </c>
      <c r="L1442" t="str">
        <f t="shared" si="177"/>
        <v>OK</v>
      </c>
      <c r="M1442" t="str">
        <f>IF(OR(B1442&lt;$AE$20,B1442&gt;$AF$20),"Outlier","OK")</f>
        <v>OK</v>
      </c>
      <c r="N1442" t="str">
        <f>IF(OR(J1442&lt;$AE$21,J1442&gt;$AF$21),"Outlier","OK")</f>
        <v>OK</v>
      </c>
      <c r="O1442" t="str">
        <f>IF(OR(C1442&lt;0,C1442&gt;1),"Outlier","OK")</f>
        <v>OK</v>
      </c>
      <c r="P1442" t="str">
        <f>IF(OR(D1442&lt;0,D1442&gt;1),"Outlier","OK")</f>
        <v>OK</v>
      </c>
      <c r="Q1442" t="str">
        <f t="shared" si="178"/>
        <v>60-80%</v>
      </c>
      <c r="R1442" t="str">
        <f>IF(B1442="","Missing","OK")</f>
        <v>OK</v>
      </c>
      <c r="S1442" t="str">
        <f>IF(E1442="","Missing","OK")</f>
        <v>OK</v>
      </c>
      <c r="T1442" t="str">
        <f t="shared" si="179"/>
        <v>OK</v>
      </c>
      <c r="U1442">
        <f>COUNTIF($A:$A,A1442)</f>
        <v>1</v>
      </c>
      <c r="V1442" t="str">
        <f t="shared" si="180"/>
        <v>OK</v>
      </c>
      <c r="W1442" t="str">
        <f>IF(I1442&gt;B1442,"ERROR","OK")</f>
        <v>OK</v>
      </c>
      <c r="X1442">
        <f>(B1442-I1442)/B1442</f>
        <v>0.65607416930889662</v>
      </c>
      <c r="Y1442" s="2">
        <f t="shared" si="181"/>
        <v>6.6613381477509392E-16</v>
      </c>
      <c r="Z1442" s="2" t="str">
        <f t="shared" si="182"/>
        <v>OK</v>
      </c>
      <c r="AA1442" t="str">
        <f t="shared" si="183"/>
        <v>Unique</v>
      </c>
    </row>
    <row r="1443" spans="1:27" x14ac:dyDescent="0.3">
      <c r="A1443">
        <v>1442</v>
      </c>
      <c r="B1443">
        <v>1098942.2098602101</v>
      </c>
      <c r="C1443">
        <v>0.71467542344788904</v>
      </c>
      <c r="D1443">
        <v>-2.3621515860533199E-2</v>
      </c>
      <c r="E1443">
        <v>0.41045661933324501</v>
      </c>
      <c r="F1443">
        <v>1</v>
      </c>
      <c r="G1443" t="s">
        <v>10</v>
      </c>
      <c r="H1443">
        <v>1</v>
      </c>
      <c r="I1443">
        <v>451068.10430182802</v>
      </c>
      <c r="J1443">
        <v>0.58954338066675405</v>
      </c>
      <c r="K1443" t="str">
        <f t="shared" si="176"/>
        <v>OK</v>
      </c>
      <c r="L1443" t="str">
        <f t="shared" si="177"/>
        <v>OK</v>
      </c>
      <c r="M1443" t="str">
        <f>IF(OR(B1443&lt;$AE$20,B1443&gt;$AF$20),"Outlier","OK")</f>
        <v>OK</v>
      </c>
      <c r="N1443" t="str">
        <f>IF(OR(J1443&lt;$AE$21,J1443&gt;$AF$21),"Outlier","OK")</f>
        <v>OK</v>
      </c>
      <c r="O1443" t="str">
        <f>IF(OR(C1443&lt;0,C1443&gt;1),"Outlier","OK")</f>
        <v>OK</v>
      </c>
      <c r="P1443" t="str">
        <f>IF(OR(D1443&lt;0,D1443&gt;1),"Outlier","OK")</f>
        <v>Outlier</v>
      </c>
      <c r="Q1443" t="str">
        <f t="shared" si="178"/>
        <v>40-60%</v>
      </c>
      <c r="R1443" t="str">
        <f>IF(B1443="","Missing","OK")</f>
        <v>OK</v>
      </c>
      <c r="S1443" t="str">
        <f>IF(E1443="","Missing","OK")</f>
        <v>OK</v>
      </c>
      <c r="T1443" t="str">
        <f t="shared" si="179"/>
        <v>OK</v>
      </c>
      <c r="U1443">
        <f>COUNTIF($A:$A,A1443)</f>
        <v>1</v>
      </c>
      <c r="V1443" t="str">
        <f t="shared" si="180"/>
        <v>OK</v>
      </c>
      <c r="W1443" t="str">
        <f>IF(I1443&gt;B1443,"ERROR","OK")</f>
        <v>OK</v>
      </c>
      <c r="X1443">
        <f>(B1443-I1443)/B1443</f>
        <v>0.58954338066675438</v>
      </c>
      <c r="Y1443" s="2">
        <f t="shared" si="181"/>
        <v>3.3306690738754696E-16</v>
      </c>
      <c r="Z1443" s="2" t="str">
        <f t="shared" si="182"/>
        <v>OK</v>
      </c>
      <c r="AA1443" t="str">
        <f t="shared" si="183"/>
        <v>Unique</v>
      </c>
    </row>
    <row r="1444" spans="1:27" x14ac:dyDescent="0.3">
      <c r="A1444">
        <v>1443</v>
      </c>
      <c r="B1444">
        <v>646613.86793112103</v>
      </c>
      <c r="C1444">
        <v>0.56344655558439505</v>
      </c>
      <c r="D1444">
        <v>0.10843823781064101</v>
      </c>
      <c r="E1444">
        <v>0.28485811388754601</v>
      </c>
      <c r="F1444">
        <v>1</v>
      </c>
      <c r="G1444" t="s">
        <v>11</v>
      </c>
      <c r="H1444">
        <v>0</v>
      </c>
      <c r="I1444">
        <v>184193.20683238999</v>
      </c>
      <c r="J1444">
        <v>0.715141886112453</v>
      </c>
      <c r="K1444" t="str">
        <f t="shared" si="176"/>
        <v>OK</v>
      </c>
      <c r="L1444" t="str">
        <f t="shared" si="177"/>
        <v>OK</v>
      </c>
      <c r="M1444" t="str">
        <f>IF(OR(B1444&lt;$AE$20,B1444&gt;$AF$20),"Outlier","OK")</f>
        <v>OK</v>
      </c>
      <c r="N1444" t="str">
        <f>IF(OR(J1444&lt;$AE$21,J1444&gt;$AF$21),"Outlier","OK")</f>
        <v>OK</v>
      </c>
      <c r="O1444" t="str">
        <f>IF(OR(C1444&lt;0,C1444&gt;1),"Outlier","OK")</f>
        <v>OK</v>
      </c>
      <c r="P1444" t="str">
        <f>IF(OR(D1444&lt;0,D1444&gt;1),"Outlier","OK")</f>
        <v>OK</v>
      </c>
      <c r="Q1444" t="str">
        <f t="shared" si="178"/>
        <v>60-80%</v>
      </c>
      <c r="R1444" t="str">
        <f>IF(B1444="","Missing","OK")</f>
        <v>OK</v>
      </c>
      <c r="S1444" t="str">
        <f>IF(E1444="","Missing","OK")</f>
        <v>OK</v>
      </c>
      <c r="T1444" t="str">
        <f t="shared" si="179"/>
        <v>OK</v>
      </c>
      <c r="U1444">
        <f>COUNTIF($A:$A,A1444)</f>
        <v>1</v>
      </c>
      <c r="V1444" t="str">
        <f t="shared" si="180"/>
        <v>OK</v>
      </c>
      <c r="W1444" t="str">
        <f>IF(I1444&gt;B1444,"ERROR","OK")</f>
        <v>OK</v>
      </c>
      <c r="X1444">
        <f>(B1444-I1444)/B1444</f>
        <v>0.71514188611245388</v>
      </c>
      <c r="Y1444" s="2">
        <f t="shared" si="181"/>
        <v>8.8817841970012523E-16</v>
      </c>
      <c r="Z1444" s="2" t="str">
        <f t="shared" si="182"/>
        <v>OK</v>
      </c>
      <c r="AA1444" t="str">
        <f t="shared" si="183"/>
        <v>Unique</v>
      </c>
    </row>
    <row r="1445" spans="1:27" x14ac:dyDescent="0.3">
      <c r="A1445">
        <v>1444</v>
      </c>
      <c r="B1445">
        <v>1006220.09041499</v>
      </c>
      <c r="C1445">
        <v>0.81511572738946203</v>
      </c>
      <c r="D1445">
        <v>-3.12139741030916E-2</v>
      </c>
      <c r="E1445">
        <v>0.141585131174813</v>
      </c>
      <c r="F1445">
        <v>1</v>
      </c>
      <c r="G1445" t="s">
        <v>13</v>
      </c>
      <c r="H1445">
        <v>1</v>
      </c>
      <c r="I1445">
        <v>142465.80349213901</v>
      </c>
      <c r="J1445">
        <v>0.85841486882518603</v>
      </c>
      <c r="K1445" t="str">
        <f t="shared" si="176"/>
        <v>OK</v>
      </c>
      <c r="L1445" t="str">
        <f t="shared" si="177"/>
        <v>OK</v>
      </c>
      <c r="M1445" t="str">
        <f>IF(OR(B1445&lt;$AE$20,B1445&gt;$AF$20),"Outlier","OK")</f>
        <v>OK</v>
      </c>
      <c r="N1445" t="str">
        <f>IF(OR(J1445&lt;$AE$21,J1445&gt;$AF$21),"Outlier","OK")</f>
        <v>OK</v>
      </c>
      <c r="O1445" t="str">
        <f>IF(OR(C1445&lt;0,C1445&gt;1),"Outlier","OK")</f>
        <v>OK</v>
      </c>
      <c r="P1445" t="str">
        <f>IF(OR(D1445&lt;0,D1445&gt;1),"Outlier","OK")</f>
        <v>Outlier</v>
      </c>
      <c r="Q1445" t="str">
        <f t="shared" si="178"/>
        <v>80-100%</v>
      </c>
      <c r="R1445" t="str">
        <f>IF(B1445="","Missing","OK")</f>
        <v>OK</v>
      </c>
      <c r="S1445" t="str">
        <f>IF(E1445="","Missing","OK")</f>
        <v>OK</v>
      </c>
      <c r="T1445" t="str">
        <f t="shared" si="179"/>
        <v>OK</v>
      </c>
      <c r="U1445">
        <f>COUNTIF($A:$A,A1445)</f>
        <v>1</v>
      </c>
      <c r="V1445" t="str">
        <f t="shared" si="180"/>
        <v>OK</v>
      </c>
      <c r="W1445" t="str">
        <f>IF(I1445&gt;B1445,"ERROR","OK")</f>
        <v>OK</v>
      </c>
      <c r="X1445">
        <f>(B1445-I1445)/B1445</f>
        <v>0.85841486882518658</v>
      </c>
      <c r="Y1445" s="2">
        <f t="shared" si="181"/>
        <v>5.5511151231257827E-16</v>
      </c>
      <c r="Z1445" s="2" t="str">
        <f t="shared" si="182"/>
        <v>OK</v>
      </c>
      <c r="AA1445" t="str">
        <f t="shared" si="183"/>
        <v>Unique</v>
      </c>
    </row>
    <row r="1446" spans="1:27" x14ac:dyDescent="0.3">
      <c r="A1446">
        <v>1445</v>
      </c>
      <c r="B1446">
        <v>583236.23868643097</v>
      </c>
      <c r="C1446">
        <v>0.78845581340455295</v>
      </c>
      <c r="D1446">
        <v>0.163378750883691</v>
      </c>
      <c r="E1446">
        <v>0.36224386323750302</v>
      </c>
      <c r="F1446">
        <v>1</v>
      </c>
      <c r="G1446" t="s">
        <v>13</v>
      </c>
      <c r="H1446">
        <v>0</v>
      </c>
      <c r="I1446">
        <v>211273.74828188299</v>
      </c>
      <c r="J1446">
        <v>0.63775613676249598</v>
      </c>
      <c r="K1446" t="str">
        <f t="shared" si="176"/>
        <v>OK</v>
      </c>
      <c r="L1446" t="str">
        <f t="shared" si="177"/>
        <v>OK</v>
      </c>
      <c r="M1446" t="str">
        <f>IF(OR(B1446&lt;$AE$20,B1446&gt;$AF$20),"Outlier","OK")</f>
        <v>OK</v>
      </c>
      <c r="N1446" t="str">
        <f>IF(OR(J1446&lt;$AE$21,J1446&gt;$AF$21),"Outlier","OK")</f>
        <v>OK</v>
      </c>
      <c r="O1446" t="str">
        <f>IF(OR(C1446&lt;0,C1446&gt;1),"Outlier","OK")</f>
        <v>OK</v>
      </c>
      <c r="P1446" t="str">
        <f>IF(OR(D1446&lt;0,D1446&gt;1),"Outlier","OK")</f>
        <v>OK</v>
      </c>
      <c r="Q1446" t="str">
        <f t="shared" si="178"/>
        <v>60-80%</v>
      </c>
      <c r="R1446" t="str">
        <f>IF(B1446="","Missing","OK")</f>
        <v>OK</v>
      </c>
      <c r="S1446" t="str">
        <f>IF(E1446="","Missing","OK")</f>
        <v>OK</v>
      </c>
      <c r="T1446" t="str">
        <f t="shared" si="179"/>
        <v>OK</v>
      </c>
      <c r="U1446">
        <f>COUNTIF($A:$A,A1446)</f>
        <v>1</v>
      </c>
      <c r="V1446" t="str">
        <f t="shared" si="180"/>
        <v>OK</v>
      </c>
      <c r="W1446" t="str">
        <f>IF(I1446&gt;B1446,"ERROR","OK")</f>
        <v>OK</v>
      </c>
      <c r="X1446">
        <f>(B1446-I1446)/B1446</f>
        <v>0.63775613676249732</v>
      </c>
      <c r="Y1446" s="2">
        <f t="shared" si="181"/>
        <v>1.3322676295501878E-15</v>
      </c>
      <c r="Z1446" s="2" t="str">
        <f t="shared" si="182"/>
        <v>OK</v>
      </c>
      <c r="AA1446" t="str">
        <f t="shared" si="183"/>
        <v>Unique</v>
      </c>
    </row>
    <row r="1447" spans="1:27" x14ac:dyDescent="0.3">
      <c r="A1447">
        <v>1446</v>
      </c>
      <c r="B1447">
        <v>938845.01582257706</v>
      </c>
      <c r="C1447">
        <v>0.47517646895000498</v>
      </c>
      <c r="D1447">
        <v>-2.1019570515472E-2</v>
      </c>
      <c r="E1447">
        <v>0.19643469479339301</v>
      </c>
      <c r="F1447">
        <v>1</v>
      </c>
      <c r="G1447" t="s">
        <v>13</v>
      </c>
      <c r="H1447">
        <v>0</v>
      </c>
      <c r="I1447">
        <v>184421.73414140701</v>
      </c>
      <c r="J1447">
        <v>0.80356530520660596</v>
      </c>
      <c r="K1447" t="str">
        <f t="shared" si="176"/>
        <v>OK</v>
      </c>
      <c r="L1447" t="str">
        <f t="shared" si="177"/>
        <v>OK</v>
      </c>
      <c r="M1447" t="str">
        <f>IF(OR(B1447&lt;$AE$20,B1447&gt;$AF$20),"Outlier","OK")</f>
        <v>OK</v>
      </c>
      <c r="N1447" t="str">
        <f>IF(OR(J1447&lt;$AE$21,J1447&gt;$AF$21),"Outlier","OK")</f>
        <v>OK</v>
      </c>
      <c r="O1447" t="str">
        <f>IF(OR(C1447&lt;0,C1447&gt;1),"Outlier","OK")</f>
        <v>OK</v>
      </c>
      <c r="P1447" t="str">
        <f>IF(OR(D1447&lt;0,D1447&gt;1),"Outlier","OK")</f>
        <v>Outlier</v>
      </c>
      <c r="Q1447" t="str">
        <f t="shared" si="178"/>
        <v>80-100%</v>
      </c>
      <c r="R1447" t="str">
        <f>IF(B1447="","Missing","OK")</f>
        <v>OK</v>
      </c>
      <c r="S1447" t="str">
        <f>IF(E1447="","Missing","OK")</f>
        <v>OK</v>
      </c>
      <c r="T1447" t="str">
        <f t="shared" si="179"/>
        <v>OK</v>
      </c>
      <c r="U1447">
        <f>COUNTIF($A:$A,A1447)</f>
        <v>1</v>
      </c>
      <c r="V1447" t="str">
        <f t="shared" si="180"/>
        <v>OK</v>
      </c>
      <c r="W1447" t="str">
        <f>IF(I1447&gt;B1447,"ERROR","OK")</f>
        <v>OK</v>
      </c>
      <c r="X1447">
        <f>(B1447-I1447)/B1447</f>
        <v>0.80356530520660596</v>
      </c>
      <c r="Y1447" s="2">
        <f t="shared" si="181"/>
        <v>0</v>
      </c>
      <c r="Z1447" s="2" t="str">
        <f t="shared" si="182"/>
        <v>OK</v>
      </c>
      <c r="AA1447" t="str">
        <f t="shared" si="183"/>
        <v>Unique</v>
      </c>
    </row>
    <row r="1448" spans="1:27" x14ac:dyDescent="0.3">
      <c r="A1448">
        <v>1447</v>
      </c>
      <c r="B1448">
        <v>1549193.0364844699</v>
      </c>
      <c r="C1448">
        <v>0.84126406675292098</v>
      </c>
      <c r="D1448">
        <v>-0.14345183672129</v>
      </c>
      <c r="E1448">
        <v>0.63601734670953203</v>
      </c>
      <c r="F1448">
        <v>1</v>
      </c>
      <c r="G1448" t="s">
        <v>10</v>
      </c>
      <c r="H1448">
        <v>0</v>
      </c>
      <c r="I1448">
        <v>985313.64460573997</v>
      </c>
      <c r="J1448">
        <v>0.36398265329046697</v>
      </c>
      <c r="K1448" t="str">
        <f t="shared" si="176"/>
        <v>OK</v>
      </c>
      <c r="L1448" t="str">
        <f t="shared" si="177"/>
        <v>OK</v>
      </c>
      <c r="M1448" t="str">
        <f>IF(OR(B1448&lt;$AE$20,B1448&gt;$AF$20),"Outlier","OK")</f>
        <v>OK</v>
      </c>
      <c r="N1448" t="str">
        <f>IF(OR(J1448&lt;$AE$21,J1448&gt;$AF$21),"Outlier","OK")</f>
        <v>OK</v>
      </c>
      <c r="O1448" t="str">
        <f>IF(OR(C1448&lt;0,C1448&gt;1),"Outlier","OK")</f>
        <v>OK</v>
      </c>
      <c r="P1448" t="str">
        <f>IF(OR(D1448&lt;0,D1448&gt;1),"Outlier","OK")</f>
        <v>Outlier</v>
      </c>
      <c r="Q1448" t="str">
        <f t="shared" si="178"/>
        <v>20-40%</v>
      </c>
      <c r="R1448" t="str">
        <f>IF(B1448="","Missing","OK")</f>
        <v>OK</v>
      </c>
      <c r="S1448" t="str">
        <f>IF(E1448="","Missing","OK")</f>
        <v>OK</v>
      </c>
      <c r="T1448" t="str">
        <f t="shared" si="179"/>
        <v>OK</v>
      </c>
      <c r="U1448">
        <f>COUNTIF($A:$A,A1448)</f>
        <v>1</v>
      </c>
      <c r="V1448" t="str">
        <f t="shared" si="180"/>
        <v>OK</v>
      </c>
      <c r="W1448" t="str">
        <f>IF(I1448&gt;B1448,"ERROR","OK")</f>
        <v>OK</v>
      </c>
      <c r="X1448">
        <f>(B1448-I1448)/B1448</f>
        <v>0.36398265329046525</v>
      </c>
      <c r="Y1448" s="2">
        <f t="shared" si="181"/>
        <v>1.7208456881689926E-15</v>
      </c>
      <c r="Z1448" s="2" t="str">
        <f t="shared" si="182"/>
        <v>OK</v>
      </c>
      <c r="AA1448" t="str">
        <f t="shared" si="183"/>
        <v>Unique</v>
      </c>
    </row>
    <row r="1449" spans="1:27" x14ac:dyDescent="0.3">
      <c r="A1449">
        <v>1448</v>
      </c>
      <c r="B1449">
        <v>1269706.4374718701</v>
      </c>
      <c r="C1449">
        <v>0.80476372455821998</v>
      </c>
      <c r="D1449">
        <v>-0.115822016096518</v>
      </c>
      <c r="E1449">
        <v>0.25909920124093699</v>
      </c>
      <c r="F1449">
        <v>1</v>
      </c>
      <c r="G1449" t="s">
        <v>11</v>
      </c>
      <c r="H1449">
        <v>1</v>
      </c>
      <c r="I1449">
        <v>328979.92375943699</v>
      </c>
      <c r="J1449">
        <v>0.74090079875906301</v>
      </c>
      <c r="K1449" t="str">
        <f t="shared" si="176"/>
        <v>OK</v>
      </c>
      <c r="L1449" t="str">
        <f t="shared" si="177"/>
        <v>OK</v>
      </c>
      <c r="M1449" t="str">
        <f>IF(OR(B1449&lt;$AE$20,B1449&gt;$AF$20),"Outlier","OK")</f>
        <v>OK</v>
      </c>
      <c r="N1449" t="str">
        <f>IF(OR(J1449&lt;$AE$21,J1449&gt;$AF$21),"Outlier","OK")</f>
        <v>OK</v>
      </c>
      <c r="O1449" t="str">
        <f>IF(OR(C1449&lt;0,C1449&gt;1),"Outlier","OK")</f>
        <v>OK</v>
      </c>
      <c r="P1449" t="str">
        <f>IF(OR(D1449&lt;0,D1449&gt;1),"Outlier","OK")</f>
        <v>Outlier</v>
      </c>
      <c r="Q1449" t="str">
        <f t="shared" si="178"/>
        <v>60-80%</v>
      </c>
      <c r="R1449" t="str">
        <f>IF(B1449="","Missing","OK")</f>
        <v>OK</v>
      </c>
      <c r="S1449" t="str">
        <f>IF(E1449="","Missing","OK")</f>
        <v>OK</v>
      </c>
      <c r="T1449" t="str">
        <f t="shared" si="179"/>
        <v>OK</v>
      </c>
      <c r="U1449">
        <f>COUNTIF($A:$A,A1449)</f>
        <v>1</v>
      </c>
      <c r="V1449" t="str">
        <f t="shared" si="180"/>
        <v>OK</v>
      </c>
      <c r="W1449" t="str">
        <f>IF(I1449&gt;B1449,"ERROR","OK")</f>
        <v>OK</v>
      </c>
      <c r="X1449">
        <f>(B1449-I1449)/B1449</f>
        <v>0.74090079875906323</v>
      </c>
      <c r="Y1449" s="2">
        <f t="shared" si="181"/>
        <v>2.2204460492503131E-16</v>
      </c>
      <c r="Z1449" s="2" t="str">
        <f t="shared" si="182"/>
        <v>OK</v>
      </c>
      <c r="AA1449" t="str">
        <f t="shared" si="183"/>
        <v>Unique</v>
      </c>
    </row>
    <row r="1450" spans="1:27" x14ac:dyDescent="0.3">
      <c r="A1450">
        <v>1449</v>
      </c>
      <c r="B1450">
        <v>1377042.17065676</v>
      </c>
      <c r="C1450">
        <v>0.407857409338442</v>
      </c>
      <c r="D1450">
        <v>-0.18031676896490101</v>
      </c>
      <c r="E1450">
        <v>0.27850692199017402</v>
      </c>
      <c r="F1450">
        <v>1</v>
      </c>
      <c r="G1450" t="s">
        <v>10</v>
      </c>
      <c r="H1450">
        <v>0</v>
      </c>
      <c r="I1450">
        <v>383515.77640028403</v>
      </c>
      <c r="J1450">
        <v>0.72149307800982498</v>
      </c>
      <c r="K1450" t="str">
        <f t="shared" si="176"/>
        <v>OK</v>
      </c>
      <c r="L1450" t="str">
        <f t="shared" si="177"/>
        <v>OK</v>
      </c>
      <c r="M1450" t="str">
        <f>IF(OR(B1450&lt;$AE$20,B1450&gt;$AF$20),"Outlier","OK")</f>
        <v>OK</v>
      </c>
      <c r="N1450" t="str">
        <f>IF(OR(J1450&lt;$AE$21,J1450&gt;$AF$21),"Outlier","OK")</f>
        <v>OK</v>
      </c>
      <c r="O1450" t="str">
        <f>IF(OR(C1450&lt;0,C1450&gt;1),"Outlier","OK")</f>
        <v>OK</v>
      </c>
      <c r="P1450" t="str">
        <f>IF(OR(D1450&lt;0,D1450&gt;1),"Outlier","OK")</f>
        <v>Outlier</v>
      </c>
      <c r="Q1450" t="str">
        <f t="shared" si="178"/>
        <v>60-80%</v>
      </c>
      <c r="R1450" t="str">
        <f>IF(B1450="","Missing","OK")</f>
        <v>OK</v>
      </c>
      <c r="S1450" t="str">
        <f>IF(E1450="","Missing","OK")</f>
        <v>OK</v>
      </c>
      <c r="T1450" t="str">
        <f t="shared" si="179"/>
        <v>OK</v>
      </c>
      <c r="U1450">
        <f>COUNTIF($A:$A,A1450)</f>
        <v>1</v>
      </c>
      <c r="V1450" t="str">
        <f t="shared" si="180"/>
        <v>OK</v>
      </c>
      <c r="W1450" t="str">
        <f>IF(I1450&gt;B1450,"ERROR","OK")</f>
        <v>OK</v>
      </c>
      <c r="X1450">
        <f>(B1450-I1450)/B1450</f>
        <v>0.72149307800982465</v>
      </c>
      <c r="Y1450" s="2">
        <f t="shared" si="181"/>
        <v>3.3306690738754696E-16</v>
      </c>
      <c r="Z1450" s="2" t="str">
        <f t="shared" si="182"/>
        <v>OK</v>
      </c>
      <c r="AA1450" t="str">
        <f t="shared" si="183"/>
        <v>Unique</v>
      </c>
    </row>
    <row r="1451" spans="1:27" x14ac:dyDescent="0.3">
      <c r="A1451">
        <v>1450</v>
      </c>
      <c r="B1451">
        <v>1789822.6828982299</v>
      </c>
      <c r="C1451">
        <v>0.129231658646206</v>
      </c>
      <c r="D1451">
        <v>9.4902708408261094E-2</v>
      </c>
      <c r="E1451">
        <v>0.26599336606373603</v>
      </c>
      <c r="F1451">
        <v>1</v>
      </c>
      <c r="G1451" t="s">
        <v>12</v>
      </c>
      <c r="H1451">
        <v>1</v>
      </c>
      <c r="I1451">
        <v>476080.96008132701</v>
      </c>
      <c r="J1451">
        <v>0.73400663393626397</v>
      </c>
      <c r="K1451" t="str">
        <f t="shared" si="176"/>
        <v>OK</v>
      </c>
      <c r="L1451" t="str">
        <f t="shared" si="177"/>
        <v>OK</v>
      </c>
      <c r="M1451" t="str">
        <f>IF(OR(B1451&lt;$AE$20,B1451&gt;$AF$20),"Outlier","OK")</f>
        <v>OK</v>
      </c>
      <c r="N1451" t="str">
        <f>IF(OR(J1451&lt;$AE$21,J1451&gt;$AF$21),"Outlier","OK")</f>
        <v>OK</v>
      </c>
      <c r="O1451" t="str">
        <f>IF(OR(C1451&lt;0,C1451&gt;1),"Outlier","OK")</f>
        <v>OK</v>
      </c>
      <c r="P1451" t="str">
        <f>IF(OR(D1451&lt;0,D1451&gt;1),"Outlier","OK")</f>
        <v>OK</v>
      </c>
      <c r="Q1451" t="str">
        <f t="shared" si="178"/>
        <v>60-80%</v>
      </c>
      <c r="R1451" t="str">
        <f>IF(B1451="","Missing","OK")</f>
        <v>OK</v>
      </c>
      <c r="S1451" t="str">
        <f>IF(E1451="","Missing","OK")</f>
        <v>OK</v>
      </c>
      <c r="T1451" t="str">
        <f t="shared" si="179"/>
        <v>OK</v>
      </c>
      <c r="U1451">
        <f>COUNTIF($A:$A,A1451)</f>
        <v>1</v>
      </c>
      <c r="V1451" t="str">
        <f t="shared" si="180"/>
        <v>OK</v>
      </c>
      <c r="W1451" t="str">
        <f>IF(I1451&gt;B1451,"ERROR","OK")</f>
        <v>OK</v>
      </c>
      <c r="X1451">
        <f>(B1451-I1451)/B1451</f>
        <v>0.73400663393626397</v>
      </c>
      <c r="Y1451" s="2">
        <f t="shared" si="181"/>
        <v>0</v>
      </c>
      <c r="Z1451" s="2" t="str">
        <f t="shared" si="182"/>
        <v>OK</v>
      </c>
      <c r="AA1451" t="str">
        <f t="shared" si="183"/>
        <v>Unique</v>
      </c>
    </row>
    <row r="1452" spans="1:27" x14ac:dyDescent="0.3">
      <c r="A1452">
        <v>1451</v>
      </c>
      <c r="B1452">
        <v>153231.72804012499</v>
      </c>
      <c r="C1452">
        <v>0.16563973452144801</v>
      </c>
      <c r="D1452">
        <v>6.2338606678235799E-2</v>
      </c>
      <c r="E1452">
        <v>0.13825096410426599</v>
      </c>
      <c r="F1452">
        <v>1</v>
      </c>
      <c r="G1452" t="s">
        <v>10</v>
      </c>
      <c r="H1452">
        <v>1</v>
      </c>
      <c r="I1452">
        <v>21184.434132909999</v>
      </c>
      <c r="J1452">
        <v>0.86174903589573304</v>
      </c>
      <c r="K1452" t="str">
        <f t="shared" si="176"/>
        <v>OK</v>
      </c>
      <c r="L1452" t="str">
        <f t="shared" si="177"/>
        <v>OK</v>
      </c>
      <c r="M1452" t="str">
        <f>IF(OR(B1452&lt;$AE$20,B1452&gt;$AF$20),"Outlier","OK")</f>
        <v>OK</v>
      </c>
      <c r="N1452" t="str">
        <f>IF(OR(J1452&lt;$AE$21,J1452&gt;$AF$21),"Outlier","OK")</f>
        <v>OK</v>
      </c>
      <c r="O1452" t="str">
        <f>IF(OR(C1452&lt;0,C1452&gt;1),"Outlier","OK")</f>
        <v>OK</v>
      </c>
      <c r="P1452" t="str">
        <f>IF(OR(D1452&lt;0,D1452&gt;1),"Outlier","OK")</f>
        <v>OK</v>
      </c>
      <c r="Q1452" t="str">
        <f t="shared" si="178"/>
        <v>80-100%</v>
      </c>
      <c r="R1452" t="str">
        <f>IF(B1452="","Missing","OK")</f>
        <v>OK</v>
      </c>
      <c r="S1452" t="str">
        <f>IF(E1452="","Missing","OK")</f>
        <v>OK</v>
      </c>
      <c r="T1452" t="str">
        <f t="shared" si="179"/>
        <v>OK</v>
      </c>
      <c r="U1452">
        <f>COUNTIF($A:$A,A1452)</f>
        <v>1</v>
      </c>
      <c r="V1452" t="str">
        <f t="shared" si="180"/>
        <v>OK</v>
      </c>
      <c r="W1452" t="str">
        <f>IF(I1452&gt;B1452,"ERROR","OK")</f>
        <v>OK</v>
      </c>
      <c r="X1452">
        <f>(B1452-I1452)/B1452</f>
        <v>0.86174903589573393</v>
      </c>
      <c r="Y1452" s="2">
        <f t="shared" si="181"/>
        <v>8.8817841970012523E-16</v>
      </c>
      <c r="Z1452" s="2" t="str">
        <f t="shared" si="182"/>
        <v>OK</v>
      </c>
      <c r="AA1452" t="str">
        <f t="shared" si="183"/>
        <v>Unique</v>
      </c>
    </row>
    <row r="1453" spans="1:27" x14ac:dyDescent="0.3">
      <c r="A1453">
        <v>1452</v>
      </c>
      <c r="B1453">
        <v>437938.92334146798</v>
      </c>
      <c r="C1453">
        <v>0.68786341168105702</v>
      </c>
      <c r="D1453">
        <v>0.146411286639934</v>
      </c>
      <c r="E1453">
        <v>0.71539365801341903</v>
      </c>
      <c r="F1453">
        <v>1</v>
      </c>
      <c r="G1453" t="s">
        <v>13</v>
      </c>
      <c r="H1453">
        <v>0</v>
      </c>
      <c r="I1453">
        <v>313298.72835571098</v>
      </c>
      <c r="J1453">
        <v>0.28460634198658002</v>
      </c>
      <c r="K1453" t="str">
        <f t="shared" si="176"/>
        <v>OK</v>
      </c>
      <c r="L1453" t="str">
        <f t="shared" si="177"/>
        <v>OK</v>
      </c>
      <c r="M1453" t="str">
        <f>IF(OR(B1453&lt;$AE$20,B1453&gt;$AF$20),"Outlier","OK")</f>
        <v>OK</v>
      </c>
      <c r="N1453" t="str">
        <f>IF(OR(J1453&lt;$AE$21,J1453&gt;$AF$21),"Outlier","OK")</f>
        <v>Outlier</v>
      </c>
      <c r="O1453" t="str">
        <f>IF(OR(C1453&lt;0,C1453&gt;1),"Outlier","OK")</f>
        <v>OK</v>
      </c>
      <c r="P1453" t="str">
        <f>IF(OR(D1453&lt;0,D1453&gt;1),"Outlier","OK")</f>
        <v>OK</v>
      </c>
      <c r="Q1453" t="str">
        <f t="shared" si="178"/>
        <v>20-40%</v>
      </c>
      <c r="R1453" t="str">
        <f>IF(B1453="","Missing","OK")</f>
        <v>OK</v>
      </c>
      <c r="S1453" t="str">
        <f>IF(E1453="","Missing","OK")</f>
        <v>OK</v>
      </c>
      <c r="T1453" t="str">
        <f t="shared" si="179"/>
        <v>OK</v>
      </c>
      <c r="U1453">
        <f>COUNTIF($A:$A,A1453)</f>
        <v>1</v>
      </c>
      <c r="V1453" t="str">
        <f t="shared" si="180"/>
        <v>OK</v>
      </c>
      <c r="W1453" t="str">
        <f>IF(I1453&gt;B1453,"ERROR","OK")</f>
        <v>OK</v>
      </c>
      <c r="X1453">
        <f>(B1453-I1453)/B1453</f>
        <v>0.28460634198658119</v>
      </c>
      <c r="Y1453" s="2">
        <f t="shared" si="181"/>
        <v>1.1657341758564144E-15</v>
      </c>
      <c r="Z1453" s="2" t="str">
        <f t="shared" si="182"/>
        <v>OK</v>
      </c>
      <c r="AA1453" t="str">
        <f t="shared" si="183"/>
        <v>Unique</v>
      </c>
    </row>
    <row r="1454" spans="1:27" x14ac:dyDescent="0.3">
      <c r="A1454">
        <v>1453</v>
      </c>
      <c r="B1454">
        <v>1462178.1839405</v>
      </c>
      <c r="C1454">
        <v>0.65158641595321098</v>
      </c>
      <c r="D1454">
        <v>-3.6037233251807999E-3</v>
      </c>
      <c r="E1454">
        <v>0.38873566191397702</v>
      </c>
      <c r="F1454">
        <v>1</v>
      </c>
      <c r="G1454" t="s">
        <v>11</v>
      </c>
      <c r="H1454">
        <v>0</v>
      </c>
      <c r="I1454">
        <v>568400.80417029199</v>
      </c>
      <c r="J1454">
        <v>0.61126433808602199</v>
      </c>
      <c r="K1454" t="str">
        <f t="shared" si="176"/>
        <v>OK</v>
      </c>
      <c r="L1454" t="str">
        <f t="shared" si="177"/>
        <v>OK</v>
      </c>
      <c r="M1454" t="str">
        <f>IF(OR(B1454&lt;$AE$20,B1454&gt;$AF$20),"Outlier","OK")</f>
        <v>OK</v>
      </c>
      <c r="N1454" t="str">
        <f>IF(OR(J1454&lt;$AE$21,J1454&gt;$AF$21),"Outlier","OK")</f>
        <v>OK</v>
      </c>
      <c r="O1454" t="str">
        <f>IF(OR(C1454&lt;0,C1454&gt;1),"Outlier","OK")</f>
        <v>OK</v>
      </c>
      <c r="P1454" t="str">
        <f>IF(OR(D1454&lt;0,D1454&gt;1),"Outlier","OK")</f>
        <v>Outlier</v>
      </c>
      <c r="Q1454" t="str">
        <f t="shared" si="178"/>
        <v>60-80%</v>
      </c>
      <c r="R1454" t="str">
        <f>IF(B1454="","Missing","OK")</f>
        <v>OK</v>
      </c>
      <c r="S1454" t="str">
        <f>IF(E1454="","Missing","OK")</f>
        <v>OK</v>
      </c>
      <c r="T1454" t="str">
        <f t="shared" si="179"/>
        <v>OK</v>
      </c>
      <c r="U1454">
        <f>COUNTIF($A:$A,A1454)</f>
        <v>1</v>
      </c>
      <c r="V1454" t="str">
        <f t="shared" si="180"/>
        <v>OK</v>
      </c>
      <c r="W1454" t="str">
        <f>IF(I1454&gt;B1454,"ERROR","OK")</f>
        <v>OK</v>
      </c>
      <c r="X1454">
        <f>(B1454-I1454)/B1454</f>
        <v>0.61126433808601965</v>
      </c>
      <c r="Y1454" s="2">
        <f t="shared" si="181"/>
        <v>2.3314683517128287E-15</v>
      </c>
      <c r="Z1454" s="2" t="str">
        <f t="shared" si="182"/>
        <v>OK</v>
      </c>
      <c r="AA1454" t="str">
        <f t="shared" si="183"/>
        <v>Unique</v>
      </c>
    </row>
    <row r="1455" spans="1:27" x14ac:dyDescent="0.3">
      <c r="A1455">
        <v>1454</v>
      </c>
      <c r="B1455">
        <v>846059.63522703201</v>
      </c>
      <c r="C1455">
        <v>0.25921154480387298</v>
      </c>
      <c r="D1455">
        <v>2.24081289554563E-2</v>
      </c>
      <c r="E1455">
        <v>0.293844517699823</v>
      </c>
      <c r="F1455">
        <v>1</v>
      </c>
      <c r="G1455" t="s">
        <v>11</v>
      </c>
      <c r="H1455">
        <v>1</v>
      </c>
      <c r="I1455">
        <v>248609.98545857501</v>
      </c>
      <c r="J1455">
        <v>0.706155482300176</v>
      </c>
      <c r="K1455" t="str">
        <f t="shared" si="176"/>
        <v>OK</v>
      </c>
      <c r="L1455" t="str">
        <f t="shared" si="177"/>
        <v>OK</v>
      </c>
      <c r="M1455" t="str">
        <f>IF(OR(B1455&lt;$AE$20,B1455&gt;$AF$20),"Outlier","OK")</f>
        <v>OK</v>
      </c>
      <c r="N1455" t="str">
        <f>IF(OR(J1455&lt;$AE$21,J1455&gt;$AF$21),"Outlier","OK")</f>
        <v>OK</v>
      </c>
      <c r="O1455" t="str">
        <f>IF(OR(C1455&lt;0,C1455&gt;1),"Outlier","OK")</f>
        <v>OK</v>
      </c>
      <c r="P1455" t="str">
        <f>IF(OR(D1455&lt;0,D1455&gt;1),"Outlier","OK")</f>
        <v>OK</v>
      </c>
      <c r="Q1455" t="str">
        <f t="shared" si="178"/>
        <v>60-80%</v>
      </c>
      <c r="R1455" t="str">
        <f>IF(B1455="","Missing","OK")</f>
        <v>OK</v>
      </c>
      <c r="S1455" t="str">
        <f>IF(E1455="","Missing","OK")</f>
        <v>OK</v>
      </c>
      <c r="T1455" t="str">
        <f t="shared" si="179"/>
        <v>OK</v>
      </c>
      <c r="U1455">
        <f>COUNTIF($A:$A,A1455)</f>
        <v>1</v>
      </c>
      <c r="V1455" t="str">
        <f t="shared" si="180"/>
        <v>OK</v>
      </c>
      <c r="W1455" t="str">
        <f>IF(I1455&gt;B1455,"ERROR","OK")</f>
        <v>OK</v>
      </c>
      <c r="X1455">
        <f>(B1455-I1455)/B1455</f>
        <v>0.70615548230017755</v>
      </c>
      <c r="Y1455" s="2">
        <f t="shared" si="181"/>
        <v>1.5543122344752192E-15</v>
      </c>
      <c r="Z1455" s="2" t="str">
        <f t="shared" si="182"/>
        <v>OK</v>
      </c>
      <c r="AA1455" t="str">
        <f t="shared" si="183"/>
        <v>Unique</v>
      </c>
    </row>
    <row r="1456" spans="1:27" x14ac:dyDescent="0.3">
      <c r="A1456">
        <v>1455</v>
      </c>
      <c r="B1456">
        <v>1317915.83015576</v>
      </c>
      <c r="C1456">
        <v>0.43382877094605699</v>
      </c>
      <c r="D1456">
        <v>-0.124949924985719</v>
      </c>
      <c r="E1456">
        <v>0.33152151387347401</v>
      </c>
      <c r="F1456">
        <v>1</v>
      </c>
      <c r="G1456" t="s">
        <v>13</v>
      </c>
      <c r="H1456">
        <v>0</v>
      </c>
      <c r="I1456">
        <v>436917.45117105602</v>
      </c>
      <c r="J1456">
        <v>0.66847848612652505</v>
      </c>
      <c r="K1456" t="str">
        <f t="shared" si="176"/>
        <v>OK</v>
      </c>
      <c r="L1456" t="str">
        <f t="shared" si="177"/>
        <v>OK</v>
      </c>
      <c r="M1456" t="str">
        <f>IF(OR(B1456&lt;$AE$20,B1456&gt;$AF$20),"Outlier","OK")</f>
        <v>OK</v>
      </c>
      <c r="N1456" t="str">
        <f>IF(OR(J1456&lt;$AE$21,J1456&gt;$AF$21),"Outlier","OK")</f>
        <v>OK</v>
      </c>
      <c r="O1456" t="str">
        <f>IF(OR(C1456&lt;0,C1456&gt;1),"Outlier","OK")</f>
        <v>OK</v>
      </c>
      <c r="P1456" t="str">
        <f>IF(OR(D1456&lt;0,D1456&gt;1),"Outlier","OK")</f>
        <v>Outlier</v>
      </c>
      <c r="Q1456" t="str">
        <f t="shared" si="178"/>
        <v>60-80%</v>
      </c>
      <c r="R1456" t="str">
        <f>IF(B1456="","Missing","OK")</f>
        <v>OK</v>
      </c>
      <c r="S1456" t="str">
        <f>IF(E1456="","Missing","OK")</f>
        <v>OK</v>
      </c>
      <c r="T1456" t="str">
        <f t="shared" si="179"/>
        <v>OK</v>
      </c>
      <c r="U1456">
        <f>COUNTIF($A:$A,A1456)</f>
        <v>1</v>
      </c>
      <c r="V1456" t="str">
        <f t="shared" si="180"/>
        <v>OK</v>
      </c>
      <c r="W1456" t="str">
        <f>IF(I1456&gt;B1456,"ERROR","OK")</f>
        <v>OK</v>
      </c>
      <c r="X1456">
        <f>(B1456-I1456)/B1456</f>
        <v>0.66847848612652427</v>
      </c>
      <c r="Y1456" s="2">
        <f t="shared" si="181"/>
        <v>7.7715611723760958E-16</v>
      </c>
      <c r="Z1456" s="2" t="str">
        <f t="shared" si="182"/>
        <v>OK</v>
      </c>
      <c r="AA1456" t="str">
        <f t="shared" si="183"/>
        <v>Unique</v>
      </c>
    </row>
    <row r="1457" spans="1:27" x14ac:dyDescent="0.3">
      <c r="A1457">
        <v>1456</v>
      </c>
      <c r="B1457">
        <v>1800641.9685504099</v>
      </c>
      <c r="C1457">
        <v>0.81736655567858696</v>
      </c>
      <c r="D1457">
        <v>0.125493981934793</v>
      </c>
      <c r="E1457">
        <v>0.172285623454945</v>
      </c>
      <c r="F1457">
        <v>1</v>
      </c>
      <c r="G1457" t="s">
        <v>12</v>
      </c>
      <c r="H1457">
        <v>0</v>
      </c>
      <c r="I1457">
        <v>310224.72417084803</v>
      </c>
      <c r="J1457">
        <v>0.82771437654505398</v>
      </c>
      <c r="K1457" t="str">
        <f t="shared" si="176"/>
        <v>OK</v>
      </c>
      <c r="L1457" t="str">
        <f t="shared" si="177"/>
        <v>OK</v>
      </c>
      <c r="M1457" t="str">
        <f>IF(OR(B1457&lt;$AE$20,B1457&gt;$AF$20),"Outlier","OK")</f>
        <v>OK</v>
      </c>
      <c r="N1457" t="str">
        <f>IF(OR(J1457&lt;$AE$21,J1457&gt;$AF$21),"Outlier","OK")</f>
        <v>OK</v>
      </c>
      <c r="O1457" t="str">
        <f>IF(OR(C1457&lt;0,C1457&gt;1),"Outlier","OK")</f>
        <v>OK</v>
      </c>
      <c r="P1457" t="str">
        <f>IF(OR(D1457&lt;0,D1457&gt;1),"Outlier","OK")</f>
        <v>OK</v>
      </c>
      <c r="Q1457" t="str">
        <f t="shared" si="178"/>
        <v>80-100%</v>
      </c>
      <c r="R1457" t="str">
        <f>IF(B1457="","Missing","OK")</f>
        <v>OK</v>
      </c>
      <c r="S1457" t="str">
        <f>IF(E1457="","Missing","OK")</f>
        <v>OK</v>
      </c>
      <c r="T1457" t="str">
        <f t="shared" si="179"/>
        <v>OK</v>
      </c>
      <c r="U1457">
        <f>COUNTIF($A:$A,A1457)</f>
        <v>1</v>
      </c>
      <c r="V1457" t="str">
        <f t="shared" si="180"/>
        <v>OK</v>
      </c>
      <c r="W1457" t="str">
        <f>IF(I1457&gt;B1457,"ERROR","OK")</f>
        <v>OK</v>
      </c>
      <c r="X1457">
        <f>(B1457-I1457)/B1457</f>
        <v>0.82771437654505431</v>
      </c>
      <c r="Y1457" s="2">
        <f t="shared" si="181"/>
        <v>3.3306690738754696E-16</v>
      </c>
      <c r="Z1457" s="2" t="str">
        <f t="shared" si="182"/>
        <v>OK</v>
      </c>
      <c r="AA1457" t="str">
        <f t="shared" si="183"/>
        <v>Unique</v>
      </c>
    </row>
    <row r="1458" spans="1:27" x14ac:dyDescent="0.3">
      <c r="A1458">
        <v>1457</v>
      </c>
      <c r="B1458">
        <v>1485206.6819020701</v>
      </c>
      <c r="C1458">
        <v>0.52527707146639502</v>
      </c>
      <c r="D1458">
        <v>9.7907899922447195E-2</v>
      </c>
      <c r="E1458">
        <v>5.2470134827443698E-2</v>
      </c>
      <c r="F1458">
        <v>1</v>
      </c>
      <c r="G1458" t="s">
        <v>13</v>
      </c>
      <c r="H1458">
        <v>0</v>
      </c>
      <c r="I1458">
        <v>77928.994846022004</v>
      </c>
      <c r="J1458">
        <v>0.947529865172556</v>
      </c>
      <c r="K1458" t="str">
        <f t="shared" si="176"/>
        <v>OK</v>
      </c>
      <c r="L1458" t="str">
        <f t="shared" si="177"/>
        <v>OK</v>
      </c>
      <c r="M1458" t="str">
        <f>IF(OR(B1458&lt;$AE$20,B1458&gt;$AF$20),"Outlier","OK")</f>
        <v>OK</v>
      </c>
      <c r="N1458" t="str">
        <f>IF(OR(J1458&lt;$AE$21,J1458&gt;$AF$21),"Outlier","OK")</f>
        <v>OK</v>
      </c>
      <c r="O1458" t="str">
        <f>IF(OR(C1458&lt;0,C1458&gt;1),"Outlier","OK")</f>
        <v>OK</v>
      </c>
      <c r="P1458" t="str">
        <f>IF(OR(D1458&lt;0,D1458&gt;1),"Outlier","OK")</f>
        <v>OK</v>
      </c>
      <c r="Q1458" t="str">
        <f t="shared" si="178"/>
        <v>80-100%</v>
      </c>
      <c r="R1458" t="str">
        <f>IF(B1458="","Missing","OK")</f>
        <v>OK</v>
      </c>
      <c r="S1458" t="str">
        <f>IF(E1458="","Missing","OK")</f>
        <v>OK</v>
      </c>
      <c r="T1458" t="str">
        <f t="shared" si="179"/>
        <v>OK</v>
      </c>
      <c r="U1458">
        <f>COUNTIF($A:$A,A1458)</f>
        <v>1</v>
      </c>
      <c r="V1458" t="str">
        <f t="shared" si="180"/>
        <v>OK</v>
      </c>
      <c r="W1458" t="str">
        <f>IF(I1458&gt;B1458,"ERROR","OK")</f>
        <v>OK</v>
      </c>
      <c r="X1458">
        <f>(B1458-I1458)/B1458</f>
        <v>0.94752986517255622</v>
      </c>
      <c r="Y1458" s="2">
        <f t="shared" si="181"/>
        <v>2.2204460492503131E-16</v>
      </c>
      <c r="Z1458" s="2" t="str">
        <f t="shared" si="182"/>
        <v>OK</v>
      </c>
      <c r="AA1458" t="str">
        <f t="shared" si="183"/>
        <v>Unique</v>
      </c>
    </row>
    <row r="1459" spans="1:27" x14ac:dyDescent="0.3">
      <c r="A1459">
        <v>1458</v>
      </c>
      <c r="B1459">
        <v>1869578.68413261</v>
      </c>
      <c r="C1459">
        <v>0.474948767226681</v>
      </c>
      <c r="D1459">
        <v>-0.12684707075364399</v>
      </c>
      <c r="E1459">
        <v>0.26617309777318199</v>
      </c>
      <c r="F1459">
        <v>1</v>
      </c>
      <c r="G1459" t="s">
        <v>10</v>
      </c>
      <c r="H1459">
        <v>0</v>
      </c>
      <c r="I1459">
        <v>497631.54988628899</v>
      </c>
      <c r="J1459">
        <v>0.73382690222681701</v>
      </c>
      <c r="K1459" t="str">
        <f t="shared" si="176"/>
        <v>OK</v>
      </c>
      <c r="L1459" t="str">
        <f t="shared" si="177"/>
        <v>OK</v>
      </c>
      <c r="M1459" t="str">
        <f>IF(OR(B1459&lt;$AE$20,B1459&gt;$AF$20),"Outlier","OK")</f>
        <v>OK</v>
      </c>
      <c r="N1459" t="str">
        <f>IF(OR(J1459&lt;$AE$21,J1459&gt;$AF$21),"Outlier","OK")</f>
        <v>OK</v>
      </c>
      <c r="O1459" t="str">
        <f>IF(OR(C1459&lt;0,C1459&gt;1),"Outlier","OK")</f>
        <v>OK</v>
      </c>
      <c r="P1459" t="str">
        <f>IF(OR(D1459&lt;0,D1459&gt;1),"Outlier","OK")</f>
        <v>Outlier</v>
      </c>
      <c r="Q1459" t="str">
        <f t="shared" si="178"/>
        <v>60-80%</v>
      </c>
      <c r="R1459" t="str">
        <f>IF(B1459="","Missing","OK")</f>
        <v>OK</v>
      </c>
      <c r="S1459" t="str">
        <f>IF(E1459="","Missing","OK")</f>
        <v>OK</v>
      </c>
      <c r="T1459" t="str">
        <f t="shared" si="179"/>
        <v>OK</v>
      </c>
      <c r="U1459">
        <f>COUNTIF($A:$A,A1459)</f>
        <v>1</v>
      </c>
      <c r="V1459" t="str">
        <f t="shared" si="180"/>
        <v>OK</v>
      </c>
      <c r="W1459" t="str">
        <f>IF(I1459&gt;B1459,"ERROR","OK")</f>
        <v>OK</v>
      </c>
      <c r="X1459">
        <f>(B1459-I1459)/B1459</f>
        <v>0.73382690222681646</v>
      </c>
      <c r="Y1459" s="2">
        <f t="shared" si="181"/>
        <v>5.5511151231257827E-16</v>
      </c>
      <c r="Z1459" s="2" t="str">
        <f t="shared" si="182"/>
        <v>OK</v>
      </c>
      <c r="AA1459" t="str">
        <f t="shared" si="183"/>
        <v>Unique</v>
      </c>
    </row>
    <row r="1460" spans="1:27" x14ac:dyDescent="0.3">
      <c r="A1460">
        <v>1459</v>
      </c>
      <c r="B1460">
        <v>346286.12938204297</v>
      </c>
      <c r="C1460">
        <v>0.16097543702572001</v>
      </c>
      <c r="D1460">
        <v>-9.1208296224716101E-2</v>
      </c>
      <c r="E1460">
        <v>0.35637250931835501</v>
      </c>
      <c r="F1460">
        <v>1</v>
      </c>
      <c r="G1460" t="s">
        <v>13</v>
      </c>
      <c r="H1460">
        <v>0</v>
      </c>
      <c r="I1460">
        <v>123406.85687001899</v>
      </c>
      <c r="J1460">
        <v>0.64362749068164404</v>
      </c>
      <c r="K1460" t="str">
        <f t="shared" si="176"/>
        <v>OK</v>
      </c>
      <c r="L1460" t="str">
        <f t="shared" si="177"/>
        <v>OK</v>
      </c>
      <c r="M1460" t="str">
        <f>IF(OR(B1460&lt;$AE$20,B1460&gt;$AF$20),"Outlier","OK")</f>
        <v>OK</v>
      </c>
      <c r="N1460" t="str">
        <f>IF(OR(J1460&lt;$AE$21,J1460&gt;$AF$21),"Outlier","OK")</f>
        <v>OK</v>
      </c>
      <c r="O1460" t="str">
        <f>IF(OR(C1460&lt;0,C1460&gt;1),"Outlier","OK")</f>
        <v>OK</v>
      </c>
      <c r="P1460" t="str">
        <f>IF(OR(D1460&lt;0,D1460&gt;1),"Outlier","OK")</f>
        <v>Outlier</v>
      </c>
      <c r="Q1460" t="str">
        <f t="shared" si="178"/>
        <v>60-80%</v>
      </c>
      <c r="R1460" t="str">
        <f>IF(B1460="","Missing","OK")</f>
        <v>OK</v>
      </c>
      <c r="S1460" t="str">
        <f>IF(E1460="","Missing","OK")</f>
        <v>OK</v>
      </c>
      <c r="T1460" t="str">
        <f t="shared" si="179"/>
        <v>OK</v>
      </c>
      <c r="U1460">
        <f>COUNTIF($A:$A,A1460)</f>
        <v>1</v>
      </c>
      <c r="V1460" t="str">
        <f t="shared" si="180"/>
        <v>OK</v>
      </c>
      <c r="W1460" t="str">
        <f>IF(I1460&gt;B1460,"ERROR","OK")</f>
        <v>OK</v>
      </c>
      <c r="X1460">
        <f>(B1460-I1460)/B1460</f>
        <v>0.6436274906816456</v>
      </c>
      <c r="Y1460" s="2">
        <f t="shared" si="181"/>
        <v>1.5543122344752192E-15</v>
      </c>
      <c r="Z1460" s="2" t="str">
        <f t="shared" si="182"/>
        <v>OK</v>
      </c>
      <c r="AA1460" t="str">
        <f t="shared" si="183"/>
        <v>Unique</v>
      </c>
    </row>
    <row r="1461" spans="1:27" x14ac:dyDescent="0.3">
      <c r="A1461">
        <v>1460</v>
      </c>
      <c r="B1461">
        <v>1525427.12917451</v>
      </c>
      <c r="C1461">
        <v>0.413639651500183</v>
      </c>
      <c r="D1461">
        <v>3.13790788317709E-2</v>
      </c>
      <c r="E1461">
        <v>0.37131838990613902</v>
      </c>
      <c r="F1461">
        <v>1</v>
      </c>
      <c r="G1461" t="s">
        <v>10</v>
      </c>
      <c r="H1461">
        <v>0</v>
      </c>
      <c r="I1461">
        <v>566419.14552422496</v>
      </c>
      <c r="J1461">
        <v>0.62868161009386003</v>
      </c>
      <c r="K1461" t="str">
        <f t="shared" si="176"/>
        <v>OK</v>
      </c>
      <c r="L1461" t="str">
        <f t="shared" si="177"/>
        <v>OK</v>
      </c>
      <c r="M1461" t="str">
        <f>IF(OR(B1461&lt;$AE$20,B1461&gt;$AF$20),"Outlier","OK")</f>
        <v>OK</v>
      </c>
      <c r="N1461" t="str">
        <f>IF(OR(J1461&lt;$AE$21,J1461&gt;$AF$21),"Outlier","OK")</f>
        <v>OK</v>
      </c>
      <c r="O1461" t="str">
        <f>IF(OR(C1461&lt;0,C1461&gt;1),"Outlier","OK")</f>
        <v>OK</v>
      </c>
      <c r="P1461" t="str">
        <f>IF(OR(D1461&lt;0,D1461&gt;1),"Outlier","OK")</f>
        <v>OK</v>
      </c>
      <c r="Q1461" t="str">
        <f t="shared" si="178"/>
        <v>60-80%</v>
      </c>
      <c r="R1461" t="str">
        <f>IF(B1461="","Missing","OK")</f>
        <v>OK</v>
      </c>
      <c r="S1461" t="str">
        <f>IF(E1461="","Missing","OK")</f>
        <v>OK</v>
      </c>
      <c r="T1461" t="str">
        <f t="shared" si="179"/>
        <v>OK</v>
      </c>
      <c r="U1461">
        <f>COUNTIF($A:$A,A1461)</f>
        <v>1</v>
      </c>
      <c r="V1461" t="str">
        <f t="shared" si="180"/>
        <v>OK</v>
      </c>
      <c r="W1461" t="str">
        <f>IF(I1461&gt;B1461,"ERROR","OK")</f>
        <v>OK</v>
      </c>
      <c r="X1461">
        <f>(B1461-I1461)/B1461</f>
        <v>0.6286816100938597</v>
      </c>
      <c r="Y1461" s="2">
        <f t="shared" si="181"/>
        <v>3.3306690738754696E-16</v>
      </c>
      <c r="Z1461" s="2" t="str">
        <f t="shared" si="182"/>
        <v>OK</v>
      </c>
      <c r="AA1461" t="str">
        <f t="shared" si="183"/>
        <v>Unique</v>
      </c>
    </row>
    <row r="1462" spans="1:27" x14ac:dyDescent="0.3">
      <c r="A1462">
        <v>1461</v>
      </c>
      <c r="B1462">
        <v>1420122.67133038</v>
      </c>
      <c r="C1462">
        <v>0.63011369254305205</v>
      </c>
      <c r="D1462">
        <v>8.6815127346258597E-2</v>
      </c>
      <c r="E1462">
        <v>0.24582199651640199</v>
      </c>
      <c r="F1462">
        <v>1</v>
      </c>
      <c r="G1462" t="s">
        <v>13</v>
      </c>
      <c r="H1462">
        <v>0</v>
      </c>
      <c r="I1462">
        <v>349097.39036464097</v>
      </c>
      <c r="J1462">
        <v>0.75417800348359698</v>
      </c>
      <c r="K1462" t="str">
        <f t="shared" si="176"/>
        <v>OK</v>
      </c>
      <c r="L1462" t="str">
        <f t="shared" si="177"/>
        <v>OK</v>
      </c>
      <c r="M1462" t="str">
        <f>IF(OR(B1462&lt;$AE$20,B1462&gt;$AF$20),"Outlier","OK")</f>
        <v>OK</v>
      </c>
      <c r="N1462" t="str">
        <f>IF(OR(J1462&lt;$AE$21,J1462&gt;$AF$21),"Outlier","OK")</f>
        <v>OK</v>
      </c>
      <c r="O1462" t="str">
        <f>IF(OR(C1462&lt;0,C1462&gt;1),"Outlier","OK")</f>
        <v>OK</v>
      </c>
      <c r="P1462" t="str">
        <f>IF(OR(D1462&lt;0,D1462&gt;1),"Outlier","OK")</f>
        <v>OK</v>
      </c>
      <c r="Q1462" t="str">
        <f t="shared" si="178"/>
        <v>60-80%</v>
      </c>
      <c r="R1462" t="str">
        <f>IF(B1462="","Missing","OK")</f>
        <v>OK</v>
      </c>
      <c r="S1462" t="str">
        <f>IF(E1462="","Missing","OK")</f>
        <v>OK</v>
      </c>
      <c r="T1462" t="str">
        <f t="shared" si="179"/>
        <v>OK</v>
      </c>
      <c r="U1462">
        <f>COUNTIF($A:$A,A1462)</f>
        <v>1</v>
      </c>
      <c r="V1462" t="str">
        <f t="shared" si="180"/>
        <v>OK</v>
      </c>
      <c r="W1462" t="str">
        <f>IF(I1462&gt;B1462,"ERROR","OK")</f>
        <v>OK</v>
      </c>
      <c r="X1462">
        <f>(B1462-I1462)/B1462</f>
        <v>0.75417800348359731</v>
      </c>
      <c r="Y1462" s="2">
        <f t="shared" si="181"/>
        <v>3.3306690738754696E-16</v>
      </c>
      <c r="Z1462" s="2" t="str">
        <f t="shared" si="182"/>
        <v>OK</v>
      </c>
      <c r="AA1462" t="str">
        <f t="shared" si="183"/>
        <v>Unique</v>
      </c>
    </row>
    <row r="1463" spans="1:27" x14ac:dyDescent="0.3">
      <c r="A1463">
        <v>1462</v>
      </c>
      <c r="B1463">
        <v>64727.839564759997</v>
      </c>
      <c r="C1463">
        <v>0.17074147172936099</v>
      </c>
      <c r="D1463">
        <v>-6.0132592690630197E-2</v>
      </c>
      <c r="E1463">
        <v>9.4601862227792294E-2</v>
      </c>
      <c r="F1463">
        <v>1</v>
      </c>
      <c r="G1463" t="s">
        <v>12</v>
      </c>
      <c r="H1463">
        <v>1</v>
      </c>
      <c r="I1463">
        <v>6123.37416080806</v>
      </c>
      <c r="J1463">
        <v>0.90539813777220701</v>
      </c>
      <c r="K1463" t="str">
        <f t="shared" si="176"/>
        <v>OK</v>
      </c>
      <c r="L1463" t="str">
        <f t="shared" si="177"/>
        <v>OK</v>
      </c>
      <c r="M1463" t="str">
        <f>IF(OR(B1463&lt;$AE$20,B1463&gt;$AF$20),"Outlier","OK")</f>
        <v>Outlier</v>
      </c>
      <c r="N1463" t="str">
        <f>IF(OR(J1463&lt;$AE$21,J1463&gt;$AF$21),"Outlier","OK")</f>
        <v>OK</v>
      </c>
      <c r="O1463" t="str">
        <f>IF(OR(C1463&lt;0,C1463&gt;1),"Outlier","OK")</f>
        <v>OK</v>
      </c>
      <c r="P1463" t="str">
        <f>IF(OR(D1463&lt;0,D1463&gt;1),"Outlier","OK")</f>
        <v>Outlier</v>
      </c>
      <c r="Q1463" t="str">
        <f t="shared" si="178"/>
        <v>80-100%</v>
      </c>
      <c r="R1463" t="str">
        <f>IF(B1463="","Missing","OK")</f>
        <v>OK</v>
      </c>
      <c r="S1463" t="str">
        <f>IF(E1463="","Missing","OK")</f>
        <v>OK</v>
      </c>
      <c r="T1463" t="str">
        <f t="shared" si="179"/>
        <v>OK</v>
      </c>
      <c r="U1463">
        <f>COUNTIF($A:$A,A1463)</f>
        <v>1</v>
      </c>
      <c r="V1463" t="str">
        <f t="shared" si="180"/>
        <v>OK</v>
      </c>
      <c r="W1463" t="str">
        <f>IF(I1463&gt;B1463,"ERROR","OK")</f>
        <v>OK</v>
      </c>
      <c r="X1463">
        <f>(B1463-I1463)/B1463</f>
        <v>0.90539813777220779</v>
      </c>
      <c r="Y1463" s="2">
        <f t="shared" si="181"/>
        <v>7.7715611723760958E-16</v>
      </c>
      <c r="Z1463" s="2" t="str">
        <f t="shared" si="182"/>
        <v>OK</v>
      </c>
      <c r="AA1463" t="str">
        <f t="shared" si="183"/>
        <v>Unique</v>
      </c>
    </row>
    <row r="1464" spans="1:27" x14ac:dyDescent="0.3">
      <c r="A1464">
        <v>1463</v>
      </c>
      <c r="B1464">
        <v>133802.028955727</v>
      </c>
      <c r="C1464">
        <v>0.64297673531467603</v>
      </c>
      <c r="D1464">
        <v>9.5571736064902907E-2</v>
      </c>
      <c r="E1464">
        <v>0.14120660920418601</v>
      </c>
      <c r="F1464">
        <v>1</v>
      </c>
      <c r="G1464" t="s">
        <v>10</v>
      </c>
      <c r="H1464">
        <v>0</v>
      </c>
      <c r="I1464">
        <v>18893.730813478502</v>
      </c>
      <c r="J1464">
        <v>0.85879339079581296</v>
      </c>
      <c r="K1464" t="str">
        <f t="shared" si="176"/>
        <v>OK</v>
      </c>
      <c r="L1464" t="str">
        <f t="shared" si="177"/>
        <v>OK</v>
      </c>
      <c r="M1464" t="str">
        <f>IF(OR(B1464&lt;$AE$20,B1464&gt;$AF$20),"Outlier","OK")</f>
        <v>OK</v>
      </c>
      <c r="N1464" t="str">
        <f>IF(OR(J1464&lt;$AE$21,J1464&gt;$AF$21),"Outlier","OK")</f>
        <v>OK</v>
      </c>
      <c r="O1464" t="str">
        <f>IF(OR(C1464&lt;0,C1464&gt;1),"Outlier","OK")</f>
        <v>OK</v>
      </c>
      <c r="P1464" t="str">
        <f>IF(OR(D1464&lt;0,D1464&gt;1),"Outlier","OK")</f>
        <v>OK</v>
      </c>
      <c r="Q1464" t="str">
        <f t="shared" si="178"/>
        <v>80-100%</v>
      </c>
      <c r="R1464" t="str">
        <f>IF(B1464="","Missing","OK")</f>
        <v>OK</v>
      </c>
      <c r="S1464" t="str">
        <f>IF(E1464="","Missing","OK")</f>
        <v>OK</v>
      </c>
      <c r="T1464" t="str">
        <f t="shared" si="179"/>
        <v>OK</v>
      </c>
      <c r="U1464">
        <f>COUNTIF($A:$A,A1464)</f>
        <v>1</v>
      </c>
      <c r="V1464" t="str">
        <f t="shared" si="180"/>
        <v>OK</v>
      </c>
      <c r="W1464" t="str">
        <f>IF(I1464&gt;B1464,"ERROR","OK")</f>
        <v>OK</v>
      </c>
      <c r="X1464">
        <f>(B1464-I1464)/B1464</f>
        <v>0.85879339079581418</v>
      </c>
      <c r="Y1464" s="2">
        <f t="shared" si="181"/>
        <v>1.2212453270876722E-15</v>
      </c>
      <c r="Z1464" s="2" t="str">
        <f t="shared" si="182"/>
        <v>OK</v>
      </c>
      <c r="AA1464" t="str">
        <f t="shared" si="183"/>
        <v>Unique</v>
      </c>
    </row>
    <row r="1465" spans="1:27" x14ac:dyDescent="0.3">
      <c r="A1465">
        <v>1464</v>
      </c>
      <c r="B1465">
        <v>115850.692862057</v>
      </c>
      <c r="C1465">
        <v>0.429467271986824</v>
      </c>
      <c r="D1465">
        <v>-0.15828092326853899</v>
      </c>
      <c r="E1465">
        <v>0.57830676204175102</v>
      </c>
      <c r="F1465">
        <v>1</v>
      </c>
      <c r="G1465" t="s">
        <v>13</v>
      </c>
      <c r="H1465">
        <v>1</v>
      </c>
      <c r="I1465">
        <v>66997.239069350195</v>
      </c>
      <c r="J1465">
        <v>0.42169323795824798</v>
      </c>
      <c r="K1465" t="str">
        <f t="shared" si="176"/>
        <v>OK</v>
      </c>
      <c r="L1465" t="str">
        <f t="shared" si="177"/>
        <v>OK</v>
      </c>
      <c r="M1465" t="str">
        <f>IF(OR(B1465&lt;$AE$20,B1465&gt;$AF$20),"Outlier","OK")</f>
        <v>OK</v>
      </c>
      <c r="N1465" t="str">
        <f>IF(OR(J1465&lt;$AE$21,J1465&gt;$AF$21),"Outlier","OK")</f>
        <v>OK</v>
      </c>
      <c r="O1465" t="str">
        <f>IF(OR(C1465&lt;0,C1465&gt;1),"Outlier","OK")</f>
        <v>OK</v>
      </c>
      <c r="P1465" t="str">
        <f>IF(OR(D1465&lt;0,D1465&gt;1),"Outlier","OK")</f>
        <v>Outlier</v>
      </c>
      <c r="Q1465" t="str">
        <f t="shared" si="178"/>
        <v>40-60%</v>
      </c>
      <c r="R1465" t="str">
        <f>IF(B1465="","Missing","OK")</f>
        <v>OK</v>
      </c>
      <c r="S1465" t="str">
        <f>IF(E1465="","Missing","OK")</f>
        <v>OK</v>
      </c>
      <c r="T1465" t="str">
        <f t="shared" si="179"/>
        <v>OK</v>
      </c>
      <c r="U1465">
        <f>COUNTIF($A:$A,A1465)</f>
        <v>1</v>
      </c>
      <c r="V1465" t="str">
        <f t="shared" si="180"/>
        <v>OK</v>
      </c>
      <c r="W1465" t="str">
        <f>IF(I1465&gt;B1465,"ERROR","OK")</f>
        <v>OK</v>
      </c>
      <c r="X1465">
        <f>(B1465-I1465)/B1465</f>
        <v>0.42169323795824365</v>
      </c>
      <c r="Y1465" s="2">
        <f t="shared" si="181"/>
        <v>4.3298697960381105E-15</v>
      </c>
      <c r="Z1465" s="2" t="str">
        <f t="shared" si="182"/>
        <v>OK</v>
      </c>
      <c r="AA1465" t="str">
        <f t="shared" si="183"/>
        <v>Unique</v>
      </c>
    </row>
    <row r="1466" spans="1:27" x14ac:dyDescent="0.3">
      <c r="A1466">
        <v>1465</v>
      </c>
      <c r="B1466">
        <v>1078853.92608291</v>
      </c>
      <c r="C1466">
        <v>0.131277560257098</v>
      </c>
      <c r="D1466">
        <v>-0.145008659816205</v>
      </c>
      <c r="E1466">
        <v>0.39769863160483698</v>
      </c>
      <c r="F1466">
        <v>1</v>
      </c>
      <c r="G1466" t="s">
        <v>10</v>
      </c>
      <c r="H1466">
        <v>0</v>
      </c>
      <c r="I1466">
        <v>429058.73010468099</v>
      </c>
      <c r="J1466">
        <v>0.60230136839516202</v>
      </c>
      <c r="K1466" t="str">
        <f t="shared" si="176"/>
        <v>OK</v>
      </c>
      <c r="L1466" t="str">
        <f t="shared" si="177"/>
        <v>OK</v>
      </c>
      <c r="M1466" t="str">
        <f>IF(OR(B1466&lt;$AE$20,B1466&gt;$AF$20),"Outlier","OK")</f>
        <v>OK</v>
      </c>
      <c r="N1466" t="str">
        <f>IF(OR(J1466&lt;$AE$21,J1466&gt;$AF$21),"Outlier","OK")</f>
        <v>OK</v>
      </c>
      <c r="O1466" t="str">
        <f>IF(OR(C1466&lt;0,C1466&gt;1),"Outlier","OK")</f>
        <v>OK</v>
      </c>
      <c r="P1466" t="str">
        <f>IF(OR(D1466&lt;0,D1466&gt;1),"Outlier","OK")</f>
        <v>Outlier</v>
      </c>
      <c r="Q1466" t="str">
        <f t="shared" si="178"/>
        <v>60-80%</v>
      </c>
      <c r="R1466" t="str">
        <f>IF(B1466="","Missing","OK")</f>
        <v>OK</v>
      </c>
      <c r="S1466" t="str">
        <f>IF(E1466="","Missing","OK")</f>
        <v>OK</v>
      </c>
      <c r="T1466" t="str">
        <f t="shared" si="179"/>
        <v>OK</v>
      </c>
      <c r="U1466">
        <f>COUNTIF($A:$A,A1466)</f>
        <v>1</v>
      </c>
      <c r="V1466" t="str">
        <f t="shared" si="180"/>
        <v>OK</v>
      </c>
      <c r="W1466" t="str">
        <f>IF(I1466&gt;B1466,"ERROR","OK")</f>
        <v>OK</v>
      </c>
      <c r="X1466">
        <f>(B1466-I1466)/B1466</f>
        <v>0.60230136839516146</v>
      </c>
      <c r="Y1466" s="2">
        <f t="shared" si="181"/>
        <v>5.5511151231257827E-16</v>
      </c>
      <c r="Z1466" s="2" t="str">
        <f t="shared" si="182"/>
        <v>OK</v>
      </c>
      <c r="AA1466" t="str">
        <f t="shared" si="183"/>
        <v>Unique</v>
      </c>
    </row>
    <row r="1467" spans="1:27" x14ac:dyDescent="0.3">
      <c r="A1467">
        <v>1466</v>
      </c>
      <c r="B1467">
        <v>1564194.10826245</v>
      </c>
      <c r="C1467">
        <v>0.31159778187008202</v>
      </c>
      <c r="D1467">
        <v>-0.15809682990521801</v>
      </c>
      <c r="E1467">
        <v>0.47783661739422101</v>
      </c>
      <c r="F1467">
        <v>1</v>
      </c>
      <c r="G1467" t="s">
        <v>11</v>
      </c>
      <c r="H1467">
        <v>1</v>
      </c>
      <c r="I1467">
        <v>747429.22164010198</v>
      </c>
      <c r="J1467">
        <v>0.52216338260577799</v>
      </c>
      <c r="K1467" t="str">
        <f t="shared" si="176"/>
        <v>OK</v>
      </c>
      <c r="L1467" t="str">
        <f t="shared" si="177"/>
        <v>OK</v>
      </c>
      <c r="M1467" t="str">
        <f>IF(OR(B1467&lt;$AE$20,B1467&gt;$AF$20),"Outlier","OK")</f>
        <v>OK</v>
      </c>
      <c r="N1467" t="str">
        <f>IF(OR(J1467&lt;$AE$21,J1467&gt;$AF$21),"Outlier","OK")</f>
        <v>OK</v>
      </c>
      <c r="O1467" t="str">
        <f>IF(OR(C1467&lt;0,C1467&gt;1),"Outlier","OK")</f>
        <v>OK</v>
      </c>
      <c r="P1467" t="str">
        <f>IF(OR(D1467&lt;0,D1467&gt;1),"Outlier","OK")</f>
        <v>Outlier</v>
      </c>
      <c r="Q1467" t="str">
        <f t="shared" si="178"/>
        <v>40-60%</v>
      </c>
      <c r="R1467" t="str">
        <f>IF(B1467="","Missing","OK")</f>
        <v>OK</v>
      </c>
      <c r="S1467" t="str">
        <f>IF(E1467="","Missing","OK")</f>
        <v>OK</v>
      </c>
      <c r="T1467" t="str">
        <f t="shared" si="179"/>
        <v>OK</v>
      </c>
      <c r="U1467">
        <f>COUNTIF($A:$A,A1467)</f>
        <v>1</v>
      </c>
      <c r="V1467" t="str">
        <f t="shared" si="180"/>
        <v>OK</v>
      </c>
      <c r="W1467" t="str">
        <f>IF(I1467&gt;B1467,"ERROR","OK")</f>
        <v>OK</v>
      </c>
      <c r="X1467">
        <f>(B1467-I1467)/B1467</f>
        <v>0.5221633826057771</v>
      </c>
      <c r="Y1467" s="2">
        <f t="shared" si="181"/>
        <v>8.8817841970012523E-16</v>
      </c>
      <c r="Z1467" s="2" t="str">
        <f t="shared" si="182"/>
        <v>OK</v>
      </c>
      <c r="AA1467" t="str">
        <f t="shared" si="183"/>
        <v>Unique</v>
      </c>
    </row>
    <row r="1468" spans="1:27" x14ac:dyDescent="0.3">
      <c r="A1468">
        <v>1467</v>
      </c>
      <c r="B1468">
        <v>840447.31941182504</v>
      </c>
      <c r="C1468">
        <v>0.61105091473464102</v>
      </c>
      <c r="D1468">
        <v>-7.6690085174357006E-2</v>
      </c>
      <c r="E1468">
        <v>0.171008438462141</v>
      </c>
      <c r="F1468">
        <v>1</v>
      </c>
      <c r="G1468" t="s">
        <v>11</v>
      </c>
      <c r="H1468">
        <v>0</v>
      </c>
      <c r="I1468">
        <v>143723.583702309</v>
      </c>
      <c r="J1468">
        <v>0.82899156153785802</v>
      </c>
      <c r="K1468" t="str">
        <f t="shared" si="176"/>
        <v>OK</v>
      </c>
      <c r="L1468" t="str">
        <f t="shared" si="177"/>
        <v>OK</v>
      </c>
      <c r="M1468" t="str">
        <f>IF(OR(B1468&lt;$AE$20,B1468&gt;$AF$20),"Outlier","OK")</f>
        <v>OK</v>
      </c>
      <c r="N1468" t="str">
        <f>IF(OR(J1468&lt;$AE$21,J1468&gt;$AF$21),"Outlier","OK")</f>
        <v>OK</v>
      </c>
      <c r="O1468" t="str">
        <f>IF(OR(C1468&lt;0,C1468&gt;1),"Outlier","OK")</f>
        <v>OK</v>
      </c>
      <c r="P1468" t="str">
        <f>IF(OR(D1468&lt;0,D1468&gt;1),"Outlier","OK")</f>
        <v>Outlier</v>
      </c>
      <c r="Q1468" t="str">
        <f t="shared" si="178"/>
        <v>80-100%</v>
      </c>
      <c r="R1468" t="str">
        <f>IF(B1468="","Missing","OK")</f>
        <v>OK</v>
      </c>
      <c r="S1468" t="str">
        <f>IF(E1468="","Missing","OK")</f>
        <v>OK</v>
      </c>
      <c r="T1468" t="str">
        <f t="shared" si="179"/>
        <v>OK</v>
      </c>
      <c r="U1468">
        <f>COUNTIF($A:$A,A1468)</f>
        <v>1</v>
      </c>
      <c r="V1468" t="str">
        <f t="shared" si="180"/>
        <v>OK</v>
      </c>
      <c r="W1468" t="str">
        <f>IF(I1468&gt;B1468,"ERROR","OK")</f>
        <v>OK</v>
      </c>
      <c r="X1468">
        <f>(B1468-I1468)/B1468</f>
        <v>0.82899156153785836</v>
      </c>
      <c r="Y1468" s="2">
        <f t="shared" si="181"/>
        <v>3.3306690738754696E-16</v>
      </c>
      <c r="Z1468" s="2" t="str">
        <f t="shared" si="182"/>
        <v>OK</v>
      </c>
      <c r="AA1468" t="str">
        <f t="shared" si="183"/>
        <v>Unique</v>
      </c>
    </row>
    <row r="1469" spans="1:27" x14ac:dyDescent="0.3">
      <c r="A1469">
        <v>1468</v>
      </c>
      <c r="B1469">
        <v>56298.282562435197</v>
      </c>
      <c r="C1469">
        <v>0.68461197590635403</v>
      </c>
      <c r="D1469">
        <v>0.140520586980659</v>
      </c>
      <c r="E1469">
        <v>0.113171277303329</v>
      </c>
      <c r="F1469">
        <v>1</v>
      </c>
      <c r="G1469" t="s">
        <v>13</v>
      </c>
      <c r="H1469">
        <v>0</v>
      </c>
      <c r="I1469">
        <v>6371.3485475745401</v>
      </c>
      <c r="J1469">
        <v>0.88682872269667001</v>
      </c>
      <c r="K1469" t="str">
        <f t="shared" si="176"/>
        <v>OK</v>
      </c>
      <c r="L1469" t="str">
        <f t="shared" si="177"/>
        <v>OK</v>
      </c>
      <c r="M1469" t="str">
        <f>IF(OR(B1469&lt;$AE$20,B1469&gt;$AF$20),"Outlier","OK")</f>
        <v>Outlier</v>
      </c>
      <c r="N1469" t="str">
        <f>IF(OR(J1469&lt;$AE$21,J1469&gt;$AF$21),"Outlier","OK")</f>
        <v>OK</v>
      </c>
      <c r="O1469" t="str">
        <f>IF(OR(C1469&lt;0,C1469&gt;1),"Outlier","OK")</f>
        <v>OK</v>
      </c>
      <c r="P1469" t="str">
        <f>IF(OR(D1469&lt;0,D1469&gt;1),"Outlier","OK")</f>
        <v>OK</v>
      </c>
      <c r="Q1469" t="str">
        <f t="shared" si="178"/>
        <v>80-100%</v>
      </c>
      <c r="R1469" t="str">
        <f>IF(B1469="","Missing","OK")</f>
        <v>OK</v>
      </c>
      <c r="S1469" t="str">
        <f>IF(E1469="","Missing","OK")</f>
        <v>OK</v>
      </c>
      <c r="T1469" t="str">
        <f t="shared" si="179"/>
        <v>OK</v>
      </c>
      <c r="U1469">
        <f>COUNTIF($A:$A,A1469)</f>
        <v>1</v>
      </c>
      <c r="V1469" t="str">
        <f t="shared" si="180"/>
        <v>OK</v>
      </c>
      <c r="W1469" t="str">
        <f>IF(I1469&gt;B1469,"ERROR","OK")</f>
        <v>OK</v>
      </c>
      <c r="X1469">
        <f>(B1469-I1469)/B1469</f>
        <v>0.88682872269667079</v>
      </c>
      <c r="Y1469" s="2">
        <f t="shared" si="181"/>
        <v>7.7715611723760958E-16</v>
      </c>
      <c r="Z1469" s="2" t="str">
        <f t="shared" si="182"/>
        <v>OK</v>
      </c>
      <c r="AA1469" t="str">
        <f t="shared" si="183"/>
        <v>Unique</v>
      </c>
    </row>
    <row r="1470" spans="1:27" x14ac:dyDescent="0.3">
      <c r="A1470">
        <v>1469</v>
      </c>
      <c r="B1470">
        <v>391044.64422685001</v>
      </c>
      <c r="C1470">
        <v>0.51541972857994001</v>
      </c>
      <c r="D1470">
        <v>-0.118504352344973</v>
      </c>
      <c r="E1470">
        <v>0.10042392946030999</v>
      </c>
      <c r="F1470">
        <v>1</v>
      </c>
      <c r="G1470" t="s">
        <v>13</v>
      </c>
      <c r="H1470">
        <v>1</v>
      </c>
      <c r="I1470">
        <v>39270.239767669402</v>
      </c>
      <c r="J1470">
        <v>0.89957607053968902</v>
      </c>
      <c r="K1470" t="str">
        <f t="shared" si="176"/>
        <v>OK</v>
      </c>
      <c r="L1470" t="str">
        <f t="shared" si="177"/>
        <v>OK</v>
      </c>
      <c r="M1470" t="str">
        <f>IF(OR(B1470&lt;$AE$20,B1470&gt;$AF$20),"Outlier","OK")</f>
        <v>OK</v>
      </c>
      <c r="N1470" t="str">
        <f>IF(OR(J1470&lt;$AE$21,J1470&gt;$AF$21),"Outlier","OK")</f>
        <v>OK</v>
      </c>
      <c r="O1470" t="str">
        <f>IF(OR(C1470&lt;0,C1470&gt;1),"Outlier","OK")</f>
        <v>OK</v>
      </c>
      <c r="P1470" t="str">
        <f>IF(OR(D1470&lt;0,D1470&gt;1),"Outlier","OK")</f>
        <v>Outlier</v>
      </c>
      <c r="Q1470" t="str">
        <f t="shared" si="178"/>
        <v>80-100%</v>
      </c>
      <c r="R1470" t="str">
        <f>IF(B1470="","Missing","OK")</f>
        <v>OK</v>
      </c>
      <c r="S1470" t="str">
        <f>IF(E1470="","Missing","OK")</f>
        <v>OK</v>
      </c>
      <c r="T1470" t="str">
        <f t="shared" si="179"/>
        <v>OK</v>
      </c>
      <c r="U1470">
        <f>COUNTIF($A:$A,A1470)</f>
        <v>1</v>
      </c>
      <c r="V1470" t="str">
        <f t="shared" si="180"/>
        <v>OK</v>
      </c>
      <c r="W1470" t="str">
        <f>IF(I1470&gt;B1470,"ERROR","OK")</f>
        <v>OK</v>
      </c>
      <c r="X1470">
        <f>(B1470-I1470)/B1470</f>
        <v>0.89957607053968947</v>
      </c>
      <c r="Y1470" s="2">
        <f t="shared" si="181"/>
        <v>4.4408920985006262E-16</v>
      </c>
      <c r="Z1470" s="2" t="str">
        <f t="shared" si="182"/>
        <v>OK</v>
      </c>
      <c r="AA1470" t="str">
        <f t="shared" si="183"/>
        <v>Unique</v>
      </c>
    </row>
    <row r="1471" spans="1:27" x14ac:dyDescent="0.3">
      <c r="A1471">
        <v>1470</v>
      </c>
      <c r="B1471">
        <v>1899584.5719558999</v>
      </c>
      <c r="C1471">
        <v>0.55345300571456701</v>
      </c>
      <c r="D1471">
        <v>-0.18232315047070199</v>
      </c>
      <c r="E1471">
        <v>0.10718564565684099</v>
      </c>
      <c r="F1471">
        <v>1</v>
      </c>
      <c r="G1471" t="s">
        <v>13</v>
      </c>
      <c r="H1471">
        <v>1</v>
      </c>
      <c r="I1471">
        <v>203608.19882486801</v>
      </c>
      <c r="J1471">
        <v>0.89281435434315803</v>
      </c>
      <c r="K1471" t="str">
        <f t="shared" si="176"/>
        <v>OK</v>
      </c>
      <c r="L1471" t="str">
        <f t="shared" si="177"/>
        <v>OK</v>
      </c>
      <c r="M1471" t="str">
        <f>IF(OR(B1471&lt;$AE$20,B1471&gt;$AF$20),"Outlier","OK")</f>
        <v>OK</v>
      </c>
      <c r="N1471" t="str">
        <f>IF(OR(J1471&lt;$AE$21,J1471&gt;$AF$21),"Outlier","OK")</f>
        <v>OK</v>
      </c>
      <c r="O1471" t="str">
        <f>IF(OR(C1471&lt;0,C1471&gt;1),"Outlier","OK")</f>
        <v>OK</v>
      </c>
      <c r="P1471" t="str">
        <f>IF(OR(D1471&lt;0,D1471&gt;1),"Outlier","OK")</f>
        <v>Outlier</v>
      </c>
      <c r="Q1471" t="str">
        <f t="shared" si="178"/>
        <v>80-100%</v>
      </c>
      <c r="R1471" t="str">
        <f>IF(B1471="","Missing","OK")</f>
        <v>OK</v>
      </c>
      <c r="S1471" t="str">
        <f>IF(E1471="","Missing","OK")</f>
        <v>OK</v>
      </c>
      <c r="T1471" t="str">
        <f t="shared" si="179"/>
        <v>OK</v>
      </c>
      <c r="U1471">
        <f>COUNTIF($A:$A,A1471)</f>
        <v>1</v>
      </c>
      <c r="V1471" t="str">
        <f t="shared" si="180"/>
        <v>OK</v>
      </c>
      <c r="W1471" t="str">
        <f>IF(I1471&gt;B1471,"ERROR","OK")</f>
        <v>OK</v>
      </c>
      <c r="X1471">
        <f>(B1471-I1471)/B1471</f>
        <v>0.89281435434315848</v>
      </c>
      <c r="Y1471" s="2">
        <f t="shared" si="181"/>
        <v>4.4408920985006262E-16</v>
      </c>
      <c r="Z1471" s="2" t="str">
        <f t="shared" si="182"/>
        <v>OK</v>
      </c>
      <c r="AA1471" t="str">
        <f t="shared" si="183"/>
        <v>Unique</v>
      </c>
    </row>
    <row r="1472" spans="1:27" x14ac:dyDescent="0.3">
      <c r="A1472">
        <v>1471</v>
      </c>
      <c r="B1472">
        <v>527091.76968751999</v>
      </c>
      <c r="C1472">
        <v>0.67612777161208004</v>
      </c>
      <c r="D1472">
        <v>-0.102778545883213</v>
      </c>
      <c r="E1472">
        <v>9.51685930092699E-2</v>
      </c>
      <c r="F1472">
        <v>1</v>
      </c>
      <c r="G1472" t="s">
        <v>12</v>
      </c>
      <c r="H1472">
        <v>1</v>
      </c>
      <c r="I1472">
        <v>50162.582107927403</v>
      </c>
      <c r="J1472">
        <v>0.90483140699072995</v>
      </c>
      <c r="K1472" t="str">
        <f t="shared" si="176"/>
        <v>OK</v>
      </c>
      <c r="L1472" t="str">
        <f t="shared" si="177"/>
        <v>OK</v>
      </c>
      <c r="M1472" t="str">
        <f>IF(OR(B1472&lt;$AE$20,B1472&gt;$AF$20),"Outlier","OK")</f>
        <v>OK</v>
      </c>
      <c r="N1472" t="str">
        <f>IF(OR(J1472&lt;$AE$21,J1472&gt;$AF$21),"Outlier","OK")</f>
        <v>OK</v>
      </c>
      <c r="O1472" t="str">
        <f>IF(OR(C1472&lt;0,C1472&gt;1),"Outlier","OK")</f>
        <v>OK</v>
      </c>
      <c r="P1472" t="str">
        <f>IF(OR(D1472&lt;0,D1472&gt;1),"Outlier","OK")</f>
        <v>Outlier</v>
      </c>
      <c r="Q1472" t="str">
        <f t="shared" si="178"/>
        <v>80-100%</v>
      </c>
      <c r="R1472" t="str">
        <f>IF(B1472="","Missing","OK")</f>
        <v>OK</v>
      </c>
      <c r="S1472" t="str">
        <f>IF(E1472="","Missing","OK")</f>
        <v>OK</v>
      </c>
      <c r="T1472" t="str">
        <f t="shared" si="179"/>
        <v>OK</v>
      </c>
      <c r="U1472">
        <f>COUNTIF($A:$A,A1472)</f>
        <v>1</v>
      </c>
      <c r="V1472" t="str">
        <f t="shared" si="180"/>
        <v>OK</v>
      </c>
      <c r="W1472" t="str">
        <f>IF(I1472&gt;B1472,"ERROR","OK")</f>
        <v>OK</v>
      </c>
      <c r="X1472">
        <f>(B1472-I1472)/B1472</f>
        <v>0.90483140699073006</v>
      </c>
      <c r="Y1472" s="2">
        <f t="shared" si="181"/>
        <v>1.1102230246251565E-16</v>
      </c>
      <c r="Z1472" s="2" t="str">
        <f t="shared" si="182"/>
        <v>OK</v>
      </c>
      <c r="AA1472" t="str">
        <f t="shared" si="183"/>
        <v>Unique</v>
      </c>
    </row>
    <row r="1473" spans="1:27" x14ac:dyDescent="0.3">
      <c r="A1473">
        <v>1472</v>
      </c>
      <c r="B1473">
        <v>1714101.9339187499</v>
      </c>
      <c r="C1473">
        <v>0.47754085499083698</v>
      </c>
      <c r="D1473">
        <v>1.3985917956131E-2</v>
      </c>
      <c r="E1473">
        <v>0.30386532979867098</v>
      </c>
      <c r="F1473">
        <v>1</v>
      </c>
      <c r="G1473" t="s">
        <v>13</v>
      </c>
      <c r="H1473">
        <v>1</v>
      </c>
      <c r="I1473">
        <v>520856.14945876203</v>
      </c>
      <c r="J1473">
        <v>0.69613467020132802</v>
      </c>
      <c r="K1473" t="str">
        <f t="shared" si="176"/>
        <v>OK</v>
      </c>
      <c r="L1473" t="str">
        <f t="shared" si="177"/>
        <v>OK</v>
      </c>
      <c r="M1473" t="str">
        <f>IF(OR(B1473&lt;$AE$20,B1473&gt;$AF$20),"Outlier","OK")</f>
        <v>OK</v>
      </c>
      <c r="N1473" t="str">
        <f>IF(OR(J1473&lt;$AE$21,J1473&gt;$AF$21),"Outlier","OK")</f>
        <v>OK</v>
      </c>
      <c r="O1473" t="str">
        <f>IF(OR(C1473&lt;0,C1473&gt;1),"Outlier","OK")</f>
        <v>OK</v>
      </c>
      <c r="P1473" t="str">
        <f>IF(OR(D1473&lt;0,D1473&gt;1),"Outlier","OK")</f>
        <v>OK</v>
      </c>
      <c r="Q1473" t="str">
        <f t="shared" si="178"/>
        <v>60-80%</v>
      </c>
      <c r="R1473" t="str">
        <f>IF(B1473="","Missing","OK")</f>
        <v>OK</v>
      </c>
      <c r="S1473" t="str">
        <f>IF(E1473="","Missing","OK")</f>
        <v>OK</v>
      </c>
      <c r="T1473" t="str">
        <f t="shared" si="179"/>
        <v>OK</v>
      </c>
      <c r="U1473">
        <f>COUNTIF($A:$A,A1473)</f>
        <v>1</v>
      </c>
      <c r="V1473" t="str">
        <f t="shared" si="180"/>
        <v>OK</v>
      </c>
      <c r="W1473" t="str">
        <f>IF(I1473&gt;B1473,"ERROR","OK")</f>
        <v>OK</v>
      </c>
      <c r="X1473">
        <f>(B1473-I1473)/B1473</f>
        <v>0.69613467020132824</v>
      </c>
      <c r="Y1473" s="2">
        <f t="shared" si="181"/>
        <v>2.2204460492503131E-16</v>
      </c>
      <c r="Z1473" s="2" t="str">
        <f t="shared" si="182"/>
        <v>OK</v>
      </c>
      <c r="AA1473" t="str">
        <f t="shared" si="183"/>
        <v>Unique</v>
      </c>
    </row>
    <row r="1474" spans="1:27" x14ac:dyDescent="0.3">
      <c r="A1474">
        <v>1473</v>
      </c>
      <c r="B1474">
        <v>772255.82481350098</v>
      </c>
      <c r="C1474">
        <v>0.50121954522663204</v>
      </c>
      <c r="D1474">
        <v>0.16511100467562301</v>
      </c>
      <c r="E1474">
        <v>0.28827291406272698</v>
      </c>
      <c r="F1474">
        <v>1</v>
      </c>
      <c r="G1474" t="s">
        <v>12</v>
      </c>
      <c r="H1474">
        <v>0</v>
      </c>
      <c r="I1474">
        <v>222620.43702090299</v>
      </c>
      <c r="J1474">
        <v>0.71172708593727196</v>
      </c>
      <c r="K1474" t="str">
        <f t="shared" si="176"/>
        <v>OK</v>
      </c>
      <c r="L1474" t="str">
        <f t="shared" si="177"/>
        <v>OK</v>
      </c>
      <c r="M1474" t="str">
        <f>IF(OR(B1474&lt;$AE$20,B1474&gt;$AF$20),"Outlier","OK")</f>
        <v>OK</v>
      </c>
      <c r="N1474" t="str">
        <f>IF(OR(J1474&lt;$AE$21,J1474&gt;$AF$21),"Outlier","OK")</f>
        <v>OK</v>
      </c>
      <c r="O1474" t="str">
        <f>IF(OR(C1474&lt;0,C1474&gt;1),"Outlier","OK")</f>
        <v>OK</v>
      </c>
      <c r="P1474" t="str">
        <f>IF(OR(D1474&lt;0,D1474&gt;1),"Outlier","OK")</f>
        <v>OK</v>
      </c>
      <c r="Q1474" t="str">
        <f t="shared" si="178"/>
        <v>60-80%</v>
      </c>
      <c r="R1474" t="str">
        <f>IF(B1474="","Missing","OK")</f>
        <v>OK</v>
      </c>
      <c r="S1474" t="str">
        <f>IF(E1474="","Missing","OK")</f>
        <v>OK</v>
      </c>
      <c r="T1474" t="str">
        <f t="shared" si="179"/>
        <v>OK</v>
      </c>
      <c r="U1474">
        <f>COUNTIF($A:$A,A1474)</f>
        <v>1</v>
      </c>
      <c r="V1474" t="str">
        <f t="shared" si="180"/>
        <v>OK</v>
      </c>
      <c r="W1474" t="str">
        <f>IF(I1474&gt;B1474,"ERROR","OK")</f>
        <v>OK</v>
      </c>
      <c r="X1474">
        <f>(B1474-I1474)/B1474</f>
        <v>0.71172708593727263</v>
      </c>
      <c r="Y1474" s="2">
        <f t="shared" si="181"/>
        <v>6.6613381477509392E-16</v>
      </c>
      <c r="Z1474" s="2" t="str">
        <f t="shared" si="182"/>
        <v>OK</v>
      </c>
      <c r="AA1474" t="str">
        <f t="shared" si="183"/>
        <v>Unique</v>
      </c>
    </row>
    <row r="1475" spans="1:27" x14ac:dyDescent="0.3">
      <c r="A1475">
        <v>1474</v>
      </c>
      <c r="B1475">
        <v>1066528.8155006</v>
      </c>
      <c r="C1475">
        <v>0.50042443742759302</v>
      </c>
      <c r="D1475">
        <v>0.116994110590494</v>
      </c>
      <c r="E1475">
        <v>3.9258179859260098E-2</v>
      </c>
      <c r="F1475">
        <v>1</v>
      </c>
      <c r="G1475" t="s">
        <v>10</v>
      </c>
      <c r="H1475">
        <v>0</v>
      </c>
      <c r="I1475">
        <v>41869.9800640065</v>
      </c>
      <c r="J1475">
        <v>0.96074182014073894</v>
      </c>
      <c r="K1475" t="str">
        <f t="shared" ref="K1475:K1538" si="184">IF(OR(J1475&lt;0,J1475&gt;1),"Error","OK")</f>
        <v>OK</v>
      </c>
      <c r="L1475" t="str">
        <f t="shared" ref="L1475:L1538" si="185">IF(I1475&gt;B1475,"Error","OK")</f>
        <v>OK</v>
      </c>
      <c r="M1475" t="str">
        <f>IF(OR(B1475&lt;$AE$20,B1475&gt;$AF$20),"Outlier","OK")</f>
        <v>OK</v>
      </c>
      <c r="N1475" t="str">
        <f>IF(OR(J1475&lt;$AE$21,J1475&gt;$AF$21),"Outlier","OK")</f>
        <v>OK</v>
      </c>
      <c r="O1475" t="str">
        <f>IF(OR(C1475&lt;0,C1475&gt;1),"Outlier","OK")</f>
        <v>OK</v>
      </c>
      <c r="P1475" t="str">
        <f>IF(OR(D1475&lt;0,D1475&gt;1),"Outlier","OK")</f>
        <v>OK</v>
      </c>
      <c r="Q1475" t="str">
        <f t="shared" ref="Q1475:Q1538" si="186">IF(J1475&lt;=0.2,"0-20%",
 IF(J1475&lt;=0.4,"20-40%",
 IF(J1475&lt;=0.6,"40-60%",
 IF(J1475&lt;=0.8,"60-80%","80-100%"))))</f>
        <v>80-100%</v>
      </c>
      <c r="R1475" t="str">
        <f>IF(B1475="","Missing","OK")</f>
        <v>OK</v>
      </c>
      <c r="S1475" t="str">
        <f>IF(E1475="","Missing","OK")</f>
        <v>OK</v>
      </c>
      <c r="T1475" t="str">
        <f t="shared" ref="T1475:T1538" si="187">IF(J1475="","Missing","OK")</f>
        <v>OK</v>
      </c>
      <c r="U1475">
        <f>COUNTIF($A:$A,A1475)</f>
        <v>1</v>
      </c>
      <c r="V1475" t="str">
        <f t="shared" ref="V1475:V1538" si="188">IF(OR(J1475&lt;0,J1475&gt;1),"ERROR","OK")</f>
        <v>OK</v>
      </c>
      <c r="W1475" t="str">
        <f>IF(I1475&gt;B1475,"ERROR","OK")</f>
        <v>OK</v>
      </c>
      <c r="X1475">
        <f>(B1475-I1475)/B1475</f>
        <v>0.96074182014073961</v>
      </c>
      <c r="Y1475" s="2">
        <f t="shared" ref="Y1475:Y1538" si="189">ABS(J1475-X1475)</f>
        <v>6.6613381477509392E-16</v>
      </c>
      <c r="Z1475" s="2" t="str">
        <f t="shared" ref="Z1475:Z1538" si="190">IF(OR(B1475="",I1475="",J1475=""),"Missing","OK")</f>
        <v>OK</v>
      </c>
      <c r="AA1475" t="str">
        <f t="shared" ref="AA1475:AA1538" si="191">IF(COUNTIF($A:$A,A1475)&gt;1,"Duplicate","Unique")</f>
        <v>Unique</v>
      </c>
    </row>
    <row r="1476" spans="1:27" x14ac:dyDescent="0.3">
      <c r="A1476">
        <v>1475</v>
      </c>
      <c r="B1476">
        <v>1004978.41277968</v>
      </c>
      <c r="C1476">
        <v>0.44041440744168597</v>
      </c>
      <c r="D1476">
        <v>-7.4172035048990906E-2</v>
      </c>
      <c r="E1476">
        <v>0.376573147336692</v>
      </c>
      <c r="F1476">
        <v>1</v>
      </c>
      <c r="G1476" t="s">
        <v>13</v>
      </c>
      <c r="H1476">
        <v>0</v>
      </c>
      <c r="I1476">
        <v>378447.88390587899</v>
      </c>
      <c r="J1476">
        <v>0.623426852663307</v>
      </c>
      <c r="K1476" t="str">
        <f t="shared" si="184"/>
        <v>OK</v>
      </c>
      <c r="L1476" t="str">
        <f t="shared" si="185"/>
        <v>OK</v>
      </c>
      <c r="M1476" t="str">
        <f>IF(OR(B1476&lt;$AE$20,B1476&gt;$AF$20),"Outlier","OK")</f>
        <v>OK</v>
      </c>
      <c r="N1476" t="str">
        <f>IF(OR(J1476&lt;$AE$21,J1476&gt;$AF$21),"Outlier","OK")</f>
        <v>OK</v>
      </c>
      <c r="O1476" t="str">
        <f>IF(OR(C1476&lt;0,C1476&gt;1),"Outlier","OK")</f>
        <v>OK</v>
      </c>
      <c r="P1476" t="str">
        <f>IF(OR(D1476&lt;0,D1476&gt;1),"Outlier","OK")</f>
        <v>Outlier</v>
      </c>
      <c r="Q1476" t="str">
        <f t="shared" si="186"/>
        <v>60-80%</v>
      </c>
      <c r="R1476" t="str">
        <f>IF(B1476="","Missing","OK")</f>
        <v>OK</v>
      </c>
      <c r="S1476" t="str">
        <f>IF(E1476="","Missing","OK")</f>
        <v>OK</v>
      </c>
      <c r="T1476" t="str">
        <f t="shared" si="187"/>
        <v>OK</v>
      </c>
      <c r="U1476">
        <f>COUNTIF($A:$A,A1476)</f>
        <v>1</v>
      </c>
      <c r="V1476" t="str">
        <f t="shared" si="188"/>
        <v>OK</v>
      </c>
      <c r="W1476" t="str">
        <f>IF(I1476&gt;B1476,"ERROR","OK")</f>
        <v>OK</v>
      </c>
      <c r="X1476">
        <f>(B1476-I1476)/B1476</f>
        <v>0.62342685266330633</v>
      </c>
      <c r="Y1476" s="2">
        <f t="shared" si="189"/>
        <v>6.6613381477509392E-16</v>
      </c>
      <c r="Z1476" s="2" t="str">
        <f t="shared" si="190"/>
        <v>OK</v>
      </c>
      <c r="AA1476" t="str">
        <f t="shared" si="191"/>
        <v>Unique</v>
      </c>
    </row>
    <row r="1477" spans="1:27" x14ac:dyDescent="0.3">
      <c r="A1477">
        <v>1476</v>
      </c>
      <c r="B1477">
        <v>312237.47022374399</v>
      </c>
      <c r="C1477">
        <v>0.45411809222038102</v>
      </c>
      <c r="D1477">
        <v>-3.7006574324314999E-2</v>
      </c>
      <c r="E1477">
        <v>0.24172660949837299</v>
      </c>
      <c r="F1477">
        <v>1</v>
      </c>
      <c r="G1477" t="s">
        <v>12</v>
      </c>
      <c r="H1477">
        <v>0</v>
      </c>
      <c r="I1477">
        <v>75476.105035535104</v>
      </c>
      <c r="J1477">
        <v>0.75827339050162601</v>
      </c>
      <c r="K1477" t="str">
        <f t="shared" si="184"/>
        <v>OK</v>
      </c>
      <c r="L1477" t="str">
        <f t="shared" si="185"/>
        <v>OK</v>
      </c>
      <c r="M1477" t="str">
        <f>IF(OR(B1477&lt;$AE$20,B1477&gt;$AF$20),"Outlier","OK")</f>
        <v>OK</v>
      </c>
      <c r="N1477" t="str">
        <f>IF(OR(J1477&lt;$AE$21,J1477&gt;$AF$21),"Outlier","OK")</f>
        <v>OK</v>
      </c>
      <c r="O1477" t="str">
        <f>IF(OR(C1477&lt;0,C1477&gt;1),"Outlier","OK")</f>
        <v>OK</v>
      </c>
      <c r="P1477" t="str">
        <f>IF(OR(D1477&lt;0,D1477&gt;1),"Outlier","OK")</f>
        <v>Outlier</v>
      </c>
      <c r="Q1477" t="str">
        <f t="shared" si="186"/>
        <v>60-80%</v>
      </c>
      <c r="R1477" t="str">
        <f>IF(B1477="","Missing","OK")</f>
        <v>OK</v>
      </c>
      <c r="S1477" t="str">
        <f>IF(E1477="","Missing","OK")</f>
        <v>OK</v>
      </c>
      <c r="T1477" t="str">
        <f t="shared" si="187"/>
        <v>OK</v>
      </c>
      <c r="U1477">
        <f>COUNTIF($A:$A,A1477)</f>
        <v>1</v>
      </c>
      <c r="V1477" t="str">
        <f t="shared" si="188"/>
        <v>OK</v>
      </c>
      <c r="W1477" t="str">
        <f>IF(I1477&gt;B1477,"ERROR","OK")</f>
        <v>OK</v>
      </c>
      <c r="X1477">
        <f>(B1477-I1477)/B1477</f>
        <v>0.75827339050162612</v>
      </c>
      <c r="Y1477" s="2">
        <f t="shared" si="189"/>
        <v>1.1102230246251565E-16</v>
      </c>
      <c r="Z1477" s="2" t="str">
        <f t="shared" si="190"/>
        <v>OK</v>
      </c>
      <c r="AA1477" t="str">
        <f t="shared" si="191"/>
        <v>Unique</v>
      </c>
    </row>
    <row r="1478" spans="1:27" x14ac:dyDescent="0.3">
      <c r="A1478">
        <v>1477</v>
      </c>
      <c r="B1478">
        <v>764017.90982844296</v>
      </c>
      <c r="C1478">
        <v>0.49057290714398999</v>
      </c>
      <c r="D1478">
        <v>-5.0095583344009001E-2</v>
      </c>
      <c r="E1478">
        <v>0.15968730674947901</v>
      </c>
      <c r="F1478">
        <v>1</v>
      </c>
      <c r="G1478" t="s">
        <v>12</v>
      </c>
      <c r="H1478">
        <v>1</v>
      </c>
      <c r="I1478">
        <v>122003.96232886999</v>
      </c>
      <c r="J1478">
        <v>0.84031269325052005</v>
      </c>
      <c r="K1478" t="str">
        <f t="shared" si="184"/>
        <v>OK</v>
      </c>
      <c r="L1478" t="str">
        <f t="shared" si="185"/>
        <v>OK</v>
      </c>
      <c r="M1478" t="str">
        <f>IF(OR(B1478&lt;$AE$20,B1478&gt;$AF$20),"Outlier","OK")</f>
        <v>OK</v>
      </c>
      <c r="N1478" t="str">
        <f>IF(OR(J1478&lt;$AE$21,J1478&gt;$AF$21),"Outlier","OK")</f>
        <v>OK</v>
      </c>
      <c r="O1478" t="str">
        <f>IF(OR(C1478&lt;0,C1478&gt;1),"Outlier","OK")</f>
        <v>OK</v>
      </c>
      <c r="P1478" t="str">
        <f>IF(OR(D1478&lt;0,D1478&gt;1),"Outlier","OK")</f>
        <v>Outlier</v>
      </c>
      <c r="Q1478" t="str">
        <f t="shared" si="186"/>
        <v>80-100%</v>
      </c>
      <c r="R1478" t="str">
        <f>IF(B1478="","Missing","OK")</f>
        <v>OK</v>
      </c>
      <c r="S1478" t="str">
        <f>IF(E1478="","Missing","OK")</f>
        <v>OK</v>
      </c>
      <c r="T1478" t="str">
        <f t="shared" si="187"/>
        <v>OK</v>
      </c>
      <c r="U1478">
        <f>COUNTIF($A:$A,A1478)</f>
        <v>1</v>
      </c>
      <c r="V1478" t="str">
        <f t="shared" si="188"/>
        <v>OK</v>
      </c>
      <c r="W1478" t="str">
        <f>IF(I1478&gt;B1478,"ERROR","OK")</f>
        <v>OK</v>
      </c>
      <c r="X1478">
        <f>(B1478-I1478)/B1478</f>
        <v>0.84031269325052149</v>
      </c>
      <c r="Y1478" s="2">
        <f t="shared" si="189"/>
        <v>1.4432899320127035E-15</v>
      </c>
      <c r="Z1478" s="2" t="str">
        <f t="shared" si="190"/>
        <v>OK</v>
      </c>
      <c r="AA1478" t="str">
        <f t="shared" si="191"/>
        <v>Unique</v>
      </c>
    </row>
    <row r="1479" spans="1:27" x14ac:dyDescent="0.3">
      <c r="A1479">
        <v>1478</v>
      </c>
      <c r="B1479">
        <v>1999306.2890824699</v>
      </c>
      <c r="C1479">
        <v>0.72893342576334197</v>
      </c>
      <c r="D1479">
        <v>-0.19478731820872899</v>
      </c>
      <c r="E1479">
        <v>0.39430405502766402</v>
      </c>
      <c r="F1479">
        <v>1</v>
      </c>
      <c r="G1479" t="s">
        <v>11</v>
      </c>
      <c r="H1479">
        <v>0</v>
      </c>
      <c r="I1479">
        <v>788334.57702753297</v>
      </c>
      <c r="J1479">
        <v>0.60569594497233503</v>
      </c>
      <c r="K1479" t="str">
        <f t="shared" si="184"/>
        <v>OK</v>
      </c>
      <c r="L1479" t="str">
        <f t="shared" si="185"/>
        <v>OK</v>
      </c>
      <c r="M1479" t="str">
        <f>IF(OR(B1479&lt;$AE$20,B1479&gt;$AF$20),"Outlier","OK")</f>
        <v>Outlier</v>
      </c>
      <c r="N1479" t="str">
        <f>IF(OR(J1479&lt;$AE$21,J1479&gt;$AF$21),"Outlier","OK")</f>
        <v>OK</v>
      </c>
      <c r="O1479" t="str">
        <f>IF(OR(C1479&lt;0,C1479&gt;1),"Outlier","OK")</f>
        <v>OK</v>
      </c>
      <c r="P1479" t="str">
        <f>IF(OR(D1479&lt;0,D1479&gt;1),"Outlier","OK")</f>
        <v>Outlier</v>
      </c>
      <c r="Q1479" t="str">
        <f t="shared" si="186"/>
        <v>60-80%</v>
      </c>
      <c r="R1479" t="str">
        <f>IF(B1479="","Missing","OK")</f>
        <v>OK</v>
      </c>
      <c r="S1479" t="str">
        <f>IF(E1479="","Missing","OK")</f>
        <v>OK</v>
      </c>
      <c r="T1479" t="str">
        <f t="shared" si="187"/>
        <v>OK</v>
      </c>
      <c r="U1479">
        <f>COUNTIF($A:$A,A1479)</f>
        <v>1</v>
      </c>
      <c r="V1479" t="str">
        <f t="shared" si="188"/>
        <v>OK</v>
      </c>
      <c r="W1479" t="str">
        <f>IF(I1479&gt;B1479,"ERROR","OK")</f>
        <v>OK</v>
      </c>
      <c r="X1479">
        <f>(B1479-I1479)/B1479</f>
        <v>0.60569594497233392</v>
      </c>
      <c r="Y1479" s="2">
        <f t="shared" si="189"/>
        <v>1.1102230246251565E-15</v>
      </c>
      <c r="Z1479" s="2" t="str">
        <f t="shared" si="190"/>
        <v>OK</v>
      </c>
      <c r="AA1479" t="str">
        <f t="shared" si="191"/>
        <v>Unique</v>
      </c>
    </row>
    <row r="1480" spans="1:27" x14ac:dyDescent="0.3">
      <c r="A1480">
        <v>1479</v>
      </c>
      <c r="B1480">
        <v>1150046.68988186</v>
      </c>
      <c r="C1480">
        <v>0.75416095001226802</v>
      </c>
      <c r="D1480">
        <v>0.16382171072615601</v>
      </c>
      <c r="E1480">
        <v>0.47701521223888899</v>
      </c>
      <c r="F1480">
        <v>1</v>
      </c>
      <c r="G1480" t="s">
        <v>13</v>
      </c>
      <c r="H1480">
        <v>1</v>
      </c>
      <c r="I1480">
        <v>548589.765858631</v>
      </c>
      <c r="J1480">
        <v>0.52298478776111001</v>
      </c>
      <c r="K1480" t="str">
        <f t="shared" si="184"/>
        <v>OK</v>
      </c>
      <c r="L1480" t="str">
        <f t="shared" si="185"/>
        <v>OK</v>
      </c>
      <c r="M1480" t="str">
        <f>IF(OR(B1480&lt;$AE$20,B1480&gt;$AF$20),"Outlier","OK")</f>
        <v>OK</v>
      </c>
      <c r="N1480" t="str">
        <f>IF(OR(J1480&lt;$AE$21,J1480&gt;$AF$21),"Outlier","OK")</f>
        <v>OK</v>
      </c>
      <c r="O1480" t="str">
        <f>IF(OR(C1480&lt;0,C1480&gt;1),"Outlier","OK")</f>
        <v>OK</v>
      </c>
      <c r="P1480" t="str">
        <f>IF(OR(D1480&lt;0,D1480&gt;1),"Outlier","OK")</f>
        <v>OK</v>
      </c>
      <c r="Q1480" t="str">
        <f t="shared" si="186"/>
        <v>40-60%</v>
      </c>
      <c r="R1480" t="str">
        <f>IF(B1480="","Missing","OK")</f>
        <v>OK</v>
      </c>
      <c r="S1480" t="str">
        <f>IF(E1480="","Missing","OK")</f>
        <v>OK</v>
      </c>
      <c r="T1480" t="str">
        <f t="shared" si="187"/>
        <v>OK</v>
      </c>
      <c r="U1480">
        <f>COUNTIF($A:$A,A1480)</f>
        <v>1</v>
      </c>
      <c r="V1480" t="str">
        <f t="shared" si="188"/>
        <v>OK</v>
      </c>
      <c r="W1480" t="str">
        <f>IF(I1480&gt;B1480,"ERROR","OK")</f>
        <v>OK</v>
      </c>
      <c r="X1480">
        <f>(B1480-I1480)/B1480</f>
        <v>0.52298478776110768</v>
      </c>
      <c r="Y1480" s="2">
        <f t="shared" si="189"/>
        <v>2.3314683517128287E-15</v>
      </c>
      <c r="Z1480" s="2" t="str">
        <f t="shared" si="190"/>
        <v>OK</v>
      </c>
      <c r="AA1480" t="str">
        <f t="shared" si="191"/>
        <v>Unique</v>
      </c>
    </row>
    <row r="1481" spans="1:27" x14ac:dyDescent="0.3">
      <c r="A1481">
        <v>1480</v>
      </c>
      <c r="B1481">
        <v>957208.76794965204</v>
      </c>
      <c r="C1481">
        <v>0.15078347241170001</v>
      </c>
      <c r="D1481">
        <v>-0.15470798993749801</v>
      </c>
      <c r="E1481">
        <v>0.17659001684962</v>
      </c>
      <c r="F1481">
        <v>1</v>
      </c>
      <c r="G1481" t="s">
        <v>12</v>
      </c>
      <c r="H1481">
        <v>1</v>
      </c>
      <c r="I1481">
        <v>169033.51246083301</v>
      </c>
      <c r="J1481">
        <v>0.82340998315037905</v>
      </c>
      <c r="K1481" t="str">
        <f t="shared" si="184"/>
        <v>OK</v>
      </c>
      <c r="L1481" t="str">
        <f t="shared" si="185"/>
        <v>OK</v>
      </c>
      <c r="M1481" t="str">
        <f>IF(OR(B1481&lt;$AE$20,B1481&gt;$AF$20),"Outlier","OK")</f>
        <v>OK</v>
      </c>
      <c r="N1481" t="str">
        <f>IF(OR(J1481&lt;$AE$21,J1481&gt;$AF$21),"Outlier","OK")</f>
        <v>OK</v>
      </c>
      <c r="O1481" t="str">
        <f>IF(OR(C1481&lt;0,C1481&gt;1),"Outlier","OK")</f>
        <v>OK</v>
      </c>
      <c r="P1481" t="str">
        <f>IF(OR(D1481&lt;0,D1481&gt;1),"Outlier","OK")</f>
        <v>Outlier</v>
      </c>
      <c r="Q1481" t="str">
        <f t="shared" si="186"/>
        <v>80-100%</v>
      </c>
      <c r="R1481" t="str">
        <f>IF(B1481="","Missing","OK")</f>
        <v>OK</v>
      </c>
      <c r="S1481" t="str">
        <f>IF(E1481="","Missing","OK")</f>
        <v>OK</v>
      </c>
      <c r="T1481" t="str">
        <f t="shared" si="187"/>
        <v>OK</v>
      </c>
      <c r="U1481">
        <f>COUNTIF($A:$A,A1481)</f>
        <v>1</v>
      </c>
      <c r="V1481" t="str">
        <f t="shared" si="188"/>
        <v>OK</v>
      </c>
      <c r="W1481" t="str">
        <f>IF(I1481&gt;B1481,"ERROR","OK")</f>
        <v>OK</v>
      </c>
      <c r="X1481">
        <f>(B1481-I1481)/B1481</f>
        <v>0.82340998315037994</v>
      </c>
      <c r="Y1481" s="2">
        <f t="shared" si="189"/>
        <v>8.8817841970012523E-16</v>
      </c>
      <c r="Z1481" s="2" t="str">
        <f t="shared" si="190"/>
        <v>OK</v>
      </c>
      <c r="AA1481" t="str">
        <f t="shared" si="191"/>
        <v>Unique</v>
      </c>
    </row>
    <row r="1482" spans="1:27" x14ac:dyDescent="0.3">
      <c r="A1482">
        <v>1481</v>
      </c>
      <c r="B1482">
        <v>1120829.8073843999</v>
      </c>
      <c r="C1482">
        <v>0.65971927215271198</v>
      </c>
      <c r="D1482">
        <v>-0.13669287818801201</v>
      </c>
      <c r="E1482">
        <v>0.60529699694736105</v>
      </c>
      <c r="F1482">
        <v>1</v>
      </c>
      <c r="G1482" t="s">
        <v>10</v>
      </c>
      <c r="H1482">
        <v>0</v>
      </c>
      <c r="I1482">
        <v>678434.91649886803</v>
      </c>
      <c r="J1482">
        <v>0.394703003052638</v>
      </c>
      <c r="K1482" t="str">
        <f t="shared" si="184"/>
        <v>OK</v>
      </c>
      <c r="L1482" t="str">
        <f t="shared" si="185"/>
        <v>OK</v>
      </c>
      <c r="M1482" t="str">
        <f>IF(OR(B1482&lt;$AE$20,B1482&gt;$AF$20),"Outlier","OK")</f>
        <v>OK</v>
      </c>
      <c r="N1482" t="str">
        <f>IF(OR(J1482&lt;$AE$21,J1482&gt;$AF$21),"Outlier","OK")</f>
        <v>OK</v>
      </c>
      <c r="O1482" t="str">
        <f>IF(OR(C1482&lt;0,C1482&gt;1),"Outlier","OK")</f>
        <v>OK</v>
      </c>
      <c r="P1482" t="str">
        <f>IF(OR(D1482&lt;0,D1482&gt;1),"Outlier","OK")</f>
        <v>Outlier</v>
      </c>
      <c r="Q1482" t="str">
        <f t="shared" si="186"/>
        <v>20-40%</v>
      </c>
      <c r="R1482" t="str">
        <f>IF(B1482="","Missing","OK")</f>
        <v>OK</v>
      </c>
      <c r="S1482" t="str">
        <f>IF(E1482="","Missing","OK")</f>
        <v>OK</v>
      </c>
      <c r="T1482" t="str">
        <f t="shared" si="187"/>
        <v>OK</v>
      </c>
      <c r="U1482">
        <f>COUNTIF($A:$A,A1482)</f>
        <v>1</v>
      </c>
      <c r="V1482" t="str">
        <f t="shared" si="188"/>
        <v>OK</v>
      </c>
      <c r="W1482" t="str">
        <f>IF(I1482&gt;B1482,"ERROR","OK")</f>
        <v>OK</v>
      </c>
      <c r="X1482">
        <f>(B1482-I1482)/B1482</f>
        <v>0.3947030030526375</v>
      </c>
      <c r="Y1482" s="2">
        <f t="shared" si="189"/>
        <v>4.9960036108132044E-16</v>
      </c>
      <c r="Z1482" s="2" t="str">
        <f t="shared" si="190"/>
        <v>OK</v>
      </c>
      <c r="AA1482" t="str">
        <f t="shared" si="191"/>
        <v>Unique</v>
      </c>
    </row>
    <row r="1483" spans="1:27" x14ac:dyDescent="0.3">
      <c r="A1483">
        <v>1482</v>
      </c>
      <c r="B1483">
        <v>562867.69338029902</v>
      </c>
      <c r="C1483">
        <v>0.69420756767368896</v>
      </c>
      <c r="D1483">
        <v>3.2734201741418901E-4</v>
      </c>
      <c r="E1483">
        <v>0.19905398635574501</v>
      </c>
      <c r="F1483">
        <v>1</v>
      </c>
      <c r="G1483" t="s">
        <v>12</v>
      </c>
      <c r="H1483">
        <v>0</v>
      </c>
      <c r="I1483">
        <v>112041.05815821201</v>
      </c>
      <c r="J1483">
        <v>0.800946013644254</v>
      </c>
      <c r="K1483" t="str">
        <f t="shared" si="184"/>
        <v>OK</v>
      </c>
      <c r="L1483" t="str">
        <f t="shared" si="185"/>
        <v>OK</v>
      </c>
      <c r="M1483" t="str">
        <f>IF(OR(B1483&lt;$AE$20,B1483&gt;$AF$20),"Outlier","OK")</f>
        <v>OK</v>
      </c>
      <c r="N1483" t="str">
        <f>IF(OR(J1483&lt;$AE$21,J1483&gt;$AF$21),"Outlier","OK")</f>
        <v>OK</v>
      </c>
      <c r="O1483" t="str">
        <f>IF(OR(C1483&lt;0,C1483&gt;1),"Outlier","OK")</f>
        <v>OK</v>
      </c>
      <c r="P1483" t="str">
        <f>IF(OR(D1483&lt;0,D1483&gt;1),"Outlier","OK")</f>
        <v>OK</v>
      </c>
      <c r="Q1483" t="str">
        <f t="shared" si="186"/>
        <v>80-100%</v>
      </c>
      <c r="R1483" t="str">
        <f>IF(B1483="","Missing","OK")</f>
        <v>OK</v>
      </c>
      <c r="S1483" t="str">
        <f>IF(E1483="","Missing","OK")</f>
        <v>OK</v>
      </c>
      <c r="T1483" t="str">
        <f t="shared" si="187"/>
        <v>OK</v>
      </c>
      <c r="U1483">
        <f>COUNTIF($A:$A,A1483)</f>
        <v>1</v>
      </c>
      <c r="V1483" t="str">
        <f t="shared" si="188"/>
        <v>OK</v>
      </c>
      <c r="W1483" t="str">
        <f>IF(I1483&gt;B1483,"ERROR","OK")</f>
        <v>OK</v>
      </c>
      <c r="X1483">
        <f>(B1483-I1483)/B1483</f>
        <v>0.80094601364425444</v>
      </c>
      <c r="Y1483" s="2">
        <f t="shared" si="189"/>
        <v>4.4408920985006262E-16</v>
      </c>
      <c r="Z1483" s="2" t="str">
        <f t="shared" si="190"/>
        <v>OK</v>
      </c>
      <c r="AA1483" t="str">
        <f t="shared" si="191"/>
        <v>Unique</v>
      </c>
    </row>
    <row r="1484" spans="1:27" x14ac:dyDescent="0.3">
      <c r="A1484">
        <v>1483</v>
      </c>
      <c r="B1484">
        <v>1154414.11900202</v>
      </c>
      <c r="C1484">
        <v>0.38462758211083697</v>
      </c>
      <c r="D1484">
        <v>0.175076799515685</v>
      </c>
      <c r="E1484">
        <v>0.22152110176332601</v>
      </c>
      <c r="F1484">
        <v>1</v>
      </c>
      <c r="G1484" t="s">
        <v>12</v>
      </c>
      <c r="H1484">
        <v>1</v>
      </c>
      <c r="I1484">
        <v>255727.08753247</v>
      </c>
      <c r="J1484">
        <v>0.77847889823667304</v>
      </c>
      <c r="K1484" t="str">
        <f t="shared" si="184"/>
        <v>OK</v>
      </c>
      <c r="L1484" t="str">
        <f t="shared" si="185"/>
        <v>OK</v>
      </c>
      <c r="M1484" t="str">
        <f>IF(OR(B1484&lt;$AE$20,B1484&gt;$AF$20),"Outlier","OK")</f>
        <v>OK</v>
      </c>
      <c r="N1484" t="str">
        <f>IF(OR(J1484&lt;$AE$21,J1484&gt;$AF$21),"Outlier","OK")</f>
        <v>OK</v>
      </c>
      <c r="O1484" t="str">
        <f>IF(OR(C1484&lt;0,C1484&gt;1),"Outlier","OK")</f>
        <v>OK</v>
      </c>
      <c r="P1484" t="str">
        <f>IF(OR(D1484&lt;0,D1484&gt;1),"Outlier","OK")</f>
        <v>OK</v>
      </c>
      <c r="Q1484" t="str">
        <f t="shared" si="186"/>
        <v>60-80%</v>
      </c>
      <c r="R1484" t="str">
        <f>IF(B1484="","Missing","OK")</f>
        <v>OK</v>
      </c>
      <c r="S1484" t="str">
        <f>IF(E1484="","Missing","OK")</f>
        <v>OK</v>
      </c>
      <c r="T1484" t="str">
        <f t="shared" si="187"/>
        <v>OK</v>
      </c>
      <c r="U1484">
        <f>COUNTIF($A:$A,A1484)</f>
        <v>1</v>
      </c>
      <c r="V1484" t="str">
        <f t="shared" si="188"/>
        <v>OK</v>
      </c>
      <c r="W1484" t="str">
        <f>IF(I1484&gt;B1484,"ERROR","OK")</f>
        <v>OK</v>
      </c>
      <c r="X1484">
        <f>(B1484-I1484)/B1484</f>
        <v>0.77847889823667127</v>
      </c>
      <c r="Y1484" s="2">
        <f t="shared" si="189"/>
        <v>1.7763568394002505E-15</v>
      </c>
      <c r="Z1484" s="2" t="str">
        <f t="shared" si="190"/>
        <v>OK</v>
      </c>
      <c r="AA1484" t="str">
        <f t="shared" si="191"/>
        <v>Unique</v>
      </c>
    </row>
    <row r="1485" spans="1:27" x14ac:dyDescent="0.3">
      <c r="A1485">
        <v>1484</v>
      </c>
      <c r="B1485">
        <v>1470223.73858508</v>
      </c>
      <c r="C1485">
        <v>0.39147141495390703</v>
      </c>
      <c r="D1485">
        <v>0.17880605105053099</v>
      </c>
      <c r="E1485">
        <v>0.32654921309120499</v>
      </c>
      <c r="F1485">
        <v>1</v>
      </c>
      <c r="G1485" t="s">
        <v>10</v>
      </c>
      <c r="H1485">
        <v>1</v>
      </c>
      <c r="I1485">
        <v>480100.40490297001</v>
      </c>
      <c r="J1485">
        <v>0.67345078690879401</v>
      </c>
      <c r="K1485" t="str">
        <f t="shared" si="184"/>
        <v>OK</v>
      </c>
      <c r="L1485" t="str">
        <f t="shared" si="185"/>
        <v>OK</v>
      </c>
      <c r="M1485" t="str">
        <f>IF(OR(B1485&lt;$AE$20,B1485&gt;$AF$20),"Outlier","OK")</f>
        <v>OK</v>
      </c>
      <c r="N1485" t="str">
        <f>IF(OR(J1485&lt;$AE$21,J1485&gt;$AF$21),"Outlier","OK")</f>
        <v>OK</v>
      </c>
      <c r="O1485" t="str">
        <f>IF(OR(C1485&lt;0,C1485&gt;1),"Outlier","OK")</f>
        <v>OK</v>
      </c>
      <c r="P1485" t="str">
        <f>IF(OR(D1485&lt;0,D1485&gt;1),"Outlier","OK")</f>
        <v>OK</v>
      </c>
      <c r="Q1485" t="str">
        <f t="shared" si="186"/>
        <v>60-80%</v>
      </c>
      <c r="R1485" t="str">
        <f>IF(B1485="","Missing","OK")</f>
        <v>OK</v>
      </c>
      <c r="S1485" t="str">
        <f>IF(E1485="","Missing","OK")</f>
        <v>OK</v>
      </c>
      <c r="T1485" t="str">
        <f t="shared" si="187"/>
        <v>OK</v>
      </c>
      <c r="U1485">
        <f>COUNTIF($A:$A,A1485)</f>
        <v>1</v>
      </c>
      <c r="V1485" t="str">
        <f t="shared" si="188"/>
        <v>OK</v>
      </c>
      <c r="W1485" t="str">
        <f>IF(I1485&gt;B1485,"ERROR","OK")</f>
        <v>OK</v>
      </c>
      <c r="X1485">
        <f>(B1485-I1485)/B1485</f>
        <v>0.67345078690879323</v>
      </c>
      <c r="Y1485" s="2">
        <f t="shared" si="189"/>
        <v>7.7715611723760958E-16</v>
      </c>
      <c r="Z1485" s="2" t="str">
        <f t="shared" si="190"/>
        <v>OK</v>
      </c>
      <c r="AA1485" t="str">
        <f t="shared" si="191"/>
        <v>Unique</v>
      </c>
    </row>
    <row r="1486" spans="1:27" x14ac:dyDescent="0.3">
      <c r="A1486">
        <v>1485</v>
      </c>
      <c r="B1486">
        <v>256083.672266268</v>
      </c>
      <c r="C1486">
        <v>0.83448819469543201</v>
      </c>
      <c r="D1486">
        <v>-8.2594291522046906E-2</v>
      </c>
      <c r="E1486">
        <v>0.46009672372632099</v>
      </c>
      <c r="F1486">
        <v>1</v>
      </c>
      <c r="G1486" t="s">
        <v>11</v>
      </c>
      <c r="H1486">
        <v>0</v>
      </c>
      <c r="I1486">
        <v>117823.258609515</v>
      </c>
      <c r="J1486">
        <v>0.53990327627367796</v>
      </c>
      <c r="K1486" t="str">
        <f t="shared" si="184"/>
        <v>OK</v>
      </c>
      <c r="L1486" t="str">
        <f t="shared" si="185"/>
        <v>OK</v>
      </c>
      <c r="M1486" t="str">
        <f>IF(OR(B1486&lt;$AE$20,B1486&gt;$AF$20),"Outlier","OK")</f>
        <v>OK</v>
      </c>
      <c r="N1486" t="str">
        <f>IF(OR(J1486&lt;$AE$21,J1486&gt;$AF$21),"Outlier","OK")</f>
        <v>OK</v>
      </c>
      <c r="O1486" t="str">
        <f>IF(OR(C1486&lt;0,C1486&gt;1),"Outlier","OK")</f>
        <v>OK</v>
      </c>
      <c r="P1486" t="str">
        <f>IF(OR(D1486&lt;0,D1486&gt;1),"Outlier","OK")</f>
        <v>Outlier</v>
      </c>
      <c r="Q1486" t="str">
        <f t="shared" si="186"/>
        <v>40-60%</v>
      </c>
      <c r="R1486" t="str">
        <f>IF(B1486="","Missing","OK")</f>
        <v>OK</v>
      </c>
      <c r="S1486" t="str">
        <f>IF(E1486="","Missing","OK")</f>
        <v>OK</v>
      </c>
      <c r="T1486" t="str">
        <f t="shared" si="187"/>
        <v>OK</v>
      </c>
      <c r="U1486">
        <f>COUNTIF($A:$A,A1486)</f>
        <v>1</v>
      </c>
      <c r="V1486" t="str">
        <f t="shared" si="188"/>
        <v>OK</v>
      </c>
      <c r="W1486" t="str">
        <f>IF(I1486&gt;B1486,"ERROR","OK")</f>
        <v>OK</v>
      </c>
      <c r="X1486">
        <f>(B1486-I1486)/B1486</f>
        <v>0.5399032762736784</v>
      </c>
      <c r="Y1486" s="2">
        <f t="shared" si="189"/>
        <v>4.4408920985006262E-16</v>
      </c>
      <c r="Z1486" s="2" t="str">
        <f t="shared" si="190"/>
        <v>OK</v>
      </c>
      <c r="AA1486" t="str">
        <f t="shared" si="191"/>
        <v>Unique</v>
      </c>
    </row>
    <row r="1487" spans="1:27" x14ac:dyDescent="0.3">
      <c r="A1487">
        <v>1486</v>
      </c>
      <c r="B1487">
        <v>592976.84138535894</v>
      </c>
      <c r="C1487">
        <v>0.30606931673294002</v>
      </c>
      <c r="D1487">
        <v>-0.10585934640448399</v>
      </c>
      <c r="E1487">
        <v>0.29770883682780802</v>
      </c>
      <c r="F1487">
        <v>1</v>
      </c>
      <c r="G1487" t="s">
        <v>10</v>
      </c>
      <c r="H1487">
        <v>0</v>
      </c>
      <c r="I1487">
        <v>176534.44571466299</v>
      </c>
      <c r="J1487">
        <v>0.70229116317219098</v>
      </c>
      <c r="K1487" t="str">
        <f t="shared" si="184"/>
        <v>OK</v>
      </c>
      <c r="L1487" t="str">
        <f t="shared" si="185"/>
        <v>OK</v>
      </c>
      <c r="M1487" t="str">
        <f>IF(OR(B1487&lt;$AE$20,B1487&gt;$AF$20),"Outlier","OK")</f>
        <v>OK</v>
      </c>
      <c r="N1487" t="str">
        <f>IF(OR(J1487&lt;$AE$21,J1487&gt;$AF$21),"Outlier","OK")</f>
        <v>OK</v>
      </c>
      <c r="O1487" t="str">
        <f>IF(OR(C1487&lt;0,C1487&gt;1),"Outlier","OK")</f>
        <v>OK</v>
      </c>
      <c r="P1487" t="str">
        <f>IF(OR(D1487&lt;0,D1487&gt;1),"Outlier","OK")</f>
        <v>Outlier</v>
      </c>
      <c r="Q1487" t="str">
        <f t="shared" si="186"/>
        <v>60-80%</v>
      </c>
      <c r="R1487" t="str">
        <f>IF(B1487="","Missing","OK")</f>
        <v>OK</v>
      </c>
      <c r="S1487" t="str">
        <f>IF(E1487="","Missing","OK")</f>
        <v>OK</v>
      </c>
      <c r="T1487" t="str">
        <f t="shared" si="187"/>
        <v>OK</v>
      </c>
      <c r="U1487">
        <f>COUNTIF($A:$A,A1487)</f>
        <v>1</v>
      </c>
      <c r="V1487" t="str">
        <f t="shared" si="188"/>
        <v>OK</v>
      </c>
      <c r="W1487" t="str">
        <f>IF(I1487&gt;B1487,"ERROR","OK")</f>
        <v>OK</v>
      </c>
      <c r="X1487">
        <f>(B1487-I1487)/B1487</f>
        <v>0.70229116317219165</v>
      </c>
      <c r="Y1487" s="2">
        <f t="shared" si="189"/>
        <v>6.6613381477509392E-16</v>
      </c>
      <c r="Z1487" s="2" t="str">
        <f t="shared" si="190"/>
        <v>OK</v>
      </c>
      <c r="AA1487" t="str">
        <f t="shared" si="191"/>
        <v>Unique</v>
      </c>
    </row>
    <row r="1488" spans="1:27" x14ac:dyDescent="0.3">
      <c r="A1488">
        <v>1487</v>
      </c>
      <c r="B1488">
        <v>457398.45515079401</v>
      </c>
      <c r="C1488">
        <v>0.35721787626791102</v>
      </c>
      <c r="D1488">
        <v>-7.3968663160487197E-2</v>
      </c>
      <c r="E1488">
        <v>0.24778140788685901</v>
      </c>
      <c r="F1488">
        <v>1</v>
      </c>
      <c r="G1488" t="s">
        <v>13</v>
      </c>
      <c r="H1488">
        <v>0</v>
      </c>
      <c r="I1488">
        <v>113334.833182538</v>
      </c>
      <c r="J1488">
        <v>0.75221859211314002</v>
      </c>
      <c r="K1488" t="str">
        <f t="shared" si="184"/>
        <v>OK</v>
      </c>
      <c r="L1488" t="str">
        <f t="shared" si="185"/>
        <v>OK</v>
      </c>
      <c r="M1488" t="str">
        <f>IF(OR(B1488&lt;$AE$20,B1488&gt;$AF$20),"Outlier","OK")</f>
        <v>OK</v>
      </c>
      <c r="N1488" t="str">
        <f>IF(OR(J1488&lt;$AE$21,J1488&gt;$AF$21),"Outlier","OK")</f>
        <v>OK</v>
      </c>
      <c r="O1488" t="str">
        <f>IF(OR(C1488&lt;0,C1488&gt;1),"Outlier","OK")</f>
        <v>OK</v>
      </c>
      <c r="P1488" t="str">
        <f>IF(OR(D1488&lt;0,D1488&gt;1),"Outlier","OK")</f>
        <v>Outlier</v>
      </c>
      <c r="Q1488" t="str">
        <f t="shared" si="186"/>
        <v>60-80%</v>
      </c>
      <c r="R1488" t="str">
        <f>IF(B1488="","Missing","OK")</f>
        <v>OK</v>
      </c>
      <c r="S1488" t="str">
        <f>IF(E1488="","Missing","OK")</f>
        <v>OK</v>
      </c>
      <c r="T1488" t="str">
        <f t="shared" si="187"/>
        <v>OK</v>
      </c>
      <c r="U1488">
        <f>COUNTIF($A:$A,A1488)</f>
        <v>1</v>
      </c>
      <c r="V1488" t="str">
        <f t="shared" si="188"/>
        <v>OK</v>
      </c>
      <c r="W1488" t="str">
        <f>IF(I1488&gt;B1488,"ERROR","OK")</f>
        <v>OK</v>
      </c>
      <c r="X1488">
        <f>(B1488-I1488)/B1488</f>
        <v>0.75221859211314124</v>
      </c>
      <c r="Y1488" s="2">
        <f t="shared" si="189"/>
        <v>1.2212453270876722E-15</v>
      </c>
      <c r="Z1488" s="2" t="str">
        <f t="shared" si="190"/>
        <v>OK</v>
      </c>
      <c r="AA1488" t="str">
        <f t="shared" si="191"/>
        <v>Unique</v>
      </c>
    </row>
    <row r="1489" spans="1:27" x14ac:dyDescent="0.3">
      <c r="A1489">
        <v>1488</v>
      </c>
      <c r="B1489">
        <v>1502514.5017279999</v>
      </c>
      <c r="C1489">
        <v>0.79014914454277996</v>
      </c>
      <c r="D1489">
        <v>5.0078632803536402E-2</v>
      </c>
      <c r="E1489">
        <v>0.15376814337796799</v>
      </c>
      <c r="F1489">
        <v>1</v>
      </c>
      <c r="G1489" t="s">
        <v>10</v>
      </c>
      <c r="H1489">
        <v>1</v>
      </c>
      <c r="I1489">
        <v>231038.865329188</v>
      </c>
      <c r="J1489">
        <v>0.84623185662203104</v>
      </c>
      <c r="K1489" t="str">
        <f t="shared" si="184"/>
        <v>OK</v>
      </c>
      <c r="L1489" t="str">
        <f t="shared" si="185"/>
        <v>OK</v>
      </c>
      <c r="M1489" t="str">
        <f>IF(OR(B1489&lt;$AE$20,B1489&gt;$AF$20),"Outlier","OK")</f>
        <v>OK</v>
      </c>
      <c r="N1489" t="str">
        <f>IF(OR(J1489&lt;$AE$21,J1489&gt;$AF$21),"Outlier","OK")</f>
        <v>OK</v>
      </c>
      <c r="O1489" t="str">
        <f>IF(OR(C1489&lt;0,C1489&gt;1),"Outlier","OK")</f>
        <v>OK</v>
      </c>
      <c r="P1489" t="str">
        <f>IF(OR(D1489&lt;0,D1489&gt;1),"Outlier","OK")</f>
        <v>OK</v>
      </c>
      <c r="Q1489" t="str">
        <f t="shared" si="186"/>
        <v>80-100%</v>
      </c>
      <c r="R1489" t="str">
        <f>IF(B1489="","Missing","OK")</f>
        <v>OK</v>
      </c>
      <c r="S1489" t="str">
        <f>IF(E1489="","Missing","OK")</f>
        <v>OK</v>
      </c>
      <c r="T1489" t="str">
        <f t="shared" si="187"/>
        <v>OK</v>
      </c>
      <c r="U1489">
        <f>COUNTIF($A:$A,A1489)</f>
        <v>1</v>
      </c>
      <c r="V1489" t="str">
        <f t="shared" si="188"/>
        <v>OK</v>
      </c>
      <c r="W1489" t="str">
        <f>IF(I1489&gt;B1489,"ERROR","OK")</f>
        <v>OK</v>
      </c>
      <c r="X1489">
        <f>(B1489-I1489)/B1489</f>
        <v>0.84623185662203149</v>
      </c>
      <c r="Y1489" s="2">
        <f t="shared" si="189"/>
        <v>4.4408920985006262E-16</v>
      </c>
      <c r="Z1489" s="2" t="str">
        <f t="shared" si="190"/>
        <v>OK</v>
      </c>
      <c r="AA1489" t="str">
        <f t="shared" si="191"/>
        <v>Unique</v>
      </c>
    </row>
    <row r="1490" spans="1:27" x14ac:dyDescent="0.3">
      <c r="A1490">
        <v>1489</v>
      </c>
      <c r="B1490">
        <v>1874549.82656896</v>
      </c>
      <c r="C1490">
        <v>0.65327425093188796</v>
      </c>
      <c r="D1490">
        <v>0.19342258000250601</v>
      </c>
      <c r="E1490">
        <v>0.40524122269351998</v>
      </c>
      <c r="F1490">
        <v>1</v>
      </c>
      <c r="G1490" t="s">
        <v>10</v>
      </c>
      <c r="H1490">
        <v>0</v>
      </c>
      <c r="I1490">
        <v>759644.86371873505</v>
      </c>
      <c r="J1490">
        <v>0.59475877730647897</v>
      </c>
      <c r="K1490" t="str">
        <f t="shared" si="184"/>
        <v>OK</v>
      </c>
      <c r="L1490" t="str">
        <f t="shared" si="185"/>
        <v>OK</v>
      </c>
      <c r="M1490" t="str">
        <f>IF(OR(B1490&lt;$AE$20,B1490&gt;$AF$20),"Outlier","OK")</f>
        <v>OK</v>
      </c>
      <c r="N1490" t="str">
        <f>IF(OR(J1490&lt;$AE$21,J1490&gt;$AF$21),"Outlier","OK")</f>
        <v>OK</v>
      </c>
      <c r="O1490" t="str">
        <f>IF(OR(C1490&lt;0,C1490&gt;1),"Outlier","OK")</f>
        <v>OK</v>
      </c>
      <c r="P1490" t="str">
        <f>IF(OR(D1490&lt;0,D1490&gt;1),"Outlier","OK")</f>
        <v>OK</v>
      </c>
      <c r="Q1490" t="str">
        <f t="shared" si="186"/>
        <v>40-60%</v>
      </c>
      <c r="R1490" t="str">
        <f>IF(B1490="","Missing","OK")</f>
        <v>OK</v>
      </c>
      <c r="S1490" t="str">
        <f>IF(E1490="","Missing","OK")</f>
        <v>OK</v>
      </c>
      <c r="T1490" t="str">
        <f t="shared" si="187"/>
        <v>OK</v>
      </c>
      <c r="U1490">
        <f>COUNTIF($A:$A,A1490)</f>
        <v>1</v>
      </c>
      <c r="V1490" t="str">
        <f t="shared" si="188"/>
        <v>OK</v>
      </c>
      <c r="W1490" t="str">
        <f>IF(I1490&gt;B1490,"ERROR","OK")</f>
        <v>OK</v>
      </c>
      <c r="X1490">
        <f>(B1490-I1490)/B1490</f>
        <v>0.59475877730647797</v>
      </c>
      <c r="Y1490" s="2">
        <f t="shared" si="189"/>
        <v>9.9920072216264089E-16</v>
      </c>
      <c r="Z1490" s="2" t="str">
        <f t="shared" si="190"/>
        <v>OK</v>
      </c>
      <c r="AA1490" t="str">
        <f t="shared" si="191"/>
        <v>Unique</v>
      </c>
    </row>
    <row r="1491" spans="1:27" x14ac:dyDescent="0.3">
      <c r="A1491">
        <v>1490</v>
      </c>
      <c r="B1491">
        <v>878140.03381130798</v>
      </c>
      <c r="C1491">
        <v>0.17496823419143701</v>
      </c>
      <c r="D1491">
        <v>1.56295044588711E-3</v>
      </c>
      <c r="E1491">
        <v>0.16559863088532301</v>
      </c>
      <c r="F1491">
        <v>1</v>
      </c>
      <c r="G1491" t="s">
        <v>13</v>
      </c>
      <c r="H1491">
        <v>0</v>
      </c>
      <c r="I1491">
        <v>145418.78732474399</v>
      </c>
      <c r="J1491">
        <v>0.83440136911467599</v>
      </c>
      <c r="K1491" t="str">
        <f t="shared" si="184"/>
        <v>OK</v>
      </c>
      <c r="L1491" t="str">
        <f t="shared" si="185"/>
        <v>OK</v>
      </c>
      <c r="M1491" t="str">
        <f>IF(OR(B1491&lt;$AE$20,B1491&gt;$AF$20),"Outlier","OK")</f>
        <v>OK</v>
      </c>
      <c r="N1491" t="str">
        <f>IF(OR(J1491&lt;$AE$21,J1491&gt;$AF$21),"Outlier","OK")</f>
        <v>OK</v>
      </c>
      <c r="O1491" t="str">
        <f>IF(OR(C1491&lt;0,C1491&gt;1),"Outlier","OK")</f>
        <v>OK</v>
      </c>
      <c r="P1491" t="str">
        <f>IF(OR(D1491&lt;0,D1491&gt;1),"Outlier","OK")</f>
        <v>OK</v>
      </c>
      <c r="Q1491" t="str">
        <f t="shared" si="186"/>
        <v>80-100%</v>
      </c>
      <c r="R1491" t="str">
        <f>IF(B1491="","Missing","OK")</f>
        <v>OK</v>
      </c>
      <c r="S1491" t="str">
        <f>IF(E1491="","Missing","OK")</f>
        <v>OK</v>
      </c>
      <c r="T1491" t="str">
        <f t="shared" si="187"/>
        <v>OK</v>
      </c>
      <c r="U1491">
        <f>COUNTIF($A:$A,A1491)</f>
        <v>1</v>
      </c>
      <c r="V1491" t="str">
        <f t="shared" si="188"/>
        <v>OK</v>
      </c>
      <c r="W1491" t="str">
        <f>IF(I1491&gt;B1491,"ERROR","OK")</f>
        <v>OK</v>
      </c>
      <c r="X1491">
        <f>(B1491-I1491)/B1491</f>
        <v>0.83440136911467677</v>
      </c>
      <c r="Y1491" s="2">
        <f t="shared" si="189"/>
        <v>7.7715611723760958E-16</v>
      </c>
      <c r="Z1491" s="2" t="str">
        <f t="shared" si="190"/>
        <v>OK</v>
      </c>
      <c r="AA1491" t="str">
        <f t="shared" si="191"/>
        <v>Unique</v>
      </c>
    </row>
    <row r="1492" spans="1:27" x14ac:dyDescent="0.3">
      <c r="A1492">
        <v>1491</v>
      </c>
      <c r="B1492">
        <v>1284829.5724019799</v>
      </c>
      <c r="C1492">
        <v>0.53301718013364796</v>
      </c>
      <c r="D1492">
        <v>-0.19731209055656401</v>
      </c>
      <c r="E1492">
        <v>0.26448836680846899</v>
      </c>
      <c r="F1492">
        <v>1</v>
      </c>
      <c r="G1492" t="s">
        <v>11</v>
      </c>
      <c r="H1492">
        <v>0</v>
      </c>
      <c r="I1492">
        <v>339822.47523182398</v>
      </c>
      <c r="J1492">
        <v>0.73551163319153001</v>
      </c>
      <c r="K1492" t="str">
        <f t="shared" si="184"/>
        <v>OK</v>
      </c>
      <c r="L1492" t="str">
        <f t="shared" si="185"/>
        <v>OK</v>
      </c>
      <c r="M1492" t="str">
        <f>IF(OR(B1492&lt;$AE$20,B1492&gt;$AF$20),"Outlier","OK")</f>
        <v>OK</v>
      </c>
      <c r="N1492" t="str">
        <f>IF(OR(J1492&lt;$AE$21,J1492&gt;$AF$21),"Outlier","OK")</f>
        <v>OK</v>
      </c>
      <c r="O1492" t="str">
        <f>IF(OR(C1492&lt;0,C1492&gt;1),"Outlier","OK")</f>
        <v>OK</v>
      </c>
      <c r="P1492" t="str">
        <f>IF(OR(D1492&lt;0,D1492&gt;1),"Outlier","OK")</f>
        <v>Outlier</v>
      </c>
      <c r="Q1492" t="str">
        <f t="shared" si="186"/>
        <v>60-80%</v>
      </c>
      <c r="R1492" t="str">
        <f>IF(B1492="","Missing","OK")</f>
        <v>OK</v>
      </c>
      <c r="S1492" t="str">
        <f>IF(E1492="","Missing","OK")</f>
        <v>OK</v>
      </c>
      <c r="T1492" t="str">
        <f t="shared" si="187"/>
        <v>OK</v>
      </c>
      <c r="U1492">
        <f>COUNTIF($A:$A,A1492)</f>
        <v>1</v>
      </c>
      <c r="V1492" t="str">
        <f t="shared" si="188"/>
        <v>OK</v>
      </c>
      <c r="W1492" t="str">
        <f>IF(I1492&gt;B1492,"ERROR","OK")</f>
        <v>OK</v>
      </c>
      <c r="X1492">
        <f>(B1492-I1492)/B1492</f>
        <v>0.73551163319153046</v>
      </c>
      <c r="Y1492" s="2">
        <f t="shared" si="189"/>
        <v>4.4408920985006262E-16</v>
      </c>
      <c r="Z1492" s="2" t="str">
        <f t="shared" si="190"/>
        <v>OK</v>
      </c>
      <c r="AA1492" t="str">
        <f t="shared" si="191"/>
        <v>Unique</v>
      </c>
    </row>
    <row r="1493" spans="1:27" x14ac:dyDescent="0.3">
      <c r="A1493">
        <v>1492</v>
      </c>
      <c r="B1493">
        <v>110863.71257015401</v>
      </c>
      <c r="C1493">
        <v>0.45014796389595102</v>
      </c>
      <c r="D1493">
        <v>5.11072149668923E-2</v>
      </c>
      <c r="E1493">
        <v>0.26029129953199498</v>
      </c>
      <c r="F1493">
        <v>1</v>
      </c>
      <c r="G1493" t="s">
        <v>12</v>
      </c>
      <c r="H1493">
        <v>1</v>
      </c>
      <c r="I1493">
        <v>28856.859815827102</v>
      </c>
      <c r="J1493">
        <v>0.73970870046800397</v>
      </c>
      <c r="K1493" t="str">
        <f t="shared" si="184"/>
        <v>OK</v>
      </c>
      <c r="L1493" t="str">
        <f t="shared" si="185"/>
        <v>OK</v>
      </c>
      <c r="M1493" t="str">
        <f>IF(OR(B1493&lt;$AE$20,B1493&gt;$AF$20),"Outlier","OK")</f>
        <v>OK</v>
      </c>
      <c r="N1493" t="str">
        <f>IF(OR(J1493&lt;$AE$21,J1493&gt;$AF$21),"Outlier","OK")</f>
        <v>OK</v>
      </c>
      <c r="O1493" t="str">
        <f>IF(OR(C1493&lt;0,C1493&gt;1),"Outlier","OK")</f>
        <v>OK</v>
      </c>
      <c r="P1493" t="str">
        <f>IF(OR(D1493&lt;0,D1493&gt;1),"Outlier","OK")</f>
        <v>OK</v>
      </c>
      <c r="Q1493" t="str">
        <f t="shared" si="186"/>
        <v>60-80%</v>
      </c>
      <c r="R1493" t="str">
        <f>IF(B1493="","Missing","OK")</f>
        <v>OK</v>
      </c>
      <c r="S1493" t="str">
        <f>IF(E1493="","Missing","OK")</f>
        <v>OK</v>
      </c>
      <c r="T1493" t="str">
        <f t="shared" si="187"/>
        <v>OK</v>
      </c>
      <c r="U1493">
        <f>COUNTIF($A:$A,A1493)</f>
        <v>1</v>
      </c>
      <c r="V1493" t="str">
        <f t="shared" si="188"/>
        <v>OK</v>
      </c>
      <c r="W1493" t="str">
        <f>IF(I1493&gt;B1493,"ERROR","OK")</f>
        <v>OK</v>
      </c>
      <c r="X1493">
        <f>(B1493-I1493)/B1493</f>
        <v>0.73970870046800363</v>
      </c>
      <c r="Y1493" s="2">
        <f t="shared" si="189"/>
        <v>3.3306690738754696E-16</v>
      </c>
      <c r="Z1493" s="2" t="str">
        <f t="shared" si="190"/>
        <v>OK</v>
      </c>
      <c r="AA1493" t="str">
        <f t="shared" si="191"/>
        <v>Unique</v>
      </c>
    </row>
    <row r="1494" spans="1:27" x14ac:dyDescent="0.3">
      <c r="A1494">
        <v>1493</v>
      </c>
      <c r="B1494">
        <v>306400.83958741999</v>
      </c>
      <c r="C1494">
        <v>0.209654083941339</v>
      </c>
      <c r="D1494">
        <v>-0.132634738327118</v>
      </c>
      <c r="E1494">
        <v>6.09317895546439E-2</v>
      </c>
      <c r="F1494">
        <v>1</v>
      </c>
      <c r="G1494" t="s">
        <v>11</v>
      </c>
      <c r="H1494">
        <v>0</v>
      </c>
      <c r="I1494">
        <v>18669.551477106899</v>
      </c>
      <c r="J1494">
        <v>0.93906821044535604</v>
      </c>
      <c r="K1494" t="str">
        <f t="shared" si="184"/>
        <v>OK</v>
      </c>
      <c r="L1494" t="str">
        <f t="shared" si="185"/>
        <v>OK</v>
      </c>
      <c r="M1494" t="str">
        <f>IF(OR(B1494&lt;$AE$20,B1494&gt;$AF$20),"Outlier","OK")</f>
        <v>OK</v>
      </c>
      <c r="N1494" t="str">
        <f>IF(OR(J1494&lt;$AE$21,J1494&gt;$AF$21),"Outlier","OK")</f>
        <v>OK</v>
      </c>
      <c r="O1494" t="str">
        <f>IF(OR(C1494&lt;0,C1494&gt;1),"Outlier","OK")</f>
        <v>OK</v>
      </c>
      <c r="P1494" t="str">
        <f>IF(OR(D1494&lt;0,D1494&gt;1),"Outlier","OK")</f>
        <v>Outlier</v>
      </c>
      <c r="Q1494" t="str">
        <f t="shared" si="186"/>
        <v>80-100%</v>
      </c>
      <c r="R1494" t="str">
        <f>IF(B1494="","Missing","OK")</f>
        <v>OK</v>
      </c>
      <c r="S1494" t="str">
        <f>IF(E1494="","Missing","OK")</f>
        <v>OK</v>
      </c>
      <c r="T1494" t="str">
        <f t="shared" si="187"/>
        <v>OK</v>
      </c>
      <c r="U1494">
        <f>COUNTIF($A:$A,A1494)</f>
        <v>1</v>
      </c>
      <c r="V1494" t="str">
        <f t="shared" si="188"/>
        <v>OK</v>
      </c>
      <c r="W1494" t="str">
        <f>IF(I1494&gt;B1494,"ERROR","OK")</f>
        <v>OK</v>
      </c>
      <c r="X1494">
        <f>(B1494-I1494)/B1494</f>
        <v>0.93906821044535616</v>
      </c>
      <c r="Y1494" s="2">
        <f t="shared" si="189"/>
        <v>1.1102230246251565E-16</v>
      </c>
      <c r="Z1494" s="2" t="str">
        <f t="shared" si="190"/>
        <v>OK</v>
      </c>
      <c r="AA1494" t="str">
        <f t="shared" si="191"/>
        <v>Unique</v>
      </c>
    </row>
    <row r="1495" spans="1:27" x14ac:dyDescent="0.3">
      <c r="A1495">
        <v>1494</v>
      </c>
      <c r="B1495">
        <v>799678.59919583099</v>
      </c>
      <c r="C1495">
        <v>0.84101902590125099</v>
      </c>
      <c r="D1495">
        <v>5.6465545740570999E-2</v>
      </c>
      <c r="E1495">
        <v>0.49360937204619498</v>
      </c>
      <c r="F1495">
        <v>1</v>
      </c>
      <c r="G1495" t="s">
        <v>10</v>
      </c>
      <c r="H1495">
        <v>0</v>
      </c>
      <c r="I1495">
        <v>394728.85118783498</v>
      </c>
      <c r="J1495">
        <v>0.50639062795380396</v>
      </c>
      <c r="K1495" t="str">
        <f t="shared" si="184"/>
        <v>OK</v>
      </c>
      <c r="L1495" t="str">
        <f t="shared" si="185"/>
        <v>OK</v>
      </c>
      <c r="M1495" t="str">
        <f>IF(OR(B1495&lt;$AE$20,B1495&gt;$AF$20),"Outlier","OK")</f>
        <v>OK</v>
      </c>
      <c r="N1495" t="str">
        <f>IF(OR(J1495&lt;$AE$21,J1495&gt;$AF$21),"Outlier","OK")</f>
        <v>OK</v>
      </c>
      <c r="O1495" t="str">
        <f>IF(OR(C1495&lt;0,C1495&gt;1),"Outlier","OK")</f>
        <v>OK</v>
      </c>
      <c r="P1495" t="str">
        <f>IF(OR(D1495&lt;0,D1495&gt;1),"Outlier","OK")</f>
        <v>OK</v>
      </c>
      <c r="Q1495" t="str">
        <f t="shared" si="186"/>
        <v>40-60%</v>
      </c>
      <c r="R1495" t="str">
        <f>IF(B1495="","Missing","OK")</f>
        <v>OK</v>
      </c>
      <c r="S1495" t="str">
        <f>IF(E1495="","Missing","OK")</f>
        <v>OK</v>
      </c>
      <c r="T1495" t="str">
        <f t="shared" si="187"/>
        <v>OK</v>
      </c>
      <c r="U1495">
        <f>COUNTIF($A:$A,A1495)</f>
        <v>1</v>
      </c>
      <c r="V1495" t="str">
        <f t="shared" si="188"/>
        <v>OK</v>
      </c>
      <c r="W1495" t="str">
        <f>IF(I1495&gt;B1495,"ERROR","OK")</f>
        <v>OK</v>
      </c>
      <c r="X1495">
        <f>(B1495-I1495)/B1495</f>
        <v>0.50639062795380496</v>
      </c>
      <c r="Y1495" s="2">
        <f t="shared" si="189"/>
        <v>9.9920072216264089E-16</v>
      </c>
      <c r="Z1495" s="2" t="str">
        <f t="shared" si="190"/>
        <v>OK</v>
      </c>
      <c r="AA1495" t="str">
        <f t="shared" si="191"/>
        <v>Unique</v>
      </c>
    </row>
    <row r="1496" spans="1:27" x14ac:dyDescent="0.3">
      <c r="A1496">
        <v>1495</v>
      </c>
      <c r="B1496">
        <v>1345564.52584735</v>
      </c>
      <c r="C1496">
        <v>0.46875256881851701</v>
      </c>
      <c r="D1496">
        <v>8.9183775023432207E-3</v>
      </c>
      <c r="E1496">
        <v>5.3740082173473799E-2</v>
      </c>
      <c r="F1496">
        <v>1</v>
      </c>
      <c r="G1496" t="s">
        <v>11</v>
      </c>
      <c r="H1496">
        <v>1</v>
      </c>
      <c r="I1496">
        <v>72310.748188748199</v>
      </c>
      <c r="J1496">
        <v>0.94625991782652596</v>
      </c>
      <c r="K1496" t="str">
        <f t="shared" si="184"/>
        <v>OK</v>
      </c>
      <c r="L1496" t="str">
        <f t="shared" si="185"/>
        <v>OK</v>
      </c>
      <c r="M1496" t="str">
        <f>IF(OR(B1496&lt;$AE$20,B1496&gt;$AF$20),"Outlier","OK")</f>
        <v>OK</v>
      </c>
      <c r="N1496" t="str">
        <f>IF(OR(J1496&lt;$AE$21,J1496&gt;$AF$21),"Outlier","OK")</f>
        <v>OK</v>
      </c>
      <c r="O1496" t="str">
        <f>IF(OR(C1496&lt;0,C1496&gt;1),"Outlier","OK")</f>
        <v>OK</v>
      </c>
      <c r="P1496" t="str">
        <f>IF(OR(D1496&lt;0,D1496&gt;1),"Outlier","OK")</f>
        <v>OK</v>
      </c>
      <c r="Q1496" t="str">
        <f t="shared" si="186"/>
        <v>80-100%</v>
      </c>
      <c r="R1496" t="str">
        <f>IF(B1496="","Missing","OK")</f>
        <v>OK</v>
      </c>
      <c r="S1496" t="str">
        <f>IF(E1496="","Missing","OK")</f>
        <v>OK</v>
      </c>
      <c r="T1496" t="str">
        <f t="shared" si="187"/>
        <v>OK</v>
      </c>
      <c r="U1496">
        <f>COUNTIF($A:$A,A1496)</f>
        <v>1</v>
      </c>
      <c r="V1496" t="str">
        <f t="shared" si="188"/>
        <v>OK</v>
      </c>
      <c r="W1496" t="str">
        <f>IF(I1496&gt;B1496,"ERROR","OK")</f>
        <v>OK</v>
      </c>
      <c r="X1496">
        <f>(B1496-I1496)/B1496</f>
        <v>0.94625991782652596</v>
      </c>
      <c r="Y1496" s="2">
        <f t="shared" si="189"/>
        <v>0</v>
      </c>
      <c r="Z1496" s="2" t="str">
        <f t="shared" si="190"/>
        <v>OK</v>
      </c>
      <c r="AA1496" t="str">
        <f t="shared" si="191"/>
        <v>Unique</v>
      </c>
    </row>
    <row r="1497" spans="1:27" x14ac:dyDescent="0.3">
      <c r="A1497">
        <v>1496</v>
      </c>
      <c r="B1497">
        <v>1298640.5852004299</v>
      </c>
      <c r="C1497">
        <v>0.85526277314054899</v>
      </c>
      <c r="D1497">
        <v>-0.14585804740907499</v>
      </c>
      <c r="E1497">
        <v>0.22729209145472601</v>
      </c>
      <c r="F1497">
        <v>1</v>
      </c>
      <c r="G1497" t="s">
        <v>11</v>
      </c>
      <c r="H1497">
        <v>0</v>
      </c>
      <c r="I1497">
        <v>295170.73465819802</v>
      </c>
      <c r="J1497">
        <v>0.77270790854527305</v>
      </c>
      <c r="K1497" t="str">
        <f t="shared" si="184"/>
        <v>OK</v>
      </c>
      <c r="L1497" t="str">
        <f t="shared" si="185"/>
        <v>OK</v>
      </c>
      <c r="M1497" t="str">
        <f>IF(OR(B1497&lt;$AE$20,B1497&gt;$AF$20),"Outlier","OK")</f>
        <v>OK</v>
      </c>
      <c r="N1497" t="str">
        <f>IF(OR(J1497&lt;$AE$21,J1497&gt;$AF$21),"Outlier","OK")</f>
        <v>OK</v>
      </c>
      <c r="O1497" t="str">
        <f>IF(OR(C1497&lt;0,C1497&gt;1),"Outlier","OK")</f>
        <v>OK</v>
      </c>
      <c r="P1497" t="str">
        <f>IF(OR(D1497&lt;0,D1497&gt;1),"Outlier","OK")</f>
        <v>Outlier</v>
      </c>
      <c r="Q1497" t="str">
        <f t="shared" si="186"/>
        <v>60-80%</v>
      </c>
      <c r="R1497" t="str">
        <f>IF(B1497="","Missing","OK")</f>
        <v>OK</v>
      </c>
      <c r="S1497" t="str">
        <f>IF(E1497="","Missing","OK")</f>
        <v>OK</v>
      </c>
      <c r="T1497" t="str">
        <f t="shared" si="187"/>
        <v>OK</v>
      </c>
      <c r="U1497">
        <f>COUNTIF($A:$A,A1497)</f>
        <v>1</v>
      </c>
      <c r="V1497" t="str">
        <f t="shared" si="188"/>
        <v>OK</v>
      </c>
      <c r="W1497" t="str">
        <f>IF(I1497&gt;B1497,"ERROR","OK")</f>
        <v>OK</v>
      </c>
      <c r="X1497">
        <f>(B1497-I1497)/B1497</f>
        <v>0.77270790854527172</v>
      </c>
      <c r="Y1497" s="2">
        <f t="shared" si="189"/>
        <v>1.3322676295501878E-15</v>
      </c>
      <c r="Z1497" s="2" t="str">
        <f t="shared" si="190"/>
        <v>OK</v>
      </c>
      <c r="AA1497" t="str">
        <f t="shared" si="191"/>
        <v>Unique</v>
      </c>
    </row>
    <row r="1498" spans="1:27" x14ac:dyDescent="0.3">
      <c r="A1498">
        <v>1497</v>
      </c>
      <c r="B1498">
        <v>424705.16037526802</v>
      </c>
      <c r="C1498">
        <v>0.87522462277484003</v>
      </c>
      <c r="D1498">
        <v>6.8336577048850794E-2</v>
      </c>
      <c r="E1498">
        <v>0.36453364933968102</v>
      </c>
      <c r="F1498">
        <v>1</v>
      </c>
      <c r="G1498" t="s">
        <v>10</v>
      </c>
      <c r="H1498">
        <v>0</v>
      </c>
      <c r="I1498">
        <v>154819.322004991</v>
      </c>
      <c r="J1498">
        <v>0.63546635066031798</v>
      </c>
      <c r="K1498" t="str">
        <f t="shared" si="184"/>
        <v>OK</v>
      </c>
      <c r="L1498" t="str">
        <f t="shared" si="185"/>
        <v>OK</v>
      </c>
      <c r="M1498" t="str">
        <f>IF(OR(B1498&lt;$AE$20,B1498&gt;$AF$20),"Outlier","OK")</f>
        <v>OK</v>
      </c>
      <c r="N1498" t="str">
        <f>IF(OR(J1498&lt;$AE$21,J1498&gt;$AF$21),"Outlier","OK")</f>
        <v>OK</v>
      </c>
      <c r="O1498" t="str">
        <f>IF(OR(C1498&lt;0,C1498&gt;1),"Outlier","OK")</f>
        <v>OK</v>
      </c>
      <c r="P1498" t="str">
        <f>IF(OR(D1498&lt;0,D1498&gt;1),"Outlier","OK")</f>
        <v>OK</v>
      </c>
      <c r="Q1498" t="str">
        <f t="shared" si="186"/>
        <v>60-80%</v>
      </c>
      <c r="R1498" t="str">
        <f>IF(B1498="","Missing","OK")</f>
        <v>OK</v>
      </c>
      <c r="S1498" t="str">
        <f>IF(E1498="","Missing","OK")</f>
        <v>OK</v>
      </c>
      <c r="T1498" t="str">
        <f t="shared" si="187"/>
        <v>OK</v>
      </c>
      <c r="U1498">
        <f>COUNTIF($A:$A,A1498)</f>
        <v>1</v>
      </c>
      <c r="V1498" t="str">
        <f t="shared" si="188"/>
        <v>OK</v>
      </c>
      <c r="W1498" t="str">
        <f>IF(I1498&gt;B1498,"ERROR","OK")</f>
        <v>OK</v>
      </c>
      <c r="X1498">
        <f>(B1498-I1498)/B1498</f>
        <v>0.63546635066031887</v>
      </c>
      <c r="Y1498" s="2">
        <f t="shared" si="189"/>
        <v>8.8817841970012523E-16</v>
      </c>
      <c r="Z1498" s="2" t="str">
        <f t="shared" si="190"/>
        <v>OK</v>
      </c>
      <c r="AA1498" t="str">
        <f t="shared" si="191"/>
        <v>Unique</v>
      </c>
    </row>
    <row r="1499" spans="1:27" x14ac:dyDescent="0.3">
      <c r="A1499">
        <v>1498</v>
      </c>
      <c r="B1499">
        <v>309147.534238333</v>
      </c>
      <c r="C1499">
        <v>0.62525014866908502</v>
      </c>
      <c r="D1499">
        <v>0.13713069036820499</v>
      </c>
      <c r="E1499">
        <v>0.179794309043106</v>
      </c>
      <c r="F1499">
        <v>1</v>
      </c>
      <c r="G1499" t="s">
        <v>12</v>
      </c>
      <c r="H1499">
        <v>0</v>
      </c>
      <c r="I1499">
        <v>55582.967310761102</v>
      </c>
      <c r="J1499">
        <v>0.820205690956893</v>
      </c>
      <c r="K1499" t="str">
        <f t="shared" si="184"/>
        <v>OK</v>
      </c>
      <c r="L1499" t="str">
        <f t="shared" si="185"/>
        <v>OK</v>
      </c>
      <c r="M1499" t="str">
        <f>IF(OR(B1499&lt;$AE$20,B1499&gt;$AF$20),"Outlier","OK")</f>
        <v>OK</v>
      </c>
      <c r="N1499" t="str">
        <f>IF(OR(J1499&lt;$AE$21,J1499&gt;$AF$21),"Outlier","OK")</f>
        <v>OK</v>
      </c>
      <c r="O1499" t="str">
        <f>IF(OR(C1499&lt;0,C1499&gt;1),"Outlier","OK")</f>
        <v>OK</v>
      </c>
      <c r="P1499" t="str">
        <f>IF(OR(D1499&lt;0,D1499&gt;1),"Outlier","OK")</f>
        <v>OK</v>
      </c>
      <c r="Q1499" t="str">
        <f t="shared" si="186"/>
        <v>80-100%</v>
      </c>
      <c r="R1499" t="str">
        <f>IF(B1499="","Missing","OK")</f>
        <v>OK</v>
      </c>
      <c r="S1499" t="str">
        <f>IF(E1499="","Missing","OK")</f>
        <v>OK</v>
      </c>
      <c r="T1499" t="str">
        <f t="shared" si="187"/>
        <v>OK</v>
      </c>
      <c r="U1499">
        <f>COUNTIF($A:$A,A1499)</f>
        <v>1</v>
      </c>
      <c r="V1499" t="str">
        <f t="shared" si="188"/>
        <v>OK</v>
      </c>
      <c r="W1499" t="str">
        <f>IF(I1499&gt;B1499,"ERROR","OK")</f>
        <v>OK</v>
      </c>
      <c r="X1499">
        <f>(B1499-I1499)/B1499</f>
        <v>0.82020569095689377</v>
      </c>
      <c r="Y1499" s="2">
        <f t="shared" si="189"/>
        <v>7.7715611723760958E-16</v>
      </c>
      <c r="Z1499" s="2" t="str">
        <f t="shared" si="190"/>
        <v>OK</v>
      </c>
      <c r="AA1499" t="str">
        <f t="shared" si="191"/>
        <v>Unique</v>
      </c>
    </row>
    <row r="1500" spans="1:27" x14ac:dyDescent="0.3">
      <c r="A1500">
        <v>1499</v>
      </c>
      <c r="B1500">
        <v>1879239.71128963</v>
      </c>
      <c r="C1500">
        <v>0.18861260485223499</v>
      </c>
      <c r="D1500">
        <v>-0.15319771325397799</v>
      </c>
      <c r="E1500">
        <v>0.215441729129972</v>
      </c>
      <c r="F1500">
        <v>1</v>
      </c>
      <c r="G1500" t="s">
        <v>10</v>
      </c>
      <c r="H1500">
        <v>1</v>
      </c>
      <c r="I1500">
        <v>404866.65284995001</v>
      </c>
      <c r="J1500">
        <v>0.78455827087002705</v>
      </c>
      <c r="K1500" t="str">
        <f t="shared" si="184"/>
        <v>OK</v>
      </c>
      <c r="L1500" t="str">
        <f t="shared" si="185"/>
        <v>OK</v>
      </c>
      <c r="M1500" t="str">
        <f>IF(OR(B1500&lt;$AE$20,B1500&gt;$AF$20),"Outlier","OK")</f>
        <v>OK</v>
      </c>
      <c r="N1500" t="str">
        <f>IF(OR(J1500&lt;$AE$21,J1500&gt;$AF$21),"Outlier","OK")</f>
        <v>OK</v>
      </c>
      <c r="O1500" t="str">
        <f>IF(OR(C1500&lt;0,C1500&gt;1),"Outlier","OK")</f>
        <v>OK</v>
      </c>
      <c r="P1500" t="str">
        <f>IF(OR(D1500&lt;0,D1500&gt;1),"Outlier","OK")</f>
        <v>Outlier</v>
      </c>
      <c r="Q1500" t="str">
        <f t="shared" si="186"/>
        <v>60-80%</v>
      </c>
      <c r="R1500" t="str">
        <f>IF(B1500="","Missing","OK")</f>
        <v>OK</v>
      </c>
      <c r="S1500" t="str">
        <f>IF(E1500="","Missing","OK")</f>
        <v>OK</v>
      </c>
      <c r="T1500" t="str">
        <f t="shared" si="187"/>
        <v>OK</v>
      </c>
      <c r="U1500">
        <f>COUNTIF($A:$A,A1500)</f>
        <v>1</v>
      </c>
      <c r="V1500" t="str">
        <f t="shared" si="188"/>
        <v>OK</v>
      </c>
      <c r="W1500" t="str">
        <f>IF(I1500&gt;B1500,"ERROR","OK")</f>
        <v>OK</v>
      </c>
      <c r="X1500">
        <f>(B1500-I1500)/B1500</f>
        <v>0.7845582708700265</v>
      </c>
      <c r="Y1500" s="2">
        <f t="shared" si="189"/>
        <v>5.5511151231257827E-16</v>
      </c>
      <c r="Z1500" s="2" t="str">
        <f t="shared" si="190"/>
        <v>OK</v>
      </c>
      <c r="AA1500" t="str">
        <f t="shared" si="191"/>
        <v>Unique</v>
      </c>
    </row>
    <row r="1501" spans="1:27" x14ac:dyDescent="0.3">
      <c r="A1501">
        <v>1500</v>
      </c>
      <c r="B1501">
        <v>742951.45388383197</v>
      </c>
      <c r="C1501">
        <v>0.52050435318059396</v>
      </c>
      <c r="D1501">
        <v>-0.169269772459477</v>
      </c>
      <c r="E1501">
        <v>0.20419657933496899</v>
      </c>
      <c r="F1501">
        <v>1</v>
      </c>
      <c r="G1501" t="s">
        <v>10</v>
      </c>
      <c r="H1501">
        <v>0</v>
      </c>
      <c r="I1501">
        <v>151708.14549502</v>
      </c>
      <c r="J1501">
        <v>0.79580342066502996</v>
      </c>
      <c r="K1501" t="str">
        <f t="shared" si="184"/>
        <v>OK</v>
      </c>
      <c r="L1501" t="str">
        <f t="shared" si="185"/>
        <v>OK</v>
      </c>
      <c r="M1501" t="str">
        <f>IF(OR(B1501&lt;$AE$20,B1501&gt;$AF$20),"Outlier","OK")</f>
        <v>OK</v>
      </c>
      <c r="N1501" t="str">
        <f>IF(OR(J1501&lt;$AE$21,J1501&gt;$AF$21),"Outlier","OK")</f>
        <v>OK</v>
      </c>
      <c r="O1501" t="str">
        <f>IF(OR(C1501&lt;0,C1501&gt;1),"Outlier","OK")</f>
        <v>OK</v>
      </c>
      <c r="P1501" t="str">
        <f>IF(OR(D1501&lt;0,D1501&gt;1),"Outlier","OK")</f>
        <v>Outlier</v>
      </c>
      <c r="Q1501" t="str">
        <f t="shared" si="186"/>
        <v>60-80%</v>
      </c>
      <c r="R1501" t="str">
        <f>IF(B1501="","Missing","OK")</f>
        <v>OK</v>
      </c>
      <c r="S1501" t="str">
        <f>IF(E1501="","Missing","OK")</f>
        <v>OK</v>
      </c>
      <c r="T1501" t="str">
        <f t="shared" si="187"/>
        <v>OK</v>
      </c>
      <c r="U1501">
        <f>COUNTIF($A:$A,A1501)</f>
        <v>1</v>
      </c>
      <c r="V1501" t="str">
        <f t="shared" si="188"/>
        <v>OK</v>
      </c>
      <c r="W1501" t="str">
        <f>IF(I1501&gt;B1501,"ERROR","OK")</f>
        <v>OK</v>
      </c>
      <c r="X1501">
        <f>(B1501-I1501)/B1501</f>
        <v>0.79580342066503162</v>
      </c>
      <c r="Y1501" s="2">
        <f t="shared" si="189"/>
        <v>1.6653345369377348E-15</v>
      </c>
      <c r="Z1501" s="2" t="str">
        <f t="shared" si="190"/>
        <v>OK</v>
      </c>
      <c r="AA1501" t="str">
        <f t="shared" si="191"/>
        <v>Unique</v>
      </c>
    </row>
    <row r="1502" spans="1:27" x14ac:dyDescent="0.3">
      <c r="A1502">
        <v>1501</v>
      </c>
      <c r="B1502">
        <v>947842.43526415306</v>
      </c>
      <c r="C1502">
        <v>0.57865667935421405</v>
      </c>
      <c r="D1502">
        <v>0.158875856009774</v>
      </c>
      <c r="E1502">
        <v>0.220050508720112</v>
      </c>
      <c r="F1502">
        <v>1</v>
      </c>
      <c r="G1502" t="s">
        <v>13</v>
      </c>
      <c r="H1502">
        <v>0</v>
      </c>
      <c r="I1502">
        <v>208573.210066386</v>
      </c>
      <c r="J1502">
        <v>0.779949491279887</v>
      </c>
      <c r="K1502" t="str">
        <f t="shared" si="184"/>
        <v>OK</v>
      </c>
      <c r="L1502" t="str">
        <f t="shared" si="185"/>
        <v>OK</v>
      </c>
      <c r="M1502" t="str">
        <f>IF(OR(B1502&lt;$AE$20,B1502&gt;$AF$20),"Outlier","OK")</f>
        <v>OK</v>
      </c>
      <c r="N1502" t="str">
        <f>IF(OR(J1502&lt;$AE$21,J1502&gt;$AF$21),"Outlier","OK")</f>
        <v>OK</v>
      </c>
      <c r="O1502" t="str">
        <f>IF(OR(C1502&lt;0,C1502&gt;1),"Outlier","OK")</f>
        <v>OK</v>
      </c>
      <c r="P1502" t="str">
        <f>IF(OR(D1502&lt;0,D1502&gt;1),"Outlier","OK")</f>
        <v>OK</v>
      </c>
      <c r="Q1502" t="str">
        <f t="shared" si="186"/>
        <v>60-80%</v>
      </c>
      <c r="R1502" t="str">
        <f>IF(B1502="","Missing","OK")</f>
        <v>OK</v>
      </c>
      <c r="S1502" t="str">
        <f>IF(E1502="","Missing","OK")</f>
        <v>OK</v>
      </c>
      <c r="T1502" t="str">
        <f t="shared" si="187"/>
        <v>OK</v>
      </c>
      <c r="U1502">
        <f>COUNTIF($A:$A,A1502)</f>
        <v>1</v>
      </c>
      <c r="V1502" t="str">
        <f t="shared" si="188"/>
        <v>OK</v>
      </c>
      <c r="W1502" t="str">
        <f>IF(I1502&gt;B1502,"ERROR","OK")</f>
        <v>OK</v>
      </c>
      <c r="X1502">
        <f>(B1502-I1502)/B1502</f>
        <v>0.77994949127988866</v>
      </c>
      <c r="Y1502" s="2">
        <f t="shared" si="189"/>
        <v>1.6653345369377348E-15</v>
      </c>
      <c r="Z1502" s="2" t="str">
        <f t="shared" si="190"/>
        <v>OK</v>
      </c>
      <c r="AA1502" t="str">
        <f t="shared" si="191"/>
        <v>Unique</v>
      </c>
    </row>
    <row r="1503" spans="1:27" x14ac:dyDescent="0.3">
      <c r="A1503">
        <v>1502</v>
      </c>
      <c r="B1503">
        <v>235951.45185060901</v>
      </c>
      <c r="C1503">
        <v>0.84111401349001802</v>
      </c>
      <c r="D1503">
        <v>0.199741028786803</v>
      </c>
      <c r="E1503">
        <v>0.106232867069024</v>
      </c>
      <c r="F1503">
        <v>1</v>
      </c>
      <c r="G1503" t="s">
        <v>11</v>
      </c>
      <c r="H1503">
        <v>0</v>
      </c>
      <c r="I1503">
        <v>25065.799219189201</v>
      </c>
      <c r="J1503">
        <v>0.89376713293097498</v>
      </c>
      <c r="K1503" t="str">
        <f t="shared" si="184"/>
        <v>OK</v>
      </c>
      <c r="L1503" t="str">
        <f t="shared" si="185"/>
        <v>OK</v>
      </c>
      <c r="M1503" t="str">
        <f>IF(OR(B1503&lt;$AE$20,B1503&gt;$AF$20),"Outlier","OK")</f>
        <v>OK</v>
      </c>
      <c r="N1503" t="str">
        <f>IF(OR(J1503&lt;$AE$21,J1503&gt;$AF$21),"Outlier","OK")</f>
        <v>OK</v>
      </c>
      <c r="O1503" t="str">
        <f>IF(OR(C1503&lt;0,C1503&gt;1),"Outlier","OK")</f>
        <v>OK</v>
      </c>
      <c r="P1503" t="str">
        <f>IF(OR(D1503&lt;0,D1503&gt;1),"Outlier","OK")</f>
        <v>OK</v>
      </c>
      <c r="Q1503" t="str">
        <f t="shared" si="186"/>
        <v>80-100%</v>
      </c>
      <c r="R1503" t="str">
        <f>IF(B1503="","Missing","OK")</f>
        <v>OK</v>
      </c>
      <c r="S1503" t="str">
        <f>IF(E1503="","Missing","OK")</f>
        <v>OK</v>
      </c>
      <c r="T1503" t="str">
        <f t="shared" si="187"/>
        <v>OK</v>
      </c>
      <c r="U1503">
        <f>COUNTIF($A:$A,A1503)</f>
        <v>1</v>
      </c>
      <c r="V1503" t="str">
        <f t="shared" si="188"/>
        <v>OK</v>
      </c>
      <c r="W1503" t="str">
        <f>IF(I1503&gt;B1503,"ERROR","OK")</f>
        <v>OK</v>
      </c>
      <c r="X1503">
        <f>(B1503-I1503)/B1503</f>
        <v>0.89376713293097498</v>
      </c>
      <c r="Y1503" s="2">
        <f t="shared" si="189"/>
        <v>0</v>
      </c>
      <c r="Z1503" s="2" t="str">
        <f t="shared" si="190"/>
        <v>OK</v>
      </c>
      <c r="AA1503" t="str">
        <f t="shared" si="191"/>
        <v>Unique</v>
      </c>
    </row>
    <row r="1504" spans="1:27" x14ac:dyDescent="0.3">
      <c r="A1504">
        <v>1503</v>
      </c>
      <c r="B1504">
        <v>1824957.7163373099</v>
      </c>
      <c r="C1504">
        <v>0.146990499268745</v>
      </c>
      <c r="D1504">
        <v>-7.4710088226360898E-3</v>
      </c>
      <c r="E1504">
        <v>0.50549373245656204</v>
      </c>
      <c r="F1504">
        <v>1</v>
      </c>
      <c r="G1504" t="s">
        <v>12</v>
      </c>
      <c r="H1504">
        <v>0</v>
      </c>
      <c r="I1504">
        <v>922504.68760675495</v>
      </c>
      <c r="J1504">
        <v>0.49450626754343702</v>
      </c>
      <c r="K1504" t="str">
        <f t="shared" si="184"/>
        <v>OK</v>
      </c>
      <c r="L1504" t="str">
        <f t="shared" si="185"/>
        <v>OK</v>
      </c>
      <c r="M1504" t="str">
        <f>IF(OR(B1504&lt;$AE$20,B1504&gt;$AF$20),"Outlier","OK")</f>
        <v>OK</v>
      </c>
      <c r="N1504" t="str">
        <f>IF(OR(J1504&lt;$AE$21,J1504&gt;$AF$21),"Outlier","OK")</f>
        <v>OK</v>
      </c>
      <c r="O1504" t="str">
        <f>IF(OR(C1504&lt;0,C1504&gt;1),"Outlier","OK")</f>
        <v>OK</v>
      </c>
      <c r="P1504" t="str">
        <f>IF(OR(D1504&lt;0,D1504&gt;1),"Outlier","OK")</f>
        <v>Outlier</v>
      </c>
      <c r="Q1504" t="str">
        <f t="shared" si="186"/>
        <v>40-60%</v>
      </c>
      <c r="R1504" t="str">
        <f>IF(B1504="","Missing","OK")</f>
        <v>OK</v>
      </c>
      <c r="S1504" t="str">
        <f>IF(E1504="","Missing","OK")</f>
        <v>OK</v>
      </c>
      <c r="T1504" t="str">
        <f t="shared" si="187"/>
        <v>OK</v>
      </c>
      <c r="U1504">
        <f>COUNTIF($A:$A,A1504)</f>
        <v>1</v>
      </c>
      <c r="V1504" t="str">
        <f t="shared" si="188"/>
        <v>OK</v>
      </c>
      <c r="W1504" t="str">
        <f>IF(I1504&gt;B1504,"ERROR","OK")</f>
        <v>OK</v>
      </c>
      <c r="X1504">
        <f>(B1504-I1504)/B1504</f>
        <v>0.49450626754343557</v>
      </c>
      <c r="Y1504" s="2">
        <f t="shared" si="189"/>
        <v>1.4432899320127035E-15</v>
      </c>
      <c r="Z1504" s="2" t="str">
        <f t="shared" si="190"/>
        <v>OK</v>
      </c>
      <c r="AA1504" t="str">
        <f t="shared" si="191"/>
        <v>Unique</v>
      </c>
    </row>
    <row r="1505" spans="1:27" x14ac:dyDescent="0.3">
      <c r="A1505">
        <v>1504</v>
      </c>
      <c r="B1505">
        <v>1352636.0056175201</v>
      </c>
      <c r="C1505">
        <v>0.306664274623342</v>
      </c>
      <c r="D1505">
        <v>0.106662289254866</v>
      </c>
      <c r="E1505">
        <v>0.14741571473096399</v>
      </c>
      <c r="F1505">
        <v>1</v>
      </c>
      <c r="G1505" t="s">
        <v>10</v>
      </c>
      <c r="H1505">
        <v>1</v>
      </c>
      <c r="I1505">
        <v>199399.80353894399</v>
      </c>
      <c r="J1505">
        <v>0.85258428526903496</v>
      </c>
      <c r="K1505" t="str">
        <f t="shared" si="184"/>
        <v>OK</v>
      </c>
      <c r="L1505" t="str">
        <f t="shared" si="185"/>
        <v>OK</v>
      </c>
      <c r="M1505" t="str">
        <f>IF(OR(B1505&lt;$AE$20,B1505&gt;$AF$20),"Outlier","OK")</f>
        <v>OK</v>
      </c>
      <c r="N1505" t="str">
        <f>IF(OR(J1505&lt;$AE$21,J1505&gt;$AF$21),"Outlier","OK")</f>
        <v>OK</v>
      </c>
      <c r="O1505" t="str">
        <f>IF(OR(C1505&lt;0,C1505&gt;1),"Outlier","OK")</f>
        <v>OK</v>
      </c>
      <c r="P1505" t="str">
        <f>IF(OR(D1505&lt;0,D1505&gt;1),"Outlier","OK")</f>
        <v>OK</v>
      </c>
      <c r="Q1505" t="str">
        <f t="shared" si="186"/>
        <v>80-100%</v>
      </c>
      <c r="R1505" t="str">
        <f>IF(B1505="","Missing","OK")</f>
        <v>OK</v>
      </c>
      <c r="S1505" t="str">
        <f>IF(E1505="","Missing","OK")</f>
        <v>OK</v>
      </c>
      <c r="T1505" t="str">
        <f t="shared" si="187"/>
        <v>OK</v>
      </c>
      <c r="U1505">
        <f>COUNTIF($A:$A,A1505)</f>
        <v>1</v>
      </c>
      <c r="V1505" t="str">
        <f t="shared" si="188"/>
        <v>OK</v>
      </c>
      <c r="W1505" t="str">
        <f>IF(I1505&gt;B1505,"ERROR","OK")</f>
        <v>OK</v>
      </c>
      <c r="X1505">
        <f>(B1505-I1505)/B1505</f>
        <v>0.85258428526903529</v>
      </c>
      <c r="Y1505" s="2">
        <f t="shared" si="189"/>
        <v>3.3306690738754696E-16</v>
      </c>
      <c r="Z1505" s="2" t="str">
        <f t="shared" si="190"/>
        <v>OK</v>
      </c>
      <c r="AA1505" t="str">
        <f t="shared" si="191"/>
        <v>Unique</v>
      </c>
    </row>
    <row r="1506" spans="1:27" x14ac:dyDescent="0.3">
      <c r="A1506">
        <v>1505</v>
      </c>
      <c r="B1506">
        <v>1044443.37489754</v>
      </c>
      <c r="C1506">
        <v>0.28726504339124798</v>
      </c>
      <c r="D1506">
        <v>0.125621458194795</v>
      </c>
      <c r="E1506">
        <v>0.76679246986992899</v>
      </c>
      <c r="F1506">
        <v>1</v>
      </c>
      <c r="G1506" t="s">
        <v>10</v>
      </c>
      <c r="H1506">
        <v>0</v>
      </c>
      <c r="I1506">
        <v>800871.31507697096</v>
      </c>
      <c r="J1506">
        <v>0.23320753013007001</v>
      </c>
      <c r="K1506" t="str">
        <f t="shared" si="184"/>
        <v>OK</v>
      </c>
      <c r="L1506" t="str">
        <f t="shared" si="185"/>
        <v>OK</v>
      </c>
      <c r="M1506" t="str">
        <f>IF(OR(B1506&lt;$AE$20,B1506&gt;$AF$20),"Outlier","OK")</f>
        <v>OK</v>
      </c>
      <c r="N1506" t="str">
        <f>IF(OR(J1506&lt;$AE$21,J1506&gt;$AF$21),"Outlier","OK")</f>
        <v>Outlier</v>
      </c>
      <c r="O1506" t="str">
        <f>IF(OR(C1506&lt;0,C1506&gt;1),"Outlier","OK")</f>
        <v>OK</v>
      </c>
      <c r="P1506" t="str">
        <f>IF(OR(D1506&lt;0,D1506&gt;1),"Outlier","OK")</f>
        <v>OK</v>
      </c>
      <c r="Q1506" t="str">
        <f t="shared" si="186"/>
        <v>20-40%</v>
      </c>
      <c r="R1506" t="str">
        <f>IF(B1506="","Missing","OK")</f>
        <v>OK</v>
      </c>
      <c r="S1506" t="str">
        <f>IF(E1506="","Missing","OK")</f>
        <v>OK</v>
      </c>
      <c r="T1506" t="str">
        <f t="shared" si="187"/>
        <v>OK</v>
      </c>
      <c r="U1506">
        <f>COUNTIF($A:$A,A1506)</f>
        <v>1</v>
      </c>
      <c r="V1506" t="str">
        <f t="shared" si="188"/>
        <v>OK</v>
      </c>
      <c r="W1506" t="str">
        <f>IF(I1506&gt;B1506,"ERROR","OK")</f>
        <v>OK</v>
      </c>
      <c r="X1506">
        <f>(B1506-I1506)/B1506</f>
        <v>0.23320753013006901</v>
      </c>
      <c r="Y1506" s="2">
        <f t="shared" si="189"/>
        <v>9.9920072216264089E-16</v>
      </c>
      <c r="Z1506" s="2" t="str">
        <f t="shared" si="190"/>
        <v>OK</v>
      </c>
      <c r="AA1506" t="str">
        <f t="shared" si="191"/>
        <v>Unique</v>
      </c>
    </row>
    <row r="1507" spans="1:27" x14ac:dyDescent="0.3">
      <c r="A1507">
        <v>1506</v>
      </c>
      <c r="B1507">
        <v>890968.19167003199</v>
      </c>
      <c r="C1507">
        <v>0.30089314988447902</v>
      </c>
      <c r="D1507">
        <v>-3.6356191428585298E-3</v>
      </c>
      <c r="E1507">
        <v>0.57529178951672399</v>
      </c>
      <c r="F1507">
        <v>1</v>
      </c>
      <c r="G1507" t="s">
        <v>12</v>
      </c>
      <c r="H1507">
        <v>0</v>
      </c>
      <c r="I1507">
        <v>512566.685388332</v>
      </c>
      <c r="J1507">
        <v>0.42470821048327501</v>
      </c>
      <c r="K1507" t="str">
        <f t="shared" si="184"/>
        <v>OK</v>
      </c>
      <c r="L1507" t="str">
        <f t="shared" si="185"/>
        <v>OK</v>
      </c>
      <c r="M1507" t="str">
        <f>IF(OR(B1507&lt;$AE$20,B1507&gt;$AF$20),"Outlier","OK")</f>
        <v>OK</v>
      </c>
      <c r="N1507" t="str">
        <f>IF(OR(J1507&lt;$AE$21,J1507&gt;$AF$21),"Outlier","OK")</f>
        <v>OK</v>
      </c>
      <c r="O1507" t="str">
        <f>IF(OR(C1507&lt;0,C1507&gt;1),"Outlier","OK")</f>
        <v>OK</v>
      </c>
      <c r="P1507" t="str">
        <f>IF(OR(D1507&lt;0,D1507&gt;1),"Outlier","OK")</f>
        <v>Outlier</v>
      </c>
      <c r="Q1507" t="str">
        <f t="shared" si="186"/>
        <v>40-60%</v>
      </c>
      <c r="R1507" t="str">
        <f>IF(B1507="","Missing","OK")</f>
        <v>OK</v>
      </c>
      <c r="S1507" t="str">
        <f>IF(E1507="","Missing","OK")</f>
        <v>OK</v>
      </c>
      <c r="T1507" t="str">
        <f t="shared" si="187"/>
        <v>OK</v>
      </c>
      <c r="U1507">
        <f>COUNTIF($A:$A,A1507)</f>
        <v>1</v>
      </c>
      <c r="V1507" t="str">
        <f t="shared" si="188"/>
        <v>OK</v>
      </c>
      <c r="W1507" t="str">
        <f>IF(I1507&gt;B1507,"ERROR","OK")</f>
        <v>OK</v>
      </c>
      <c r="X1507">
        <f>(B1507-I1507)/B1507</f>
        <v>0.42470821048327628</v>
      </c>
      <c r="Y1507" s="2">
        <f t="shared" si="189"/>
        <v>1.27675647831893E-15</v>
      </c>
      <c r="Z1507" s="2" t="str">
        <f t="shared" si="190"/>
        <v>OK</v>
      </c>
      <c r="AA1507" t="str">
        <f t="shared" si="191"/>
        <v>Unique</v>
      </c>
    </row>
    <row r="1508" spans="1:27" x14ac:dyDescent="0.3">
      <c r="A1508">
        <v>1507</v>
      </c>
      <c r="B1508">
        <v>150357.74786928901</v>
      </c>
      <c r="C1508">
        <v>0.26938120536993798</v>
      </c>
      <c r="D1508">
        <v>1.3366199381367299E-2</v>
      </c>
      <c r="E1508">
        <v>0.51206001085721198</v>
      </c>
      <c r="F1508">
        <v>1</v>
      </c>
      <c r="G1508" t="s">
        <v>10</v>
      </c>
      <c r="H1508">
        <v>0</v>
      </c>
      <c r="I1508">
        <v>76992.190006414196</v>
      </c>
      <c r="J1508">
        <v>0.48793998914278702</v>
      </c>
      <c r="K1508" t="str">
        <f t="shared" si="184"/>
        <v>OK</v>
      </c>
      <c r="L1508" t="str">
        <f t="shared" si="185"/>
        <v>OK</v>
      </c>
      <c r="M1508" t="str">
        <f>IF(OR(B1508&lt;$AE$20,B1508&gt;$AF$20),"Outlier","OK")</f>
        <v>OK</v>
      </c>
      <c r="N1508" t="str">
        <f>IF(OR(J1508&lt;$AE$21,J1508&gt;$AF$21),"Outlier","OK")</f>
        <v>OK</v>
      </c>
      <c r="O1508" t="str">
        <f>IF(OR(C1508&lt;0,C1508&gt;1),"Outlier","OK")</f>
        <v>OK</v>
      </c>
      <c r="P1508" t="str">
        <f>IF(OR(D1508&lt;0,D1508&gt;1),"Outlier","OK")</f>
        <v>OK</v>
      </c>
      <c r="Q1508" t="str">
        <f t="shared" si="186"/>
        <v>40-60%</v>
      </c>
      <c r="R1508" t="str">
        <f>IF(B1508="","Missing","OK")</f>
        <v>OK</v>
      </c>
      <c r="S1508" t="str">
        <f>IF(E1508="","Missing","OK")</f>
        <v>OK</v>
      </c>
      <c r="T1508" t="str">
        <f t="shared" si="187"/>
        <v>OK</v>
      </c>
      <c r="U1508">
        <f>COUNTIF($A:$A,A1508)</f>
        <v>1</v>
      </c>
      <c r="V1508" t="str">
        <f t="shared" si="188"/>
        <v>OK</v>
      </c>
      <c r="W1508" t="str">
        <f>IF(I1508&gt;B1508,"ERROR","OK")</f>
        <v>OK</v>
      </c>
      <c r="X1508">
        <f>(B1508-I1508)/B1508</f>
        <v>0.48793998914278719</v>
      </c>
      <c r="Y1508" s="2">
        <f t="shared" si="189"/>
        <v>1.6653345369377348E-16</v>
      </c>
      <c r="Z1508" s="2" t="str">
        <f t="shared" si="190"/>
        <v>OK</v>
      </c>
      <c r="AA1508" t="str">
        <f t="shared" si="191"/>
        <v>Unique</v>
      </c>
    </row>
    <row r="1509" spans="1:27" x14ac:dyDescent="0.3">
      <c r="A1509">
        <v>1508</v>
      </c>
      <c r="B1509">
        <v>467873.705771229</v>
      </c>
      <c r="C1509">
        <v>0.804286382371311</v>
      </c>
      <c r="D1509">
        <v>-1.9495443649529098E-2</v>
      </c>
      <c r="E1509">
        <v>0.28990470768954202</v>
      </c>
      <c r="F1509">
        <v>1</v>
      </c>
      <c r="G1509" t="s">
        <v>10</v>
      </c>
      <c r="H1509">
        <v>0</v>
      </c>
      <c r="I1509">
        <v>135638.789907231</v>
      </c>
      <c r="J1509">
        <v>0.71009529231045798</v>
      </c>
      <c r="K1509" t="str">
        <f t="shared" si="184"/>
        <v>OK</v>
      </c>
      <c r="L1509" t="str">
        <f t="shared" si="185"/>
        <v>OK</v>
      </c>
      <c r="M1509" t="str">
        <f>IF(OR(B1509&lt;$AE$20,B1509&gt;$AF$20),"Outlier","OK")</f>
        <v>OK</v>
      </c>
      <c r="N1509" t="str">
        <f>IF(OR(J1509&lt;$AE$21,J1509&gt;$AF$21),"Outlier","OK")</f>
        <v>OK</v>
      </c>
      <c r="O1509" t="str">
        <f>IF(OR(C1509&lt;0,C1509&gt;1),"Outlier","OK")</f>
        <v>OK</v>
      </c>
      <c r="P1509" t="str">
        <f>IF(OR(D1509&lt;0,D1509&gt;1),"Outlier","OK")</f>
        <v>Outlier</v>
      </c>
      <c r="Q1509" t="str">
        <f t="shared" si="186"/>
        <v>60-80%</v>
      </c>
      <c r="R1509" t="str">
        <f>IF(B1509="","Missing","OK")</f>
        <v>OK</v>
      </c>
      <c r="S1509" t="str">
        <f>IF(E1509="","Missing","OK")</f>
        <v>OK</v>
      </c>
      <c r="T1509" t="str">
        <f t="shared" si="187"/>
        <v>OK</v>
      </c>
      <c r="U1509">
        <f>COUNTIF($A:$A,A1509)</f>
        <v>1</v>
      </c>
      <c r="V1509" t="str">
        <f t="shared" si="188"/>
        <v>OK</v>
      </c>
      <c r="W1509" t="str">
        <f>IF(I1509&gt;B1509,"ERROR","OK")</f>
        <v>OK</v>
      </c>
      <c r="X1509">
        <f>(B1509-I1509)/B1509</f>
        <v>0.71009529231045787</v>
      </c>
      <c r="Y1509" s="2">
        <f t="shared" si="189"/>
        <v>1.1102230246251565E-16</v>
      </c>
      <c r="Z1509" s="2" t="str">
        <f t="shared" si="190"/>
        <v>OK</v>
      </c>
      <c r="AA1509" t="str">
        <f t="shared" si="191"/>
        <v>Unique</v>
      </c>
    </row>
    <row r="1510" spans="1:27" x14ac:dyDescent="0.3">
      <c r="A1510">
        <v>1509</v>
      </c>
      <c r="B1510">
        <v>1719354.43496579</v>
      </c>
      <c r="C1510">
        <v>0.64952842648808096</v>
      </c>
      <c r="D1510">
        <v>-3.2761488809743299E-2</v>
      </c>
      <c r="E1510">
        <v>0.47611319627138099</v>
      </c>
      <c r="F1510">
        <v>1</v>
      </c>
      <c r="G1510" t="s">
        <v>12</v>
      </c>
      <c r="H1510">
        <v>1</v>
      </c>
      <c r="I1510">
        <v>818607.33555493702</v>
      </c>
      <c r="J1510">
        <v>0.52388680372861796</v>
      </c>
      <c r="K1510" t="str">
        <f t="shared" si="184"/>
        <v>OK</v>
      </c>
      <c r="L1510" t="str">
        <f t="shared" si="185"/>
        <v>OK</v>
      </c>
      <c r="M1510" t="str">
        <f>IF(OR(B1510&lt;$AE$20,B1510&gt;$AF$20),"Outlier","OK")</f>
        <v>OK</v>
      </c>
      <c r="N1510" t="str">
        <f>IF(OR(J1510&lt;$AE$21,J1510&gt;$AF$21),"Outlier","OK")</f>
        <v>OK</v>
      </c>
      <c r="O1510" t="str">
        <f>IF(OR(C1510&lt;0,C1510&gt;1),"Outlier","OK")</f>
        <v>OK</v>
      </c>
      <c r="P1510" t="str">
        <f>IF(OR(D1510&lt;0,D1510&gt;1),"Outlier","OK")</f>
        <v>Outlier</v>
      </c>
      <c r="Q1510" t="str">
        <f t="shared" si="186"/>
        <v>40-60%</v>
      </c>
      <c r="R1510" t="str">
        <f>IF(B1510="","Missing","OK")</f>
        <v>OK</v>
      </c>
      <c r="S1510" t="str">
        <f>IF(E1510="","Missing","OK")</f>
        <v>OK</v>
      </c>
      <c r="T1510" t="str">
        <f t="shared" si="187"/>
        <v>OK</v>
      </c>
      <c r="U1510">
        <f>COUNTIF($A:$A,A1510)</f>
        <v>1</v>
      </c>
      <c r="V1510" t="str">
        <f t="shared" si="188"/>
        <v>OK</v>
      </c>
      <c r="W1510" t="str">
        <f>IF(I1510&gt;B1510,"ERROR","OK")</f>
        <v>OK</v>
      </c>
      <c r="X1510">
        <f>(B1510-I1510)/B1510</f>
        <v>0.52388680372861873</v>
      </c>
      <c r="Y1510" s="2">
        <f t="shared" si="189"/>
        <v>7.7715611723760958E-16</v>
      </c>
      <c r="Z1510" s="2" t="str">
        <f t="shared" si="190"/>
        <v>OK</v>
      </c>
      <c r="AA1510" t="str">
        <f t="shared" si="191"/>
        <v>Unique</v>
      </c>
    </row>
    <row r="1511" spans="1:27" x14ac:dyDescent="0.3">
      <c r="A1511">
        <v>1510</v>
      </c>
      <c r="B1511">
        <v>1263298.6049329501</v>
      </c>
      <c r="C1511">
        <v>0.66418988305874904</v>
      </c>
      <c r="D1511">
        <v>-0.12663754541146299</v>
      </c>
      <c r="E1511">
        <v>0.37190240203027902</v>
      </c>
      <c r="F1511">
        <v>1</v>
      </c>
      <c r="G1511" t="s">
        <v>10</v>
      </c>
      <c r="H1511">
        <v>1</v>
      </c>
      <c r="I1511">
        <v>469823.78565606801</v>
      </c>
      <c r="J1511">
        <v>0.62809759796971998</v>
      </c>
      <c r="K1511" t="str">
        <f t="shared" si="184"/>
        <v>OK</v>
      </c>
      <c r="L1511" t="str">
        <f t="shared" si="185"/>
        <v>OK</v>
      </c>
      <c r="M1511" t="str">
        <f>IF(OR(B1511&lt;$AE$20,B1511&gt;$AF$20),"Outlier","OK")</f>
        <v>OK</v>
      </c>
      <c r="N1511" t="str">
        <f>IF(OR(J1511&lt;$AE$21,J1511&gt;$AF$21),"Outlier","OK")</f>
        <v>OK</v>
      </c>
      <c r="O1511" t="str">
        <f>IF(OR(C1511&lt;0,C1511&gt;1),"Outlier","OK")</f>
        <v>OK</v>
      </c>
      <c r="P1511" t="str">
        <f>IF(OR(D1511&lt;0,D1511&gt;1),"Outlier","OK")</f>
        <v>Outlier</v>
      </c>
      <c r="Q1511" t="str">
        <f t="shared" si="186"/>
        <v>60-80%</v>
      </c>
      <c r="R1511" t="str">
        <f>IF(B1511="","Missing","OK")</f>
        <v>OK</v>
      </c>
      <c r="S1511" t="str">
        <f>IF(E1511="","Missing","OK")</f>
        <v>OK</v>
      </c>
      <c r="T1511" t="str">
        <f t="shared" si="187"/>
        <v>OK</v>
      </c>
      <c r="U1511">
        <f>COUNTIF($A:$A,A1511)</f>
        <v>1</v>
      </c>
      <c r="V1511" t="str">
        <f t="shared" si="188"/>
        <v>OK</v>
      </c>
      <c r="W1511" t="str">
        <f>IF(I1511&gt;B1511,"ERROR","OK")</f>
        <v>OK</v>
      </c>
      <c r="X1511">
        <f>(B1511-I1511)/B1511</f>
        <v>0.62809759796971831</v>
      </c>
      <c r="Y1511" s="2">
        <f t="shared" si="189"/>
        <v>1.6653345369377348E-15</v>
      </c>
      <c r="Z1511" s="2" t="str">
        <f t="shared" si="190"/>
        <v>OK</v>
      </c>
      <c r="AA1511" t="str">
        <f t="shared" si="191"/>
        <v>Unique</v>
      </c>
    </row>
    <row r="1512" spans="1:27" x14ac:dyDescent="0.3">
      <c r="A1512">
        <v>1511</v>
      </c>
      <c r="B1512">
        <v>428056.48454265803</v>
      </c>
      <c r="C1512">
        <v>0.109956434168319</v>
      </c>
      <c r="D1512">
        <v>1.1976479699741799E-2</v>
      </c>
      <c r="E1512">
        <v>0.31130468703412201</v>
      </c>
      <c r="F1512">
        <v>1</v>
      </c>
      <c r="G1512" t="s">
        <v>12</v>
      </c>
      <c r="H1512">
        <v>0</v>
      </c>
      <c r="I1512">
        <v>133255.98995347801</v>
      </c>
      <c r="J1512">
        <v>0.68869531296587705</v>
      </c>
      <c r="K1512" t="str">
        <f t="shared" si="184"/>
        <v>OK</v>
      </c>
      <c r="L1512" t="str">
        <f t="shared" si="185"/>
        <v>OK</v>
      </c>
      <c r="M1512" t="str">
        <f>IF(OR(B1512&lt;$AE$20,B1512&gt;$AF$20),"Outlier","OK")</f>
        <v>OK</v>
      </c>
      <c r="N1512" t="str">
        <f>IF(OR(J1512&lt;$AE$21,J1512&gt;$AF$21),"Outlier","OK")</f>
        <v>OK</v>
      </c>
      <c r="O1512" t="str">
        <f>IF(OR(C1512&lt;0,C1512&gt;1),"Outlier","OK")</f>
        <v>OK</v>
      </c>
      <c r="P1512" t="str">
        <f>IF(OR(D1512&lt;0,D1512&gt;1),"Outlier","OK")</f>
        <v>OK</v>
      </c>
      <c r="Q1512" t="str">
        <f t="shared" si="186"/>
        <v>60-80%</v>
      </c>
      <c r="R1512" t="str">
        <f>IF(B1512="","Missing","OK")</f>
        <v>OK</v>
      </c>
      <c r="S1512" t="str">
        <f>IF(E1512="","Missing","OK")</f>
        <v>OK</v>
      </c>
      <c r="T1512" t="str">
        <f t="shared" si="187"/>
        <v>OK</v>
      </c>
      <c r="U1512">
        <f>COUNTIF($A:$A,A1512)</f>
        <v>1</v>
      </c>
      <c r="V1512" t="str">
        <f t="shared" si="188"/>
        <v>OK</v>
      </c>
      <c r="W1512" t="str">
        <f>IF(I1512&gt;B1512,"ERROR","OK")</f>
        <v>OK</v>
      </c>
      <c r="X1512">
        <f>(B1512-I1512)/B1512</f>
        <v>0.68869531296587938</v>
      </c>
      <c r="Y1512" s="2">
        <f t="shared" si="189"/>
        <v>2.3314683517128287E-15</v>
      </c>
      <c r="Z1512" s="2" t="str">
        <f t="shared" si="190"/>
        <v>OK</v>
      </c>
      <c r="AA1512" t="str">
        <f t="shared" si="191"/>
        <v>Unique</v>
      </c>
    </row>
    <row r="1513" spans="1:27" x14ac:dyDescent="0.3">
      <c r="A1513">
        <v>1512</v>
      </c>
      <c r="B1513">
        <v>418946.274256239</v>
      </c>
      <c r="C1513">
        <v>0.65108209460272004</v>
      </c>
      <c r="D1513">
        <v>9.9612452180711394E-2</v>
      </c>
      <c r="E1513">
        <v>3.8265415529423599E-2</v>
      </c>
      <c r="F1513">
        <v>1</v>
      </c>
      <c r="G1513" t="s">
        <v>11</v>
      </c>
      <c r="H1513">
        <v>1</v>
      </c>
      <c r="I1513">
        <v>16031.153268918801</v>
      </c>
      <c r="J1513">
        <v>0.96173458447057603</v>
      </c>
      <c r="K1513" t="str">
        <f t="shared" si="184"/>
        <v>OK</v>
      </c>
      <c r="L1513" t="str">
        <f t="shared" si="185"/>
        <v>OK</v>
      </c>
      <c r="M1513" t="str">
        <f>IF(OR(B1513&lt;$AE$20,B1513&gt;$AF$20),"Outlier","OK")</f>
        <v>OK</v>
      </c>
      <c r="N1513" t="str">
        <f>IF(OR(J1513&lt;$AE$21,J1513&gt;$AF$21),"Outlier","OK")</f>
        <v>OK</v>
      </c>
      <c r="O1513" t="str">
        <f>IF(OR(C1513&lt;0,C1513&gt;1),"Outlier","OK")</f>
        <v>OK</v>
      </c>
      <c r="P1513" t="str">
        <f>IF(OR(D1513&lt;0,D1513&gt;1),"Outlier","OK")</f>
        <v>OK</v>
      </c>
      <c r="Q1513" t="str">
        <f t="shared" si="186"/>
        <v>80-100%</v>
      </c>
      <c r="R1513" t="str">
        <f>IF(B1513="","Missing","OK")</f>
        <v>OK</v>
      </c>
      <c r="S1513" t="str">
        <f>IF(E1513="","Missing","OK")</f>
        <v>OK</v>
      </c>
      <c r="T1513" t="str">
        <f t="shared" si="187"/>
        <v>OK</v>
      </c>
      <c r="U1513">
        <f>COUNTIF($A:$A,A1513)</f>
        <v>1</v>
      </c>
      <c r="V1513" t="str">
        <f t="shared" si="188"/>
        <v>OK</v>
      </c>
      <c r="W1513" t="str">
        <f>IF(I1513&gt;B1513,"ERROR","OK")</f>
        <v>OK</v>
      </c>
      <c r="X1513">
        <f>(B1513-I1513)/B1513</f>
        <v>0.96173458447057647</v>
      </c>
      <c r="Y1513" s="2">
        <f t="shared" si="189"/>
        <v>4.4408920985006262E-16</v>
      </c>
      <c r="Z1513" s="2" t="str">
        <f t="shared" si="190"/>
        <v>OK</v>
      </c>
      <c r="AA1513" t="str">
        <f t="shared" si="191"/>
        <v>Unique</v>
      </c>
    </row>
    <row r="1514" spans="1:27" x14ac:dyDescent="0.3">
      <c r="A1514">
        <v>1513</v>
      </c>
      <c r="B1514">
        <v>732744.74945602706</v>
      </c>
      <c r="C1514">
        <v>0.424972425637479</v>
      </c>
      <c r="D1514">
        <v>5.8325891194290196E-3</v>
      </c>
      <c r="E1514">
        <v>0.614113834866574</v>
      </c>
      <c r="F1514">
        <v>1</v>
      </c>
      <c r="G1514" t="s">
        <v>12</v>
      </c>
      <c r="H1514">
        <v>0</v>
      </c>
      <c r="I1514">
        <v>449988.68806678802</v>
      </c>
      <c r="J1514">
        <v>0.385886165133425</v>
      </c>
      <c r="K1514" t="str">
        <f t="shared" si="184"/>
        <v>OK</v>
      </c>
      <c r="L1514" t="str">
        <f t="shared" si="185"/>
        <v>OK</v>
      </c>
      <c r="M1514" t="str">
        <f>IF(OR(B1514&lt;$AE$20,B1514&gt;$AF$20),"Outlier","OK")</f>
        <v>OK</v>
      </c>
      <c r="N1514" t="str">
        <f>IF(OR(J1514&lt;$AE$21,J1514&gt;$AF$21),"Outlier","OK")</f>
        <v>OK</v>
      </c>
      <c r="O1514" t="str">
        <f>IF(OR(C1514&lt;0,C1514&gt;1),"Outlier","OK")</f>
        <v>OK</v>
      </c>
      <c r="P1514" t="str">
        <f>IF(OR(D1514&lt;0,D1514&gt;1),"Outlier","OK")</f>
        <v>OK</v>
      </c>
      <c r="Q1514" t="str">
        <f t="shared" si="186"/>
        <v>20-40%</v>
      </c>
      <c r="R1514" t="str">
        <f>IF(B1514="","Missing","OK")</f>
        <v>OK</v>
      </c>
      <c r="S1514" t="str">
        <f>IF(E1514="","Missing","OK")</f>
        <v>OK</v>
      </c>
      <c r="T1514" t="str">
        <f t="shared" si="187"/>
        <v>OK</v>
      </c>
      <c r="U1514">
        <f>COUNTIF($A:$A,A1514)</f>
        <v>1</v>
      </c>
      <c r="V1514" t="str">
        <f t="shared" si="188"/>
        <v>OK</v>
      </c>
      <c r="W1514" t="str">
        <f>IF(I1514&gt;B1514,"ERROR","OK")</f>
        <v>OK</v>
      </c>
      <c r="X1514">
        <f>(B1514-I1514)/B1514</f>
        <v>0.38588616513342561</v>
      </c>
      <c r="Y1514" s="2">
        <f t="shared" si="189"/>
        <v>6.106226635438361E-16</v>
      </c>
      <c r="Z1514" s="2" t="str">
        <f t="shared" si="190"/>
        <v>OK</v>
      </c>
      <c r="AA1514" t="str">
        <f t="shared" si="191"/>
        <v>Unique</v>
      </c>
    </row>
    <row r="1515" spans="1:27" x14ac:dyDescent="0.3">
      <c r="A1515">
        <v>1514</v>
      </c>
      <c r="B1515">
        <v>1249828.24974484</v>
      </c>
      <c r="C1515">
        <v>0.119079297989405</v>
      </c>
      <c r="D1515">
        <v>-0.18198798009418801</v>
      </c>
      <c r="E1515">
        <v>0.170870595304561</v>
      </c>
      <c r="F1515">
        <v>1</v>
      </c>
      <c r="G1515" t="s">
        <v>12</v>
      </c>
      <c r="H1515">
        <v>1</v>
      </c>
      <c r="I1515">
        <v>213558.89706235801</v>
      </c>
      <c r="J1515">
        <v>0.82912940469543805</v>
      </c>
      <c r="K1515" t="str">
        <f t="shared" si="184"/>
        <v>OK</v>
      </c>
      <c r="L1515" t="str">
        <f t="shared" si="185"/>
        <v>OK</v>
      </c>
      <c r="M1515" t="str">
        <f>IF(OR(B1515&lt;$AE$20,B1515&gt;$AF$20),"Outlier","OK")</f>
        <v>OK</v>
      </c>
      <c r="N1515" t="str">
        <f>IF(OR(J1515&lt;$AE$21,J1515&gt;$AF$21),"Outlier","OK")</f>
        <v>OK</v>
      </c>
      <c r="O1515" t="str">
        <f>IF(OR(C1515&lt;0,C1515&gt;1),"Outlier","OK")</f>
        <v>OK</v>
      </c>
      <c r="P1515" t="str">
        <f>IF(OR(D1515&lt;0,D1515&gt;1),"Outlier","OK")</f>
        <v>Outlier</v>
      </c>
      <c r="Q1515" t="str">
        <f t="shared" si="186"/>
        <v>80-100%</v>
      </c>
      <c r="R1515" t="str">
        <f>IF(B1515="","Missing","OK")</f>
        <v>OK</v>
      </c>
      <c r="S1515" t="str">
        <f>IF(E1515="","Missing","OK")</f>
        <v>OK</v>
      </c>
      <c r="T1515" t="str">
        <f t="shared" si="187"/>
        <v>OK</v>
      </c>
      <c r="U1515">
        <f>COUNTIF($A:$A,A1515)</f>
        <v>1</v>
      </c>
      <c r="V1515" t="str">
        <f t="shared" si="188"/>
        <v>OK</v>
      </c>
      <c r="W1515" t="str">
        <f>IF(I1515&gt;B1515,"ERROR","OK")</f>
        <v>OK</v>
      </c>
      <c r="X1515">
        <f>(B1515-I1515)/B1515</f>
        <v>0.82912940469543928</v>
      </c>
      <c r="Y1515" s="2">
        <f t="shared" si="189"/>
        <v>1.2212453270876722E-15</v>
      </c>
      <c r="Z1515" s="2" t="str">
        <f t="shared" si="190"/>
        <v>OK</v>
      </c>
      <c r="AA1515" t="str">
        <f t="shared" si="191"/>
        <v>Unique</v>
      </c>
    </row>
    <row r="1516" spans="1:27" x14ac:dyDescent="0.3">
      <c r="A1516">
        <v>1515</v>
      </c>
      <c r="B1516">
        <v>1107709.75638503</v>
      </c>
      <c r="C1516">
        <v>0.10933648321287399</v>
      </c>
      <c r="D1516">
        <v>-0.17436712121421999</v>
      </c>
      <c r="E1516">
        <v>0.117605341382506</v>
      </c>
      <c r="F1516">
        <v>1</v>
      </c>
      <c r="G1516" t="s">
        <v>12</v>
      </c>
      <c r="H1516">
        <v>0</v>
      </c>
      <c r="I1516">
        <v>130272.584052394</v>
      </c>
      <c r="J1516">
        <v>0.882394658617493</v>
      </c>
      <c r="K1516" t="str">
        <f t="shared" si="184"/>
        <v>OK</v>
      </c>
      <c r="L1516" t="str">
        <f t="shared" si="185"/>
        <v>OK</v>
      </c>
      <c r="M1516" t="str">
        <f>IF(OR(B1516&lt;$AE$20,B1516&gt;$AF$20),"Outlier","OK")</f>
        <v>OK</v>
      </c>
      <c r="N1516" t="str">
        <f>IF(OR(J1516&lt;$AE$21,J1516&gt;$AF$21),"Outlier","OK")</f>
        <v>OK</v>
      </c>
      <c r="O1516" t="str">
        <f>IF(OR(C1516&lt;0,C1516&gt;1),"Outlier","OK")</f>
        <v>OK</v>
      </c>
      <c r="P1516" t="str">
        <f>IF(OR(D1516&lt;0,D1516&gt;1),"Outlier","OK")</f>
        <v>Outlier</v>
      </c>
      <c r="Q1516" t="str">
        <f t="shared" si="186"/>
        <v>80-100%</v>
      </c>
      <c r="R1516" t="str">
        <f>IF(B1516="","Missing","OK")</f>
        <v>OK</v>
      </c>
      <c r="S1516" t="str">
        <f>IF(E1516="","Missing","OK")</f>
        <v>OK</v>
      </c>
      <c r="T1516" t="str">
        <f t="shared" si="187"/>
        <v>OK</v>
      </c>
      <c r="U1516">
        <f>COUNTIF($A:$A,A1516)</f>
        <v>1</v>
      </c>
      <c r="V1516" t="str">
        <f t="shared" si="188"/>
        <v>OK</v>
      </c>
      <c r="W1516" t="str">
        <f>IF(I1516&gt;B1516,"ERROR","OK")</f>
        <v>OK</v>
      </c>
      <c r="X1516">
        <f>(B1516-I1516)/B1516</f>
        <v>0.882394658617494</v>
      </c>
      <c r="Y1516" s="2">
        <f t="shared" si="189"/>
        <v>9.9920072216264089E-16</v>
      </c>
      <c r="Z1516" s="2" t="str">
        <f t="shared" si="190"/>
        <v>OK</v>
      </c>
      <c r="AA1516" t="str">
        <f t="shared" si="191"/>
        <v>Unique</v>
      </c>
    </row>
    <row r="1517" spans="1:27" x14ac:dyDescent="0.3">
      <c r="A1517">
        <v>1516</v>
      </c>
      <c r="B1517">
        <v>1077718.0066621699</v>
      </c>
      <c r="C1517">
        <v>0.67401940670525495</v>
      </c>
      <c r="D1517">
        <v>0.14848676549908699</v>
      </c>
      <c r="E1517">
        <v>0.32376960762069701</v>
      </c>
      <c r="F1517">
        <v>1</v>
      </c>
      <c r="G1517" t="s">
        <v>13</v>
      </c>
      <c r="H1517">
        <v>1</v>
      </c>
      <c r="I1517">
        <v>348932.336142771</v>
      </c>
      <c r="J1517">
        <v>0.67623039237930205</v>
      </c>
      <c r="K1517" t="str">
        <f t="shared" si="184"/>
        <v>OK</v>
      </c>
      <c r="L1517" t="str">
        <f t="shared" si="185"/>
        <v>OK</v>
      </c>
      <c r="M1517" t="str">
        <f>IF(OR(B1517&lt;$AE$20,B1517&gt;$AF$20),"Outlier","OK")</f>
        <v>OK</v>
      </c>
      <c r="N1517" t="str">
        <f>IF(OR(J1517&lt;$AE$21,J1517&gt;$AF$21),"Outlier","OK")</f>
        <v>OK</v>
      </c>
      <c r="O1517" t="str">
        <f>IF(OR(C1517&lt;0,C1517&gt;1),"Outlier","OK")</f>
        <v>OK</v>
      </c>
      <c r="P1517" t="str">
        <f>IF(OR(D1517&lt;0,D1517&gt;1),"Outlier","OK")</f>
        <v>OK</v>
      </c>
      <c r="Q1517" t="str">
        <f t="shared" si="186"/>
        <v>60-80%</v>
      </c>
      <c r="R1517" t="str">
        <f>IF(B1517="","Missing","OK")</f>
        <v>OK</v>
      </c>
      <c r="S1517" t="str">
        <f>IF(E1517="","Missing","OK")</f>
        <v>OK</v>
      </c>
      <c r="T1517" t="str">
        <f t="shared" si="187"/>
        <v>OK</v>
      </c>
      <c r="U1517">
        <f>COUNTIF($A:$A,A1517)</f>
        <v>1</v>
      </c>
      <c r="V1517" t="str">
        <f t="shared" si="188"/>
        <v>OK</v>
      </c>
      <c r="W1517" t="str">
        <f>IF(I1517&gt;B1517,"ERROR","OK")</f>
        <v>OK</v>
      </c>
      <c r="X1517">
        <f>(B1517-I1517)/B1517</f>
        <v>0.6762303923793026</v>
      </c>
      <c r="Y1517" s="2">
        <f t="shared" si="189"/>
        <v>5.5511151231257827E-16</v>
      </c>
      <c r="Z1517" s="2" t="str">
        <f t="shared" si="190"/>
        <v>OK</v>
      </c>
      <c r="AA1517" t="str">
        <f t="shared" si="191"/>
        <v>Unique</v>
      </c>
    </row>
    <row r="1518" spans="1:27" x14ac:dyDescent="0.3">
      <c r="A1518">
        <v>1517</v>
      </c>
      <c r="B1518">
        <v>1744415.0596324899</v>
      </c>
      <c r="C1518">
        <v>0.486237014215601</v>
      </c>
      <c r="D1518">
        <v>-0.19371887201081001</v>
      </c>
      <c r="E1518">
        <v>0.17314887978857099</v>
      </c>
      <c r="F1518">
        <v>1</v>
      </c>
      <c r="G1518" t="s">
        <v>11</v>
      </c>
      <c r="H1518">
        <v>1</v>
      </c>
      <c r="I1518">
        <v>302043.51346167998</v>
      </c>
      <c r="J1518">
        <v>0.82685112021142804</v>
      </c>
      <c r="K1518" t="str">
        <f t="shared" si="184"/>
        <v>OK</v>
      </c>
      <c r="L1518" t="str">
        <f t="shared" si="185"/>
        <v>OK</v>
      </c>
      <c r="M1518" t="str">
        <f>IF(OR(B1518&lt;$AE$20,B1518&gt;$AF$20),"Outlier","OK")</f>
        <v>OK</v>
      </c>
      <c r="N1518" t="str">
        <f>IF(OR(J1518&lt;$AE$21,J1518&gt;$AF$21),"Outlier","OK")</f>
        <v>OK</v>
      </c>
      <c r="O1518" t="str">
        <f>IF(OR(C1518&lt;0,C1518&gt;1),"Outlier","OK")</f>
        <v>OK</v>
      </c>
      <c r="P1518" t="str">
        <f>IF(OR(D1518&lt;0,D1518&gt;1),"Outlier","OK")</f>
        <v>Outlier</v>
      </c>
      <c r="Q1518" t="str">
        <f t="shared" si="186"/>
        <v>80-100%</v>
      </c>
      <c r="R1518" t="str">
        <f>IF(B1518="","Missing","OK")</f>
        <v>OK</v>
      </c>
      <c r="S1518" t="str">
        <f>IF(E1518="","Missing","OK")</f>
        <v>OK</v>
      </c>
      <c r="T1518" t="str">
        <f t="shared" si="187"/>
        <v>OK</v>
      </c>
      <c r="U1518">
        <f>COUNTIF($A:$A,A1518)</f>
        <v>1</v>
      </c>
      <c r="V1518" t="str">
        <f t="shared" si="188"/>
        <v>OK</v>
      </c>
      <c r="W1518" t="str">
        <f>IF(I1518&gt;B1518,"ERROR","OK")</f>
        <v>OK</v>
      </c>
      <c r="X1518">
        <f>(B1518-I1518)/B1518</f>
        <v>0.82685112021142837</v>
      </c>
      <c r="Y1518" s="2">
        <f t="shared" si="189"/>
        <v>3.3306690738754696E-16</v>
      </c>
      <c r="Z1518" s="2" t="str">
        <f t="shared" si="190"/>
        <v>OK</v>
      </c>
      <c r="AA1518" t="str">
        <f t="shared" si="191"/>
        <v>Unique</v>
      </c>
    </row>
    <row r="1519" spans="1:27" x14ac:dyDescent="0.3">
      <c r="A1519">
        <v>1518</v>
      </c>
      <c r="B1519">
        <v>1729440.3404170901</v>
      </c>
      <c r="C1519">
        <v>0.20317433628053899</v>
      </c>
      <c r="D1519">
        <v>0.109105602498732</v>
      </c>
      <c r="E1519">
        <v>0.29386397858363</v>
      </c>
      <c r="F1519">
        <v>1</v>
      </c>
      <c r="G1519" t="s">
        <v>13</v>
      </c>
      <c r="H1519">
        <v>1</v>
      </c>
      <c r="I1519">
        <v>508220.21915799699</v>
      </c>
      <c r="J1519">
        <v>0.706136021416369</v>
      </c>
      <c r="K1519" t="str">
        <f t="shared" si="184"/>
        <v>OK</v>
      </c>
      <c r="L1519" t="str">
        <f t="shared" si="185"/>
        <v>OK</v>
      </c>
      <c r="M1519" t="str">
        <f>IF(OR(B1519&lt;$AE$20,B1519&gt;$AF$20),"Outlier","OK")</f>
        <v>OK</v>
      </c>
      <c r="N1519" t="str">
        <f>IF(OR(J1519&lt;$AE$21,J1519&gt;$AF$21),"Outlier","OK")</f>
        <v>OK</v>
      </c>
      <c r="O1519" t="str">
        <f>IF(OR(C1519&lt;0,C1519&gt;1),"Outlier","OK")</f>
        <v>OK</v>
      </c>
      <c r="P1519" t="str">
        <f>IF(OR(D1519&lt;0,D1519&gt;1),"Outlier","OK")</f>
        <v>OK</v>
      </c>
      <c r="Q1519" t="str">
        <f t="shared" si="186"/>
        <v>60-80%</v>
      </c>
      <c r="R1519" t="str">
        <f>IF(B1519="","Missing","OK")</f>
        <v>OK</v>
      </c>
      <c r="S1519" t="str">
        <f>IF(E1519="","Missing","OK")</f>
        <v>OK</v>
      </c>
      <c r="T1519" t="str">
        <f t="shared" si="187"/>
        <v>OK</v>
      </c>
      <c r="U1519">
        <f>COUNTIF($A:$A,A1519)</f>
        <v>1</v>
      </c>
      <c r="V1519" t="str">
        <f t="shared" si="188"/>
        <v>OK</v>
      </c>
      <c r="W1519" t="str">
        <f>IF(I1519&gt;B1519,"ERROR","OK")</f>
        <v>OK</v>
      </c>
      <c r="X1519">
        <f>(B1519-I1519)/B1519</f>
        <v>0.706136021416368</v>
      </c>
      <c r="Y1519" s="2">
        <f t="shared" si="189"/>
        <v>9.9920072216264089E-16</v>
      </c>
      <c r="Z1519" s="2" t="str">
        <f t="shared" si="190"/>
        <v>OK</v>
      </c>
      <c r="AA1519" t="str">
        <f t="shared" si="191"/>
        <v>Unique</v>
      </c>
    </row>
    <row r="1520" spans="1:27" x14ac:dyDescent="0.3">
      <c r="A1520">
        <v>1519</v>
      </c>
      <c r="B1520">
        <v>1698137.08046869</v>
      </c>
      <c r="C1520">
        <v>0.195520315869853</v>
      </c>
      <c r="D1520">
        <v>-2.3083716531468099E-2</v>
      </c>
      <c r="E1520">
        <v>0.301950431873589</v>
      </c>
      <c r="F1520">
        <v>1</v>
      </c>
      <c r="G1520" t="s">
        <v>10</v>
      </c>
      <c r="H1520">
        <v>0</v>
      </c>
      <c r="I1520">
        <v>512753.22482807701</v>
      </c>
      <c r="J1520">
        <v>0.69804956812640995</v>
      </c>
      <c r="K1520" t="str">
        <f t="shared" si="184"/>
        <v>OK</v>
      </c>
      <c r="L1520" t="str">
        <f t="shared" si="185"/>
        <v>OK</v>
      </c>
      <c r="M1520" t="str">
        <f>IF(OR(B1520&lt;$AE$20,B1520&gt;$AF$20),"Outlier","OK")</f>
        <v>OK</v>
      </c>
      <c r="N1520" t="str">
        <f>IF(OR(J1520&lt;$AE$21,J1520&gt;$AF$21),"Outlier","OK")</f>
        <v>OK</v>
      </c>
      <c r="O1520" t="str">
        <f>IF(OR(C1520&lt;0,C1520&gt;1),"Outlier","OK")</f>
        <v>OK</v>
      </c>
      <c r="P1520" t="str">
        <f>IF(OR(D1520&lt;0,D1520&gt;1),"Outlier","OK")</f>
        <v>Outlier</v>
      </c>
      <c r="Q1520" t="str">
        <f t="shared" si="186"/>
        <v>60-80%</v>
      </c>
      <c r="R1520" t="str">
        <f>IF(B1520="","Missing","OK")</f>
        <v>OK</v>
      </c>
      <c r="S1520" t="str">
        <f>IF(E1520="","Missing","OK")</f>
        <v>OK</v>
      </c>
      <c r="T1520" t="str">
        <f t="shared" si="187"/>
        <v>OK</v>
      </c>
      <c r="U1520">
        <f>COUNTIF($A:$A,A1520)</f>
        <v>1</v>
      </c>
      <c r="V1520" t="str">
        <f t="shared" si="188"/>
        <v>OK</v>
      </c>
      <c r="W1520" t="str">
        <f>IF(I1520&gt;B1520,"ERROR","OK")</f>
        <v>OK</v>
      </c>
      <c r="X1520">
        <f>(B1520-I1520)/B1520</f>
        <v>0.69804956812641072</v>
      </c>
      <c r="Y1520" s="2">
        <f t="shared" si="189"/>
        <v>7.7715611723760958E-16</v>
      </c>
      <c r="Z1520" s="2" t="str">
        <f t="shared" si="190"/>
        <v>OK</v>
      </c>
      <c r="AA1520" t="str">
        <f t="shared" si="191"/>
        <v>Unique</v>
      </c>
    </row>
    <row r="1521" spans="1:27" x14ac:dyDescent="0.3">
      <c r="A1521">
        <v>1520</v>
      </c>
      <c r="B1521">
        <v>1419780.7833309399</v>
      </c>
      <c r="C1521">
        <v>0.45899804830020202</v>
      </c>
      <c r="D1521">
        <v>0.139139697588506</v>
      </c>
      <c r="E1521">
        <v>0.19546251867549</v>
      </c>
      <c r="F1521">
        <v>1</v>
      </c>
      <c r="G1521" t="s">
        <v>13</v>
      </c>
      <c r="H1521">
        <v>1</v>
      </c>
      <c r="I1521">
        <v>277513.92787692702</v>
      </c>
      <c r="J1521">
        <v>0.80453748132450897</v>
      </c>
      <c r="K1521" t="str">
        <f t="shared" si="184"/>
        <v>OK</v>
      </c>
      <c r="L1521" t="str">
        <f t="shared" si="185"/>
        <v>OK</v>
      </c>
      <c r="M1521" t="str">
        <f>IF(OR(B1521&lt;$AE$20,B1521&gt;$AF$20),"Outlier","OK")</f>
        <v>OK</v>
      </c>
      <c r="N1521" t="str">
        <f>IF(OR(J1521&lt;$AE$21,J1521&gt;$AF$21),"Outlier","OK")</f>
        <v>OK</v>
      </c>
      <c r="O1521" t="str">
        <f>IF(OR(C1521&lt;0,C1521&gt;1),"Outlier","OK")</f>
        <v>OK</v>
      </c>
      <c r="P1521" t="str">
        <f>IF(OR(D1521&lt;0,D1521&gt;1),"Outlier","OK")</f>
        <v>OK</v>
      </c>
      <c r="Q1521" t="str">
        <f t="shared" si="186"/>
        <v>80-100%</v>
      </c>
      <c r="R1521" t="str">
        <f>IF(B1521="","Missing","OK")</f>
        <v>OK</v>
      </c>
      <c r="S1521" t="str">
        <f>IF(E1521="","Missing","OK")</f>
        <v>OK</v>
      </c>
      <c r="T1521" t="str">
        <f t="shared" si="187"/>
        <v>OK</v>
      </c>
      <c r="U1521">
        <f>COUNTIF($A:$A,A1521)</f>
        <v>1</v>
      </c>
      <c r="V1521" t="str">
        <f t="shared" si="188"/>
        <v>OK</v>
      </c>
      <c r="W1521" t="str">
        <f>IF(I1521&gt;B1521,"ERROR","OK")</f>
        <v>OK</v>
      </c>
      <c r="X1521">
        <f>(B1521-I1521)/B1521</f>
        <v>0.80453748132450909</v>
      </c>
      <c r="Y1521" s="2">
        <f t="shared" si="189"/>
        <v>1.1102230246251565E-16</v>
      </c>
      <c r="Z1521" s="2" t="str">
        <f t="shared" si="190"/>
        <v>OK</v>
      </c>
      <c r="AA1521" t="str">
        <f t="shared" si="191"/>
        <v>Unique</v>
      </c>
    </row>
    <row r="1522" spans="1:27" x14ac:dyDescent="0.3">
      <c r="A1522">
        <v>1521</v>
      </c>
      <c r="B1522">
        <v>815277.9163559</v>
      </c>
      <c r="C1522">
        <v>0.56812577447511903</v>
      </c>
      <c r="D1522">
        <v>0.107050217754643</v>
      </c>
      <c r="E1522">
        <v>0.33459314364234799</v>
      </c>
      <c r="F1522">
        <v>1</v>
      </c>
      <c r="G1522" t="s">
        <v>13</v>
      </c>
      <c r="H1522">
        <v>1</v>
      </c>
      <c r="I1522">
        <v>272786.40097570402</v>
      </c>
      <c r="J1522">
        <v>0.66540685635765096</v>
      </c>
      <c r="K1522" t="str">
        <f t="shared" si="184"/>
        <v>OK</v>
      </c>
      <c r="L1522" t="str">
        <f t="shared" si="185"/>
        <v>OK</v>
      </c>
      <c r="M1522" t="str">
        <f>IF(OR(B1522&lt;$AE$20,B1522&gt;$AF$20),"Outlier","OK")</f>
        <v>OK</v>
      </c>
      <c r="N1522" t="str">
        <f>IF(OR(J1522&lt;$AE$21,J1522&gt;$AF$21),"Outlier","OK")</f>
        <v>OK</v>
      </c>
      <c r="O1522" t="str">
        <f>IF(OR(C1522&lt;0,C1522&gt;1),"Outlier","OK")</f>
        <v>OK</v>
      </c>
      <c r="P1522" t="str">
        <f>IF(OR(D1522&lt;0,D1522&gt;1),"Outlier","OK")</f>
        <v>OK</v>
      </c>
      <c r="Q1522" t="str">
        <f t="shared" si="186"/>
        <v>60-80%</v>
      </c>
      <c r="R1522" t="str">
        <f>IF(B1522="","Missing","OK")</f>
        <v>OK</v>
      </c>
      <c r="S1522" t="str">
        <f>IF(E1522="","Missing","OK")</f>
        <v>OK</v>
      </c>
      <c r="T1522" t="str">
        <f t="shared" si="187"/>
        <v>OK</v>
      </c>
      <c r="U1522">
        <f>COUNTIF($A:$A,A1522)</f>
        <v>1</v>
      </c>
      <c r="V1522" t="str">
        <f t="shared" si="188"/>
        <v>OK</v>
      </c>
      <c r="W1522" t="str">
        <f>IF(I1522&gt;B1522,"ERROR","OK")</f>
        <v>OK</v>
      </c>
      <c r="X1522">
        <f>(B1522-I1522)/B1522</f>
        <v>0.66540685635765184</v>
      </c>
      <c r="Y1522" s="2">
        <f t="shared" si="189"/>
        <v>8.8817841970012523E-16</v>
      </c>
      <c r="Z1522" s="2" t="str">
        <f t="shared" si="190"/>
        <v>OK</v>
      </c>
      <c r="AA1522" t="str">
        <f t="shared" si="191"/>
        <v>Unique</v>
      </c>
    </row>
    <row r="1523" spans="1:27" x14ac:dyDescent="0.3">
      <c r="A1523">
        <v>1522</v>
      </c>
      <c r="B1523">
        <v>575221.32672498794</v>
      </c>
      <c r="C1523">
        <v>0.43590418924881902</v>
      </c>
      <c r="D1523">
        <v>-0.117762391842945</v>
      </c>
      <c r="E1523">
        <v>0.442774604977066</v>
      </c>
      <c r="F1523">
        <v>1</v>
      </c>
      <c r="G1523" t="s">
        <v>12</v>
      </c>
      <c r="H1523">
        <v>1</v>
      </c>
      <c r="I1523">
        <v>254693.395715041</v>
      </c>
      <c r="J1523">
        <v>0.557225395022933</v>
      </c>
      <c r="K1523" t="str">
        <f t="shared" si="184"/>
        <v>OK</v>
      </c>
      <c r="L1523" t="str">
        <f t="shared" si="185"/>
        <v>OK</v>
      </c>
      <c r="M1523" t="str">
        <f>IF(OR(B1523&lt;$AE$20,B1523&gt;$AF$20),"Outlier","OK")</f>
        <v>OK</v>
      </c>
      <c r="N1523" t="str">
        <f>IF(OR(J1523&lt;$AE$21,J1523&gt;$AF$21),"Outlier","OK")</f>
        <v>OK</v>
      </c>
      <c r="O1523" t="str">
        <f>IF(OR(C1523&lt;0,C1523&gt;1),"Outlier","OK")</f>
        <v>OK</v>
      </c>
      <c r="P1523" t="str">
        <f>IF(OR(D1523&lt;0,D1523&gt;1),"Outlier","OK")</f>
        <v>Outlier</v>
      </c>
      <c r="Q1523" t="str">
        <f t="shared" si="186"/>
        <v>40-60%</v>
      </c>
      <c r="R1523" t="str">
        <f>IF(B1523="","Missing","OK")</f>
        <v>OK</v>
      </c>
      <c r="S1523" t="str">
        <f>IF(E1523="","Missing","OK")</f>
        <v>OK</v>
      </c>
      <c r="T1523" t="str">
        <f t="shared" si="187"/>
        <v>OK</v>
      </c>
      <c r="U1523">
        <f>COUNTIF($A:$A,A1523)</f>
        <v>1</v>
      </c>
      <c r="V1523" t="str">
        <f t="shared" si="188"/>
        <v>OK</v>
      </c>
      <c r="W1523" t="str">
        <f>IF(I1523&gt;B1523,"ERROR","OK")</f>
        <v>OK</v>
      </c>
      <c r="X1523">
        <f>(B1523-I1523)/B1523</f>
        <v>0.55722539502293289</v>
      </c>
      <c r="Y1523" s="2">
        <f t="shared" si="189"/>
        <v>1.1102230246251565E-16</v>
      </c>
      <c r="Z1523" s="2" t="str">
        <f t="shared" si="190"/>
        <v>OK</v>
      </c>
      <c r="AA1523" t="str">
        <f t="shared" si="191"/>
        <v>Unique</v>
      </c>
    </row>
    <row r="1524" spans="1:27" x14ac:dyDescent="0.3">
      <c r="A1524">
        <v>1523</v>
      </c>
      <c r="B1524">
        <v>1913600.6470399101</v>
      </c>
      <c r="C1524">
        <v>0.62761053629937003</v>
      </c>
      <c r="D1524">
        <v>5.7848504308292498E-2</v>
      </c>
      <c r="E1524">
        <v>0.245403691118594</v>
      </c>
      <c r="F1524">
        <v>1</v>
      </c>
      <c r="G1524" t="s">
        <v>11</v>
      </c>
      <c r="H1524">
        <v>0</v>
      </c>
      <c r="I1524">
        <v>469604.66211052501</v>
      </c>
      <c r="J1524">
        <v>0.75459630888140505</v>
      </c>
      <c r="K1524" t="str">
        <f t="shared" si="184"/>
        <v>OK</v>
      </c>
      <c r="L1524" t="str">
        <f t="shared" si="185"/>
        <v>OK</v>
      </c>
      <c r="M1524" t="str">
        <f>IF(OR(B1524&lt;$AE$20,B1524&gt;$AF$20),"Outlier","OK")</f>
        <v>OK</v>
      </c>
      <c r="N1524" t="str">
        <f>IF(OR(J1524&lt;$AE$21,J1524&gt;$AF$21),"Outlier","OK")</f>
        <v>OK</v>
      </c>
      <c r="O1524" t="str">
        <f>IF(OR(C1524&lt;0,C1524&gt;1),"Outlier","OK")</f>
        <v>OK</v>
      </c>
      <c r="P1524" t="str">
        <f>IF(OR(D1524&lt;0,D1524&gt;1),"Outlier","OK")</f>
        <v>OK</v>
      </c>
      <c r="Q1524" t="str">
        <f t="shared" si="186"/>
        <v>60-80%</v>
      </c>
      <c r="R1524" t="str">
        <f>IF(B1524="","Missing","OK")</f>
        <v>OK</v>
      </c>
      <c r="S1524" t="str">
        <f>IF(E1524="","Missing","OK")</f>
        <v>OK</v>
      </c>
      <c r="T1524" t="str">
        <f t="shared" si="187"/>
        <v>OK</v>
      </c>
      <c r="U1524">
        <f>COUNTIF($A:$A,A1524)</f>
        <v>1</v>
      </c>
      <c r="V1524" t="str">
        <f t="shared" si="188"/>
        <v>OK</v>
      </c>
      <c r="W1524" t="str">
        <f>IF(I1524&gt;B1524,"ERROR","OK")</f>
        <v>OK</v>
      </c>
      <c r="X1524">
        <f>(B1524-I1524)/B1524</f>
        <v>0.75459630888140539</v>
      </c>
      <c r="Y1524" s="2">
        <f t="shared" si="189"/>
        <v>3.3306690738754696E-16</v>
      </c>
      <c r="Z1524" s="2" t="str">
        <f t="shared" si="190"/>
        <v>OK</v>
      </c>
      <c r="AA1524" t="str">
        <f t="shared" si="191"/>
        <v>Unique</v>
      </c>
    </row>
    <row r="1525" spans="1:27" x14ac:dyDescent="0.3">
      <c r="A1525">
        <v>1524</v>
      </c>
      <c r="B1525">
        <v>138305.67756498</v>
      </c>
      <c r="C1525">
        <v>0.83936046887133198</v>
      </c>
      <c r="D1525">
        <v>9.9102488165684496E-2</v>
      </c>
      <c r="E1525">
        <v>0.28679873950711698</v>
      </c>
      <c r="F1525">
        <v>1</v>
      </c>
      <c r="G1525" t="s">
        <v>10</v>
      </c>
      <c r="H1525">
        <v>0</v>
      </c>
      <c r="I1525">
        <v>39665.893992314101</v>
      </c>
      <c r="J1525">
        <v>0.71320126049288202</v>
      </c>
      <c r="K1525" t="str">
        <f t="shared" si="184"/>
        <v>OK</v>
      </c>
      <c r="L1525" t="str">
        <f t="shared" si="185"/>
        <v>OK</v>
      </c>
      <c r="M1525" t="str">
        <f>IF(OR(B1525&lt;$AE$20,B1525&gt;$AF$20),"Outlier","OK")</f>
        <v>OK</v>
      </c>
      <c r="N1525" t="str">
        <f>IF(OR(J1525&lt;$AE$21,J1525&gt;$AF$21),"Outlier","OK")</f>
        <v>OK</v>
      </c>
      <c r="O1525" t="str">
        <f>IF(OR(C1525&lt;0,C1525&gt;1),"Outlier","OK")</f>
        <v>OK</v>
      </c>
      <c r="P1525" t="str">
        <f>IF(OR(D1525&lt;0,D1525&gt;1),"Outlier","OK")</f>
        <v>OK</v>
      </c>
      <c r="Q1525" t="str">
        <f t="shared" si="186"/>
        <v>60-80%</v>
      </c>
      <c r="R1525" t="str">
        <f>IF(B1525="","Missing","OK")</f>
        <v>OK</v>
      </c>
      <c r="S1525" t="str">
        <f>IF(E1525="","Missing","OK")</f>
        <v>OK</v>
      </c>
      <c r="T1525" t="str">
        <f t="shared" si="187"/>
        <v>OK</v>
      </c>
      <c r="U1525">
        <f>COUNTIF($A:$A,A1525)</f>
        <v>1</v>
      </c>
      <c r="V1525" t="str">
        <f t="shared" si="188"/>
        <v>OK</v>
      </c>
      <c r="W1525" t="str">
        <f>IF(I1525&gt;B1525,"ERROR","OK")</f>
        <v>OK</v>
      </c>
      <c r="X1525">
        <f>(B1525-I1525)/B1525</f>
        <v>0.71320126049288235</v>
      </c>
      <c r="Y1525" s="2">
        <f t="shared" si="189"/>
        <v>3.3306690738754696E-16</v>
      </c>
      <c r="Z1525" s="2" t="str">
        <f t="shared" si="190"/>
        <v>OK</v>
      </c>
      <c r="AA1525" t="str">
        <f t="shared" si="191"/>
        <v>Unique</v>
      </c>
    </row>
    <row r="1526" spans="1:27" x14ac:dyDescent="0.3">
      <c r="A1526">
        <v>1525</v>
      </c>
      <c r="B1526">
        <v>1255846.9929238299</v>
      </c>
      <c r="C1526">
        <v>0.834846100222842</v>
      </c>
      <c r="D1526">
        <v>-6.09926098613605E-3</v>
      </c>
      <c r="E1526">
        <v>0.37098922804685402</v>
      </c>
      <c r="F1526">
        <v>1</v>
      </c>
      <c r="G1526" t="s">
        <v>13</v>
      </c>
      <c r="H1526">
        <v>1</v>
      </c>
      <c r="I1526">
        <v>465905.706449777</v>
      </c>
      <c r="J1526">
        <v>0.62901077195314503</v>
      </c>
      <c r="K1526" t="str">
        <f t="shared" si="184"/>
        <v>OK</v>
      </c>
      <c r="L1526" t="str">
        <f t="shared" si="185"/>
        <v>OK</v>
      </c>
      <c r="M1526" t="str">
        <f>IF(OR(B1526&lt;$AE$20,B1526&gt;$AF$20),"Outlier","OK")</f>
        <v>OK</v>
      </c>
      <c r="N1526" t="str">
        <f>IF(OR(J1526&lt;$AE$21,J1526&gt;$AF$21),"Outlier","OK")</f>
        <v>OK</v>
      </c>
      <c r="O1526" t="str">
        <f>IF(OR(C1526&lt;0,C1526&gt;1),"Outlier","OK")</f>
        <v>OK</v>
      </c>
      <c r="P1526" t="str">
        <f>IF(OR(D1526&lt;0,D1526&gt;1),"Outlier","OK")</f>
        <v>Outlier</v>
      </c>
      <c r="Q1526" t="str">
        <f t="shared" si="186"/>
        <v>60-80%</v>
      </c>
      <c r="R1526" t="str">
        <f>IF(B1526="","Missing","OK")</f>
        <v>OK</v>
      </c>
      <c r="S1526" t="str">
        <f>IF(E1526="","Missing","OK")</f>
        <v>OK</v>
      </c>
      <c r="T1526" t="str">
        <f t="shared" si="187"/>
        <v>OK</v>
      </c>
      <c r="U1526">
        <f>COUNTIF($A:$A,A1526)</f>
        <v>1</v>
      </c>
      <c r="V1526" t="str">
        <f t="shared" si="188"/>
        <v>OK</v>
      </c>
      <c r="W1526" t="str">
        <f>IF(I1526&gt;B1526,"ERROR","OK")</f>
        <v>OK</v>
      </c>
      <c r="X1526">
        <f>(B1526-I1526)/B1526</f>
        <v>0.62901077195314403</v>
      </c>
      <c r="Y1526" s="2">
        <f t="shared" si="189"/>
        <v>9.9920072216264089E-16</v>
      </c>
      <c r="Z1526" s="2" t="str">
        <f t="shared" si="190"/>
        <v>OK</v>
      </c>
      <c r="AA1526" t="str">
        <f t="shared" si="191"/>
        <v>Unique</v>
      </c>
    </row>
    <row r="1527" spans="1:27" x14ac:dyDescent="0.3">
      <c r="A1527">
        <v>1526</v>
      </c>
      <c r="B1527">
        <v>1699942.0387450301</v>
      </c>
      <c r="C1527">
        <v>0.17254864002683001</v>
      </c>
      <c r="D1527">
        <v>-8.9742936030338699E-2</v>
      </c>
      <c r="E1527">
        <v>0.51493660494314997</v>
      </c>
      <c r="F1527">
        <v>1</v>
      </c>
      <c r="G1527" t="s">
        <v>11</v>
      </c>
      <c r="H1527">
        <v>1</v>
      </c>
      <c r="I1527">
        <v>875362.38203150604</v>
      </c>
      <c r="J1527">
        <v>0.48506339505684898</v>
      </c>
      <c r="K1527" t="str">
        <f t="shared" si="184"/>
        <v>OK</v>
      </c>
      <c r="L1527" t="str">
        <f t="shared" si="185"/>
        <v>OK</v>
      </c>
      <c r="M1527" t="str">
        <f>IF(OR(B1527&lt;$AE$20,B1527&gt;$AF$20),"Outlier","OK")</f>
        <v>OK</v>
      </c>
      <c r="N1527" t="str">
        <f>IF(OR(J1527&lt;$AE$21,J1527&gt;$AF$21),"Outlier","OK")</f>
        <v>OK</v>
      </c>
      <c r="O1527" t="str">
        <f>IF(OR(C1527&lt;0,C1527&gt;1),"Outlier","OK")</f>
        <v>OK</v>
      </c>
      <c r="P1527" t="str">
        <f>IF(OR(D1527&lt;0,D1527&gt;1),"Outlier","OK")</f>
        <v>Outlier</v>
      </c>
      <c r="Q1527" t="str">
        <f t="shared" si="186"/>
        <v>40-60%</v>
      </c>
      <c r="R1527" t="str">
        <f>IF(B1527="","Missing","OK")</f>
        <v>OK</v>
      </c>
      <c r="S1527" t="str">
        <f>IF(E1527="","Missing","OK")</f>
        <v>OK</v>
      </c>
      <c r="T1527" t="str">
        <f t="shared" si="187"/>
        <v>OK</v>
      </c>
      <c r="U1527">
        <f>COUNTIF($A:$A,A1527)</f>
        <v>1</v>
      </c>
      <c r="V1527" t="str">
        <f t="shared" si="188"/>
        <v>OK</v>
      </c>
      <c r="W1527" t="str">
        <f>IF(I1527&gt;B1527,"ERROR","OK")</f>
        <v>OK</v>
      </c>
      <c r="X1527">
        <f>(B1527-I1527)/B1527</f>
        <v>0.48506339505684792</v>
      </c>
      <c r="Y1527" s="2">
        <f t="shared" si="189"/>
        <v>1.0547118733938987E-15</v>
      </c>
      <c r="Z1527" s="2" t="str">
        <f t="shared" si="190"/>
        <v>OK</v>
      </c>
      <c r="AA1527" t="str">
        <f t="shared" si="191"/>
        <v>Unique</v>
      </c>
    </row>
    <row r="1528" spans="1:27" x14ac:dyDescent="0.3">
      <c r="A1528">
        <v>1527</v>
      </c>
      <c r="B1528">
        <v>580230.17442721</v>
      </c>
      <c r="C1528">
        <v>0.493504413419384</v>
      </c>
      <c r="D1528">
        <v>-0.18977865274413799</v>
      </c>
      <c r="E1528">
        <v>0.39543840814122899</v>
      </c>
      <c r="F1528">
        <v>1</v>
      </c>
      <c r="G1528" t="s">
        <v>10</v>
      </c>
      <c r="H1528">
        <v>1</v>
      </c>
      <c r="I1528">
        <v>229445.29653100399</v>
      </c>
      <c r="J1528">
        <v>0.60456159185877001</v>
      </c>
      <c r="K1528" t="str">
        <f t="shared" si="184"/>
        <v>OK</v>
      </c>
      <c r="L1528" t="str">
        <f t="shared" si="185"/>
        <v>OK</v>
      </c>
      <c r="M1528" t="str">
        <f>IF(OR(B1528&lt;$AE$20,B1528&gt;$AF$20),"Outlier","OK")</f>
        <v>OK</v>
      </c>
      <c r="N1528" t="str">
        <f>IF(OR(J1528&lt;$AE$21,J1528&gt;$AF$21),"Outlier","OK")</f>
        <v>OK</v>
      </c>
      <c r="O1528" t="str">
        <f>IF(OR(C1528&lt;0,C1528&gt;1),"Outlier","OK")</f>
        <v>OK</v>
      </c>
      <c r="P1528" t="str">
        <f>IF(OR(D1528&lt;0,D1528&gt;1),"Outlier","OK")</f>
        <v>Outlier</v>
      </c>
      <c r="Q1528" t="str">
        <f t="shared" si="186"/>
        <v>60-80%</v>
      </c>
      <c r="R1528" t="str">
        <f>IF(B1528="","Missing","OK")</f>
        <v>OK</v>
      </c>
      <c r="S1528" t="str">
        <f>IF(E1528="","Missing","OK")</f>
        <v>OK</v>
      </c>
      <c r="T1528" t="str">
        <f t="shared" si="187"/>
        <v>OK</v>
      </c>
      <c r="U1528">
        <f>COUNTIF($A:$A,A1528)</f>
        <v>1</v>
      </c>
      <c r="V1528" t="str">
        <f t="shared" si="188"/>
        <v>OK</v>
      </c>
      <c r="W1528" t="str">
        <f>IF(I1528&gt;B1528,"ERROR","OK")</f>
        <v>OK</v>
      </c>
      <c r="X1528">
        <f>(B1528-I1528)/B1528</f>
        <v>0.60456159185877023</v>
      </c>
      <c r="Y1528" s="2">
        <f t="shared" si="189"/>
        <v>2.2204460492503131E-16</v>
      </c>
      <c r="Z1528" s="2" t="str">
        <f t="shared" si="190"/>
        <v>OK</v>
      </c>
      <c r="AA1528" t="str">
        <f t="shared" si="191"/>
        <v>Unique</v>
      </c>
    </row>
    <row r="1529" spans="1:27" x14ac:dyDescent="0.3">
      <c r="A1529">
        <v>1528</v>
      </c>
      <c r="B1529">
        <v>1958554.8398705099</v>
      </c>
      <c r="C1529">
        <v>0.30811529258005299</v>
      </c>
      <c r="D1529">
        <v>0.16442709317516199</v>
      </c>
      <c r="E1529">
        <v>0.74637705180269298</v>
      </c>
      <c r="F1529">
        <v>1</v>
      </c>
      <c r="G1529" t="s">
        <v>11</v>
      </c>
      <c r="H1529">
        <v>0</v>
      </c>
      <c r="I1529">
        <v>1461820.3871764501</v>
      </c>
      <c r="J1529">
        <v>0.25362294819730602</v>
      </c>
      <c r="K1529" t="str">
        <f t="shared" si="184"/>
        <v>OK</v>
      </c>
      <c r="L1529" t="str">
        <f t="shared" si="185"/>
        <v>OK</v>
      </c>
      <c r="M1529" t="str">
        <f>IF(OR(B1529&lt;$AE$20,B1529&gt;$AF$20),"Outlier","OK")</f>
        <v>OK</v>
      </c>
      <c r="N1529" t="str">
        <f>IF(OR(J1529&lt;$AE$21,J1529&gt;$AF$21),"Outlier","OK")</f>
        <v>Outlier</v>
      </c>
      <c r="O1529" t="str">
        <f>IF(OR(C1529&lt;0,C1529&gt;1),"Outlier","OK")</f>
        <v>OK</v>
      </c>
      <c r="P1529" t="str">
        <f>IF(OR(D1529&lt;0,D1529&gt;1),"Outlier","OK")</f>
        <v>OK</v>
      </c>
      <c r="Q1529" t="str">
        <f t="shared" si="186"/>
        <v>20-40%</v>
      </c>
      <c r="R1529" t="str">
        <f>IF(B1529="","Missing","OK")</f>
        <v>OK</v>
      </c>
      <c r="S1529" t="str">
        <f>IF(E1529="","Missing","OK")</f>
        <v>OK</v>
      </c>
      <c r="T1529" t="str">
        <f t="shared" si="187"/>
        <v>OK</v>
      </c>
      <c r="U1529">
        <f>COUNTIF($A:$A,A1529)</f>
        <v>1</v>
      </c>
      <c r="V1529" t="str">
        <f t="shared" si="188"/>
        <v>OK</v>
      </c>
      <c r="W1529" t="str">
        <f>IF(I1529&gt;B1529,"ERROR","OK")</f>
        <v>OK</v>
      </c>
      <c r="X1529">
        <f>(B1529-I1529)/B1529</f>
        <v>0.25362294819730524</v>
      </c>
      <c r="Y1529" s="2">
        <f t="shared" si="189"/>
        <v>7.7715611723760958E-16</v>
      </c>
      <c r="Z1529" s="2" t="str">
        <f t="shared" si="190"/>
        <v>OK</v>
      </c>
      <c r="AA1529" t="str">
        <f t="shared" si="191"/>
        <v>Unique</v>
      </c>
    </row>
    <row r="1530" spans="1:27" x14ac:dyDescent="0.3">
      <c r="A1530">
        <v>1529</v>
      </c>
      <c r="B1530">
        <v>1777551.74528699</v>
      </c>
      <c r="C1530">
        <v>0.73703421473346398</v>
      </c>
      <c r="D1530">
        <v>4.5640842919685801E-2</v>
      </c>
      <c r="E1530">
        <v>0.225072225748082</v>
      </c>
      <c r="F1530">
        <v>1</v>
      </c>
      <c r="G1530" t="s">
        <v>13</v>
      </c>
      <c r="H1530">
        <v>1</v>
      </c>
      <c r="I1530">
        <v>400077.52769413299</v>
      </c>
      <c r="J1530">
        <v>0.77492777425191695</v>
      </c>
      <c r="K1530" t="str">
        <f t="shared" si="184"/>
        <v>OK</v>
      </c>
      <c r="L1530" t="str">
        <f t="shared" si="185"/>
        <v>OK</v>
      </c>
      <c r="M1530" t="str">
        <f>IF(OR(B1530&lt;$AE$20,B1530&gt;$AF$20),"Outlier","OK")</f>
        <v>OK</v>
      </c>
      <c r="N1530" t="str">
        <f>IF(OR(J1530&lt;$AE$21,J1530&gt;$AF$21),"Outlier","OK")</f>
        <v>OK</v>
      </c>
      <c r="O1530" t="str">
        <f>IF(OR(C1530&lt;0,C1530&gt;1),"Outlier","OK")</f>
        <v>OK</v>
      </c>
      <c r="P1530" t="str">
        <f>IF(OR(D1530&lt;0,D1530&gt;1),"Outlier","OK")</f>
        <v>OK</v>
      </c>
      <c r="Q1530" t="str">
        <f t="shared" si="186"/>
        <v>60-80%</v>
      </c>
      <c r="R1530" t="str">
        <f>IF(B1530="","Missing","OK")</f>
        <v>OK</v>
      </c>
      <c r="S1530" t="str">
        <f>IF(E1530="","Missing","OK")</f>
        <v>OK</v>
      </c>
      <c r="T1530" t="str">
        <f t="shared" si="187"/>
        <v>OK</v>
      </c>
      <c r="U1530">
        <f>COUNTIF($A:$A,A1530)</f>
        <v>1</v>
      </c>
      <c r="V1530" t="str">
        <f t="shared" si="188"/>
        <v>OK</v>
      </c>
      <c r="W1530" t="str">
        <f>IF(I1530&gt;B1530,"ERROR","OK")</f>
        <v>OK</v>
      </c>
      <c r="X1530">
        <f>(B1530-I1530)/B1530</f>
        <v>0.77492777425191661</v>
      </c>
      <c r="Y1530" s="2">
        <f t="shared" si="189"/>
        <v>3.3306690738754696E-16</v>
      </c>
      <c r="Z1530" s="2" t="str">
        <f t="shared" si="190"/>
        <v>OK</v>
      </c>
      <c r="AA1530" t="str">
        <f t="shared" si="191"/>
        <v>Unique</v>
      </c>
    </row>
    <row r="1531" spans="1:27" x14ac:dyDescent="0.3">
      <c r="A1531">
        <v>1530</v>
      </c>
      <c r="B1531">
        <v>438689.77256843803</v>
      </c>
      <c r="C1531">
        <v>0.20971668366289101</v>
      </c>
      <c r="D1531">
        <v>-0.119077279197959</v>
      </c>
      <c r="E1531">
        <v>0.50685557696765404</v>
      </c>
      <c r="F1531">
        <v>1</v>
      </c>
      <c r="G1531" t="s">
        <v>13</v>
      </c>
      <c r="H1531">
        <v>1</v>
      </c>
      <c r="I1531">
        <v>222352.35778498399</v>
      </c>
      <c r="J1531">
        <v>0.49314442303234501</v>
      </c>
      <c r="K1531" t="str">
        <f t="shared" si="184"/>
        <v>OK</v>
      </c>
      <c r="L1531" t="str">
        <f t="shared" si="185"/>
        <v>OK</v>
      </c>
      <c r="M1531" t="str">
        <f>IF(OR(B1531&lt;$AE$20,B1531&gt;$AF$20),"Outlier","OK")</f>
        <v>OK</v>
      </c>
      <c r="N1531" t="str">
        <f>IF(OR(J1531&lt;$AE$21,J1531&gt;$AF$21),"Outlier","OK")</f>
        <v>OK</v>
      </c>
      <c r="O1531" t="str">
        <f>IF(OR(C1531&lt;0,C1531&gt;1),"Outlier","OK")</f>
        <v>OK</v>
      </c>
      <c r="P1531" t="str">
        <f>IF(OR(D1531&lt;0,D1531&gt;1),"Outlier","OK")</f>
        <v>Outlier</v>
      </c>
      <c r="Q1531" t="str">
        <f t="shared" si="186"/>
        <v>40-60%</v>
      </c>
      <c r="R1531" t="str">
        <f>IF(B1531="","Missing","OK")</f>
        <v>OK</v>
      </c>
      <c r="S1531" t="str">
        <f>IF(E1531="","Missing","OK")</f>
        <v>OK</v>
      </c>
      <c r="T1531" t="str">
        <f t="shared" si="187"/>
        <v>OK</v>
      </c>
      <c r="U1531">
        <f>COUNTIF($A:$A,A1531)</f>
        <v>1</v>
      </c>
      <c r="V1531" t="str">
        <f t="shared" si="188"/>
        <v>OK</v>
      </c>
      <c r="W1531" t="str">
        <f>IF(I1531&gt;B1531,"ERROR","OK")</f>
        <v>OK</v>
      </c>
      <c r="X1531">
        <f>(B1531-I1531)/B1531</f>
        <v>0.49314442303234729</v>
      </c>
      <c r="Y1531" s="2">
        <f t="shared" si="189"/>
        <v>2.2759572004815709E-15</v>
      </c>
      <c r="Z1531" s="2" t="str">
        <f t="shared" si="190"/>
        <v>OK</v>
      </c>
      <c r="AA1531" t="str">
        <f t="shared" si="191"/>
        <v>Unique</v>
      </c>
    </row>
    <row r="1532" spans="1:27" x14ac:dyDescent="0.3">
      <c r="A1532">
        <v>1531</v>
      </c>
      <c r="B1532">
        <v>577103.16802001104</v>
      </c>
      <c r="C1532">
        <v>0.762458248568601</v>
      </c>
      <c r="D1532">
        <v>8.0815397283992604E-2</v>
      </c>
      <c r="E1532">
        <v>0.32689249863040898</v>
      </c>
      <c r="F1532">
        <v>1</v>
      </c>
      <c r="G1532" t="s">
        <v>11</v>
      </c>
      <c r="H1532">
        <v>0</v>
      </c>
      <c r="I1532">
        <v>188650.696561586</v>
      </c>
      <c r="J1532">
        <v>0.67310750136959097</v>
      </c>
      <c r="K1532" t="str">
        <f t="shared" si="184"/>
        <v>OK</v>
      </c>
      <c r="L1532" t="str">
        <f t="shared" si="185"/>
        <v>OK</v>
      </c>
      <c r="M1532" t="str">
        <f>IF(OR(B1532&lt;$AE$20,B1532&gt;$AF$20),"Outlier","OK")</f>
        <v>OK</v>
      </c>
      <c r="N1532" t="str">
        <f>IF(OR(J1532&lt;$AE$21,J1532&gt;$AF$21),"Outlier","OK")</f>
        <v>OK</v>
      </c>
      <c r="O1532" t="str">
        <f>IF(OR(C1532&lt;0,C1532&gt;1),"Outlier","OK")</f>
        <v>OK</v>
      </c>
      <c r="P1532" t="str">
        <f>IF(OR(D1532&lt;0,D1532&gt;1),"Outlier","OK")</f>
        <v>OK</v>
      </c>
      <c r="Q1532" t="str">
        <f t="shared" si="186"/>
        <v>60-80%</v>
      </c>
      <c r="R1532" t="str">
        <f>IF(B1532="","Missing","OK")</f>
        <v>OK</v>
      </c>
      <c r="S1532" t="str">
        <f>IF(E1532="","Missing","OK")</f>
        <v>OK</v>
      </c>
      <c r="T1532" t="str">
        <f t="shared" si="187"/>
        <v>OK</v>
      </c>
      <c r="U1532">
        <f>COUNTIF($A:$A,A1532)</f>
        <v>1</v>
      </c>
      <c r="V1532" t="str">
        <f t="shared" si="188"/>
        <v>OK</v>
      </c>
      <c r="W1532" t="str">
        <f>IF(I1532&gt;B1532,"ERROR","OK")</f>
        <v>OK</v>
      </c>
      <c r="X1532">
        <f>(B1532-I1532)/B1532</f>
        <v>0.6731075013695913</v>
      </c>
      <c r="Y1532" s="2">
        <f t="shared" si="189"/>
        <v>3.3306690738754696E-16</v>
      </c>
      <c r="Z1532" s="2" t="str">
        <f t="shared" si="190"/>
        <v>OK</v>
      </c>
      <c r="AA1532" t="str">
        <f t="shared" si="191"/>
        <v>Unique</v>
      </c>
    </row>
    <row r="1533" spans="1:27" x14ac:dyDescent="0.3">
      <c r="A1533">
        <v>1532</v>
      </c>
      <c r="B1533">
        <v>1799740.6747121499</v>
      </c>
      <c r="C1533">
        <v>0.31403792809566</v>
      </c>
      <c r="D1533">
        <v>-0.15170615247754701</v>
      </c>
      <c r="E1533">
        <v>9.2435901201414497E-2</v>
      </c>
      <c r="F1533">
        <v>1</v>
      </c>
      <c r="G1533" t="s">
        <v>13</v>
      </c>
      <c r="H1533">
        <v>0</v>
      </c>
      <c r="I1533">
        <v>166360.65119585901</v>
      </c>
      <c r="J1533">
        <v>0.90756409879858502</v>
      </c>
      <c r="K1533" t="str">
        <f t="shared" si="184"/>
        <v>OK</v>
      </c>
      <c r="L1533" t="str">
        <f t="shared" si="185"/>
        <v>OK</v>
      </c>
      <c r="M1533" t="str">
        <f>IF(OR(B1533&lt;$AE$20,B1533&gt;$AF$20),"Outlier","OK")</f>
        <v>OK</v>
      </c>
      <c r="N1533" t="str">
        <f>IF(OR(J1533&lt;$AE$21,J1533&gt;$AF$21),"Outlier","OK")</f>
        <v>OK</v>
      </c>
      <c r="O1533" t="str">
        <f>IF(OR(C1533&lt;0,C1533&gt;1),"Outlier","OK")</f>
        <v>OK</v>
      </c>
      <c r="P1533" t="str">
        <f>IF(OR(D1533&lt;0,D1533&gt;1),"Outlier","OK")</f>
        <v>Outlier</v>
      </c>
      <c r="Q1533" t="str">
        <f t="shared" si="186"/>
        <v>80-100%</v>
      </c>
      <c r="R1533" t="str">
        <f>IF(B1533="","Missing","OK")</f>
        <v>OK</v>
      </c>
      <c r="S1533" t="str">
        <f>IF(E1533="","Missing","OK")</f>
        <v>OK</v>
      </c>
      <c r="T1533" t="str">
        <f t="shared" si="187"/>
        <v>OK</v>
      </c>
      <c r="U1533">
        <f>COUNTIF($A:$A,A1533)</f>
        <v>1</v>
      </c>
      <c r="V1533" t="str">
        <f t="shared" si="188"/>
        <v>OK</v>
      </c>
      <c r="W1533" t="str">
        <f>IF(I1533&gt;B1533,"ERROR","OK")</f>
        <v>OK</v>
      </c>
      <c r="X1533">
        <f>(B1533-I1533)/B1533</f>
        <v>0.90756409879858568</v>
      </c>
      <c r="Y1533" s="2">
        <f t="shared" si="189"/>
        <v>6.6613381477509392E-16</v>
      </c>
      <c r="Z1533" s="2" t="str">
        <f t="shared" si="190"/>
        <v>OK</v>
      </c>
      <c r="AA1533" t="str">
        <f t="shared" si="191"/>
        <v>Unique</v>
      </c>
    </row>
    <row r="1534" spans="1:27" x14ac:dyDescent="0.3">
      <c r="A1534">
        <v>1533</v>
      </c>
      <c r="B1534">
        <v>263040.99710626702</v>
      </c>
      <c r="C1534">
        <v>0.25009395523573502</v>
      </c>
      <c r="D1534">
        <v>-1.03779729966041E-3</v>
      </c>
      <c r="E1534">
        <v>0.27969025830459898</v>
      </c>
      <c r="F1534">
        <v>1</v>
      </c>
      <c r="G1534" t="s">
        <v>12</v>
      </c>
      <c r="H1534">
        <v>1</v>
      </c>
      <c r="I1534">
        <v>73570.004425351406</v>
      </c>
      <c r="J1534">
        <v>0.72030974169539996</v>
      </c>
      <c r="K1534" t="str">
        <f t="shared" si="184"/>
        <v>OK</v>
      </c>
      <c r="L1534" t="str">
        <f t="shared" si="185"/>
        <v>OK</v>
      </c>
      <c r="M1534" t="str">
        <f>IF(OR(B1534&lt;$AE$20,B1534&gt;$AF$20),"Outlier","OK")</f>
        <v>OK</v>
      </c>
      <c r="N1534" t="str">
        <f>IF(OR(J1534&lt;$AE$21,J1534&gt;$AF$21),"Outlier","OK")</f>
        <v>OK</v>
      </c>
      <c r="O1534" t="str">
        <f>IF(OR(C1534&lt;0,C1534&gt;1),"Outlier","OK")</f>
        <v>OK</v>
      </c>
      <c r="P1534" t="str">
        <f>IF(OR(D1534&lt;0,D1534&gt;1),"Outlier","OK")</f>
        <v>Outlier</v>
      </c>
      <c r="Q1534" t="str">
        <f t="shared" si="186"/>
        <v>60-80%</v>
      </c>
      <c r="R1534" t="str">
        <f>IF(B1534="","Missing","OK")</f>
        <v>OK</v>
      </c>
      <c r="S1534" t="str">
        <f>IF(E1534="","Missing","OK")</f>
        <v>OK</v>
      </c>
      <c r="T1534" t="str">
        <f t="shared" si="187"/>
        <v>OK</v>
      </c>
      <c r="U1534">
        <f>COUNTIF($A:$A,A1534)</f>
        <v>1</v>
      </c>
      <c r="V1534" t="str">
        <f t="shared" si="188"/>
        <v>OK</v>
      </c>
      <c r="W1534" t="str">
        <f>IF(I1534&gt;B1534,"ERROR","OK")</f>
        <v>OK</v>
      </c>
      <c r="X1534">
        <f>(B1534-I1534)/B1534</f>
        <v>0.72030974169539985</v>
      </c>
      <c r="Y1534" s="2">
        <f t="shared" si="189"/>
        <v>1.1102230246251565E-16</v>
      </c>
      <c r="Z1534" s="2" t="str">
        <f t="shared" si="190"/>
        <v>OK</v>
      </c>
      <c r="AA1534" t="str">
        <f t="shared" si="191"/>
        <v>Unique</v>
      </c>
    </row>
    <row r="1535" spans="1:27" x14ac:dyDescent="0.3">
      <c r="A1535">
        <v>1534</v>
      </c>
      <c r="B1535">
        <v>417530.48466230801</v>
      </c>
      <c r="C1535">
        <v>0.116935891696875</v>
      </c>
      <c r="D1535">
        <v>0.19038751937697801</v>
      </c>
      <c r="E1535">
        <v>5.9269849233298103E-2</v>
      </c>
      <c r="F1535">
        <v>1</v>
      </c>
      <c r="G1535" t="s">
        <v>11</v>
      </c>
      <c r="H1535">
        <v>1</v>
      </c>
      <c r="I1535">
        <v>24746.968876240899</v>
      </c>
      <c r="J1535">
        <v>0.94073015076670097</v>
      </c>
      <c r="K1535" t="str">
        <f t="shared" si="184"/>
        <v>OK</v>
      </c>
      <c r="L1535" t="str">
        <f t="shared" si="185"/>
        <v>OK</v>
      </c>
      <c r="M1535" t="str">
        <f>IF(OR(B1535&lt;$AE$20,B1535&gt;$AF$20),"Outlier","OK")</f>
        <v>OK</v>
      </c>
      <c r="N1535" t="str">
        <f>IF(OR(J1535&lt;$AE$21,J1535&gt;$AF$21),"Outlier","OK")</f>
        <v>OK</v>
      </c>
      <c r="O1535" t="str">
        <f>IF(OR(C1535&lt;0,C1535&gt;1),"Outlier","OK")</f>
        <v>OK</v>
      </c>
      <c r="P1535" t="str">
        <f>IF(OR(D1535&lt;0,D1535&gt;1),"Outlier","OK")</f>
        <v>OK</v>
      </c>
      <c r="Q1535" t="str">
        <f t="shared" si="186"/>
        <v>80-100%</v>
      </c>
      <c r="R1535" t="str">
        <f>IF(B1535="","Missing","OK")</f>
        <v>OK</v>
      </c>
      <c r="S1535" t="str">
        <f>IF(E1535="","Missing","OK")</f>
        <v>OK</v>
      </c>
      <c r="T1535" t="str">
        <f t="shared" si="187"/>
        <v>OK</v>
      </c>
      <c r="U1535">
        <f>COUNTIF($A:$A,A1535)</f>
        <v>1</v>
      </c>
      <c r="V1535" t="str">
        <f t="shared" si="188"/>
        <v>OK</v>
      </c>
      <c r="W1535" t="str">
        <f>IF(I1535&gt;B1535,"ERROR","OK")</f>
        <v>OK</v>
      </c>
      <c r="X1535">
        <f>(B1535-I1535)/B1535</f>
        <v>0.94073015076670186</v>
      </c>
      <c r="Y1535" s="2">
        <f t="shared" si="189"/>
        <v>8.8817841970012523E-16</v>
      </c>
      <c r="Z1535" s="2" t="str">
        <f t="shared" si="190"/>
        <v>OK</v>
      </c>
      <c r="AA1535" t="str">
        <f t="shared" si="191"/>
        <v>Unique</v>
      </c>
    </row>
    <row r="1536" spans="1:27" x14ac:dyDescent="0.3">
      <c r="A1536">
        <v>1535</v>
      </c>
      <c r="B1536">
        <v>1236671.3478456601</v>
      </c>
      <c r="C1536">
        <v>0.19986433362080899</v>
      </c>
      <c r="D1536">
        <v>-2.0315363367879102E-2</v>
      </c>
      <c r="E1536">
        <v>0.43123778505370702</v>
      </c>
      <c r="F1536">
        <v>1</v>
      </c>
      <c r="G1536" t="s">
        <v>12</v>
      </c>
      <c r="H1536">
        <v>0</v>
      </c>
      <c r="I1536">
        <v>533299.41288434598</v>
      </c>
      <c r="J1536">
        <v>0.56876221494629198</v>
      </c>
      <c r="K1536" t="str">
        <f t="shared" si="184"/>
        <v>OK</v>
      </c>
      <c r="L1536" t="str">
        <f t="shared" si="185"/>
        <v>OK</v>
      </c>
      <c r="M1536" t="str">
        <f>IF(OR(B1536&lt;$AE$20,B1536&gt;$AF$20),"Outlier","OK")</f>
        <v>OK</v>
      </c>
      <c r="N1536" t="str">
        <f>IF(OR(J1536&lt;$AE$21,J1536&gt;$AF$21),"Outlier","OK")</f>
        <v>OK</v>
      </c>
      <c r="O1536" t="str">
        <f>IF(OR(C1536&lt;0,C1536&gt;1),"Outlier","OK")</f>
        <v>OK</v>
      </c>
      <c r="P1536" t="str">
        <f>IF(OR(D1536&lt;0,D1536&gt;1),"Outlier","OK")</f>
        <v>Outlier</v>
      </c>
      <c r="Q1536" t="str">
        <f t="shared" si="186"/>
        <v>40-60%</v>
      </c>
      <c r="R1536" t="str">
        <f>IF(B1536="","Missing","OK")</f>
        <v>OK</v>
      </c>
      <c r="S1536" t="str">
        <f>IF(E1536="","Missing","OK")</f>
        <v>OK</v>
      </c>
      <c r="T1536" t="str">
        <f t="shared" si="187"/>
        <v>OK</v>
      </c>
      <c r="U1536">
        <f>COUNTIF($A:$A,A1536)</f>
        <v>1</v>
      </c>
      <c r="V1536" t="str">
        <f t="shared" si="188"/>
        <v>OK</v>
      </c>
      <c r="W1536" t="str">
        <f>IF(I1536&gt;B1536,"ERROR","OK")</f>
        <v>OK</v>
      </c>
      <c r="X1536">
        <f>(B1536-I1536)/B1536</f>
        <v>0.56876221494629209</v>
      </c>
      <c r="Y1536" s="2">
        <f t="shared" si="189"/>
        <v>1.1102230246251565E-16</v>
      </c>
      <c r="Z1536" s="2" t="str">
        <f t="shared" si="190"/>
        <v>OK</v>
      </c>
      <c r="AA1536" t="str">
        <f t="shared" si="191"/>
        <v>Unique</v>
      </c>
    </row>
    <row r="1537" spans="1:27" x14ac:dyDescent="0.3">
      <c r="A1537">
        <v>1536</v>
      </c>
      <c r="B1537">
        <v>336677.97280904301</v>
      </c>
      <c r="C1537">
        <v>0.465307754964631</v>
      </c>
      <c r="D1537">
        <v>0.117770598933329</v>
      </c>
      <c r="E1537">
        <v>0.102741153701311</v>
      </c>
      <c r="F1537">
        <v>1</v>
      </c>
      <c r="G1537" t="s">
        <v>12</v>
      </c>
      <c r="H1537">
        <v>0</v>
      </c>
      <c r="I1537">
        <v>34590.683352219799</v>
      </c>
      <c r="J1537">
        <v>0.89725884629868802</v>
      </c>
      <c r="K1537" t="str">
        <f t="shared" si="184"/>
        <v>OK</v>
      </c>
      <c r="L1537" t="str">
        <f t="shared" si="185"/>
        <v>OK</v>
      </c>
      <c r="M1537" t="str">
        <f>IF(OR(B1537&lt;$AE$20,B1537&gt;$AF$20),"Outlier","OK")</f>
        <v>OK</v>
      </c>
      <c r="N1537" t="str">
        <f>IF(OR(J1537&lt;$AE$21,J1537&gt;$AF$21),"Outlier","OK")</f>
        <v>OK</v>
      </c>
      <c r="O1537" t="str">
        <f>IF(OR(C1537&lt;0,C1537&gt;1),"Outlier","OK")</f>
        <v>OK</v>
      </c>
      <c r="P1537" t="str">
        <f>IF(OR(D1537&lt;0,D1537&gt;1),"Outlier","OK")</f>
        <v>OK</v>
      </c>
      <c r="Q1537" t="str">
        <f t="shared" si="186"/>
        <v>80-100%</v>
      </c>
      <c r="R1537" t="str">
        <f>IF(B1537="","Missing","OK")</f>
        <v>OK</v>
      </c>
      <c r="S1537" t="str">
        <f>IF(E1537="","Missing","OK")</f>
        <v>OK</v>
      </c>
      <c r="T1537" t="str">
        <f t="shared" si="187"/>
        <v>OK</v>
      </c>
      <c r="U1537">
        <f>COUNTIF($A:$A,A1537)</f>
        <v>1</v>
      </c>
      <c r="V1537" t="str">
        <f t="shared" si="188"/>
        <v>OK</v>
      </c>
      <c r="W1537" t="str">
        <f>IF(I1537&gt;B1537,"ERROR","OK")</f>
        <v>OK</v>
      </c>
      <c r="X1537">
        <f>(B1537-I1537)/B1537</f>
        <v>0.89725884629868868</v>
      </c>
      <c r="Y1537" s="2">
        <f t="shared" si="189"/>
        <v>6.6613381477509392E-16</v>
      </c>
      <c r="Z1537" s="2" t="str">
        <f t="shared" si="190"/>
        <v>OK</v>
      </c>
      <c r="AA1537" t="str">
        <f t="shared" si="191"/>
        <v>Unique</v>
      </c>
    </row>
    <row r="1538" spans="1:27" x14ac:dyDescent="0.3">
      <c r="A1538">
        <v>1537</v>
      </c>
      <c r="B1538">
        <v>1166463.0832518099</v>
      </c>
      <c r="C1538">
        <v>0.63395554257041997</v>
      </c>
      <c r="D1538">
        <v>5.85050591398232E-2</v>
      </c>
      <c r="E1538">
        <v>9.6607166966598504E-2</v>
      </c>
      <c r="F1538">
        <v>1</v>
      </c>
      <c r="G1538" t="s">
        <v>12</v>
      </c>
      <c r="H1538">
        <v>0</v>
      </c>
      <c r="I1538">
        <v>112688.693844081</v>
      </c>
      <c r="J1538">
        <v>0.90339283303340101</v>
      </c>
      <c r="K1538" t="str">
        <f t="shared" si="184"/>
        <v>OK</v>
      </c>
      <c r="L1538" t="str">
        <f t="shared" si="185"/>
        <v>OK</v>
      </c>
      <c r="M1538" t="str">
        <f>IF(OR(B1538&lt;$AE$20,B1538&gt;$AF$20),"Outlier","OK")</f>
        <v>OK</v>
      </c>
      <c r="N1538" t="str">
        <f>IF(OR(J1538&lt;$AE$21,J1538&gt;$AF$21),"Outlier","OK")</f>
        <v>OK</v>
      </c>
      <c r="O1538" t="str">
        <f>IF(OR(C1538&lt;0,C1538&gt;1),"Outlier","OK")</f>
        <v>OK</v>
      </c>
      <c r="P1538" t="str">
        <f>IF(OR(D1538&lt;0,D1538&gt;1),"Outlier","OK")</f>
        <v>OK</v>
      </c>
      <c r="Q1538" t="str">
        <f t="shared" si="186"/>
        <v>80-100%</v>
      </c>
      <c r="R1538" t="str">
        <f>IF(B1538="","Missing","OK")</f>
        <v>OK</v>
      </c>
      <c r="S1538" t="str">
        <f>IF(E1538="","Missing","OK")</f>
        <v>OK</v>
      </c>
      <c r="T1538" t="str">
        <f t="shared" si="187"/>
        <v>OK</v>
      </c>
      <c r="U1538">
        <f>COUNTIF($A:$A,A1538)</f>
        <v>1</v>
      </c>
      <c r="V1538" t="str">
        <f t="shared" si="188"/>
        <v>OK</v>
      </c>
      <c r="W1538" t="str">
        <f>IF(I1538&gt;B1538,"ERROR","OK")</f>
        <v>OK</v>
      </c>
      <c r="X1538">
        <f>(B1538-I1538)/B1538</f>
        <v>0.90339283303340145</v>
      </c>
      <c r="Y1538" s="2">
        <f t="shared" si="189"/>
        <v>4.4408920985006262E-16</v>
      </c>
      <c r="Z1538" s="2" t="str">
        <f t="shared" si="190"/>
        <v>OK</v>
      </c>
      <c r="AA1538" t="str">
        <f t="shared" si="191"/>
        <v>Unique</v>
      </c>
    </row>
    <row r="1539" spans="1:27" x14ac:dyDescent="0.3">
      <c r="A1539">
        <v>1538</v>
      </c>
      <c r="B1539">
        <v>1172313.16576955</v>
      </c>
      <c r="C1539">
        <v>0.34336254704838198</v>
      </c>
      <c r="D1539">
        <v>-0.124935784462348</v>
      </c>
      <c r="E1539">
        <v>0.170911214825643</v>
      </c>
      <c r="F1539">
        <v>1</v>
      </c>
      <c r="G1539" t="s">
        <v>10</v>
      </c>
      <c r="H1539">
        <v>0</v>
      </c>
      <c r="I1539">
        <v>200361.46731777</v>
      </c>
      <c r="J1539">
        <v>0.82908878517435602</v>
      </c>
      <c r="K1539" t="str">
        <f t="shared" ref="K1539:K1602" si="192">IF(OR(J1539&lt;0,J1539&gt;1),"Error","OK")</f>
        <v>OK</v>
      </c>
      <c r="L1539" t="str">
        <f t="shared" ref="L1539:L1602" si="193">IF(I1539&gt;B1539,"Error","OK")</f>
        <v>OK</v>
      </c>
      <c r="M1539" t="str">
        <f>IF(OR(B1539&lt;$AE$20,B1539&gt;$AF$20),"Outlier","OK")</f>
        <v>OK</v>
      </c>
      <c r="N1539" t="str">
        <f>IF(OR(J1539&lt;$AE$21,J1539&gt;$AF$21),"Outlier","OK")</f>
        <v>OK</v>
      </c>
      <c r="O1539" t="str">
        <f>IF(OR(C1539&lt;0,C1539&gt;1),"Outlier","OK")</f>
        <v>OK</v>
      </c>
      <c r="P1539" t="str">
        <f>IF(OR(D1539&lt;0,D1539&gt;1),"Outlier","OK")</f>
        <v>Outlier</v>
      </c>
      <c r="Q1539" t="str">
        <f t="shared" ref="Q1539:Q1602" si="194">IF(J1539&lt;=0.2,"0-20%",
 IF(J1539&lt;=0.4,"20-40%",
 IF(J1539&lt;=0.6,"40-60%",
 IF(J1539&lt;=0.8,"60-80%","80-100%"))))</f>
        <v>80-100%</v>
      </c>
      <c r="R1539" t="str">
        <f>IF(B1539="","Missing","OK")</f>
        <v>OK</v>
      </c>
      <c r="S1539" t="str">
        <f>IF(E1539="","Missing","OK")</f>
        <v>OK</v>
      </c>
      <c r="T1539" t="str">
        <f t="shared" ref="T1539:T1602" si="195">IF(J1539="","Missing","OK")</f>
        <v>OK</v>
      </c>
      <c r="U1539">
        <f>COUNTIF($A:$A,A1539)</f>
        <v>1</v>
      </c>
      <c r="V1539" t="str">
        <f t="shared" ref="V1539:V1602" si="196">IF(OR(J1539&lt;0,J1539&gt;1),"ERROR","OK")</f>
        <v>OK</v>
      </c>
      <c r="W1539" t="str">
        <f>IF(I1539&gt;B1539,"ERROR","OK")</f>
        <v>OK</v>
      </c>
      <c r="X1539">
        <f>(B1539-I1539)/B1539</f>
        <v>0.82908878517435636</v>
      </c>
      <c r="Y1539" s="2">
        <f t="shared" ref="Y1539:Y1602" si="197">ABS(J1539-X1539)</f>
        <v>3.3306690738754696E-16</v>
      </c>
      <c r="Z1539" s="2" t="str">
        <f t="shared" ref="Z1539:Z1602" si="198">IF(OR(B1539="",I1539="",J1539=""),"Missing","OK")</f>
        <v>OK</v>
      </c>
      <c r="AA1539" t="str">
        <f t="shared" ref="AA1539:AA1602" si="199">IF(COUNTIF($A:$A,A1539)&gt;1,"Duplicate","Unique")</f>
        <v>Unique</v>
      </c>
    </row>
    <row r="1540" spans="1:27" x14ac:dyDescent="0.3">
      <c r="A1540">
        <v>1539</v>
      </c>
      <c r="B1540">
        <v>1212891.0812613401</v>
      </c>
      <c r="C1540">
        <v>0.64449459987886304</v>
      </c>
      <c r="D1540">
        <v>0.128024780673928</v>
      </c>
      <c r="E1540">
        <v>0.184452381828481</v>
      </c>
      <c r="F1540">
        <v>1</v>
      </c>
      <c r="G1540" t="s">
        <v>13</v>
      </c>
      <c r="H1540">
        <v>1</v>
      </c>
      <c r="I1540">
        <v>223720.648837177</v>
      </c>
      <c r="J1540">
        <v>0.815547618171518</v>
      </c>
      <c r="K1540" t="str">
        <f t="shared" si="192"/>
        <v>OK</v>
      </c>
      <c r="L1540" t="str">
        <f t="shared" si="193"/>
        <v>OK</v>
      </c>
      <c r="M1540" t="str">
        <f>IF(OR(B1540&lt;$AE$20,B1540&gt;$AF$20),"Outlier","OK")</f>
        <v>OK</v>
      </c>
      <c r="N1540" t="str">
        <f>IF(OR(J1540&lt;$AE$21,J1540&gt;$AF$21),"Outlier","OK")</f>
        <v>OK</v>
      </c>
      <c r="O1540" t="str">
        <f>IF(OR(C1540&lt;0,C1540&gt;1),"Outlier","OK")</f>
        <v>OK</v>
      </c>
      <c r="P1540" t="str">
        <f>IF(OR(D1540&lt;0,D1540&gt;1),"Outlier","OK")</f>
        <v>OK</v>
      </c>
      <c r="Q1540" t="str">
        <f t="shared" si="194"/>
        <v>80-100%</v>
      </c>
      <c r="R1540" t="str">
        <f>IF(B1540="","Missing","OK")</f>
        <v>OK</v>
      </c>
      <c r="S1540" t="str">
        <f>IF(E1540="","Missing","OK")</f>
        <v>OK</v>
      </c>
      <c r="T1540" t="str">
        <f t="shared" si="195"/>
        <v>OK</v>
      </c>
      <c r="U1540">
        <f>COUNTIF($A:$A,A1540)</f>
        <v>1</v>
      </c>
      <c r="V1540" t="str">
        <f t="shared" si="196"/>
        <v>OK</v>
      </c>
      <c r="W1540" t="str">
        <f>IF(I1540&gt;B1540,"ERROR","OK")</f>
        <v>OK</v>
      </c>
      <c r="X1540">
        <f>(B1540-I1540)/B1540</f>
        <v>0.81554761817151811</v>
      </c>
      <c r="Y1540" s="2">
        <f t="shared" si="197"/>
        <v>1.1102230246251565E-16</v>
      </c>
      <c r="Z1540" s="2" t="str">
        <f t="shared" si="198"/>
        <v>OK</v>
      </c>
      <c r="AA1540" t="str">
        <f t="shared" si="199"/>
        <v>Unique</v>
      </c>
    </row>
    <row r="1541" spans="1:27" x14ac:dyDescent="0.3">
      <c r="A1541">
        <v>1540</v>
      </c>
      <c r="B1541">
        <v>538867.71279180702</v>
      </c>
      <c r="C1541">
        <v>0.86082992596108998</v>
      </c>
      <c r="D1541">
        <v>-0.135449255130737</v>
      </c>
      <c r="E1541">
        <v>0.32523358159745003</v>
      </c>
      <c r="F1541">
        <v>1</v>
      </c>
      <c r="G1541" t="s">
        <v>11</v>
      </c>
      <c r="H1541">
        <v>0</v>
      </c>
      <c r="I1541">
        <v>175257.87623850501</v>
      </c>
      <c r="J1541">
        <v>0.67476641840254903</v>
      </c>
      <c r="K1541" t="str">
        <f t="shared" si="192"/>
        <v>OK</v>
      </c>
      <c r="L1541" t="str">
        <f t="shared" si="193"/>
        <v>OK</v>
      </c>
      <c r="M1541" t="str">
        <f>IF(OR(B1541&lt;$AE$20,B1541&gt;$AF$20),"Outlier","OK")</f>
        <v>OK</v>
      </c>
      <c r="N1541" t="str">
        <f>IF(OR(J1541&lt;$AE$21,J1541&gt;$AF$21),"Outlier","OK")</f>
        <v>OK</v>
      </c>
      <c r="O1541" t="str">
        <f>IF(OR(C1541&lt;0,C1541&gt;1),"Outlier","OK")</f>
        <v>OK</v>
      </c>
      <c r="P1541" t="str">
        <f>IF(OR(D1541&lt;0,D1541&gt;1),"Outlier","OK")</f>
        <v>Outlier</v>
      </c>
      <c r="Q1541" t="str">
        <f t="shared" si="194"/>
        <v>60-80%</v>
      </c>
      <c r="R1541" t="str">
        <f>IF(B1541="","Missing","OK")</f>
        <v>OK</v>
      </c>
      <c r="S1541" t="str">
        <f>IF(E1541="","Missing","OK")</f>
        <v>OK</v>
      </c>
      <c r="T1541" t="str">
        <f t="shared" si="195"/>
        <v>OK</v>
      </c>
      <c r="U1541">
        <f>COUNTIF($A:$A,A1541)</f>
        <v>1</v>
      </c>
      <c r="V1541" t="str">
        <f t="shared" si="196"/>
        <v>OK</v>
      </c>
      <c r="W1541" t="str">
        <f>IF(I1541&gt;B1541,"ERROR","OK")</f>
        <v>OK</v>
      </c>
      <c r="X1541">
        <f>(B1541-I1541)/B1541</f>
        <v>0.6747664184025508</v>
      </c>
      <c r="Y1541" s="2">
        <f t="shared" si="197"/>
        <v>1.7763568394002505E-15</v>
      </c>
      <c r="Z1541" s="2" t="str">
        <f t="shared" si="198"/>
        <v>OK</v>
      </c>
      <c r="AA1541" t="str">
        <f t="shared" si="199"/>
        <v>Unique</v>
      </c>
    </row>
    <row r="1542" spans="1:27" x14ac:dyDescent="0.3">
      <c r="A1542">
        <v>1541</v>
      </c>
      <c r="B1542">
        <v>1651107.69018142</v>
      </c>
      <c r="C1542">
        <v>0.65153322111865397</v>
      </c>
      <c r="D1542">
        <v>-4.1615737671015403E-2</v>
      </c>
      <c r="E1542">
        <v>0.131276776276501</v>
      </c>
      <c r="F1542">
        <v>1</v>
      </c>
      <c r="G1542" t="s">
        <v>10</v>
      </c>
      <c r="H1542">
        <v>1</v>
      </c>
      <c r="I1542">
        <v>216752.094852357</v>
      </c>
      <c r="J1542">
        <v>0.86872322372349897</v>
      </c>
      <c r="K1542" t="str">
        <f t="shared" si="192"/>
        <v>OK</v>
      </c>
      <c r="L1542" t="str">
        <f t="shared" si="193"/>
        <v>OK</v>
      </c>
      <c r="M1542" t="str">
        <f>IF(OR(B1542&lt;$AE$20,B1542&gt;$AF$20),"Outlier","OK")</f>
        <v>OK</v>
      </c>
      <c r="N1542" t="str">
        <f>IF(OR(J1542&lt;$AE$21,J1542&gt;$AF$21),"Outlier","OK")</f>
        <v>OK</v>
      </c>
      <c r="O1542" t="str">
        <f>IF(OR(C1542&lt;0,C1542&gt;1),"Outlier","OK")</f>
        <v>OK</v>
      </c>
      <c r="P1542" t="str">
        <f>IF(OR(D1542&lt;0,D1542&gt;1),"Outlier","OK")</f>
        <v>Outlier</v>
      </c>
      <c r="Q1542" t="str">
        <f t="shared" si="194"/>
        <v>80-100%</v>
      </c>
      <c r="R1542" t="str">
        <f>IF(B1542="","Missing","OK")</f>
        <v>OK</v>
      </c>
      <c r="S1542" t="str">
        <f>IF(E1542="","Missing","OK")</f>
        <v>OK</v>
      </c>
      <c r="T1542" t="str">
        <f t="shared" si="195"/>
        <v>OK</v>
      </c>
      <c r="U1542">
        <f>COUNTIF($A:$A,A1542)</f>
        <v>1</v>
      </c>
      <c r="V1542" t="str">
        <f t="shared" si="196"/>
        <v>OK</v>
      </c>
      <c r="W1542" t="str">
        <f>IF(I1542&gt;B1542,"ERROR","OK")</f>
        <v>OK</v>
      </c>
      <c r="X1542">
        <f>(B1542-I1542)/B1542</f>
        <v>0.86872322372349875</v>
      </c>
      <c r="Y1542" s="2">
        <f t="shared" si="197"/>
        <v>2.2204460492503131E-16</v>
      </c>
      <c r="Z1542" s="2" t="str">
        <f t="shared" si="198"/>
        <v>OK</v>
      </c>
      <c r="AA1542" t="str">
        <f t="shared" si="199"/>
        <v>Unique</v>
      </c>
    </row>
    <row r="1543" spans="1:27" x14ac:dyDescent="0.3">
      <c r="A1543">
        <v>1542</v>
      </c>
      <c r="B1543">
        <v>1942365.0632575001</v>
      </c>
      <c r="C1543">
        <v>0.30515505099290702</v>
      </c>
      <c r="D1543">
        <v>0.130612364518959</v>
      </c>
      <c r="E1543">
        <v>0.27122654403037899</v>
      </c>
      <c r="F1543">
        <v>1</v>
      </c>
      <c r="G1543" t="s">
        <v>10</v>
      </c>
      <c r="H1543">
        <v>0</v>
      </c>
      <c r="I1543">
        <v>526820.96335267997</v>
      </c>
      <c r="J1543">
        <v>0.72877345596961995</v>
      </c>
      <c r="K1543" t="str">
        <f t="shared" si="192"/>
        <v>OK</v>
      </c>
      <c r="L1543" t="str">
        <f t="shared" si="193"/>
        <v>OK</v>
      </c>
      <c r="M1543" t="str">
        <f>IF(OR(B1543&lt;$AE$20,B1543&gt;$AF$20),"Outlier","OK")</f>
        <v>OK</v>
      </c>
      <c r="N1543" t="str">
        <f>IF(OR(J1543&lt;$AE$21,J1543&gt;$AF$21),"Outlier","OK")</f>
        <v>OK</v>
      </c>
      <c r="O1543" t="str">
        <f>IF(OR(C1543&lt;0,C1543&gt;1),"Outlier","OK")</f>
        <v>OK</v>
      </c>
      <c r="P1543" t="str">
        <f>IF(OR(D1543&lt;0,D1543&gt;1),"Outlier","OK")</f>
        <v>OK</v>
      </c>
      <c r="Q1543" t="str">
        <f t="shared" si="194"/>
        <v>60-80%</v>
      </c>
      <c r="R1543" t="str">
        <f>IF(B1543="","Missing","OK")</f>
        <v>OK</v>
      </c>
      <c r="S1543" t="str">
        <f>IF(E1543="","Missing","OK")</f>
        <v>OK</v>
      </c>
      <c r="T1543" t="str">
        <f t="shared" si="195"/>
        <v>OK</v>
      </c>
      <c r="U1543">
        <f>COUNTIF($A:$A,A1543)</f>
        <v>1</v>
      </c>
      <c r="V1543" t="str">
        <f t="shared" si="196"/>
        <v>OK</v>
      </c>
      <c r="W1543" t="str">
        <f>IF(I1543&gt;B1543,"ERROR","OK")</f>
        <v>OK</v>
      </c>
      <c r="X1543">
        <f>(B1543-I1543)/B1543</f>
        <v>0.72877345596962118</v>
      </c>
      <c r="Y1543" s="2">
        <f t="shared" si="197"/>
        <v>1.2212453270876722E-15</v>
      </c>
      <c r="Z1543" s="2" t="str">
        <f t="shared" si="198"/>
        <v>OK</v>
      </c>
      <c r="AA1543" t="str">
        <f t="shared" si="199"/>
        <v>Unique</v>
      </c>
    </row>
    <row r="1544" spans="1:27" x14ac:dyDescent="0.3">
      <c r="A1544">
        <v>1543</v>
      </c>
      <c r="B1544">
        <v>591877.74382345995</v>
      </c>
      <c r="C1544">
        <v>0.81421900349664</v>
      </c>
      <c r="D1544">
        <v>0.161943649034096</v>
      </c>
      <c r="E1544">
        <v>0.47612941349520199</v>
      </c>
      <c r="F1544">
        <v>1</v>
      </c>
      <c r="G1544" t="s">
        <v>11</v>
      </c>
      <c r="H1544">
        <v>0</v>
      </c>
      <c r="I1544">
        <v>281810.40302752698</v>
      </c>
      <c r="J1544">
        <v>0.52387058650479701</v>
      </c>
      <c r="K1544" t="str">
        <f t="shared" si="192"/>
        <v>OK</v>
      </c>
      <c r="L1544" t="str">
        <f t="shared" si="193"/>
        <v>OK</v>
      </c>
      <c r="M1544" t="str">
        <f>IF(OR(B1544&lt;$AE$20,B1544&gt;$AF$20),"Outlier","OK")</f>
        <v>OK</v>
      </c>
      <c r="N1544" t="str">
        <f>IF(OR(J1544&lt;$AE$21,J1544&gt;$AF$21),"Outlier","OK")</f>
        <v>OK</v>
      </c>
      <c r="O1544" t="str">
        <f>IF(OR(C1544&lt;0,C1544&gt;1),"Outlier","OK")</f>
        <v>OK</v>
      </c>
      <c r="P1544" t="str">
        <f>IF(OR(D1544&lt;0,D1544&gt;1),"Outlier","OK")</f>
        <v>OK</v>
      </c>
      <c r="Q1544" t="str">
        <f t="shared" si="194"/>
        <v>40-60%</v>
      </c>
      <c r="R1544" t="str">
        <f>IF(B1544="","Missing","OK")</f>
        <v>OK</v>
      </c>
      <c r="S1544" t="str">
        <f>IF(E1544="","Missing","OK")</f>
        <v>OK</v>
      </c>
      <c r="T1544" t="str">
        <f t="shared" si="195"/>
        <v>OK</v>
      </c>
      <c r="U1544">
        <f>COUNTIF($A:$A,A1544)</f>
        <v>1</v>
      </c>
      <c r="V1544" t="str">
        <f t="shared" si="196"/>
        <v>OK</v>
      </c>
      <c r="W1544" t="str">
        <f>IF(I1544&gt;B1544,"ERROR","OK")</f>
        <v>OK</v>
      </c>
      <c r="X1544">
        <f>(B1544-I1544)/B1544</f>
        <v>0.52387058650479867</v>
      </c>
      <c r="Y1544" s="2">
        <f t="shared" si="197"/>
        <v>1.6653345369377348E-15</v>
      </c>
      <c r="Z1544" s="2" t="str">
        <f t="shared" si="198"/>
        <v>OK</v>
      </c>
      <c r="AA1544" t="str">
        <f t="shared" si="199"/>
        <v>Unique</v>
      </c>
    </row>
    <row r="1545" spans="1:27" x14ac:dyDescent="0.3">
      <c r="A1545">
        <v>1544</v>
      </c>
      <c r="B1545">
        <v>1737711.97238006</v>
      </c>
      <c r="C1545">
        <v>0.76254386685061504</v>
      </c>
      <c r="D1545">
        <v>0.14680490743984501</v>
      </c>
      <c r="E1545">
        <v>0.36921400126468401</v>
      </c>
      <c r="F1545">
        <v>1</v>
      </c>
      <c r="G1545" t="s">
        <v>12</v>
      </c>
      <c r="H1545">
        <v>0</v>
      </c>
      <c r="I1545">
        <v>641587.59036798996</v>
      </c>
      <c r="J1545">
        <v>0.63078599873531505</v>
      </c>
      <c r="K1545" t="str">
        <f t="shared" si="192"/>
        <v>OK</v>
      </c>
      <c r="L1545" t="str">
        <f t="shared" si="193"/>
        <v>OK</v>
      </c>
      <c r="M1545" t="str">
        <f>IF(OR(B1545&lt;$AE$20,B1545&gt;$AF$20),"Outlier","OK")</f>
        <v>OK</v>
      </c>
      <c r="N1545" t="str">
        <f>IF(OR(J1545&lt;$AE$21,J1545&gt;$AF$21),"Outlier","OK")</f>
        <v>OK</v>
      </c>
      <c r="O1545" t="str">
        <f>IF(OR(C1545&lt;0,C1545&gt;1),"Outlier","OK")</f>
        <v>OK</v>
      </c>
      <c r="P1545" t="str">
        <f>IF(OR(D1545&lt;0,D1545&gt;1),"Outlier","OK")</f>
        <v>OK</v>
      </c>
      <c r="Q1545" t="str">
        <f t="shared" si="194"/>
        <v>60-80%</v>
      </c>
      <c r="R1545" t="str">
        <f>IF(B1545="","Missing","OK")</f>
        <v>OK</v>
      </c>
      <c r="S1545" t="str">
        <f>IF(E1545="","Missing","OK")</f>
        <v>OK</v>
      </c>
      <c r="T1545" t="str">
        <f t="shared" si="195"/>
        <v>OK</v>
      </c>
      <c r="U1545">
        <f>COUNTIF($A:$A,A1545)</f>
        <v>1</v>
      </c>
      <c r="V1545" t="str">
        <f t="shared" si="196"/>
        <v>OK</v>
      </c>
      <c r="W1545" t="str">
        <f>IF(I1545&gt;B1545,"ERROR","OK")</f>
        <v>OK</v>
      </c>
      <c r="X1545">
        <f>(B1545-I1545)/B1545</f>
        <v>0.63078599873531493</v>
      </c>
      <c r="Y1545" s="2">
        <f t="shared" si="197"/>
        <v>1.1102230246251565E-16</v>
      </c>
      <c r="Z1545" s="2" t="str">
        <f t="shared" si="198"/>
        <v>OK</v>
      </c>
      <c r="AA1545" t="str">
        <f t="shared" si="199"/>
        <v>Unique</v>
      </c>
    </row>
    <row r="1546" spans="1:27" x14ac:dyDescent="0.3">
      <c r="A1546">
        <v>1545</v>
      </c>
      <c r="B1546">
        <v>621451.47761442803</v>
      </c>
      <c r="C1546">
        <v>0.64813109274580105</v>
      </c>
      <c r="D1546">
        <v>0.150988808028821</v>
      </c>
      <c r="E1546">
        <v>0.190914707637278</v>
      </c>
      <c r="F1546">
        <v>1</v>
      </c>
      <c r="G1546" t="s">
        <v>11</v>
      </c>
      <c r="H1546">
        <v>1</v>
      </c>
      <c r="I1546">
        <v>118644.227159513</v>
      </c>
      <c r="J1546">
        <v>0.80908529236272098</v>
      </c>
      <c r="K1546" t="str">
        <f t="shared" si="192"/>
        <v>OK</v>
      </c>
      <c r="L1546" t="str">
        <f t="shared" si="193"/>
        <v>OK</v>
      </c>
      <c r="M1546" t="str">
        <f>IF(OR(B1546&lt;$AE$20,B1546&gt;$AF$20),"Outlier","OK")</f>
        <v>OK</v>
      </c>
      <c r="N1546" t="str">
        <f>IF(OR(J1546&lt;$AE$21,J1546&gt;$AF$21),"Outlier","OK")</f>
        <v>OK</v>
      </c>
      <c r="O1546" t="str">
        <f>IF(OR(C1546&lt;0,C1546&gt;1),"Outlier","OK")</f>
        <v>OK</v>
      </c>
      <c r="P1546" t="str">
        <f>IF(OR(D1546&lt;0,D1546&gt;1),"Outlier","OK")</f>
        <v>OK</v>
      </c>
      <c r="Q1546" t="str">
        <f t="shared" si="194"/>
        <v>80-100%</v>
      </c>
      <c r="R1546" t="str">
        <f>IF(B1546="","Missing","OK")</f>
        <v>OK</v>
      </c>
      <c r="S1546" t="str">
        <f>IF(E1546="","Missing","OK")</f>
        <v>OK</v>
      </c>
      <c r="T1546" t="str">
        <f t="shared" si="195"/>
        <v>OK</v>
      </c>
      <c r="U1546">
        <f>COUNTIF($A:$A,A1546)</f>
        <v>1</v>
      </c>
      <c r="V1546" t="str">
        <f t="shared" si="196"/>
        <v>OK</v>
      </c>
      <c r="W1546" t="str">
        <f>IF(I1546&gt;B1546,"ERROR","OK")</f>
        <v>OK</v>
      </c>
      <c r="X1546">
        <f>(B1546-I1546)/B1546</f>
        <v>0.80908529236272198</v>
      </c>
      <c r="Y1546" s="2">
        <f t="shared" si="197"/>
        <v>9.9920072216264089E-16</v>
      </c>
      <c r="Z1546" s="2" t="str">
        <f t="shared" si="198"/>
        <v>OK</v>
      </c>
      <c r="AA1546" t="str">
        <f t="shared" si="199"/>
        <v>Unique</v>
      </c>
    </row>
    <row r="1547" spans="1:27" x14ac:dyDescent="0.3">
      <c r="A1547">
        <v>1546</v>
      </c>
      <c r="B1547">
        <v>730407.87216079596</v>
      </c>
      <c r="C1547">
        <v>0.73147117979432796</v>
      </c>
      <c r="D1547">
        <v>-0.101644233971061</v>
      </c>
      <c r="E1547">
        <v>0.29136252883829999</v>
      </c>
      <c r="F1547">
        <v>1</v>
      </c>
      <c r="G1547" t="s">
        <v>11</v>
      </c>
      <c r="H1547">
        <v>1</v>
      </c>
      <c r="I1547">
        <v>212813.48471617201</v>
      </c>
      <c r="J1547">
        <v>0.70863747116169895</v>
      </c>
      <c r="K1547" t="str">
        <f t="shared" si="192"/>
        <v>OK</v>
      </c>
      <c r="L1547" t="str">
        <f t="shared" si="193"/>
        <v>OK</v>
      </c>
      <c r="M1547" t="str">
        <f>IF(OR(B1547&lt;$AE$20,B1547&gt;$AF$20),"Outlier","OK")</f>
        <v>OK</v>
      </c>
      <c r="N1547" t="str">
        <f>IF(OR(J1547&lt;$AE$21,J1547&gt;$AF$21),"Outlier","OK")</f>
        <v>OK</v>
      </c>
      <c r="O1547" t="str">
        <f>IF(OR(C1547&lt;0,C1547&gt;1),"Outlier","OK")</f>
        <v>OK</v>
      </c>
      <c r="P1547" t="str">
        <f>IF(OR(D1547&lt;0,D1547&gt;1),"Outlier","OK")</f>
        <v>Outlier</v>
      </c>
      <c r="Q1547" t="str">
        <f t="shared" si="194"/>
        <v>60-80%</v>
      </c>
      <c r="R1547" t="str">
        <f>IF(B1547="","Missing","OK")</f>
        <v>OK</v>
      </c>
      <c r="S1547" t="str">
        <f>IF(E1547="","Missing","OK")</f>
        <v>OK</v>
      </c>
      <c r="T1547" t="str">
        <f t="shared" si="195"/>
        <v>OK</v>
      </c>
      <c r="U1547">
        <f>COUNTIF($A:$A,A1547)</f>
        <v>1</v>
      </c>
      <c r="V1547" t="str">
        <f t="shared" si="196"/>
        <v>OK</v>
      </c>
      <c r="W1547" t="str">
        <f>IF(I1547&gt;B1547,"ERROR","OK")</f>
        <v>OK</v>
      </c>
      <c r="X1547">
        <f>(B1547-I1547)/B1547</f>
        <v>0.70863747116169895</v>
      </c>
      <c r="Y1547" s="2">
        <f t="shared" si="197"/>
        <v>0</v>
      </c>
      <c r="Z1547" s="2" t="str">
        <f t="shared" si="198"/>
        <v>OK</v>
      </c>
      <c r="AA1547" t="str">
        <f t="shared" si="199"/>
        <v>Unique</v>
      </c>
    </row>
    <row r="1548" spans="1:27" x14ac:dyDescent="0.3">
      <c r="A1548">
        <v>1547</v>
      </c>
      <c r="B1548">
        <v>1581614.7201972001</v>
      </c>
      <c r="C1548">
        <v>0.35747342491301998</v>
      </c>
      <c r="D1548">
        <v>5.32484885408935E-2</v>
      </c>
      <c r="E1548">
        <v>8.0374182420778997E-2</v>
      </c>
      <c r="F1548">
        <v>1</v>
      </c>
      <c r="G1548" t="s">
        <v>13</v>
      </c>
      <c r="H1548">
        <v>0</v>
      </c>
      <c r="I1548">
        <v>127120.990040519</v>
      </c>
      <c r="J1548">
        <v>0.91962581757922002</v>
      </c>
      <c r="K1548" t="str">
        <f t="shared" si="192"/>
        <v>OK</v>
      </c>
      <c r="L1548" t="str">
        <f t="shared" si="193"/>
        <v>OK</v>
      </c>
      <c r="M1548" t="str">
        <f>IF(OR(B1548&lt;$AE$20,B1548&gt;$AF$20),"Outlier","OK")</f>
        <v>OK</v>
      </c>
      <c r="N1548" t="str">
        <f>IF(OR(J1548&lt;$AE$21,J1548&gt;$AF$21),"Outlier","OK")</f>
        <v>OK</v>
      </c>
      <c r="O1548" t="str">
        <f>IF(OR(C1548&lt;0,C1548&gt;1),"Outlier","OK")</f>
        <v>OK</v>
      </c>
      <c r="P1548" t="str">
        <f>IF(OR(D1548&lt;0,D1548&gt;1),"Outlier","OK")</f>
        <v>OK</v>
      </c>
      <c r="Q1548" t="str">
        <f t="shared" si="194"/>
        <v>80-100%</v>
      </c>
      <c r="R1548" t="str">
        <f>IF(B1548="","Missing","OK")</f>
        <v>OK</v>
      </c>
      <c r="S1548" t="str">
        <f>IF(E1548="","Missing","OK")</f>
        <v>OK</v>
      </c>
      <c r="T1548" t="str">
        <f t="shared" si="195"/>
        <v>OK</v>
      </c>
      <c r="U1548">
        <f>COUNTIF($A:$A,A1548)</f>
        <v>1</v>
      </c>
      <c r="V1548" t="str">
        <f t="shared" si="196"/>
        <v>OK</v>
      </c>
      <c r="W1548" t="str">
        <f>IF(I1548&gt;B1548,"ERROR","OK")</f>
        <v>OK</v>
      </c>
      <c r="X1548">
        <f>(B1548-I1548)/B1548</f>
        <v>0.91962581757922102</v>
      </c>
      <c r="Y1548" s="2">
        <f t="shared" si="197"/>
        <v>9.9920072216264089E-16</v>
      </c>
      <c r="Z1548" s="2" t="str">
        <f t="shared" si="198"/>
        <v>OK</v>
      </c>
      <c r="AA1548" t="str">
        <f t="shared" si="199"/>
        <v>Unique</v>
      </c>
    </row>
    <row r="1549" spans="1:27" x14ac:dyDescent="0.3">
      <c r="A1549">
        <v>1548</v>
      </c>
      <c r="B1549">
        <v>317793.69151717197</v>
      </c>
      <c r="C1549">
        <v>0.419969164770992</v>
      </c>
      <c r="D1549">
        <v>0.13903038448649299</v>
      </c>
      <c r="E1549">
        <v>1.0042278082308001E-2</v>
      </c>
      <c r="F1549">
        <v>1</v>
      </c>
      <c r="G1549" t="s">
        <v>10</v>
      </c>
      <c r="H1549">
        <v>1</v>
      </c>
      <c r="I1549">
        <v>3191.3726230186599</v>
      </c>
      <c r="J1549">
        <v>0.98995772191769105</v>
      </c>
      <c r="K1549" t="str">
        <f t="shared" si="192"/>
        <v>OK</v>
      </c>
      <c r="L1549" t="str">
        <f t="shared" si="193"/>
        <v>OK</v>
      </c>
      <c r="M1549" t="str">
        <f>IF(OR(B1549&lt;$AE$20,B1549&gt;$AF$20),"Outlier","OK")</f>
        <v>OK</v>
      </c>
      <c r="N1549" t="str">
        <f>IF(OR(J1549&lt;$AE$21,J1549&gt;$AF$21),"Outlier","OK")</f>
        <v>Outlier</v>
      </c>
      <c r="O1549" t="str">
        <f>IF(OR(C1549&lt;0,C1549&gt;1),"Outlier","OK")</f>
        <v>OK</v>
      </c>
      <c r="P1549" t="str">
        <f>IF(OR(D1549&lt;0,D1549&gt;1),"Outlier","OK")</f>
        <v>OK</v>
      </c>
      <c r="Q1549" t="str">
        <f t="shared" si="194"/>
        <v>80-100%</v>
      </c>
      <c r="R1549" t="str">
        <f>IF(B1549="","Missing","OK")</f>
        <v>OK</v>
      </c>
      <c r="S1549" t="str">
        <f>IF(E1549="","Missing","OK")</f>
        <v>OK</v>
      </c>
      <c r="T1549" t="str">
        <f t="shared" si="195"/>
        <v>OK</v>
      </c>
      <c r="U1549">
        <f>COUNTIF($A:$A,A1549)</f>
        <v>1</v>
      </c>
      <c r="V1549" t="str">
        <f t="shared" si="196"/>
        <v>OK</v>
      </c>
      <c r="W1549" t="str">
        <f>IF(I1549&gt;B1549,"ERROR","OK")</f>
        <v>OK</v>
      </c>
      <c r="X1549">
        <f>(B1549-I1549)/B1549</f>
        <v>0.98995772191769182</v>
      </c>
      <c r="Y1549" s="2">
        <f t="shared" si="197"/>
        <v>7.7715611723760958E-16</v>
      </c>
      <c r="Z1549" s="2" t="str">
        <f t="shared" si="198"/>
        <v>OK</v>
      </c>
      <c r="AA1549" t="str">
        <f t="shared" si="199"/>
        <v>Unique</v>
      </c>
    </row>
    <row r="1550" spans="1:27" x14ac:dyDescent="0.3">
      <c r="A1550">
        <v>1549</v>
      </c>
      <c r="B1550">
        <v>170524.767221488</v>
      </c>
      <c r="C1550">
        <v>0.47938968503753998</v>
      </c>
      <c r="D1550">
        <v>6.9055866883983894E-2</v>
      </c>
      <c r="E1550">
        <v>0.22104148205358901</v>
      </c>
      <c r="F1550">
        <v>1</v>
      </c>
      <c r="G1550" t="s">
        <v>10</v>
      </c>
      <c r="H1550">
        <v>0</v>
      </c>
      <c r="I1550">
        <v>37693.047273481097</v>
      </c>
      <c r="J1550">
        <v>0.77895851794641002</v>
      </c>
      <c r="K1550" t="str">
        <f t="shared" si="192"/>
        <v>OK</v>
      </c>
      <c r="L1550" t="str">
        <f t="shared" si="193"/>
        <v>OK</v>
      </c>
      <c r="M1550" t="str">
        <f>IF(OR(B1550&lt;$AE$20,B1550&gt;$AF$20),"Outlier","OK")</f>
        <v>OK</v>
      </c>
      <c r="N1550" t="str">
        <f>IF(OR(J1550&lt;$AE$21,J1550&gt;$AF$21),"Outlier","OK")</f>
        <v>OK</v>
      </c>
      <c r="O1550" t="str">
        <f>IF(OR(C1550&lt;0,C1550&gt;1),"Outlier","OK")</f>
        <v>OK</v>
      </c>
      <c r="P1550" t="str">
        <f>IF(OR(D1550&lt;0,D1550&gt;1),"Outlier","OK")</f>
        <v>OK</v>
      </c>
      <c r="Q1550" t="str">
        <f t="shared" si="194"/>
        <v>60-80%</v>
      </c>
      <c r="R1550" t="str">
        <f>IF(B1550="","Missing","OK")</f>
        <v>OK</v>
      </c>
      <c r="S1550" t="str">
        <f>IF(E1550="","Missing","OK")</f>
        <v>OK</v>
      </c>
      <c r="T1550" t="str">
        <f t="shared" si="195"/>
        <v>OK</v>
      </c>
      <c r="U1550">
        <f>COUNTIF($A:$A,A1550)</f>
        <v>1</v>
      </c>
      <c r="V1550" t="str">
        <f t="shared" si="196"/>
        <v>OK</v>
      </c>
      <c r="W1550" t="str">
        <f>IF(I1550&gt;B1550,"ERROR","OK")</f>
        <v>OK</v>
      </c>
      <c r="X1550">
        <f>(B1550-I1550)/B1550</f>
        <v>0.77895851794641036</v>
      </c>
      <c r="Y1550" s="2">
        <f t="shared" si="197"/>
        <v>3.3306690738754696E-16</v>
      </c>
      <c r="Z1550" s="2" t="str">
        <f t="shared" si="198"/>
        <v>OK</v>
      </c>
      <c r="AA1550" t="str">
        <f t="shared" si="199"/>
        <v>Unique</v>
      </c>
    </row>
    <row r="1551" spans="1:27" x14ac:dyDescent="0.3">
      <c r="A1551">
        <v>1550</v>
      </c>
      <c r="B1551">
        <v>803933.57042547595</v>
      </c>
      <c r="C1551">
        <v>0.421848956356426</v>
      </c>
      <c r="D1551">
        <v>-9.2900659963813706E-2</v>
      </c>
      <c r="E1551">
        <v>0.24414354421516701</v>
      </c>
      <c r="F1551">
        <v>1</v>
      </c>
      <c r="G1551" t="s">
        <v>13</v>
      </c>
      <c r="H1551">
        <v>0</v>
      </c>
      <c r="I1551">
        <v>196275.191197229</v>
      </c>
      <c r="J1551">
        <v>0.75585645578483196</v>
      </c>
      <c r="K1551" t="str">
        <f t="shared" si="192"/>
        <v>OK</v>
      </c>
      <c r="L1551" t="str">
        <f t="shared" si="193"/>
        <v>OK</v>
      </c>
      <c r="M1551" t="str">
        <f>IF(OR(B1551&lt;$AE$20,B1551&gt;$AF$20),"Outlier","OK")</f>
        <v>OK</v>
      </c>
      <c r="N1551" t="str">
        <f>IF(OR(J1551&lt;$AE$21,J1551&gt;$AF$21),"Outlier","OK")</f>
        <v>OK</v>
      </c>
      <c r="O1551" t="str">
        <f>IF(OR(C1551&lt;0,C1551&gt;1),"Outlier","OK")</f>
        <v>OK</v>
      </c>
      <c r="P1551" t="str">
        <f>IF(OR(D1551&lt;0,D1551&gt;1),"Outlier","OK")</f>
        <v>Outlier</v>
      </c>
      <c r="Q1551" t="str">
        <f t="shared" si="194"/>
        <v>60-80%</v>
      </c>
      <c r="R1551" t="str">
        <f>IF(B1551="","Missing","OK")</f>
        <v>OK</v>
      </c>
      <c r="S1551" t="str">
        <f>IF(E1551="","Missing","OK")</f>
        <v>OK</v>
      </c>
      <c r="T1551" t="str">
        <f t="shared" si="195"/>
        <v>OK</v>
      </c>
      <c r="U1551">
        <f>COUNTIF($A:$A,A1551)</f>
        <v>1</v>
      </c>
      <c r="V1551" t="str">
        <f t="shared" si="196"/>
        <v>OK</v>
      </c>
      <c r="W1551" t="str">
        <f>IF(I1551&gt;B1551,"ERROR","OK")</f>
        <v>OK</v>
      </c>
      <c r="X1551">
        <f>(B1551-I1551)/B1551</f>
        <v>0.7558564557848334</v>
      </c>
      <c r="Y1551" s="2">
        <f t="shared" si="197"/>
        <v>1.4432899320127035E-15</v>
      </c>
      <c r="Z1551" s="2" t="str">
        <f t="shared" si="198"/>
        <v>OK</v>
      </c>
      <c r="AA1551" t="str">
        <f t="shared" si="199"/>
        <v>Unique</v>
      </c>
    </row>
    <row r="1552" spans="1:27" x14ac:dyDescent="0.3">
      <c r="A1552">
        <v>1551</v>
      </c>
      <c r="B1552">
        <v>302882.28010068298</v>
      </c>
      <c r="C1552">
        <v>0.58537537408352303</v>
      </c>
      <c r="D1552">
        <v>-3.8329813953333097E-2</v>
      </c>
      <c r="E1552">
        <v>0.50395795261465004</v>
      </c>
      <c r="F1552">
        <v>1</v>
      </c>
      <c r="G1552" t="s">
        <v>12</v>
      </c>
      <c r="H1552">
        <v>0</v>
      </c>
      <c r="I1552">
        <v>152639.93376279701</v>
      </c>
      <c r="J1552">
        <v>0.49604204738534902</v>
      </c>
      <c r="K1552" t="str">
        <f t="shared" si="192"/>
        <v>OK</v>
      </c>
      <c r="L1552" t="str">
        <f t="shared" si="193"/>
        <v>OK</v>
      </c>
      <c r="M1552" t="str">
        <f>IF(OR(B1552&lt;$AE$20,B1552&gt;$AF$20),"Outlier","OK")</f>
        <v>OK</v>
      </c>
      <c r="N1552" t="str">
        <f>IF(OR(J1552&lt;$AE$21,J1552&gt;$AF$21),"Outlier","OK")</f>
        <v>OK</v>
      </c>
      <c r="O1552" t="str">
        <f>IF(OR(C1552&lt;0,C1552&gt;1),"Outlier","OK")</f>
        <v>OK</v>
      </c>
      <c r="P1552" t="str">
        <f>IF(OR(D1552&lt;0,D1552&gt;1),"Outlier","OK")</f>
        <v>Outlier</v>
      </c>
      <c r="Q1552" t="str">
        <f t="shared" si="194"/>
        <v>40-60%</v>
      </c>
      <c r="R1552" t="str">
        <f>IF(B1552="","Missing","OK")</f>
        <v>OK</v>
      </c>
      <c r="S1552" t="str">
        <f>IF(E1552="","Missing","OK")</f>
        <v>OK</v>
      </c>
      <c r="T1552" t="str">
        <f t="shared" si="195"/>
        <v>OK</v>
      </c>
      <c r="U1552">
        <f>COUNTIF($A:$A,A1552)</f>
        <v>1</v>
      </c>
      <c r="V1552" t="str">
        <f t="shared" si="196"/>
        <v>OK</v>
      </c>
      <c r="W1552" t="str">
        <f>IF(I1552&gt;B1552,"ERROR","OK")</f>
        <v>OK</v>
      </c>
      <c r="X1552">
        <f>(B1552-I1552)/B1552</f>
        <v>0.49604204738535046</v>
      </c>
      <c r="Y1552" s="2">
        <f t="shared" si="197"/>
        <v>1.4432899320127035E-15</v>
      </c>
      <c r="Z1552" s="2" t="str">
        <f t="shared" si="198"/>
        <v>OK</v>
      </c>
      <c r="AA1552" t="str">
        <f t="shared" si="199"/>
        <v>Unique</v>
      </c>
    </row>
    <row r="1553" spans="1:27" x14ac:dyDescent="0.3">
      <c r="A1553">
        <v>1552</v>
      </c>
      <c r="B1553">
        <v>205127.87308996901</v>
      </c>
      <c r="C1553">
        <v>0.269959878487949</v>
      </c>
      <c r="D1553">
        <v>-1.13324795631138E-2</v>
      </c>
      <c r="E1553">
        <v>0.32717881946535998</v>
      </c>
      <c r="F1553">
        <v>1</v>
      </c>
      <c r="G1553" t="s">
        <v>13</v>
      </c>
      <c r="H1553">
        <v>1</v>
      </c>
      <c r="I1553">
        <v>67113.495357016596</v>
      </c>
      <c r="J1553">
        <v>0.67282118053463902</v>
      </c>
      <c r="K1553" t="str">
        <f t="shared" si="192"/>
        <v>OK</v>
      </c>
      <c r="L1553" t="str">
        <f t="shared" si="193"/>
        <v>OK</v>
      </c>
      <c r="M1553" t="str">
        <f>IF(OR(B1553&lt;$AE$20,B1553&gt;$AF$20),"Outlier","OK")</f>
        <v>OK</v>
      </c>
      <c r="N1553" t="str">
        <f>IF(OR(J1553&lt;$AE$21,J1553&gt;$AF$21),"Outlier","OK")</f>
        <v>OK</v>
      </c>
      <c r="O1553" t="str">
        <f>IF(OR(C1553&lt;0,C1553&gt;1),"Outlier","OK")</f>
        <v>OK</v>
      </c>
      <c r="P1553" t="str">
        <f>IF(OR(D1553&lt;0,D1553&gt;1),"Outlier","OK")</f>
        <v>Outlier</v>
      </c>
      <c r="Q1553" t="str">
        <f t="shared" si="194"/>
        <v>60-80%</v>
      </c>
      <c r="R1553" t="str">
        <f>IF(B1553="","Missing","OK")</f>
        <v>OK</v>
      </c>
      <c r="S1553" t="str">
        <f>IF(E1553="","Missing","OK")</f>
        <v>OK</v>
      </c>
      <c r="T1553" t="str">
        <f t="shared" si="195"/>
        <v>OK</v>
      </c>
      <c r="U1553">
        <f>COUNTIF($A:$A,A1553)</f>
        <v>1</v>
      </c>
      <c r="V1553" t="str">
        <f t="shared" si="196"/>
        <v>OK</v>
      </c>
      <c r="W1553" t="str">
        <f>IF(I1553&gt;B1553,"ERROR","OK")</f>
        <v>OK</v>
      </c>
      <c r="X1553">
        <f>(B1553-I1553)/B1553</f>
        <v>0.67282118053463835</v>
      </c>
      <c r="Y1553" s="2">
        <f t="shared" si="197"/>
        <v>6.6613381477509392E-16</v>
      </c>
      <c r="Z1553" s="2" t="str">
        <f t="shared" si="198"/>
        <v>OK</v>
      </c>
      <c r="AA1553" t="str">
        <f t="shared" si="199"/>
        <v>Unique</v>
      </c>
    </row>
    <row r="1554" spans="1:27" x14ac:dyDescent="0.3">
      <c r="A1554">
        <v>1553</v>
      </c>
      <c r="B1554">
        <v>1198019.6394203701</v>
      </c>
      <c r="C1554">
        <v>0.72289025002707097</v>
      </c>
      <c r="D1554">
        <v>-0.192759426725952</v>
      </c>
      <c r="E1554">
        <v>0.41874108331182702</v>
      </c>
      <c r="F1554">
        <v>1</v>
      </c>
      <c r="G1554" t="s">
        <v>11</v>
      </c>
      <c r="H1554">
        <v>0</v>
      </c>
      <c r="I1554">
        <v>501660.041639734</v>
      </c>
      <c r="J1554">
        <v>0.58125891668817198</v>
      </c>
      <c r="K1554" t="str">
        <f t="shared" si="192"/>
        <v>OK</v>
      </c>
      <c r="L1554" t="str">
        <f t="shared" si="193"/>
        <v>OK</v>
      </c>
      <c r="M1554" t="str">
        <f>IF(OR(B1554&lt;$AE$20,B1554&gt;$AF$20),"Outlier","OK")</f>
        <v>OK</v>
      </c>
      <c r="N1554" t="str">
        <f>IF(OR(J1554&lt;$AE$21,J1554&gt;$AF$21),"Outlier","OK")</f>
        <v>OK</v>
      </c>
      <c r="O1554" t="str">
        <f>IF(OR(C1554&lt;0,C1554&gt;1),"Outlier","OK")</f>
        <v>OK</v>
      </c>
      <c r="P1554" t="str">
        <f>IF(OR(D1554&lt;0,D1554&gt;1),"Outlier","OK")</f>
        <v>Outlier</v>
      </c>
      <c r="Q1554" t="str">
        <f t="shared" si="194"/>
        <v>40-60%</v>
      </c>
      <c r="R1554" t="str">
        <f>IF(B1554="","Missing","OK")</f>
        <v>OK</v>
      </c>
      <c r="S1554" t="str">
        <f>IF(E1554="","Missing","OK")</f>
        <v>OK</v>
      </c>
      <c r="T1554" t="str">
        <f t="shared" si="195"/>
        <v>OK</v>
      </c>
      <c r="U1554">
        <f>COUNTIF($A:$A,A1554)</f>
        <v>1</v>
      </c>
      <c r="V1554" t="str">
        <f t="shared" si="196"/>
        <v>OK</v>
      </c>
      <c r="W1554" t="str">
        <f>IF(I1554&gt;B1554,"ERROR","OK")</f>
        <v>OK</v>
      </c>
      <c r="X1554">
        <f>(B1554-I1554)/B1554</f>
        <v>0.58125891668816976</v>
      </c>
      <c r="Y1554" s="2">
        <f t="shared" si="197"/>
        <v>2.2204460492503131E-15</v>
      </c>
      <c r="Z1554" s="2" t="str">
        <f t="shared" si="198"/>
        <v>OK</v>
      </c>
      <c r="AA1554" t="str">
        <f t="shared" si="199"/>
        <v>Unique</v>
      </c>
    </row>
    <row r="1555" spans="1:27" x14ac:dyDescent="0.3">
      <c r="A1555">
        <v>1554</v>
      </c>
      <c r="B1555">
        <v>408750.75358890399</v>
      </c>
      <c r="C1555">
        <v>0.76103133380400201</v>
      </c>
      <c r="D1555">
        <v>-0.12859941992582499</v>
      </c>
      <c r="E1555">
        <v>0.40165645235411201</v>
      </c>
      <c r="F1555">
        <v>1</v>
      </c>
      <c r="G1555" t="s">
        <v>11</v>
      </c>
      <c r="H1555">
        <v>0</v>
      </c>
      <c r="I1555">
        <v>164177.377583589</v>
      </c>
      <c r="J1555">
        <v>0.59834354764588704</v>
      </c>
      <c r="K1555" t="str">
        <f t="shared" si="192"/>
        <v>OK</v>
      </c>
      <c r="L1555" t="str">
        <f t="shared" si="193"/>
        <v>OK</v>
      </c>
      <c r="M1555" t="str">
        <f>IF(OR(B1555&lt;$AE$20,B1555&gt;$AF$20),"Outlier","OK")</f>
        <v>OK</v>
      </c>
      <c r="N1555" t="str">
        <f>IF(OR(J1555&lt;$AE$21,J1555&gt;$AF$21),"Outlier","OK")</f>
        <v>OK</v>
      </c>
      <c r="O1555" t="str">
        <f>IF(OR(C1555&lt;0,C1555&gt;1),"Outlier","OK")</f>
        <v>OK</v>
      </c>
      <c r="P1555" t="str">
        <f>IF(OR(D1555&lt;0,D1555&gt;1),"Outlier","OK")</f>
        <v>Outlier</v>
      </c>
      <c r="Q1555" t="str">
        <f t="shared" si="194"/>
        <v>40-60%</v>
      </c>
      <c r="R1555" t="str">
        <f>IF(B1555="","Missing","OK")</f>
        <v>OK</v>
      </c>
      <c r="S1555" t="str">
        <f>IF(E1555="","Missing","OK")</f>
        <v>OK</v>
      </c>
      <c r="T1555" t="str">
        <f t="shared" si="195"/>
        <v>OK</v>
      </c>
      <c r="U1555">
        <f>COUNTIF($A:$A,A1555)</f>
        <v>1</v>
      </c>
      <c r="V1555" t="str">
        <f t="shared" si="196"/>
        <v>OK</v>
      </c>
      <c r="W1555" t="str">
        <f>IF(I1555&gt;B1555,"ERROR","OK")</f>
        <v>OK</v>
      </c>
      <c r="X1555">
        <f>(B1555-I1555)/B1555</f>
        <v>0.59834354764588793</v>
      </c>
      <c r="Y1555" s="2">
        <f t="shared" si="197"/>
        <v>8.8817841970012523E-16</v>
      </c>
      <c r="Z1555" s="2" t="str">
        <f t="shared" si="198"/>
        <v>OK</v>
      </c>
      <c r="AA1555" t="str">
        <f t="shared" si="199"/>
        <v>Unique</v>
      </c>
    </row>
    <row r="1556" spans="1:27" x14ac:dyDescent="0.3">
      <c r="A1556">
        <v>1555</v>
      </c>
      <c r="B1556">
        <v>636757.51450093999</v>
      </c>
      <c r="C1556">
        <v>0.40451417426109398</v>
      </c>
      <c r="D1556">
        <v>-7.0227128987675302E-2</v>
      </c>
      <c r="E1556">
        <v>0.331573723627964</v>
      </c>
      <c r="F1556">
        <v>1</v>
      </c>
      <c r="G1556" t="s">
        <v>13</v>
      </c>
      <c r="H1556">
        <v>1</v>
      </c>
      <c r="I1556">
        <v>211132.06013116401</v>
      </c>
      <c r="J1556">
        <v>0.668426276372035</v>
      </c>
      <c r="K1556" t="str">
        <f t="shared" si="192"/>
        <v>OK</v>
      </c>
      <c r="L1556" t="str">
        <f t="shared" si="193"/>
        <v>OK</v>
      </c>
      <c r="M1556" t="str">
        <f>IF(OR(B1556&lt;$AE$20,B1556&gt;$AF$20),"Outlier","OK")</f>
        <v>OK</v>
      </c>
      <c r="N1556" t="str">
        <f>IF(OR(J1556&lt;$AE$21,J1556&gt;$AF$21),"Outlier","OK")</f>
        <v>OK</v>
      </c>
      <c r="O1556" t="str">
        <f>IF(OR(C1556&lt;0,C1556&gt;1),"Outlier","OK")</f>
        <v>OK</v>
      </c>
      <c r="P1556" t="str">
        <f>IF(OR(D1556&lt;0,D1556&gt;1),"Outlier","OK")</f>
        <v>Outlier</v>
      </c>
      <c r="Q1556" t="str">
        <f t="shared" si="194"/>
        <v>60-80%</v>
      </c>
      <c r="R1556" t="str">
        <f>IF(B1556="","Missing","OK")</f>
        <v>OK</v>
      </c>
      <c r="S1556" t="str">
        <f>IF(E1556="","Missing","OK")</f>
        <v>OK</v>
      </c>
      <c r="T1556" t="str">
        <f t="shared" si="195"/>
        <v>OK</v>
      </c>
      <c r="U1556">
        <f>COUNTIF($A:$A,A1556)</f>
        <v>1</v>
      </c>
      <c r="V1556" t="str">
        <f t="shared" si="196"/>
        <v>OK</v>
      </c>
      <c r="W1556" t="str">
        <f>IF(I1556&gt;B1556,"ERROR","OK")</f>
        <v>OK</v>
      </c>
      <c r="X1556">
        <f>(B1556-I1556)/B1556</f>
        <v>0.66842627637203589</v>
      </c>
      <c r="Y1556" s="2">
        <f t="shared" si="197"/>
        <v>8.8817841970012523E-16</v>
      </c>
      <c r="Z1556" s="2" t="str">
        <f t="shared" si="198"/>
        <v>OK</v>
      </c>
      <c r="AA1556" t="str">
        <f t="shared" si="199"/>
        <v>Unique</v>
      </c>
    </row>
    <row r="1557" spans="1:27" x14ac:dyDescent="0.3">
      <c r="A1557">
        <v>1556</v>
      </c>
      <c r="B1557">
        <v>1471722.70481712</v>
      </c>
      <c r="C1557">
        <v>0.61261761963178196</v>
      </c>
      <c r="D1557">
        <v>5.9870151110431202E-2</v>
      </c>
      <c r="E1557">
        <v>0.11754905603329199</v>
      </c>
      <c r="F1557">
        <v>1</v>
      </c>
      <c r="G1557" t="s">
        <v>10</v>
      </c>
      <c r="H1557">
        <v>1</v>
      </c>
      <c r="I1557">
        <v>172999.614694016</v>
      </c>
      <c r="J1557">
        <v>0.88245094396670798</v>
      </c>
      <c r="K1557" t="str">
        <f t="shared" si="192"/>
        <v>OK</v>
      </c>
      <c r="L1557" t="str">
        <f t="shared" si="193"/>
        <v>OK</v>
      </c>
      <c r="M1557" t="str">
        <f>IF(OR(B1557&lt;$AE$20,B1557&gt;$AF$20),"Outlier","OK")</f>
        <v>OK</v>
      </c>
      <c r="N1557" t="str">
        <f>IF(OR(J1557&lt;$AE$21,J1557&gt;$AF$21),"Outlier","OK")</f>
        <v>OK</v>
      </c>
      <c r="O1557" t="str">
        <f>IF(OR(C1557&lt;0,C1557&gt;1),"Outlier","OK")</f>
        <v>OK</v>
      </c>
      <c r="P1557" t="str">
        <f>IF(OR(D1557&lt;0,D1557&gt;1),"Outlier","OK")</f>
        <v>OK</v>
      </c>
      <c r="Q1557" t="str">
        <f t="shared" si="194"/>
        <v>80-100%</v>
      </c>
      <c r="R1557" t="str">
        <f>IF(B1557="","Missing","OK")</f>
        <v>OK</v>
      </c>
      <c r="S1557" t="str">
        <f>IF(E1557="","Missing","OK")</f>
        <v>OK</v>
      </c>
      <c r="T1557" t="str">
        <f t="shared" si="195"/>
        <v>OK</v>
      </c>
      <c r="U1557">
        <f>COUNTIF($A:$A,A1557)</f>
        <v>1</v>
      </c>
      <c r="V1557" t="str">
        <f t="shared" si="196"/>
        <v>OK</v>
      </c>
      <c r="W1557" t="str">
        <f>IF(I1557&gt;B1557,"ERROR","OK")</f>
        <v>OK</v>
      </c>
      <c r="X1557">
        <f>(B1557-I1557)/B1557</f>
        <v>0.88245094396670776</v>
      </c>
      <c r="Y1557" s="2">
        <f t="shared" si="197"/>
        <v>2.2204460492503131E-16</v>
      </c>
      <c r="Z1557" s="2" t="str">
        <f t="shared" si="198"/>
        <v>OK</v>
      </c>
      <c r="AA1557" t="str">
        <f t="shared" si="199"/>
        <v>Unique</v>
      </c>
    </row>
    <row r="1558" spans="1:27" x14ac:dyDescent="0.3">
      <c r="A1558">
        <v>1557</v>
      </c>
      <c r="B1558">
        <v>231341.65779770599</v>
      </c>
      <c r="C1558">
        <v>0.75914503202848205</v>
      </c>
      <c r="D1558">
        <v>8.5958538476744603E-2</v>
      </c>
      <c r="E1558">
        <v>0.154275039502588</v>
      </c>
      <c r="F1558">
        <v>1</v>
      </c>
      <c r="G1558" t="s">
        <v>11</v>
      </c>
      <c r="H1558">
        <v>0</v>
      </c>
      <c r="I1558">
        <v>35690.243395335499</v>
      </c>
      <c r="J1558">
        <v>0.84572496049741097</v>
      </c>
      <c r="K1558" t="str">
        <f t="shared" si="192"/>
        <v>OK</v>
      </c>
      <c r="L1558" t="str">
        <f t="shared" si="193"/>
        <v>OK</v>
      </c>
      <c r="M1558" t="str">
        <f>IF(OR(B1558&lt;$AE$20,B1558&gt;$AF$20),"Outlier","OK")</f>
        <v>OK</v>
      </c>
      <c r="N1558" t="str">
        <f>IF(OR(J1558&lt;$AE$21,J1558&gt;$AF$21),"Outlier","OK")</f>
        <v>OK</v>
      </c>
      <c r="O1558" t="str">
        <f>IF(OR(C1558&lt;0,C1558&gt;1),"Outlier","OK")</f>
        <v>OK</v>
      </c>
      <c r="P1558" t="str">
        <f>IF(OR(D1558&lt;0,D1558&gt;1),"Outlier","OK")</f>
        <v>OK</v>
      </c>
      <c r="Q1558" t="str">
        <f t="shared" si="194"/>
        <v>80-100%</v>
      </c>
      <c r="R1558" t="str">
        <f>IF(B1558="","Missing","OK")</f>
        <v>OK</v>
      </c>
      <c r="S1558" t="str">
        <f>IF(E1558="","Missing","OK")</f>
        <v>OK</v>
      </c>
      <c r="T1558" t="str">
        <f t="shared" si="195"/>
        <v>OK</v>
      </c>
      <c r="U1558">
        <f>COUNTIF($A:$A,A1558)</f>
        <v>1</v>
      </c>
      <c r="V1558" t="str">
        <f t="shared" si="196"/>
        <v>OK</v>
      </c>
      <c r="W1558" t="str">
        <f>IF(I1558&gt;B1558,"ERROR","OK")</f>
        <v>OK</v>
      </c>
      <c r="X1558">
        <f>(B1558-I1558)/B1558</f>
        <v>0.84572496049741108</v>
      </c>
      <c r="Y1558" s="2">
        <f t="shared" si="197"/>
        <v>1.1102230246251565E-16</v>
      </c>
      <c r="Z1558" s="2" t="str">
        <f t="shared" si="198"/>
        <v>OK</v>
      </c>
      <c r="AA1558" t="str">
        <f t="shared" si="199"/>
        <v>Unique</v>
      </c>
    </row>
    <row r="1559" spans="1:27" x14ac:dyDescent="0.3">
      <c r="A1559">
        <v>1558</v>
      </c>
      <c r="B1559">
        <v>1988238.0572372901</v>
      </c>
      <c r="C1559">
        <v>0.89707487335642</v>
      </c>
      <c r="D1559">
        <v>8.9251596140866002E-2</v>
      </c>
      <c r="E1559">
        <v>0.235553104383845</v>
      </c>
      <c r="F1559">
        <v>1</v>
      </c>
      <c r="G1559" t="s">
        <v>10</v>
      </c>
      <c r="H1559">
        <v>1</v>
      </c>
      <c r="I1559">
        <v>468335.64663635002</v>
      </c>
      <c r="J1559">
        <v>0.76444689561615498</v>
      </c>
      <c r="K1559" t="str">
        <f t="shared" si="192"/>
        <v>OK</v>
      </c>
      <c r="L1559" t="str">
        <f t="shared" si="193"/>
        <v>OK</v>
      </c>
      <c r="M1559" t="str">
        <f>IF(OR(B1559&lt;$AE$20,B1559&gt;$AF$20),"Outlier","OK")</f>
        <v>Outlier</v>
      </c>
      <c r="N1559" t="str">
        <f>IF(OR(J1559&lt;$AE$21,J1559&gt;$AF$21),"Outlier","OK")</f>
        <v>OK</v>
      </c>
      <c r="O1559" t="str">
        <f>IF(OR(C1559&lt;0,C1559&gt;1),"Outlier","OK")</f>
        <v>OK</v>
      </c>
      <c r="P1559" t="str">
        <f>IF(OR(D1559&lt;0,D1559&gt;1),"Outlier","OK")</f>
        <v>OK</v>
      </c>
      <c r="Q1559" t="str">
        <f t="shared" si="194"/>
        <v>60-80%</v>
      </c>
      <c r="R1559" t="str">
        <f>IF(B1559="","Missing","OK")</f>
        <v>OK</v>
      </c>
      <c r="S1559" t="str">
        <f>IF(E1559="","Missing","OK")</f>
        <v>OK</v>
      </c>
      <c r="T1559" t="str">
        <f t="shared" si="195"/>
        <v>OK</v>
      </c>
      <c r="U1559">
        <f>COUNTIF($A:$A,A1559)</f>
        <v>1</v>
      </c>
      <c r="V1559" t="str">
        <f t="shared" si="196"/>
        <v>OK</v>
      </c>
      <c r="W1559" t="str">
        <f>IF(I1559&gt;B1559,"ERROR","OK")</f>
        <v>OK</v>
      </c>
      <c r="X1559">
        <f>(B1559-I1559)/B1559</f>
        <v>0.7644468956161542</v>
      </c>
      <c r="Y1559" s="2">
        <f t="shared" si="197"/>
        <v>7.7715611723760958E-16</v>
      </c>
      <c r="Z1559" s="2" t="str">
        <f t="shared" si="198"/>
        <v>OK</v>
      </c>
      <c r="AA1559" t="str">
        <f t="shared" si="199"/>
        <v>Unique</v>
      </c>
    </row>
    <row r="1560" spans="1:27" x14ac:dyDescent="0.3">
      <c r="A1560">
        <v>1559</v>
      </c>
      <c r="B1560">
        <v>652075.50268675305</v>
      </c>
      <c r="C1560">
        <v>0.67242925094596895</v>
      </c>
      <c r="D1560">
        <v>0.146634315504133</v>
      </c>
      <c r="E1560">
        <v>0.25772162430206003</v>
      </c>
      <c r="F1560">
        <v>1</v>
      </c>
      <c r="G1560" t="s">
        <v>11</v>
      </c>
      <c r="H1560">
        <v>0</v>
      </c>
      <c r="I1560">
        <v>168053.957720012</v>
      </c>
      <c r="J1560">
        <v>0.74227837569793897</v>
      </c>
      <c r="K1560" t="str">
        <f t="shared" si="192"/>
        <v>OK</v>
      </c>
      <c r="L1560" t="str">
        <f t="shared" si="193"/>
        <v>OK</v>
      </c>
      <c r="M1560" t="str">
        <f>IF(OR(B1560&lt;$AE$20,B1560&gt;$AF$20),"Outlier","OK")</f>
        <v>OK</v>
      </c>
      <c r="N1560" t="str">
        <f>IF(OR(J1560&lt;$AE$21,J1560&gt;$AF$21),"Outlier","OK")</f>
        <v>OK</v>
      </c>
      <c r="O1560" t="str">
        <f>IF(OR(C1560&lt;0,C1560&gt;1),"Outlier","OK")</f>
        <v>OK</v>
      </c>
      <c r="P1560" t="str">
        <f>IF(OR(D1560&lt;0,D1560&gt;1),"Outlier","OK")</f>
        <v>OK</v>
      </c>
      <c r="Q1560" t="str">
        <f t="shared" si="194"/>
        <v>60-80%</v>
      </c>
      <c r="R1560" t="str">
        <f>IF(B1560="","Missing","OK")</f>
        <v>OK</v>
      </c>
      <c r="S1560" t="str">
        <f>IF(E1560="","Missing","OK")</f>
        <v>OK</v>
      </c>
      <c r="T1560" t="str">
        <f t="shared" si="195"/>
        <v>OK</v>
      </c>
      <c r="U1560">
        <f>COUNTIF($A:$A,A1560)</f>
        <v>1</v>
      </c>
      <c r="V1560" t="str">
        <f t="shared" si="196"/>
        <v>OK</v>
      </c>
      <c r="W1560" t="str">
        <f>IF(I1560&gt;B1560,"ERROR","OK")</f>
        <v>OK</v>
      </c>
      <c r="X1560">
        <f>(B1560-I1560)/B1560</f>
        <v>0.74227837569794042</v>
      </c>
      <c r="Y1560" s="2">
        <f t="shared" si="197"/>
        <v>1.4432899320127035E-15</v>
      </c>
      <c r="Z1560" s="2" t="str">
        <f t="shared" si="198"/>
        <v>OK</v>
      </c>
      <c r="AA1560" t="str">
        <f t="shared" si="199"/>
        <v>Unique</v>
      </c>
    </row>
    <row r="1561" spans="1:27" x14ac:dyDescent="0.3">
      <c r="A1561">
        <v>1560</v>
      </c>
      <c r="B1561">
        <v>1113977.0411063901</v>
      </c>
      <c r="C1561">
        <v>0.60954319929196199</v>
      </c>
      <c r="D1561">
        <v>-0.10552213148185199</v>
      </c>
      <c r="E1561">
        <v>0.30412750209460299</v>
      </c>
      <c r="F1561">
        <v>1</v>
      </c>
      <c r="G1561" t="s">
        <v>13</v>
      </c>
      <c r="H1561">
        <v>1</v>
      </c>
      <c r="I1561">
        <v>338791.05490242399</v>
      </c>
      <c r="J1561">
        <v>0.69587249790539596</v>
      </c>
      <c r="K1561" t="str">
        <f t="shared" si="192"/>
        <v>OK</v>
      </c>
      <c r="L1561" t="str">
        <f t="shared" si="193"/>
        <v>OK</v>
      </c>
      <c r="M1561" t="str">
        <f>IF(OR(B1561&lt;$AE$20,B1561&gt;$AF$20),"Outlier","OK")</f>
        <v>OK</v>
      </c>
      <c r="N1561" t="str">
        <f>IF(OR(J1561&lt;$AE$21,J1561&gt;$AF$21),"Outlier","OK")</f>
        <v>OK</v>
      </c>
      <c r="O1561" t="str">
        <f>IF(OR(C1561&lt;0,C1561&gt;1),"Outlier","OK")</f>
        <v>OK</v>
      </c>
      <c r="P1561" t="str">
        <f>IF(OR(D1561&lt;0,D1561&gt;1),"Outlier","OK")</f>
        <v>Outlier</v>
      </c>
      <c r="Q1561" t="str">
        <f t="shared" si="194"/>
        <v>60-80%</v>
      </c>
      <c r="R1561" t="str">
        <f>IF(B1561="","Missing","OK")</f>
        <v>OK</v>
      </c>
      <c r="S1561" t="str">
        <f>IF(E1561="","Missing","OK")</f>
        <v>OK</v>
      </c>
      <c r="T1561" t="str">
        <f t="shared" si="195"/>
        <v>OK</v>
      </c>
      <c r="U1561">
        <f>COUNTIF($A:$A,A1561)</f>
        <v>1</v>
      </c>
      <c r="V1561" t="str">
        <f t="shared" si="196"/>
        <v>OK</v>
      </c>
      <c r="W1561" t="str">
        <f>IF(I1561&gt;B1561,"ERROR","OK")</f>
        <v>OK</v>
      </c>
      <c r="X1561">
        <f>(B1561-I1561)/B1561</f>
        <v>0.6958724979053964</v>
      </c>
      <c r="Y1561" s="2">
        <f t="shared" si="197"/>
        <v>4.4408920985006262E-16</v>
      </c>
      <c r="Z1561" s="2" t="str">
        <f t="shared" si="198"/>
        <v>OK</v>
      </c>
      <c r="AA1561" t="str">
        <f t="shared" si="199"/>
        <v>Unique</v>
      </c>
    </row>
    <row r="1562" spans="1:27" x14ac:dyDescent="0.3">
      <c r="A1562">
        <v>1561</v>
      </c>
      <c r="B1562">
        <v>1594106.4887373799</v>
      </c>
      <c r="C1562">
        <v>0.47513421562904001</v>
      </c>
      <c r="D1562">
        <v>6.6540272529718794E-2</v>
      </c>
      <c r="E1562">
        <v>0.28515503533491598</v>
      </c>
      <c r="F1562">
        <v>1</v>
      </c>
      <c r="G1562" t="s">
        <v>11</v>
      </c>
      <c r="H1562">
        <v>0</v>
      </c>
      <c r="I1562">
        <v>454567.49212352902</v>
      </c>
      <c r="J1562">
        <v>0.71484496466508296</v>
      </c>
      <c r="K1562" t="str">
        <f t="shared" si="192"/>
        <v>OK</v>
      </c>
      <c r="L1562" t="str">
        <f t="shared" si="193"/>
        <v>OK</v>
      </c>
      <c r="M1562" t="str">
        <f>IF(OR(B1562&lt;$AE$20,B1562&gt;$AF$20),"Outlier","OK")</f>
        <v>OK</v>
      </c>
      <c r="N1562" t="str">
        <f>IF(OR(J1562&lt;$AE$21,J1562&gt;$AF$21),"Outlier","OK")</f>
        <v>OK</v>
      </c>
      <c r="O1562" t="str">
        <f>IF(OR(C1562&lt;0,C1562&gt;1),"Outlier","OK")</f>
        <v>OK</v>
      </c>
      <c r="P1562" t="str">
        <f>IF(OR(D1562&lt;0,D1562&gt;1),"Outlier","OK")</f>
        <v>OK</v>
      </c>
      <c r="Q1562" t="str">
        <f t="shared" si="194"/>
        <v>60-80%</v>
      </c>
      <c r="R1562" t="str">
        <f>IF(B1562="","Missing","OK")</f>
        <v>OK</v>
      </c>
      <c r="S1562" t="str">
        <f>IF(E1562="","Missing","OK")</f>
        <v>OK</v>
      </c>
      <c r="T1562" t="str">
        <f t="shared" si="195"/>
        <v>OK</v>
      </c>
      <c r="U1562">
        <f>COUNTIF($A:$A,A1562)</f>
        <v>1</v>
      </c>
      <c r="V1562" t="str">
        <f t="shared" si="196"/>
        <v>OK</v>
      </c>
      <c r="W1562" t="str">
        <f>IF(I1562&gt;B1562,"ERROR","OK")</f>
        <v>OK</v>
      </c>
      <c r="X1562">
        <f>(B1562-I1562)/B1562</f>
        <v>0.71484496466508229</v>
      </c>
      <c r="Y1562" s="2">
        <f t="shared" si="197"/>
        <v>6.6613381477509392E-16</v>
      </c>
      <c r="Z1562" s="2" t="str">
        <f t="shared" si="198"/>
        <v>OK</v>
      </c>
      <c r="AA1562" t="str">
        <f t="shared" si="199"/>
        <v>Unique</v>
      </c>
    </row>
    <row r="1563" spans="1:27" x14ac:dyDescent="0.3">
      <c r="A1563">
        <v>1562</v>
      </c>
      <c r="B1563">
        <v>512162.66984386399</v>
      </c>
      <c r="C1563">
        <v>0.428244834792883</v>
      </c>
      <c r="D1563">
        <v>-0.196206021075544</v>
      </c>
      <c r="E1563">
        <v>0.330850308149851</v>
      </c>
      <c r="F1563">
        <v>1</v>
      </c>
      <c r="G1563" t="s">
        <v>10</v>
      </c>
      <c r="H1563">
        <v>1</v>
      </c>
      <c r="I1563">
        <v>169449.17714069199</v>
      </c>
      <c r="J1563">
        <v>0.66914969185014805</v>
      </c>
      <c r="K1563" t="str">
        <f t="shared" si="192"/>
        <v>OK</v>
      </c>
      <c r="L1563" t="str">
        <f t="shared" si="193"/>
        <v>OK</v>
      </c>
      <c r="M1563" t="str">
        <f>IF(OR(B1563&lt;$AE$20,B1563&gt;$AF$20),"Outlier","OK")</f>
        <v>OK</v>
      </c>
      <c r="N1563" t="str">
        <f>IF(OR(J1563&lt;$AE$21,J1563&gt;$AF$21),"Outlier","OK")</f>
        <v>OK</v>
      </c>
      <c r="O1563" t="str">
        <f>IF(OR(C1563&lt;0,C1563&gt;1),"Outlier","OK")</f>
        <v>OK</v>
      </c>
      <c r="P1563" t="str">
        <f>IF(OR(D1563&lt;0,D1563&gt;1),"Outlier","OK")</f>
        <v>Outlier</v>
      </c>
      <c r="Q1563" t="str">
        <f t="shared" si="194"/>
        <v>60-80%</v>
      </c>
      <c r="R1563" t="str">
        <f>IF(B1563="","Missing","OK")</f>
        <v>OK</v>
      </c>
      <c r="S1563" t="str">
        <f>IF(E1563="","Missing","OK")</f>
        <v>OK</v>
      </c>
      <c r="T1563" t="str">
        <f t="shared" si="195"/>
        <v>OK</v>
      </c>
      <c r="U1563">
        <f>COUNTIF($A:$A,A1563)</f>
        <v>1</v>
      </c>
      <c r="V1563" t="str">
        <f t="shared" si="196"/>
        <v>OK</v>
      </c>
      <c r="W1563" t="str">
        <f>IF(I1563&gt;B1563,"ERROR","OK")</f>
        <v>OK</v>
      </c>
      <c r="X1563">
        <f>(B1563-I1563)/B1563</f>
        <v>0.66914969185015061</v>
      </c>
      <c r="Y1563" s="2">
        <f t="shared" si="197"/>
        <v>2.55351295663786E-15</v>
      </c>
      <c r="Z1563" s="2" t="str">
        <f t="shared" si="198"/>
        <v>OK</v>
      </c>
      <c r="AA1563" t="str">
        <f t="shared" si="199"/>
        <v>Unique</v>
      </c>
    </row>
    <row r="1564" spans="1:27" x14ac:dyDescent="0.3">
      <c r="A1564">
        <v>1563</v>
      </c>
      <c r="B1564">
        <v>715269.32566068706</v>
      </c>
      <c r="C1564">
        <v>0.57438408314251299</v>
      </c>
      <c r="D1564">
        <v>-8.6508467731321301E-2</v>
      </c>
      <c r="E1564">
        <v>0.28782597515519498</v>
      </c>
      <c r="F1564">
        <v>1</v>
      </c>
      <c r="G1564" t="s">
        <v>12</v>
      </c>
      <c r="H1564">
        <v>1</v>
      </c>
      <c r="I1564">
        <v>205873.09115688599</v>
      </c>
      <c r="J1564">
        <v>0.71217402484480496</v>
      </c>
      <c r="K1564" t="str">
        <f t="shared" si="192"/>
        <v>OK</v>
      </c>
      <c r="L1564" t="str">
        <f t="shared" si="193"/>
        <v>OK</v>
      </c>
      <c r="M1564" t="str">
        <f>IF(OR(B1564&lt;$AE$20,B1564&gt;$AF$20),"Outlier","OK")</f>
        <v>OK</v>
      </c>
      <c r="N1564" t="str">
        <f>IF(OR(J1564&lt;$AE$21,J1564&gt;$AF$21),"Outlier","OK")</f>
        <v>OK</v>
      </c>
      <c r="O1564" t="str">
        <f>IF(OR(C1564&lt;0,C1564&gt;1),"Outlier","OK")</f>
        <v>OK</v>
      </c>
      <c r="P1564" t="str">
        <f>IF(OR(D1564&lt;0,D1564&gt;1),"Outlier","OK")</f>
        <v>Outlier</v>
      </c>
      <c r="Q1564" t="str">
        <f t="shared" si="194"/>
        <v>60-80%</v>
      </c>
      <c r="R1564" t="str">
        <f>IF(B1564="","Missing","OK")</f>
        <v>OK</v>
      </c>
      <c r="S1564" t="str">
        <f>IF(E1564="","Missing","OK")</f>
        <v>OK</v>
      </c>
      <c r="T1564" t="str">
        <f t="shared" si="195"/>
        <v>OK</v>
      </c>
      <c r="U1564">
        <f>COUNTIF($A:$A,A1564)</f>
        <v>1</v>
      </c>
      <c r="V1564" t="str">
        <f t="shared" si="196"/>
        <v>OK</v>
      </c>
      <c r="W1564" t="str">
        <f>IF(I1564&gt;B1564,"ERROR","OK")</f>
        <v>OK</v>
      </c>
      <c r="X1564">
        <f>(B1564-I1564)/B1564</f>
        <v>0.71217402484480508</v>
      </c>
      <c r="Y1564" s="2">
        <f t="shared" si="197"/>
        <v>1.1102230246251565E-16</v>
      </c>
      <c r="Z1564" s="2" t="str">
        <f t="shared" si="198"/>
        <v>OK</v>
      </c>
      <c r="AA1564" t="str">
        <f t="shared" si="199"/>
        <v>Unique</v>
      </c>
    </row>
    <row r="1565" spans="1:27" x14ac:dyDescent="0.3">
      <c r="A1565">
        <v>1564</v>
      </c>
      <c r="B1565">
        <v>452224.09591168701</v>
      </c>
      <c r="C1565">
        <v>0.88864005243747202</v>
      </c>
      <c r="D1565">
        <v>3.55359839028715E-2</v>
      </c>
      <c r="E1565">
        <v>0.36781315406284998</v>
      </c>
      <c r="F1565">
        <v>1</v>
      </c>
      <c r="G1565" t="s">
        <v>11</v>
      </c>
      <c r="H1565">
        <v>0</v>
      </c>
      <c r="I1565">
        <v>166333.97106049801</v>
      </c>
      <c r="J1565">
        <v>0.63218684593714902</v>
      </c>
      <c r="K1565" t="str">
        <f t="shared" si="192"/>
        <v>OK</v>
      </c>
      <c r="L1565" t="str">
        <f t="shared" si="193"/>
        <v>OK</v>
      </c>
      <c r="M1565" t="str">
        <f>IF(OR(B1565&lt;$AE$20,B1565&gt;$AF$20),"Outlier","OK")</f>
        <v>OK</v>
      </c>
      <c r="N1565" t="str">
        <f>IF(OR(J1565&lt;$AE$21,J1565&gt;$AF$21),"Outlier","OK")</f>
        <v>OK</v>
      </c>
      <c r="O1565" t="str">
        <f>IF(OR(C1565&lt;0,C1565&gt;1),"Outlier","OK")</f>
        <v>OK</v>
      </c>
      <c r="P1565" t="str">
        <f>IF(OR(D1565&lt;0,D1565&gt;1),"Outlier","OK")</f>
        <v>OK</v>
      </c>
      <c r="Q1565" t="str">
        <f t="shared" si="194"/>
        <v>60-80%</v>
      </c>
      <c r="R1565" t="str">
        <f>IF(B1565="","Missing","OK")</f>
        <v>OK</v>
      </c>
      <c r="S1565" t="str">
        <f>IF(E1565="","Missing","OK")</f>
        <v>OK</v>
      </c>
      <c r="T1565" t="str">
        <f t="shared" si="195"/>
        <v>OK</v>
      </c>
      <c r="U1565">
        <f>COUNTIF($A:$A,A1565)</f>
        <v>1</v>
      </c>
      <c r="V1565" t="str">
        <f t="shared" si="196"/>
        <v>OK</v>
      </c>
      <c r="W1565" t="str">
        <f>IF(I1565&gt;B1565,"ERROR","OK")</f>
        <v>OK</v>
      </c>
      <c r="X1565">
        <f>(B1565-I1565)/B1565</f>
        <v>0.6321868459371508</v>
      </c>
      <c r="Y1565" s="2">
        <f t="shared" si="197"/>
        <v>1.7763568394002505E-15</v>
      </c>
      <c r="Z1565" s="2" t="str">
        <f t="shared" si="198"/>
        <v>OK</v>
      </c>
      <c r="AA1565" t="str">
        <f t="shared" si="199"/>
        <v>Unique</v>
      </c>
    </row>
    <row r="1566" spans="1:27" x14ac:dyDescent="0.3">
      <c r="A1566">
        <v>1565</v>
      </c>
      <c r="B1566">
        <v>788227.70792645996</v>
      </c>
      <c r="C1566">
        <v>0.39982760599617401</v>
      </c>
      <c r="D1566">
        <v>0.16639194567306601</v>
      </c>
      <c r="E1566">
        <v>0.38016484000731499</v>
      </c>
      <c r="F1566">
        <v>1</v>
      </c>
      <c r="G1566" t="s">
        <v>13</v>
      </c>
      <c r="H1566">
        <v>0</v>
      </c>
      <c r="I1566">
        <v>299656.460473196</v>
      </c>
      <c r="J1566">
        <v>0.61983515999268401</v>
      </c>
      <c r="K1566" t="str">
        <f t="shared" si="192"/>
        <v>OK</v>
      </c>
      <c r="L1566" t="str">
        <f t="shared" si="193"/>
        <v>OK</v>
      </c>
      <c r="M1566" t="str">
        <f>IF(OR(B1566&lt;$AE$20,B1566&gt;$AF$20),"Outlier","OK")</f>
        <v>OK</v>
      </c>
      <c r="N1566" t="str">
        <f>IF(OR(J1566&lt;$AE$21,J1566&gt;$AF$21),"Outlier","OK")</f>
        <v>OK</v>
      </c>
      <c r="O1566" t="str">
        <f>IF(OR(C1566&lt;0,C1566&gt;1),"Outlier","OK")</f>
        <v>OK</v>
      </c>
      <c r="P1566" t="str">
        <f>IF(OR(D1566&lt;0,D1566&gt;1),"Outlier","OK")</f>
        <v>OK</v>
      </c>
      <c r="Q1566" t="str">
        <f t="shared" si="194"/>
        <v>60-80%</v>
      </c>
      <c r="R1566" t="str">
        <f>IF(B1566="","Missing","OK")</f>
        <v>OK</v>
      </c>
      <c r="S1566" t="str">
        <f>IF(E1566="","Missing","OK")</f>
        <v>OK</v>
      </c>
      <c r="T1566" t="str">
        <f t="shared" si="195"/>
        <v>OK</v>
      </c>
      <c r="U1566">
        <f>COUNTIF($A:$A,A1566)</f>
        <v>1</v>
      </c>
      <c r="V1566" t="str">
        <f t="shared" si="196"/>
        <v>OK</v>
      </c>
      <c r="W1566" t="str">
        <f>IF(I1566&gt;B1566,"ERROR","OK")</f>
        <v>OK</v>
      </c>
      <c r="X1566">
        <f>(B1566-I1566)/B1566</f>
        <v>0.61983515999268413</v>
      </c>
      <c r="Y1566" s="2">
        <f t="shared" si="197"/>
        <v>1.1102230246251565E-16</v>
      </c>
      <c r="Z1566" s="2" t="str">
        <f t="shared" si="198"/>
        <v>OK</v>
      </c>
      <c r="AA1566" t="str">
        <f t="shared" si="199"/>
        <v>Unique</v>
      </c>
    </row>
    <row r="1567" spans="1:27" x14ac:dyDescent="0.3">
      <c r="A1567">
        <v>1566</v>
      </c>
      <c r="B1567">
        <v>1483126.51137218</v>
      </c>
      <c r="C1567">
        <v>0.443913597943284</v>
      </c>
      <c r="D1567">
        <v>-0.105428318952498</v>
      </c>
      <c r="E1567">
        <v>0.17482089617448801</v>
      </c>
      <c r="F1567">
        <v>1</v>
      </c>
      <c r="G1567" t="s">
        <v>10</v>
      </c>
      <c r="H1567">
        <v>1</v>
      </c>
      <c r="I1567">
        <v>259281.505858227</v>
      </c>
      <c r="J1567">
        <v>0.82517910382551096</v>
      </c>
      <c r="K1567" t="str">
        <f t="shared" si="192"/>
        <v>OK</v>
      </c>
      <c r="L1567" t="str">
        <f t="shared" si="193"/>
        <v>OK</v>
      </c>
      <c r="M1567" t="str">
        <f>IF(OR(B1567&lt;$AE$20,B1567&gt;$AF$20),"Outlier","OK")</f>
        <v>OK</v>
      </c>
      <c r="N1567" t="str">
        <f>IF(OR(J1567&lt;$AE$21,J1567&gt;$AF$21),"Outlier","OK")</f>
        <v>OK</v>
      </c>
      <c r="O1567" t="str">
        <f>IF(OR(C1567&lt;0,C1567&gt;1),"Outlier","OK")</f>
        <v>OK</v>
      </c>
      <c r="P1567" t="str">
        <f>IF(OR(D1567&lt;0,D1567&gt;1),"Outlier","OK")</f>
        <v>Outlier</v>
      </c>
      <c r="Q1567" t="str">
        <f t="shared" si="194"/>
        <v>80-100%</v>
      </c>
      <c r="R1567" t="str">
        <f>IF(B1567="","Missing","OK")</f>
        <v>OK</v>
      </c>
      <c r="S1567" t="str">
        <f>IF(E1567="","Missing","OK")</f>
        <v>OK</v>
      </c>
      <c r="T1567" t="str">
        <f t="shared" si="195"/>
        <v>OK</v>
      </c>
      <c r="U1567">
        <f>COUNTIF($A:$A,A1567)</f>
        <v>1</v>
      </c>
      <c r="V1567" t="str">
        <f t="shared" si="196"/>
        <v>OK</v>
      </c>
      <c r="W1567" t="str">
        <f>IF(I1567&gt;B1567,"ERROR","OK")</f>
        <v>OK</v>
      </c>
      <c r="X1567">
        <f>(B1567-I1567)/B1567</f>
        <v>0.82517910382551174</v>
      </c>
      <c r="Y1567" s="2">
        <f t="shared" si="197"/>
        <v>7.7715611723760958E-16</v>
      </c>
      <c r="Z1567" s="2" t="str">
        <f t="shared" si="198"/>
        <v>OK</v>
      </c>
      <c r="AA1567" t="str">
        <f t="shared" si="199"/>
        <v>Unique</v>
      </c>
    </row>
    <row r="1568" spans="1:27" x14ac:dyDescent="0.3">
      <c r="A1568">
        <v>1567</v>
      </c>
      <c r="B1568">
        <v>1443132.44292852</v>
      </c>
      <c r="C1568">
        <v>0.53381272533144497</v>
      </c>
      <c r="D1568">
        <v>-6.7532699968709503E-2</v>
      </c>
      <c r="E1568">
        <v>9.0706718876546202E-2</v>
      </c>
      <c r="F1568">
        <v>1</v>
      </c>
      <c r="G1568" t="s">
        <v>10</v>
      </c>
      <c r="H1568">
        <v>0</v>
      </c>
      <c r="I1568">
        <v>130901.80880234001</v>
      </c>
      <c r="J1568">
        <v>0.90929328112345298</v>
      </c>
      <c r="K1568" t="str">
        <f t="shared" si="192"/>
        <v>OK</v>
      </c>
      <c r="L1568" t="str">
        <f t="shared" si="193"/>
        <v>OK</v>
      </c>
      <c r="M1568" t="str">
        <f>IF(OR(B1568&lt;$AE$20,B1568&gt;$AF$20),"Outlier","OK")</f>
        <v>OK</v>
      </c>
      <c r="N1568" t="str">
        <f>IF(OR(J1568&lt;$AE$21,J1568&gt;$AF$21),"Outlier","OK")</f>
        <v>OK</v>
      </c>
      <c r="O1568" t="str">
        <f>IF(OR(C1568&lt;0,C1568&gt;1),"Outlier","OK")</f>
        <v>OK</v>
      </c>
      <c r="P1568" t="str">
        <f>IF(OR(D1568&lt;0,D1568&gt;1),"Outlier","OK")</f>
        <v>Outlier</v>
      </c>
      <c r="Q1568" t="str">
        <f t="shared" si="194"/>
        <v>80-100%</v>
      </c>
      <c r="R1568" t="str">
        <f>IF(B1568="","Missing","OK")</f>
        <v>OK</v>
      </c>
      <c r="S1568" t="str">
        <f>IF(E1568="","Missing","OK")</f>
        <v>OK</v>
      </c>
      <c r="T1568" t="str">
        <f t="shared" si="195"/>
        <v>OK</v>
      </c>
      <c r="U1568">
        <f>COUNTIF($A:$A,A1568)</f>
        <v>1</v>
      </c>
      <c r="V1568" t="str">
        <f t="shared" si="196"/>
        <v>OK</v>
      </c>
      <c r="W1568" t="str">
        <f>IF(I1568&gt;B1568,"ERROR","OK")</f>
        <v>OK</v>
      </c>
      <c r="X1568">
        <f>(B1568-I1568)/B1568</f>
        <v>0.90929328112345431</v>
      </c>
      <c r="Y1568" s="2">
        <f t="shared" si="197"/>
        <v>1.3322676295501878E-15</v>
      </c>
      <c r="Z1568" s="2" t="str">
        <f t="shared" si="198"/>
        <v>OK</v>
      </c>
      <c r="AA1568" t="str">
        <f t="shared" si="199"/>
        <v>Unique</v>
      </c>
    </row>
    <row r="1569" spans="1:27" x14ac:dyDescent="0.3">
      <c r="A1569">
        <v>1568</v>
      </c>
      <c r="B1569">
        <v>404937.39846137899</v>
      </c>
      <c r="C1569">
        <v>0.22362133802304299</v>
      </c>
      <c r="D1569">
        <v>-0.108067758295259</v>
      </c>
      <c r="E1569">
        <v>0.37374591352207698</v>
      </c>
      <c r="F1569">
        <v>1</v>
      </c>
      <c r="G1569" t="s">
        <v>12</v>
      </c>
      <c r="H1569">
        <v>0</v>
      </c>
      <c r="I1569">
        <v>151343.69790720101</v>
      </c>
      <c r="J1569">
        <v>0.62625408647792202</v>
      </c>
      <c r="K1569" t="str">
        <f t="shared" si="192"/>
        <v>OK</v>
      </c>
      <c r="L1569" t="str">
        <f t="shared" si="193"/>
        <v>OK</v>
      </c>
      <c r="M1569" t="str">
        <f>IF(OR(B1569&lt;$AE$20,B1569&gt;$AF$20),"Outlier","OK")</f>
        <v>OK</v>
      </c>
      <c r="N1569" t="str">
        <f>IF(OR(J1569&lt;$AE$21,J1569&gt;$AF$21),"Outlier","OK")</f>
        <v>OK</v>
      </c>
      <c r="O1569" t="str">
        <f>IF(OR(C1569&lt;0,C1569&gt;1),"Outlier","OK")</f>
        <v>OK</v>
      </c>
      <c r="P1569" t="str">
        <f>IF(OR(D1569&lt;0,D1569&gt;1),"Outlier","OK")</f>
        <v>Outlier</v>
      </c>
      <c r="Q1569" t="str">
        <f t="shared" si="194"/>
        <v>60-80%</v>
      </c>
      <c r="R1569" t="str">
        <f>IF(B1569="","Missing","OK")</f>
        <v>OK</v>
      </c>
      <c r="S1569" t="str">
        <f>IF(E1569="","Missing","OK")</f>
        <v>OK</v>
      </c>
      <c r="T1569" t="str">
        <f t="shared" si="195"/>
        <v>OK</v>
      </c>
      <c r="U1569">
        <f>COUNTIF($A:$A,A1569)</f>
        <v>1</v>
      </c>
      <c r="V1569" t="str">
        <f t="shared" si="196"/>
        <v>OK</v>
      </c>
      <c r="W1569" t="str">
        <f>IF(I1569&gt;B1569,"ERROR","OK")</f>
        <v>OK</v>
      </c>
      <c r="X1569">
        <f>(B1569-I1569)/B1569</f>
        <v>0.62625408647792391</v>
      </c>
      <c r="Y1569" s="2">
        <f t="shared" si="197"/>
        <v>1.8873791418627661E-15</v>
      </c>
      <c r="Z1569" s="2" t="str">
        <f t="shared" si="198"/>
        <v>OK</v>
      </c>
      <c r="AA1569" t="str">
        <f t="shared" si="199"/>
        <v>Unique</v>
      </c>
    </row>
    <row r="1570" spans="1:27" x14ac:dyDescent="0.3">
      <c r="A1570">
        <v>1569</v>
      </c>
      <c r="B1570">
        <v>980001.72603663697</v>
      </c>
      <c r="C1570">
        <v>0.82764048508599997</v>
      </c>
      <c r="D1570">
        <v>7.2756110598536095E-2</v>
      </c>
      <c r="E1570">
        <v>0.63245210011192898</v>
      </c>
      <c r="F1570">
        <v>1</v>
      </c>
      <c r="G1570" t="s">
        <v>12</v>
      </c>
      <c r="H1570">
        <v>0</v>
      </c>
      <c r="I1570">
        <v>619804.14974518702</v>
      </c>
      <c r="J1570">
        <v>0.36754789988807002</v>
      </c>
      <c r="K1570" t="str">
        <f t="shared" si="192"/>
        <v>OK</v>
      </c>
      <c r="L1570" t="str">
        <f t="shared" si="193"/>
        <v>OK</v>
      </c>
      <c r="M1570" t="str">
        <f>IF(OR(B1570&lt;$AE$20,B1570&gt;$AF$20),"Outlier","OK")</f>
        <v>OK</v>
      </c>
      <c r="N1570" t="str">
        <f>IF(OR(J1570&lt;$AE$21,J1570&gt;$AF$21),"Outlier","OK")</f>
        <v>OK</v>
      </c>
      <c r="O1570" t="str">
        <f>IF(OR(C1570&lt;0,C1570&gt;1),"Outlier","OK")</f>
        <v>OK</v>
      </c>
      <c r="P1570" t="str">
        <f>IF(OR(D1570&lt;0,D1570&gt;1),"Outlier","OK")</f>
        <v>OK</v>
      </c>
      <c r="Q1570" t="str">
        <f t="shared" si="194"/>
        <v>20-40%</v>
      </c>
      <c r="R1570" t="str">
        <f>IF(B1570="","Missing","OK")</f>
        <v>OK</v>
      </c>
      <c r="S1570" t="str">
        <f>IF(E1570="","Missing","OK")</f>
        <v>OK</v>
      </c>
      <c r="T1570" t="str">
        <f t="shared" si="195"/>
        <v>OK</v>
      </c>
      <c r="U1570">
        <f>COUNTIF($A:$A,A1570)</f>
        <v>1</v>
      </c>
      <c r="V1570" t="str">
        <f t="shared" si="196"/>
        <v>OK</v>
      </c>
      <c r="W1570" t="str">
        <f>IF(I1570&gt;B1570,"ERROR","OK")</f>
        <v>OK</v>
      </c>
      <c r="X1570">
        <f>(B1570-I1570)/B1570</f>
        <v>0.3675478998880703</v>
      </c>
      <c r="Y1570" s="2">
        <f t="shared" si="197"/>
        <v>2.7755575615628914E-16</v>
      </c>
      <c r="Z1570" s="2" t="str">
        <f t="shared" si="198"/>
        <v>OK</v>
      </c>
      <c r="AA1570" t="str">
        <f t="shared" si="199"/>
        <v>Unique</v>
      </c>
    </row>
    <row r="1571" spans="1:27" x14ac:dyDescent="0.3">
      <c r="A1571">
        <v>1570</v>
      </c>
      <c r="B1571">
        <v>1392003.1949908901</v>
      </c>
      <c r="C1571">
        <v>0.803927784385847</v>
      </c>
      <c r="D1571">
        <v>0.111706286794594</v>
      </c>
      <c r="E1571">
        <v>0.61984492766316301</v>
      </c>
      <c r="F1571">
        <v>1</v>
      </c>
      <c r="G1571" t="s">
        <v>10</v>
      </c>
      <c r="H1571">
        <v>0</v>
      </c>
      <c r="I1571">
        <v>862826.11970602302</v>
      </c>
      <c r="J1571">
        <v>0.38015507233683599</v>
      </c>
      <c r="K1571" t="str">
        <f t="shared" si="192"/>
        <v>OK</v>
      </c>
      <c r="L1571" t="str">
        <f t="shared" si="193"/>
        <v>OK</v>
      </c>
      <c r="M1571" t="str">
        <f>IF(OR(B1571&lt;$AE$20,B1571&gt;$AF$20),"Outlier","OK")</f>
        <v>OK</v>
      </c>
      <c r="N1571" t="str">
        <f>IF(OR(J1571&lt;$AE$21,J1571&gt;$AF$21),"Outlier","OK")</f>
        <v>OK</v>
      </c>
      <c r="O1571" t="str">
        <f>IF(OR(C1571&lt;0,C1571&gt;1),"Outlier","OK")</f>
        <v>OK</v>
      </c>
      <c r="P1571" t="str">
        <f>IF(OR(D1571&lt;0,D1571&gt;1),"Outlier","OK")</f>
        <v>OK</v>
      </c>
      <c r="Q1571" t="str">
        <f t="shared" si="194"/>
        <v>20-40%</v>
      </c>
      <c r="R1571" t="str">
        <f>IF(B1571="","Missing","OK")</f>
        <v>OK</v>
      </c>
      <c r="S1571" t="str">
        <f>IF(E1571="","Missing","OK")</f>
        <v>OK</v>
      </c>
      <c r="T1571" t="str">
        <f t="shared" si="195"/>
        <v>OK</v>
      </c>
      <c r="U1571">
        <f>COUNTIF($A:$A,A1571)</f>
        <v>1</v>
      </c>
      <c r="V1571" t="str">
        <f t="shared" si="196"/>
        <v>OK</v>
      </c>
      <c r="W1571" t="str">
        <f>IF(I1571&gt;B1571,"ERROR","OK")</f>
        <v>OK</v>
      </c>
      <c r="X1571">
        <f>(B1571-I1571)/B1571</f>
        <v>0.38015507233683488</v>
      </c>
      <c r="Y1571" s="2">
        <f t="shared" si="197"/>
        <v>1.1102230246251565E-15</v>
      </c>
      <c r="Z1571" s="2" t="str">
        <f t="shared" si="198"/>
        <v>OK</v>
      </c>
      <c r="AA1571" t="str">
        <f t="shared" si="199"/>
        <v>Unique</v>
      </c>
    </row>
    <row r="1572" spans="1:27" x14ac:dyDescent="0.3">
      <c r="A1572">
        <v>1571</v>
      </c>
      <c r="B1572">
        <v>1489392.2943179801</v>
      </c>
      <c r="C1572">
        <v>0.59245712703700504</v>
      </c>
      <c r="D1572">
        <v>-0.10873732137884699</v>
      </c>
      <c r="E1572">
        <v>0.35563135054062001</v>
      </c>
      <c r="F1572">
        <v>1</v>
      </c>
      <c r="G1572" t="s">
        <v>10</v>
      </c>
      <c r="H1572">
        <v>1</v>
      </c>
      <c r="I1572">
        <v>529674.59311309701</v>
      </c>
      <c r="J1572">
        <v>0.64436864945937899</v>
      </c>
      <c r="K1572" t="str">
        <f t="shared" si="192"/>
        <v>OK</v>
      </c>
      <c r="L1572" t="str">
        <f t="shared" si="193"/>
        <v>OK</v>
      </c>
      <c r="M1572" t="str">
        <f>IF(OR(B1572&lt;$AE$20,B1572&gt;$AF$20),"Outlier","OK")</f>
        <v>OK</v>
      </c>
      <c r="N1572" t="str">
        <f>IF(OR(J1572&lt;$AE$21,J1572&gt;$AF$21),"Outlier","OK")</f>
        <v>OK</v>
      </c>
      <c r="O1572" t="str">
        <f>IF(OR(C1572&lt;0,C1572&gt;1),"Outlier","OK")</f>
        <v>OK</v>
      </c>
      <c r="P1572" t="str">
        <f>IF(OR(D1572&lt;0,D1572&gt;1),"Outlier","OK")</f>
        <v>Outlier</v>
      </c>
      <c r="Q1572" t="str">
        <f t="shared" si="194"/>
        <v>60-80%</v>
      </c>
      <c r="R1572" t="str">
        <f>IF(B1572="","Missing","OK")</f>
        <v>OK</v>
      </c>
      <c r="S1572" t="str">
        <f>IF(E1572="","Missing","OK")</f>
        <v>OK</v>
      </c>
      <c r="T1572" t="str">
        <f t="shared" si="195"/>
        <v>OK</v>
      </c>
      <c r="U1572">
        <f>COUNTIF($A:$A,A1572)</f>
        <v>1</v>
      </c>
      <c r="V1572" t="str">
        <f t="shared" si="196"/>
        <v>OK</v>
      </c>
      <c r="W1572" t="str">
        <f>IF(I1572&gt;B1572,"ERROR","OK")</f>
        <v>OK</v>
      </c>
      <c r="X1572">
        <f>(B1572-I1572)/B1572</f>
        <v>0.64436864945937922</v>
      </c>
      <c r="Y1572" s="2">
        <f t="shared" si="197"/>
        <v>2.2204460492503131E-16</v>
      </c>
      <c r="Z1572" s="2" t="str">
        <f t="shared" si="198"/>
        <v>OK</v>
      </c>
      <c r="AA1572" t="str">
        <f t="shared" si="199"/>
        <v>Unique</v>
      </c>
    </row>
    <row r="1573" spans="1:27" x14ac:dyDescent="0.3">
      <c r="A1573">
        <v>1572</v>
      </c>
      <c r="B1573">
        <v>1290272.0950760299</v>
      </c>
      <c r="C1573">
        <v>0.41991188618879499</v>
      </c>
      <c r="D1573">
        <v>-3.8955495553437601E-2</v>
      </c>
      <c r="E1573">
        <v>0.117516847758842</v>
      </c>
      <c r="F1573">
        <v>1</v>
      </c>
      <c r="G1573" t="s">
        <v>13</v>
      </c>
      <c r="H1573">
        <v>0</v>
      </c>
      <c r="I1573">
        <v>151628.709364532</v>
      </c>
      <c r="J1573">
        <v>0.88248315224115703</v>
      </c>
      <c r="K1573" t="str">
        <f t="shared" si="192"/>
        <v>OK</v>
      </c>
      <c r="L1573" t="str">
        <f t="shared" si="193"/>
        <v>OK</v>
      </c>
      <c r="M1573" t="str">
        <f>IF(OR(B1573&lt;$AE$20,B1573&gt;$AF$20),"Outlier","OK")</f>
        <v>OK</v>
      </c>
      <c r="N1573" t="str">
        <f>IF(OR(J1573&lt;$AE$21,J1573&gt;$AF$21),"Outlier","OK")</f>
        <v>OK</v>
      </c>
      <c r="O1573" t="str">
        <f>IF(OR(C1573&lt;0,C1573&gt;1),"Outlier","OK")</f>
        <v>OK</v>
      </c>
      <c r="P1573" t="str">
        <f>IF(OR(D1573&lt;0,D1573&gt;1),"Outlier","OK")</f>
        <v>Outlier</v>
      </c>
      <c r="Q1573" t="str">
        <f t="shared" si="194"/>
        <v>80-100%</v>
      </c>
      <c r="R1573" t="str">
        <f>IF(B1573="","Missing","OK")</f>
        <v>OK</v>
      </c>
      <c r="S1573" t="str">
        <f>IF(E1573="","Missing","OK")</f>
        <v>OK</v>
      </c>
      <c r="T1573" t="str">
        <f t="shared" si="195"/>
        <v>OK</v>
      </c>
      <c r="U1573">
        <f>COUNTIF($A:$A,A1573)</f>
        <v>1</v>
      </c>
      <c r="V1573" t="str">
        <f t="shared" si="196"/>
        <v>OK</v>
      </c>
      <c r="W1573" t="str">
        <f>IF(I1573&gt;B1573,"ERROR","OK")</f>
        <v>OK</v>
      </c>
      <c r="X1573">
        <f>(B1573-I1573)/B1573</f>
        <v>0.88248315224115792</v>
      </c>
      <c r="Y1573" s="2">
        <f t="shared" si="197"/>
        <v>8.8817841970012523E-16</v>
      </c>
      <c r="Z1573" s="2" t="str">
        <f t="shared" si="198"/>
        <v>OK</v>
      </c>
      <c r="AA1573" t="str">
        <f t="shared" si="199"/>
        <v>Unique</v>
      </c>
    </row>
    <row r="1574" spans="1:27" x14ac:dyDescent="0.3">
      <c r="A1574">
        <v>1573</v>
      </c>
      <c r="B1574">
        <v>429904.28878399701</v>
      </c>
      <c r="C1574">
        <v>0.28443767761156602</v>
      </c>
      <c r="D1574">
        <v>0.14652565360172501</v>
      </c>
      <c r="E1574">
        <v>0.29290944545160902</v>
      </c>
      <c r="F1574">
        <v>1</v>
      </c>
      <c r="G1574" t="s">
        <v>11</v>
      </c>
      <c r="H1574">
        <v>0</v>
      </c>
      <c r="I1574">
        <v>125923.02682498901</v>
      </c>
      <c r="J1574">
        <v>0.70709055454838998</v>
      </c>
      <c r="K1574" t="str">
        <f t="shared" si="192"/>
        <v>OK</v>
      </c>
      <c r="L1574" t="str">
        <f t="shared" si="193"/>
        <v>OK</v>
      </c>
      <c r="M1574" t="str">
        <f>IF(OR(B1574&lt;$AE$20,B1574&gt;$AF$20),"Outlier","OK")</f>
        <v>OK</v>
      </c>
      <c r="N1574" t="str">
        <f>IF(OR(J1574&lt;$AE$21,J1574&gt;$AF$21),"Outlier","OK")</f>
        <v>OK</v>
      </c>
      <c r="O1574" t="str">
        <f>IF(OR(C1574&lt;0,C1574&gt;1),"Outlier","OK")</f>
        <v>OK</v>
      </c>
      <c r="P1574" t="str">
        <f>IF(OR(D1574&lt;0,D1574&gt;1),"Outlier","OK")</f>
        <v>OK</v>
      </c>
      <c r="Q1574" t="str">
        <f t="shared" si="194"/>
        <v>60-80%</v>
      </c>
      <c r="R1574" t="str">
        <f>IF(B1574="","Missing","OK")</f>
        <v>OK</v>
      </c>
      <c r="S1574" t="str">
        <f>IF(E1574="","Missing","OK")</f>
        <v>OK</v>
      </c>
      <c r="T1574" t="str">
        <f t="shared" si="195"/>
        <v>OK</v>
      </c>
      <c r="U1574">
        <f>COUNTIF($A:$A,A1574)</f>
        <v>1</v>
      </c>
      <c r="V1574" t="str">
        <f t="shared" si="196"/>
        <v>OK</v>
      </c>
      <c r="W1574" t="str">
        <f>IF(I1574&gt;B1574,"ERROR","OK")</f>
        <v>OK</v>
      </c>
      <c r="X1574">
        <f>(B1574-I1574)/B1574</f>
        <v>0.70709055454839087</v>
      </c>
      <c r="Y1574" s="2">
        <f t="shared" si="197"/>
        <v>8.8817841970012523E-16</v>
      </c>
      <c r="Z1574" s="2" t="str">
        <f t="shared" si="198"/>
        <v>OK</v>
      </c>
      <c r="AA1574" t="str">
        <f t="shared" si="199"/>
        <v>Unique</v>
      </c>
    </row>
    <row r="1575" spans="1:27" x14ac:dyDescent="0.3">
      <c r="A1575">
        <v>1574</v>
      </c>
      <c r="B1575">
        <v>1742754.1580485699</v>
      </c>
      <c r="C1575">
        <v>0.26539762145847701</v>
      </c>
      <c r="D1575">
        <v>-0.157377387847314</v>
      </c>
      <c r="E1575">
        <v>0.20655424184775401</v>
      </c>
      <c r="F1575">
        <v>1</v>
      </c>
      <c r="G1575" t="s">
        <v>12</v>
      </c>
      <c r="H1575">
        <v>0</v>
      </c>
      <c r="I1575">
        <v>359973.26384274499</v>
      </c>
      <c r="J1575">
        <v>0.79344575815224505</v>
      </c>
      <c r="K1575" t="str">
        <f t="shared" si="192"/>
        <v>OK</v>
      </c>
      <c r="L1575" t="str">
        <f t="shared" si="193"/>
        <v>OK</v>
      </c>
      <c r="M1575" t="str">
        <f>IF(OR(B1575&lt;$AE$20,B1575&gt;$AF$20),"Outlier","OK")</f>
        <v>OK</v>
      </c>
      <c r="N1575" t="str">
        <f>IF(OR(J1575&lt;$AE$21,J1575&gt;$AF$21),"Outlier","OK")</f>
        <v>OK</v>
      </c>
      <c r="O1575" t="str">
        <f>IF(OR(C1575&lt;0,C1575&gt;1),"Outlier","OK")</f>
        <v>OK</v>
      </c>
      <c r="P1575" t="str">
        <f>IF(OR(D1575&lt;0,D1575&gt;1),"Outlier","OK")</f>
        <v>Outlier</v>
      </c>
      <c r="Q1575" t="str">
        <f t="shared" si="194"/>
        <v>60-80%</v>
      </c>
      <c r="R1575" t="str">
        <f>IF(B1575="","Missing","OK")</f>
        <v>OK</v>
      </c>
      <c r="S1575" t="str">
        <f>IF(E1575="","Missing","OK")</f>
        <v>OK</v>
      </c>
      <c r="T1575" t="str">
        <f t="shared" si="195"/>
        <v>OK</v>
      </c>
      <c r="U1575">
        <f>COUNTIF($A:$A,A1575)</f>
        <v>1</v>
      </c>
      <c r="V1575" t="str">
        <f t="shared" si="196"/>
        <v>OK</v>
      </c>
      <c r="W1575" t="str">
        <f>IF(I1575&gt;B1575,"ERROR","OK")</f>
        <v>OK</v>
      </c>
      <c r="X1575">
        <f>(B1575-I1575)/B1575</f>
        <v>0.79344575815224494</v>
      </c>
      <c r="Y1575" s="2">
        <f t="shared" si="197"/>
        <v>1.1102230246251565E-16</v>
      </c>
      <c r="Z1575" s="2" t="str">
        <f t="shared" si="198"/>
        <v>OK</v>
      </c>
      <c r="AA1575" t="str">
        <f t="shared" si="199"/>
        <v>Unique</v>
      </c>
    </row>
    <row r="1576" spans="1:27" x14ac:dyDescent="0.3">
      <c r="A1576">
        <v>1575</v>
      </c>
      <c r="B1576">
        <v>612473.15956860594</v>
      </c>
      <c r="C1576">
        <v>0.88493329634932105</v>
      </c>
      <c r="D1576">
        <v>-4.9777096950608599E-3</v>
      </c>
      <c r="E1576">
        <v>0.69699907252494797</v>
      </c>
      <c r="F1576">
        <v>1</v>
      </c>
      <c r="G1576" t="s">
        <v>12</v>
      </c>
      <c r="H1576">
        <v>1</v>
      </c>
      <c r="I1576">
        <v>426893.22416574298</v>
      </c>
      <c r="J1576">
        <v>0.30300092747505197</v>
      </c>
      <c r="K1576" t="str">
        <f t="shared" si="192"/>
        <v>OK</v>
      </c>
      <c r="L1576" t="str">
        <f t="shared" si="193"/>
        <v>OK</v>
      </c>
      <c r="M1576" t="str">
        <f>IF(OR(B1576&lt;$AE$20,B1576&gt;$AF$20),"Outlier","OK")</f>
        <v>OK</v>
      </c>
      <c r="N1576" t="str">
        <f>IF(OR(J1576&lt;$AE$21,J1576&gt;$AF$21),"Outlier","OK")</f>
        <v>OK</v>
      </c>
      <c r="O1576" t="str">
        <f>IF(OR(C1576&lt;0,C1576&gt;1),"Outlier","OK")</f>
        <v>OK</v>
      </c>
      <c r="P1576" t="str">
        <f>IF(OR(D1576&lt;0,D1576&gt;1),"Outlier","OK")</f>
        <v>Outlier</v>
      </c>
      <c r="Q1576" t="str">
        <f t="shared" si="194"/>
        <v>20-40%</v>
      </c>
      <c r="R1576" t="str">
        <f>IF(B1576="","Missing","OK")</f>
        <v>OK</v>
      </c>
      <c r="S1576" t="str">
        <f>IF(E1576="","Missing","OK")</f>
        <v>OK</v>
      </c>
      <c r="T1576" t="str">
        <f t="shared" si="195"/>
        <v>OK</v>
      </c>
      <c r="U1576">
        <f>COUNTIF($A:$A,A1576)</f>
        <v>1</v>
      </c>
      <c r="V1576" t="str">
        <f t="shared" si="196"/>
        <v>OK</v>
      </c>
      <c r="W1576" t="str">
        <f>IF(I1576&gt;B1576,"ERROR","OK")</f>
        <v>OK</v>
      </c>
      <c r="X1576">
        <f>(B1576-I1576)/B1576</f>
        <v>0.30300092747505175</v>
      </c>
      <c r="Y1576" s="2">
        <f t="shared" si="197"/>
        <v>2.2204460492503131E-16</v>
      </c>
      <c r="Z1576" s="2" t="str">
        <f t="shared" si="198"/>
        <v>OK</v>
      </c>
      <c r="AA1576" t="str">
        <f t="shared" si="199"/>
        <v>Unique</v>
      </c>
    </row>
    <row r="1577" spans="1:27" x14ac:dyDescent="0.3">
      <c r="A1577">
        <v>1576</v>
      </c>
      <c r="B1577">
        <v>771347.51585330896</v>
      </c>
      <c r="C1577">
        <v>0.47822806674236401</v>
      </c>
      <c r="D1577">
        <v>-3.71589279331156E-2</v>
      </c>
      <c r="E1577">
        <v>0.35641233086929702</v>
      </c>
      <c r="F1577">
        <v>1</v>
      </c>
      <c r="G1577" t="s">
        <v>12</v>
      </c>
      <c r="H1577">
        <v>1</v>
      </c>
      <c r="I1577">
        <v>274917.76603552001</v>
      </c>
      <c r="J1577">
        <v>0.64358766913070198</v>
      </c>
      <c r="K1577" t="str">
        <f t="shared" si="192"/>
        <v>OK</v>
      </c>
      <c r="L1577" t="str">
        <f t="shared" si="193"/>
        <v>OK</v>
      </c>
      <c r="M1577" t="str">
        <f>IF(OR(B1577&lt;$AE$20,B1577&gt;$AF$20),"Outlier","OK")</f>
        <v>OK</v>
      </c>
      <c r="N1577" t="str">
        <f>IF(OR(J1577&lt;$AE$21,J1577&gt;$AF$21),"Outlier","OK")</f>
        <v>OK</v>
      </c>
      <c r="O1577" t="str">
        <f>IF(OR(C1577&lt;0,C1577&gt;1),"Outlier","OK")</f>
        <v>OK</v>
      </c>
      <c r="P1577" t="str">
        <f>IF(OR(D1577&lt;0,D1577&gt;1),"Outlier","OK")</f>
        <v>Outlier</v>
      </c>
      <c r="Q1577" t="str">
        <f t="shared" si="194"/>
        <v>60-80%</v>
      </c>
      <c r="R1577" t="str">
        <f>IF(B1577="","Missing","OK")</f>
        <v>OK</v>
      </c>
      <c r="S1577" t="str">
        <f>IF(E1577="","Missing","OK")</f>
        <v>OK</v>
      </c>
      <c r="T1577" t="str">
        <f t="shared" si="195"/>
        <v>OK</v>
      </c>
      <c r="U1577">
        <f>COUNTIF($A:$A,A1577)</f>
        <v>1</v>
      </c>
      <c r="V1577" t="str">
        <f t="shared" si="196"/>
        <v>OK</v>
      </c>
      <c r="W1577" t="str">
        <f>IF(I1577&gt;B1577,"ERROR","OK")</f>
        <v>OK</v>
      </c>
      <c r="X1577">
        <f>(B1577-I1577)/B1577</f>
        <v>0.64358766913070287</v>
      </c>
      <c r="Y1577" s="2">
        <f t="shared" si="197"/>
        <v>8.8817841970012523E-16</v>
      </c>
      <c r="Z1577" s="2" t="str">
        <f t="shared" si="198"/>
        <v>OK</v>
      </c>
      <c r="AA1577" t="str">
        <f t="shared" si="199"/>
        <v>Unique</v>
      </c>
    </row>
    <row r="1578" spans="1:27" x14ac:dyDescent="0.3">
      <c r="A1578">
        <v>1577</v>
      </c>
      <c r="B1578">
        <v>1139070.7137633001</v>
      </c>
      <c r="C1578">
        <v>0.328876634108482</v>
      </c>
      <c r="D1578">
        <v>-3.1498311936634403E-2</v>
      </c>
      <c r="E1578">
        <v>0.29715256867665402</v>
      </c>
      <c r="F1578">
        <v>1</v>
      </c>
      <c r="G1578" t="s">
        <v>12</v>
      </c>
      <c r="H1578">
        <v>1</v>
      </c>
      <c r="I1578">
        <v>338477.78849911399</v>
      </c>
      <c r="J1578">
        <v>0.70284743132334504</v>
      </c>
      <c r="K1578" t="str">
        <f t="shared" si="192"/>
        <v>OK</v>
      </c>
      <c r="L1578" t="str">
        <f t="shared" si="193"/>
        <v>OK</v>
      </c>
      <c r="M1578" t="str">
        <f>IF(OR(B1578&lt;$AE$20,B1578&gt;$AF$20),"Outlier","OK")</f>
        <v>OK</v>
      </c>
      <c r="N1578" t="str">
        <f>IF(OR(J1578&lt;$AE$21,J1578&gt;$AF$21),"Outlier","OK")</f>
        <v>OK</v>
      </c>
      <c r="O1578" t="str">
        <f>IF(OR(C1578&lt;0,C1578&gt;1),"Outlier","OK")</f>
        <v>OK</v>
      </c>
      <c r="P1578" t="str">
        <f>IF(OR(D1578&lt;0,D1578&gt;1),"Outlier","OK")</f>
        <v>Outlier</v>
      </c>
      <c r="Q1578" t="str">
        <f t="shared" si="194"/>
        <v>60-80%</v>
      </c>
      <c r="R1578" t="str">
        <f>IF(B1578="","Missing","OK")</f>
        <v>OK</v>
      </c>
      <c r="S1578" t="str">
        <f>IF(E1578="","Missing","OK")</f>
        <v>OK</v>
      </c>
      <c r="T1578" t="str">
        <f t="shared" si="195"/>
        <v>OK</v>
      </c>
      <c r="U1578">
        <f>COUNTIF($A:$A,A1578)</f>
        <v>1</v>
      </c>
      <c r="V1578" t="str">
        <f t="shared" si="196"/>
        <v>OK</v>
      </c>
      <c r="W1578" t="str">
        <f>IF(I1578&gt;B1578,"ERROR","OK")</f>
        <v>OK</v>
      </c>
      <c r="X1578">
        <f>(B1578-I1578)/B1578</f>
        <v>0.70284743132334626</v>
      </c>
      <c r="Y1578" s="2">
        <f t="shared" si="197"/>
        <v>1.2212453270876722E-15</v>
      </c>
      <c r="Z1578" s="2" t="str">
        <f t="shared" si="198"/>
        <v>OK</v>
      </c>
      <c r="AA1578" t="str">
        <f t="shared" si="199"/>
        <v>Unique</v>
      </c>
    </row>
    <row r="1579" spans="1:27" x14ac:dyDescent="0.3">
      <c r="A1579">
        <v>1578</v>
      </c>
      <c r="B1579">
        <v>1725788.0845820799</v>
      </c>
      <c r="C1579">
        <v>0.50823896047707795</v>
      </c>
      <c r="D1579">
        <v>0.13197872413932299</v>
      </c>
      <c r="E1579">
        <v>3.9470762837947697E-2</v>
      </c>
      <c r="F1579">
        <v>1</v>
      </c>
      <c r="G1579" t="s">
        <v>13</v>
      </c>
      <c r="H1579">
        <v>1</v>
      </c>
      <c r="I1579">
        <v>68118.172195095496</v>
      </c>
      <c r="J1579">
        <v>0.96052923716205196</v>
      </c>
      <c r="K1579" t="str">
        <f t="shared" si="192"/>
        <v>OK</v>
      </c>
      <c r="L1579" t="str">
        <f t="shared" si="193"/>
        <v>OK</v>
      </c>
      <c r="M1579" t="str">
        <f>IF(OR(B1579&lt;$AE$20,B1579&gt;$AF$20),"Outlier","OK")</f>
        <v>OK</v>
      </c>
      <c r="N1579" t="str">
        <f>IF(OR(J1579&lt;$AE$21,J1579&gt;$AF$21),"Outlier","OK")</f>
        <v>OK</v>
      </c>
      <c r="O1579" t="str">
        <f>IF(OR(C1579&lt;0,C1579&gt;1),"Outlier","OK")</f>
        <v>OK</v>
      </c>
      <c r="P1579" t="str">
        <f>IF(OR(D1579&lt;0,D1579&gt;1),"Outlier","OK")</f>
        <v>OK</v>
      </c>
      <c r="Q1579" t="str">
        <f t="shared" si="194"/>
        <v>80-100%</v>
      </c>
      <c r="R1579" t="str">
        <f>IF(B1579="","Missing","OK")</f>
        <v>OK</v>
      </c>
      <c r="S1579" t="str">
        <f>IF(E1579="","Missing","OK")</f>
        <v>OK</v>
      </c>
      <c r="T1579" t="str">
        <f t="shared" si="195"/>
        <v>OK</v>
      </c>
      <c r="U1579">
        <f>COUNTIF($A:$A,A1579)</f>
        <v>1</v>
      </c>
      <c r="V1579" t="str">
        <f t="shared" si="196"/>
        <v>OK</v>
      </c>
      <c r="W1579" t="str">
        <f>IF(I1579&gt;B1579,"ERROR","OK")</f>
        <v>OK</v>
      </c>
      <c r="X1579">
        <f>(B1579-I1579)/B1579</f>
        <v>0.96052923716205219</v>
      </c>
      <c r="Y1579" s="2">
        <f t="shared" si="197"/>
        <v>2.2204460492503131E-16</v>
      </c>
      <c r="Z1579" s="2" t="str">
        <f t="shared" si="198"/>
        <v>OK</v>
      </c>
      <c r="AA1579" t="str">
        <f t="shared" si="199"/>
        <v>Unique</v>
      </c>
    </row>
    <row r="1580" spans="1:27" x14ac:dyDescent="0.3">
      <c r="A1580">
        <v>1579</v>
      </c>
      <c r="B1580">
        <v>1316818.1085289901</v>
      </c>
      <c r="C1580">
        <v>0.68095986039649303</v>
      </c>
      <c r="D1580">
        <v>0.103531542996017</v>
      </c>
      <c r="E1580">
        <v>0.23460297455599499</v>
      </c>
      <c r="F1580">
        <v>1</v>
      </c>
      <c r="G1580" t="s">
        <v>11</v>
      </c>
      <c r="H1580">
        <v>0</v>
      </c>
      <c r="I1580">
        <v>308929.44521010201</v>
      </c>
      <c r="J1580">
        <v>0.76539702544400501</v>
      </c>
      <c r="K1580" t="str">
        <f t="shared" si="192"/>
        <v>OK</v>
      </c>
      <c r="L1580" t="str">
        <f t="shared" si="193"/>
        <v>OK</v>
      </c>
      <c r="M1580" t="str">
        <f>IF(OR(B1580&lt;$AE$20,B1580&gt;$AF$20),"Outlier","OK")</f>
        <v>OK</v>
      </c>
      <c r="N1580" t="str">
        <f>IF(OR(J1580&lt;$AE$21,J1580&gt;$AF$21),"Outlier","OK")</f>
        <v>OK</v>
      </c>
      <c r="O1580" t="str">
        <f>IF(OR(C1580&lt;0,C1580&gt;1),"Outlier","OK")</f>
        <v>OK</v>
      </c>
      <c r="P1580" t="str">
        <f>IF(OR(D1580&lt;0,D1580&gt;1),"Outlier","OK")</f>
        <v>OK</v>
      </c>
      <c r="Q1580" t="str">
        <f t="shared" si="194"/>
        <v>60-80%</v>
      </c>
      <c r="R1580" t="str">
        <f>IF(B1580="","Missing","OK")</f>
        <v>OK</v>
      </c>
      <c r="S1580" t="str">
        <f>IF(E1580="","Missing","OK")</f>
        <v>OK</v>
      </c>
      <c r="T1580" t="str">
        <f t="shared" si="195"/>
        <v>OK</v>
      </c>
      <c r="U1580">
        <f>COUNTIF($A:$A,A1580)</f>
        <v>1</v>
      </c>
      <c r="V1580" t="str">
        <f t="shared" si="196"/>
        <v>OK</v>
      </c>
      <c r="W1580" t="str">
        <f>IF(I1580&gt;B1580,"ERROR","OK")</f>
        <v>OK</v>
      </c>
      <c r="X1580">
        <f>(B1580-I1580)/B1580</f>
        <v>0.76539702544400356</v>
      </c>
      <c r="Y1580" s="2">
        <f t="shared" si="197"/>
        <v>1.4432899320127035E-15</v>
      </c>
      <c r="Z1580" s="2" t="str">
        <f t="shared" si="198"/>
        <v>OK</v>
      </c>
      <c r="AA1580" t="str">
        <f t="shared" si="199"/>
        <v>Unique</v>
      </c>
    </row>
    <row r="1581" spans="1:27" x14ac:dyDescent="0.3">
      <c r="A1581">
        <v>1580</v>
      </c>
      <c r="B1581">
        <v>1418291.0237338799</v>
      </c>
      <c r="C1581">
        <v>0.35311923030283998</v>
      </c>
      <c r="D1581">
        <v>7.3564450062400005E-2</v>
      </c>
      <c r="E1581">
        <v>0.28726348679828201</v>
      </c>
      <c r="F1581">
        <v>1</v>
      </c>
      <c r="G1581" t="s">
        <v>11</v>
      </c>
      <c r="H1581">
        <v>1</v>
      </c>
      <c r="I1581">
        <v>407423.22477249999</v>
      </c>
      <c r="J1581">
        <v>0.71273651320171705</v>
      </c>
      <c r="K1581" t="str">
        <f t="shared" si="192"/>
        <v>OK</v>
      </c>
      <c r="L1581" t="str">
        <f t="shared" si="193"/>
        <v>OK</v>
      </c>
      <c r="M1581" t="str">
        <f>IF(OR(B1581&lt;$AE$20,B1581&gt;$AF$20),"Outlier","OK")</f>
        <v>OK</v>
      </c>
      <c r="N1581" t="str">
        <f>IF(OR(J1581&lt;$AE$21,J1581&gt;$AF$21),"Outlier","OK")</f>
        <v>OK</v>
      </c>
      <c r="O1581" t="str">
        <f>IF(OR(C1581&lt;0,C1581&gt;1),"Outlier","OK")</f>
        <v>OK</v>
      </c>
      <c r="P1581" t="str">
        <f>IF(OR(D1581&lt;0,D1581&gt;1),"Outlier","OK")</f>
        <v>OK</v>
      </c>
      <c r="Q1581" t="str">
        <f t="shared" si="194"/>
        <v>60-80%</v>
      </c>
      <c r="R1581" t="str">
        <f>IF(B1581="","Missing","OK")</f>
        <v>OK</v>
      </c>
      <c r="S1581" t="str">
        <f>IF(E1581="","Missing","OK")</f>
        <v>OK</v>
      </c>
      <c r="T1581" t="str">
        <f t="shared" si="195"/>
        <v>OK</v>
      </c>
      <c r="U1581">
        <f>COUNTIF($A:$A,A1581)</f>
        <v>1</v>
      </c>
      <c r="V1581" t="str">
        <f t="shared" si="196"/>
        <v>OK</v>
      </c>
      <c r="W1581" t="str">
        <f>IF(I1581&gt;B1581,"ERROR","OK")</f>
        <v>OK</v>
      </c>
      <c r="X1581">
        <f>(B1581-I1581)/B1581</f>
        <v>0.71273651320171749</v>
      </c>
      <c r="Y1581" s="2">
        <f t="shared" si="197"/>
        <v>4.4408920985006262E-16</v>
      </c>
      <c r="Z1581" s="2" t="str">
        <f t="shared" si="198"/>
        <v>OK</v>
      </c>
      <c r="AA1581" t="str">
        <f t="shared" si="199"/>
        <v>Unique</v>
      </c>
    </row>
    <row r="1582" spans="1:27" x14ac:dyDescent="0.3">
      <c r="A1582">
        <v>1581</v>
      </c>
      <c r="B1582">
        <v>471918.14538943802</v>
      </c>
      <c r="C1582">
        <v>0.47190118368386103</v>
      </c>
      <c r="D1582">
        <v>-2.95821272127634E-2</v>
      </c>
      <c r="E1582">
        <v>0.47545170384929297</v>
      </c>
      <c r="F1582">
        <v>1</v>
      </c>
      <c r="G1582" t="s">
        <v>13</v>
      </c>
      <c r="H1582">
        <v>0</v>
      </c>
      <c r="I1582">
        <v>224374.28630280701</v>
      </c>
      <c r="J1582">
        <v>0.52454829615070597</v>
      </c>
      <c r="K1582" t="str">
        <f t="shared" si="192"/>
        <v>OK</v>
      </c>
      <c r="L1582" t="str">
        <f t="shared" si="193"/>
        <v>OK</v>
      </c>
      <c r="M1582" t="str">
        <f>IF(OR(B1582&lt;$AE$20,B1582&gt;$AF$20),"Outlier","OK")</f>
        <v>OK</v>
      </c>
      <c r="N1582" t="str">
        <f>IF(OR(J1582&lt;$AE$21,J1582&gt;$AF$21),"Outlier","OK")</f>
        <v>OK</v>
      </c>
      <c r="O1582" t="str">
        <f>IF(OR(C1582&lt;0,C1582&gt;1),"Outlier","OK")</f>
        <v>OK</v>
      </c>
      <c r="P1582" t="str">
        <f>IF(OR(D1582&lt;0,D1582&gt;1),"Outlier","OK")</f>
        <v>Outlier</v>
      </c>
      <c r="Q1582" t="str">
        <f t="shared" si="194"/>
        <v>40-60%</v>
      </c>
      <c r="R1582" t="str">
        <f>IF(B1582="","Missing","OK")</f>
        <v>OK</v>
      </c>
      <c r="S1582" t="str">
        <f>IF(E1582="","Missing","OK")</f>
        <v>OK</v>
      </c>
      <c r="T1582" t="str">
        <f t="shared" si="195"/>
        <v>OK</v>
      </c>
      <c r="U1582">
        <f>COUNTIF($A:$A,A1582)</f>
        <v>1</v>
      </c>
      <c r="V1582" t="str">
        <f t="shared" si="196"/>
        <v>OK</v>
      </c>
      <c r="W1582" t="str">
        <f>IF(I1582&gt;B1582,"ERROR","OK")</f>
        <v>OK</v>
      </c>
      <c r="X1582">
        <f>(B1582-I1582)/B1582</f>
        <v>0.52454829615070631</v>
      </c>
      <c r="Y1582" s="2">
        <f t="shared" si="197"/>
        <v>3.3306690738754696E-16</v>
      </c>
      <c r="Z1582" s="2" t="str">
        <f t="shared" si="198"/>
        <v>OK</v>
      </c>
      <c r="AA1582" t="str">
        <f t="shared" si="199"/>
        <v>Unique</v>
      </c>
    </row>
    <row r="1583" spans="1:27" x14ac:dyDescent="0.3">
      <c r="A1583">
        <v>1582</v>
      </c>
      <c r="B1583">
        <v>737495.557085976</v>
      </c>
      <c r="C1583">
        <v>0.63464884396766497</v>
      </c>
      <c r="D1583">
        <v>7.8936510658414505E-2</v>
      </c>
      <c r="E1583">
        <v>0.135934843850058</v>
      </c>
      <c r="F1583">
        <v>1</v>
      </c>
      <c r="G1583" t="s">
        <v>12</v>
      </c>
      <c r="H1583">
        <v>1</v>
      </c>
      <c r="I1583">
        <v>100251.343392593</v>
      </c>
      <c r="J1583">
        <v>0.86406515614994095</v>
      </c>
      <c r="K1583" t="str">
        <f t="shared" si="192"/>
        <v>OK</v>
      </c>
      <c r="L1583" t="str">
        <f t="shared" si="193"/>
        <v>OK</v>
      </c>
      <c r="M1583" t="str">
        <f>IF(OR(B1583&lt;$AE$20,B1583&gt;$AF$20),"Outlier","OK")</f>
        <v>OK</v>
      </c>
      <c r="N1583" t="str">
        <f>IF(OR(J1583&lt;$AE$21,J1583&gt;$AF$21),"Outlier","OK")</f>
        <v>OK</v>
      </c>
      <c r="O1583" t="str">
        <f>IF(OR(C1583&lt;0,C1583&gt;1),"Outlier","OK")</f>
        <v>OK</v>
      </c>
      <c r="P1583" t="str">
        <f>IF(OR(D1583&lt;0,D1583&gt;1),"Outlier","OK")</f>
        <v>OK</v>
      </c>
      <c r="Q1583" t="str">
        <f t="shared" si="194"/>
        <v>80-100%</v>
      </c>
      <c r="R1583" t="str">
        <f>IF(B1583="","Missing","OK")</f>
        <v>OK</v>
      </c>
      <c r="S1583" t="str">
        <f>IF(E1583="","Missing","OK")</f>
        <v>OK</v>
      </c>
      <c r="T1583" t="str">
        <f t="shared" si="195"/>
        <v>OK</v>
      </c>
      <c r="U1583">
        <f>COUNTIF($A:$A,A1583)</f>
        <v>1</v>
      </c>
      <c r="V1583" t="str">
        <f t="shared" si="196"/>
        <v>OK</v>
      </c>
      <c r="W1583" t="str">
        <f>IF(I1583&gt;B1583,"ERROR","OK")</f>
        <v>OK</v>
      </c>
      <c r="X1583">
        <f>(B1583-I1583)/B1583</f>
        <v>0.86406515614994295</v>
      </c>
      <c r="Y1583" s="2">
        <f t="shared" si="197"/>
        <v>1.9984014443252818E-15</v>
      </c>
      <c r="Z1583" s="2" t="str">
        <f t="shared" si="198"/>
        <v>OK</v>
      </c>
      <c r="AA1583" t="str">
        <f t="shared" si="199"/>
        <v>Unique</v>
      </c>
    </row>
    <row r="1584" spans="1:27" x14ac:dyDescent="0.3">
      <c r="A1584">
        <v>1583</v>
      </c>
      <c r="B1584">
        <v>316942.16518103902</v>
      </c>
      <c r="C1584">
        <v>0.780650967795116</v>
      </c>
      <c r="D1584">
        <v>8.4410423702983101E-2</v>
      </c>
      <c r="E1584">
        <v>0.37568622812346197</v>
      </c>
      <c r="F1584">
        <v>1</v>
      </c>
      <c r="G1584" t="s">
        <v>11</v>
      </c>
      <c r="H1584">
        <v>1</v>
      </c>
      <c r="I1584">
        <v>119070.80657014799</v>
      </c>
      <c r="J1584">
        <v>0.62431377187653703</v>
      </c>
      <c r="K1584" t="str">
        <f t="shared" si="192"/>
        <v>OK</v>
      </c>
      <c r="L1584" t="str">
        <f t="shared" si="193"/>
        <v>OK</v>
      </c>
      <c r="M1584" t="str">
        <f>IF(OR(B1584&lt;$AE$20,B1584&gt;$AF$20),"Outlier","OK")</f>
        <v>OK</v>
      </c>
      <c r="N1584" t="str">
        <f>IF(OR(J1584&lt;$AE$21,J1584&gt;$AF$21),"Outlier","OK")</f>
        <v>OK</v>
      </c>
      <c r="O1584" t="str">
        <f>IF(OR(C1584&lt;0,C1584&gt;1),"Outlier","OK")</f>
        <v>OK</v>
      </c>
      <c r="P1584" t="str">
        <f>IF(OR(D1584&lt;0,D1584&gt;1),"Outlier","OK")</f>
        <v>OK</v>
      </c>
      <c r="Q1584" t="str">
        <f t="shared" si="194"/>
        <v>60-80%</v>
      </c>
      <c r="R1584" t="str">
        <f>IF(B1584="","Missing","OK")</f>
        <v>OK</v>
      </c>
      <c r="S1584" t="str">
        <f>IF(E1584="","Missing","OK")</f>
        <v>OK</v>
      </c>
      <c r="T1584" t="str">
        <f t="shared" si="195"/>
        <v>OK</v>
      </c>
      <c r="U1584">
        <f>COUNTIF($A:$A,A1584)</f>
        <v>1</v>
      </c>
      <c r="V1584" t="str">
        <f t="shared" si="196"/>
        <v>OK</v>
      </c>
      <c r="W1584" t="str">
        <f>IF(I1584&gt;B1584,"ERROR","OK")</f>
        <v>OK</v>
      </c>
      <c r="X1584">
        <f>(B1584-I1584)/B1584</f>
        <v>0.62431377187653747</v>
      </c>
      <c r="Y1584" s="2">
        <f t="shared" si="197"/>
        <v>4.4408920985006262E-16</v>
      </c>
      <c r="Z1584" s="2" t="str">
        <f t="shared" si="198"/>
        <v>OK</v>
      </c>
      <c r="AA1584" t="str">
        <f t="shared" si="199"/>
        <v>Unique</v>
      </c>
    </row>
    <row r="1585" spans="1:27" x14ac:dyDescent="0.3">
      <c r="A1585">
        <v>1584</v>
      </c>
      <c r="B1585">
        <v>1486961.6617996001</v>
      </c>
      <c r="C1585">
        <v>0.52617892713062497</v>
      </c>
      <c r="D1585">
        <v>-0.129440167255188</v>
      </c>
      <c r="E1585">
        <v>0.307422563016783</v>
      </c>
      <c r="F1585">
        <v>1</v>
      </c>
      <c r="G1585" t="s">
        <v>13</v>
      </c>
      <c r="H1585">
        <v>0</v>
      </c>
      <c r="I1585">
        <v>457125.56517812901</v>
      </c>
      <c r="J1585">
        <v>0.69257743698321605</v>
      </c>
      <c r="K1585" t="str">
        <f t="shared" si="192"/>
        <v>OK</v>
      </c>
      <c r="L1585" t="str">
        <f t="shared" si="193"/>
        <v>OK</v>
      </c>
      <c r="M1585" t="str">
        <f>IF(OR(B1585&lt;$AE$20,B1585&gt;$AF$20),"Outlier","OK")</f>
        <v>OK</v>
      </c>
      <c r="N1585" t="str">
        <f>IF(OR(J1585&lt;$AE$21,J1585&gt;$AF$21),"Outlier","OK")</f>
        <v>OK</v>
      </c>
      <c r="O1585" t="str">
        <f>IF(OR(C1585&lt;0,C1585&gt;1),"Outlier","OK")</f>
        <v>OK</v>
      </c>
      <c r="P1585" t="str">
        <f>IF(OR(D1585&lt;0,D1585&gt;1),"Outlier","OK")</f>
        <v>Outlier</v>
      </c>
      <c r="Q1585" t="str">
        <f t="shared" si="194"/>
        <v>60-80%</v>
      </c>
      <c r="R1585" t="str">
        <f>IF(B1585="","Missing","OK")</f>
        <v>OK</v>
      </c>
      <c r="S1585" t="str">
        <f>IF(E1585="","Missing","OK")</f>
        <v>OK</v>
      </c>
      <c r="T1585" t="str">
        <f t="shared" si="195"/>
        <v>OK</v>
      </c>
      <c r="U1585">
        <f>COUNTIF($A:$A,A1585)</f>
        <v>1</v>
      </c>
      <c r="V1585" t="str">
        <f t="shared" si="196"/>
        <v>OK</v>
      </c>
      <c r="W1585" t="str">
        <f>IF(I1585&gt;B1585,"ERROR","OK")</f>
        <v>OK</v>
      </c>
      <c r="X1585">
        <f>(B1585-I1585)/B1585</f>
        <v>0.69257743698321628</v>
      </c>
      <c r="Y1585" s="2">
        <f t="shared" si="197"/>
        <v>2.2204460492503131E-16</v>
      </c>
      <c r="Z1585" s="2" t="str">
        <f t="shared" si="198"/>
        <v>OK</v>
      </c>
      <c r="AA1585" t="str">
        <f t="shared" si="199"/>
        <v>Unique</v>
      </c>
    </row>
    <row r="1586" spans="1:27" x14ac:dyDescent="0.3">
      <c r="A1586">
        <v>1585</v>
      </c>
      <c r="B1586">
        <v>1900077.72279372</v>
      </c>
      <c r="C1586">
        <v>0.41022617781537601</v>
      </c>
      <c r="D1586">
        <v>7.6429741123133596E-2</v>
      </c>
      <c r="E1586">
        <v>0.29173464564270601</v>
      </c>
      <c r="F1586">
        <v>1</v>
      </c>
      <c r="G1586" t="s">
        <v>12</v>
      </c>
      <c r="H1586">
        <v>0</v>
      </c>
      <c r="I1586">
        <v>554318.50115282706</v>
      </c>
      <c r="J1586">
        <v>0.70826535435729299</v>
      </c>
      <c r="K1586" t="str">
        <f t="shared" si="192"/>
        <v>OK</v>
      </c>
      <c r="L1586" t="str">
        <f t="shared" si="193"/>
        <v>OK</v>
      </c>
      <c r="M1586" t="str">
        <f>IF(OR(B1586&lt;$AE$20,B1586&gt;$AF$20),"Outlier","OK")</f>
        <v>OK</v>
      </c>
      <c r="N1586" t="str">
        <f>IF(OR(J1586&lt;$AE$21,J1586&gt;$AF$21),"Outlier","OK")</f>
        <v>OK</v>
      </c>
      <c r="O1586" t="str">
        <f>IF(OR(C1586&lt;0,C1586&gt;1),"Outlier","OK")</f>
        <v>OK</v>
      </c>
      <c r="P1586" t="str">
        <f>IF(OR(D1586&lt;0,D1586&gt;1),"Outlier","OK")</f>
        <v>OK</v>
      </c>
      <c r="Q1586" t="str">
        <f t="shared" si="194"/>
        <v>60-80%</v>
      </c>
      <c r="R1586" t="str">
        <f>IF(B1586="","Missing","OK")</f>
        <v>OK</v>
      </c>
      <c r="S1586" t="str">
        <f>IF(E1586="","Missing","OK")</f>
        <v>OK</v>
      </c>
      <c r="T1586" t="str">
        <f t="shared" si="195"/>
        <v>OK</v>
      </c>
      <c r="U1586">
        <f>COUNTIF($A:$A,A1586)</f>
        <v>1</v>
      </c>
      <c r="V1586" t="str">
        <f t="shared" si="196"/>
        <v>OK</v>
      </c>
      <c r="W1586" t="str">
        <f>IF(I1586&gt;B1586,"ERROR","OK")</f>
        <v>OK</v>
      </c>
      <c r="X1586">
        <f>(B1586-I1586)/B1586</f>
        <v>0.70826535435729321</v>
      </c>
      <c r="Y1586" s="2">
        <f t="shared" si="197"/>
        <v>2.2204460492503131E-16</v>
      </c>
      <c r="Z1586" s="2" t="str">
        <f t="shared" si="198"/>
        <v>OK</v>
      </c>
      <c r="AA1586" t="str">
        <f t="shared" si="199"/>
        <v>Unique</v>
      </c>
    </row>
    <row r="1587" spans="1:27" x14ac:dyDescent="0.3">
      <c r="A1587">
        <v>1586</v>
      </c>
      <c r="B1587">
        <v>1482993.1098994</v>
      </c>
      <c r="C1587">
        <v>0.256461814663756</v>
      </c>
      <c r="D1587">
        <v>-0.12480143192104701</v>
      </c>
      <c r="E1587">
        <v>0.337988748810368</v>
      </c>
      <c r="F1587">
        <v>1</v>
      </c>
      <c r="G1587" t="s">
        <v>13</v>
      </c>
      <c r="H1587">
        <v>0</v>
      </c>
      <c r="I1587">
        <v>501234.98570929701</v>
      </c>
      <c r="J1587">
        <v>0.662011251189631</v>
      </c>
      <c r="K1587" t="str">
        <f t="shared" si="192"/>
        <v>OK</v>
      </c>
      <c r="L1587" t="str">
        <f t="shared" si="193"/>
        <v>OK</v>
      </c>
      <c r="M1587" t="str">
        <f>IF(OR(B1587&lt;$AE$20,B1587&gt;$AF$20),"Outlier","OK")</f>
        <v>OK</v>
      </c>
      <c r="N1587" t="str">
        <f>IF(OR(J1587&lt;$AE$21,J1587&gt;$AF$21),"Outlier","OK")</f>
        <v>OK</v>
      </c>
      <c r="O1587" t="str">
        <f>IF(OR(C1587&lt;0,C1587&gt;1),"Outlier","OK")</f>
        <v>OK</v>
      </c>
      <c r="P1587" t="str">
        <f>IF(OR(D1587&lt;0,D1587&gt;1),"Outlier","OK")</f>
        <v>Outlier</v>
      </c>
      <c r="Q1587" t="str">
        <f t="shared" si="194"/>
        <v>60-80%</v>
      </c>
      <c r="R1587" t="str">
        <f>IF(B1587="","Missing","OK")</f>
        <v>OK</v>
      </c>
      <c r="S1587" t="str">
        <f>IF(E1587="","Missing","OK")</f>
        <v>OK</v>
      </c>
      <c r="T1587" t="str">
        <f t="shared" si="195"/>
        <v>OK</v>
      </c>
      <c r="U1587">
        <f>COUNTIF($A:$A,A1587)</f>
        <v>1</v>
      </c>
      <c r="V1587" t="str">
        <f t="shared" si="196"/>
        <v>OK</v>
      </c>
      <c r="W1587" t="str">
        <f>IF(I1587&gt;B1587,"ERROR","OK")</f>
        <v>OK</v>
      </c>
      <c r="X1587">
        <f>(B1587-I1587)/B1587</f>
        <v>0.66201125118963056</v>
      </c>
      <c r="Y1587" s="2">
        <f t="shared" si="197"/>
        <v>4.4408920985006262E-16</v>
      </c>
      <c r="Z1587" s="2" t="str">
        <f t="shared" si="198"/>
        <v>OK</v>
      </c>
      <c r="AA1587" t="str">
        <f t="shared" si="199"/>
        <v>Unique</v>
      </c>
    </row>
    <row r="1588" spans="1:27" x14ac:dyDescent="0.3">
      <c r="A1588">
        <v>1587</v>
      </c>
      <c r="B1588">
        <v>293123.496271229</v>
      </c>
      <c r="C1588">
        <v>0.587084004096326</v>
      </c>
      <c r="D1588">
        <v>-0.15298710809450999</v>
      </c>
      <c r="E1588">
        <v>0.27386340782720697</v>
      </c>
      <c r="F1588">
        <v>1</v>
      </c>
      <c r="G1588" t="s">
        <v>12</v>
      </c>
      <c r="H1588">
        <v>1</v>
      </c>
      <c r="I1588">
        <v>80275.799603064705</v>
      </c>
      <c r="J1588">
        <v>0.72613659217279203</v>
      </c>
      <c r="K1588" t="str">
        <f t="shared" si="192"/>
        <v>OK</v>
      </c>
      <c r="L1588" t="str">
        <f t="shared" si="193"/>
        <v>OK</v>
      </c>
      <c r="M1588" t="str">
        <f>IF(OR(B1588&lt;$AE$20,B1588&gt;$AF$20),"Outlier","OK")</f>
        <v>OK</v>
      </c>
      <c r="N1588" t="str">
        <f>IF(OR(J1588&lt;$AE$21,J1588&gt;$AF$21),"Outlier","OK")</f>
        <v>OK</v>
      </c>
      <c r="O1588" t="str">
        <f>IF(OR(C1588&lt;0,C1588&gt;1),"Outlier","OK")</f>
        <v>OK</v>
      </c>
      <c r="P1588" t="str">
        <f>IF(OR(D1588&lt;0,D1588&gt;1),"Outlier","OK")</f>
        <v>Outlier</v>
      </c>
      <c r="Q1588" t="str">
        <f t="shared" si="194"/>
        <v>60-80%</v>
      </c>
      <c r="R1588" t="str">
        <f>IF(B1588="","Missing","OK")</f>
        <v>OK</v>
      </c>
      <c r="S1588" t="str">
        <f>IF(E1588="","Missing","OK")</f>
        <v>OK</v>
      </c>
      <c r="T1588" t="str">
        <f t="shared" si="195"/>
        <v>OK</v>
      </c>
      <c r="U1588">
        <f>COUNTIF($A:$A,A1588)</f>
        <v>1</v>
      </c>
      <c r="V1588" t="str">
        <f t="shared" si="196"/>
        <v>OK</v>
      </c>
      <c r="W1588" t="str">
        <f>IF(I1588&gt;B1588,"ERROR","OK")</f>
        <v>OK</v>
      </c>
      <c r="X1588">
        <f>(B1588-I1588)/B1588</f>
        <v>0.72613659217279181</v>
      </c>
      <c r="Y1588" s="2">
        <f t="shared" si="197"/>
        <v>2.2204460492503131E-16</v>
      </c>
      <c r="Z1588" s="2" t="str">
        <f t="shared" si="198"/>
        <v>OK</v>
      </c>
      <c r="AA1588" t="str">
        <f t="shared" si="199"/>
        <v>Unique</v>
      </c>
    </row>
    <row r="1589" spans="1:27" x14ac:dyDescent="0.3">
      <c r="A1589">
        <v>1588</v>
      </c>
      <c r="B1589">
        <v>1402062.43710438</v>
      </c>
      <c r="C1589">
        <v>0.36657394865073101</v>
      </c>
      <c r="D1589">
        <v>7.39938919527136E-3</v>
      </c>
      <c r="E1589">
        <v>0.29449947972625401</v>
      </c>
      <c r="F1589">
        <v>1</v>
      </c>
      <c r="G1589" t="s">
        <v>12</v>
      </c>
      <c r="H1589">
        <v>0</v>
      </c>
      <c r="I1589">
        <v>412906.65827096399</v>
      </c>
      <c r="J1589">
        <v>0.70550052027374499</v>
      </c>
      <c r="K1589" t="str">
        <f t="shared" si="192"/>
        <v>OK</v>
      </c>
      <c r="L1589" t="str">
        <f t="shared" si="193"/>
        <v>OK</v>
      </c>
      <c r="M1589" t="str">
        <f>IF(OR(B1589&lt;$AE$20,B1589&gt;$AF$20),"Outlier","OK")</f>
        <v>OK</v>
      </c>
      <c r="N1589" t="str">
        <f>IF(OR(J1589&lt;$AE$21,J1589&gt;$AF$21),"Outlier","OK")</f>
        <v>OK</v>
      </c>
      <c r="O1589" t="str">
        <f>IF(OR(C1589&lt;0,C1589&gt;1),"Outlier","OK")</f>
        <v>OK</v>
      </c>
      <c r="P1589" t="str">
        <f>IF(OR(D1589&lt;0,D1589&gt;1),"Outlier","OK")</f>
        <v>OK</v>
      </c>
      <c r="Q1589" t="str">
        <f t="shared" si="194"/>
        <v>60-80%</v>
      </c>
      <c r="R1589" t="str">
        <f>IF(B1589="","Missing","OK")</f>
        <v>OK</v>
      </c>
      <c r="S1589" t="str">
        <f>IF(E1589="","Missing","OK")</f>
        <v>OK</v>
      </c>
      <c r="T1589" t="str">
        <f t="shared" si="195"/>
        <v>OK</v>
      </c>
      <c r="U1589">
        <f>COUNTIF($A:$A,A1589)</f>
        <v>1</v>
      </c>
      <c r="V1589" t="str">
        <f t="shared" si="196"/>
        <v>OK</v>
      </c>
      <c r="W1589" t="str">
        <f>IF(I1589&gt;B1589,"ERROR","OK")</f>
        <v>OK</v>
      </c>
      <c r="X1589">
        <f>(B1589-I1589)/B1589</f>
        <v>0.70550052027374577</v>
      </c>
      <c r="Y1589" s="2">
        <f t="shared" si="197"/>
        <v>7.7715611723760958E-16</v>
      </c>
      <c r="Z1589" s="2" t="str">
        <f t="shared" si="198"/>
        <v>OK</v>
      </c>
      <c r="AA1589" t="str">
        <f t="shared" si="199"/>
        <v>Unique</v>
      </c>
    </row>
    <row r="1590" spans="1:27" x14ac:dyDescent="0.3">
      <c r="A1590">
        <v>1589</v>
      </c>
      <c r="B1590">
        <v>894789.12269458396</v>
      </c>
      <c r="C1590">
        <v>0.42628593632789302</v>
      </c>
      <c r="D1590">
        <v>-3.2510428946229603E-2</v>
      </c>
      <c r="E1590">
        <v>0.39173222931657198</v>
      </c>
      <c r="F1590">
        <v>1</v>
      </c>
      <c r="G1590" t="s">
        <v>11</v>
      </c>
      <c r="H1590">
        <v>1</v>
      </c>
      <c r="I1590">
        <v>350517.73780136899</v>
      </c>
      <c r="J1590">
        <v>0.60826777068342697</v>
      </c>
      <c r="K1590" t="str">
        <f t="shared" si="192"/>
        <v>OK</v>
      </c>
      <c r="L1590" t="str">
        <f t="shared" si="193"/>
        <v>OK</v>
      </c>
      <c r="M1590" t="str">
        <f>IF(OR(B1590&lt;$AE$20,B1590&gt;$AF$20),"Outlier","OK")</f>
        <v>OK</v>
      </c>
      <c r="N1590" t="str">
        <f>IF(OR(J1590&lt;$AE$21,J1590&gt;$AF$21),"Outlier","OK")</f>
        <v>OK</v>
      </c>
      <c r="O1590" t="str">
        <f>IF(OR(C1590&lt;0,C1590&gt;1),"Outlier","OK")</f>
        <v>OK</v>
      </c>
      <c r="P1590" t="str">
        <f>IF(OR(D1590&lt;0,D1590&gt;1),"Outlier","OK")</f>
        <v>Outlier</v>
      </c>
      <c r="Q1590" t="str">
        <f t="shared" si="194"/>
        <v>60-80%</v>
      </c>
      <c r="R1590" t="str">
        <f>IF(B1590="","Missing","OK")</f>
        <v>OK</v>
      </c>
      <c r="S1590" t="str">
        <f>IF(E1590="","Missing","OK")</f>
        <v>OK</v>
      </c>
      <c r="T1590" t="str">
        <f t="shared" si="195"/>
        <v>OK</v>
      </c>
      <c r="U1590">
        <f>COUNTIF($A:$A,A1590)</f>
        <v>1</v>
      </c>
      <c r="V1590" t="str">
        <f t="shared" si="196"/>
        <v>OK</v>
      </c>
      <c r="W1590" t="str">
        <f>IF(I1590&gt;B1590,"ERROR","OK")</f>
        <v>OK</v>
      </c>
      <c r="X1590">
        <f>(B1590-I1590)/B1590</f>
        <v>0.60826777068342808</v>
      </c>
      <c r="Y1590" s="2">
        <f t="shared" si="197"/>
        <v>1.1102230246251565E-15</v>
      </c>
      <c r="Z1590" s="2" t="str">
        <f t="shared" si="198"/>
        <v>OK</v>
      </c>
      <c r="AA1590" t="str">
        <f t="shared" si="199"/>
        <v>Unique</v>
      </c>
    </row>
    <row r="1591" spans="1:27" x14ac:dyDescent="0.3">
      <c r="A1591">
        <v>1590</v>
      </c>
      <c r="B1591">
        <v>229622.654897145</v>
      </c>
      <c r="C1591">
        <v>0.48176363182483301</v>
      </c>
      <c r="D1591">
        <v>3.2520113257652701E-2</v>
      </c>
      <c r="E1591">
        <v>0.10714135668201601</v>
      </c>
      <c r="F1591">
        <v>1</v>
      </c>
      <c r="G1591" t="s">
        <v>11</v>
      </c>
      <c r="H1591">
        <v>1</v>
      </c>
      <c r="I1591">
        <v>24602.082770606699</v>
      </c>
      <c r="J1591">
        <v>0.89285864331798304</v>
      </c>
      <c r="K1591" t="str">
        <f t="shared" si="192"/>
        <v>OK</v>
      </c>
      <c r="L1591" t="str">
        <f t="shared" si="193"/>
        <v>OK</v>
      </c>
      <c r="M1591" t="str">
        <f>IF(OR(B1591&lt;$AE$20,B1591&gt;$AF$20),"Outlier","OK")</f>
        <v>OK</v>
      </c>
      <c r="N1591" t="str">
        <f>IF(OR(J1591&lt;$AE$21,J1591&gt;$AF$21),"Outlier","OK")</f>
        <v>OK</v>
      </c>
      <c r="O1591" t="str">
        <f>IF(OR(C1591&lt;0,C1591&gt;1),"Outlier","OK")</f>
        <v>OK</v>
      </c>
      <c r="P1591" t="str">
        <f>IF(OR(D1591&lt;0,D1591&gt;1),"Outlier","OK")</f>
        <v>OK</v>
      </c>
      <c r="Q1591" t="str">
        <f t="shared" si="194"/>
        <v>80-100%</v>
      </c>
      <c r="R1591" t="str">
        <f>IF(B1591="","Missing","OK")</f>
        <v>OK</v>
      </c>
      <c r="S1591" t="str">
        <f>IF(E1591="","Missing","OK")</f>
        <v>OK</v>
      </c>
      <c r="T1591" t="str">
        <f t="shared" si="195"/>
        <v>OK</v>
      </c>
      <c r="U1591">
        <f>COUNTIF($A:$A,A1591)</f>
        <v>1</v>
      </c>
      <c r="V1591" t="str">
        <f t="shared" si="196"/>
        <v>OK</v>
      </c>
      <c r="W1591" t="str">
        <f>IF(I1591&gt;B1591,"ERROR","OK")</f>
        <v>OK</v>
      </c>
      <c r="X1591">
        <f>(B1591-I1591)/B1591</f>
        <v>0.89285864331798304</v>
      </c>
      <c r="Y1591" s="2">
        <f t="shared" si="197"/>
        <v>0</v>
      </c>
      <c r="Z1591" s="2" t="str">
        <f t="shared" si="198"/>
        <v>OK</v>
      </c>
      <c r="AA1591" t="str">
        <f t="shared" si="199"/>
        <v>Unique</v>
      </c>
    </row>
    <row r="1592" spans="1:27" x14ac:dyDescent="0.3">
      <c r="A1592">
        <v>1591</v>
      </c>
      <c r="B1592">
        <v>1998974.63792885</v>
      </c>
      <c r="C1592">
        <v>0.16678559580881699</v>
      </c>
      <c r="D1592">
        <v>5.8160059144944098E-3</v>
      </c>
      <c r="E1592">
        <v>0.18803693750540301</v>
      </c>
      <c r="F1592">
        <v>1</v>
      </c>
      <c r="G1592" t="s">
        <v>10</v>
      </c>
      <c r="H1592">
        <v>0</v>
      </c>
      <c r="I1592">
        <v>375881.06906711397</v>
      </c>
      <c r="J1592">
        <v>0.81196306249459604</v>
      </c>
      <c r="K1592" t="str">
        <f t="shared" si="192"/>
        <v>OK</v>
      </c>
      <c r="L1592" t="str">
        <f t="shared" si="193"/>
        <v>OK</v>
      </c>
      <c r="M1592" t="str">
        <f>IF(OR(B1592&lt;$AE$20,B1592&gt;$AF$20),"Outlier","OK")</f>
        <v>Outlier</v>
      </c>
      <c r="N1592" t="str">
        <f>IF(OR(J1592&lt;$AE$21,J1592&gt;$AF$21),"Outlier","OK")</f>
        <v>OK</v>
      </c>
      <c r="O1592" t="str">
        <f>IF(OR(C1592&lt;0,C1592&gt;1),"Outlier","OK")</f>
        <v>OK</v>
      </c>
      <c r="P1592" t="str">
        <f>IF(OR(D1592&lt;0,D1592&gt;1),"Outlier","OK")</f>
        <v>OK</v>
      </c>
      <c r="Q1592" t="str">
        <f t="shared" si="194"/>
        <v>80-100%</v>
      </c>
      <c r="R1592" t="str">
        <f>IF(B1592="","Missing","OK")</f>
        <v>OK</v>
      </c>
      <c r="S1592" t="str">
        <f>IF(E1592="","Missing","OK")</f>
        <v>OK</v>
      </c>
      <c r="T1592" t="str">
        <f t="shared" si="195"/>
        <v>OK</v>
      </c>
      <c r="U1592">
        <f>COUNTIF($A:$A,A1592)</f>
        <v>1</v>
      </c>
      <c r="V1592" t="str">
        <f t="shared" si="196"/>
        <v>OK</v>
      </c>
      <c r="W1592" t="str">
        <f>IF(I1592&gt;B1592,"ERROR","OK")</f>
        <v>OK</v>
      </c>
      <c r="X1592">
        <f>(B1592-I1592)/B1592</f>
        <v>0.81196306249459638</v>
      </c>
      <c r="Y1592" s="2">
        <f t="shared" si="197"/>
        <v>3.3306690738754696E-16</v>
      </c>
      <c r="Z1592" s="2" t="str">
        <f t="shared" si="198"/>
        <v>OK</v>
      </c>
      <c r="AA1592" t="str">
        <f t="shared" si="199"/>
        <v>Unique</v>
      </c>
    </row>
    <row r="1593" spans="1:27" x14ac:dyDescent="0.3">
      <c r="A1593">
        <v>1592</v>
      </c>
      <c r="B1593">
        <v>1462044.31693793</v>
      </c>
      <c r="C1593">
        <v>0.35813592900054397</v>
      </c>
      <c r="D1593">
        <v>-0.109229009260484</v>
      </c>
      <c r="E1593">
        <v>0.42797487893356301</v>
      </c>
      <c r="F1593">
        <v>1</v>
      </c>
      <c r="G1593" t="s">
        <v>11</v>
      </c>
      <c r="H1593">
        <v>1</v>
      </c>
      <c r="I1593">
        <v>625718.23953701498</v>
      </c>
      <c r="J1593">
        <v>0.57202512106643699</v>
      </c>
      <c r="K1593" t="str">
        <f t="shared" si="192"/>
        <v>OK</v>
      </c>
      <c r="L1593" t="str">
        <f t="shared" si="193"/>
        <v>OK</v>
      </c>
      <c r="M1593" t="str">
        <f>IF(OR(B1593&lt;$AE$20,B1593&gt;$AF$20),"Outlier","OK")</f>
        <v>OK</v>
      </c>
      <c r="N1593" t="str">
        <f>IF(OR(J1593&lt;$AE$21,J1593&gt;$AF$21),"Outlier","OK")</f>
        <v>OK</v>
      </c>
      <c r="O1593" t="str">
        <f>IF(OR(C1593&lt;0,C1593&gt;1),"Outlier","OK")</f>
        <v>OK</v>
      </c>
      <c r="P1593" t="str">
        <f>IF(OR(D1593&lt;0,D1593&gt;1),"Outlier","OK")</f>
        <v>Outlier</v>
      </c>
      <c r="Q1593" t="str">
        <f t="shared" si="194"/>
        <v>40-60%</v>
      </c>
      <c r="R1593" t="str">
        <f>IF(B1593="","Missing","OK")</f>
        <v>OK</v>
      </c>
      <c r="S1593" t="str">
        <f>IF(E1593="","Missing","OK")</f>
        <v>OK</v>
      </c>
      <c r="T1593" t="str">
        <f t="shared" si="195"/>
        <v>OK</v>
      </c>
      <c r="U1593">
        <f>COUNTIF($A:$A,A1593)</f>
        <v>1</v>
      </c>
      <c r="V1593" t="str">
        <f t="shared" si="196"/>
        <v>OK</v>
      </c>
      <c r="W1593" t="str">
        <f>IF(I1593&gt;B1593,"ERROR","OK")</f>
        <v>OK</v>
      </c>
      <c r="X1593">
        <f>(B1593-I1593)/B1593</f>
        <v>0.57202512106643655</v>
      </c>
      <c r="Y1593" s="2">
        <f t="shared" si="197"/>
        <v>4.4408920985006262E-16</v>
      </c>
      <c r="Z1593" s="2" t="str">
        <f t="shared" si="198"/>
        <v>OK</v>
      </c>
      <c r="AA1593" t="str">
        <f t="shared" si="199"/>
        <v>Unique</v>
      </c>
    </row>
    <row r="1594" spans="1:27" x14ac:dyDescent="0.3">
      <c r="A1594">
        <v>1593</v>
      </c>
      <c r="B1594">
        <v>1263754.0400506</v>
      </c>
      <c r="C1594">
        <v>0.76820874424428998</v>
      </c>
      <c r="D1594">
        <v>-1.0290033976111499E-2</v>
      </c>
      <c r="E1594">
        <v>0.34065291385639601</v>
      </c>
      <c r="F1594">
        <v>1</v>
      </c>
      <c r="G1594" t="s">
        <v>13</v>
      </c>
      <c r="H1594">
        <v>0</v>
      </c>
      <c r="I1594">
        <v>430501.49614103301</v>
      </c>
      <c r="J1594">
        <v>0.65934708614360305</v>
      </c>
      <c r="K1594" t="str">
        <f t="shared" si="192"/>
        <v>OK</v>
      </c>
      <c r="L1594" t="str">
        <f t="shared" si="193"/>
        <v>OK</v>
      </c>
      <c r="M1594" t="str">
        <f>IF(OR(B1594&lt;$AE$20,B1594&gt;$AF$20),"Outlier","OK")</f>
        <v>OK</v>
      </c>
      <c r="N1594" t="str">
        <f>IF(OR(J1594&lt;$AE$21,J1594&gt;$AF$21),"Outlier","OK")</f>
        <v>OK</v>
      </c>
      <c r="O1594" t="str">
        <f>IF(OR(C1594&lt;0,C1594&gt;1),"Outlier","OK")</f>
        <v>OK</v>
      </c>
      <c r="P1594" t="str">
        <f>IF(OR(D1594&lt;0,D1594&gt;1),"Outlier","OK")</f>
        <v>Outlier</v>
      </c>
      <c r="Q1594" t="str">
        <f t="shared" si="194"/>
        <v>60-80%</v>
      </c>
      <c r="R1594" t="str">
        <f>IF(B1594="","Missing","OK")</f>
        <v>OK</v>
      </c>
      <c r="S1594" t="str">
        <f>IF(E1594="","Missing","OK")</f>
        <v>OK</v>
      </c>
      <c r="T1594" t="str">
        <f t="shared" si="195"/>
        <v>OK</v>
      </c>
      <c r="U1594">
        <f>COUNTIF($A:$A,A1594)</f>
        <v>1</v>
      </c>
      <c r="V1594" t="str">
        <f t="shared" si="196"/>
        <v>OK</v>
      </c>
      <c r="W1594" t="str">
        <f>IF(I1594&gt;B1594,"ERROR","OK")</f>
        <v>OK</v>
      </c>
      <c r="X1594">
        <f>(B1594-I1594)/B1594</f>
        <v>0.65934708614360116</v>
      </c>
      <c r="Y1594" s="2">
        <f t="shared" si="197"/>
        <v>1.8873791418627661E-15</v>
      </c>
      <c r="Z1594" s="2" t="str">
        <f t="shared" si="198"/>
        <v>OK</v>
      </c>
      <c r="AA1594" t="str">
        <f t="shared" si="199"/>
        <v>Unique</v>
      </c>
    </row>
    <row r="1595" spans="1:27" x14ac:dyDescent="0.3">
      <c r="A1595">
        <v>1594</v>
      </c>
      <c r="B1595">
        <v>1752540.8530691999</v>
      </c>
      <c r="C1595">
        <v>0.68148297801555702</v>
      </c>
      <c r="D1595">
        <v>4.0489229472509103E-2</v>
      </c>
      <c r="E1595">
        <v>0.31098247979212601</v>
      </c>
      <c r="F1595">
        <v>1</v>
      </c>
      <c r="G1595" t="s">
        <v>11</v>
      </c>
      <c r="H1595">
        <v>0</v>
      </c>
      <c r="I1595">
        <v>545009.50042447099</v>
      </c>
      <c r="J1595">
        <v>0.68901752020787299</v>
      </c>
      <c r="K1595" t="str">
        <f t="shared" si="192"/>
        <v>OK</v>
      </c>
      <c r="L1595" t="str">
        <f t="shared" si="193"/>
        <v>OK</v>
      </c>
      <c r="M1595" t="str">
        <f>IF(OR(B1595&lt;$AE$20,B1595&gt;$AF$20),"Outlier","OK")</f>
        <v>OK</v>
      </c>
      <c r="N1595" t="str">
        <f>IF(OR(J1595&lt;$AE$21,J1595&gt;$AF$21),"Outlier","OK")</f>
        <v>OK</v>
      </c>
      <c r="O1595" t="str">
        <f>IF(OR(C1595&lt;0,C1595&gt;1),"Outlier","OK")</f>
        <v>OK</v>
      </c>
      <c r="P1595" t="str">
        <f>IF(OR(D1595&lt;0,D1595&gt;1),"Outlier","OK")</f>
        <v>OK</v>
      </c>
      <c r="Q1595" t="str">
        <f t="shared" si="194"/>
        <v>60-80%</v>
      </c>
      <c r="R1595" t="str">
        <f>IF(B1595="","Missing","OK")</f>
        <v>OK</v>
      </c>
      <c r="S1595" t="str">
        <f>IF(E1595="","Missing","OK")</f>
        <v>OK</v>
      </c>
      <c r="T1595" t="str">
        <f t="shared" si="195"/>
        <v>OK</v>
      </c>
      <c r="U1595">
        <f>COUNTIF($A:$A,A1595)</f>
        <v>1</v>
      </c>
      <c r="V1595" t="str">
        <f t="shared" si="196"/>
        <v>OK</v>
      </c>
      <c r="W1595" t="str">
        <f>IF(I1595&gt;B1595,"ERROR","OK")</f>
        <v>OK</v>
      </c>
      <c r="X1595">
        <f>(B1595-I1595)/B1595</f>
        <v>0.6890175202078721</v>
      </c>
      <c r="Y1595" s="2">
        <f t="shared" si="197"/>
        <v>8.8817841970012523E-16</v>
      </c>
      <c r="Z1595" s="2" t="str">
        <f t="shared" si="198"/>
        <v>OK</v>
      </c>
      <c r="AA1595" t="str">
        <f t="shared" si="199"/>
        <v>Unique</v>
      </c>
    </row>
    <row r="1596" spans="1:27" x14ac:dyDescent="0.3">
      <c r="A1596">
        <v>1595</v>
      </c>
      <c r="B1596">
        <v>684415.13423744298</v>
      </c>
      <c r="C1596">
        <v>0.36844877496011902</v>
      </c>
      <c r="D1596">
        <v>7.0666647263197796E-2</v>
      </c>
      <c r="E1596">
        <v>0.12767592376029299</v>
      </c>
      <c r="F1596">
        <v>1</v>
      </c>
      <c r="G1596" t="s">
        <v>12</v>
      </c>
      <c r="H1596">
        <v>1</v>
      </c>
      <c r="I1596">
        <v>87383.334499291203</v>
      </c>
      <c r="J1596">
        <v>0.87232407623970598</v>
      </c>
      <c r="K1596" t="str">
        <f t="shared" si="192"/>
        <v>OK</v>
      </c>
      <c r="L1596" t="str">
        <f t="shared" si="193"/>
        <v>OK</v>
      </c>
      <c r="M1596" t="str">
        <f>IF(OR(B1596&lt;$AE$20,B1596&gt;$AF$20),"Outlier","OK")</f>
        <v>OK</v>
      </c>
      <c r="N1596" t="str">
        <f>IF(OR(J1596&lt;$AE$21,J1596&gt;$AF$21),"Outlier","OK")</f>
        <v>OK</v>
      </c>
      <c r="O1596" t="str">
        <f>IF(OR(C1596&lt;0,C1596&gt;1),"Outlier","OK")</f>
        <v>OK</v>
      </c>
      <c r="P1596" t="str">
        <f>IF(OR(D1596&lt;0,D1596&gt;1),"Outlier","OK")</f>
        <v>OK</v>
      </c>
      <c r="Q1596" t="str">
        <f t="shared" si="194"/>
        <v>80-100%</v>
      </c>
      <c r="R1596" t="str">
        <f>IF(B1596="","Missing","OK")</f>
        <v>OK</v>
      </c>
      <c r="S1596" t="str">
        <f>IF(E1596="","Missing","OK")</f>
        <v>OK</v>
      </c>
      <c r="T1596" t="str">
        <f t="shared" si="195"/>
        <v>OK</v>
      </c>
      <c r="U1596">
        <f>COUNTIF($A:$A,A1596)</f>
        <v>1</v>
      </c>
      <c r="V1596" t="str">
        <f t="shared" si="196"/>
        <v>OK</v>
      </c>
      <c r="W1596" t="str">
        <f>IF(I1596&gt;B1596,"ERROR","OK")</f>
        <v>OK</v>
      </c>
      <c r="X1596">
        <f>(B1596-I1596)/B1596</f>
        <v>0.87232407623970587</v>
      </c>
      <c r="Y1596" s="2">
        <f t="shared" si="197"/>
        <v>1.1102230246251565E-16</v>
      </c>
      <c r="Z1596" s="2" t="str">
        <f t="shared" si="198"/>
        <v>OK</v>
      </c>
      <c r="AA1596" t="str">
        <f t="shared" si="199"/>
        <v>Unique</v>
      </c>
    </row>
    <row r="1597" spans="1:27" x14ac:dyDescent="0.3">
      <c r="A1597">
        <v>1596</v>
      </c>
      <c r="B1597">
        <v>1350347.9261185699</v>
      </c>
      <c r="C1597">
        <v>0.31586299453083599</v>
      </c>
      <c r="D1597">
        <v>-0.15795736892342899</v>
      </c>
      <c r="E1597">
        <v>0.37471758819471601</v>
      </c>
      <c r="F1597">
        <v>1</v>
      </c>
      <c r="G1597" t="s">
        <v>10</v>
      </c>
      <c r="H1597">
        <v>1</v>
      </c>
      <c r="I1597">
        <v>505999.11809888802</v>
      </c>
      <c r="J1597">
        <v>0.62528241180528299</v>
      </c>
      <c r="K1597" t="str">
        <f t="shared" si="192"/>
        <v>OK</v>
      </c>
      <c r="L1597" t="str">
        <f t="shared" si="193"/>
        <v>OK</v>
      </c>
      <c r="M1597" t="str">
        <f>IF(OR(B1597&lt;$AE$20,B1597&gt;$AF$20),"Outlier","OK")</f>
        <v>OK</v>
      </c>
      <c r="N1597" t="str">
        <f>IF(OR(J1597&lt;$AE$21,J1597&gt;$AF$21),"Outlier","OK")</f>
        <v>OK</v>
      </c>
      <c r="O1597" t="str">
        <f>IF(OR(C1597&lt;0,C1597&gt;1),"Outlier","OK")</f>
        <v>OK</v>
      </c>
      <c r="P1597" t="str">
        <f>IF(OR(D1597&lt;0,D1597&gt;1),"Outlier","OK")</f>
        <v>Outlier</v>
      </c>
      <c r="Q1597" t="str">
        <f t="shared" si="194"/>
        <v>60-80%</v>
      </c>
      <c r="R1597" t="str">
        <f>IF(B1597="","Missing","OK")</f>
        <v>OK</v>
      </c>
      <c r="S1597" t="str">
        <f>IF(E1597="","Missing","OK")</f>
        <v>OK</v>
      </c>
      <c r="T1597" t="str">
        <f t="shared" si="195"/>
        <v>OK</v>
      </c>
      <c r="U1597">
        <f>COUNTIF($A:$A,A1597)</f>
        <v>1</v>
      </c>
      <c r="V1597" t="str">
        <f t="shared" si="196"/>
        <v>OK</v>
      </c>
      <c r="W1597" t="str">
        <f>IF(I1597&gt;B1597,"ERROR","OK")</f>
        <v>OK</v>
      </c>
      <c r="X1597">
        <f>(B1597-I1597)/B1597</f>
        <v>0.62528241180528321</v>
      </c>
      <c r="Y1597" s="2">
        <f t="shared" si="197"/>
        <v>2.2204460492503131E-16</v>
      </c>
      <c r="Z1597" s="2" t="str">
        <f t="shared" si="198"/>
        <v>OK</v>
      </c>
      <c r="AA1597" t="str">
        <f t="shared" si="199"/>
        <v>Unique</v>
      </c>
    </row>
    <row r="1598" spans="1:27" x14ac:dyDescent="0.3">
      <c r="A1598">
        <v>1597</v>
      </c>
      <c r="B1598">
        <v>963146.84330909001</v>
      </c>
      <c r="C1598">
        <v>0.87560300137053404</v>
      </c>
      <c r="D1598">
        <v>-0.102915439289709</v>
      </c>
      <c r="E1598">
        <v>0.16388795661531499</v>
      </c>
      <c r="F1598">
        <v>1</v>
      </c>
      <c r="G1598" t="s">
        <v>12</v>
      </c>
      <c r="H1598">
        <v>0</v>
      </c>
      <c r="I1598">
        <v>157848.16807041701</v>
      </c>
      <c r="J1598">
        <v>0.83611204338468403</v>
      </c>
      <c r="K1598" t="str">
        <f t="shared" si="192"/>
        <v>OK</v>
      </c>
      <c r="L1598" t="str">
        <f t="shared" si="193"/>
        <v>OK</v>
      </c>
      <c r="M1598" t="str">
        <f>IF(OR(B1598&lt;$AE$20,B1598&gt;$AF$20),"Outlier","OK")</f>
        <v>OK</v>
      </c>
      <c r="N1598" t="str">
        <f>IF(OR(J1598&lt;$AE$21,J1598&gt;$AF$21),"Outlier","OK")</f>
        <v>OK</v>
      </c>
      <c r="O1598" t="str">
        <f>IF(OR(C1598&lt;0,C1598&gt;1),"Outlier","OK")</f>
        <v>OK</v>
      </c>
      <c r="P1598" t="str">
        <f>IF(OR(D1598&lt;0,D1598&gt;1),"Outlier","OK")</f>
        <v>Outlier</v>
      </c>
      <c r="Q1598" t="str">
        <f t="shared" si="194"/>
        <v>80-100%</v>
      </c>
      <c r="R1598" t="str">
        <f>IF(B1598="","Missing","OK")</f>
        <v>OK</v>
      </c>
      <c r="S1598" t="str">
        <f>IF(E1598="","Missing","OK")</f>
        <v>OK</v>
      </c>
      <c r="T1598" t="str">
        <f t="shared" si="195"/>
        <v>OK</v>
      </c>
      <c r="U1598">
        <f>COUNTIF($A:$A,A1598)</f>
        <v>1</v>
      </c>
      <c r="V1598" t="str">
        <f t="shared" si="196"/>
        <v>OK</v>
      </c>
      <c r="W1598" t="str">
        <f>IF(I1598&gt;B1598,"ERROR","OK")</f>
        <v>OK</v>
      </c>
      <c r="X1598">
        <f>(B1598-I1598)/B1598</f>
        <v>0.8361120433846857</v>
      </c>
      <c r="Y1598" s="2">
        <f t="shared" si="197"/>
        <v>1.6653345369377348E-15</v>
      </c>
      <c r="Z1598" s="2" t="str">
        <f t="shared" si="198"/>
        <v>OK</v>
      </c>
      <c r="AA1598" t="str">
        <f t="shared" si="199"/>
        <v>Unique</v>
      </c>
    </row>
    <row r="1599" spans="1:27" x14ac:dyDescent="0.3">
      <c r="A1599">
        <v>1598</v>
      </c>
      <c r="B1599">
        <v>291702.04707392497</v>
      </c>
      <c r="C1599">
        <v>0.26624855508371997</v>
      </c>
      <c r="D1599">
        <v>-0.14112243774079</v>
      </c>
      <c r="E1599">
        <v>0.31175869207874402</v>
      </c>
      <c r="F1599">
        <v>1</v>
      </c>
      <c r="G1599" t="s">
        <v>10</v>
      </c>
      <c r="H1599">
        <v>0</v>
      </c>
      <c r="I1599">
        <v>90940.648672459094</v>
      </c>
      <c r="J1599">
        <v>0.68824130792125504</v>
      </c>
      <c r="K1599" t="str">
        <f t="shared" si="192"/>
        <v>OK</v>
      </c>
      <c r="L1599" t="str">
        <f t="shared" si="193"/>
        <v>OK</v>
      </c>
      <c r="M1599" t="str">
        <f>IF(OR(B1599&lt;$AE$20,B1599&gt;$AF$20),"Outlier","OK")</f>
        <v>OK</v>
      </c>
      <c r="N1599" t="str">
        <f>IF(OR(J1599&lt;$AE$21,J1599&gt;$AF$21),"Outlier","OK")</f>
        <v>OK</v>
      </c>
      <c r="O1599" t="str">
        <f>IF(OR(C1599&lt;0,C1599&gt;1),"Outlier","OK")</f>
        <v>OK</v>
      </c>
      <c r="P1599" t="str">
        <f>IF(OR(D1599&lt;0,D1599&gt;1),"Outlier","OK")</f>
        <v>Outlier</v>
      </c>
      <c r="Q1599" t="str">
        <f t="shared" si="194"/>
        <v>60-80%</v>
      </c>
      <c r="R1599" t="str">
        <f>IF(B1599="","Missing","OK")</f>
        <v>OK</v>
      </c>
      <c r="S1599" t="str">
        <f>IF(E1599="","Missing","OK")</f>
        <v>OK</v>
      </c>
      <c r="T1599" t="str">
        <f t="shared" si="195"/>
        <v>OK</v>
      </c>
      <c r="U1599">
        <f>COUNTIF($A:$A,A1599)</f>
        <v>1</v>
      </c>
      <c r="V1599" t="str">
        <f t="shared" si="196"/>
        <v>OK</v>
      </c>
      <c r="W1599" t="str">
        <f>IF(I1599&gt;B1599,"ERROR","OK")</f>
        <v>OK</v>
      </c>
      <c r="X1599">
        <f>(B1599-I1599)/B1599</f>
        <v>0.68824130792125593</v>
      </c>
      <c r="Y1599" s="2">
        <f t="shared" si="197"/>
        <v>8.8817841970012523E-16</v>
      </c>
      <c r="Z1599" s="2" t="str">
        <f t="shared" si="198"/>
        <v>OK</v>
      </c>
      <c r="AA1599" t="str">
        <f t="shared" si="199"/>
        <v>Unique</v>
      </c>
    </row>
    <row r="1600" spans="1:27" x14ac:dyDescent="0.3">
      <c r="A1600">
        <v>1599</v>
      </c>
      <c r="B1600">
        <v>1105085.9417562601</v>
      </c>
      <c r="C1600">
        <v>0.40268314791066101</v>
      </c>
      <c r="D1600">
        <v>0.10775643026404901</v>
      </c>
      <c r="E1600">
        <v>0.47408894271514901</v>
      </c>
      <c r="F1600">
        <v>1</v>
      </c>
      <c r="G1600" t="s">
        <v>12</v>
      </c>
      <c r="H1600">
        <v>1</v>
      </c>
      <c r="I1600">
        <v>523909.025736604</v>
      </c>
      <c r="J1600">
        <v>0.52591105728484999</v>
      </c>
      <c r="K1600" t="str">
        <f t="shared" si="192"/>
        <v>OK</v>
      </c>
      <c r="L1600" t="str">
        <f t="shared" si="193"/>
        <v>OK</v>
      </c>
      <c r="M1600" t="str">
        <f>IF(OR(B1600&lt;$AE$20,B1600&gt;$AF$20),"Outlier","OK")</f>
        <v>OK</v>
      </c>
      <c r="N1600" t="str">
        <f>IF(OR(J1600&lt;$AE$21,J1600&gt;$AF$21),"Outlier","OK")</f>
        <v>OK</v>
      </c>
      <c r="O1600" t="str">
        <f>IF(OR(C1600&lt;0,C1600&gt;1),"Outlier","OK")</f>
        <v>OK</v>
      </c>
      <c r="P1600" t="str">
        <f>IF(OR(D1600&lt;0,D1600&gt;1),"Outlier","OK")</f>
        <v>OK</v>
      </c>
      <c r="Q1600" t="str">
        <f t="shared" si="194"/>
        <v>40-60%</v>
      </c>
      <c r="R1600" t="str">
        <f>IF(B1600="","Missing","OK")</f>
        <v>OK</v>
      </c>
      <c r="S1600" t="str">
        <f>IF(E1600="","Missing","OK")</f>
        <v>OK</v>
      </c>
      <c r="T1600" t="str">
        <f t="shared" si="195"/>
        <v>OK</v>
      </c>
      <c r="U1600">
        <f>COUNTIF($A:$A,A1600)</f>
        <v>1</v>
      </c>
      <c r="V1600" t="str">
        <f t="shared" si="196"/>
        <v>OK</v>
      </c>
      <c r="W1600" t="str">
        <f>IF(I1600&gt;B1600,"ERROR","OK")</f>
        <v>OK</v>
      </c>
      <c r="X1600">
        <f>(B1600-I1600)/B1600</f>
        <v>0.52591105728484744</v>
      </c>
      <c r="Y1600" s="2">
        <f t="shared" si="197"/>
        <v>2.55351295663786E-15</v>
      </c>
      <c r="Z1600" s="2" t="str">
        <f t="shared" si="198"/>
        <v>OK</v>
      </c>
      <c r="AA1600" t="str">
        <f t="shared" si="199"/>
        <v>Unique</v>
      </c>
    </row>
    <row r="1601" spans="1:27" x14ac:dyDescent="0.3">
      <c r="A1601">
        <v>1600</v>
      </c>
      <c r="B1601">
        <v>1282223.50105588</v>
      </c>
      <c r="C1601">
        <v>0.72629946885482</v>
      </c>
      <c r="D1601">
        <v>-0.19414953775143201</v>
      </c>
      <c r="E1601">
        <v>0.57154358041653597</v>
      </c>
      <c r="F1601">
        <v>1</v>
      </c>
      <c r="G1601" t="s">
        <v>11</v>
      </c>
      <c r="H1601">
        <v>0</v>
      </c>
      <c r="I1601">
        <v>732846.61068770697</v>
      </c>
      <c r="J1601">
        <v>0.42845641958346298</v>
      </c>
      <c r="K1601" t="str">
        <f t="shared" si="192"/>
        <v>OK</v>
      </c>
      <c r="L1601" t="str">
        <f t="shared" si="193"/>
        <v>OK</v>
      </c>
      <c r="M1601" t="str">
        <f>IF(OR(B1601&lt;$AE$20,B1601&gt;$AF$20),"Outlier","OK")</f>
        <v>OK</v>
      </c>
      <c r="N1601" t="str">
        <f>IF(OR(J1601&lt;$AE$21,J1601&gt;$AF$21),"Outlier","OK")</f>
        <v>OK</v>
      </c>
      <c r="O1601" t="str">
        <f>IF(OR(C1601&lt;0,C1601&gt;1),"Outlier","OK")</f>
        <v>OK</v>
      </c>
      <c r="P1601" t="str">
        <f>IF(OR(D1601&lt;0,D1601&gt;1),"Outlier","OK")</f>
        <v>Outlier</v>
      </c>
      <c r="Q1601" t="str">
        <f t="shared" si="194"/>
        <v>40-60%</v>
      </c>
      <c r="R1601" t="str">
        <f>IF(B1601="","Missing","OK")</f>
        <v>OK</v>
      </c>
      <c r="S1601" t="str">
        <f>IF(E1601="","Missing","OK")</f>
        <v>OK</v>
      </c>
      <c r="T1601" t="str">
        <f t="shared" si="195"/>
        <v>OK</v>
      </c>
      <c r="U1601">
        <f>COUNTIF($A:$A,A1601)</f>
        <v>1</v>
      </c>
      <c r="V1601" t="str">
        <f t="shared" si="196"/>
        <v>OK</v>
      </c>
      <c r="W1601" t="str">
        <f>IF(I1601&gt;B1601,"ERROR","OK")</f>
        <v>OK</v>
      </c>
      <c r="X1601">
        <f>(B1601-I1601)/B1601</f>
        <v>0.42845641958346142</v>
      </c>
      <c r="Y1601" s="2">
        <f t="shared" si="197"/>
        <v>1.5543122344752192E-15</v>
      </c>
      <c r="Z1601" s="2" t="str">
        <f t="shared" si="198"/>
        <v>OK</v>
      </c>
      <c r="AA1601" t="str">
        <f t="shared" si="199"/>
        <v>Unique</v>
      </c>
    </row>
    <row r="1602" spans="1:27" x14ac:dyDescent="0.3">
      <c r="A1602">
        <v>1601</v>
      </c>
      <c r="B1602">
        <v>972837.31254713202</v>
      </c>
      <c r="C1602">
        <v>0.63178828653610097</v>
      </c>
      <c r="D1602">
        <v>3.9805872679137003E-2</v>
      </c>
      <c r="E1602">
        <v>0.20242540149871899</v>
      </c>
      <c r="F1602">
        <v>1</v>
      </c>
      <c r="G1602" t="s">
        <v>13</v>
      </c>
      <c r="H1602">
        <v>1</v>
      </c>
      <c r="I1602">
        <v>196926.98358528799</v>
      </c>
      <c r="J1602">
        <v>0.79757459850127999</v>
      </c>
      <c r="K1602" t="str">
        <f t="shared" si="192"/>
        <v>OK</v>
      </c>
      <c r="L1602" t="str">
        <f t="shared" si="193"/>
        <v>OK</v>
      </c>
      <c r="M1602" t="str">
        <f>IF(OR(B1602&lt;$AE$20,B1602&gt;$AF$20),"Outlier","OK")</f>
        <v>OK</v>
      </c>
      <c r="N1602" t="str">
        <f>IF(OR(J1602&lt;$AE$21,J1602&gt;$AF$21),"Outlier","OK")</f>
        <v>OK</v>
      </c>
      <c r="O1602" t="str">
        <f>IF(OR(C1602&lt;0,C1602&gt;1),"Outlier","OK")</f>
        <v>OK</v>
      </c>
      <c r="P1602" t="str">
        <f>IF(OR(D1602&lt;0,D1602&gt;1),"Outlier","OK")</f>
        <v>OK</v>
      </c>
      <c r="Q1602" t="str">
        <f t="shared" si="194"/>
        <v>60-80%</v>
      </c>
      <c r="R1602" t="str">
        <f>IF(B1602="","Missing","OK")</f>
        <v>OK</v>
      </c>
      <c r="S1602" t="str">
        <f>IF(E1602="","Missing","OK")</f>
        <v>OK</v>
      </c>
      <c r="T1602" t="str">
        <f t="shared" si="195"/>
        <v>OK</v>
      </c>
      <c r="U1602">
        <f>COUNTIF($A:$A,A1602)</f>
        <v>1</v>
      </c>
      <c r="V1602" t="str">
        <f t="shared" si="196"/>
        <v>OK</v>
      </c>
      <c r="W1602" t="str">
        <f>IF(I1602&gt;B1602,"ERROR","OK")</f>
        <v>OK</v>
      </c>
      <c r="X1602">
        <f>(B1602-I1602)/B1602</f>
        <v>0.7975745985012811</v>
      </c>
      <c r="Y1602" s="2">
        <f t="shared" si="197"/>
        <v>1.1102230246251565E-15</v>
      </c>
      <c r="Z1602" s="2" t="str">
        <f t="shared" si="198"/>
        <v>OK</v>
      </c>
      <c r="AA1602" t="str">
        <f t="shared" si="199"/>
        <v>Unique</v>
      </c>
    </row>
    <row r="1603" spans="1:27" x14ac:dyDescent="0.3">
      <c r="A1603">
        <v>1602</v>
      </c>
      <c r="B1603">
        <v>294279.53623510402</v>
      </c>
      <c r="C1603">
        <v>0.88203266714599804</v>
      </c>
      <c r="D1603">
        <v>0.11060416394925</v>
      </c>
      <c r="E1603">
        <v>0.63950637252408604</v>
      </c>
      <c r="F1603">
        <v>1</v>
      </c>
      <c r="G1603" t="s">
        <v>11</v>
      </c>
      <c r="H1603">
        <v>1</v>
      </c>
      <c r="I1603">
        <v>188193.63872578199</v>
      </c>
      <c r="J1603">
        <v>0.36049362747591301</v>
      </c>
      <c r="K1603" t="str">
        <f t="shared" ref="K1603:K1666" si="200">IF(OR(J1603&lt;0,J1603&gt;1),"Error","OK")</f>
        <v>OK</v>
      </c>
      <c r="L1603" t="str">
        <f t="shared" ref="L1603:L1666" si="201">IF(I1603&gt;B1603,"Error","OK")</f>
        <v>OK</v>
      </c>
      <c r="M1603" t="str">
        <f>IF(OR(B1603&lt;$AE$20,B1603&gt;$AF$20),"Outlier","OK")</f>
        <v>OK</v>
      </c>
      <c r="N1603" t="str">
        <f>IF(OR(J1603&lt;$AE$21,J1603&gt;$AF$21),"Outlier","OK")</f>
        <v>OK</v>
      </c>
      <c r="O1603" t="str">
        <f>IF(OR(C1603&lt;0,C1603&gt;1),"Outlier","OK")</f>
        <v>OK</v>
      </c>
      <c r="P1603" t="str">
        <f>IF(OR(D1603&lt;0,D1603&gt;1),"Outlier","OK")</f>
        <v>OK</v>
      </c>
      <c r="Q1603" t="str">
        <f t="shared" ref="Q1603:Q1666" si="202">IF(J1603&lt;=0.2,"0-20%",
 IF(J1603&lt;=0.4,"20-40%",
 IF(J1603&lt;=0.6,"40-60%",
 IF(J1603&lt;=0.8,"60-80%","80-100%"))))</f>
        <v>20-40%</v>
      </c>
      <c r="R1603" t="str">
        <f>IF(B1603="","Missing","OK")</f>
        <v>OK</v>
      </c>
      <c r="S1603" t="str">
        <f>IF(E1603="","Missing","OK")</f>
        <v>OK</v>
      </c>
      <c r="T1603" t="str">
        <f t="shared" ref="T1603:T1666" si="203">IF(J1603="","Missing","OK")</f>
        <v>OK</v>
      </c>
      <c r="U1603">
        <f>COUNTIF($A:$A,A1603)</f>
        <v>1</v>
      </c>
      <c r="V1603" t="str">
        <f t="shared" ref="V1603:V1666" si="204">IF(OR(J1603&lt;0,J1603&gt;1),"ERROR","OK")</f>
        <v>OK</v>
      </c>
      <c r="W1603" t="str">
        <f>IF(I1603&gt;B1603,"ERROR","OK")</f>
        <v>OK</v>
      </c>
      <c r="X1603">
        <f>(B1603-I1603)/B1603</f>
        <v>0.36049362747591301</v>
      </c>
      <c r="Y1603" s="2">
        <f t="shared" ref="Y1603:Y1666" si="205">ABS(J1603-X1603)</f>
        <v>0</v>
      </c>
      <c r="Z1603" s="2" t="str">
        <f t="shared" ref="Z1603:Z1666" si="206">IF(OR(B1603="",I1603="",J1603=""),"Missing","OK")</f>
        <v>OK</v>
      </c>
      <c r="AA1603" t="str">
        <f t="shared" ref="AA1603:AA1666" si="207">IF(COUNTIF($A:$A,A1603)&gt;1,"Duplicate","Unique")</f>
        <v>Unique</v>
      </c>
    </row>
    <row r="1604" spans="1:27" x14ac:dyDescent="0.3">
      <c r="A1604">
        <v>1603</v>
      </c>
      <c r="B1604">
        <v>196802.190821222</v>
      </c>
      <c r="C1604">
        <v>0.69998484974512998</v>
      </c>
      <c r="D1604">
        <v>-9.1639955342595603E-4</v>
      </c>
      <c r="E1604">
        <v>0.23346130193973</v>
      </c>
      <c r="F1604">
        <v>1</v>
      </c>
      <c r="G1604" t="s">
        <v>13</v>
      </c>
      <c r="H1604">
        <v>1</v>
      </c>
      <c r="I1604">
        <v>45945.695693713802</v>
      </c>
      <c r="J1604">
        <v>0.76653869806026897</v>
      </c>
      <c r="K1604" t="str">
        <f t="shared" si="200"/>
        <v>OK</v>
      </c>
      <c r="L1604" t="str">
        <f t="shared" si="201"/>
        <v>OK</v>
      </c>
      <c r="M1604" t="str">
        <f>IF(OR(B1604&lt;$AE$20,B1604&gt;$AF$20),"Outlier","OK")</f>
        <v>OK</v>
      </c>
      <c r="N1604" t="str">
        <f>IF(OR(J1604&lt;$AE$21,J1604&gt;$AF$21),"Outlier","OK")</f>
        <v>OK</v>
      </c>
      <c r="O1604" t="str">
        <f>IF(OR(C1604&lt;0,C1604&gt;1),"Outlier","OK")</f>
        <v>OK</v>
      </c>
      <c r="P1604" t="str">
        <f>IF(OR(D1604&lt;0,D1604&gt;1),"Outlier","OK")</f>
        <v>Outlier</v>
      </c>
      <c r="Q1604" t="str">
        <f t="shared" si="202"/>
        <v>60-80%</v>
      </c>
      <c r="R1604" t="str">
        <f>IF(B1604="","Missing","OK")</f>
        <v>OK</v>
      </c>
      <c r="S1604" t="str">
        <f>IF(E1604="","Missing","OK")</f>
        <v>OK</v>
      </c>
      <c r="T1604" t="str">
        <f t="shared" si="203"/>
        <v>OK</v>
      </c>
      <c r="U1604">
        <f>COUNTIF($A:$A,A1604)</f>
        <v>1</v>
      </c>
      <c r="V1604" t="str">
        <f t="shared" si="204"/>
        <v>OK</v>
      </c>
      <c r="W1604" t="str">
        <f>IF(I1604&gt;B1604,"ERROR","OK")</f>
        <v>OK</v>
      </c>
      <c r="X1604">
        <f>(B1604-I1604)/B1604</f>
        <v>0.7665386980602692</v>
      </c>
      <c r="Y1604" s="2">
        <f t="shared" si="205"/>
        <v>2.2204460492503131E-16</v>
      </c>
      <c r="Z1604" s="2" t="str">
        <f t="shared" si="206"/>
        <v>OK</v>
      </c>
      <c r="AA1604" t="str">
        <f t="shared" si="207"/>
        <v>Unique</v>
      </c>
    </row>
    <row r="1605" spans="1:27" x14ac:dyDescent="0.3">
      <c r="A1605">
        <v>1604</v>
      </c>
      <c r="B1605">
        <v>1346435.0062786001</v>
      </c>
      <c r="C1605">
        <v>0.70054657004267396</v>
      </c>
      <c r="D1605">
        <v>0.193946485172139</v>
      </c>
      <c r="E1605">
        <v>0.15401655808181899</v>
      </c>
      <c r="F1605">
        <v>1</v>
      </c>
      <c r="G1605" t="s">
        <v>12</v>
      </c>
      <c r="H1605">
        <v>0</v>
      </c>
      <c r="I1605">
        <v>207373.285347903</v>
      </c>
      <c r="J1605">
        <v>0.84598344191817998</v>
      </c>
      <c r="K1605" t="str">
        <f t="shared" si="200"/>
        <v>OK</v>
      </c>
      <c r="L1605" t="str">
        <f t="shared" si="201"/>
        <v>OK</v>
      </c>
      <c r="M1605" t="str">
        <f>IF(OR(B1605&lt;$AE$20,B1605&gt;$AF$20),"Outlier","OK")</f>
        <v>OK</v>
      </c>
      <c r="N1605" t="str">
        <f>IF(OR(J1605&lt;$AE$21,J1605&gt;$AF$21),"Outlier","OK")</f>
        <v>OK</v>
      </c>
      <c r="O1605" t="str">
        <f>IF(OR(C1605&lt;0,C1605&gt;1),"Outlier","OK")</f>
        <v>OK</v>
      </c>
      <c r="P1605" t="str">
        <f>IF(OR(D1605&lt;0,D1605&gt;1),"Outlier","OK")</f>
        <v>OK</v>
      </c>
      <c r="Q1605" t="str">
        <f t="shared" si="202"/>
        <v>80-100%</v>
      </c>
      <c r="R1605" t="str">
        <f>IF(B1605="","Missing","OK")</f>
        <v>OK</v>
      </c>
      <c r="S1605" t="str">
        <f>IF(E1605="","Missing","OK")</f>
        <v>OK</v>
      </c>
      <c r="T1605" t="str">
        <f t="shared" si="203"/>
        <v>OK</v>
      </c>
      <c r="U1605">
        <f>COUNTIF($A:$A,A1605)</f>
        <v>1</v>
      </c>
      <c r="V1605" t="str">
        <f t="shared" si="204"/>
        <v>OK</v>
      </c>
      <c r="W1605" t="str">
        <f>IF(I1605&gt;B1605,"ERROR","OK")</f>
        <v>OK</v>
      </c>
      <c r="X1605">
        <f>(B1605-I1605)/B1605</f>
        <v>0.84598344191818053</v>
      </c>
      <c r="Y1605" s="2">
        <f t="shared" si="205"/>
        <v>5.5511151231257827E-16</v>
      </c>
      <c r="Z1605" s="2" t="str">
        <f t="shared" si="206"/>
        <v>OK</v>
      </c>
      <c r="AA1605" t="str">
        <f t="shared" si="207"/>
        <v>Unique</v>
      </c>
    </row>
    <row r="1606" spans="1:27" x14ac:dyDescent="0.3">
      <c r="A1606">
        <v>1605</v>
      </c>
      <c r="B1606">
        <v>1683920.9197796001</v>
      </c>
      <c r="C1606">
        <v>0.66712443272891098</v>
      </c>
      <c r="D1606">
        <v>-3.0098678621516599E-2</v>
      </c>
      <c r="E1606">
        <v>0.488643092133837</v>
      </c>
      <c r="F1606">
        <v>1</v>
      </c>
      <c r="G1606" t="s">
        <v>11</v>
      </c>
      <c r="H1606">
        <v>0</v>
      </c>
      <c r="I1606">
        <v>822836.32514995895</v>
      </c>
      <c r="J1606">
        <v>0.51135690786616195</v>
      </c>
      <c r="K1606" t="str">
        <f t="shared" si="200"/>
        <v>OK</v>
      </c>
      <c r="L1606" t="str">
        <f t="shared" si="201"/>
        <v>OK</v>
      </c>
      <c r="M1606" t="str">
        <f>IF(OR(B1606&lt;$AE$20,B1606&gt;$AF$20),"Outlier","OK")</f>
        <v>OK</v>
      </c>
      <c r="N1606" t="str">
        <f>IF(OR(J1606&lt;$AE$21,J1606&gt;$AF$21),"Outlier","OK")</f>
        <v>OK</v>
      </c>
      <c r="O1606" t="str">
        <f>IF(OR(C1606&lt;0,C1606&gt;1),"Outlier","OK")</f>
        <v>OK</v>
      </c>
      <c r="P1606" t="str">
        <f>IF(OR(D1606&lt;0,D1606&gt;1),"Outlier","OK")</f>
        <v>Outlier</v>
      </c>
      <c r="Q1606" t="str">
        <f t="shared" si="202"/>
        <v>40-60%</v>
      </c>
      <c r="R1606" t="str">
        <f>IF(B1606="","Missing","OK")</f>
        <v>OK</v>
      </c>
      <c r="S1606" t="str">
        <f>IF(E1606="","Missing","OK")</f>
        <v>OK</v>
      </c>
      <c r="T1606" t="str">
        <f t="shared" si="203"/>
        <v>OK</v>
      </c>
      <c r="U1606">
        <f>COUNTIF($A:$A,A1606)</f>
        <v>1</v>
      </c>
      <c r="V1606" t="str">
        <f t="shared" si="204"/>
        <v>OK</v>
      </c>
      <c r="W1606" t="str">
        <f>IF(I1606&gt;B1606,"ERROR","OK")</f>
        <v>OK</v>
      </c>
      <c r="X1606">
        <f>(B1606-I1606)/B1606</f>
        <v>0.51135690786616284</v>
      </c>
      <c r="Y1606" s="2">
        <f t="shared" si="205"/>
        <v>8.8817841970012523E-16</v>
      </c>
      <c r="Z1606" s="2" t="str">
        <f t="shared" si="206"/>
        <v>OK</v>
      </c>
      <c r="AA1606" t="str">
        <f t="shared" si="207"/>
        <v>Unique</v>
      </c>
    </row>
    <row r="1607" spans="1:27" x14ac:dyDescent="0.3">
      <c r="A1607">
        <v>1606</v>
      </c>
      <c r="B1607">
        <v>1851983.3885689499</v>
      </c>
      <c r="C1607">
        <v>0.42701739108239301</v>
      </c>
      <c r="D1607">
        <v>-5.7008746999360697E-2</v>
      </c>
      <c r="E1607">
        <v>0.21359182668035301</v>
      </c>
      <c r="F1607">
        <v>1</v>
      </c>
      <c r="G1607" t="s">
        <v>10</v>
      </c>
      <c r="H1607">
        <v>1</v>
      </c>
      <c r="I1607">
        <v>395568.51494611398</v>
      </c>
      <c r="J1607">
        <v>0.78640817331964596</v>
      </c>
      <c r="K1607" t="str">
        <f t="shared" si="200"/>
        <v>OK</v>
      </c>
      <c r="L1607" t="str">
        <f t="shared" si="201"/>
        <v>OK</v>
      </c>
      <c r="M1607" t="str">
        <f>IF(OR(B1607&lt;$AE$20,B1607&gt;$AF$20),"Outlier","OK")</f>
        <v>OK</v>
      </c>
      <c r="N1607" t="str">
        <f>IF(OR(J1607&lt;$AE$21,J1607&gt;$AF$21),"Outlier","OK")</f>
        <v>OK</v>
      </c>
      <c r="O1607" t="str">
        <f>IF(OR(C1607&lt;0,C1607&gt;1),"Outlier","OK")</f>
        <v>OK</v>
      </c>
      <c r="P1607" t="str">
        <f>IF(OR(D1607&lt;0,D1607&gt;1),"Outlier","OK")</f>
        <v>Outlier</v>
      </c>
      <c r="Q1607" t="str">
        <f t="shared" si="202"/>
        <v>60-80%</v>
      </c>
      <c r="R1607" t="str">
        <f>IF(B1607="","Missing","OK")</f>
        <v>OK</v>
      </c>
      <c r="S1607" t="str">
        <f>IF(E1607="","Missing","OK")</f>
        <v>OK</v>
      </c>
      <c r="T1607" t="str">
        <f t="shared" si="203"/>
        <v>OK</v>
      </c>
      <c r="U1607">
        <f>COUNTIF($A:$A,A1607)</f>
        <v>1</v>
      </c>
      <c r="V1607" t="str">
        <f t="shared" si="204"/>
        <v>OK</v>
      </c>
      <c r="W1607" t="str">
        <f>IF(I1607&gt;B1607,"ERROR","OK")</f>
        <v>OK</v>
      </c>
      <c r="X1607">
        <f>(B1607-I1607)/B1607</f>
        <v>0.78640817331964585</v>
      </c>
      <c r="Y1607" s="2">
        <f t="shared" si="205"/>
        <v>1.1102230246251565E-16</v>
      </c>
      <c r="Z1607" s="2" t="str">
        <f t="shared" si="206"/>
        <v>OK</v>
      </c>
      <c r="AA1607" t="str">
        <f t="shared" si="207"/>
        <v>Unique</v>
      </c>
    </row>
    <row r="1608" spans="1:27" x14ac:dyDescent="0.3">
      <c r="A1608">
        <v>1607</v>
      </c>
      <c r="B1608">
        <v>806962.414507612</v>
      </c>
      <c r="C1608">
        <v>0.70665148531844901</v>
      </c>
      <c r="D1608">
        <v>1.8830192989369301E-2</v>
      </c>
      <c r="E1608">
        <v>9.2261563339388994E-2</v>
      </c>
      <c r="F1608">
        <v>1</v>
      </c>
      <c r="G1608" t="s">
        <v>11</v>
      </c>
      <c r="H1608">
        <v>0</v>
      </c>
      <c r="I1608">
        <v>74451.6139186004</v>
      </c>
      <c r="J1608">
        <v>0.90773843666061005</v>
      </c>
      <c r="K1608" t="str">
        <f t="shared" si="200"/>
        <v>OK</v>
      </c>
      <c r="L1608" t="str">
        <f t="shared" si="201"/>
        <v>OK</v>
      </c>
      <c r="M1608" t="str">
        <f>IF(OR(B1608&lt;$AE$20,B1608&gt;$AF$20),"Outlier","OK")</f>
        <v>OK</v>
      </c>
      <c r="N1608" t="str">
        <f>IF(OR(J1608&lt;$AE$21,J1608&gt;$AF$21),"Outlier","OK")</f>
        <v>OK</v>
      </c>
      <c r="O1608" t="str">
        <f>IF(OR(C1608&lt;0,C1608&gt;1),"Outlier","OK")</f>
        <v>OK</v>
      </c>
      <c r="P1608" t="str">
        <f>IF(OR(D1608&lt;0,D1608&gt;1),"Outlier","OK")</f>
        <v>OK</v>
      </c>
      <c r="Q1608" t="str">
        <f t="shared" si="202"/>
        <v>80-100%</v>
      </c>
      <c r="R1608" t="str">
        <f>IF(B1608="","Missing","OK")</f>
        <v>OK</v>
      </c>
      <c r="S1608" t="str">
        <f>IF(E1608="","Missing","OK")</f>
        <v>OK</v>
      </c>
      <c r="T1608" t="str">
        <f t="shared" si="203"/>
        <v>OK</v>
      </c>
      <c r="U1608">
        <f>COUNTIF($A:$A,A1608)</f>
        <v>1</v>
      </c>
      <c r="V1608" t="str">
        <f t="shared" si="204"/>
        <v>OK</v>
      </c>
      <c r="W1608" t="str">
        <f>IF(I1608&gt;B1608,"ERROR","OK")</f>
        <v>OK</v>
      </c>
      <c r="X1608">
        <f>(B1608-I1608)/B1608</f>
        <v>0.90773843666061094</v>
      </c>
      <c r="Y1608" s="2">
        <f t="shared" si="205"/>
        <v>8.8817841970012523E-16</v>
      </c>
      <c r="Z1608" s="2" t="str">
        <f t="shared" si="206"/>
        <v>OK</v>
      </c>
      <c r="AA1608" t="str">
        <f t="shared" si="207"/>
        <v>Unique</v>
      </c>
    </row>
    <row r="1609" spans="1:27" x14ac:dyDescent="0.3">
      <c r="A1609">
        <v>1608</v>
      </c>
      <c r="B1609">
        <v>1879715.8776905299</v>
      </c>
      <c r="C1609">
        <v>0.384476296829173</v>
      </c>
      <c r="D1609">
        <v>-0.106545207305785</v>
      </c>
      <c r="E1609">
        <v>0.40354476115158</v>
      </c>
      <c r="F1609">
        <v>1</v>
      </c>
      <c r="G1609" t="s">
        <v>12</v>
      </c>
      <c r="H1609">
        <v>1</v>
      </c>
      <c r="I1609">
        <v>758549.49489545706</v>
      </c>
      <c r="J1609">
        <v>0.596455238848419</v>
      </c>
      <c r="K1609" t="str">
        <f t="shared" si="200"/>
        <v>OK</v>
      </c>
      <c r="L1609" t="str">
        <f t="shared" si="201"/>
        <v>OK</v>
      </c>
      <c r="M1609" t="str">
        <f>IF(OR(B1609&lt;$AE$20,B1609&gt;$AF$20),"Outlier","OK")</f>
        <v>OK</v>
      </c>
      <c r="N1609" t="str">
        <f>IF(OR(J1609&lt;$AE$21,J1609&gt;$AF$21),"Outlier","OK")</f>
        <v>OK</v>
      </c>
      <c r="O1609" t="str">
        <f>IF(OR(C1609&lt;0,C1609&gt;1),"Outlier","OK")</f>
        <v>OK</v>
      </c>
      <c r="P1609" t="str">
        <f>IF(OR(D1609&lt;0,D1609&gt;1),"Outlier","OK")</f>
        <v>Outlier</v>
      </c>
      <c r="Q1609" t="str">
        <f t="shared" si="202"/>
        <v>40-60%</v>
      </c>
      <c r="R1609" t="str">
        <f>IF(B1609="","Missing","OK")</f>
        <v>OK</v>
      </c>
      <c r="S1609" t="str">
        <f>IF(E1609="","Missing","OK")</f>
        <v>OK</v>
      </c>
      <c r="T1609" t="str">
        <f t="shared" si="203"/>
        <v>OK</v>
      </c>
      <c r="U1609">
        <f>COUNTIF($A:$A,A1609)</f>
        <v>1</v>
      </c>
      <c r="V1609" t="str">
        <f t="shared" si="204"/>
        <v>OK</v>
      </c>
      <c r="W1609" t="str">
        <f>IF(I1609&gt;B1609,"ERROR","OK")</f>
        <v>OK</v>
      </c>
      <c r="X1609">
        <f>(B1609-I1609)/B1609</f>
        <v>0.59645523884842022</v>
      </c>
      <c r="Y1609" s="2">
        <f t="shared" si="205"/>
        <v>1.2212453270876722E-15</v>
      </c>
      <c r="Z1609" s="2" t="str">
        <f t="shared" si="206"/>
        <v>OK</v>
      </c>
      <c r="AA1609" t="str">
        <f t="shared" si="207"/>
        <v>Unique</v>
      </c>
    </row>
    <row r="1610" spans="1:27" x14ac:dyDescent="0.3">
      <c r="A1610">
        <v>1609</v>
      </c>
      <c r="B1610">
        <v>1648616.77059048</v>
      </c>
      <c r="C1610">
        <v>0.85561190214232197</v>
      </c>
      <c r="D1610">
        <v>0.18018807460695799</v>
      </c>
      <c r="E1610">
        <v>0.285222757252655</v>
      </c>
      <c r="F1610">
        <v>1</v>
      </c>
      <c r="G1610" t="s">
        <v>13</v>
      </c>
      <c r="H1610">
        <v>1</v>
      </c>
      <c r="I1610">
        <v>470223.02096078702</v>
      </c>
      <c r="J1610">
        <v>0.714777242747344</v>
      </c>
      <c r="K1610" t="str">
        <f t="shared" si="200"/>
        <v>OK</v>
      </c>
      <c r="L1610" t="str">
        <f t="shared" si="201"/>
        <v>OK</v>
      </c>
      <c r="M1610" t="str">
        <f>IF(OR(B1610&lt;$AE$20,B1610&gt;$AF$20),"Outlier","OK")</f>
        <v>OK</v>
      </c>
      <c r="N1610" t="str">
        <f>IF(OR(J1610&lt;$AE$21,J1610&gt;$AF$21),"Outlier","OK")</f>
        <v>OK</v>
      </c>
      <c r="O1610" t="str">
        <f>IF(OR(C1610&lt;0,C1610&gt;1),"Outlier","OK")</f>
        <v>OK</v>
      </c>
      <c r="P1610" t="str">
        <f>IF(OR(D1610&lt;0,D1610&gt;1),"Outlier","OK")</f>
        <v>OK</v>
      </c>
      <c r="Q1610" t="str">
        <f t="shared" si="202"/>
        <v>60-80%</v>
      </c>
      <c r="R1610" t="str">
        <f>IF(B1610="","Missing","OK")</f>
        <v>OK</v>
      </c>
      <c r="S1610" t="str">
        <f>IF(E1610="","Missing","OK")</f>
        <v>OK</v>
      </c>
      <c r="T1610" t="str">
        <f t="shared" si="203"/>
        <v>OK</v>
      </c>
      <c r="U1610">
        <f>COUNTIF($A:$A,A1610)</f>
        <v>1</v>
      </c>
      <c r="V1610" t="str">
        <f t="shared" si="204"/>
        <v>OK</v>
      </c>
      <c r="W1610" t="str">
        <f>IF(I1610&gt;B1610,"ERROR","OK")</f>
        <v>OK</v>
      </c>
      <c r="X1610">
        <f>(B1610-I1610)/B1610</f>
        <v>0.71477724274734344</v>
      </c>
      <c r="Y1610" s="2">
        <f t="shared" si="205"/>
        <v>5.5511151231257827E-16</v>
      </c>
      <c r="Z1610" s="2" t="str">
        <f t="shared" si="206"/>
        <v>OK</v>
      </c>
      <c r="AA1610" t="str">
        <f t="shared" si="207"/>
        <v>Unique</v>
      </c>
    </row>
    <row r="1611" spans="1:27" x14ac:dyDescent="0.3">
      <c r="A1611">
        <v>1610</v>
      </c>
      <c r="B1611">
        <v>876881.25330846803</v>
      </c>
      <c r="C1611">
        <v>0.77427106479482999</v>
      </c>
      <c r="D1611">
        <v>-5.5042508740603797E-2</v>
      </c>
      <c r="E1611">
        <v>0.31206050538063101</v>
      </c>
      <c r="F1611">
        <v>1</v>
      </c>
      <c r="G1611" t="s">
        <v>13</v>
      </c>
      <c r="H1611">
        <v>0</v>
      </c>
      <c r="I1611">
        <v>273640.00706624199</v>
      </c>
      <c r="J1611">
        <v>0.68793949461936799</v>
      </c>
      <c r="K1611" t="str">
        <f t="shared" si="200"/>
        <v>OK</v>
      </c>
      <c r="L1611" t="str">
        <f t="shared" si="201"/>
        <v>OK</v>
      </c>
      <c r="M1611" t="str">
        <f>IF(OR(B1611&lt;$AE$20,B1611&gt;$AF$20),"Outlier","OK")</f>
        <v>OK</v>
      </c>
      <c r="N1611" t="str">
        <f>IF(OR(J1611&lt;$AE$21,J1611&gt;$AF$21),"Outlier","OK")</f>
        <v>OK</v>
      </c>
      <c r="O1611" t="str">
        <f>IF(OR(C1611&lt;0,C1611&gt;1),"Outlier","OK")</f>
        <v>OK</v>
      </c>
      <c r="P1611" t="str">
        <f>IF(OR(D1611&lt;0,D1611&gt;1),"Outlier","OK")</f>
        <v>Outlier</v>
      </c>
      <c r="Q1611" t="str">
        <f t="shared" si="202"/>
        <v>60-80%</v>
      </c>
      <c r="R1611" t="str">
        <f>IF(B1611="","Missing","OK")</f>
        <v>OK</v>
      </c>
      <c r="S1611" t="str">
        <f>IF(E1611="","Missing","OK")</f>
        <v>OK</v>
      </c>
      <c r="T1611" t="str">
        <f t="shared" si="203"/>
        <v>OK</v>
      </c>
      <c r="U1611">
        <f>COUNTIF($A:$A,A1611)</f>
        <v>1</v>
      </c>
      <c r="V1611" t="str">
        <f t="shared" si="204"/>
        <v>OK</v>
      </c>
      <c r="W1611" t="str">
        <f>IF(I1611&gt;B1611,"ERROR","OK")</f>
        <v>OK</v>
      </c>
      <c r="X1611">
        <f>(B1611-I1611)/B1611</f>
        <v>0.68793949461936865</v>
      </c>
      <c r="Y1611" s="2">
        <f t="shared" si="205"/>
        <v>6.6613381477509392E-16</v>
      </c>
      <c r="Z1611" s="2" t="str">
        <f t="shared" si="206"/>
        <v>OK</v>
      </c>
      <c r="AA1611" t="str">
        <f t="shared" si="207"/>
        <v>Unique</v>
      </c>
    </row>
    <row r="1612" spans="1:27" x14ac:dyDescent="0.3">
      <c r="A1612">
        <v>1611</v>
      </c>
      <c r="B1612">
        <v>842324.06409819995</v>
      </c>
      <c r="C1612">
        <v>0.54788254068308395</v>
      </c>
      <c r="D1612">
        <v>1.31241345465493E-2</v>
      </c>
      <c r="E1612">
        <v>0.233615462827754</v>
      </c>
      <c r="F1612">
        <v>1</v>
      </c>
      <c r="G1612" t="s">
        <v>11</v>
      </c>
      <c r="H1612">
        <v>1</v>
      </c>
      <c r="I1612">
        <v>196779.92608525499</v>
      </c>
      <c r="J1612">
        <v>0.76638453717224597</v>
      </c>
      <c r="K1612" t="str">
        <f t="shared" si="200"/>
        <v>OK</v>
      </c>
      <c r="L1612" t="str">
        <f t="shared" si="201"/>
        <v>OK</v>
      </c>
      <c r="M1612" t="str">
        <f>IF(OR(B1612&lt;$AE$20,B1612&gt;$AF$20),"Outlier","OK")</f>
        <v>OK</v>
      </c>
      <c r="N1612" t="str">
        <f>IF(OR(J1612&lt;$AE$21,J1612&gt;$AF$21),"Outlier","OK")</f>
        <v>OK</v>
      </c>
      <c r="O1612" t="str">
        <f>IF(OR(C1612&lt;0,C1612&gt;1),"Outlier","OK")</f>
        <v>OK</v>
      </c>
      <c r="P1612" t="str">
        <f>IF(OR(D1612&lt;0,D1612&gt;1),"Outlier","OK")</f>
        <v>OK</v>
      </c>
      <c r="Q1612" t="str">
        <f t="shared" si="202"/>
        <v>60-80%</v>
      </c>
      <c r="R1612" t="str">
        <f>IF(B1612="","Missing","OK")</f>
        <v>OK</v>
      </c>
      <c r="S1612" t="str">
        <f>IF(E1612="","Missing","OK")</f>
        <v>OK</v>
      </c>
      <c r="T1612" t="str">
        <f t="shared" si="203"/>
        <v>OK</v>
      </c>
      <c r="U1612">
        <f>COUNTIF($A:$A,A1612)</f>
        <v>1</v>
      </c>
      <c r="V1612" t="str">
        <f t="shared" si="204"/>
        <v>OK</v>
      </c>
      <c r="W1612" t="str">
        <f>IF(I1612&gt;B1612,"ERROR","OK")</f>
        <v>OK</v>
      </c>
      <c r="X1612">
        <f>(B1612-I1612)/B1612</f>
        <v>0.76638453717224686</v>
      </c>
      <c r="Y1612" s="2">
        <f t="shared" si="205"/>
        <v>8.8817841970012523E-16</v>
      </c>
      <c r="Z1612" s="2" t="str">
        <f t="shared" si="206"/>
        <v>OK</v>
      </c>
      <c r="AA1612" t="str">
        <f t="shared" si="207"/>
        <v>Unique</v>
      </c>
    </row>
    <row r="1613" spans="1:27" x14ac:dyDescent="0.3">
      <c r="A1613">
        <v>1612</v>
      </c>
      <c r="B1613">
        <v>700283.66519848397</v>
      </c>
      <c r="C1613">
        <v>0.832043817371248</v>
      </c>
      <c r="D1613">
        <v>6.9348072076804601E-2</v>
      </c>
      <c r="E1613">
        <v>0.15057381716638901</v>
      </c>
      <c r="F1613">
        <v>1</v>
      </c>
      <c r="G1613" t="s">
        <v>11</v>
      </c>
      <c r="H1613">
        <v>1</v>
      </c>
      <c r="I1613">
        <v>105444.384568205</v>
      </c>
      <c r="J1613">
        <v>0.84942618283361004</v>
      </c>
      <c r="K1613" t="str">
        <f t="shared" si="200"/>
        <v>OK</v>
      </c>
      <c r="L1613" t="str">
        <f t="shared" si="201"/>
        <v>OK</v>
      </c>
      <c r="M1613" t="str">
        <f>IF(OR(B1613&lt;$AE$20,B1613&gt;$AF$20),"Outlier","OK")</f>
        <v>OK</v>
      </c>
      <c r="N1613" t="str">
        <f>IF(OR(J1613&lt;$AE$21,J1613&gt;$AF$21),"Outlier","OK")</f>
        <v>OK</v>
      </c>
      <c r="O1613" t="str">
        <f>IF(OR(C1613&lt;0,C1613&gt;1),"Outlier","OK")</f>
        <v>OK</v>
      </c>
      <c r="P1613" t="str">
        <f>IF(OR(D1613&lt;0,D1613&gt;1),"Outlier","OK")</f>
        <v>OK</v>
      </c>
      <c r="Q1613" t="str">
        <f t="shared" si="202"/>
        <v>80-100%</v>
      </c>
      <c r="R1613" t="str">
        <f>IF(B1613="","Missing","OK")</f>
        <v>OK</v>
      </c>
      <c r="S1613" t="str">
        <f>IF(E1613="","Missing","OK")</f>
        <v>OK</v>
      </c>
      <c r="T1613" t="str">
        <f t="shared" si="203"/>
        <v>OK</v>
      </c>
      <c r="U1613">
        <f>COUNTIF($A:$A,A1613)</f>
        <v>1</v>
      </c>
      <c r="V1613" t="str">
        <f t="shared" si="204"/>
        <v>OK</v>
      </c>
      <c r="W1613" t="str">
        <f>IF(I1613&gt;B1613,"ERROR","OK")</f>
        <v>OK</v>
      </c>
      <c r="X1613">
        <f>(B1613-I1613)/B1613</f>
        <v>0.84942618283361149</v>
      </c>
      <c r="Y1613" s="2">
        <f t="shared" si="205"/>
        <v>1.4432899320127035E-15</v>
      </c>
      <c r="Z1613" s="2" t="str">
        <f t="shared" si="206"/>
        <v>OK</v>
      </c>
      <c r="AA1613" t="str">
        <f t="shared" si="207"/>
        <v>Unique</v>
      </c>
    </row>
    <row r="1614" spans="1:27" x14ac:dyDescent="0.3">
      <c r="A1614">
        <v>1613</v>
      </c>
      <c r="B1614">
        <v>184777.38177442399</v>
      </c>
      <c r="C1614">
        <v>0.43978280675849701</v>
      </c>
      <c r="D1614">
        <v>-3.3521357677028803E-2</v>
      </c>
      <c r="E1614">
        <v>0.26285367978774998</v>
      </c>
      <c r="F1614">
        <v>1</v>
      </c>
      <c r="G1614" t="s">
        <v>12</v>
      </c>
      <c r="H1614">
        <v>0</v>
      </c>
      <c r="I1614">
        <v>48569.4147409535</v>
      </c>
      <c r="J1614">
        <v>0.73714632021224902</v>
      </c>
      <c r="K1614" t="str">
        <f t="shared" si="200"/>
        <v>OK</v>
      </c>
      <c r="L1614" t="str">
        <f t="shared" si="201"/>
        <v>OK</v>
      </c>
      <c r="M1614" t="str">
        <f>IF(OR(B1614&lt;$AE$20,B1614&gt;$AF$20),"Outlier","OK")</f>
        <v>OK</v>
      </c>
      <c r="N1614" t="str">
        <f>IF(OR(J1614&lt;$AE$21,J1614&gt;$AF$21),"Outlier","OK")</f>
        <v>OK</v>
      </c>
      <c r="O1614" t="str">
        <f>IF(OR(C1614&lt;0,C1614&gt;1),"Outlier","OK")</f>
        <v>OK</v>
      </c>
      <c r="P1614" t="str">
        <f>IF(OR(D1614&lt;0,D1614&gt;1),"Outlier","OK")</f>
        <v>Outlier</v>
      </c>
      <c r="Q1614" t="str">
        <f t="shared" si="202"/>
        <v>60-80%</v>
      </c>
      <c r="R1614" t="str">
        <f>IF(B1614="","Missing","OK")</f>
        <v>OK</v>
      </c>
      <c r="S1614" t="str">
        <f>IF(E1614="","Missing","OK")</f>
        <v>OK</v>
      </c>
      <c r="T1614" t="str">
        <f t="shared" si="203"/>
        <v>OK</v>
      </c>
      <c r="U1614">
        <f>COUNTIF($A:$A,A1614)</f>
        <v>1</v>
      </c>
      <c r="V1614" t="str">
        <f t="shared" si="204"/>
        <v>OK</v>
      </c>
      <c r="W1614" t="str">
        <f>IF(I1614&gt;B1614,"ERROR","OK")</f>
        <v>OK</v>
      </c>
      <c r="X1614">
        <f>(B1614-I1614)/B1614</f>
        <v>0.7371463202122488</v>
      </c>
      <c r="Y1614" s="2">
        <f t="shared" si="205"/>
        <v>2.2204460492503131E-16</v>
      </c>
      <c r="Z1614" s="2" t="str">
        <f t="shared" si="206"/>
        <v>OK</v>
      </c>
      <c r="AA1614" t="str">
        <f t="shared" si="207"/>
        <v>Unique</v>
      </c>
    </row>
    <row r="1615" spans="1:27" x14ac:dyDescent="0.3">
      <c r="A1615">
        <v>1614</v>
      </c>
      <c r="B1615">
        <v>68965.965002134501</v>
      </c>
      <c r="C1615">
        <v>0.82926875095231201</v>
      </c>
      <c r="D1615">
        <v>-0.106357924345754</v>
      </c>
      <c r="E1615">
        <v>0.40280245178334101</v>
      </c>
      <c r="F1615">
        <v>1</v>
      </c>
      <c r="G1615" t="s">
        <v>11</v>
      </c>
      <c r="H1615">
        <v>1</v>
      </c>
      <c r="I1615">
        <v>27779.659792463899</v>
      </c>
      <c r="J1615">
        <v>0.59719754821665805</v>
      </c>
      <c r="K1615" t="str">
        <f t="shared" si="200"/>
        <v>OK</v>
      </c>
      <c r="L1615" t="str">
        <f t="shared" si="201"/>
        <v>OK</v>
      </c>
      <c r="M1615" t="str">
        <f>IF(OR(B1615&lt;$AE$20,B1615&gt;$AF$20),"Outlier","OK")</f>
        <v>OK</v>
      </c>
      <c r="N1615" t="str">
        <f>IF(OR(J1615&lt;$AE$21,J1615&gt;$AF$21),"Outlier","OK")</f>
        <v>OK</v>
      </c>
      <c r="O1615" t="str">
        <f>IF(OR(C1615&lt;0,C1615&gt;1),"Outlier","OK")</f>
        <v>OK</v>
      </c>
      <c r="P1615" t="str">
        <f>IF(OR(D1615&lt;0,D1615&gt;1),"Outlier","OK")</f>
        <v>Outlier</v>
      </c>
      <c r="Q1615" t="str">
        <f t="shared" si="202"/>
        <v>40-60%</v>
      </c>
      <c r="R1615" t="str">
        <f>IF(B1615="","Missing","OK")</f>
        <v>OK</v>
      </c>
      <c r="S1615" t="str">
        <f>IF(E1615="","Missing","OK")</f>
        <v>OK</v>
      </c>
      <c r="T1615" t="str">
        <f t="shared" si="203"/>
        <v>OK</v>
      </c>
      <c r="U1615">
        <f>COUNTIF($A:$A,A1615)</f>
        <v>1</v>
      </c>
      <c r="V1615" t="str">
        <f t="shared" si="204"/>
        <v>OK</v>
      </c>
      <c r="W1615" t="str">
        <f>IF(I1615&gt;B1615,"ERROR","OK")</f>
        <v>OK</v>
      </c>
      <c r="X1615">
        <f>(B1615-I1615)/B1615</f>
        <v>0.59719754821665849</v>
      </c>
      <c r="Y1615" s="2">
        <f t="shared" si="205"/>
        <v>4.4408920985006262E-16</v>
      </c>
      <c r="Z1615" s="2" t="str">
        <f t="shared" si="206"/>
        <v>OK</v>
      </c>
      <c r="AA1615" t="str">
        <f t="shared" si="207"/>
        <v>Unique</v>
      </c>
    </row>
    <row r="1616" spans="1:27" x14ac:dyDescent="0.3">
      <c r="A1616">
        <v>1615</v>
      </c>
      <c r="B1616">
        <v>528722.39380196296</v>
      </c>
      <c r="C1616">
        <v>0.18734784251686501</v>
      </c>
      <c r="D1616">
        <v>7.1481082874292806E-2</v>
      </c>
      <c r="E1616">
        <v>0.34759893930541502</v>
      </c>
      <c r="F1616">
        <v>1</v>
      </c>
      <c r="G1616" t="s">
        <v>13</v>
      </c>
      <c r="H1616">
        <v>0</v>
      </c>
      <c r="I1616">
        <v>183783.34327258199</v>
      </c>
      <c r="J1616">
        <v>0.65240106069458403</v>
      </c>
      <c r="K1616" t="str">
        <f t="shared" si="200"/>
        <v>OK</v>
      </c>
      <c r="L1616" t="str">
        <f t="shared" si="201"/>
        <v>OK</v>
      </c>
      <c r="M1616" t="str">
        <f>IF(OR(B1616&lt;$AE$20,B1616&gt;$AF$20),"Outlier","OK")</f>
        <v>OK</v>
      </c>
      <c r="N1616" t="str">
        <f>IF(OR(J1616&lt;$AE$21,J1616&gt;$AF$21),"Outlier","OK")</f>
        <v>OK</v>
      </c>
      <c r="O1616" t="str">
        <f>IF(OR(C1616&lt;0,C1616&gt;1),"Outlier","OK")</f>
        <v>OK</v>
      </c>
      <c r="P1616" t="str">
        <f>IF(OR(D1616&lt;0,D1616&gt;1),"Outlier","OK")</f>
        <v>OK</v>
      </c>
      <c r="Q1616" t="str">
        <f t="shared" si="202"/>
        <v>60-80%</v>
      </c>
      <c r="R1616" t="str">
        <f>IF(B1616="","Missing","OK")</f>
        <v>OK</v>
      </c>
      <c r="S1616" t="str">
        <f>IF(E1616="","Missing","OK")</f>
        <v>OK</v>
      </c>
      <c r="T1616" t="str">
        <f t="shared" si="203"/>
        <v>OK</v>
      </c>
      <c r="U1616">
        <f>COUNTIF($A:$A,A1616)</f>
        <v>1</v>
      </c>
      <c r="V1616" t="str">
        <f t="shared" si="204"/>
        <v>OK</v>
      </c>
      <c r="W1616" t="str">
        <f>IF(I1616&gt;B1616,"ERROR","OK")</f>
        <v>OK</v>
      </c>
      <c r="X1616">
        <f>(B1616-I1616)/B1616</f>
        <v>0.65240106069458548</v>
      </c>
      <c r="Y1616" s="2">
        <f t="shared" si="205"/>
        <v>1.4432899320127035E-15</v>
      </c>
      <c r="Z1616" s="2" t="str">
        <f t="shared" si="206"/>
        <v>OK</v>
      </c>
      <c r="AA1616" t="str">
        <f t="shared" si="207"/>
        <v>Unique</v>
      </c>
    </row>
    <row r="1617" spans="1:27" x14ac:dyDescent="0.3">
      <c r="A1617">
        <v>1616</v>
      </c>
      <c r="B1617">
        <v>546503.83063973696</v>
      </c>
      <c r="C1617">
        <v>0.67575169685123504</v>
      </c>
      <c r="D1617">
        <v>0.116407671033566</v>
      </c>
      <c r="E1617">
        <v>0.39170871610397201</v>
      </c>
      <c r="F1617">
        <v>1</v>
      </c>
      <c r="G1617" t="s">
        <v>13</v>
      </c>
      <c r="H1617">
        <v>0</v>
      </c>
      <c r="I1617">
        <v>214070.31384579401</v>
      </c>
      <c r="J1617">
        <v>0.60829128389602705</v>
      </c>
      <c r="K1617" t="str">
        <f t="shared" si="200"/>
        <v>OK</v>
      </c>
      <c r="L1617" t="str">
        <f t="shared" si="201"/>
        <v>OK</v>
      </c>
      <c r="M1617" t="str">
        <f>IF(OR(B1617&lt;$AE$20,B1617&gt;$AF$20),"Outlier","OK")</f>
        <v>OK</v>
      </c>
      <c r="N1617" t="str">
        <f>IF(OR(J1617&lt;$AE$21,J1617&gt;$AF$21),"Outlier","OK")</f>
        <v>OK</v>
      </c>
      <c r="O1617" t="str">
        <f>IF(OR(C1617&lt;0,C1617&gt;1),"Outlier","OK")</f>
        <v>OK</v>
      </c>
      <c r="P1617" t="str">
        <f>IF(OR(D1617&lt;0,D1617&gt;1),"Outlier","OK")</f>
        <v>OK</v>
      </c>
      <c r="Q1617" t="str">
        <f t="shared" si="202"/>
        <v>60-80%</v>
      </c>
      <c r="R1617" t="str">
        <f>IF(B1617="","Missing","OK")</f>
        <v>OK</v>
      </c>
      <c r="S1617" t="str">
        <f>IF(E1617="","Missing","OK")</f>
        <v>OK</v>
      </c>
      <c r="T1617" t="str">
        <f t="shared" si="203"/>
        <v>OK</v>
      </c>
      <c r="U1617">
        <f>COUNTIF($A:$A,A1617)</f>
        <v>1</v>
      </c>
      <c r="V1617" t="str">
        <f t="shared" si="204"/>
        <v>OK</v>
      </c>
      <c r="W1617" t="str">
        <f>IF(I1617&gt;B1617,"ERROR","OK")</f>
        <v>OK</v>
      </c>
      <c r="X1617">
        <f>(B1617-I1617)/B1617</f>
        <v>0.60829128389602782</v>
      </c>
      <c r="Y1617" s="2">
        <f t="shared" si="205"/>
        <v>7.7715611723760958E-16</v>
      </c>
      <c r="Z1617" s="2" t="str">
        <f t="shared" si="206"/>
        <v>OK</v>
      </c>
      <c r="AA1617" t="str">
        <f t="shared" si="207"/>
        <v>Unique</v>
      </c>
    </row>
    <row r="1618" spans="1:27" x14ac:dyDescent="0.3">
      <c r="A1618">
        <v>1617</v>
      </c>
      <c r="B1618">
        <v>1472839.0395297799</v>
      </c>
      <c r="C1618">
        <v>0.73557889509756202</v>
      </c>
      <c r="D1618">
        <v>-0.116429495453271</v>
      </c>
      <c r="E1618">
        <v>0.34515061934799102</v>
      </c>
      <c r="F1618">
        <v>1</v>
      </c>
      <c r="G1618" t="s">
        <v>13</v>
      </c>
      <c r="H1618">
        <v>0</v>
      </c>
      <c r="I1618">
        <v>508351.30669360602</v>
      </c>
      <c r="J1618">
        <v>0.65484938065200804</v>
      </c>
      <c r="K1618" t="str">
        <f t="shared" si="200"/>
        <v>OK</v>
      </c>
      <c r="L1618" t="str">
        <f t="shared" si="201"/>
        <v>OK</v>
      </c>
      <c r="M1618" t="str">
        <f>IF(OR(B1618&lt;$AE$20,B1618&gt;$AF$20),"Outlier","OK")</f>
        <v>OK</v>
      </c>
      <c r="N1618" t="str">
        <f>IF(OR(J1618&lt;$AE$21,J1618&gt;$AF$21),"Outlier","OK")</f>
        <v>OK</v>
      </c>
      <c r="O1618" t="str">
        <f>IF(OR(C1618&lt;0,C1618&gt;1),"Outlier","OK")</f>
        <v>OK</v>
      </c>
      <c r="P1618" t="str">
        <f>IF(OR(D1618&lt;0,D1618&gt;1),"Outlier","OK")</f>
        <v>Outlier</v>
      </c>
      <c r="Q1618" t="str">
        <f t="shared" si="202"/>
        <v>60-80%</v>
      </c>
      <c r="R1618" t="str">
        <f>IF(B1618="","Missing","OK")</f>
        <v>OK</v>
      </c>
      <c r="S1618" t="str">
        <f>IF(E1618="","Missing","OK")</f>
        <v>OK</v>
      </c>
      <c r="T1618" t="str">
        <f t="shared" si="203"/>
        <v>OK</v>
      </c>
      <c r="U1618">
        <f>COUNTIF($A:$A,A1618)</f>
        <v>1</v>
      </c>
      <c r="V1618" t="str">
        <f t="shared" si="204"/>
        <v>OK</v>
      </c>
      <c r="W1618" t="str">
        <f>IF(I1618&gt;B1618,"ERROR","OK")</f>
        <v>OK</v>
      </c>
      <c r="X1618">
        <f>(B1618-I1618)/B1618</f>
        <v>0.65484938065200737</v>
      </c>
      <c r="Y1618" s="2">
        <f t="shared" si="205"/>
        <v>6.6613381477509392E-16</v>
      </c>
      <c r="Z1618" s="2" t="str">
        <f t="shared" si="206"/>
        <v>OK</v>
      </c>
      <c r="AA1618" t="str">
        <f t="shared" si="207"/>
        <v>Unique</v>
      </c>
    </row>
    <row r="1619" spans="1:27" x14ac:dyDescent="0.3">
      <c r="A1619">
        <v>1618</v>
      </c>
      <c r="B1619">
        <v>356872.82078958699</v>
      </c>
      <c r="C1619">
        <v>0.81225769455388597</v>
      </c>
      <c r="D1619">
        <v>4.8943621811671299E-2</v>
      </c>
      <c r="E1619">
        <v>0.33532097251265203</v>
      </c>
      <c r="F1619">
        <v>1</v>
      </c>
      <c r="G1619" t="s">
        <v>10</v>
      </c>
      <c r="H1619">
        <v>1</v>
      </c>
      <c r="I1619">
        <v>119666.94133049699</v>
      </c>
      <c r="J1619">
        <v>0.66467902748734697</v>
      </c>
      <c r="K1619" t="str">
        <f t="shared" si="200"/>
        <v>OK</v>
      </c>
      <c r="L1619" t="str">
        <f t="shared" si="201"/>
        <v>OK</v>
      </c>
      <c r="M1619" t="str">
        <f>IF(OR(B1619&lt;$AE$20,B1619&gt;$AF$20),"Outlier","OK")</f>
        <v>OK</v>
      </c>
      <c r="N1619" t="str">
        <f>IF(OR(J1619&lt;$AE$21,J1619&gt;$AF$21),"Outlier","OK")</f>
        <v>OK</v>
      </c>
      <c r="O1619" t="str">
        <f>IF(OR(C1619&lt;0,C1619&gt;1),"Outlier","OK")</f>
        <v>OK</v>
      </c>
      <c r="P1619" t="str">
        <f>IF(OR(D1619&lt;0,D1619&gt;1),"Outlier","OK")</f>
        <v>OK</v>
      </c>
      <c r="Q1619" t="str">
        <f t="shared" si="202"/>
        <v>60-80%</v>
      </c>
      <c r="R1619" t="str">
        <f>IF(B1619="","Missing","OK")</f>
        <v>OK</v>
      </c>
      <c r="S1619" t="str">
        <f>IF(E1619="","Missing","OK")</f>
        <v>OK</v>
      </c>
      <c r="T1619" t="str">
        <f t="shared" si="203"/>
        <v>OK</v>
      </c>
      <c r="U1619">
        <f>COUNTIF($A:$A,A1619)</f>
        <v>1</v>
      </c>
      <c r="V1619" t="str">
        <f t="shared" si="204"/>
        <v>OK</v>
      </c>
      <c r="W1619" t="str">
        <f>IF(I1619&gt;B1619,"ERROR","OK")</f>
        <v>OK</v>
      </c>
      <c r="X1619">
        <f>(B1619-I1619)/B1619</f>
        <v>0.66467902748734997</v>
      </c>
      <c r="Y1619" s="2">
        <f t="shared" si="205"/>
        <v>2.9976021664879227E-15</v>
      </c>
      <c r="Z1619" s="2" t="str">
        <f t="shared" si="206"/>
        <v>OK</v>
      </c>
      <c r="AA1619" t="str">
        <f t="shared" si="207"/>
        <v>Unique</v>
      </c>
    </row>
    <row r="1620" spans="1:27" x14ac:dyDescent="0.3">
      <c r="A1620">
        <v>1619</v>
      </c>
      <c r="B1620">
        <v>1400222.1862413799</v>
      </c>
      <c r="C1620">
        <v>0.87876777537180695</v>
      </c>
      <c r="D1620">
        <v>8.1882701115894393E-2</v>
      </c>
      <c r="E1620">
        <v>0.119075209469253</v>
      </c>
      <c r="F1620">
        <v>1</v>
      </c>
      <c r="G1620" t="s">
        <v>12</v>
      </c>
      <c r="H1620">
        <v>1</v>
      </c>
      <c r="I1620">
        <v>166731.750130189</v>
      </c>
      <c r="J1620">
        <v>0.88092479053074602</v>
      </c>
      <c r="K1620" t="str">
        <f t="shared" si="200"/>
        <v>OK</v>
      </c>
      <c r="L1620" t="str">
        <f t="shared" si="201"/>
        <v>OK</v>
      </c>
      <c r="M1620" t="str">
        <f>IF(OR(B1620&lt;$AE$20,B1620&gt;$AF$20),"Outlier","OK")</f>
        <v>OK</v>
      </c>
      <c r="N1620" t="str">
        <f>IF(OR(J1620&lt;$AE$21,J1620&gt;$AF$21),"Outlier","OK")</f>
        <v>OK</v>
      </c>
      <c r="O1620" t="str">
        <f>IF(OR(C1620&lt;0,C1620&gt;1),"Outlier","OK")</f>
        <v>OK</v>
      </c>
      <c r="P1620" t="str">
        <f>IF(OR(D1620&lt;0,D1620&gt;1),"Outlier","OK")</f>
        <v>OK</v>
      </c>
      <c r="Q1620" t="str">
        <f t="shared" si="202"/>
        <v>80-100%</v>
      </c>
      <c r="R1620" t="str">
        <f>IF(B1620="","Missing","OK")</f>
        <v>OK</v>
      </c>
      <c r="S1620" t="str">
        <f>IF(E1620="","Missing","OK")</f>
        <v>OK</v>
      </c>
      <c r="T1620" t="str">
        <f t="shared" si="203"/>
        <v>OK</v>
      </c>
      <c r="U1620">
        <f>COUNTIF($A:$A,A1620)</f>
        <v>1</v>
      </c>
      <c r="V1620" t="str">
        <f t="shared" si="204"/>
        <v>OK</v>
      </c>
      <c r="W1620" t="str">
        <f>IF(I1620&gt;B1620,"ERROR","OK")</f>
        <v>OK</v>
      </c>
      <c r="X1620">
        <f>(B1620-I1620)/B1620</f>
        <v>0.88092479053074602</v>
      </c>
      <c r="Y1620" s="2">
        <f t="shared" si="205"/>
        <v>0</v>
      </c>
      <c r="Z1620" s="2" t="str">
        <f t="shared" si="206"/>
        <v>OK</v>
      </c>
      <c r="AA1620" t="str">
        <f t="shared" si="207"/>
        <v>Unique</v>
      </c>
    </row>
    <row r="1621" spans="1:27" x14ac:dyDescent="0.3">
      <c r="A1621">
        <v>1620</v>
      </c>
      <c r="B1621">
        <v>1474153.83491239</v>
      </c>
      <c r="C1621">
        <v>0.64339848717576698</v>
      </c>
      <c r="D1621">
        <v>-7.0951518323522797E-2</v>
      </c>
      <c r="E1621">
        <v>0.18793835768198899</v>
      </c>
      <c r="F1621">
        <v>1</v>
      </c>
      <c r="G1621" t="s">
        <v>10</v>
      </c>
      <c r="H1621">
        <v>1</v>
      </c>
      <c r="I1621">
        <v>277050.05070404202</v>
      </c>
      <c r="J1621">
        <v>0.81206164231801004</v>
      </c>
      <c r="K1621" t="str">
        <f t="shared" si="200"/>
        <v>OK</v>
      </c>
      <c r="L1621" t="str">
        <f t="shared" si="201"/>
        <v>OK</v>
      </c>
      <c r="M1621" t="str">
        <f>IF(OR(B1621&lt;$AE$20,B1621&gt;$AF$20),"Outlier","OK")</f>
        <v>OK</v>
      </c>
      <c r="N1621" t="str">
        <f>IF(OR(J1621&lt;$AE$21,J1621&gt;$AF$21),"Outlier","OK")</f>
        <v>OK</v>
      </c>
      <c r="O1621" t="str">
        <f>IF(OR(C1621&lt;0,C1621&gt;1),"Outlier","OK")</f>
        <v>OK</v>
      </c>
      <c r="P1621" t="str">
        <f>IF(OR(D1621&lt;0,D1621&gt;1),"Outlier","OK")</f>
        <v>Outlier</v>
      </c>
      <c r="Q1621" t="str">
        <f t="shared" si="202"/>
        <v>80-100%</v>
      </c>
      <c r="R1621" t="str">
        <f>IF(B1621="","Missing","OK")</f>
        <v>OK</v>
      </c>
      <c r="S1621" t="str">
        <f>IF(E1621="","Missing","OK")</f>
        <v>OK</v>
      </c>
      <c r="T1621" t="str">
        <f t="shared" si="203"/>
        <v>OK</v>
      </c>
      <c r="U1621">
        <f>COUNTIF($A:$A,A1621)</f>
        <v>1</v>
      </c>
      <c r="V1621" t="str">
        <f t="shared" si="204"/>
        <v>OK</v>
      </c>
      <c r="W1621" t="str">
        <f>IF(I1621&gt;B1621,"ERROR","OK")</f>
        <v>OK</v>
      </c>
      <c r="X1621">
        <f>(B1621-I1621)/B1621</f>
        <v>0.81206164231801004</v>
      </c>
      <c r="Y1621" s="2">
        <f t="shared" si="205"/>
        <v>0</v>
      </c>
      <c r="Z1621" s="2" t="str">
        <f t="shared" si="206"/>
        <v>OK</v>
      </c>
      <c r="AA1621" t="str">
        <f t="shared" si="207"/>
        <v>Unique</v>
      </c>
    </row>
    <row r="1622" spans="1:27" x14ac:dyDescent="0.3">
      <c r="A1622">
        <v>1621</v>
      </c>
      <c r="B1622">
        <v>946448.46377635805</v>
      </c>
      <c r="C1622">
        <v>0.75440051809115904</v>
      </c>
      <c r="D1622">
        <v>-1.09657561253481E-2</v>
      </c>
      <c r="E1622">
        <v>0.191979984891092</v>
      </c>
      <c r="F1622">
        <v>1</v>
      </c>
      <c r="G1622" t="s">
        <v>11</v>
      </c>
      <c r="H1622">
        <v>0</v>
      </c>
      <c r="I1622">
        <v>181699.161775983</v>
      </c>
      <c r="J1622">
        <v>0.80802001510890697</v>
      </c>
      <c r="K1622" t="str">
        <f t="shared" si="200"/>
        <v>OK</v>
      </c>
      <c r="L1622" t="str">
        <f t="shared" si="201"/>
        <v>OK</v>
      </c>
      <c r="M1622" t="str">
        <f>IF(OR(B1622&lt;$AE$20,B1622&gt;$AF$20),"Outlier","OK")</f>
        <v>OK</v>
      </c>
      <c r="N1622" t="str">
        <f>IF(OR(J1622&lt;$AE$21,J1622&gt;$AF$21),"Outlier","OK")</f>
        <v>OK</v>
      </c>
      <c r="O1622" t="str">
        <f>IF(OR(C1622&lt;0,C1622&gt;1),"Outlier","OK")</f>
        <v>OK</v>
      </c>
      <c r="P1622" t="str">
        <f>IF(OR(D1622&lt;0,D1622&gt;1),"Outlier","OK")</f>
        <v>Outlier</v>
      </c>
      <c r="Q1622" t="str">
        <f t="shared" si="202"/>
        <v>80-100%</v>
      </c>
      <c r="R1622" t="str">
        <f>IF(B1622="","Missing","OK")</f>
        <v>OK</v>
      </c>
      <c r="S1622" t="str">
        <f>IF(E1622="","Missing","OK")</f>
        <v>OK</v>
      </c>
      <c r="T1622" t="str">
        <f t="shared" si="203"/>
        <v>OK</v>
      </c>
      <c r="U1622">
        <f>COUNTIF($A:$A,A1622)</f>
        <v>1</v>
      </c>
      <c r="V1622" t="str">
        <f t="shared" si="204"/>
        <v>OK</v>
      </c>
      <c r="W1622" t="str">
        <f>IF(I1622&gt;B1622,"ERROR","OK")</f>
        <v>OK</v>
      </c>
      <c r="X1622">
        <f>(B1622-I1622)/B1622</f>
        <v>0.80802001510890742</v>
      </c>
      <c r="Y1622" s="2">
        <f t="shared" si="205"/>
        <v>4.4408920985006262E-16</v>
      </c>
      <c r="Z1622" s="2" t="str">
        <f t="shared" si="206"/>
        <v>OK</v>
      </c>
      <c r="AA1622" t="str">
        <f t="shared" si="207"/>
        <v>Unique</v>
      </c>
    </row>
    <row r="1623" spans="1:27" x14ac:dyDescent="0.3">
      <c r="A1623">
        <v>1622</v>
      </c>
      <c r="B1623">
        <v>279424.33355554898</v>
      </c>
      <c r="C1623">
        <v>0.27288273748705999</v>
      </c>
      <c r="D1623">
        <v>-0.130348850289327</v>
      </c>
      <c r="E1623">
        <v>0.23032060254389999</v>
      </c>
      <c r="F1623">
        <v>1</v>
      </c>
      <c r="G1623" t="s">
        <v>13</v>
      </c>
      <c r="H1623">
        <v>0</v>
      </c>
      <c r="I1623">
        <v>64357.180869942102</v>
      </c>
      <c r="J1623">
        <v>0.76967939745609903</v>
      </c>
      <c r="K1623" t="str">
        <f t="shared" si="200"/>
        <v>OK</v>
      </c>
      <c r="L1623" t="str">
        <f t="shared" si="201"/>
        <v>OK</v>
      </c>
      <c r="M1623" t="str">
        <f>IF(OR(B1623&lt;$AE$20,B1623&gt;$AF$20),"Outlier","OK")</f>
        <v>OK</v>
      </c>
      <c r="N1623" t="str">
        <f>IF(OR(J1623&lt;$AE$21,J1623&gt;$AF$21),"Outlier","OK")</f>
        <v>OK</v>
      </c>
      <c r="O1623" t="str">
        <f>IF(OR(C1623&lt;0,C1623&gt;1),"Outlier","OK")</f>
        <v>OK</v>
      </c>
      <c r="P1623" t="str">
        <f>IF(OR(D1623&lt;0,D1623&gt;1),"Outlier","OK")</f>
        <v>Outlier</v>
      </c>
      <c r="Q1623" t="str">
        <f t="shared" si="202"/>
        <v>60-80%</v>
      </c>
      <c r="R1623" t="str">
        <f>IF(B1623="","Missing","OK")</f>
        <v>OK</v>
      </c>
      <c r="S1623" t="str">
        <f>IF(E1623="","Missing","OK")</f>
        <v>OK</v>
      </c>
      <c r="T1623" t="str">
        <f t="shared" si="203"/>
        <v>OK</v>
      </c>
      <c r="U1623">
        <f>COUNTIF($A:$A,A1623)</f>
        <v>1</v>
      </c>
      <c r="V1623" t="str">
        <f t="shared" si="204"/>
        <v>OK</v>
      </c>
      <c r="W1623" t="str">
        <f>IF(I1623&gt;B1623,"ERROR","OK")</f>
        <v>OK</v>
      </c>
      <c r="X1623">
        <f>(B1623-I1623)/B1623</f>
        <v>0.7696793974560987</v>
      </c>
      <c r="Y1623" s="2">
        <f t="shared" si="205"/>
        <v>3.3306690738754696E-16</v>
      </c>
      <c r="Z1623" s="2" t="str">
        <f t="shared" si="206"/>
        <v>OK</v>
      </c>
      <c r="AA1623" t="str">
        <f t="shared" si="207"/>
        <v>Unique</v>
      </c>
    </row>
    <row r="1624" spans="1:27" x14ac:dyDescent="0.3">
      <c r="A1624">
        <v>1623</v>
      </c>
      <c r="B1624">
        <v>1453043.7433251699</v>
      </c>
      <c r="C1624">
        <v>0.25050262339497498</v>
      </c>
      <c r="D1624">
        <v>-0.122954574354508</v>
      </c>
      <c r="E1624">
        <v>0.40782139203798101</v>
      </c>
      <c r="F1624">
        <v>1</v>
      </c>
      <c r="G1624" t="s">
        <v>12</v>
      </c>
      <c r="H1624">
        <v>1</v>
      </c>
      <c r="I1624">
        <v>592582.32209495199</v>
      </c>
      <c r="J1624">
        <v>0.59217860796201804</v>
      </c>
      <c r="K1624" t="str">
        <f t="shared" si="200"/>
        <v>OK</v>
      </c>
      <c r="L1624" t="str">
        <f t="shared" si="201"/>
        <v>OK</v>
      </c>
      <c r="M1624" t="str">
        <f>IF(OR(B1624&lt;$AE$20,B1624&gt;$AF$20),"Outlier","OK")</f>
        <v>OK</v>
      </c>
      <c r="N1624" t="str">
        <f>IF(OR(J1624&lt;$AE$21,J1624&gt;$AF$21),"Outlier","OK")</f>
        <v>OK</v>
      </c>
      <c r="O1624" t="str">
        <f>IF(OR(C1624&lt;0,C1624&gt;1),"Outlier","OK")</f>
        <v>OK</v>
      </c>
      <c r="P1624" t="str">
        <f>IF(OR(D1624&lt;0,D1624&gt;1),"Outlier","OK")</f>
        <v>Outlier</v>
      </c>
      <c r="Q1624" t="str">
        <f t="shared" si="202"/>
        <v>40-60%</v>
      </c>
      <c r="R1624" t="str">
        <f>IF(B1624="","Missing","OK")</f>
        <v>OK</v>
      </c>
      <c r="S1624" t="str">
        <f>IF(E1624="","Missing","OK")</f>
        <v>OK</v>
      </c>
      <c r="T1624" t="str">
        <f t="shared" si="203"/>
        <v>OK</v>
      </c>
      <c r="U1624">
        <f>COUNTIF($A:$A,A1624)</f>
        <v>1</v>
      </c>
      <c r="V1624" t="str">
        <f t="shared" si="204"/>
        <v>OK</v>
      </c>
      <c r="W1624" t="str">
        <f>IF(I1624&gt;B1624,"ERROR","OK")</f>
        <v>OK</v>
      </c>
      <c r="X1624">
        <f>(B1624-I1624)/B1624</f>
        <v>0.59217860796201727</v>
      </c>
      <c r="Y1624" s="2">
        <f t="shared" si="205"/>
        <v>7.7715611723760958E-16</v>
      </c>
      <c r="Z1624" s="2" t="str">
        <f t="shared" si="206"/>
        <v>OK</v>
      </c>
      <c r="AA1624" t="str">
        <f t="shared" si="207"/>
        <v>Unique</v>
      </c>
    </row>
    <row r="1625" spans="1:27" x14ac:dyDescent="0.3">
      <c r="A1625">
        <v>1624</v>
      </c>
      <c r="B1625">
        <v>1831612.1400093399</v>
      </c>
      <c r="C1625">
        <v>0.84636730077474698</v>
      </c>
      <c r="D1625">
        <v>-5.1040266833252197E-2</v>
      </c>
      <c r="E1625">
        <v>0.13650078712247901</v>
      </c>
      <c r="F1625">
        <v>1</v>
      </c>
      <c r="G1625" t="s">
        <v>12</v>
      </c>
      <c r="H1625">
        <v>1</v>
      </c>
      <c r="I1625">
        <v>250016.49881436501</v>
      </c>
      <c r="J1625">
        <v>0.86349921287751996</v>
      </c>
      <c r="K1625" t="str">
        <f t="shared" si="200"/>
        <v>OK</v>
      </c>
      <c r="L1625" t="str">
        <f t="shared" si="201"/>
        <v>OK</v>
      </c>
      <c r="M1625" t="str">
        <f>IF(OR(B1625&lt;$AE$20,B1625&gt;$AF$20),"Outlier","OK")</f>
        <v>OK</v>
      </c>
      <c r="N1625" t="str">
        <f>IF(OR(J1625&lt;$AE$21,J1625&gt;$AF$21),"Outlier","OK")</f>
        <v>OK</v>
      </c>
      <c r="O1625" t="str">
        <f>IF(OR(C1625&lt;0,C1625&gt;1),"Outlier","OK")</f>
        <v>OK</v>
      </c>
      <c r="P1625" t="str">
        <f>IF(OR(D1625&lt;0,D1625&gt;1),"Outlier","OK")</f>
        <v>Outlier</v>
      </c>
      <c r="Q1625" t="str">
        <f t="shared" si="202"/>
        <v>80-100%</v>
      </c>
      <c r="R1625" t="str">
        <f>IF(B1625="","Missing","OK")</f>
        <v>OK</v>
      </c>
      <c r="S1625" t="str">
        <f>IF(E1625="","Missing","OK")</f>
        <v>OK</v>
      </c>
      <c r="T1625" t="str">
        <f t="shared" si="203"/>
        <v>OK</v>
      </c>
      <c r="U1625">
        <f>COUNTIF($A:$A,A1625)</f>
        <v>1</v>
      </c>
      <c r="V1625" t="str">
        <f t="shared" si="204"/>
        <v>OK</v>
      </c>
      <c r="W1625" t="str">
        <f>IF(I1625&gt;B1625,"ERROR","OK")</f>
        <v>OK</v>
      </c>
      <c r="X1625">
        <f>(B1625-I1625)/B1625</f>
        <v>0.86349921287752007</v>
      </c>
      <c r="Y1625" s="2">
        <f t="shared" si="205"/>
        <v>1.1102230246251565E-16</v>
      </c>
      <c r="Z1625" s="2" t="str">
        <f t="shared" si="206"/>
        <v>OK</v>
      </c>
      <c r="AA1625" t="str">
        <f t="shared" si="207"/>
        <v>Unique</v>
      </c>
    </row>
    <row r="1626" spans="1:27" x14ac:dyDescent="0.3">
      <c r="A1626">
        <v>1625</v>
      </c>
      <c r="B1626">
        <v>764049.93564544397</v>
      </c>
      <c r="C1626">
        <v>0.22227434261481999</v>
      </c>
      <c r="D1626">
        <v>0.111927523075335</v>
      </c>
      <c r="E1626">
        <v>6.3940410926593805E-2</v>
      </c>
      <c r="F1626">
        <v>1</v>
      </c>
      <c r="G1626" t="s">
        <v>11</v>
      </c>
      <c r="H1626">
        <v>0</v>
      </c>
      <c r="I1626">
        <v>48853.666853607298</v>
      </c>
      <c r="J1626">
        <v>0.93605958907340603</v>
      </c>
      <c r="K1626" t="str">
        <f t="shared" si="200"/>
        <v>OK</v>
      </c>
      <c r="L1626" t="str">
        <f t="shared" si="201"/>
        <v>OK</v>
      </c>
      <c r="M1626" t="str">
        <f>IF(OR(B1626&lt;$AE$20,B1626&gt;$AF$20),"Outlier","OK")</f>
        <v>OK</v>
      </c>
      <c r="N1626" t="str">
        <f>IF(OR(J1626&lt;$AE$21,J1626&gt;$AF$21),"Outlier","OK")</f>
        <v>OK</v>
      </c>
      <c r="O1626" t="str">
        <f>IF(OR(C1626&lt;0,C1626&gt;1),"Outlier","OK")</f>
        <v>OK</v>
      </c>
      <c r="P1626" t="str">
        <f>IF(OR(D1626&lt;0,D1626&gt;1),"Outlier","OK")</f>
        <v>OK</v>
      </c>
      <c r="Q1626" t="str">
        <f t="shared" si="202"/>
        <v>80-100%</v>
      </c>
      <c r="R1626" t="str">
        <f>IF(B1626="","Missing","OK")</f>
        <v>OK</v>
      </c>
      <c r="S1626" t="str">
        <f>IF(E1626="","Missing","OK")</f>
        <v>OK</v>
      </c>
      <c r="T1626" t="str">
        <f t="shared" si="203"/>
        <v>OK</v>
      </c>
      <c r="U1626">
        <f>COUNTIF($A:$A,A1626)</f>
        <v>1</v>
      </c>
      <c r="V1626" t="str">
        <f t="shared" si="204"/>
        <v>OK</v>
      </c>
      <c r="W1626" t="str">
        <f>IF(I1626&gt;B1626,"ERROR","OK")</f>
        <v>OK</v>
      </c>
      <c r="X1626">
        <f>(B1626-I1626)/B1626</f>
        <v>0.93605958907340614</v>
      </c>
      <c r="Y1626" s="2">
        <f t="shared" si="205"/>
        <v>1.1102230246251565E-16</v>
      </c>
      <c r="Z1626" s="2" t="str">
        <f t="shared" si="206"/>
        <v>OK</v>
      </c>
      <c r="AA1626" t="str">
        <f t="shared" si="207"/>
        <v>Unique</v>
      </c>
    </row>
    <row r="1627" spans="1:27" x14ac:dyDescent="0.3">
      <c r="A1627">
        <v>1626</v>
      </c>
      <c r="B1627">
        <v>1529542.5657389499</v>
      </c>
      <c r="C1627">
        <v>0.884595729815287</v>
      </c>
      <c r="D1627">
        <v>8.0367231593313299E-2</v>
      </c>
      <c r="E1627">
        <v>0.12883628410759401</v>
      </c>
      <c r="F1627">
        <v>1</v>
      </c>
      <c r="G1627" t="s">
        <v>13</v>
      </c>
      <c r="H1627">
        <v>0</v>
      </c>
      <c r="I1627">
        <v>197060.58055420301</v>
      </c>
      <c r="J1627">
        <v>0.87116371589240504</v>
      </c>
      <c r="K1627" t="str">
        <f t="shared" si="200"/>
        <v>OK</v>
      </c>
      <c r="L1627" t="str">
        <f t="shared" si="201"/>
        <v>OK</v>
      </c>
      <c r="M1627" t="str">
        <f>IF(OR(B1627&lt;$AE$20,B1627&gt;$AF$20),"Outlier","OK")</f>
        <v>OK</v>
      </c>
      <c r="N1627" t="str">
        <f>IF(OR(J1627&lt;$AE$21,J1627&gt;$AF$21),"Outlier","OK")</f>
        <v>OK</v>
      </c>
      <c r="O1627" t="str">
        <f>IF(OR(C1627&lt;0,C1627&gt;1),"Outlier","OK")</f>
        <v>OK</v>
      </c>
      <c r="P1627" t="str">
        <f>IF(OR(D1627&lt;0,D1627&gt;1),"Outlier","OK")</f>
        <v>OK</v>
      </c>
      <c r="Q1627" t="str">
        <f t="shared" si="202"/>
        <v>80-100%</v>
      </c>
      <c r="R1627" t="str">
        <f>IF(B1627="","Missing","OK")</f>
        <v>OK</v>
      </c>
      <c r="S1627" t="str">
        <f>IF(E1627="","Missing","OK")</f>
        <v>OK</v>
      </c>
      <c r="T1627" t="str">
        <f t="shared" si="203"/>
        <v>OK</v>
      </c>
      <c r="U1627">
        <f>COUNTIF($A:$A,A1627)</f>
        <v>1</v>
      </c>
      <c r="V1627" t="str">
        <f t="shared" si="204"/>
        <v>OK</v>
      </c>
      <c r="W1627" t="str">
        <f>IF(I1627&gt;B1627,"ERROR","OK")</f>
        <v>OK</v>
      </c>
      <c r="X1627">
        <f>(B1627-I1627)/B1627</f>
        <v>0.87116371589240504</v>
      </c>
      <c r="Y1627" s="2">
        <f t="shared" si="205"/>
        <v>0</v>
      </c>
      <c r="Z1627" s="2" t="str">
        <f t="shared" si="206"/>
        <v>OK</v>
      </c>
      <c r="AA1627" t="str">
        <f t="shared" si="207"/>
        <v>Unique</v>
      </c>
    </row>
    <row r="1628" spans="1:27" x14ac:dyDescent="0.3">
      <c r="A1628">
        <v>1627</v>
      </c>
      <c r="B1628">
        <v>1496741.50003576</v>
      </c>
      <c r="C1628">
        <v>0.50559542698178594</v>
      </c>
      <c r="D1628">
        <v>-5.9936543202129697E-2</v>
      </c>
      <c r="E1628">
        <v>0.42539350687995903</v>
      </c>
      <c r="F1628">
        <v>1</v>
      </c>
      <c r="G1628" t="s">
        <v>11</v>
      </c>
      <c r="H1628">
        <v>0</v>
      </c>
      <c r="I1628">
        <v>636704.115592986</v>
      </c>
      <c r="J1628">
        <v>0.57460649312003997</v>
      </c>
      <c r="K1628" t="str">
        <f t="shared" si="200"/>
        <v>OK</v>
      </c>
      <c r="L1628" t="str">
        <f t="shared" si="201"/>
        <v>OK</v>
      </c>
      <c r="M1628" t="str">
        <f>IF(OR(B1628&lt;$AE$20,B1628&gt;$AF$20),"Outlier","OK")</f>
        <v>OK</v>
      </c>
      <c r="N1628" t="str">
        <f>IF(OR(J1628&lt;$AE$21,J1628&gt;$AF$21),"Outlier","OK")</f>
        <v>OK</v>
      </c>
      <c r="O1628" t="str">
        <f>IF(OR(C1628&lt;0,C1628&gt;1),"Outlier","OK")</f>
        <v>OK</v>
      </c>
      <c r="P1628" t="str">
        <f>IF(OR(D1628&lt;0,D1628&gt;1),"Outlier","OK")</f>
        <v>Outlier</v>
      </c>
      <c r="Q1628" t="str">
        <f t="shared" si="202"/>
        <v>40-60%</v>
      </c>
      <c r="R1628" t="str">
        <f>IF(B1628="","Missing","OK")</f>
        <v>OK</v>
      </c>
      <c r="S1628" t="str">
        <f>IF(E1628="","Missing","OK")</f>
        <v>OK</v>
      </c>
      <c r="T1628" t="str">
        <f t="shared" si="203"/>
        <v>OK</v>
      </c>
      <c r="U1628">
        <f>COUNTIF($A:$A,A1628)</f>
        <v>1</v>
      </c>
      <c r="V1628" t="str">
        <f t="shared" si="204"/>
        <v>OK</v>
      </c>
      <c r="W1628" t="str">
        <f>IF(I1628&gt;B1628,"ERROR","OK")</f>
        <v>OK</v>
      </c>
      <c r="X1628">
        <f>(B1628-I1628)/B1628</f>
        <v>0.57460649312003853</v>
      </c>
      <c r="Y1628" s="2">
        <f t="shared" si="205"/>
        <v>1.4432899320127035E-15</v>
      </c>
      <c r="Z1628" s="2" t="str">
        <f t="shared" si="206"/>
        <v>OK</v>
      </c>
      <c r="AA1628" t="str">
        <f t="shared" si="207"/>
        <v>Unique</v>
      </c>
    </row>
    <row r="1629" spans="1:27" x14ac:dyDescent="0.3">
      <c r="A1629">
        <v>1628</v>
      </c>
      <c r="B1629">
        <v>155382.22666324201</v>
      </c>
      <c r="C1629">
        <v>0.45739252517218099</v>
      </c>
      <c r="D1629">
        <v>9.1343141822566906E-2</v>
      </c>
      <c r="E1629">
        <v>0.34152700311388901</v>
      </c>
      <c r="F1629">
        <v>1</v>
      </c>
      <c r="G1629" t="s">
        <v>13</v>
      </c>
      <c r="H1629">
        <v>0</v>
      </c>
      <c r="I1629">
        <v>53067.226209460197</v>
      </c>
      <c r="J1629">
        <v>0.65847299688611005</v>
      </c>
      <c r="K1629" t="str">
        <f t="shared" si="200"/>
        <v>OK</v>
      </c>
      <c r="L1629" t="str">
        <f t="shared" si="201"/>
        <v>OK</v>
      </c>
      <c r="M1629" t="str">
        <f>IF(OR(B1629&lt;$AE$20,B1629&gt;$AF$20),"Outlier","OK")</f>
        <v>OK</v>
      </c>
      <c r="N1629" t="str">
        <f>IF(OR(J1629&lt;$AE$21,J1629&gt;$AF$21),"Outlier","OK")</f>
        <v>OK</v>
      </c>
      <c r="O1629" t="str">
        <f>IF(OR(C1629&lt;0,C1629&gt;1),"Outlier","OK")</f>
        <v>OK</v>
      </c>
      <c r="P1629" t="str">
        <f>IF(OR(D1629&lt;0,D1629&gt;1),"Outlier","OK")</f>
        <v>OK</v>
      </c>
      <c r="Q1629" t="str">
        <f t="shared" si="202"/>
        <v>60-80%</v>
      </c>
      <c r="R1629" t="str">
        <f>IF(B1629="","Missing","OK")</f>
        <v>OK</v>
      </c>
      <c r="S1629" t="str">
        <f>IF(E1629="","Missing","OK")</f>
        <v>OK</v>
      </c>
      <c r="T1629" t="str">
        <f t="shared" si="203"/>
        <v>OK</v>
      </c>
      <c r="U1629">
        <f>COUNTIF($A:$A,A1629)</f>
        <v>1</v>
      </c>
      <c r="V1629" t="str">
        <f t="shared" si="204"/>
        <v>OK</v>
      </c>
      <c r="W1629" t="str">
        <f>IF(I1629&gt;B1629,"ERROR","OK")</f>
        <v>OK</v>
      </c>
      <c r="X1629">
        <f>(B1629-I1629)/B1629</f>
        <v>0.65847299688611005</v>
      </c>
      <c r="Y1629" s="2">
        <f t="shared" si="205"/>
        <v>0</v>
      </c>
      <c r="Z1629" s="2" t="str">
        <f t="shared" si="206"/>
        <v>OK</v>
      </c>
      <c r="AA1629" t="str">
        <f t="shared" si="207"/>
        <v>Unique</v>
      </c>
    </row>
    <row r="1630" spans="1:27" x14ac:dyDescent="0.3">
      <c r="A1630">
        <v>1629</v>
      </c>
      <c r="B1630">
        <v>158629.94790690701</v>
      </c>
      <c r="C1630">
        <v>0.69308529893211202</v>
      </c>
      <c r="D1630">
        <v>-6.4944626233414404E-2</v>
      </c>
      <c r="E1630">
        <v>0.106604262911475</v>
      </c>
      <c r="F1630">
        <v>1</v>
      </c>
      <c r="G1630" t="s">
        <v>11</v>
      </c>
      <c r="H1630">
        <v>0</v>
      </c>
      <c r="I1630">
        <v>16910.628672301598</v>
      </c>
      <c r="J1630">
        <v>0.89339573708852404</v>
      </c>
      <c r="K1630" t="str">
        <f t="shared" si="200"/>
        <v>OK</v>
      </c>
      <c r="L1630" t="str">
        <f t="shared" si="201"/>
        <v>OK</v>
      </c>
      <c r="M1630" t="str">
        <f>IF(OR(B1630&lt;$AE$20,B1630&gt;$AF$20),"Outlier","OK")</f>
        <v>OK</v>
      </c>
      <c r="N1630" t="str">
        <f>IF(OR(J1630&lt;$AE$21,J1630&gt;$AF$21),"Outlier","OK")</f>
        <v>OK</v>
      </c>
      <c r="O1630" t="str">
        <f>IF(OR(C1630&lt;0,C1630&gt;1),"Outlier","OK")</f>
        <v>OK</v>
      </c>
      <c r="P1630" t="str">
        <f>IF(OR(D1630&lt;0,D1630&gt;1),"Outlier","OK")</f>
        <v>Outlier</v>
      </c>
      <c r="Q1630" t="str">
        <f t="shared" si="202"/>
        <v>80-100%</v>
      </c>
      <c r="R1630" t="str">
        <f>IF(B1630="","Missing","OK")</f>
        <v>OK</v>
      </c>
      <c r="S1630" t="str">
        <f>IF(E1630="","Missing","OK")</f>
        <v>OK</v>
      </c>
      <c r="T1630" t="str">
        <f t="shared" si="203"/>
        <v>OK</v>
      </c>
      <c r="U1630">
        <f>COUNTIF($A:$A,A1630)</f>
        <v>1</v>
      </c>
      <c r="V1630" t="str">
        <f t="shared" si="204"/>
        <v>OK</v>
      </c>
      <c r="W1630" t="str">
        <f>IF(I1630&gt;B1630,"ERROR","OK")</f>
        <v>OK</v>
      </c>
      <c r="X1630">
        <f>(B1630-I1630)/B1630</f>
        <v>0.89339573708852438</v>
      </c>
      <c r="Y1630" s="2">
        <f t="shared" si="205"/>
        <v>3.3306690738754696E-16</v>
      </c>
      <c r="Z1630" s="2" t="str">
        <f t="shared" si="206"/>
        <v>OK</v>
      </c>
      <c r="AA1630" t="str">
        <f t="shared" si="207"/>
        <v>Unique</v>
      </c>
    </row>
    <row r="1631" spans="1:27" x14ac:dyDescent="0.3">
      <c r="A1631">
        <v>1630</v>
      </c>
      <c r="B1631">
        <v>1369404.5947291399</v>
      </c>
      <c r="C1631">
        <v>0.144756879357919</v>
      </c>
      <c r="D1631">
        <v>-0.119742519426836</v>
      </c>
      <c r="E1631">
        <v>0.38132011278290301</v>
      </c>
      <c r="F1631">
        <v>1</v>
      </c>
      <c r="G1631" t="s">
        <v>10</v>
      </c>
      <c r="H1631">
        <v>0</v>
      </c>
      <c r="I1631">
        <v>522181.51450754202</v>
      </c>
      <c r="J1631">
        <v>0.61867988721709599</v>
      </c>
      <c r="K1631" t="str">
        <f t="shared" si="200"/>
        <v>OK</v>
      </c>
      <c r="L1631" t="str">
        <f t="shared" si="201"/>
        <v>OK</v>
      </c>
      <c r="M1631" t="str">
        <f>IF(OR(B1631&lt;$AE$20,B1631&gt;$AF$20),"Outlier","OK")</f>
        <v>OK</v>
      </c>
      <c r="N1631" t="str">
        <f>IF(OR(J1631&lt;$AE$21,J1631&gt;$AF$21),"Outlier","OK")</f>
        <v>OK</v>
      </c>
      <c r="O1631" t="str">
        <f>IF(OR(C1631&lt;0,C1631&gt;1),"Outlier","OK")</f>
        <v>OK</v>
      </c>
      <c r="P1631" t="str">
        <f>IF(OR(D1631&lt;0,D1631&gt;1),"Outlier","OK")</f>
        <v>Outlier</v>
      </c>
      <c r="Q1631" t="str">
        <f t="shared" si="202"/>
        <v>60-80%</v>
      </c>
      <c r="R1631" t="str">
        <f>IF(B1631="","Missing","OK")</f>
        <v>OK</v>
      </c>
      <c r="S1631" t="str">
        <f>IF(E1631="","Missing","OK")</f>
        <v>OK</v>
      </c>
      <c r="T1631" t="str">
        <f t="shared" si="203"/>
        <v>OK</v>
      </c>
      <c r="U1631">
        <f>COUNTIF($A:$A,A1631)</f>
        <v>1</v>
      </c>
      <c r="V1631" t="str">
        <f t="shared" si="204"/>
        <v>OK</v>
      </c>
      <c r="W1631" t="str">
        <f>IF(I1631&gt;B1631,"ERROR","OK")</f>
        <v>OK</v>
      </c>
      <c r="X1631">
        <f>(B1631-I1631)/B1631</f>
        <v>0.61867988721709644</v>
      </c>
      <c r="Y1631" s="2">
        <f t="shared" si="205"/>
        <v>4.4408920985006262E-16</v>
      </c>
      <c r="Z1631" s="2" t="str">
        <f t="shared" si="206"/>
        <v>OK</v>
      </c>
      <c r="AA1631" t="str">
        <f t="shared" si="207"/>
        <v>Unique</v>
      </c>
    </row>
    <row r="1632" spans="1:27" x14ac:dyDescent="0.3">
      <c r="A1632">
        <v>1631</v>
      </c>
      <c r="B1632">
        <v>1670269.9495105699</v>
      </c>
      <c r="C1632">
        <v>0.51146150775792598</v>
      </c>
      <c r="D1632">
        <v>6.3598614727890801E-2</v>
      </c>
      <c r="E1632">
        <v>0.31781496833344902</v>
      </c>
      <c r="F1632">
        <v>1</v>
      </c>
      <c r="G1632" t="s">
        <v>12</v>
      </c>
      <c r="H1632">
        <v>0</v>
      </c>
      <c r="I1632">
        <v>530836.79111201596</v>
      </c>
      <c r="J1632">
        <v>0.68218503166654998</v>
      </c>
      <c r="K1632" t="str">
        <f t="shared" si="200"/>
        <v>OK</v>
      </c>
      <c r="L1632" t="str">
        <f t="shared" si="201"/>
        <v>OK</v>
      </c>
      <c r="M1632" t="str">
        <f>IF(OR(B1632&lt;$AE$20,B1632&gt;$AF$20),"Outlier","OK")</f>
        <v>OK</v>
      </c>
      <c r="N1632" t="str">
        <f>IF(OR(J1632&lt;$AE$21,J1632&gt;$AF$21),"Outlier","OK")</f>
        <v>OK</v>
      </c>
      <c r="O1632" t="str">
        <f>IF(OR(C1632&lt;0,C1632&gt;1),"Outlier","OK")</f>
        <v>OK</v>
      </c>
      <c r="P1632" t="str">
        <f>IF(OR(D1632&lt;0,D1632&gt;1),"Outlier","OK")</f>
        <v>OK</v>
      </c>
      <c r="Q1632" t="str">
        <f t="shared" si="202"/>
        <v>60-80%</v>
      </c>
      <c r="R1632" t="str">
        <f>IF(B1632="","Missing","OK")</f>
        <v>OK</v>
      </c>
      <c r="S1632" t="str">
        <f>IF(E1632="","Missing","OK")</f>
        <v>OK</v>
      </c>
      <c r="T1632" t="str">
        <f t="shared" si="203"/>
        <v>OK</v>
      </c>
      <c r="U1632">
        <f>COUNTIF($A:$A,A1632)</f>
        <v>1</v>
      </c>
      <c r="V1632" t="str">
        <f t="shared" si="204"/>
        <v>OK</v>
      </c>
      <c r="W1632" t="str">
        <f>IF(I1632&gt;B1632,"ERROR","OK")</f>
        <v>OK</v>
      </c>
      <c r="X1632">
        <f>(B1632-I1632)/B1632</f>
        <v>0.68218503166654942</v>
      </c>
      <c r="Y1632" s="2">
        <f t="shared" si="205"/>
        <v>5.5511151231257827E-16</v>
      </c>
      <c r="Z1632" s="2" t="str">
        <f t="shared" si="206"/>
        <v>OK</v>
      </c>
      <c r="AA1632" t="str">
        <f t="shared" si="207"/>
        <v>Unique</v>
      </c>
    </row>
    <row r="1633" spans="1:27" x14ac:dyDescent="0.3">
      <c r="A1633">
        <v>1632</v>
      </c>
      <c r="B1633">
        <v>1845095.7114691599</v>
      </c>
      <c r="C1633">
        <v>0.77577104328181601</v>
      </c>
      <c r="D1633">
        <v>0.18762610248583</v>
      </c>
      <c r="E1633">
        <v>0.28220852503110799</v>
      </c>
      <c r="F1633">
        <v>1</v>
      </c>
      <c r="G1633" t="s">
        <v>10</v>
      </c>
      <c r="H1633">
        <v>0</v>
      </c>
      <c r="I1633">
        <v>520701.73927493597</v>
      </c>
      <c r="J1633">
        <v>0.71779147496889095</v>
      </c>
      <c r="K1633" t="str">
        <f t="shared" si="200"/>
        <v>OK</v>
      </c>
      <c r="L1633" t="str">
        <f t="shared" si="201"/>
        <v>OK</v>
      </c>
      <c r="M1633" t="str">
        <f>IF(OR(B1633&lt;$AE$20,B1633&gt;$AF$20),"Outlier","OK")</f>
        <v>OK</v>
      </c>
      <c r="N1633" t="str">
        <f>IF(OR(J1633&lt;$AE$21,J1633&gt;$AF$21),"Outlier","OK")</f>
        <v>OK</v>
      </c>
      <c r="O1633" t="str">
        <f>IF(OR(C1633&lt;0,C1633&gt;1),"Outlier","OK")</f>
        <v>OK</v>
      </c>
      <c r="P1633" t="str">
        <f>IF(OR(D1633&lt;0,D1633&gt;1),"Outlier","OK")</f>
        <v>OK</v>
      </c>
      <c r="Q1633" t="str">
        <f t="shared" si="202"/>
        <v>60-80%</v>
      </c>
      <c r="R1633" t="str">
        <f>IF(B1633="","Missing","OK")</f>
        <v>OK</v>
      </c>
      <c r="S1633" t="str">
        <f>IF(E1633="","Missing","OK")</f>
        <v>OK</v>
      </c>
      <c r="T1633" t="str">
        <f t="shared" si="203"/>
        <v>OK</v>
      </c>
      <c r="U1633">
        <f>COUNTIF($A:$A,A1633)</f>
        <v>1</v>
      </c>
      <c r="V1633" t="str">
        <f t="shared" si="204"/>
        <v>OK</v>
      </c>
      <c r="W1633" t="str">
        <f>IF(I1633&gt;B1633,"ERROR","OK")</f>
        <v>OK</v>
      </c>
      <c r="X1633">
        <f>(B1633-I1633)/B1633</f>
        <v>0.71779147496889117</v>
      </c>
      <c r="Y1633" s="2">
        <f t="shared" si="205"/>
        <v>2.2204460492503131E-16</v>
      </c>
      <c r="Z1633" s="2" t="str">
        <f t="shared" si="206"/>
        <v>OK</v>
      </c>
      <c r="AA1633" t="str">
        <f t="shared" si="207"/>
        <v>Unique</v>
      </c>
    </row>
    <row r="1634" spans="1:27" x14ac:dyDescent="0.3">
      <c r="A1634">
        <v>1633</v>
      </c>
      <c r="B1634">
        <v>326243.09035195102</v>
      </c>
      <c r="C1634">
        <v>0.42419631007848901</v>
      </c>
      <c r="D1634">
        <v>-0.16614397844411199</v>
      </c>
      <c r="E1634">
        <v>0.345812900473977</v>
      </c>
      <c r="F1634">
        <v>1</v>
      </c>
      <c r="G1634" t="s">
        <v>12</v>
      </c>
      <c r="H1634">
        <v>0</v>
      </c>
      <c r="I1634">
        <v>112819.06933420199</v>
      </c>
      <c r="J1634">
        <v>0.65418709952602205</v>
      </c>
      <c r="K1634" t="str">
        <f t="shared" si="200"/>
        <v>OK</v>
      </c>
      <c r="L1634" t="str">
        <f t="shared" si="201"/>
        <v>OK</v>
      </c>
      <c r="M1634" t="str">
        <f>IF(OR(B1634&lt;$AE$20,B1634&gt;$AF$20),"Outlier","OK")</f>
        <v>OK</v>
      </c>
      <c r="N1634" t="str">
        <f>IF(OR(J1634&lt;$AE$21,J1634&gt;$AF$21),"Outlier","OK")</f>
        <v>OK</v>
      </c>
      <c r="O1634" t="str">
        <f>IF(OR(C1634&lt;0,C1634&gt;1),"Outlier","OK")</f>
        <v>OK</v>
      </c>
      <c r="P1634" t="str">
        <f>IF(OR(D1634&lt;0,D1634&gt;1),"Outlier","OK")</f>
        <v>Outlier</v>
      </c>
      <c r="Q1634" t="str">
        <f t="shared" si="202"/>
        <v>60-80%</v>
      </c>
      <c r="R1634" t="str">
        <f>IF(B1634="","Missing","OK")</f>
        <v>OK</v>
      </c>
      <c r="S1634" t="str">
        <f>IF(E1634="","Missing","OK")</f>
        <v>OK</v>
      </c>
      <c r="T1634" t="str">
        <f t="shared" si="203"/>
        <v>OK</v>
      </c>
      <c r="U1634">
        <f>COUNTIF($A:$A,A1634)</f>
        <v>1</v>
      </c>
      <c r="V1634" t="str">
        <f t="shared" si="204"/>
        <v>OK</v>
      </c>
      <c r="W1634" t="str">
        <f>IF(I1634&gt;B1634,"ERROR","OK")</f>
        <v>OK</v>
      </c>
      <c r="X1634">
        <f>(B1634-I1634)/B1634</f>
        <v>0.65418709952602283</v>
      </c>
      <c r="Y1634" s="2">
        <f t="shared" si="205"/>
        <v>7.7715611723760958E-16</v>
      </c>
      <c r="Z1634" s="2" t="str">
        <f t="shared" si="206"/>
        <v>OK</v>
      </c>
      <c r="AA1634" t="str">
        <f t="shared" si="207"/>
        <v>Unique</v>
      </c>
    </row>
    <row r="1635" spans="1:27" x14ac:dyDescent="0.3">
      <c r="A1635">
        <v>1634</v>
      </c>
      <c r="B1635">
        <v>1187610.9059775099</v>
      </c>
      <c r="C1635">
        <v>0.50724441094643302</v>
      </c>
      <c r="D1635">
        <v>0.19764157061859999</v>
      </c>
      <c r="E1635">
        <v>0.37410594776852202</v>
      </c>
      <c r="F1635">
        <v>1</v>
      </c>
      <c r="G1635" t="s">
        <v>10</v>
      </c>
      <c r="H1635">
        <v>1</v>
      </c>
      <c r="I1635">
        <v>444292.30356095399</v>
      </c>
      <c r="J1635">
        <v>0.62589405223147698</v>
      </c>
      <c r="K1635" t="str">
        <f t="shared" si="200"/>
        <v>OK</v>
      </c>
      <c r="L1635" t="str">
        <f t="shared" si="201"/>
        <v>OK</v>
      </c>
      <c r="M1635" t="str">
        <f>IF(OR(B1635&lt;$AE$20,B1635&gt;$AF$20),"Outlier","OK")</f>
        <v>OK</v>
      </c>
      <c r="N1635" t="str">
        <f>IF(OR(J1635&lt;$AE$21,J1635&gt;$AF$21),"Outlier","OK")</f>
        <v>OK</v>
      </c>
      <c r="O1635" t="str">
        <f>IF(OR(C1635&lt;0,C1635&gt;1),"Outlier","OK")</f>
        <v>OK</v>
      </c>
      <c r="P1635" t="str">
        <f>IF(OR(D1635&lt;0,D1635&gt;1),"Outlier","OK")</f>
        <v>OK</v>
      </c>
      <c r="Q1635" t="str">
        <f t="shared" si="202"/>
        <v>60-80%</v>
      </c>
      <c r="R1635" t="str">
        <f>IF(B1635="","Missing","OK")</f>
        <v>OK</v>
      </c>
      <c r="S1635" t="str">
        <f>IF(E1635="","Missing","OK")</f>
        <v>OK</v>
      </c>
      <c r="T1635" t="str">
        <f t="shared" si="203"/>
        <v>OK</v>
      </c>
      <c r="U1635">
        <f>COUNTIF($A:$A,A1635)</f>
        <v>1</v>
      </c>
      <c r="V1635" t="str">
        <f t="shared" si="204"/>
        <v>OK</v>
      </c>
      <c r="W1635" t="str">
        <f>IF(I1635&gt;B1635,"ERROR","OK")</f>
        <v>OK</v>
      </c>
      <c r="X1635">
        <f>(B1635-I1635)/B1635</f>
        <v>0.6258940522314741</v>
      </c>
      <c r="Y1635" s="2">
        <f t="shared" si="205"/>
        <v>2.886579864025407E-15</v>
      </c>
      <c r="Z1635" s="2" t="str">
        <f t="shared" si="206"/>
        <v>OK</v>
      </c>
      <c r="AA1635" t="str">
        <f t="shared" si="207"/>
        <v>Unique</v>
      </c>
    </row>
    <row r="1636" spans="1:27" x14ac:dyDescent="0.3">
      <c r="A1636">
        <v>1635</v>
      </c>
      <c r="B1636">
        <v>600003.52027835895</v>
      </c>
      <c r="C1636">
        <v>0.104072607422</v>
      </c>
      <c r="D1636">
        <v>0.16502919237941199</v>
      </c>
      <c r="E1636">
        <v>0.33061462238550199</v>
      </c>
      <c r="F1636">
        <v>1</v>
      </c>
      <c r="G1636" t="s">
        <v>12</v>
      </c>
      <c r="H1636">
        <v>0</v>
      </c>
      <c r="I1636">
        <v>198369.93728680199</v>
      </c>
      <c r="J1636">
        <v>0.66938537761449701</v>
      </c>
      <c r="K1636" t="str">
        <f t="shared" si="200"/>
        <v>OK</v>
      </c>
      <c r="L1636" t="str">
        <f t="shared" si="201"/>
        <v>OK</v>
      </c>
      <c r="M1636" t="str">
        <f>IF(OR(B1636&lt;$AE$20,B1636&gt;$AF$20),"Outlier","OK")</f>
        <v>OK</v>
      </c>
      <c r="N1636" t="str">
        <f>IF(OR(J1636&lt;$AE$21,J1636&gt;$AF$21),"Outlier","OK")</f>
        <v>OK</v>
      </c>
      <c r="O1636" t="str">
        <f>IF(OR(C1636&lt;0,C1636&gt;1),"Outlier","OK")</f>
        <v>OK</v>
      </c>
      <c r="P1636" t="str">
        <f>IF(OR(D1636&lt;0,D1636&gt;1),"Outlier","OK")</f>
        <v>OK</v>
      </c>
      <c r="Q1636" t="str">
        <f t="shared" si="202"/>
        <v>60-80%</v>
      </c>
      <c r="R1636" t="str">
        <f>IF(B1636="","Missing","OK")</f>
        <v>OK</v>
      </c>
      <c r="S1636" t="str">
        <f>IF(E1636="","Missing","OK")</f>
        <v>OK</v>
      </c>
      <c r="T1636" t="str">
        <f t="shared" si="203"/>
        <v>OK</v>
      </c>
      <c r="U1636">
        <f>COUNTIF($A:$A,A1636)</f>
        <v>1</v>
      </c>
      <c r="V1636" t="str">
        <f t="shared" si="204"/>
        <v>OK</v>
      </c>
      <c r="W1636" t="str">
        <f>IF(I1636&gt;B1636,"ERROR","OK")</f>
        <v>OK</v>
      </c>
      <c r="X1636">
        <f>(B1636-I1636)/B1636</f>
        <v>0.66938537761449723</v>
      </c>
      <c r="Y1636" s="2">
        <f t="shared" si="205"/>
        <v>2.2204460492503131E-16</v>
      </c>
      <c r="Z1636" s="2" t="str">
        <f t="shared" si="206"/>
        <v>OK</v>
      </c>
      <c r="AA1636" t="str">
        <f t="shared" si="207"/>
        <v>Unique</v>
      </c>
    </row>
    <row r="1637" spans="1:27" x14ac:dyDescent="0.3">
      <c r="A1637">
        <v>1636</v>
      </c>
      <c r="B1637">
        <v>484266.69081187801</v>
      </c>
      <c r="C1637">
        <v>0.427211243907409</v>
      </c>
      <c r="D1637">
        <v>-0.12704520549609399</v>
      </c>
      <c r="E1637">
        <v>0.26090589559696797</v>
      </c>
      <c r="F1637">
        <v>1</v>
      </c>
      <c r="G1637" t="s">
        <v>11</v>
      </c>
      <c r="H1637">
        <v>1</v>
      </c>
      <c r="I1637">
        <v>126348.03467405299</v>
      </c>
      <c r="J1637">
        <v>0.73909410440303103</v>
      </c>
      <c r="K1637" t="str">
        <f t="shared" si="200"/>
        <v>OK</v>
      </c>
      <c r="L1637" t="str">
        <f t="shared" si="201"/>
        <v>OK</v>
      </c>
      <c r="M1637" t="str">
        <f>IF(OR(B1637&lt;$AE$20,B1637&gt;$AF$20),"Outlier","OK")</f>
        <v>OK</v>
      </c>
      <c r="N1637" t="str">
        <f>IF(OR(J1637&lt;$AE$21,J1637&gt;$AF$21),"Outlier","OK")</f>
        <v>OK</v>
      </c>
      <c r="O1637" t="str">
        <f>IF(OR(C1637&lt;0,C1637&gt;1),"Outlier","OK")</f>
        <v>OK</v>
      </c>
      <c r="P1637" t="str">
        <f>IF(OR(D1637&lt;0,D1637&gt;1),"Outlier","OK")</f>
        <v>Outlier</v>
      </c>
      <c r="Q1637" t="str">
        <f t="shared" si="202"/>
        <v>60-80%</v>
      </c>
      <c r="R1637" t="str">
        <f>IF(B1637="","Missing","OK")</f>
        <v>OK</v>
      </c>
      <c r="S1637" t="str">
        <f>IF(E1637="","Missing","OK")</f>
        <v>OK</v>
      </c>
      <c r="T1637" t="str">
        <f t="shared" si="203"/>
        <v>OK</v>
      </c>
      <c r="U1637">
        <f>COUNTIF($A:$A,A1637)</f>
        <v>1</v>
      </c>
      <c r="V1637" t="str">
        <f t="shared" si="204"/>
        <v>OK</v>
      </c>
      <c r="W1637" t="str">
        <f>IF(I1637&gt;B1637,"ERROR","OK")</f>
        <v>OK</v>
      </c>
      <c r="X1637">
        <f>(B1637-I1637)/B1637</f>
        <v>0.73909410440303203</v>
      </c>
      <c r="Y1637" s="2">
        <f t="shared" si="205"/>
        <v>9.9920072216264089E-16</v>
      </c>
      <c r="Z1637" s="2" t="str">
        <f t="shared" si="206"/>
        <v>OK</v>
      </c>
      <c r="AA1637" t="str">
        <f t="shared" si="207"/>
        <v>Unique</v>
      </c>
    </row>
    <row r="1638" spans="1:27" x14ac:dyDescent="0.3">
      <c r="A1638">
        <v>1637</v>
      </c>
      <c r="B1638">
        <v>1489857.6774309201</v>
      </c>
      <c r="C1638">
        <v>0.60382989137086496</v>
      </c>
      <c r="D1638">
        <v>3.9626356136450699E-2</v>
      </c>
      <c r="E1638">
        <v>0.15175741928568101</v>
      </c>
      <c r="F1638">
        <v>1</v>
      </c>
      <c r="G1638" t="s">
        <v>12</v>
      </c>
      <c r="H1638">
        <v>0</v>
      </c>
      <c r="I1638">
        <v>226096.956229876</v>
      </c>
      <c r="J1638">
        <v>0.84824258071431802</v>
      </c>
      <c r="K1638" t="str">
        <f t="shared" si="200"/>
        <v>OK</v>
      </c>
      <c r="L1638" t="str">
        <f t="shared" si="201"/>
        <v>OK</v>
      </c>
      <c r="M1638" t="str">
        <f>IF(OR(B1638&lt;$AE$20,B1638&gt;$AF$20),"Outlier","OK")</f>
        <v>OK</v>
      </c>
      <c r="N1638" t="str">
        <f>IF(OR(J1638&lt;$AE$21,J1638&gt;$AF$21),"Outlier","OK")</f>
        <v>OK</v>
      </c>
      <c r="O1638" t="str">
        <f>IF(OR(C1638&lt;0,C1638&gt;1),"Outlier","OK")</f>
        <v>OK</v>
      </c>
      <c r="P1638" t="str">
        <f>IF(OR(D1638&lt;0,D1638&gt;1),"Outlier","OK")</f>
        <v>OK</v>
      </c>
      <c r="Q1638" t="str">
        <f t="shared" si="202"/>
        <v>80-100%</v>
      </c>
      <c r="R1638" t="str">
        <f>IF(B1638="","Missing","OK")</f>
        <v>OK</v>
      </c>
      <c r="S1638" t="str">
        <f>IF(E1638="","Missing","OK")</f>
        <v>OK</v>
      </c>
      <c r="T1638" t="str">
        <f t="shared" si="203"/>
        <v>OK</v>
      </c>
      <c r="U1638">
        <f>COUNTIF($A:$A,A1638)</f>
        <v>1</v>
      </c>
      <c r="V1638" t="str">
        <f t="shared" si="204"/>
        <v>OK</v>
      </c>
      <c r="W1638" t="str">
        <f>IF(I1638&gt;B1638,"ERROR","OK")</f>
        <v>OK</v>
      </c>
      <c r="X1638">
        <f>(B1638-I1638)/B1638</f>
        <v>0.84824258071431835</v>
      </c>
      <c r="Y1638" s="2">
        <f t="shared" si="205"/>
        <v>3.3306690738754696E-16</v>
      </c>
      <c r="Z1638" s="2" t="str">
        <f t="shared" si="206"/>
        <v>OK</v>
      </c>
      <c r="AA1638" t="str">
        <f t="shared" si="207"/>
        <v>Unique</v>
      </c>
    </row>
    <row r="1639" spans="1:27" x14ac:dyDescent="0.3">
      <c r="A1639">
        <v>1638</v>
      </c>
      <c r="B1639">
        <v>855724.16272810905</v>
      </c>
      <c r="C1639">
        <v>0.67029298779967705</v>
      </c>
      <c r="D1639">
        <v>4.7046188827660103E-2</v>
      </c>
      <c r="E1639">
        <v>0.15358896799965599</v>
      </c>
      <c r="F1639">
        <v>1</v>
      </c>
      <c r="G1639" t="s">
        <v>12</v>
      </c>
      <c r="H1639">
        <v>1</v>
      </c>
      <c r="I1639">
        <v>131429.79104578</v>
      </c>
      <c r="J1639">
        <v>0.84641103200034296</v>
      </c>
      <c r="K1639" t="str">
        <f t="shared" si="200"/>
        <v>OK</v>
      </c>
      <c r="L1639" t="str">
        <f t="shared" si="201"/>
        <v>OK</v>
      </c>
      <c r="M1639" t="str">
        <f>IF(OR(B1639&lt;$AE$20,B1639&gt;$AF$20),"Outlier","OK")</f>
        <v>OK</v>
      </c>
      <c r="N1639" t="str">
        <f>IF(OR(J1639&lt;$AE$21,J1639&gt;$AF$21),"Outlier","OK")</f>
        <v>OK</v>
      </c>
      <c r="O1639" t="str">
        <f>IF(OR(C1639&lt;0,C1639&gt;1),"Outlier","OK")</f>
        <v>OK</v>
      </c>
      <c r="P1639" t="str">
        <f>IF(OR(D1639&lt;0,D1639&gt;1),"Outlier","OK")</f>
        <v>OK</v>
      </c>
      <c r="Q1639" t="str">
        <f t="shared" si="202"/>
        <v>80-100%</v>
      </c>
      <c r="R1639" t="str">
        <f>IF(B1639="","Missing","OK")</f>
        <v>OK</v>
      </c>
      <c r="S1639" t="str">
        <f>IF(E1639="","Missing","OK")</f>
        <v>OK</v>
      </c>
      <c r="T1639" t="str">
        <f t="shared" si="203"/>
        <v>OK</v>
      </c>
      <c r="U1639">
        <f>COUNTIF($A:$A,A1639)</f>
        <v>1</v>
      </c>
      <c r="V1639" t="str">
        <f t="shared" si="204"/>
        <v>OK</v>
      </c>
      <c r="W1639" t="str">
        <f>IF(I1639&gt;B1639,"ERROR","OK")</f>
        <v>OK</v>
      </c>
      <c r="X1639">
        <f>(B1639-I1639)/B1639</f>
        <v>0.84641103200034407</v>
      </c>
      <c r="Y1639" s="2">
        <f t="shared" si="205"/>
        <v>1.1102230246251565E-15</v>
      </c>
      <c r="Z1639" s="2" t="str">
        <f t="shared" si="206"/>
        <v>OK</v>
      </c>
      <c r="AA1639" t="str">
        <f t="shared" si="207"/>
        <v>Unique</v>
      </c>
    </row>
    <row r="1640" spans="1:27" x14ac:dyDescent="0.3">
      <c r="A1640">
        <v>1639</v>
      </c>
      <c r="B1640">
        <v>903499.61190396198</v>
      </c>
      <c r="C1640">
        <v>0.74984774973379797</v>
      </c>
      <c r="D1640">
        <v>-8.7169223098637102E-2</v>
      </c>
      <c r="E1640">
        <v>0.61023748988596704</v>
      </c>
      <c r="F1640">
        <v>1</v>
      </c>
      <c r="G1640" t="s">
        <v>12</v>
      </c>
      <c r="H1640">
        <v>0</v>
      </c>
      <c r="I1640">
        <v>551349.33528121898</v>
      </c>
      <c r="J1640">
        <v>0.38976251011403201</v>
      </c>
      <c r="K1640" t="str">
        <f t="shared" si="200"/>
        <v>OK</v>
      </c>
      <c r="L1640" t="str">
        <f t="shared" si="201"/>
        <v>OK</v>
      </c>
      <c r="M1640" t="str">
        <f>IF(OR(B1640&lt;$AE$20,B1640&gt;$AF$20),"Outlier","OK")</f>
        <v>OK</v>
      </c>
      <c r="N1640" t="str">
        <f>IF(OR(J1640&lt;$AE$21,J1640&gt;$AF$21),"Outlier","OK")</f>
        <v>OK</v>
      </c>
      <c r="O1640" t="str">
        <f>IF(OR(C1640&lt;0,C1640&gt;1),"Outlier","OK")</f>
        <v>OK</v>
      </c>
      <c r="P1640" t="str">
        <f>IF(OR(D1640&lt;0,D1640&gt;1),"Outlier","OK")</f>
        <v>Outlier</v>
      </c>
      <c r="Q1640" t="str">
        <f t="shared" si="202"/>
        <v>20-40%</v>
      </c>
      <c r="R1640" t="str">
        <f>IF(B1640="","Missing","OK")</f>
        <v>OK</v>
      </c>
      <c r="S1640" t="str">
        <f>IF(E1640="","Missing","OK")</f>
        <v>OK</v>
      </c>
      <c r="T1640" t="str">
        <f t="shared" si="203"/>
        <v>OK</v>
      </c>
      <c r="U1640">
        <f>COUNTIF($A:$A,A1640)</f>
        <v>1</v>
      </c>
      <c r="V1640" t="str">
        <f t="shared" si="204"/>
        <v>OK</v>
      </c>
      <c r="W1640" t="str">
        <f>IF(I1640&gt;B1640,"ERROR","OK")</f>
        <v>OK</v>
      </c>
      <c r="X1640">
        <f>(B1640-I1640)/B1640</f>
        <v>0.38976251011403312</v>
      </c>
      <c r="Y1640" s="2">
        <f t="shared" si="205"/>
        <v>1.1102230246251565E-15</v>
      </c>
      <c r="Z1640" s="2" t="str">
        <f t="shared" si="206"/>
        <v>OK</v>
      </c>
      <c r="AA1640" t="str">
        <f t="shared" si="207"/>
        <v>Unique</v>
      </c>
    </row>
    <row r="1641" spans="1:27" x14ac:dyDescent="0.3">
      <c r="A1641">
        <v>1640</v>
      </c>
      <c r="B1641">
        <v>1696582.4589628901</v>
      </c>
      <c r="C1641">
        <v>0.38239445483904499</v>
      </c>
      <c r="D1641">
        <v>-0.17883972744459301</v>
      </c>
      <c r="E1641">
        <v>0.21146693444141901</v>
      </c>
      <c r="F1641">
        <v>1</v>
      </c>
      <c r="G1641" t="s">
        <v>13</v>
      </c>
      <c r="H1641">
        <v>0</v>
      </c>
      <c r="I1641">
        <v>358771.09162397002</v>
      </c>
      <c r="J1641">
        <v>0.78853306555858005</v>
      </c>
      <c r="K1641" t="str">
        <f t="shared" si="200"/>
        <v>OK</v>
      </c>
      <c r="L1641" t="str">
        <f t="shared" si="201"/>
        <v>OK</v>
      </c>
      <c r="M1641" t="str">
        <f>IF(OR(B1641&lt;$AE$20,B1641&gt;$AF$20),"Outlier","OK")</f>
        <v>OK</v>
      </c>
      <c r="N1641" t="str">
        <f>IF(OR(J1641&lt;$AE$21,J1641&gt;$AF$21),"Outlier","OK")</f>
        <v>OK</v>
      </c>
      <c r="O1641" t="str">
        <f>IF(OR(C1641&lt;0,C1641&gt;1),"Outlier","OK")</f>
        <v>OK</v>
      </c>
      <c r="P1641" t="str">
        <f>IF(OR(D1641&lt;0,D1641&gt;1),"Outlier","OK")</f>
        <v>Outlier</v>
      </c>
      <c r="Q1641" t="str">
        <f t="shared" si="202"/>
        <v>60-80%</v>
      </c>
      <c r="R1641" t="str">
        <f>IF(B1641="","Missing","OK")</f>
        <v>OK</v>
      </c>
      <c r="S1641" t="str">
        <f>IF(E1641="","Missing","OK")</f>
        <v>OK</v>
      </c>
      <c r="T1641" t="str">
        <f t="shared" si="203"/>
        <v>OK</v>
      </c>
      <c r="U1641">
        <f>COUNTIF($A:$A,A1641)</f>
        <v>1</v>
      </c>
      <c r="V1641" t="str">
        <f t="shared" si="204"/>
        <v>OK</v>
      </c>
      <c r="W1641" t="str">
        <f>IF(I1641&gt;B1641,"ERROR","OK")</f>
        <v>OK</v>
      </c>
      <c r="X1641">
        <f>(B1641-I1641)/B1641</f>
        <v>0.78853306555857916</v>
      </c>
      <c r="Y1641" s="2">
        <f t="shared" si="205"/>
        <v>8.8817841970012523E-16</v>
      </c>
      <c r="Z1641" s="2" t="str">
        <f t="shared" si="206"/>
        <v>OK</v>
      </c>
      <c r="AA1641" t="str">
        <f t="shared" si="207"/>
        <v>Unique</v>
      </c>
    </row>
    <row r="1642" spans="1:27" x14ac:dyDescent="0.3">
      <c r="A1642">
        <v>1641</v>
      </c>
      <c r="B1642">
        <v>515435.25238038599</v>
      </c>
      <c r="C1642">
        <v>0.76820163521903795</v>
      </c>
      <c r="D1642">
        <v>8.3504366993194495E-2</v>
      </c>
      <c r="E1642">
        <v>8.9410565631959205E-2</v>
      </c>
      <c r="F1642">
        <v>1</v>
      </c>
      <c r="G1642" t="s">
        <v>10</v>
      </c>
      <c r="H1642">
        <v>0</v>
      </c>
      <c r="I1642">
        <v>46085.357461981999</v>
      </c>
      <c r="J1642">
        <v>0.91058943436803996</v>
      </c>
      <c r="K1642" t="str">
        <f t="shared" si="200"/>
        <v>OK</v>
      </c>
      <c r="L1642" t="str">
        <f t="shared" si="201"/>
        <v>OK</v>
      </c>
      <c r="M1642" t="str">
        <f>IF(OR(B1642&lt;$AE$20,B1642&gt;$AF$20),"Outlier","OK")</f>
        <v>OK</v>
      </c>
      <c r="N1642" t="str">
        <f>IF(OR(J1642&lt;$AE$21,J1642&gt;$AF$21),"Outlier","OK")</f>
        <v>OK</v>
      </c>
      <c r="O1642" t="str">
        <f>IF(OR(C1642&lt;0,C1642&gt;1),"Outlier","OK")</f>
        <v>OK</v>
      </c>
      <c r="P1642" t="str">
        <f>IF(OR(D1642&lt;0,D1642&gt;1),"Outlier","OK")</f>
        <v>OK</v>
      </c>
      <c r="Q1642" t="str">
        <f t="shared" si="202"/>
        <v>80-100%</v>
      </c>
      <c r="R1642" t="str">
        <f>IF(B1642="","Missing","OK")</f>
        <v>OK</v>
      </c>
      <c r="S1642" t="str">
        <f>IF(E1642="","Missing","OK")</f>
        <v>OK</v>
      </c>
      <c r="T1642" t="str">
        <f t="shared" si="203"/>
        <v>OK</v>
      </c>
      <c r="U1642">
        <f>COUNTIF($A:$A,A1642)</f>
        <v>1</v>
      </c>
      <c r="V1642" t="str">
        <f t="shared" si="204"/>
        <v>OK</v>
      </c>
      <c r="W1642" t="str">
        <f>IF(I1642&gt;B1642,"ERROR","OK")</f>
        <v>OK</v>
      </c>
      <c r="X1642">
        <f>(B1642-I1642)/B1642</f>
        <v>0.91058943436804074</v>
      </c>
      <c r="Y1642" s="2">
        <f t="shared" si="205"/>
        <v>7.7715611723760958E-16</v>
      </c>
      <c r="Z1642" s="2" t="str">
        <f t="shared" si="206"/>
        <v>OK</v>
      </c>
      <c r="AA1642" t="str">
        <f t="shared" si="207"/>
        <v>Unique</v>
      </c>
    </row>
    <row r="1643" spans="1:27" x14ac:dyDescent="0.3">
      <c r="A1643">
        <v>1642</v>
      </c>
      <c r="B1643">
        <v>1080267.6365924799</v>
      </c>
      <c r="C1643">
        <v>0.60111916002455201</v>
      </c>
      <c r="D1643">
        <v>-0.14513288779533201</v>
      </c>
      <c r="E1643">
        <v>0.41780870872786702</v>
      </c>
      <c r="F1643">
        <v>1</v>
      </c>
      <c r="G1643" t="s">
        <v>10</v>
      </c>
      <c r="H1643">
        <v>0</v>
      </c>
      <c r="I1643">
        <v>451345.226325211</v>
      </c>
      <c r="J1643">
        <v>0.58219129127213198</v>
      </c>
      <c r="K1643" t="str">
        <f t="shared" si="200"/>
        <v>OK</v>
      </c>
      <c r="L1643" t="str">
        <f t="shared" si="201"/>
        <v>OK</v>
      </c>
      <c r="M1643" t="str">
        <f>IF(OR(B1643&lt;$AE$20,B1643&gt;$AF$20),"Outlier","OK")</f>
        <v>OK</v>
      </c>
      <c r="N1643" t="str">
        <f>IF(OR(J1643&lt;$AE$21,J1643&gt;$AF$21),"Outlier","OK")</f>
        <v>OK</v>
      </c>
      <c r="O1643" t="str">
        <f>IF(OR(C1643&lt;0,C1643&gt;1),"Outlier","OK")</f>
        <v>OK</v>
      </c>
      <c r="P1643" t="str">
        <f>IF(OR(D1643&lt;0,D1643&gt;1),"Outlier","OK")</f>
        <v>Outlier</v>
      </c>
      <c r="Q1643" t="str">
        <f t="shared" si="202"/>
        <v>40-60%</v>
      </c>
      <c r="R1643" t="str">
        <f>IF(B1643="","Missing","OK")</f>
        <v>OK</v>
      </c>
      <c r="S1643" t="str">
        <f>IF(E1643="","Missing","OK")</f>
        <v>OK</v>
      </c>
      <c r="T1643" t="str">
        <f t="shared" si="203"/>
        <v>OK</v>
      </c>
      <c r="U1643">
        <f>COUNTIF($A:$A,A1643)</f>
        <v>1</v>
      </c>
      <c r="V1643" t="str">
        <f t="shared" si="204"/>
        <v>OK</v>
      </c>
      <c r="W1643" t="str">
        <f>IF(I1643&gt;B1643,"ERROR","OK")</f>
        <v>OK</v>
      </c>
      <c r="X1643">
        <f>(B1643-I1643)/B1643</f>
        <v>0.58219129127213087</v>
      </c>
      <c r="Y1643" s="2">
        <f t="shared" si="205"/>
        <v>1.1102230246251565E-15</v>
      </c>
      <c r="Z1643" s="2" t="str">
        <f t="shared" si="206"/>
        <v>OK</v>
      </c>
      <c r="AA1643" t="str">
        <f t="shared" si="207"/>
        <v>Unique</v>
      </c>
    </row>
    <row r="1644" spans="1:27" x14ac:dyDescent="0.3">
      <c r="A1644">
        <v>1643</v>
      </c>
      <c r="B1644">
        <v>1664035.2422444599</v>
      </c>
      <c r="C1644">
        <v>0.42057267065119303</v>
      </c>
      <c r="D1644">
        <v>0.17270662433414599</v>
      </c>
      <c r="E1644">
        <v>1.7367065106762801E-2</v>
      </c>
      <c r="F1644">
        <v>1</v>
      </c>
      <c r="G1644" t="s">
        <v>12</v>
      </c>
      <c r="H1644">
        <v>0</v>
      </c>
      <c r="I1644">
        <v>28899.408392007499</v>
      </c>
      <c r="J1644">
        <v>0.982632934893237</v>
      </c>
      <c r="K1644" t="str">
        <f t="shared" si="200"/>
        <v>OK</v>
      </c>
      <c r="L1644" t="str">
        <f t="shared" si="201"/>
        <v>OK</v>
      </c>
      <c r="M1644" t="str">
        <f>IF(OR(B1644&lt;$AE$20,B1644&gt;$AF$20),"Outlier","OK")</f>
        <v>OK</v>
      </c>
      <c r="N1644" t="str">
        <f>IF(OR(J1644&lt;$AE$21,J1644&gt;$AF$21),"Outlier","OK")</f>
        <v>Outlier</v>
      </c>
      <c r="O1644" t="str">
        <f>IF(OR(C1644&lt;0,C1644&gt;1),"Outlier","OK")</f>
        <v>OK</v>
      </c>
      <c r="P1644" t="str">
        <f>IF(OR(D1644&lt;0,D1644&gt;1),"Outlier","OK")</f>
        <v>OK</v>
      </c>
      <c r="Q1644" t="str">
        <f t="shared" si="202"/>
        <v>80-100%</v>
      </c>
      <c r="R1644" t="str">
        <f>IF(B1644="","Missing","OK")</f>
        <v>OK</v>
      </c>
      <c r="S1644" t="str">
        <f>IF(E1644="","Missing","OK")</f>
        <v>OK</v>
      </c>
      <c r="T1644" t="str">
        <f t="shared" si="203"/>
        <v>OK</v>
      </c>
      <c r="U1644">
        <f>COUNTIF($A:$A,A1644)</f>
        <v>1</v>
      </c>
      <c r="V1644" t="str">
        <f t="shared" si="204"/>
        <v>OK</v>
      </c>
      <c r="W1644" t="str">
        <f>IF(I1644&gt;B1644,"ERROR","OK")</f>
        <v>OK</v>
      </c>
      <c r="X1644">
        <f>(B1644-I1644)/B1644</f>
        <v>0.98263293489323711</v>
      </c>
      <c r="Y1644" s="2">
        <f t="shared" si="205"/>
        <v>1.1102230246251565E-16</v>
      </c>
      <c r="Z1644" s="2" t="str">
        <f t="shared" si="206"/>
        <v>OK</v>
      </c>
      <c r="AA1644" t="str">
        <f t="shared" si="207"/>
        <v>Unique</v>
      </c>
    </row>
    <row r="1645" spans="1:27" x14ac:dyDescent="0.3">
      <c r="A1645">
        <v>1644</v>
      </c>
      <c r="B1645">
        <v>307183.16636430001</v>
      </c>
      <c r="C1645">
        <v>0.49010988464116201</v>
      </c>
      <c r="D1645">
        <v>-0.13169016337644299</v>
      </c>
      <c r="E1645">
        <v>0.41259033675798701</v>
      </c>
      <c r="F1645">
        <v>1</v>
      </c>
      <c r="G1645" t="s">
        <v>12</v>
      </c>
      <c r="H1645">
        <v>0</v>
      </c>
      <c r="I1645">
        <v>126740.806056631</v>
      </c>
      <c r="J1645">
        <v>0.58740966324201205</v>
      </c>
      <c r="K1645" t="str">
        <f t="shared" si="200"/>
        <v>OK</v>
      </c>
      <c r="L1645" t="str">
        <f t="shared" si="201"/>
        <v>OK</v>
      </c>
      <c r="M1645" t="str">
        <f>IF(OR(B1645&lt;$AE$20,B1645&gt;$AF$20),"Outlier","OK")</f>
        <v>OK</v>
      </c>
      <c r="N1645" t="str">
        <f>IF(OR(J1645&lt;$AE$21,J1645&gt;$AF$21),"Outlier","OK")</f>
        <v>OK</v>
      </c>
      <c r="O1645" t="str">
        <f>IF(OR(C1645&lt;0,C1645&gt;1),"Outlier","OK")</f>
        <v>OK</v>
      </c>
      <c r="P1645" t="str">
        <f>IF(OR(D1645&lt;0,D1645&gt;1),"Outlier","OK")</f>
        <v>Outlier</v>
      </c>
      <c r="Q1645" t="str">
        <f t="shared" si="202"/>
        <v>40-60%</v>
      </c>
      <c r="R1645" t="str">
        <f>IF(B1645="","Missing","OK")</f>
        <v>OK</v>
      </c>
      <c r="S1645" t="str">
        <f>IF(E1645="","Missing","OK")</f>
        <v>OK</v>
      </c>
      <c r="T1645" t="str">
        <f t="shared" si="203"/>
        <v>OK</v>
      </c>
      <c r="U1645">
        <f>COUNTIF($A:$A,A1645)</f>
        <v>1</v>
      </c>
      <c r="V1645" t="str">
        <f t="shared" si="204"/>
        <v>OK</v>
      </c>
      <c r="W1645" t="str">
        <f>IF(I1645&gt;B1645,"ERROR","OK")</f>
        <v>OK</v>
      </c>
      <c r="X1645">
        <f>(B1645-I1645)/B1645</f>
        <v>0.58740966324201394</v>
      </c>
      <c r="Y1645" s="2">
        <f t="shared" si="205"/>
        <v>1.8873791418627661E-15</v>
      </c>
      <c r="Z1645" s="2" t="str">
        <f t="shared" si="206"/>
        <v>OK</v>
      </c>
      <c r="AA1645" t="str">
        <f t="shared" si="207"/>
        <v>Unique</v>
      </c>
    </row>
    <row r="1646" spans="1:27" x14ac:dyDescent="0.3">
      <c r="A1646">
        <v>1645</v>
      </c>
      <c r="B1646">
        <v>1212556.7943668</v>
      </c>
      <c r="C1646">
        <v>0.348469200419527</v>
      </c>
      <c r="D1646">
        <v>0.16274478293643199</v>
      </c>
      <c r="E1646">
        <v>0.24605989827186001</v>
      </c>
      <c r="F1646">
        <v>1</v>
      </c>
      <c r="G1646" t="s">
        <v>10</v>
      </c>
      <c r="H1646">
        <v>0</v>
      </c>
      <c r="I1646">
        <v>298361.60147074901</v>
      </c>
      <c r="J1646">
        <v>0.75394010172813897</v>
      </c>
      <c r="K1646" t="str">
        <f t="shared" si="200"/>
        <v>OK</v>
      </c>
      <c r="L1646" t="str">
        <f t="shared" si="201"/>
        <v>OK</v>
      </c>
      <c r="M1646" t="str">
        <f>IF(OR(B1646&lt;$AE$20,B1646&gt;$AF$20),"Outlier","OK")</f>
        <v>OK</v>
      </c>
      <c r="N1646" t="str">
        <f>IF(OR(J1646&lt;$AE$21,J1646&gt;$AF$21),"Outlier","OK")</f>
        <v>OK</v>
      </c>
      <c r="O1646" t="str">
        <f>IF(OR(C1646&lt;0,C1646&gt;1),"Outlier","OK")</f>
        <v>OK</v>
      </c>
      <c r="P1646" t="str">
        <f>IF(OR(D1646&lt;0,D1646&gt;1),"Outlier","OK")</f>
        <v>OK</v>
      </c>
      <c r="Q1646" t="str">
        <f t="shared" si="202"/>
        <v>60-80%</v>
      </c>
      <c r="R1646" t="str">
        <f>IF(B1646="","Missing","OK")</f>
        <v>OK</v>
      </c>
      <c r="S1646" t="str">
        <f>IF(E1646="","Missing","OK")</f>
        <v>OK</v>
      </c>
      <c r="T1646" t="str">
        <f t="shared" si="203"/>
        <v>OK</v>
      </c>
      <c r="U1646">
        <f>COUNTIF($A:$A,A1646)</f>
        <v>1</v>
      </c>
      <c r="V1646" t="str">
        <f t="shared" si="204"/>
        <v>OK</v>
      </c>
      <c r="W1646" t="str">
        <f>IF(I1646&gt;B1646,"ERROR","OK")</f>
        <v>OK</v>
      </c>
      <c r="X1646">
        <f>(B1646-I1646)/B1646</f>
        <v>0.75394010172813875</v>
      </c>
      <c r="Y1646" s="2">
        <f t="shared" si="205"/>
        <v>2.2204460492503131E-16</v>
      </c>
      <c r="Z1646" s="2" t="str">
        <f t="shared" si="206"/>
        <v>OK</v>
      </c>
      <c r="AA1646" t="str">
        <f t="shared" si="207"/>
        <v>Unique</v>
      </c>
    </row>
    <row r="1647" spans="1:27" x14ac:dyDescent="0.3">
      <c r="A1647">
        <v>1646</v>
      </c>
      <c r="B1647">
        <v>1682520.6705579599</v>
      </c>
      <c r="C1647">
        <v>0.76168352691812802</v>
      </c>
      <c r="D1647">
        <v>0.110915507684464</v>
      </c>
      <c r="E1647">
        <v>0.31711528521443499</v>
      </c>
      <c r="F1647">
        <v>1</v>
      </c>
      <c r="G1647" t="s">
        <v>10</v>
      </c>
      <c r="H1647">
        <v>1</v>
      </c>
      <c r="I1647">
        <v>533553.02232317103</v>
      </c>
      <c r="J1647">
        <v>0.68288471478556401</v>
      </c>
      <c r="K1647" t="str">
        <f t="shared" si="200"/>
        <v>OK</v>
      </c>
      <c r="L1647" t="str">
        <f t="shared" si="201"/>
        <v>OK</v>
      </c>
      <c r="M1647" t="str">
        <f>IF(OR(B1647&lt;$AE$20,B1647&gt;$AF$20),"Outlier","OK")</f>
        <v>OK</v>
      </c>
      <c r="N1647" t="str">
        <f>IF(OR(J1647&lt;$AE$21,J1647&gt;$AF$21),"Outlier","OK")</f>
        <v>OK</v>
      </c>
      <c r="O1647" t="str">
        <f>IF(OR(C1647&lt;0,C1647&gt;1),"Outlier","OK")</f>
        <v>OK</v>
      </c>
      <c r="P1647" t="str">
        <f>IF(OR(D1647&lt;0,D1647&gt;1),"Outlier","OK")</f>
        <v>OK</v>
      </c>
      <c r="Q1647" t="str">
        <f t="shared" si="202"/>
        <v>60-80%</v>
      </c>
      <c r="R1647" t="str">
        <f>IF(B1647="","Missing","OK")</f>
        <v>OK</v>
      </c>
      <c r="S1647" t="str">
        <f>IF(E1647="","Missing","OK")</f>
        <v>OK</v>
      </c>
      <c r="T1647" t="str">
        <f t="shared" si="203"/>
        <v>OK</v>
      </c>
      <c r="U1647">
        <f>COUNTIF($A:$A,A1647)</f>
        <v>1</v>
      </c>
      <c r="V1647" t="str">
        <f t="shared" si="204"/>
        <v>OK</v>
      </c>
      <c r="W1647" t="str">
        <f>IF(I1647&gt;B1647,"ERROR","OK")</f>
        <v>OK</v>
      </c>
      <c r="X1647">
        <f>(B1647-I1647)/B1647</f>
        <v>0.68288471478556423</v>
      </c>
      <c r="Y1647" s="2">
        <f t="shared" si="205"/>
        <v>2.2204460492503131E-16</v>
      </c>
      <c r="Z1647" s="2" t="str">
        <f t="shared" si="206"/>
        <v>OK</v>
      </c>
      <c r="AA1647" t="str">
        <f t="shared" si="207"/>
        <v>Unique</v>
      </c>
    </row>
    <row r="1648" spans="1:27" x14ac:dyDescent="0.3">
      <c r="A1648">
        <v>1647</v>
      </c>
      <c r="B1648">
        <v>1540707.80789473</v>
      </c>
      <c r="C1648">
        <v>0.26358047380201799</v>
      </c>
      <c r="D1648">
        <v>0.161372677625778</v>
      </c>
      <c r="E1648">
        <v>0.42907216112741298</v>
      </c>
      <c r="F1648">
        <v>1</v>
      </c>
      <c r="G1648" t="s">
        <v>10</v>
      </c>
      <c r="H1648">
        <v>0</v>
      </c>
      <c r="I1648">
        <v>661074.828799273</v>
      </c>
      <c r="J1648">
        <v>0.57092783887258602</v>
      </c>
      <c r="K1648" t="str">
        <f t="shared" si="200"/>
        <v>OK</v>
      </c>
      <c r="L1648" t="str">
        <f t="shared" si="201"/>
        <v>OK</v>
      </c>
      <c r="M1648" t="str">
        <f>IF(OR(B1648&lt;$AE$20,B1648&gt;$AF$20),"Outlier","OK")</f>
        <v>OK</v>
      </c>
      <c r="N1648" t="str">
        <f>IF(OR(J1648&lt;$AE$21,J1648&gt;$AF$21),"Outlier","OK")</f>
        <v>OK</v>
      </c>
      <c r="O1648" t="str">
        <f>IF(OR(C1648&lt;0,C1648&gt;1),"Outlier","OK")</f>
        <v>OK</v>
      </c>
      <c r="P1648" t="str">
        <f>IF(OR(D1648&lt;0,D1648&gt;1),"Outlier","OK")</f>
        <v>OK</v>
      </c>
      <c r="Q1648" t="str">
        <f t="shared" si="202"/>
        <v>40-60%</v>
      </c>
      <c r="R1648" t="str">
        <f>IF(B1648="","Missing","OK")</f>
        <v>OK</v>
      </c>
      <c r="S1648" t="str">
        <f>IF(E1648="","Missing","OK")</f>
        <v>OK</v>
      </c>
      <c r="T1648" t="str">
        <f t="shared" si="203"/>
        <v>OK</v>
      </c>
      <c r="U1648">
        <f>COUNTIF($A:$A,A1648)</f>
        <v>1</v>
      </c>
      <c r="V1648" t="str">
        <f t="shared" si="204"/>
        <v>OK</v>
      </c>
      <c r="W1648" t="str">
        <f>IF(I1648&gt;B1648,"ERROR","OK")</f>
        <v>OK</v>
      </c>
      <c r="X1648">
        <f>(B1648-I1648)/B1648</f>
        <v>0.57092783887258558</v>
      </c>
      <c r="Y1648" s="2">
        <f t="shared" si="205"/>
        <v>4.4408920985006262E-16</v>
      </c>
      <c r="Z1648" s="2" t="str">
        <f t="shared" si="206"/>
        <v>OK</v>
      </c>
      <c r="AA1648" t="str">
        <f t="shared" si="207"/>
        <v>Unique</v>
      </c>
    </row>
    <row r="1649" spans="1:27" x14ac:dyDescent="0.3">
      <c r="A1649">
        <v>1648</v>
      </c>
      <c r="B1649">
        <v>1774740.11522272</v>
      </c>
      <c r="C1649">
        <v>0.422669220469437</v>
      </c>
      <c r="D1649">
        <v>-3.0145482113060899E-2</v>
      </c>
      <c r="E1649">
        <v>0.137847872952092</v>
      </c>
      <c r="F1649">
        <v>1</v>
      </c>
      <c r="G1649" t="s">
        <v>11</v>
      </c>
      <c r="H1649">
        <v>1</v>
      </c>
      <c r="I1649">
        <v>244644.14992620301</v>
      </c>
      <c r="J1649">
        <v>0.862152127047907</v>
      </c>
      <c r="K1649" t="str">
        <f t="shared" si="200"/>
        <v>OK</v>
      </c>
      <c r="L1649" t="str">
        <f t="shared" si="201"/>
        <v>OK</v>
      </c>
      <c r="M1649" t="str">
        <f>IF(OR(B1649&lt;$AE$20,B1649&gt;$AF$20),"Outlier","OK")</f>
        <v>OK</v>
      </c>
      <c r="N1649" t="str">
        <f>IF(OR(J1649&lt;$AE$21,J1649&gt;$AF$21),"Outlier","OK")</f>
        <v>OK</v>
      </c>
      <c r="O1649" t="str">
        <f>IF(OR(C1649&lt;0,C1649&gt;1),"Outlier","OK")</f>
        <v>OK</v>
      </c>
      <c r="P1649" t="str">
        <f>IF(OR(D1649&lt;0,D1649&gt;1),"Outlier","OK")</f>
        <v>Outlier</v>
      </c>
      <c r="Q1649" t="str">
        <f t="shared" si="202"/>
        <v>80-100%</v>
      </c>
      <c r="R1649" t="str">
        <f>IF(B1649="","Missing","OK")</f>
        <v>OK</v>
      </c>
      <c r="S1649" t="str">
        <f>IF(E1649="","Missing","OK")</f>
        <v>OK</v>
      </c>
      <c r="T1649" t="str">
        <f t="shared" si="203"/>
        <v>OK</v>
      </c>
      <c r="U1649">
        <f>COUNTIF($A:$A,A1649)</f>
        <v>1</v>
      </c>
      <c r="V1649" t="str">
        <f t="shared" si="204"/>
        <v>OK</v>
      </c>
      <c r="W1649" t="str">
        <f>IF(I1649&gt;B1649,"ERROR","OK")</f>
        <v>OK</v>
      </c>
      <c r="X1649">
        <f>(B1649-I1649)/B1649</f>
        <v>0.86215212704790778</v>
      </c>
      <c r="Y1649" s="2">
        <f t="shared" si="205"/>
        <v>7.7715611723760958E-16</v>
      </c>
      <c r="Z1649" s="2" t="str">
        <f t="shared" si="206"/>
        <v>OK</v>
      </c>
      <c r="AA1649" t="str">
        <f t="shared" si="207"/>
        <v>Unique</v>
      </c>
    </row>
    <row r="1650" spans="1:27" x14ac:dyDescent="0.3">
      <c r="A1650">
        <v>1649</v>
      </c>
      <c r="B1650">
        <v>113500.18805305799</v>
      </c>
      <c r="C1650">
        <v>0.39464139007133198</v>
      </c>
      <c r="D1650">
        <v>0.192857550099581</v>
      </c>
      <c r="E1650">
        <v>0.460068804391007</v>
      </c>
      <c r="F1650">
        <v>1</v>
      </c>
      <c r="G1650" t="s">
        <v>10</v>
      </c>
      <c r="H1650">
        <v>0</v>
      </c>
      <c r="I1650">
        <v>52217.8958157249</v>
      </c>
      <c r="J1650">
        <v>0.53993119560899205</v>
      </c>
      <c r="K1650" t="str">
        <f t="shared" si="200"/>
        <v>OK</v>
      </c>
      <c r="L1650" t="str">
        <f t="shared" si="201"/>
        <v>OK</v>
      </c>
      <c r="M1650" t="str">
        <f>IF(OR(B1650&lt;$AE$20,B1650&gt;$AF$20),"Outlier","OK")</f>
        <v>OK</v>
      </c>
      <c r="N1650" t="str">
        <f>IF(OR(J1650&lt;$AE$21,J1650&gt;$AF$21),"Outlier","OK")</f>
        <v>OK</v>
      </c>
      <c r="O1650" t="str">
        <f>IF(OR(C1650&lt;0,C1650&gt;1),"Outlier","OK")</f>
        <v>OK</v>
      </c>
      <c r="P1650" t="str">
        <f>IF(OR(D1650&lt;0,D1650&gt;1),"Outlier","OK")</f>
        <v>OK</v>
      </c>
      <c r="Q1650" t="str">
        <f t="shared" si="202"/>
        <v>40-60%</v>
      </c>
      <c r="R1650" t="str">
        <f>IF(B1650="","Missing","OK")</f>
        <v>OK</v>
      </c>
      <c r="S1650" t="str">
        <f>IF(E1650="","Missing","OK")</f>
        <v>OK</v>
      </c>
      <c r="T1650" t="str">
        <f t="shared" si="203"/>
        <v>OK</v>
      </c>
      <c r="U1650">
        <f>COUNTIF($A:$A,A1650)</f>
        <v>1</v>
      </c>
      <c r="V1650" t="str">
        <f t="shared" si="204"/>
        <v>OK</v>
      </c>
      <c r="W1650" t="str">
        <f>IF(I1650&gt;B1650,"ERROR","OK")</f>
        <v>OK</v>
      </c>
      <c r="X1650">
        <f>(B1650-I1650)/B1650</f>
        <v>0.5399311956089925</v>
      </c>
      <c r="Y1650" s="2">
        <f t="shared" si="205"/>
        <v>4.4408920985006262E-16</v>
      </c>
      <c r="Z1650" s="2" t="str">
        <f t="shared" si="206"/>
        <v>OK</v>
      </c>
      <c r="AA1650" t="str">
        <f t="shared" si="207"/>
        <v>Unique</v>
      </c>
    </row>
    <row r="1651" spans="1:27" x14ac:dyDescent="0.3">
      <c r="A1651">
        <v>1650</v>
      </c>
      <c r="B1651">
        <v>1398339.4833561501</v>
      </c>
      <c r="C1651">
        <v>0.57482880966650796</v>
      </c>
      <c r="D1651">
        <v>6.6481802152923902E-2</v>
      </c>
      <c r="E1651">
        <v>0.15236625369922099</v>
      </c>
      <c r="F1651">
        <v>1</v>
      </c>
      <c r="G1651" t="s">
        <v>10</v>
      </c>
      <c r="H1651">
        <v>0</v>
      </c>
      <c r="I1651">
        <v>213059.74847868099</v>
      </c>
      <c r="J1651">
        <v>0.84763374630077803</v>
      </c>
      <c r="K1651" t="str">
        <f t="shared" si="200"/>
        <v>OK</v>
      </c>
      <c r="L1651" t="str">
        <f t="shared" si="201"/>
        <v>OK</v>
      </c>
      <c r="M1651" t="str">
        <f>IF(OR(B1651&lt;$AE$20,B1651&gt;$AF$20),"Outlier","OK")</f>
        <v>OK</v>
      </c>
      <c r="N1651" t="str">
        <f>IF(OR(J1651&lt;$AE$21,J1651&gt;$AF$21),"Outlier","OK")</f>
        <v>OK</v>
      </c>
      <c r="O1651" t="str">
        <f>IF(OR(C1651&lt;0,C1651&gt;1),"Outlier","OK")</f>
        <v>OK</v>
      </c>
      <c r="P1651" t="str">
        <f>IF(OR(D1651&lt;0,D1651&gt;1),"Outlier","OK")</f>
        <v>OK</v>
      </c>
      <c r="Q1651" t="str">
        <f t="shared" si="202"/>
        <v>80-100%</v>
      </c>
      <c r="R1651" t="str">
        <f>IF(B1651="","Missing","OK")</f>
        <v>OK</v>
      </c>
      <c r="S1651" t="str">
        <f>IF(E1651="","Missing","OK")</f>
        <v>OK</v>
      </c>
      <c r="T1651" t="str">
        <f t="shared" si="203"/>
        <v>OK</v>
      </c>
      <c r="U1651">
        <f>COUNTIF($A:$A,A1651)</f>
        <v>1</v>
      </c>
      <c r="V1651" t="str">
        <f t="shared" si="204"/>
        <v>OK</v>
      </c>
      <c r="W1651" t="str">
        <f>IF(I1651&gt;B1651,"ERROR","OK")</f>
        <v>OK</v>
      </c>
      <c r="X1651">
        <f>(B1651-I1651)/B1651</f>
        <v>0.84763374630077881</v>
      </c>
      <c r="Y1651" s="2">
        <f t="shared" si="205"/>
        <v>7.7715611723760958E-16</v>
      </c>
      <c r="Z1651" s="2" t="str">
        <f t="shared" si="206"/>
        <v>OK</v>
      </c>
      <c r="AA1651" t="str">
        <f t="shared" si="207"/>
        <v>Unique</v>
      </c>
    </row>
    <row r="1652" spans="1:27" x14ac:dyDescent="0.3">
      <c r="A1652">
        <v>1651</v>
      </c>
      <c r="B1652">
        <v>447676.19002777798</v>
      </c>
      <c r="C1652">
        <v>0.249468971976053</v>
      </c>
      <c r="D1652">
        <v>0.106572864812104</v>
      </c>
      <c r="E1652">
        <v>0.31899035495465</v>
      </c>
      <c r="F1652">
        <v>1</v>
      </c>
      <c r="G1652" t="s">
        <v>11</v>
      </c>
      <c r="H1652">
        <v>0</v>
      </c>
      <c r="I1652">
        <v>142804.386761706</v>
      </c>
      <c r="J1652">
        <v>0.681009645045349</v>
      </c>
      <c r="K1652" t="str">
        <f t="shared" si="200"/>
        <v>OK</v>
      </c>
      <c r="L1652" t="str">
        <f t="shared" si="201"/>
        <v>OK</v>
      </c>
      <c r="M1652" t="str">
        <f>IF(OR(B1652&lt;$AE$20,B1652&gt;$AF$20),"Outlier","OK")</f>
        <v>OK</v>
      </c>
      <c r="N1652" t="str">
        <f>IF(OR(J1652&lt;$AE$21,J1652&gt;$AF$21),"Outlier","OK")</f>
        <v>OK</v>
      </c>
      <c r="O1652" t="str">
        <f>IF(OR(C1652&lt;0,C1652&gt;1),"Outlier","OK")</f>
        <v>OK</v>
      </c>
      <c r="P1652" t="str">
        <f>IF(OR(D1652&lt;0,D1652&gt;1),"Outlier","OK")</f>
        <v>OK</v>
      </c>
      <c r="Q1652" t="str">
        <f t="shared" si="202"/>
        <v>60-80%</v>
      </c>
      <c r="R1652" t="str">
        <f>IF(B1652="","Missing","OK")</f>
        <v>OK</v>
      </c>
      <c r="S1652" t="str">
        <f>IF(E1652="","Missing","OK")</f>
        <v>OK</v>
      </c>
      <c r="T1652" t="str">
        <f t="shared" si="203"/>
        <v>OK</v>
      </c>
      <c r="U1652">
        <f>COUNTIF($A:$A,A1652)</f>
        <v>1</v>
      </c>
      <c r="V1652" t="str">
        <f t="shared" si="204"/>
        <v>OK</v>
      </c>
      <c r="W1652" t="str">
        <f>IF(I1652&gt;B1652,"ERROR","OK")</f>
        <v>OK</v>
      </c>
      <c r="X1652">
        <f>(B1652-I1652)/B1652</f>
        <v>0.68100964504535044</v>
      </c>
      <c r="Y1652" s="2">
        <f t="shared" si="205"/>
        <v>1.4432899320127035E-15</v>
      </c>
      <c r="Z1652" s="2" t="str">
        <f t="shared" si="206"/>
        <v>OK</v>
      </c>
      <c r="AA1652" t="str">
        <f t="shared" si="207"/>
        <v>Unique</v>
      </c>
    </row>
    <row r="1653" spans="1:27" x14ac:dyDescent="0.3">
      <c r="A1653">
        <v>1652</v>
      </c>
      <c r="B1653">
        <v>1136186.51975535</v>
      </c>
      <c r="C1653">
        <v>0.42603468967116198</v>
      </c>
      <c r="D1653">
        <v>-2.27553513602721E-2</v>
      </c>
      <c r="E1653">
        <v>0.43638952541927101</v>
      </c>
      <c r="F1653">
        <v>1</v>
      </c>
      <c r="G1653" t="s">
        <v>13</v>
      </c>
      <c r="H1653">
        <v>0</v>
      </c>
      <c r="I1653">
        <v>495819.89614381402</v>
      </c>
      <c r="J1653">
        <v>0.56361047458072799</v>
      </c>
      <c r="K1653" t="str">
        <f t="shared" si="200"/>
        <v>OK</v>
      </c>
      <c r="L1653" t="str">
        <f t="shared" si="201"/>
        <v>OK</v>
      </c>
      <c r="M1653" t="str">
        <f>IF(OR(B1653&lt;$AE$20,B1653&gt;$AF$20),"Outlier","OK")</f>
        <v>OK</v>
      </c>
      <c r="N1653" t="str">
        <f>IF(OR(J1653&lt;$AE$21,J1653&gt;$AF$21),"Outlier","OK")</f>
        <v>OK</v>
      </c>
      <c r="O1653" t="str">
        <f>IF(OR(C1653&lt;0,C1653&gt;1),"Outlier","OK")</f>
        <v>OK</v>
      </c>
      <c r="P1653" t="str">
        <f>IF(OR(D1653&lt;0,D1653&gt;1),"Outlier","OK")</f>
        <v>Outlier</v>
      </c>
      <c r="Q1653" t="str">
        <f t="shared" si="202"/>
        <v>40-60%</v>
      </c>
      <c r="R1653" t="str">
        <f>IF(B1653="","Missing","OK")</f>
        <v>OK</v>
      </c>
      <c r="S1653" t="str">
        <f>IF(E1653="","Missing","OK")</f>
        <v>OK</v>
      </c>
      <c r="T1653" t="str">
        <f t="shared" si="203"/>
        <v>OK</v>
      </c>
      <c r="U1653">
        <f>COUNTIF($A:$A,A1653)</f>
        <v>1</v>
      </c>
      <c r="V1653" t="str">
        <f t="shared" si="204"/>
        <v>OK</v>
      </c>
      <c r="W1653" t="str">
        <f>IF(I1653&gt;B1653,"ERROR","OK")</f>
        <v>OK</v>
      </c>
      <c r="X1653">
        <f>(B1653-I1653)/B1653</f>
        <v>0.56361047458072566</v>
      </c>
      <c r="Y1653" s="2">
        <f t="shared" si="205"/>
        <v>2.3314683517128287E-15</v>
      </c>
      <c r="Z1653" s="2" t="str">
        <f t="shared" si="206"/>
        <v>OK</v>
      </c>
      <c r="AA1653" t="str">
        <f t="shared" si="207"/>
        <v>Unique</v>
      </c>
    </row>
    <row r="1654" spans="1:27" x14ac:dyDescent="0.3">
      <c r="A1654">
        <v>1653</v>
      </c>
      <c r="B1654">
        <v>1560818.8525847699</v>
      </c>
      <c r="C1654">
        <v>0.43145967352455999</v>
      </c>
      <c r="D1654">
        <v>-0.19533350757381601</v>
      </c>
      <c r="E1654">
        <v>0.53908756785898604</v>
      </c>
      <c r="F1654">
        <v>1</v>
      </c>
      <c r="G1654" t="s">
        <v>13</v>
      </c>
      <c r="H1654">
        <v>0</v>
      </c>
      <c r="I1654">
        <v>841418.039108378</v>
      </c>
      <c r="J1654">
        <v>0.46091243214101302</v>
      </c>
      <c r="K1654" t="str">
        <f t="shared" si="200"/>
        <v>OK</v>
      </c>
      <c r="L1654" t="str">
        <f t="shared" si="201"/>
        <v>OK</v>
      </c>
      <c r="M1654" t="str">
        <f>IF(OR(B1654&lt;$AE$20,B1654&gt;$AF$20),"Outlier","OK")</f>
        <v>OK</v>
      </c>
      <c r="N1654" t="str">
        <f>IF(OR(J1654&lt;$AE$21,J1654&gt;$AF$21),"Outlier","OK")</f>
        <v>OK</v>
      </c>
      <c r="O1654" t="str">
        <f>IF(OR(C1654&lt;0,C1654&gt;1),"Outlier","OK")</f>
        <v>OK</v>
      </c>
      <c r="P1654" t="str">
        <f>IF(OR(D1654&lt;0,D1654&gt;1),"Outlier","OK")</f>
        <v>Outlier</v>
      </c>
      <c r="Q1654" t="str">
        <f t="shared" si="202"/>
        <v>40-60%</v>
      </c>
      <c r="R1654" t="str">
        <f>IF(B1654="","Missing","OK")</f>
        <v>OK</v>
      </c>
      <c r="S1654" t="str">
        <f>IF(E1654="","Missing","OK")</f>
        <v>OK</v>
      </c>
      <c r="T1654" t="str">
        <f t="shared" si="203"/>
        <v>OK</v>
      </c>
      <c r="U1654">
        <f>COUNTIF($A:$A,A1654)</f>
        <v>1</v>
      </c>
      <c r="V1654" t="str">
        <f t="shared" si="204"/>
        <v>OK</v>
      </c>
      <c r="W1654" t="str">
        <f>IF(I1654&gt;B1654,"ERROR","OK")</f>
        <v>OK</v>
      </c>
      <c r="X1654">
        <f>(B1654-I1654)/B1654</f>
        <v>0.46091243214101324</v>
      </c>
      <c r="Y1654" s="2">
        <f t="shared" si="205"/>
        <v>2.2204460492503131E-16</v>
      </c>
      <c r="Z1654" s="2" t="str">
        <f t="shared" si="206"/>
        <v>OK</v>
      </c>
      <c r="AA1654" t="str">
        <f t="shared" si="207"/>
        <v>Unique</v>
      </c>
    </row>
    <row r="1655" spans="1:27" x14ac:dyDescent="0.3">
      <c r="A1655">
        <v>1654</v>
      </c>
      <c r="B1655">
        <v>869373.35692057305</v>
      </c>
      <c r="C1655">
        <v>0.21602946135234699</v>
      </c>
      <c r="D1655">
        <v>0.17871207775279199</v>
      </c>
      <c r="E1655">
        <v>0.51621376821194098</v>
      </c>
      <c r="F1655">
        <v>1</v>
      </c>
      <c r="G1655" t="s">
        <v>12</v>
      </c>
      <c r="H1655">
        <v>0</v>
      </c>
      <c r="I1655">
        <v>448782.49655903399</v>
      </c>
      <c r="J1655">
        <v>0.48378623178805902</v>
      </c>
      <c r="K1655" t="str">
        <f t="shared" si="200"/>
        <v>OK</v>
      </c>
      <c r="L1655" t="str">
        <f t="shared" si="201"/>
        <v>OK</v>
      </c>
      <c r="M1655" t="str">
        <f>IF(OR(B1655&lt;$AE$20,B1655&gt;$AF$20),"Outlier","OK")</f>
        <v>OK</v>
      </c>
      <c r="N1655" t="str">
        <f>IF(OR(J1655&lt;$AE$21,J1655&gt;$AF$21),"Outlier","OK")</f>
        <v>OK</v>
      </c>
      <c r="O1655" t="str">
        <f>IF(OR(C1655&lt;0,C1655&gt;1),"Outlier","OK")</f>
        <v>OK</v>
      </c>
      <c r="P1655" t="str">
        <f>IF(OR(D1655&lt;0,D1655&gt;1),"Outlier","OK")</f>
        <v>OK</v>
      </c>
      <c r="Q1655" t="str">
        <f t="shared" si="202"/>
        <v>40-60%</v>
      </c>
      <c r="R1655" t="str">
        <f>IF(B1655="","Missing","OK")</f>
        <v>OK</v>
      </c>
      <c r="S1655" t="str">
        <f>IF(E1655="","Missing","OK")</f>
        <v>OK</v>
      </c>
      <c r="T1655" t="str">
        <f t="shared" si="203"/>
        <v>OK</v>
      </c>
      <c r="U1655">
        <f>COUNTIF($A:$A,A1655)</f>
        <v>1</v>
      </c>
      <c r="V1655" t="str">
        <f t="shared" si="204"/>
        <v>OK</v>
      </c>
      <c r="W1655" t="str">
        <f>IF(I1655&gt;B1655,"ERROR","OK")</f>
        <v>OK</v>
      </c>
      <c r="X1655">
        <f>(B1655-I1655)/B1655</f>
        <v>0.48378623178805874</v>
      </c>
      <c r="Y1655" s="2">
        <f t="shared" si="205"/>
        <v>2.7755575615628914E-16</v>
      </c>
      <c r="Z1655" s="2" t="str">
        <f t="shared" si="206"/>
        <v>OK</v>
      </c>
      <c r="AA1655" t="str">
        <f t="shared" si="207"/>
        <v>Unique</v>
      </c>
    </row>
    <row r="1656" spans="1:27" x14ac:dyDescent="0.3">
      <c r="A1656">
        <v>1655</v>
      </c>
      <c r="B1656">
        <v>1423197.23586985</v>
      </c>
      <c r="C1656">
        <v>0.110010671755413</v>
      </c>
      <c r="D1656">
        <v>2.9029092702592098E-2</v>
      </c>
      <c r="E1656">
        <v>0.48193242746688397</v>
      </c>
      <c r="F1656">
        <v>1</v>
      </c>
      <c r="G1656" t="s">
        <v>10</v>
      </c>
      <c r="H1656">
        <v>0</v>
      </c>
      <c r="I1656">
        <v>685884.89864691801</v>
      </c>
      <c r="J1656">
        <v>0.51806757253311497</v>
      </c>
      <c r="K1656" t="str">
        <f t="shared" si="200"/>
        <v>OK</v>
      </c>
      <c r="L1656" t="str">
        <f t="shared" si="201"/>
        <v>OK</v>
      </c>
      <c r="M1656" t="str">
        <f>IF(OR(B1656&lt;$AE$20,B1656&gt;$AF$20),"Outlier","OK")</f>
        <v>OK</v>
      </c>
      <c r="N1656" t="str">
        <f>IF(OR(J1656&lt;$AE$21,J1656&gt;$AF$21),"Outlier","OK")</f>
        <v>OK</v>
      </c>
      <c r="O1656" t="str">
        <f>IF(OR(C1656&lt;0,C1656&gt;1),"Outlier","OK")</f>
        <v>OK</v>
      </c>
      <c r="P1656" t="str">
        <f>IF(OR(D1656&lt;0,D1656&gt;1),"Outlier","OK")</f>
        <v>OK</v>
      </c>
      <c r="Q1656" t="str">
        <f t="shared" si="202"/>
        <v>40-60%</v>
      </c>
      <c r="R1656" t="str">
        <f>IF(B1656="","Missing","OK")</f>
        <v>OK</v>
      </c>
      <c r="S1656" t="str">
        <f>IF(E1656="","Missing","OK")</f>
        <v>OK</v>
      </c>
      <c r="T1656" t="str">
        <f t="shared" si="203"/>
        <v>OK</v>
      </c>
      <c r="U1656">
        <f>COUNTIF($A:$A,A1656)</f>
        <v>1</v>
      </c>
      <c r="V1656" t="str">
        <f t="shared" si="204"/>
        <v>OK</v>
      </c>
      <c r="W1656" t="str">
        <f>IF(I1656&gt;B1656,"ERROR","OK")</f>
        <v>OK</v>
      </c>
      <c r="X1656">
        <f>(B1656-I1656)/B1656</f>
        <v>0.51806757253311475</v>
      </c>
      <c r="Y1656" s="2">
        <f t="shared" si="205"/>
        <v>2.2204460492503131E-16</v>
      </c>
      <c r="Z1656" s="2" t="str">
        <f t="shared" si="206"/>
        <v>OK</v>
      </c>
      <c r="AA1656" t="str">
        <f t="shared" si="207"/>
        <v>Unique</v>
      </c>
    </row>
    <row r="1657" spans="1:27" x14ac:dyDescent="0.3">
      <c r="A1657">
        <v>1656</v>
      </c>
      <c r="B1657">
        <v>1688800.8611510601</v>
      </c>
      <c r="C1657">
        <v>0.63162964075011696</v>
      </c>
      <c r="D1657">
        <v>-7.1574005554462694E-2</v>
      </c>
      <c r="E1657">
        <v>0.23892762721734601</v>
      </c>
      <c r="F1657">
        <v>1</v>
      </c>
      <c r="G1657" t="s">
        <v>12</v>
      </c>
      <c r="H1657">
        <v>1</v>
      </c>
      <c r="I1657">
        <v>403501.18259743502</v>
      </c>
      <c r="J1657">
        <v>0.76107237278265305</v>
      </c>
      <c r="K1657" t="str">
        <f t="shared" si="200"/>
        <v>OK</v>
      </c>
      <c r="L1657" t="str">
        <f t="shared" si="201"/>
        <v>OK</v>
      </c>
      <c r="M1657" t="str">
        <f>IF(OR(B1657&lt;$AE$20,B1657&gt;$AF$20),"Outlier","OK")</f>
        <v>OK</v>
      </c>
      <c r="N1657" t="str">
        <f>IF(OR(J1657&lt;$AE$21,J1657&gt;$AF$21),"Outlier","OK")</f>
        <v>OK</v>
      </c>
      <c r="O1657" t="str">
        <f>IF(OR(C1657&lt;0,C1657&gt;1),"Outlier","OK")</f>
        <v>OK</v>
      </c>
      <c r="P1657" t="str">
        <f>IF(OR(D1657&lt;0,D1657&gt;1),"Outlier","OK")</f>
        <v>Outlier</v>
      </c>
      <c r="Q1657" t="str">
        <f t="shared" si="202"/>
        <v>60-80%</v>
      </c>
      <c r="R1657" t="str">
        <f>IF(B1657="","Missing","OK")</f>
        <v>OK</v>
      </c>
      <c r="S1657" t="str">
        <f>IF(E1657="","Missing","OK")</f>
        <v>OK</v>
      </c>
      <c r="T1657" t="str">
        <f t="shared" si="203"/>
        <v>OK</v>
      </c>
      <c r="U1657">
        <f>COUNTIF($A:$A,A1657)</f>
        <v>1</v>
      </c>
      <c r="V1657" t="str">
        <f t="shared" si="204"/>
        <v>OK</v>
      </c>
      <c r="W1657" t="str">
        <f>IF(I1657&gt;B1657,"ERROR","OK")</f>
        <v>OK</v>
      </c>
      <c r="X1657">
        <f>(B1657-I1657)/B1657</f>
        <v>0.76107237278265305</v>
      </c>
      <c r="Y1657" s="2">
        <f t="shared" si="205"/>
        <v>0</v>
      </c>
      <c r="Z1657" s="2" t="str">
        <f t="shared" si="206"/>
        <v>OK</v>
      </c>
      <c r="AA1657" t="str">
        <f t="shared" si="207"/>
        <v>Unique</v>
      </c>
    </row>
    <row r="1658" spans="1:27" x14ac:dyDescent="0.3">
      <c r="A1658">
        <v>1657</v>
      </c>
      <c r="B1658">
        <v>1894151.4452354701</v>
      </c>
      <c r="C1658">
        <v>0.68768233445219396</v>
      </c>
      <c r="D1658">
        <v>-0.14811253011492001</v>
      </c>
      <c r="E1658">
        <v>0.26597045158225402</v>
      </c>
      <c r="F1658">
        <v>1</v>
      </c>
      <c r="G1658" t="s">
        <v>13</v>
      </c>
      <c r="H1658">
        <v>1</v>
      </c>
      <c r="I1658">
        <v>503788.31525445898</v>
      </c>
      <c r="J1658">
        <v>0.73402954841774504</v>
      </c>
      <c r="K1658" t="str">
        <f t="shared" si="200"/>
        <v>OK</v>
      </c>
      <c r="L1658" t="str">
        <f t="shared" si="201"/>
        <v>OK</v>
      </c>
      <c r="M1658" t="str">
        <f>IF(OR(B1658&lt;$AE$20,B1658&gt;$AF$20),"Outlier","OK")</f>
        <v>OK</v>
      </c>
      <c r="N1658" t="str">
        <f>IF(OR(J1658&lt;$AE$21,J1658&gt;$AF$21),"Outlier","OK")</f>
        <v>OK</v>
      </c>
      <c r="O1658" t="str">
        <f>IF(OR(C1658&lt;0,C1658&gt;1),"Outlier","OK")</f>
        <v>OK</v>
      </c>
      <c r="P1658" t="str">
        <f>IF(OR(D1658&lt;0,D1658&gt;1),"Outlier","OK")</f>
        <v>Outlier</v>
      </c>
      <c r="Q1658" t="str">
        <f t="shared" si="202"/>
        <v>60-80%</v>
      </c>
      <c r="R1658" t="str">
        <f>IF(B1658="","Missing","OK")</f>
        <v>OK</v>
      </c>
      <c r="S1658" t="str">
        <f>IF(E1658="","Missing","OK")</f>
        <v>OK</v>
      </c>
      <c r="T1658" t="str">
        <f t="shared" si="203"/>
        <v>OK</v>
      </c>
      <c r="U1658">
        <f>COUNTIF($A:$A,A1658)</f>
        <v>1</v>
      </c>
      <c r="V1658" t="str">
        <f t="shared" si="204"/>
        <v>OK</v>
      </c>
      <c r="W1658" t="str">
        <f>IF(I1658&gt;B1658,"ERROR","OK")</f>
        <v>OK</v>
      </c>
      <c r="X1658">
        <f>(B1658-I1658)/B1658</f>
        <v>0.73402954841774504</v>
      </c>
      <c r="Y1658" s="2">
        <f t="shared" si="205"/>
        <v>0</v>
      </c>
      <c r="Z1658" s="2" t="str">
        <f t="shared" si="206"/>
        <v>OK</v>
      </c>
      <c r="AA1658" t="str">
        <f t="shared" si="207"/>
        <v>Unique</v>
      </c>
    </row>
    <row r="1659" spans="1:27" x14ac:dyDescent="0.3">
      <c r="A1659">
        <v>1658</v>
      </c>
      <c r="B1659">
        <v>1112931.5551093901</v>
      </c>
      <c r="C1659">
        <v>0.41012712510878802</v>
      </c>
      <c r="D1659">
        <v>-6.4164569912668903E-2</v>
      </c>
      <c r="E1659">
        <v>0.37587392931934799</v>
      </c>
      <c r="F1659">
        <v>1</v>
      </c>
      <c r="G1659" t="s">
        <v>13</v>
      </c>
      <c r="H1659">
        <v>1</v>
      </c>
      <c r="I1659">
        <v>418321.95668245899</v>
      </c>
      <c r="J1659">
        <v>0.62412607068065196</v>
      </c>
      <c r="K1659" t="str">
        <f t="shared" si="200"/>
        <v>OK</v>
      </c>
      <c r="L1659" t="str">
        <f t="shared" si="201"/>
        <v>OK</v>
      </c>
      <c r="M1659" t="str">
        <f>IF(OR(B1659&lt;$AE$20,B1659&gt;$AF$20),"Outlier","OK")</f>
        <v>OK</v>
      </c>
      <c r="N1659" t="str">
        <f>IF(OR(J1659&lt;$AE$21,J1659&gt;$AF$21),"Outlier","OK")</f>
        <v>OK</v>
      </c>
      <c r="O1659" t="str">
        <f>IF(OR(C1659&lt;0,C1659&gt;1),"Outlier","OK")</f>
        <v>OK</v>
      </c>
      <c r="P1659" t="str">
        <f>IF(OR(D1659&lt;0,D1659&gt;1),"Outlier","OK")</f>
        <v>Outlier</v>
      </c>
      <c r="Q1659" t="str">
        <f t="shared" si="202"/>
        <v>60-80%</v>
      </c>
      <c r="R1659" t="str">
        <f>IF(B1659="","Missing","OK")</f>
        <v>OK</v>
      </c>
      <c r="S1659" t="str">
        <f>IF(E1659="","Missing","OK")</f>
        <v>OK</v>
      </c>
      <c r="T1659" t="str">
        <f t="shared" si="203"/>
        <v>OK</v>
      </c>
      <c r="U1659">
        <f>COUNTIF($A:$A,A1659)</f>
        <v>1</v>
      </c>
      <c r="V1659" t="str">
        <f t="shared" si="204"/>
        <v>OK</v>
      </c>
      <c r="W1659" t="str">
        <f>IF(I1659&gt;B1659,"ERROR","OK")</f>
        <v>OK</v>
      </c>
      <c r="X1659">
        <f>(B1659-I1659)/B1659</f>
        <v>0.62412607068065196</v>
      </c>
      <c r="Y1659" s="2">
        <f t="shared" si="205"/>
        <v>0</v>
      </c>
      <c r="Z1659" s="2" t="str">
        <f t="shared" si="206"/>
        <v>OK</v>
      </c>
      <c r="AA1659" t="str">
        <f t="shared" si="207"/>
        <v>Unique</v>
      </c>
    </row>
    <row r="1660" spans="1:27" x14ac:dyDescent="0.3">
      <c r="A1660">
        <v>1659</v>
      </c>
      <c r="B1660">
        <v>666394.86447528598</v>
      </c>
      <c r="C1660">
        <v>0.51953669243462897</v>
      </c>
      <c r="D1660">
        <v>-0.16257110893275101</v>
      </c>
      <c r="E1660">
        <v>0.40681666865981297</v>
      </c>
      <c r="F1660">
        <v>1</v>
      </c>
      <c r="G1660" t="s">
        <v>10</v>
      </c>
      <c r="H1660">
        <v>0</v>
      </c>
      <c r="I1660">
        <v>271100.538777843</v>
      </c>
      <c r="J1660">
        <v>0.59318333134018597</v>
      </c>
      <c r="K1660" t="str">
        <f t="shared" si="200"/>
        <v>OK</v>
      </c>
      <c r="L1660" t="str">
        <f t="shared" si="201"/>
        <v>OK</v>
      </c>
      <c r="M1660" t="str">
        <f>IF(OR(B1660&lt;$AE$20,B1660&gt;$AF$20),"Outlier","OK")</f>
        <v>OK</v>
      </c>
      <c r="N1660" t="str">
        <f>IF(OR(J1660&lt;$AE$21,J1660&gt;$AF$21),"Outlier","OK")</f>
        <v>OK</v>
      </c>
      <c r="O1660" t="str">
        <f>IF(OR(C1660&lt;0,C1660&gt;1),"Outlier","OK")</f>
        <v>OK</v>
      </c>
      <c r="P1660" t="str">
        <f>IF(OR(D1660&lt;0,D1660&gt;1),"Outlier","OK")</f>
        <v>Outlier</v>
      </c>
      <c r="Q1660" t="str">
        <f t="shared" si="202"/>
        <v>40-60%</v>
      </c>
      <c r="R1660" t="str">
        <f>IF(B1660="","Missing","OK")</f>
        <v>OK</v>
      </c>
      <c r="S1660" t="str">
        <f>IF(E1660="","Missing","OK")</f>
        <v>OK</v>
      </c>
      <c r="T1660" t="str">
        <f t="shared" si="203"/>
        <v>OK</v>
      </c>
      <c r="U1660">
        <f>COUNTIF($A:$A,A1660)</f>
        <v>1</v>
      </c>
      <c r="V1660" t="str">
        <f t="shared" si="204"/>
        <v>OK</v>
      </c>
      <c r="W1660" t="str">
        <f>IF(I1660&gt;B1660,"ERROR","OK")</f>
        <v>OK</v>
      </c>
      <c r="X1660">
        <f>(B1660-I1660)/B1660</f>
        <v>0.59318333134018764</v>
      </c>
      <c r="Y1660" s="2">
        <f t="shared" si="205"/>
        <v>1.6653345369377348E-15</v>
      </c>
      <c r="Z1660" s="2" t="str">
        <f t="shared" si="206"/>
        <v>OK</v>
      </c>
      <c r="AA1660" t="str">
        <f t="shared" si="207"/>
        <v>Unique</v>
      </c>
    </row>
    <row r="1661" spans="1:27" x14ac:dyDescent="0.3">
      <c r="A1661">
        <v>1660</v>
      </c>
      <c r="B1661">
        <v>810550.99902592099</v>
      </c>
      <c r="C1661">
        <v>0.136572911224977</v>
      </c>
      <c r="D1661">
        <v>-0.13216686598197</v>
      </c>
      <c r="E1661">
        <v>0.54597156105821598</v>
      </c>
      <c r="F1661">
        <v>1</v>
      </c>
      <c r="G1661" t="s">
        <v>12</v>
      </c>
      <c r="H1661">
        <v>1</v>
      </c>
      <c r="I1661">
        <v>442537.79425547901</v>
      </c>
      <c r="J1661">
        <v>0.45402843894178302</v>
      </c>
      <c r="K1661" t="str">
        <f t="shared" si="200"/>
        <v>OK</v>
      </c>
      <c r="L1661" t="str">
        <f t="shared" si="201"/>
        <v>OK</v>
      </c>
      <c r="M1661" t="str">
        <f>IF(OR(B1661&lt;$AE$20,B1661&gt;$AF$20),"Outlier","OK")</f>
        <v>OK</v>
      </c>
      <c r="N1661" t="str">
        <f>IF(OR(J1661&lt;$AE$21,J1661&gt;$AF$21),"Outlier","OK")</f>
        <v>OK</v>
      </c>
      <c r="O1661" t="str">
        <f>IF(OR(C1661&lt;0,C1661&gt;1),"Outlier","OK")</f>
        <v>OK</v>
      </c>
      <c r="P1661" t="str">
        <f>IF(OR(D1661&lt;0,D1661&gt;1),"Outlier","OK")</f>
        <v>Outlier</v>
      </c>
      <c r="Q1661" t="str">
        <f t="shared" si="202"/>
        <v>40-60%</v>
      </c>
      <c r="R1661" t="str">
        <f>IF(B1661="","Missing","OK")</f>
        <v>OK</v>
      </c>
      <c r="S1661" t="str">
        <f>IF(E1661="","Missing","OK")</f>
        <v>OK</v>
      </c>
      <c r="T1661" t="str">
        <f t="shared" si="203"/>
        <v>OK</v>
      </c>
      <c r="U1661">
        <f>COUNTIF($A:$A,A1661)</f>
        <v>1</v>
      </c>
      <c r="V1661" t="str">
        <f t="shared" si="204"/>
        <v>OK</v>
      </c>
      <c r="W1661" t="str">
        <f>IF(I1661&gt;B1661,"ERROR","OK")</f>
        <v>OK</v>
      </c>
      <c r="X1661">
        <f>(B1661-I1661)/B1661</f>
        <v>0.45402843894178352</v>
      </c>
      <c r="Y1661" s="2">
        <f t="shared" si="205"/>
        <v>4.9960036108132044E-16</v>
      </c>
      <c r="Z1661" s="2" t="str">
        <f t="shared" si="206"/>
        <v>OK</v>
      </c>
      <c r="AA1661" t="str">
        <f t="shared" si="207"/>
        <v>Unique</v>
      </c>
    </row>
    <row r="1662" spans="1:27" x14ac:dyDescent="0.3">
      <c r="A1662">
        <v>1661</v>
      </c>
      <c r="B1662">
        <v>1737914.0215406399</v>
      </c>
      <c r="C1662">
        <v>0.79189410708002395</v>
      </c>
      <c r="D1662">
        <v>-7.1472058572896499E-2</v>
      </c>
      <c r="E1662">
        <v>0.22297016967689601</v>
      </c>
      <c r="F1662">
        <v>1</v>
      </c>
      <c r="G1662" t="s">
        <v>12</v>
      </c>
      <c r="H1662">
        <v>1</v>
      </c>
      <c r="I1662">
        <v>387502.98426677502</v>
      </c>
      <c r="J1662">
        <v>0.77702983032310302</v>
      </c>
      <c r="K1662" t="str">
        <f t="shared" si="200"/>
        <v>OK</v>
      </c>
      <c r="L1662" t="str">
        <f t="shared" si="201"/>
        <v>OK</v>
      </c>
      <c r="M1662" t="str">
        <f>IF(OR(B1662&lt;$AE$20,B1662&gt;$AF$20),"Outlier","OK")</f>
        <v>OK</v>
      </c>
      <c r="N1662" t="str">
        <f>IF(OR(J1662&lt;$AE$21,J1662&gt;$AF$21),"Outlier","OK")</f>
        <v>OK</v>
      </c>
      <c r="O1662" t="str">
        <f>IF(OR(C1662&lt;0,C1662&gt;1),"Outlier","OK")</f>
        <v>OK</v>
      </c>
      <c r="P1662" t="str">
        <f>IF(OR(D1662&lt;0,D1662&gt;1),"Outlier","OK")</f>
        <v>Outlier</v>
      </c>
      <c r="Q1662" t="str">
        <f t="shared" si="202"/>
        <v>60-80%</v>
      </c>
      <c r="R1662" t="str">
        <f>IF(B1662="","Missing","OK")</f>
        <v>OK</v>
      </c>
      <c r="S1662" t="str">
        <f>IF(E1662="","Missing","OK")</f>
        <v>OK</v>
      </c>
      <c r="T1662" t="str">
        <f t="shared" si="203"/>
        <v>OK</v>
      </c>
      <c r="U1662">
        <f>COUNTIF($A:$A,A1662)</f>
        <v>1</v>
      </c>
      <c r="V1662" t="str">
        <f t="shared" si="204"/>
        <v>OK</v>
      </c>
      <c r="W1662" t="str">
        <f>IF(I1662&gt;B1662,"ERROR","OK")</f>
        <v>OK</v>
      </c>
      <c r="X1662">
        <f>(B1662-I1662)/B1662</f>
        <v>0.77702983032310302</v>
      </c>
      <c r="Y1662" s="2">
        <f t="shared" si="205"/>
        <v>0</v>
      </c>
      <c r="Z1662" s="2" t="str">
        <f t="shared" si="206"/>
        <v>OK</v>
      </c>
      <c r="AA1662" t="str">
        <f t="shared" si="207"/>
        <v>Unique</v>
      </c>
    </row>
    <row r="1663" spans="1:27" x14ac:dyDescent="0.3">
      <c r="A1663">
        <v>1662</v>
      </c>
      <c r="B1663">
        <v>518617.429817806</v>
      </c>
      <c r="C1663">
        <v>0.20755247910301799</v>
      </c>
      <c r="D1663">
        <v>5.8616493628727701E-2</v>
      </c>
      <c r="E1663">
        <v>0.27875576881712999</v>
      </c>
      <c r="F1663">
        <v>1</v>
      </c>
      <c r="G1663" t="s">
        <v>10</v>
      </c>
      <c r="H1663">
        <v>0</v>
      </c>
      <c r="I1663">
        <v>144567.600370826</v>
      </c>
      <c r="J1663">
        <v>0.72124423118286896</v>
      </c>
      <c r="K1663" t="str">
        <f t="shared" si="200"/>
        <v>OK</v>
      </c>
      <c r="L1663" t="str">
        <f t="shared" si="201"/>
        <v>OK</v>
      </c>
      <c r="M1663" t="str">
        <f>IF(OR(B1663&lt;$AE$20,B1663&gt;$AF$20),"Outlier","OK")</f>
        <v>OK</v>
      </c>
      <c r="N1663" t="str">
        <f>IF(OR(J1663&lt;$AE$21,J1663&gt;$AF$21),"Outlier","OK")</f>
        <v>OK</v>
      </c>
      <c r="O1663" t="str">
        <f>IF(OR(C1663&lt;0,C1663&gt;1),"Outlier","OK")</f>
        <v>OK</v>
      </c>
      <c r="P1663" t="str">
        <f>IF(OR(D1663&lt;0,D1663&gt;1),"Outlier","OK")</f>
        <v>OK</v>
      </c>
      <c r="Q1663" t="str">
        <f t="shared" si="202"/>
        <v>60-80%</v>
      </c>
      <c r="R1663" t="str">
        <f>IF(B1663="","Missing","OK")</f>
        <v>OK</v>
      </c>
      <c r="S1663" t="str">
        <f>IF(E1663="","Missing","OK")</f>
        <v>OK</v>
      </c>
      <c r="T1663" t="str">
        <f t="shared" si="203"/>
        <v>OK</v>
      </c>
      <c r="U1663">
        <f>COUNTIF($A:$A,A1663)</f>
        <v>1</v>
      </c>
      <c r="V1663" t="str">
        <f t="shared" si="204"/>
        <v>OK</v>
      </c>
      <c r="W1663" t="str">
        <f>IF(I1663&gt;B1663,"ERROR","OK")</f>
        <v>OK</v>
      </c>
      <c r="X1663">
        <f>(B1663-I1663)/B1663</f>
        <v>0.72124423118287095</v>
      </c>
      <c r="Y1663" s="2">
        <f t="shared" si="205"/>
        <v>1.9984014443252818E-15</v>
      </c>
      <c r="Z1663" s="2" t="str">
        <f t="shared" si="206"/>
        <v>OK</v>
      </c>
      <c r="AA1663" t="str">
        <f t="shared" si="207"/>
        <v>Unique</v>
      </c>
    </row>
    <row r="1664" spans="1:27" x14ac:dyDescent="0.3">
      <c r="A1664">
        <v>1663</v>
      </c>
      <c r="B1664">
        <v>1772365.5810405</v>
      </c>
      <c r="C1664">
        <v>0.82922205372216495</v>
      </c>
      <c r="D1664">
        <v>0.110920195990604</v>
      </c>
      <c r="E1664">
        <v>0.47323167093221602</v>
      </c>
      <c r="F1664">
        <v>1</v>
      </c>
      <c r="G1664" t="s">
        <v>11</v>
      </c>
      <c r="H1664">
        <v>1</v>
      </c>
      <c r="I1664">
        <v>838739.525418545</v>
      </c>
      <c r="J1664">
        <v>0.52676832906778304</v>
      </c>
      <c r="K1664" t="str">
        <f t="shared" si="200"/>
        <v>OK</v>
      </c>
      <c r="L1664" t="str">
        <f t="shared" si="201"/>
        <v>OK</v>
      </c>
      <c r="M1664" t="str">
        <f>IF(OR(B1664&lt;$AE$20,B1664&gt;$AF$20),"Outlier","OK")</f>
        <v>OK</v>
      </c>
      <c r="N1664" t="str">
        <f>IF(OR(J1664&lt;$AE$21,J1664&gt;$AF$21),"Outlier","OK")</f>
        <v>OK</v>
      </c>
      <c r="O1664" t="str">
        <f>IF(OR(C1664&lt;0,C1664&gt;1),"Outlier","OK")</f>
        <v>OK</v>
      </c>
      <c r="P1664" t="str">
        <f>IF(OR(D1664&lt;0,D1664&gt;1),"Outlier","OK")</f>
        <v>OK</v>
      </c>
      <c r="Q1664" t="str">
        <f t="shared" si="202"/>
        <v>40-60%</v>
      </c>
      <c r="R1664" t="str">
        <f>IF(B1664="","Missing","OK")</f>
        <v>OK</v>
      </c>
      <c r="S1664" t="str">
        <f>IF(E1664="","Missing","OK")</f>
        <v>OK</v>
      </c>
      <c r="T1664" t="str">
        <f t="shared" si="203"/>
        <v>OK</v>
      </c>
      <c r="U1664">
        <f>COUNTIF($A:$A,A1664)</f>
        <v>1</v>
      </c>
      <c r="V1664" t="str">
        <f t="shared" si="204"/>
        <v>OK</v>
      </c>
      <c r="W1664" t="str">
        <f>IF(I1664&gt;B1664,"ERROR","OK")</f>
        <v>OK</v>
      </c>
      <c r="X1664">
        <f>(B1664-I1664)/B1664</f>
        <v>0.52676832906778326</v>
      </c>
      <c r="Y1664" s="2">
        <f t="shared" si="205"/>
        <v>2.2204460492503131E-16</v>
      </c>
      <c r="Z1664" s="2" t="str">
        <f t="shared" si="206"/>
        <v>OK</v>
      </c>
      <c r="AA1664" t="str">
        <f t="shared" si="207"/>
        <v>Unique</v>
      </c>
    </row>
    <row r="1665" spans="1:27" x14ac:dyDescent="0.3">
      <c r="A1665">
        <v>1664</v>
      </c>
      <c r="B1665">
        <v>162780.67486815999</v>
      </c>
      <c r="C1665">
        <v>0.43109140381476202</v>
      </c>
      <c r="D1665">
        <v>-0.162294555503952</v>
      </c>
      <c r="E1665">
        <v>0.32530181751845699</v>
      </c>
      <c r="F1665">
        <v>1</v>
      </c>
      <c r="G1665" t="s">
        <v>10</v>
      </c>
      <c r="H1665">
        <v>1</v>
      </c>
      <c r="I1665">
        <v>52952.849391493502</v>
      </c>
      <c r="J1665">
        <v>0.67469818248154301</v>
      </c>
      <c r="K1665" t="str">
        <f t="shared" si="200"/>
        <v>OK</v>
      </c>
      <c r="L1665" t="str">
        <f t="shared" si="201"/>
        <v>OK</v>
      </c>
      <c r="M1665" t="str">
        <f>IF(OR(B1665&lt;$AE$20,B1665&gt;$AF$20),"Outlier","OK")</f>
        <v>OK</v>
      </c>
      <c r="N1665" t="str">
        <f>IF(OR(J1665&lt;$AE$21,J1665&gt;$AF$21),"Outlier","OK")</f>
        <v>OK</v>
      </c>
      <c r="O1665" t="str">
        <f>IF(OR(C1665&lt;0,C1665&gt;1),"Outlier","OK")</f>
        <v>OK</v>
      </c>
      <c r="P1665" t="str">
        <f>IF(OR(D1665&lt;0,D1665&gt;1),"Outlier","OK")</f>
        <v>Outlier</v>
      </c>
      <c r="Q1665" t="str">
        <f t="shared" si="202"/>
        <v>60-80%</v>
      </c>
      <c r="R1665" t="str">
        <f>IF(B1665="","Missing","OK")</f>
        <v>OK</v>
      </c>
      <c r="S1665" t="str">
        <f>IF(E1665="","Missing","OK")</f>
        <v>OK</v>
      </c>
      <c r="T1665" t="str">
        <f t="shared" si="203"/>
        <v>OK</v>
      </c>
      <c r="U1665">
        <f>COUNTIF($A:$A,A1665)</f>
        <v>1</v>
      </c>
      <c r="V1665" t="str">
        <f t="shared" si="204"/>
        <v>OK</v>
      </c>
      <c r="W1665" t="str">
        <f>IF(I1665&gt;B1665,"ERROR","OK")</f>
        <v>OK</v>
      </c>
      <c r="X1665">
        <f>(B1665-I1665)/B1665</f>
        <v>0.67469818248154267</v>
      </c>
      <c r="Y1665" s="2">
        <f t="shared" si="205"/>
        <v>3.3306690738754696E-16</v>
      </c>
      <c r="Z1665" s="2" t="str">
        <f t="shared" si="206"/>
        <v>OK</v>
      </c>
      <c r="AA1665" t="str">
        <f t="shared" si="207"/>
        <v>Unique</v>
      </c>
    </row>
    <row r="1666" spans="1:27" x14ac:dyDescent="0.3">
      <c r="A1666">
        <v>1665</v>
      </c>
      <c r="B1666">
        <v>1944084.7217672099</v>
      </c>
      <c r="C1666">
        <v>0.393377745863985</v>
      </c>
      <c r="D1666">
        <v>2.2755079648802901E-2</v>
      </c>
      <c r="E1666">
        <v>0.15693926879061501</v>
      </c>
      <c r="F1666">
        <v>1</v>
      </c>
      <c r="G1666" t="s">
        <v>11</v>
      </c>
      <c r="H1666">
        <v>0</v>
      </c>
      <c r="I1666">
        <v>305103.23470115301</v>
      </c>
      <c r="J1666">
        <v>0.84306073120938396</v>
      </c>
      <c r="K1666" t="str">
        <f t="shared" si="200"/>
        <v>OK</v>
      </c>
      <c r="L1666" t="str">
        <f t="shared" si="201"/>
        <v>OK</v>
      </c>
      <c r="M1666" t="str">
        <f>IF(OR(B1666&lt;$AE$20,B1666&gt;$AF$20),"Outlier","OK")</f>
        <v>OK</v>
      </c>
      <c r="N1666" t="str">
        <f>IF(OR(J1666&lt;$AE$21,J1666&gt;$AF$21),"Outlier","OK")</f>
        <v>OK</v>
      </c>
      <c r="O1666" t="str">
        <f>IF(OR(C1666&lt;0,C1666&gt;1),"Outlier","OK")</f>
        <v>OK</v>
      </c>
      <c r="P1666" t="str">
        <f>IF(OR(D1666&lt;0,D1666&gt;1),"Outlier","OK")</f>
        <v>OK</v>
      </c>
      <c r="Q1666" t="str">
        <f t="shared" si="202"/>
        <v>80-100%</v>
      </c>
      <c r="R1666" t="str">
        <f>IF(B1666="","Missing","OK")</f>
        <v>OK</v>
      </c>
      <c r="S1666" t="str">
        <f>IF(E1666="","Missing","OK")</f>
        <v>OK</v>
      </c>
      <c r="T1666" t="str">
        <f t="shared" si="203"/>
        <v>OK</v>
      </c>
      <c r="U1666">
        <f>COUNTIF($A:$A,A1666)</f>
        <v>1</v>
      </c>
      <c r="V1666" t="str">
        <f t="shared" si="204"/>
        <v>OK</v>
      </c>
      <c r="W1666" t="str">
        <f>IF(I1666&gt;B1666,"ERROR","OK")</f>
        <v>OK</v>
      </c>
      <c r="X1666">
        <f>(B1666-I1666)/B1666</f>
        <v>0.84306073120938463</v>
      </c>
      <c r="Y1666" s="2">
        <f t="shared" si="205"/>
        <v>6.6613381477509392E-16</v>
      </c>
      <c r="Z1666" s="2" t="str">
        <f t="shared" si="206"/>
        <v>OK</v>
      </c>
      <c r="AA1666" t="str">
        <f t="shared" si="207"/>
        <v>Unique</v>
      </c>
    </row>
    <row r="1667" spans="1:27" x14ac:dyDescent="0.3">
      <c r="A1667">
        <v>1666</v>
      </c>
      <c r="B1667">
        <v>282259.08516076102</v>
      </c>
      <c r="C1667">
        <v>0.56345507015340601</v>
      </c>
      <c r="D1667">
        <v>0.10929275729424399</v>
      </c>
      <c r="E1667">
        <v>0.29207727083921298</v>
      </c>
      <c r="F1667">
        <v>1</v>
      </c>
      <c r="G1667" t="s">
        <v>13</v>
      </c>
      <c r="H1667">
        <v>1</v>
      </c>
      <c r="I1667">
        <v>82441.463263328304</v>
      </c>
      <c r="J1667">
        <v>0.70792272916078602</v>
      </c>
      <c r="K1667" t="str">
        <f t="shared" ref="K1667:K1730" si="208">IF(OR(J1667&lt;0,J1667&gt;1),"Error","OK")</f>
        <v>OK</v>
      </c>
      <c r="L1667" t="str">
        <f t="shared" ref="L1667:L1730" si="209">IF(I1667&gt;B1667,"Error","OK")</f>
        <v>OK</v>
      </c>
      <c r="M1667" t="str">
        <f>IF(OR(B1667&lt;$AE$20,B1667&gt;$AF$20),"Outlier","OK")</f>
        <v>OK</v>
      </c>
      <c r="N1667" t="str">
        <f>IF(OR(J1667&lt;$AE$21,J1667&gt;$AF$21),"Outlier","OK")</f>
        <v>OK</v>
      </c>
      <c r="O1667" t="str">
        <f>IF(OR(C1667&lt;0,C1667&gt;1),"Outlier","OK")</f>
        <v>OK</v>
      </c>
      <c r="P1667" t="str">
        <f>IF(OR(D1667&lt;0,D1667&gt;1),"Outlier","OK")</f>
        <v>OK</v>
      </c>
      <c r="Q1667" t="str">
        <f t="shared" ref="Q1667:Q1730" si="210">IF(J1667&lt;=0.2,"0-20%",
 IF(J1667&lt;=0.4,"20-40%",
 IF(J1667&lt;=0.6,"40-60%",
 IF(J1667&lt;=0.8,"60-80%","80-100%"))))</f>
        <v>60-80%</v>
      </c>
      <c r="R1667" t="str">
        <f>IF(B1667="","Missing","OK")</f>
        <v>OK</v>
      </c>
      <c r="S1667" t="str">
        <f>IF(E1667="","Missing","OK")</f>
        <v>OK</v>
      </c>
      <c r="T1667" t="str">
        <f t="shared" ref="T1667:T1730" si="211">IF(J1667="","Missing","OK")</f>
        <v>OK</v>
      </c>
      <c r="U1667">
        <f>COUNTIF($A:$A,A1667)</f>
        <v>1</v>
      </c>
      <c r="V1667" t="str">
        <f t="shared" ref="V1667:V1730" si="212">IF(OR(J1667&lt;0,J1667&gt;1),"ERROR","OK")</f>
        <v>OK</v>
      </c>
      <c r="W1667" t="str">
        <f>IF(I1667&gt;B1667,"ERROR","OK")</f>
        <v>OK</v>
      </c>
      <c r="X1667">
        <f>(B1667-I1667)/B1667</f>
        <v>0.70792272916078625</v>
      </c>
      <c r="Y1667" s="2">
        <f t="shared" ref="Y1667:Y1730" si="213">ABS(J1667-X1667)</f>
        <v>2.2204460492503131E-16</v>
      </c>
      <c r="Z1667" s="2" t="str">
        <f t="shared" ref="Z1667:Z1730" si="214">IF(OR(B1667="",I1667="",J1667=""),"Missing","OK")</f>
        <v>OK</v>
      </c>
      <c r="AA1667" t="str">
        <f t="shared" ref="AA1667:AA1730" si="215">IF(COUNTIF($A:$A,A1667)&gt;1,"Duplicate","Unique")</f>
        <v>Unique</v>
      </c>
    </row>
    <row r="1668" spans="1:27" x14ac:dyDescent="0.3">
      <c r="A1668">
        <v>1667</v>
      </c>
      <c r="B1668">
        <v>1772608.66017333</v>
      </c>
      <c r="C1668">
        <v>0.27343016506321999</v>
      </c>
      <c r="D1668">
        <v>2.3231245733240102E-2</v>
      </c>
      <c r="E1668">
        <v>0.49246890122353199</v>
      </c>
      <c r="F1668">
        <v>1</v>
      </c>
      <c r="G1668" t="s">
        <v>10</v>
      </c>
      <c r="H1668">
        <v>1</v>
      </c>
      <c r="I1668">
        <v>872954.63917487999</v>
      </c>
      <c r="J1668">
        <v>0.50753109877646696</v>
      </c>
      <c r="K1668" t="str">
        <f t="shared" si="208"/>
        <v>OK</v>
      </c>
      <c r="L1668" t="str">
        <f t="shared" si="209"/>
        <v>OK</v>
      </c>
      <c r="M1668" t="str">
        <f>IF(OR(B1668&lt;$AE$20,B1668&gt;$AF$20),"Outlier","OK")</f>
        <v>OK</v>
      </c>
      <c r="N1668" t="str">
        <f>IF(OR(J1668&lt;$AE$21,J1668&gt;$AF$21),"Outlier","OK")</f>
        <v>OK</v>
      </c>
      <c r="O1668" t="str">
        <f>IF(OR(C1668&lt;0,C1668&gt;1),"Outlier","OK")</f>
        <v>OK</v>
      </c>
      <c r="P1668" t="str">
        <f>IF(OR(D1668&lt;0,D1668&gt;1),"Outlier","OK")</f>
        <v>OK</v>
      </c>
      <c r="Q1668" t="str">
        <f t="shared" si="210"/>
        <v>40-60%</v>
      </c>
      <c r="R1668" t="str">
        <f>IF(B1668="","Missing","OK")</f>
        <v>OK</v>
      </c>
      <c r="S1668" t="str">
        <f>IF(E1668="","Missing","OK")</f>
        <v>OK</v>
      </c>
      <c r="T1668" t="str">
        <f t="shared" si="211"/>
        <v>OK</v>
      </c>
      <c r="U1668">
        <f>COUNTIF($A:$A,A1668)</f>
        <v>1</v>
      </c>
      <c r="V1668" t="str">
        <f t="shared" si="212"/>
        <v>OK</v>
      </c>
      <c r="W1668" t="str">
        <f>IF(I1668&gt;B1668,"ERROR","OK")</f>
        <v>OK</v>
      </c>
      <c r="X1668">
        <f>(B1668-I1668)/B1668</f>
        <v>0.50753109877646629</v>
      </c>
      <c r="Y1668" s="2">
        <f t="shared" si="213"/>
        <v>6.6613381477509392E-16</v>
      </c>
      <c r="Z1668" s="2" t="str">
        <f t="shared" si="214"/>
        <v>OK</v>
      </c>
      <c r="AA1668" t="str">
        <f t="shared" si="215"/>
        <v>Unique</v>
      </c>
    </row>
    <row r="1669" spans="1:27" x14ac:dyDescent="0.3">
      <c r="A1669">
        <v>1668</v>
      </c>
      <c r="B1669">
        <v>1104504.7722273199</v>
      </c>
      <c r="C1669">
        <v>0.74550806203881304</v>
      </c>
      <c r="D1669">
        <v>-2.5774110061931001E-2</v>
      </c>
      <c r="E1669">
        <v>0.228468039169583</v>
      </c>
      <c r="F1669">
        <v>1</v>
      </c>
      <c r="G1669" t="s">
        <v>13</v>
      </c>
      <c r="H1669">
        <v>0</v>
      </c>
      <c r="I1669">
        <v>252344.039564223</v>
      </c>
      <c r="J1669">
        <v>0.77153196083041597</v>
      </c>
      <c r="K1669" t="str">
        <f t="shared" si="208"/>
        <v>OK</v>
      </c>
      <c r="L1669" t="str">
        <f t="shared" si="209"/>
        <v>OK</v>
      </c>
      <c r="M1669" t="str">
        <f>IF(OR(B1669&lt;$AE$20,B1669&gt;$AF$20),"Outlier","OK")</f>
        <v>OK</v>
      </c>
      <c r="N1669" t="str">
        <f>IF(OR(J1669&lt;$AE$21,J1669&gt;$AF$21),"Outlier","OK")</f>
        <v>OK</v>
      </c>
      <c r="O1669" t="str">
        <f>IF(OR(C1669&lt;0,C1669&gt;1),"Outlier","OK")</f>
        <v>OK</v>
      </c>
      <c r="P1669" t="str">
        <f>IF(OR(D1669&lt;0,D1669&gt;1),"Outlier","OK")</f>
        <v>Outlier</v>
      </c>
      <c r="Q1669" t="str">
        <f t="shared" si="210"/>
        <v>60-80%</v>
      </c>
      <c r="R1669" t="str">
        <f>IF(B1669="","Missing","OK")</f>
        <v>OK</v>
      </c>
      <c r="S1669" t="str">
        <f>IF(E1669="","Missing","OK")</f>
        <v>OK</v>
      </c>
      <c r="T1669" t="str">
        <f t="shared" si="211"/>
        <v>OK</v>
      </c>
      <c r="U1669">
        <f>COUNTIF($A:$A,A1669)</f>
        <v>1</v>
      </c>
      <c r="V1669" t="str">
        <f t="shared" si="212"/>
        <v>OK</v>
      </c>
      <c r="W1669" t="str">
        <f>IF(I1669&gt;B1669,"ERROR","OK")</f>
        <v>OK</v>
      </c>
      <c r="X1669">
        <f>(B1669-I1669)/B1669</f>
        <v>0.77153196083041664</v>
      </c>
      <c r="Y1669" s="2">
        <f t="shared" si="213"/>
        <v>6.6613381477509392E-16</v>
      </c>
      <c r="Z1669" s="2" t="str">
        <f t="shared" si="214"/>
        <v>OK</v>
      </c>
      <c r="AA1669" t="str">
        <f t="shared" si="215"/>
        <v>Unique</v>
      </c>
    </row>
    <row r="1670" spans="1:27" x14ac:dyDescent="0.3">
      <c r="A1670">
        <v>1669</v>
      </c>
      <c r="B1670">
        <v>1144589.10798346</v>
      </c>
      <c r="C1670">
        <v>0.22100810638521701</v>
      </c>
      <c r="D1670">
        <v>0.144902042391367</v>
      </c>
      <c r="E1670">
        <v>0.69062279506527302</v>
      </c>
      <c r="F1670">
        <v>1</v>
      </c>
      <c r="G1670" t="s">
        <v>10</v>
      </c>
      <c r="H1670">
        <v>1</v>
      </c>
      <c r="I1670">
        <v>790479.32895680796</v>
      </c>
      <c r="J1670">
        <v>0.30937720493472598</v>
      </c>
      <c r="K1670" t="str">
        <f t="shared" si="208"/>
        <v>OK</v>
      </c>
      <c r="L1670" t="str">
        <f t="shared" si="209"/>
        <v>OK</v>
      </c>
      <c r="M1670" t="str">
        <f>IF(OR(B1670&lt;$AE$20,B1670&gt;$AF$20),"Outlier","OK")</f>
        <v>OK</v>
      </c>
      <c r="N1670" t="str">
        <f>IF(OR(J1670&lt;$AE$21,J1670&gt;$AF$21),"Outlier","OK")</f>
        <v>OK</v>
      </c>
      <c r="O1670" t="str">
        <f>IF(OR(C1670&lt;0,C1670&gt;1),"Outlier","OK")</f>
        <v>OK</v>
      </c>
      <c r="P1670" t="str">
        <f>IF(OR(D1670&lt;0,D1670&gt;1),"Outlier","OK")</f>
        <v>OK</v>
      </c>
      <c r="Q1670" t="str">
        <f t="shared" si="210"/>
        <v>20-40%</v>
      </c>
      <c r="R1670" t="str">
        <f>IF(B1670="","Missing","OK")</f>
        <v>OK</v>
      </c>
      <c r="S1670" t="str">
        <f>IF(E1670="","Missing","OK")</f>
        <v>OK</v>
      </c>
      <c r="T1670" t="str">
        <f t="shared" si="211"/>
        <v>OK</v>
      </c>
      <c r="U1670">
        <f>COUNTIF($A:$A,A1670)</f>
        <v>1</v>
      </c>
      <c r="V1670" t="str">
        <f t="shared" si="212"/>
        <v>OK</v>
      </c>
      <c r="W1670" t="str">
        <f>IF(I1670&gt;B1670,"ERROR","OK")</f>
        <v>OK</v>
      </c>
      <c r="X1670">
        <f>(B1670-I1670)/B1670</f>
        <v>0.30937720493472415</v>
      </c>
      <c r="Y1670" s="2">
        <f t="shared" si="213"/>
        <v>1.8318679906315083E-15</v>
      </c>
      <c r="Z1670" s="2" t="str">
        <f t="shared" si="214"/>
        <v>OK</v>
      </c>
      <c r="AA1670" t="str">
        <f t="shared" si="215"/>
        <v>Unique</v>
      </c>
    </row>
    <row r="1671" spans="1:27" x14ac:dyDescent="0.3">
      <c r="A1671">
        <v>1670</v>
      </c>
      <c r="B1671">
        <v>1962279.1103918201</v>
      </c>
      <c r="C1671">
        <v>0.85656392386353397</v>
      </c>
      <c r="D1671">
        <v>0.16305700788386401</v>
      </c>
      <c r="E1671">
        <v>0.24262450769945901</v>
      </c>
      <c r="F1671">
        <v>1</v>
      </c>
      <c r="G1671" t="s">
        <v>10</v>
      </c>
      <c r="H1671">
        <v>1</v>
      </c>
      <c r="I1671">
        <v>476097.003127751</v>
      </c>
      <c r="J1671">
        <v>0.75737549230054002</v>
      </c>
      <c r="K1671" t="str">
        <f t="shared" si="208"/>
        <v>OK</v>
      </c>
      <c r="L1671" t="str">
        <f t="shared" si="209"/>
        <v>OK</v>
      </c>
      <c r="M1671" t="str">
        <f>IF(OR(B1671&lt;$AE$20,B1671&gt;$AF$20),"Outlier","OK")</f>
        <v>OK</v>
      </c>
      <c r="N1671" t="str">
        <f>IF(OR(J1671&lt;$AE$21,J1671&gt;$AF$21),"Outlier","OK")</f>
        <v>OK</v>
      </c>
      <c r="O1671" t="str">
        <f>IF(OR(C1671&lt;0,C1671&gt;1),"Outlier","OK")</f>
        <v>OK</v>
      </c>
      <c r="P1671" t="str">
        <f>IF(OR(D1671&lt;0,D1671&gt;1),"Outlier","OK")</f>
        <v>OK</v>
      </c>
      <c r="Q1671" t="str">
        <f t="shared" si="210"/>
        <v>60-80%</v>
      </c>
      <c r="R1671" t="str">
        <f>IF(B1671="","Missing","OK")</f>
        <v>OK</v>
      </c>
      <c r="S1671" t="str">
        <f>IF(E1671="","Missing","OK")</f>
        <v>OK</v>
      </c>
      <c r="T1671" t="str">
        <f t="shared" si="211"/>
        <v>OK</v>
      </c>
      <c r="U1671">
        <f>COUNTIF($A:$A,A1671)</f>
        <v>1</v>
      </c>
      <c r="V1671" t="str">
        <f t="shared" si="212"/>
        <v>OK</v>
      </c>
      <c r="W1671" t="str">
        <f>IF(I1671&gt;B1671,"ERROR","OK")</f>
        <v>OK</v>
      </c>
      <c r="X1671">
        <f>(B1671-I1671)/B1671</f>
        <v>0.75737549230053935</v>
      </c>
      <c r="Y1671" s="2">
        <f t="shared" si="213"/>
        <v>6.6613381477509392E-16</v>
      </c>
      <c r="Z1671" s="2" t="str">
        <f t="shared" si="214"/>
        <v>OK</v>
      </c>
      <c r="AA1671" t="str">
        <f t="shared" si="215"/>
        <v>Unique</v>
      </c>
    </row>
    <row r="1672" spans="1:27" x14ac:dyDescent="0.3">
      <c r="A1672">
        <v>1671</v>
      </c>
      <c r="B1672">
        <v>1905156.1145304099</v>
      </c>
      <c r="C1672">
        <v>0.74405940855970998</v>
      </c>
      <c r="D1672">
        <v>3.88557739396602E-2</v>
      </c>
      <c r="E1672">
        <v>0.477384086081656</v>
      </c>
      <c r="F1672">
        <v>1</v>
      </c>
      <c r="G1672" t="s">
        <v>12</v>
      </c>
      <c r="H1672">
        <v>1</v>
      </c>
      <c r="I1672">
        <v>909491.21057798003</v>
      </c>
      <c r="J1672">
        <v>0.52261591391834294</v>
      </c>
      <c r="K1672" t="str">
        <f t="shared" si="208"/>
        <v>OK</v>
      </c>
      <c r="L1672" t="str">
        <f t="shared" si="209"/>
        <v>OK</v>
      </c>
      <c r="M1672" t="str">
        <f>IF(OR(B1672&lt;$AE$20,B1672&gt;$AF$20),"Outlier","OK")</f>
        <v>OK</v>
      </c>
      <c r="N1672" t="str">
        <f>IF(OR(J1672&lt;$AE$21,J1672&gt;$AF$21),"Outlier","OK")</f>
        <v>OK</v>
      </c>
      <c r="O1672" t="str">
        <f>IF(OR(C1672&lt;0,C1672&gt;1),"Outlier","OK")</f>
        <v>OK</v>
      </c>
      <c r="P1672" t="str">
        <f>IF(OR(D1672&lt;0,D1672&gt;1),"Outlier","OK")</f>
        <v>OK</v>
      </c>
      <c r="Q1672" t="str">
        <f t="shared" si="210"/>
        <v>40-60%</v>
      </c>
      <c r="R1672" t="str">
        <f>IF(B1672="","Missing","OK")</f>
        <v>OK</v>
      </c>
      <c r="S1672" t="str">
        <f>IF(E1672="","Missing","OK")</f>
        <v>OK</v>
      </c>
      <c r="T1672" t="str">
        <f t="shared" si="211"/>
        <v>OK</v>
      </c>
      <c r="U1672">
        <f>COUNTIF($A:$A,A1672)</f>
        <v>1</v>
      </c>
      <c r="V1672" t="str">
        <f t="shared" si="212"/>
        <v>OK</v>
      </c>
      <c r="W1672" t="str">
        <f>IF(I1672&gt;B1672,"ERROR","OK")</f>
        <v>OK</v>
      </c>
      <c r="X1672">
        <f>(B1672-I1672)/B1672</f>
        <v>0.52261591391834317</v>
      </c>
      <c r="Y1672" s="2">
        <f t="shared" si="213"/>
        <v>2.2204460492503131E-16</v>
      </c>
      <c r="Z1672" s="2" t="str">
        <f t="shared" si="214"/>
        <v>OK</v>
      </c>
      <c r="AA1672" t="str">
        <f t="shared" si="215"/>
        <v>Unique</v>
      </c>
    </row>
    <row r="1673" spans="1:27" x14ac:dyDescent="0.3">
      <c r="A1673">
        <v>1672</v>
      </c>
      <c r="B1673">
        <v>1607285.8857072799</v>
      </c>
      <c r="C1673">
        <v>0.79681238970688195</v>
      </c>
      <c r="D1673">
        <v>0.17156769438387801</v>
      </c>
      <c r="E1673">
        <v>0.68647225938853396</v>
      </c>
      <c r="F1673">
        <v>1</v>
      </c>
      <c r="G1673" t="s">
        <v>12</v>
      </c>
      <c r="H1673">
        <v>0</v>
      </c>
      <c r="I1673">
        <v>1103357.17344477</v>
      </c>
      <c r="J1673">
        <v>0.31352774061146499</v>
      </c>
      <c r="K1673" t="str">
        <f t="shared" si="208"/>
        <v>OK</v>
      </c>
      <c r="L1673" t="str">
        <f t="shared" si="209"/>
        <v>OK</v>
      </c>
      <c r="M1673" t="str">
        <f>IF(OR(B1673&lt;$AE$20,B1673&gt;$AF$20),"Outlier","OK")</f>
        <v>OK</v>
      </c>
      <c r="N1673" t="str">
        <f>IF(OR(J1673&lt;$AE$21,J1673&gt;$AF$21),"Outlier","OK")</f>
        <v>OK</v>
      </c>
      <c r="O1673" t="str">
        <f>IF(OR(C1673&lt;0,C1673&gt;1),"Outlier","OK")</f>
        <v>OK</v>
      </c>
      <c r="P1673" t="str">
        <f>IF(OR(D1673&lt;0,D1673&gt;1),"Outlier","OK")</f>
        <v>OK</v>
      </c>
      <c r="Q1673" t="str">
        <f t="shared" si="210"/>
        <v>20-40%</v>
      </c>
      <c r="R1673" t="str">
        <f>IF(B1673="","Missing","OK")</f>
        <v>OK</v>
      </c>
      <c r="S1673" t="str">
        <f>IF(E1673="","Missing","OK")</f>
        <v>OK</v>
      </c>
      <c r="T1673" t="str">
        <f t="shared" si="211"/>
        <v>OK</v>
      </c>
      <c r="U1673">
        <f>COUNTIF($A:$A,A1673)</f>
        <v>1</v>
      </c>
      <c r="V1673" t="str">
        <f t="shared" si="212"/>
        <v>OK</v>
      </c>
      <c r="W1673" t="str">
        <f>IF(I1673&gt;B1673,"ERROR","OK")</f>
        <v>OK</v>
      </c>
      <c r="X1673">
        <f>(B1673-I1673)/B1673</f>
        <v>0.3135277406114706</v>
      </c>
      <c r="Y1673" s="2">
        <f t="shared" si="213"/>
        <v>5.6066262743570405E-15</v>
      </c>
      <c r="Z1673" s="2" t="str">
        <f t="shared" si="214"/>
        <v>OK</v>
      </c>
      <c r="AA1673" t="str">
        <f t="shared" si="215"/>
        <v>Unique</v>
      </c>
    </row>
    <row r="1674" spans="1:27" x14ac:dyDescent="0.3">
      <c r="A1674">
        <v>1673</v>
      </c>
      <c r="B1674">
        <v>1320587.7230344999</v>
      </c>
      <c r="C1674">
        <v>0.85185622864051302</v>
      </c>
      <c r="D1674">
        <v>0.13353050675471001</v>
      </c>
      <c r="E1674">
        <v>0.458891251051053</v>
      </c>
      <c r="F1674">
        <v>1</v>
      </c>
      <c r="G1674" t="s">
        <v>10</v>
      </c>
      <c r="H1674">
        <v>0</v>
      </c>
      <c r="I1674">
        <v>606006.15234596794</v>
      </c>
      <c r="J1674">
        <v>0.54110874894894601</v>
      </c>
      <c r="K1674" t="str">
        <f t="shared" si="208"/>
        <v>OK</v>
      </c>
      <c r="L1674" t="str">
        <f t="shared" si="209"/>
        <v>OK</v>
      </c>
      <c r="M1674" t="str">
        <f>IF(OR(B1674&lt;$AE$20,B1674&gt;$AF$20),"Outlier","OK")</f>
        <v>OK</v>
      </c>
      <c r="N1674" t="str">
        <f>IF(OR(J1674&lt;$AE$21,J1674&gt;$AF$21),"Outlier","OK")</f>
        <v>OK</v>
      </c>
      <c r="O1674" t="str">
        <f>IF(OR(C1674&lt;0,C1674&gt;1),"Outlier","OK")</f>
        <v>OK</v>
      </c>
      <c r="P1674" t="str">
        <f>IF(OR(D1674&lt;0,D1674&gt;1),"Outlier","OK")</f>
        <v>OK</v>
      </c>
      <c r="Q1674" t="str">
        <f t="shared" si="210"/>
        <v>40-60%</v>
      </c>
      <c r="R1674" t="str">
        <f>IF(B1674="","Missing","OK")</f>
        <v>OK</v>
      </c>
      <c r="S1674" t="str">
        <f>IF(E1674="","Missing","OK")</f>
        <v>OK</v>
      </c>
      <c r="T1674" t="str">
        <f t="shared" si="211"/>
        <v>OK</v>
      </c>
      <c r="U1674">
        <f>COUNTIF($A:$A,A1674)</f>
        <v>1</v>
      </c>
      <c r="V1674" t="str">
        <f t="shared" si="212"/>
        <v>OK</v>
      </c>
      <c r="W1674" t="str">
        <f>IF(I1674&gt;B1674,"ERROR","OK")</f>
        <v>OK</v>
      </c>
      <c r="X1674">
        <f>(B1674-I1674)/B1674</f>
        <v>0.54110874894894334</v>
      </c>
      <c r="Y1674" s="2">
        <f t="shared" si="213"/>
        <v>2.6645352591003757E-15</v>
      </c>
      <c r="Z1674" s="2" t="str">
        <f t="shared" si="214"/>
        <v>OK</v>
      </c>
      <c r="AA1674" t="str">
        <f t="shared" si="215"/>
        <v>Unique</v>
      </c>
    </row>
    <row r="1675" spans="1:27" x14ac:dyDescent="0.3">
      <c r="A1675">
        <v>1674</v>
      </c>
      <c r="B1675">
        <v>1371517.7040916199</v>
      </c>
      <c r="C1675">
        <v>0.40771825434005499</v>
      </c>
      <c r="D1675">
        <v>0.19714644514253701</v>
      </c>
      <c r="E1675">
        <v>0.62392502384543103</v>
      </c>
      <c r="F1675">
        <v>1</v>
      </c>
      <c r="G1675" t="s">
        <v>10</v>
      </c>
      <c r="H1675">
        <v>0</v>
      </c>
      <c r="I1675">
        <v>855724.21622980002</v>
      </c>
      <c r="J1675">
        <v>0.37607497615456797</v>
      </c>
      <c r="K1675" t="str">
        <f t="shared" si="208"/>
        <v>OK</v>
      </c>
      <c r="L1675" t="str">
        <f t="shared" si="209"/>
        <v>OK</v>
      </c>
      <c r="M1675" t="str">
        <f>IF(OR(B1675&lt;$AE$20,B1675&gt;$AF$20),"Outlier","OK")</f>
        <v>OK</v>
      </c>
      <c r="N1675" t="str">
        <f>IF(OR(J1675&lt;$AE$21,J1675&gt;$AF$21),"Outlier","OK")</f>
        <v>OK</v>
      </c>
      <c r="O1675" t="str">
        <f>IF(OR(C1675&lt;0,C1675&gt;1),"Outlier","OK")</f>
        <v>OK</v>
      </c>
      <c r="P1675" t="str">
        <f>IF(OR(D1675&lt;0,D1675&gt;1),"Outlier","OK")</f>
        <v>OK</v>
      </c>
      <c r="Q1675" t="str">
        <f t="shared" si="210"/>
        <v>20-40%</v>
      </c>
      <c r="R1675" t="str">
        <f>IF(B1675="","Missing","OK")</f>
        <v>OK</v>
      </c>
      <c r="S1675" t="str">
        <f>IF(E1675="","Missing","OK")</f>
        <v>OK</v>
      </c>
      <c r="T1675" t="str">
        <f t="shared" si="211"/>
        <v>OK</v>
      </c>
      <c r="U1675">
        <f>COUNTIF($A:$A,A1675)</f>
        <v>1</v>
      </c>
      <c r="V1675" t="str">
        <f t="shared" si="212"/>
        <v>OK</v>
      </c>
      <c r="W1675" t="str">
        <f>IF(I1675&gt;B1675,"ERROR","OK")</f>
        <v>OK</v>
      </c>
      <c r="X1675">
        <f>(B1675-I1675)/B1675</f>
        <v>0.37607497615456514</v>
      </c>
      <c r="Y1675" s="2">
        <f t="shared" si="213"/>
        <v>2.8310687127941492E-15</v>
      </c>
      <c r="Z1675" s="2" t="str">
        <f t="shared" si="214"/>
        <v>OK</v>
      </c>
      <c r="AA1675" t="str">
        <f t="shared" si="215"/>
        <v>Unique</v>
      </c>
    </row>
    <row r="1676" spans="1:27" x14ac:dyDescent="0.3">
      <c r="A1676">
        <v>1675</v>
      </c>
      <c r="B1676">
        <v>310263.62969135802</v>
      </c>
      <c r="C1676">
        <v>0.46906209404865401</v>
      </c>
      <c r="D1676">
        <v>4.8561814765458303E-2</v>
      </c>
      <c r="E1676">
        <v>0.16352404248879601</v>
      </c>
      <c r="F1676">
        <v>1</v>
      </c>
      <c r="G1676" t="s">
        <v>10</v>
      </c>
      <c r="H1676">
        <v>1</v>
      </c>
      <c r="I1676">
        <v>50735.562964377801</v>
      </c>
      <c r="J1676">
        <v>0.83647595751120296</v>
      </c>
      <c r="K1676" t="str">
        <f t="shared" si="208"/>
        <v>OK</v>
      </c>
      <c r="L1676" t="str">
        <f t="shared" si="209"/>
        <v>OK</v>
      </c>
      <c r="M1676" t="str">
        <f>IF(OR(B1676&lt;$AE$20,B1676&gt;$AF$20),"Outlier","OK")</f>
        <v>OK</v>
      </c>
      <c r="N1676" t="str">
        <f>IF(OR(J1676&lt;$AE$21,J1676&gt;$AF$21),"Outlier","OK")</f>
        <v>OK</v>
      </c>
      <c r="O1676" t="str">
        <f>IF(OR(C1676&lt;0,C1676&gt;1),"Outlier","OK")</f>
        <v>OK</v>
      </c>
      <c r="P1676" t="str">
        <f>IF(OR(D1676&lt;0,D1676&gt;1),"Outlier","OK")</f>
        <v>OK</v>
      </c>
      <c r="Q1676" t="str">
        <f t="shared" si="210"/>
        <v>80-100%</v>
      </c>
      <c r="R1676" t="str">
        <f>IF(B1676="","Missing","OK")</f>
        <v>OK</v>
      </c>
      <c r="S1676" t="str">
        <f>IF(E1676="","Missing","OK")</f>
        <v>OK</v>
      </c>
      <c r="T1676" t="str">
        <f t="shared" si="211"/>
        <v>OK</v>
      </c>
      <c r="U1676">
        <f>COUNTIF($A:$A,A1676)</f>
        <v>1</v>
      </c>
      <c r="V1676" t="str">
        <f t="shared" si="212"/>
        <v>OK</v>
      </c>
      <c r="W1676" t="str">
        <f>IF(I1676&gt;B1676,"ERROR","OK")</f>
        <v>OK</v>
      </c>
      <c r="X1676">
        <f>(B1676-I1676)/B1676</f>
        <v>0.83647595751120363</v>
      </c>
      <c r="Y1676" s="2">
        <f t="shared" si="213"/>
        <v>6.6613381477509392E-16</v>
      </c>
      <c r="Z1676" s="2" t="str">
        <f t="shared" si="214"/>
        <v>OK</v>
      </c>
      <c r="AA1676" t="str">
        <f t="shared" si="215"/>
        <v>Unique</v>
      </c>
    </row>
    <row r="1677" spans="1:27" x14ac:dyDescent="0.3">
      <c r="A1677">
        <v>1676</v>
      </c>
      <c r="B1677">
        <v>961440.38853524299</v>
      </c>
      <c r="C1677">
        <v>0.53549284574310796</v>
      </c>
      <c r="D1677">
        <v>0.160153577622763</v>
      </c>
      <c r="E1677">
        <v>5.8407362693326401E-2</v>
      </c>
      <c r="F1677">
        <v>1</v>
      </c>
      <c r="G1677" t="s">
        <v>12</v>
      </c>
      <c r="H1677">
        <v>0</v>
      </c>
      <c r="I1677">
        <v>56155.197481190597</v>
      </c>
      <c r="J1677">
        <v>0.94159263730667297</v>
      </c>
      <c r="K1677" t="str">
        <f t="shared" si="208"/>
        <v>OK</v>
      </c>
      <c r="L1677" t="str">
        <f t="shared" si="209"/>
        <v>OK</v>
      </c>
      <c r="M1677" t="str">
        <f>IF(OR(B1677&lt;$AE$20,B1677&gt;$AF$20),"Outlier","OK")</f>
        <v>OK</v>
      </c>
      <c r="N1677" t="str">
        <f>IF(OR(J1677&lt;$AE$21,J1677&gt;$AF$21),"Outlier","OK")</f>
        <v>OK</v>
      </c>
      <c r="O1677" t="str">
        <f>IF(OR(C1677&lt;0,C1677&gt;1),"Outlier","OK")</f>
        <v>OK</v>
      </c>
      <c r="P1677" t="str">
        <f>IF(OR(D1677&lt;0,D1677&gt;1),"Outlier","OK")</f>
        <v>OK</v>
      </c>
      <c r="Q1677" t="str">
        <f t="shared" si="210"/>
        <v>80-100%</v>
      </c>
      <c r="R1677" t="str">
        <f>IF(B1677="","Missing","OK")</f>
        <v>OK</v>
      </c>
      <c r="S1677" t="str">
        <f>IF(E1677="","Missing","OK")</f>
        <v>OK</v>
      </c>
      <c r="T1677" t="str">
        <f t="shared" si="211"/>
        <v>OK</v>
      </c>
      <c r="U1677">
        <f>COUNTIF($A:$A,A1677)</f>
        <v>1</v>
      </c>
      <c r="V1677" t="str">
        <f t="shared" si="212"/>
        <v>OK</v>
      </c>
      <c r="W1677" t="str">
        <f>IF(I1677&gt;B1677,"ERROR","OK")</f>
        <v>OK</v>
      </c>
      <c r="X1677">
        <f>(B1677-I1677)/B1677</f>
        <v>0.94159263730667364</v>
      </c>
      <c r="Y1677" s="2">
        <f t="shared" si="213"/>
        <v>6.6613381477509392E-16</v>
      </c>
      <c r="Z1677" s="2" t="str">
        <f t="shared" si="214"/>
        <v>OK</v>
      </c>
      <c r="AA1677" t="str">
        <f t="shared" si="215"/>
        <v>Unique</v>
      </c>
    </row>
    <row r="1678" spans="1:27" x14ac:dyDescent="0.3">
      <c r="A1678">
        <v>1677</v>
      </c>
      <c r="B1678">
        <v>886873.31107573595</v>
      </c>
      <c r="C1678">
        <v>0.25677120655386498</v>
      </c>
      <c r="D1678">
        <v>-0.13031687520094201</v>
      </c>
      <c r="E1678">
        <v>0.38605735584261203</v>
      </c>
      <c r="F1678">
        <v>1</v>
      </c>
      <c r="G1678" t="s">
        <v>13</v>
      </c>
      <c r="H1678">
        <v>1</v>
      </c>
      <c r="I1678">
        <v>342383.96544128098</v>
      </c>
      <c r="J1678">
        <v>0.61394264415738697</v>
      </c>
      <c r="K1678" t="str">
        <f t="shared" si="208"/>
        <v>OK</v>
      </c>
      <c r="L1678" t="str">
        <f t="shared" si="209"/>
        <v>OK</v>
      </c>
      <c r="M1678" t="str">
        <f>IF(OR(B1678&lt;$AE$20,B1678&gt;$AF$20),"Outlier","OK")</f>
        <v>OK</v>
      </c>
      <c r="N1678" t="str">
        <f>IF(OR(J1678&lt;$AE$21,J1678&gt;$AF$21),"Outlier","OK")</f>
        <v>OK</v>
      </c>
      <c r="O1678" t="str">
        <f>IF(OR(C1678&lt;0,C1678&gt;1),"Outlier","OK")</f>
        <v>OK</v>
      </c>
      <c r="P1678" t="str">
        <f>IF(OR(D1678&lt;0,D1678&gt;1),"Outlier","OK")</f>
        <v>Outlier</v>
      </c>
      <c r="Q1678" t="str">
        <f t="shared" si="210"/>
        <v>60-80%</v>
      </c>
      <c r="R1678" t="str">
        <f>IF(B1678="","Missing","OK")</f>
        <v>OK</v>
      </c>
      <c r="S1678" t="str">
        <f>IF(E1678="","Missing","OK")</f>
        <v>OK</v>
      </c>
      <c r="T1678" t="str">
        <f t="shared" si="211"/>
        <v>OK</v>
      </c>
      <c r="U1678">
        <f>COUNTIF($A:$A,A1678)</f>
        <v>1</v>
      </c>
      <c r="V1678" t="str">
        <f t="shared" si="212"/>
        <v>OK</v>
      </c>
      <c r="W1678" t="str">
        <f>IF(I1678&gt;B1678,"ERROR","OK")</f>
        <v>OK</v>
      </c>
      <c r="X1678">
        <f>(B1678-I1678)/B1678</f>
        <v>0.61394264415738797</v>
      </c>
      <c r="Y1678" s="2">
        <f t="shared" si="213"/>
        <v>9.9920072216264089E-16</v>
      </c>
      <c r="Z1678" s="2" t="str">
        <f t="shared" si="214"/>
        <v>OK</v>
      </c>
      <c r="AA1678" t="str">
        <f t="shared" si="215"/>
        <v>Unique</v>
      </c>
    </row>
    <row r="1679" spans="1:27" x14ac:dyDescent="0.3">
      <c r="A1679">
        <v>1678</v>
      </c>
      <c r="B1679">
        <v>248722.79369098699</v>
      </c>
      <c r="C1679">
        <v>0.16188422776089401</v>
      </c>
      <c r="D1679">
        <v>-6.8606596025367006E-2</v>
      </c>
      <c r="E1679">
        <v>0.17806202743562</v>
      </c>
      <c r="F1679">
        <v>1</v>
      </c>
      <c r="G1679" t="s">
        <v>13</v>
      </c>
      <c r="H1679">
        <v>1</v>
      </c>
      <c r="I1679">
        <v>44288.084914068699</v>
      </c>
      <c r="J1679">
        <v>0.82193797256437995</v>
      </c>
      <c r="K1679" t="str">
        <f t="shared" si="208"/>
        <v>OK</v>
      </c>
      <c r="L1679" t="str">
        <f t="shared" si="209"/>
        <v>OK</v>
      </c>
      <c r="M1679" t="str">
        <f>IF(OR(B1679&lt;$AE$20,B1679&gt;$AF$20),"Outlier","OK")</f>
        <v>OK</v>
      </c>
      <c r="N1679" t="str">
        <f>IF(OR(J1679&lt;$AE$21,J1679&gt;$AF$21),"Outlier","OK")</f>
        <v>OK</v>
      </c>
      <c r="O1679" t="str">
        <f>IF(OR(C1679&lt;0,C1679&gt;1),"Outlier","OK")</f>
        <v>OK</v>
      </c>
      <c r="P1679" t="str">
        <f>IF(OR(D1679&lt;0,D1679&gt;1),"Outlier","OK")</f>
        <v>Outlier</v>
      </c>
      <c r="Q1679" t="str">
        <f t="shared" si="210"/>
        <v>80-100%</v>
      </c>
      <c r="R1679" t="str">
        <f>IF(B1679="","Missing","OK")</f>
        <v>OK</v>
      </c>
      <c r="S1679" t="str">
        <f>IF(E1679="","Missing","OK")</f>
        <v>OK</v>
      </c>
      <c r="T1679" t="str">
        <f t="shared" si="211"/>
        <v>OK</v>
      </c>
      <c r="U1679">
        <f>COUNTIF($A:$A,A1679)</f>
        <v>1</v>
      </c>
      <c r="V1679" t="str">
        <f t="shared" si="212"/>
        <v>OK</v>
      </c>
      <c r="W1679" t="str">
        <f>IF(I1679&gt;B1679,"ERROR","OK")</f>
        <v>OK</v>
      </c>
      <c r="X1679">
        <f>(B1679-I1679)/B1679</f>
        <v>0.8219379725643795</v>
      </c>
      <c r="Y1679" s="2">
        <f t="shared" si="213"/>
        <v>4.4408920985006262E-16</v>
      </c>
      <c r="Z1679" s="2" t="str">
        <f t="shared" si="214"/>
        <v>OK</v>
      </c>
      <c r="AA1679" t="str">
        <f t="shared" si="215"/>
        <v>Unique</v>
      </c>
    </row>
    <row r="1680" spans="1:27" x14ac:dyDescent="0.3">
      <c r="A1680">
        <v>1679</v>
      </c>
      <c r="B1680">
        <v>72090.4531711085</v>
      </c>
      <c r="C1680">
        <v>0.17285677914904701</v>
      </c>
      <c r="D1680">
        <v>0.169460024303243</v>
      </c>
      <c r="E1680">
        <v>0.42702645132518402</v>
      </c>
      <c r="F1680">
        <v>1</v>
      </c>
      <c r="G1680" t="s">
        <v>10</v>
      </c>
      <c r="H1680">
        <v>0</v>
      </c>
      <c r="I1680">
        <v>30784.530392082899</v>
      </c>
      <c r="J1680">
        <v>0.57297354867481498</v>
      </c>
      <c r="K1680" t="str">
        <f t="shared" si="208"/>
        <v>OK</v>
      </c>
      <c r="L1680" t="str">
        <f t="shared" si="209"/>
        <v>OK</v>
      </c>
      <c r="M1680" t="str">
        <f>IF(OR(B1680&lt;$AE$20,B1680&gt;$AF$20),"Outlier","OK")</f>
        <v>OK</v>
      </c>
      <c r="N1680" t="str">
        <f>IF(OR(J1680&lt;$AE$21,J1680&gt;$AF$21),"Outlier","OK")</f>
        <v>OK</v>
      </c>
      <c r="O1680" t="str">
        <f>IF(OR(C1680&lt;0,C1680&gt;1),"Outlier","OK")</f>
        <v>OK</v>
      </c>
      <c r="P1680" t="str">
        <f>IF(OR(D1680&lt;0,D1680&gt;1),"Outlier","OK")</f>
        <v>OK</v>
      </c>
      <c r="Q1680" t="str">
        <f t="shared" si="210"/>
        <v>40-60%</v>
      </c>
      <c r="R1680" t="str">
        <f>IF(B1680="","Missing","OK")</f>
        <v>OK</v>
      </c>
      <c r="S1680" t="str">
        <f>IF(E1680="","Missing","OK")</f>
        <v>OK</v>
      </c>
      <c r="T1680" t="str">
        <f t="shared" si="211"/>
        <v>OK</v>
      </c>
      <c r="U1680">
        <f>COUNTIF($A:$A,A1680)</f>
        <v>1</v>
      </c>
      <c r="V1680" t="str">
        <f t="shared" si="212"/>
        <v>OK</v>
      </c>
      <c r="W1680" t="str">
        <f>IF(I1680&gt;B1680,"ERROR","OK")</f>
        <v>OK</v>
      </c>
      <c r="X1680">
        <f>(B1680-I1680)/B1680</f>
        <v>0.57297354867481487</v>
      </c>
      <c r="Y1680" s="2">
        <f t="shared" si="213"/>
        <v>1.1102230246251565E-16</v>
      </c>
      <c r="Z1680" s="2" t="str">
        <f t="shared" si="214"/>
        <v>OK</v>
      </c>
      <c r="AA1680" t="str">
        <f t="shared" si="215"/>
        <v>Unique</v>
      </c>
    </row>
    <row r="1681" spans="1:27" x14ac:dyDescent="0.3">
      <c r="A1681">
        <v>1680</v>
      </c>
      <c r="B1681">
        <v>81723.199899685103</v>
      </c>
      <c r="C1681">
        <v>0.595029918364821</v>
      </c>
      <c r="D1681">
        <v>0.172084198759892</v>
      </c>
      <c r="E1681">
        <v>0.123297937259958</v>
      </c>
      <c r="F1681">
        <v>1</v>
      </c>
      <c r="G1681" t="s">
        <v>12</v>
      </c>
      <c r="H1681">
        <v>0</v>
      </c>
      <c r="I1681">
        <v>10076.3019739144</v>
      </c>
      <c r="J1681">
        <v>0.87670206274004103</v>
      </c>
      <c r="K1681" t="str">
        <f t="shared" si="208"/>
        <v>OK</v>
      </c>
      <c r="L1681" t="str">
        <f t="shared" si="209"/>
        <v>OK</v>
      </c>
      <c r="M1681" t="str">
        <f>IF(OR(B1681&lt;$AE$20,B1681&gt;$AF$20),"Outlier","OK")</f>
        <v>OK</v>
      </c>
      <c r="N1681" t="str">
        <f>IF(OR(J1681&lt;$AE$21,J1681&gt;$AF$21),"Outlier","OK")</f>
        <v>OK</v>
      </c>
      <c r="O1681" t="str">
        <f>IF(OR(C1681&lt;0,C1681&gt;1),"Outlier","OK")</f>
        <v>OK</v>
      </c>
      <c r="P1681" t="str">
        <f>IF(OR(D1681&lt;0,D1681&gt;1),"Outlier","OK")</f>
        <v>OK</v>
      </c>
      <c r="Q1681" t="str">
        <f t="shared" si="210"/>
        <v>80-100%</v>
      </c>
      <c r="R1681" t="str">
        <f>IF(B1681="","Missing","OK")</f>
        <v>OK</v>
      </c>
      <c r="S1681" t="str">
        <f>IF(E1681="","Missing","OK")</f>
        <v>OK</v>
      </c>
      <c r="T1681" t="str">
        <f t="shared" si="211"/>
        <v>OK</v>
      </c>
      <c r="U1681">
        <f>COUNTIF($A:$A,A1681)</f>
        <v>1</v>
      </c>
      <c r="V1681" t="str">
        <f t="shared" si="212"/>
        <v>OK</v>
      </c>
      <c r="W1681" t="str">
        <f>IF(I1681&gt;B1681,"ERROR","OK")</f>
        <v>OK</v>
      </c>
      <c r="X1681">
        <f>(B1681-I1681)/B1681</f>
        <v>0.8767020627400417</v>
      </c>
      <c r="Y1681" s="2">
        <f t="shared" si="213"/>
        <v>6.6613381477509392E-16</v>
      </c>
      <c r="Z1681" s="2" t="str">
        <f t="shared" si="214"/>
        <v>OK</v>
      </c>
      <c r="AA1681" t="str">
        <f t="shared" si="215"/>
        <v>Unique</v>
      </c>
    </row>
    <row r="1682" spans="1:27" x14ac:dyDescent="0.3">
      <c r="A1682">
        <v>1681</v>
      </c>
      <c r="B1682">
        <v>1488059.82476859</v>
      </c>
      <c r="C1682">
        <v>0.69576186967018805</v>
      </c>
      <c r="D1682">
        <v>-2.41062729853515E-2</v>
      </c>
      <c r="E1682">
        <v>0.109941202300074</v>
      </c>
      <c r="F1682">
        <v>1</v>
      </c>
      <c r="G1682" t="s">
        <v>10</v>
      </c>
      <c r="H1682">
        <v>0</v>
      </c>
      <c r="I1682">
        <v>163599.086229498</v>
      </c>
      <c r="J1682">
        <v>0.89005879769992502</v>
      </c>
      <c r="K1682" t="str">
        <f t="shared" si="208"/>
        <v>OK</v>
      </c>
      <c r="L1682" t="str">
        <f t="shared" si="209"/>
        <v>OK</v>
      </c>
      <c r="M1682" t="str">
        <f>IF(OR(B1682&lt;$AE$20,B1682&gt;$AF$20),"Outlier","OK")</f>
        <v>OK</v>
      </c>
      <c r="N1682" t="str">
        <f>IF(OR(J1682&lt;$AE$21,J1682&gt;$AF$21),"Outlier","OK")</f>
        <v>OK</v>
      </c>
      <c r="O1682" t="str">
        <f>IF(OR(C1682&lt;0,C1682&gt;1),"Outlier","OK")</f>
        <v>OK</v>
      </c>
      <c r="P1682" t="str">
        <f>IF(OR(D1682&lt;0,D1682&gt;1),"Outlier","OK")</f>
        <v>Outlier</v>
      </c>
      <c r="Q1682" t="str">
        <f t="shared" si="210"/>
        <v>80-100%</v>
      </c>
      <c r="R1682" t="str">
        <f>IF(B1682="","Missing","OK")</f>
        <v>OK</v>
      </c>
      <c r="S1682" t="str">
        <f>IF(E1682="","Missing","OK")</f>
        <v>OK</v>
      </c>
      <c r="T1682" t="str">
        <f t="shared" si="211"/>
        <v>OK</v>
      </c>
      <c r="U1682">
        <f>COUNTIF($A:$A,A1682)</f>
        <v>1</v>
      </c>
      <c r="V1682" t="str">
        <f t="shared" si="212"/>
        <v>OK</v>
      </c>
      <c r="W1682" t="str">
        <f>IF(I1682&gt;B1682,"ERROR","OK")</f>
        <v>OK</v>
      </c>
      <c r="X1682">
        <f>(B1682-I1682)/B1682</f>
        <v>0.8900587976999248</v>
      </c>
      <c r="Y1682" s="2">
        <f t="shared" si="213"/>
        <v>2.2204460492503131E-16</v>
      </c>
      <c r="Z1682" s="2" t="str">
        <f t="shared" si="214"/>
        <v>OK</v>
      </c>
      <c r="AA1682" t="str">
        <f t="shared" si="215"/>
        <v>Unique</v>
      </c>
    </row>
    <row r="1683" spans="1:27" x14ac:dyDescent="0.3">
      <c r="A1683">
        <v>1682</v>
      </c>
      <c r="B1683">
        <v>922539.22382259695</v>
      </c>
      <c r="C1683">
        <v>0.784857266628609</v>
      </c>
      <c r="D1683">
        <v>-3.0658627416098101E-2</v>
      </c>
      <c r="E1683">
        <v>0.499926043457389</v>
      </c>
      <c r="F1683">
        <v>1</v>
      </c>
      <c r="G1683" t="s">
        <v>13</v>
      </c>
      <c r="H1683">
        <v>1</v>
      </c>
      <c r="I1683">
        <v>461201.38409988099</v>
      </c>
      <c r="J1683">
        <v>0.50007395654261</v>
      </c>
      <c r="K1683" t="str">
        <f t="shared" si="208"/>
        <v>OK</v>
      </c>
      <c r="L1683" t="str">
        <f t="shared" si="209"/>
        <v>OK</v>
      </c>
      <c r="M1683" t="str">
        <f>IF(OR(B1683&lt;$AE$20,B1683&gt;$AF$20),"Outlier","OK")</f>
        <v>OK</v>
      </c>
      <c r="N1683" t="str">
        <f>IF(OR(J1683&lt;$AE$21,J1683&gt;$AF$21),"Outlier","OK")</f>
        <v>OK</v>
      </c>
      <c r="O1683" t="str">
        <f>IF(OR(C1683&lt;0,C1683&gt;1),"Outlier","OK")</f>
        <v>OK</v>
      </c>
      <c r="P1683" t="str">
        <f>IF(OR(D1683&lt;0,D1683&gt;1),"Outlier","OK")</f>
        <v>Outlier</v>
      </c>
      <c r="Q1683" t="str">
        <f t="shared" si="210"/>
        <v>40-60%</v>
      </c>
      <c r="R1683" t="str">
        <f>IF(B1683="","Missing","OK")</f>
        <v>OK</v>
      </c>
      <c r="S1683" t="str">
        <f>IF(E1683="","Missing","OK")</f>
        <v>OK</v>
      </c>
      <c r="T1683" t="str">
        <f t="shared" si="211"/>
        <v>OK</v>
      </c>
      <c r="U1683">
        <f>COUNTIF($A:$A,A1683)</f>
        <v>1</v>
      </c>
      <c r="V1683" t="str">
        <f t="shared" si="212"/>
        <v>OK</v>
      </c>
      <c r="W1683" t="str">
        <f>IF(I1683&gt;B1683,"ERROR","OK")</f>
        <v>OK</v>
      </c>
      <c r="X1683">
        <f>(B1683-I1683)/B1683</f>
        <v>0.50007395654261155</v>
      </c>
      <c r="Y1683" s="2">
        <f t="shared" si="213"/>
        <v>1.5543122344752192E-15</v>
      </c>
      <c r="Z1683" s="2" t="str">
        <f t="shared" si="214"/>
        <v>OK</v>
      </c>
      <c r="AA1683" t="str">
        <f t="shared" si="215"/>
        <v>Unique</v>
      </c>
    </row>
    <row r="1684" spans="1:27" x14ac:dyDescent="0.3">
      <c r="A1684">
        <v>1683</v>
      </c>
      <c r="B1684">
        <v>1006620.50429696</v>
      </c>
      <c r="C1684">
        <v>0.25388156423109198</v>
      </c>
      <c r="D1684">
        <v>-0.14655182937663599</v>
      </c>
      <c r="E1684">
        <v>0.47632556437017098</v>
      </c>
      <c r="F1684">
        <v>1</v>
      </c>
      <c r="G1684" t="s">
        <v>11</v>
      </c>
      <c r="H1684">
        <v>0</v>
      </c>
      <c r="I1684">
        <v>479479.07981583802</v>
      </c>
      <c r="J1684">
        <v>0.52367443562982896</v>
      </c>
      <c r="K1684" t="str">
        <f t="shared" si="208"/>
        <v>OK</v>
      </c>
      <c r="L1684" t="str">
        <f t="shared" si="209"/>
        <v>OK</v>
      </c>
      <c r="M1684" t="str">
        <f>IF(OR(B1684&lt;$AE$20,B1684&gt;$AF$20),"Outlier","OK")</f>
        <v>OK</v>
      </c>
      <c r="N1684" t="str">
        <f>IF(OR(J1684&lt;$AE$21,J1684&gt;$AF$21),"Outlier","OK")</f>
        <v>OK</v>
      </c>
      <c r="O1684" t="str">
        <f>IF(OR(C1684&lt;0,C1684&gt;1),"Outlier","OK")</f>
        <v>OK</v>
      </c>
      <c r="P1684" t="str">
        <f>IF(OR(D1684&lt;0,D1684&gt;1),"Outlier","OK")</f>
        <v>Outlier</v>
      </c>
      <c r="Q1684" t="str">
        <f t="shared" si="210"/>
        <v>40-60%</v>
      </c>
      <c r="R1684" t="str">
        <f>IF(B1684="","Missing","OK")</f>
        <v>OK</v>
      </c>
      <c r="S1684" t="str">
        <f>IF(E1684="","Missing","OK")</f>
        <v>OK</v>
      </c>
      <c r="T1684" t="str">
        <f t="shared" si="211"/>
        <v>OK</v>
      </c>
      <c r="U1684">
        <f>COUNTIF($A:$A,A1684)</f>
        <v>1</v>
      </c>
      <c r="V1684" t="str">
        <f t="shared" si="212"/>
        <v>OK</v>
      </c>
      <c r="W1684" t="str">
        <f>IF(I1684&gt;B1684,"ERROR","OK")</f>
        <v>OK</v>
      </c>
      <c r="X1684">
        <f>(B1684-I1684)/B1684</f>
        <v>0.52367443562982663</v>
      </c>
      <c r="Y1684" s="2">
        <f t="shared" si="213"/>
        <v>2.3314683517128287E-15</v>
      </c>
      <c r="Z1684" s="2" t="str">
        <f t="shared" si="214"/>
        <v>OK</v>
      </c>
      <c r="AA1684" t="str">
        <f t="shared" si="215"/>
        <v>Unique</v>
      </c>
    </row>
    <row r="1685" spans="1:27" x14ac:dyDescent="0.3">
      <c r="A1685">
        <v>1684</v>
      </c>
      <c r="B1685">
        <v>544435.38883018796</v>
      </c>
      <c r="C1685">
        <v>0.78176260999234404</v>
      </c>
      <c r="D1685">
        <v>-0.115387636174184</v>
      </c>
      <c r="E1685">
        <v>7.2631336102952096E-2</v>
      </c>
      <c r="F1685">
        <v>1</v>
      </c>
      <c r="G1685" t="s">
        <v>10</v>
      </c>
      <c r="H1685">
        <v>1</v>
      </c>
      <c r="I1685">
        <v>39543.0697124668</v>
      </c>
      <c r="J1685">
        <v>0.92736866389704697</v>
      </c>
      <c r="K1685" t="str">
        <f t="shared" si="208"/>
        <v>OK</v>
      </c>
      <c r="L1685" t="str">
        <f t="shared" si="209"/>
        <v>OK</v>
      </c>
      <c r="M1685" t="str">
        <f>IF(OR(B1685&lt;$AE$20,B1685&gt;$AF$20),"Outlier","OK")</f>
        <v>OK</v>
      </c>
      <c r="N1685" t="str">
        <f>IF(OR(J1685&lt;$AE$21,J1685&gt;$AF$21),"Outlier","OK")</f>
        <v>OK</v>
      </c>
      <c r="O1685" t="str">
        <f>IF(OR(C1685&lt;0,C1685&gt;1),"Outlier","OK")</f>
        <v>OK</v>
      </c>
      <c r="P1685" t="str">
        <f>IF(OR(D1685&lt;0,D1685&gt;1),"Outlier","OK")</f>
        <v>Outlier</v>
      </c>
      <c r="Q1685" t="str">
        <f t="shared" si="210"/>
        <v>80-100%</v>
      </c>
      <c r="R1685" t="str">
        <f>IF(B1685="","Missing","OK")</f>
        <v>OK</v>
      </c>
      <c r="S1685" t="str">
        <f>IF(E1685="","Missing","OK")</f>
        <v>OK</v>
      </c>
      <c r="T1685" t="str">
        <f t="shared" si="211"/>
        <v>OK</v>
      </c>
      <c r="U1685">
        <f>COUNTIF($A:$A,A1685)</f>
        <v>1</v>
      </c>
      <c r="V1685" t="str">
        <f t="shared" si="212"/>
        <v>OK</v>
      </c>
      <c r="W1685" t="str">
        <f>IF(I1685&gt;B1685,"ERROR","OK")</f>
        <v>OK</v>
      </c>
      <c r="X1685">
        <f>(B1685-I1685)/B1685</f>
        <v>0.92736866389704786</v>
      </c>
      <c r="Y1685" s="2">
        <f t="shared" si="213"/>
        <v>8.8817841970012523E-16</v>
      </c>
      <c r="Z1685" s="2" t="str">
        <f t="shared" si="214"/>
        <v>OK</v>
      </c>
      <c r="AA1685" t="str">
        <f t="shared" si="215"/>
        <v>Unique</v>
      </c>
    </row>
    <row r="1686" spans="1:27" x14ac:dyDescent="0.3">
      <c r="A1686">
        <v>1685</v>
      </c>
      <c r="B1686">
        <v>1104634.7491950099</v>
      </c>
      <c r="C1686">
        <v>0.80910746535240596</v>
      </c>
      <c r="D1686">
        <v>0.190260137854839</v>
      </c>
      <c r="E1686">
        <v>0.61974764321848896</v>
      </c>
      <c r="F1686">
        <v>1</v>
      </c>
      <c r="G1686" t="s">
        <v>10</v>
      </c>
      <c r="H1686">
        <v>0</v>
      </c>
      <c r="I1686">
        <v>684594.78243085998</v>
      </c>
      <c r="J1686">
        <v>0.38025235678150998</v>
      </c>
      <c r="K1686" t="str">
        <f t="shared" si="208"/>
        <v>OK</v>
      </c>
      <c r="L1686" t="str">
        <f t="shared" si="209"/>
        <v>OK</v>
      </c>
      <c r="M1686" t="str">
        <f>IF(OR(B1686&lt;$AE$20,B1686&gt;$AF$20),"Outlier","OK")</f>
        <v>OK</v>
      </c>
      <c r="N1686" t="str">
        <f>IF(OR(J1686&lt;$AE$21,J1686&gt;$AF$21),"Outlier","OK")</f>
        <v>OK</v>
      </c>
      <c r="O1686" t="str">
        <f>IF(OR(C1686&lt;0,C1686&gt;1),"Outlier","OK")</f>
        <v>OK</v>
      </c>
      <c r="P1686" t="str">
        <f>IF(OR(D1686&lt;0,D1686&gt;1),"Outlier","OK")</f>
        <v>OK</v>
      </c>
      <c r="Q1686" t="str">
        <f t="shared" si="210"/>
        <v>20-40%</v>
      </c>
      <c r="R1686" t="str">
        <f>IF(B1686="","Missing","OK")</f>
        <v>OK</v>
      </c>
      <c r="S1686" t="str">
        <f>IF(E1686="","Missing","OK")</f>
        <v>OK</v>
      </c>
      <c r="T1686" t="str">
        <f t="shared" si="211"/>
        <v>OK</v>
      </c>
      <c r="U1686">
        <f>COUNTIF($A:$A,A1686)</f>
        <v>1</v>
      </c>
      <c r="V1686" t="str">
        <f t="shared" si="212"/>
        <v>OK</v>
      </c>
      <c r="W1686" t="str">
        <f>IF(I1686&gt;B1686,"ERROR","OK")</f>
        <v>OK</v>
      </c>
      <c r="X1686">
        <f>(B1686-I1686)/B1686</f>
        <v>0.38025235678150565</v>
      </c>
      <c r="Y1686" s="2">
        <f t="shared" si="213"/>
        <v>4.3298697960381105E-15</v>
      </c>
      <c r="Z1686" s="2" t="str">
        <f t="shared" si="214"/>
        <v>OK</v>
      </c>
      <c r="AA1686" t="str">
        <f t="shared" si="215"/>
        <v>Unique</v>
      </c>
    </row>
    <row r="1687" spans="1:27" x14ac:dyDescent="0.3">
      <c r="A1687">
        <v>1686</v>
      </c>
      <c r="B1687">
        <v>298053.76447142498</v>
      </c>
      <c r="C1687">
        <v>0.61455321071301605</v>
      </c>
      <c r="D1687">
        <v>-5.1812334961850399E-2</v>
      </c>
      <c r="E1687">
        <v>0.15352707015940201</v>
      </c>
      <c r="F1687">
        <v>1</v>
      </c>
      <c r="G1687" t="s">
        <v>11</v>
      </c>
      <c r="H1687">
        <v>1</v>
      </c>
      <c r="I1687">
        <v>45759.321209278402</v>
      </c>
      <c r="J1687">
        <v>0.84647292984059797</v>
      </c>
      <c r="K1687" t="str">
        <f t="shared" si="208"/>
        <v>OK</v>
      </c>
      <c r="L1687" t="str">
        <f t="shared" si="209"/>
        <v>OK</v>
      </c>
      <c r="M1687" t="str">
        <f>IF(OR(B1687&lt;$AE$20,B1687&gt;$AF$20),"Outlier","OK")</f>
        <v>OK</v>
      </c>
      <c r="N1687" t="str">
        <f>IF(OR(J1687&lt;$AE$21,J1687&gt;$AF$21),"Outlier","OK")</f>
        <v>OK</v>
      </c>
      <c r="O1687" t="str">
        <f>IF(OR(C1687&lt;0,C1687&gt;1),"Outlier","OK")</f>
        <v>OK</v>
      </c>
      <c r="P1687" t="str">
        <f>IF(OR(D1687&lt;0,D1687&gt;1),"Outlier","OK")</f>
        <v>Outlier</v>
      </c>
      <c r="Q1687" t="str">
        <f t="shared" si="210"/>
        <v>80-100%</v>
      </c>
      <c r="R1687" t="str">
        <f>IF(B1687="","Missing","OK")</f>
        <v>OK</v>
      </c>
      <c r="S1687" t="str">
        <f>IF(E1687="","Missing","OK")</f>
        <v>OK</v>
      </c>
      <c r="T1687" t="str">
        <f t="shared" si="211"/>
        <v>OK</v>
      </c>
      <c r="U1687">
        <f>COUNTIF($A:$A,A1687)</f>
        <v>1</v>
      </c>
      <c r="V1687" t="str">
        <f t="shared" si="212"/>
        <v>OK</v>
      </c>
      <c r="W1687" t="str">
        <f>IF(I1687&gt;B1687,"ERROR","OK")</f>
        <v>OK</v>
      </c>
      <c r="X1687">
        <f>(B1687-I1687)/B1687</f>
        <v>0.84647292984059785</v>
      </c>
      <c r="Y1687" s="2">
        <f t="shared" si="213"/>
        <v>1.1102230246251565E-16</v>
      </c>
      <c r="Z1687" s="2" t="str">
        <f t="shared" si="214"/>
        <v>OK</v>
      </c>
      <c r="AA1687" t="str">
        <f t="shared" si="215"/>
        <v>Unique</v>
      </c>
    </row>
    <row r="1688" spans="1:27" x14ac:dyDescent="0.3">
      <c r="A1688">
        <v>1687</v>
      </c>
      <c r="B1688">
        <v>368921.96473095601</v>
      </c>
      <c r="C1688">
        <v>0.87899701691022303</v>
      </c>
      <c r="D1688">
        <v>1.7958423015555398E-2</v>
      </c>
      <c r="E1688">
        <v>0.16817071484732801</v>
      </c>
      <c r="F1688">
        <v>1</v>
      </c>
      <c r="G1688" t="s">
        <v>10</v>
      </c>
      <c r="H1688">
        <v>0</v>
      </c>
      <c r="I1688">
        <v>62041.870531685898</v>
      </c>
      <c r="J1688">
        <v>0.83182928515267096</v>
      </c>
      <c r="K1688" t="str">
        <f t="shared" si="208"/>
        <v>OK</v>
      </c>
      <c r="L1688" t="str">
        <f t="shared" si="209"/>
        <v>OK</v>
      </c>
      <c r="M1688" t="str">
        <f>IF(OR(B1688&lt;$AE$20,B1688&gt;$AF$20),"Outlier","OK")</f>
        <v>OK</v>
      </c>
      <c r="N1688" t="str">
        <f>IF(OR(J1688&lt;$AE$21,J1688&gt;$AF$21),"Outlier","OK")</f>
        <v>OK</v>
      </c>
      <c r="O1688" t="str">
        <f>IF(OR(C1688&lt;0,C1688&gt;1),"Outlier","OK")</f>
        <v>OK</v>
      </c>
      <c r="P1688" t="str">
        <f>IF(OR(D1688&lt;0,D1688&gt;1),"Outlier","OK")</f>
        <v>OK</v>
      </c>
      <c r="Q1688" t="str">
        <f t="shared" si="210"/>
        <v>80-100%</v>
      </c>
      <c r="R1688" t="str">
        <f>IF(B1688="","Missing","OK")</f>
        <v>OK</v>
      </c>
      <c r="S1688" t="str">
        <f>IF(E1688="","Missing","OK")</f>
        <v>OK</v>
      </c>
      <c r="T1688" t="str">
        <f t="shared" si="211"/>
        <v>OK</v>
      </c>
      <c r="U1688">
        <f>COUNTIF($A:$A,A1688)</f>
        <v>1</v>
      </c>
      <c r="V1688" t="str">
        <f t="shared" si="212"/>
        <v>OK</v>
      </c>
      <c r="W1688" t="str">
        <f>IF(I1688&gt;B1688,"ERROR","OK")</f>
        <v>OK</v>
      </c>
      <c r="X1688">
        <f>(B1688-I1688)/B1688</f>
        <v>0.83182928515267118</v>
      </c>
      <c r="Y1688" s="2">
        <f t="shared" si="213"/>
        <v>2.2204460492503131E-16</v>
      </c>
      <c r="Z1688" s="2" t="str">
        <f t="shared" si="214"/>
        <v>OK</v>
      </c>
      <c r="AA1688" t="str">
        <f t="shared" si="215"/>
        <v>Unique</v>
      </c>
    </row>
    <row r="1689" spans="1:27" x14ac:dyDescent="0.3">
      <c r="A1689">
        <v>1688</v>
      </c>
      <c r="B1689">
        <v>1644405.86461351</v>
      </c>
      <c r="C1689">
        <v>0.396857739268209</v>
      </c>
      <c r="D1689">
        <v>-8.3918195451557806E-2</v>
      </c>
      <c r="E1689">
        <v>0.17528235054040001</v>
      </c>
      <c r="F1689">
        <v>1</v>
      </c>
      <c r="G1689" t="s">
        <v>12</v>
      </c>
      <c r="H1689">
        <v>0</v>
      </c>
      <c r="I1689">
        <v>288235.32519187499</v>
      </c>
      <c r="J1689">
        <v>0.82471764945959902</v>
      </c>
      <c r="K1689" t="str">
        <f t="shared" si="208"/>
        <v>OK</v>
      </c>
      <c r="L1689" t="str">
        <f t="shared" si="209"/>
        <v>OK</v>
      </c>
      <c r="M1689" t="str">
        <f>IF(OR(B1689&lt;$AE$20,B1689&gt;$AF$20),"Outlier","OK")</f>
        <v>OK</v>
      </c>
      <c r="N1689" t="str">
        <f>IF(OR(J1689&lt;$AE$21,J1689&gt;$AF$21),"Outlier","OK")</f>
        <v>OK</v>
      </c>
      <c r="O1689" t="str">
        <f>IF(OR(C1689&lt;0,C1689&gt;1),"Outlier","OK")</f>
        <v>OK</v>
      </c>
      <c r="P1689" t="str">
        <f>IF(OR(D1689&lt;0,D1689&gt;1),"Outlier","OK")</f>
        <v>Outlier</v>
      </c>
      <c r="Q1689" t="str">
        <f t="shared" si="210"/>
        <v>80-100%</v>
      </c>
      <c r="R1689" t="str">
        <f>IF(B1689="","Missing","OK")</f>
        <v>OK</v>
      </c>
      <c r="S1689" t="str">
        <f>IF(E1689="","Missing","OK")</f>
        <v>OK</v>
      </c>
      <c r="T1689" t="str">
        <f t="shared" si="211"/>
        <v>OK</v>
      </c>
      <c r="U1689">
        <f>COUNTIF($A:$A,A1689)</f>
        <v>1</v>
      </c>
      <c r="V1689" t="str">
        <f t="shared" si="212"/>
        <v>OK</v>
      </c>
      <c r="W1689" t="str">
        <f>IF(I1689&gt;B1689,"ERROR","OK")</f>
        <v>OK</v>
      </c>
      <c r="X1689">
        <f>(B1689-I1689)/B1689</f>
        <v>0.82471764945959991</v>
      </c>
      <c r="Y1689" s="2">
        <f t="shared" si="213"/>
        <v>8.8817841970012523E-16</v>
      </c>
      <c r="Z1689" s="2" t="str">
        <f t="shared" si="214"/>
        <v>OK</v>
      </c>
      <c r="AA1689" t="str">
        <f t="shared" si="215"/>
        <v>Unique</v>
      </c>
    </row>
    <row r="1690" spans="1:27" x14ac:dyDescent="0.3">
      <c r="A1690">
        <v>1689</v>
      </c>
      <c r="B1690">
        <v>103487.238508607</v>
      </c>
      <c r="C1690">
        <v>0.17390741450080399</v>
      </c>
      <c r="D1690">
        <v>0.161572460102405</v>
      </c>
      <c r="E1690">
        <v>0.23964218452817601</v>
      </c>
      <c r="F1690">
        <v>1</v>
      </c>
      <c r="G1690" t="s">
        <v>10</v>
      </c>
      <c r="H1690">
        <v>0</v>
      </c>
      <c r="I1690">
        <v>24799.907906991</v>
      </c>
      <c r="J1690">
        <v>0.76035781547182302</v>
      </c>
      <c r="K1690" t="str">
        <f t="shared" si="208"/>
        <v>OK</v>
      </c>
      <c r="L1690" t="str">
        <f t="shared" si="209"/>
        <v>OK</v>
      </c>
      <c r="M1690" t="str">
        <f>IF(OR(B1690&lt;$AE$20,B1690&gt;$AF$20),"Outlier","OK")</f>
        <v>OK</v>
      </c>
      <c r="N1690" t="str">
        <f>IF(OR(J1690&lt;$AE$21,J1690&gt;$AF$21),"Outlier","OK")</f>
        <v>OK</v>
      </c>
      <c r="O1690" t="str">
        <f>IF(OR(C1690&lt;0,C1690&gt;1),"Outlier","OK")</f>
        <v>OK</v>
      </c>
      <c r="P1690" t="str">
        <f>IF(OR(D1690&lt;0,D1690&gt;1),"Outlier","OK")</f>
        <v>OK</v>
      </c>
      <c r="Q1690" t="str">
        <f t="shared" si="210"/>
        <v>60-80%</v>
      </c>
      <c r="R1690" t="str">
        <f>IF(B1690="","Missing","OK")</f>
        <v>OK</v>
      </c>
      <c r="S1690" t="str">
        <f>IF(E1690="","Missing","OK")</f>
        <v>OK</v>
      </c>
      <c r="T1690" t="str">
        <f t="shared" si="211"/>
        <v>OK</v>
      </c>
      <c r="U1690">
        <f>COUNTIF($A:$A,A1690)</f>
        <v>1</v>
      </c>
      <c r="V1690" t="str">
        <f t="shared" si="212"/>
        <v>OK</v>
      </c>
      <c r="W1690" t="str">
        <f>IF(I1690&gt;B1690,"ERROR","OK")</f>
        <v>OK</v>
      </c>
      <c r="X1690">
        <f>(B1690-I1690)/B1690</f>
        <v>0.76035781547182368</v>
      </c>
      <c r="Y1690" s="2">
        <f t="shared" si="213"/>
        <v>6.6613381477509392E-16</v>
      </c>
      <c r="Z1690" s="2" t="str">
        <f t="shared" si="214"/>
        <v>OK</v>
      </c>
      <c r="AA1690" t="str">
        <f t="shared" si="215"/>
        <v>Unique</v>
      </c>
    </row>
    <row r="1691" spans="1:27" x14ac:dyDescent="0.3">
      <c r="A1691">
        <v>1690</v>
      </c>
      <c r="B1691">
        <v>1836226.3490436</v>
      </c>
      <c r="C1691">
        <v>0.30873307758276403</v>
      </c>
      <c r="D1691">
        <v>-0.17369140297549601</v>
      </c>
      <c r="E1691">
        <v>0.17074586316336299</v>
      </c>
      <c r="F1691">
        <v>1</v>
      </c>
      <c r="G1691" t="s">
        <v>12</v>
      </c>
      <c r="H1691">
        <v>0</v>
      </c>
      <c r="I1691">
        <v>313528.05293076101</v>
      </c>
      <c r="J1691">
        <v>0.82925413683663596</v>
      </c>
      <c r="K1691" t="str">
        <f t="shared" si="208"/>
        <v>OK</v>
      </c>
      <c r="L1691" t="str">
        <f t="shared" si="209"/>
        <v>OK</v>
      </c>
      <c r="M1691" t="str">
        <f>IF(OR(B1691&lt;$AE$20,B1691&gt;$AF$20),"Outlier","OK")</f>
        <v>OK</v>
      </c>
      <c r="N1691" t="str">
        <f>IF(OR(J1691&lt;$AE$21,J1691&gt;$AF$21),"Outlier","OK")</f>
        <v>OK</v>
      </c>
      <c r="O1691" t="str">
        <f>IF(OR(C1691&lt;0,C1691&gt;1),"Outlier","OK")</f>
        <v>OK</v>
      </c>
      <c r="P1691" t="str">
        <f>IF(OR(D1691&lt;0,D1691&gt;1),"Outlier","OK")</f>
        <v>Outlier</v>
      </c>
      <c r="Q1691" t="str">
        <f t="shared" si="210"/>
        <v>80-100%</v>
      </c>
      <c r="R1691" t="str">
        <f>IF(B1691="","Missing","OK")</f>
        <v>OK</v>
      </c>
      <c r="S1691" t="str">
        <f>IF(E1691="","Missing","OK")</f>
        <v>OK</v>
      </c>
      <c r="T1691" t="str">
        <f t="shared" si="211"/>
        <v>OK</v>
      </c>
      <c r="U1691">
        <f>COUNTIF($A:$A,A1691)</f>
        <v>1</v>
      </c>
      <c r="V1691" t="str">
        <f t="shared" si="212"/>
        <v>OK</v>
      </c>
      <c r="W1691" t="str">
        <f>IF(I1691&gt;B1691,"ERROR","OK")</f>
        <v>OK</v>
      </c>
      <c r="X1691">
        <f>(B1691-I1691)/B1691</f>
        <v>0.82925413683663662</v>
      </c>
      <c r="Y1691" s="2">
        <f t="shared" si="213"/>
        <v>6.6613381477509392E-16</v>
      </c>
      <c r="Z1691" s="2" t="str">
        <f t="shared" si="214"/>
        <v>OK</v>
      </c>
      <c r="AA1691" t="str">
        <f t="shared" si="215"/>
        <v>Unique</v>
      </c>
    </row>
    <row r="1692" spans="1:27" x14ac:dyDescent="0.3">
      <c r="A1692">
        <v>1691</v>
      </c>
      <c r="B1692">
        <v>709466.45207813301</v>
      </c>
      <c r="C1692">
        <v>0.17632521055734099</v>
      </c>
      <c r="D1692">
        <v>-4.3601075079763001E-3</v>
      </c>
      <c r="E1692">
        <v>0.37060115916311398</v>
      </c>
      <c r="F1692">
        <v>1</v>
      </c>
      <c r="G1692" t="s">
        <v>11</v>
      </c>
      <c r="H1692">
        <v>0</v>
      </c>
      <c r="I1692">
        <v>262929.089527498</v>
      </c>
      <c r="J1692">
        <v>0.62939884083688502</v>
      </c>
      <c r="K1692" t="str">
        <f t="shared" si="208"/>
        <v>OK</v>
      </c>
      <c r="L1692" t="str">
        <f t="shared" si="209"/>
        <v>OK</v>
      </c>
      <c r="M1692" t="str">
        <f>IF(OR(B1692&lt;$AE$20,B1692&gt;$AF$20),"Outlier","OK")</f>
        <v>OK</v>
      </c>
      <c r="N1692" t="str">
        <f>IF(OR(J1692&lt;$AE$21,J1692&gt;$AF$21),"Outlier","OK")</f>
        <v>OK</v>
      </c>
      <c r="O1692" t="str">
        <f>IF(OR(C1692&lt;0,C1692&gt;1),"Outlier","OK")</f>
        <v>OK</v>
      </c>
      <c r="P1692" t="str">
        <f>IF(OR(D1692&lt;0,D1692&gt;1),"Outlier","OK")</f>
        <v>Outlier</v>
      </c>
      <c r="Q1692" t="str">
        <f t="shared" si="210"/>
        <v>60-80%</v>
      </c>
      <c r="R1692" t="str">
        <f>IF(B1692="","Missing","OK")</f>
        <v>OK</v>
      </c>
      <c r="S1692" t="str">
        <f>IF(E1692="","Missing","OK")</f>
        <v>OK</v>
      </c>
      <c r="T1692" t="str">
        <f t="shared" si="211"/>
        <v>OK</v>
      </c>
      <c r="U1692">
        <f>COUNTIF($A:$A,A1692)</f>
        <v>1</v>
      </c>
      <c r="V1692" t="str">
        <f t="shared" si="212"/>
        <v>OK</v>
      </c>
      <c r="W1692" t="str">
        <f>IF(I1692&gt;B1692,"ERROR","OK")</f>
        <v>OK</v>
      </c>
      <c r="X1692">
        <f>(B1692-I1692)/B1692</f>
        <v>0.62939884083688591</v>
      </c>
      <c r="Y1692" s="2">
        <f t="shared" si="213"/>
        <v>8.8817841970012523E-16</v>
      </c>
      <c r="Z1692" s="2" t="str">
        <f t="shared" si="214"/>
        <v>OK</v>
      </c>
      <c r="AA1692" t="str">
        <f t="shared" si="215"/>
        <v>Unique</v>
      </c>
    </row>
    <row r="1693" spans="1:27" x14ac:dyDescent="0.3">
      <c r="A1693">
        <v>1692</v>
      </c>
      <c r="B1693">
        <v>1867708.8598297699</v>
      </c>
      <c r="C1693">
        <v>0.48659240205787302</v>
      </c>
      <c r="D1693">
        <v>-0.10921538503438601</v>
      </c>
      <c r="E1693">
        <v>0.427872904141951</v>
      </c>
      <c r="F1693">
        <v>1</v>
      </c>
      <c r="G1693" t="s">
        <v>12</v>
      </c>
      <c r="H1693">
        <v>0</v>
      </c>
      <c r="I1693">
        <v>799142.01394702005</v>
      </c>
      <c r="J1693">
        <v>0.572127095858048</v>
      </c>
      <c r="K1693" t="str">
        <f t="shared" si="208"/>
        <v>OK</v>
      </c>
      <c r="L1693" t="str">
        <f t="shared" si="209"/>
        <v>OK</v>
      </c>
      <c r="M1693" t="str">
        <f>IF(OR(B1693&lt;$AE$20,B1693&gt;$AF$20),"Outlier","OK")</f>
        <v>OK</v>
      </c>
      <c r="N1693" t="str">
        <f>IF(OR(J1693&lt;$AE$21,J1693&gt;$AF$21),"Outlier","OK")</f>
        <v>OK</v>
      </c>
      <c r="O1693" t="str">
        <f>IF(OR(C1693&lt;0,C1693&gt;1),"Outlier","OK")</f>
        <v>OK</v>
      </c>
      <c r="P1693" t="str">
        <f>IF(OR(D1693&lt;0,D1693&gt;1),"Outlier","OK")</f>
        <v>Outlier</v>
      </c>
      <c r="Q1693" t="str">
        <f t="shared" si="210"/>
        <v>40-60%</v>
      </c>
      <c r="R1693" t="str">
        <f>IF(B1693="","Missing","OK")</f>
        <v>OK</v>
      </c>
      <c r="S1693" t="str">
        <f>IF(E1693="","Missing","OK")</f>
        <v>OK</v>
      </c>
      <c r="T1693" t="str">
        <f t="shared" si="211"/>
        <v>OK</v>
      </c>
      <c r="U1693">
        <f>COUNTIF($A:$A,A1693)</f>
        <v>1</v>
      </c>
      <c r="V1693" t="str">
        <f t="shared" si="212"/>
        <v>OK</v>
      </c>
      <c r="W1693" t="str">
        <f>IF(I1693&gt;B1693,"ERROR","OK")</f>
        <v>OK</v>
      </c>
      <c r="X1693">
        <f>(B1693-I1693)/B1693</f>
        <v>0.57212709585804666</v>
      </c>
      <c r="Y1693" s="2">
        <f t="shared" si="213"/>
        <v>1.3322676295501878E-15</v>
      </c>
      <c r="Z1693" s="2" t="str">
        <f t="shared" si="214"/>
        <v>OK</v>
      </c>
      <c r="AA1693" t="str">
        <f t="shared" si="215"/>
        <v>Unique</v>
      </c>
    </row>
    <row r="1694" spans="1:27" x14ac:dyDescent="0.3">
      <c r="A1694">
        <v>1693</v>
      </c>
      <c r="B1694">
        <v>174212.655416589</v>
      </c>
      <c r="C1694">
        <v>0.27230292513409898</v>
      </c>
      <c r="D1694">
        <v>-0.115460210062341</v>
      </c>
      <c r="E1694">
        <v>0.69392347503151597</v>
      </c>
      <c r="F1694">
        <v>1</v>
      </c>
      <c r="G1694" t="s">
        <v>13</v>
      </c>
      <c r="H1694">
        <v>1</v>
      </c>
      <c r="I1694">
        <v>120890.251241148</v>
      </c>
      <c r="J1694">
        <v>0.30607652496848298</v>
      </c>
      <c r="K1694" t="str">
        <f t="shared" si="208"/>
        <v>OK</v>
      </c>
      <c r="L1694" t="str">
        <f t="shared" si="209"/>
        <v>OK</v>
      </c>
      <c r="M1694" t="str">
        <f>IF(OR(B1694&lt;$AE$20,B1694&gt;$AF$20),"Outlier","OK")</f>
        <v>OK</v>
      </c>
      <c r="N1694" t="str">
        <f>IF(OR(J1694&lt;$AE$21,J1694&gt;$AF$21),"Outlier","OK")</f>
        <v>OK</v>
      </c>
      <c r="O1694" t="str">
        <f>IF(OR(C1694&lt;0,C1694&gt;1),"Outlier","OK")</f>
        <v>OK</v>
      </c>
      <c r="P1694" t="str">
        <f>IF(OR(D1694&lt;0,D1694&gt;1),"Outlier","OK")</f>
        <v>Outlier</v>
      </c>
      <c r="Q1694" t="str">
        <f t="shared" si="210"/>
        <v>20-40%</v>
      </c>
      <c r="R1694" t="str">
        <f>IF(B1694="","Missing","OK")</f>
        <v>OK</v>
      </c>
      <c r="S1694" t="str">
        <f>IF(E1694="","Missing","OK")</f>
        <v>OK</v>
      </c>
      <c r="T1694" t="str">
        <f t="shared" si="211"/>
        <v>OK</v>
      </c>
      <c r="U1694">
        <f>COUNTIF($A:$A,A1694)</f>
        <v>1</v>
      </c>
      <c r="V1694" t="str">
        <f t="shared" si="212"/>
        <v>OK</v>
      </c>
      <c r="W1694" t="str">
        <f>IF(I1694&gt;B1694,"ERROR","OK")</f>
        <v>OK</v>
      </c>
      <c r="X1694">
        <f>(B1694-I1694)/B1694</f>
        <v>0.30607652496848109</v>
      </c>
      <c r="Y1694" s="2">
        <f t="shared" si="213"/>
        <v>1.8873791418627661E-15</v>
      </c>
      <c r="Z1694" s="2" t="str">
        <f t="shared" si="214"/>
        <v>OK</v>
      </c>
      <c r="AA1694" t="str">
        <f t="shared" si="215"/>
        <v>Unique</v>
      </c>
    </row>
    <row r="1695" spans="1:27" x14ac:dyDescent="0.3">
      <c r="A1695">
        <v>1694</v>
      </c>
      <c r="B1695">
        <v>659765.17138926103</v>
      </c>
      <c r="C1695">
        <v>0.173047972684198</v>
      </c>
      <c r="D1695">
        <v>0.112559065649039</v>
      </c>
      <c r="E1695">
        <v>0.75611052255305899</v>
      </c>
      <c r="F1695">
        <v>1</v>
      </c>
      <c r="G1695" t="s">
        <v>12</v>
      </c>
      <c r="H1695">
        <v>0</v>
      </c>
      <c r="I1695">
        <v>498855.38850144303</v>
      </c>
      <c r="J1695">
        <v>0.24388947744694001</v>
      </c>
      <c r="K1695" t="str">
        <f t="shared" si="208"/>
        <v>OK</v>
      </c>
      <c r="L1695" t="str">
        <f t="shared" si="209"/>
        <v>OK</v>
      </c>
      <c r="M1695" t="str">
        <f>IF(OR(B1695&lt;$AE$20,B1695&gt;$AF$20),"Outlier","OK")</f>
        <v>OK</v>
      </c>
      <c r="N1695" t="str">
        <f>IF(OR(J1695&lt;$AE$21,J1695&gt;$AF$21),"Outlier","OK")</f>
        <v>Outlier</v>
      </c>
      <c r="O1695" t="str">
        <f>IF(OR(C1695&lt;0,C1695&gt;1),"Outlier","OK")</f>
        <v>OK</v>
      </c>
      <c r="P1695" t="str">
        <f>IF(OR(D1695&lt;0,D1695&gt;1),"Outlier","OK")</f>
        <v>OK</v>
      </c>
      <c r="Q1695" t="str">
        <f t="shared" si="210"/>
        <v>20-40%</v>
      </c>
      <c r="R1695" t="str">
        <f>IF(B1695="","Missing","OK")</f>
        <v>OK</v>
      </c>
      <c r="S1695" t="str">
        <f>IF(E1695="","Missing","OK")</f>
        <v>OK</v>
      </c>
      <c r="T1695" t="str">
        <f t="shared" si="211"/>
        <v>OK</v>
      </c>
      <c r="U1695">
        <f>COUNTIF($A:$A,A1695)</f>
        <v>1</v>
      </c>
      <c r="V1695" t="str">
        <f t="shared" si="212"/>
        <v>OK</v>
      </c>
      <c r="W1695" t="str">
        <f>IF(I1695&gt;B1695,"ERROR","OK")</f>
        <v>OK</v>
      </c>
      <c r="X1695">
        <f>(B1695-I1695)/B1695</f>
        <v>0.24388947744694048</v>
      </c>
      <c r="Y1695" s="2">
        <f t="shared" si="213"/>
        <v>4.7184478546569153E-16</v>
      </c>
      <c r="Z1695" s="2" t="str">
        <f t="shared" si="214"/>
        <v>OK</v>
      </c>
      <c r="AA1695" t="str">
        <f t="shared" si="215"/>
        <v>Unique</v>
      </c>
    </row>
    <row r="1696" spans="1:27" x14ac:dyDescent="0.3">
      <c r="A1696">
        <v>1695</v>
      </c>
      <c r="B1696">
        <v>1206679.4397940901</v>
      </c>
      <c r="C1696">
        <v>0.13943538877450301</v>
      </c>
      <c r="D1696">
        <v>-0.17608155362644501</v>
      </c>
      <c r="E1696">
        <v>0.46912020233455898</v>
      </c>
      <c r="F1696">
        <v>1</v>
      </c>
      <c r="G1696" t="s">
        <v>11</v>
      </c>
      <c r="H1696">
        <v>0</v>
      </c>
      <c r="I1696">
        <v>566077.70294915896</v>
      </c>
      <c r="J1696">
        <v>0.53087979766544002</v>
      </c>
      <c r="K1696" t="str">
        <f t="shared" si="208"/>
        <v>OK</v>
      </c>
      <c r="L1696" t="str">
        <f t="shared" si="209"/>
        <v>OK</v>
      </c>
      <c r="M1696" t="str">
        <f>IF(OR(B1696&lt;$AE$20,B1696&gt;$AF$20),"Outlier","OK")</f>
        <v>OK</v>
      </c>
      <c r="N1696" t="str">
        <f>IF(OR(J1696&lt;$AE$21,J1696&gt;$AF$21),"Outlier","OK")</f>
        <v>OK</v>
      </c>
      <c r="O1696" t="str">
        <f>IF(OR(C1696&lt;0,C1696&gt;1),"Outlier","OK")</f>
        <v>OK</v>
      </c>
      <c r="P1696" t="str">
        <f>IF(OR(D1696&lt;0,D1696&gt;1),"Outlier","OK")</f>
        <v>Outlier</v>
      </c>
      <c r="Q1696" t="str">
        <f t="shared" si="210"/>
        <v>40-60%</v>
      </c>
      <c r="R1696" t="str">
        <f>IF(B1696="","Missing","OK")</f>
        <v>OK</v>
      </c>
      <c r="S1696" t="str">
        <f>IF(E1696="","Missing","OK")</f>
        <v>OK</v>
      </c>
      <c r="T1696" t="str">
        <f t="shared" si="211"/>
        <v>OK</v>
      </c>
      <c r="U1696">
        <f>COUNTIF($A:$A,A1696)</f>
        <v>1</v>
      </c>
      <c r="V1696" t="str">
        <f t="shared" si="212"/>
        <v>OK</v>
      </c>
      <c r="W1696" t="str">
        <f>IF(I1696&gt;B1696,"ERROR","OK")</f>
        <v>OK</v>
      </c>
      <c r="X1696">
        <f>(B1696-I1696)/B1696</f>
        <v>0.53087979766543847</v>
      </c>
      <c r="Y1696" s="2">
        <f t="shared" si="213"/>
        <v>1.5543122344752192E-15</v>
      </c>
      <c r="Z1696" s="2" t="str">
        <f t="shared" si="214"/>
        <v>OK</v>
      </c>
      <c r="AA1696" t="str">
        <f t="shared" si="215"/>
        <v>Unique</v>
      </c>
    </row>
    <row r="1697" spans="1:27" x14ac:dyDescent="0.3">
      <c r="A1697">
        <v>1696</v>
      </c>
      <c r="B1697">
        <v>1878719.44105895</v>
      </c>
      <c r="C1697">
        <v>0.33006967454587999</v>
      </c>
      <c r="D1697">
        <v>-0.101204675918755</v>
      </c>
      <c r="E1697">
        <v>0.18242629211285899</v>
      </c>
      <c r="F1697">
        <v>1</v>
      </c>
      <c r="G1697" t="s">
        <v>11</v>
      </c>
      <c r="H1697">
        <v>0</v>
      </c>
      <c r="I1697">
        <v>342727.821552729</v>
      </c>
      <c r="J1697">
        <v>0.81757370788714001</v>
      </c>
      <c r="K1697" t="str">
        <f t="shared" si="208"/>
        <v>OK</v>
      </c>
      <c r="L1697" t="str">
        <f t="shared" si="209"/>
        <v>OK</v>
      </c>
      <c r="M1697" t="str">
        <f>IF(OR(B1697&lt;$AE$20,B1697&gt;$AF$20),"Outlier","OK")</f>
        <v>OK</v>
      </c>
      <c r="N1697" t="str">
        <f>IF(OR(J1697&lt;$AE$21,J1697&gt;$AF$21),"Outlier","OK")</f>
        <v>OK</v>
      </c>
      <c r="O1697" t="str">
        <f>IF(OR(C1697&lt;0,C1697&gt;1),"Outlier","OK")</f>
        <v>OK</v>
      </c>
      <c r="P1697" t="str">
        <f>IF(OR(D1697&lt;0,D1697&gt;1),"Outlier","OK")</f>
        <v>Outlier</v>
      </c>
      <c r="Q1697" t="str">
        <f t="shared" si="210"/>
        <v>80-100%</v>
      </c>
      <c r="R1697" t="str">
        <f>IF(B1697="","Missing","OK")</f>
        <v>OK</v>
      </c>
      <c r="S1697" t="str">
        <f>IF(E1697="","Missing","OK")</f>
        <v>OK</v>
      </c>
      <c r="T1697" t="str">
        <f t="shared" si="211"/>
        <v>OK</v>
      </c>
      <c r="U1697">
        <f>COUNTIF($A:$A,A1697)</f>
        <v>1</v>
      </c>
      <c r="V1697" t="str">
        <f t="shared" si="212"/>
        <v>OK</v>
      </c>
      <c r="W1697" t="str">
        <f>IF(I1697&gt;B1697,"ERROR","OK")</f>
        <v>OK</v>
      </c>
      <c r="X1697">
        <f>(B1697-I1697)/B1697</f>
        <v>0.81757370788714001</v>
      </c>
      <c r="Y1697" s="2">
        <f t="shared" si="213"/>
        <v>0</v>
      </c>
      <c r="Z1697" s="2" t="str">
        <f t="shared" si="214"/>
        <v>OK</v>
      </c>
      <c r="AA1697" t="str">
        <f t="shared" si="215"/>
        <v>Unique</v>
      </c>
    </row>
    <row r="1698" spans="1:27" x14ac:dyDescent="0.3">
      <c r="A1698">
        <v>1697</v>
      </c>
      <c r="B1698">
        <v>225506.89064514299</v>
      </c>
      <c r="C1698">
        <v>0.29595191127142301</v>
      </c>
      <c r="D1698">
        <v>-3.5796277954765398E-3</v>
      </c>
      <c r="E1698">
        <v>0.27498541947737598</v>
      </c>
      <c r="F1698">
        <v>1</v>
      </c>
      <c r="G1698" t="s">
        <v>10</v>
      </c>
      <c r="H1698">
        <v>0</v>
      </c>
      <c r="I1698">
        <v>62011.1069190938</v>
      </c>
      <c r="J1698">
        <v>0.72501458052262302</v>
      </c>
      <c r="K1698" t="str">
        <f t="shared" si="208"/>
        <v>OK</v>
      </c>
      <c r="L1698" t="str">
        <f t="shared" si="209"/>
        <v>OK</v>
      </c>
      <c r="M1698" t="str">
        <f>IF(OR(B1698&lt;$AE$20,B1698&gt;$AF$20),"Outlier","OK")</f>
        <v>OK</v>
      </c>
      <c r="N1698" t="str">
        <f>IF(OR(J1698&lt;$AE$21,J1698&gt;$AF$21),"Outlier","OK")</f>
        <v>OK</v>
      </c>
      <c r="O1698" t="str">
        <f>IF(OR(C1698&lt;0,C1698&gt;1),"Outlier","OK")</f>
        <v>OK</v>
      </c>
      <c r="P1698" t="str">
        <f>IF(OR(D1698&lt;0,D1698&gt;1),"Outlier","OK")</f>
        <v>Outlier</v>
      </c>
      <c r="Q1698" t="str">
        <f t="shared" si="210"/>
        <v>60-80%</v>
      </c>
      <c r="R1698" t="str">
        <f>IF(B1698="","Missing","OK")</f>
        <v>OK</v>
      </c>
      <c r="S1698" t="str">
        <f>IF(E1698="","Missing","OK")</f>
        <v>OK</v>
      </c>
      <c r="T1698" t="str">
        <f t="shared" si="211"/>
        <v>OK</v>
      </c>
      <c r="U1698">
        <f>COUNTIF($A:$A,A1698)</f>
        <v>1</v>
      </c>
      <c r="V1698" t="str">
        <f t="shared" si="212"/>
        <v>OK</v>
      </c>
      <c r="W1698" t="str">
        <f>IF(I1698&gt;B1698,"ERROR","OK")</f>
        <v>OK</v>
      </c>
      <c r="X1698">
        <f>(B1698-I1698)/B1698</f>
        <v>0.72501458052262213</v>
      </c>
      <c r="Y1698" s="2">
        <f t="shared" si="213"/>
        <v>8.8817841970012523E-16</v>
      </c>
      <c r="Z1698" s="2" t="str">
        <f t="shared" si="214"/>
        <v>OK</v>
      </c>
      <c r="AA1698" t="str">
        <f t="shared" si="215"/>
        <v>Unique</v>
      </c>
    </row>
    <row r="1699" spans="1:27" x14ac:dyDescent="0.3">
      <c r="A1699">
        <v>1698</v>
      </c>
      <c r="B1699">
        <v>1627926.4381608099</v>
      </c>
      <c r="C1699">
        <v>0.70455744096926298</v>
      </c>
      <c r="D1699">
        <v>-3.3085822651955803E-2</v>
      </c>
      <c r="E1699">
        <v>0.16749402338337799</v>
      </c>
      <c r="F1699">
        <v>1</v>
      </c>
      <c r="G1699" t="s">
        <v>11</v>
      </c>
      <c r="H1699">
        <v>1</v>
      </c>
      <c r="I1699">
        <v>272667.94889972702</v>
      </c>
      <c r="J1699">
        <v>0.83250597661662196</v>
      </c>
      <c r="K1699" t="str">
        <f t="shared" si="208"/>
        <v>OK</v>
      </c>
      <c r="L1699" t="str">
        <f t="shared" si="209"/>
        <v>OK</v>
      </c>
      <c r="M1699" t="str">
        <f>IF(OR(B1699&lt;$AE$20,B1699&gt;$AF$20),"Outlier","OK")</f>
        <v>OK</v>
      </c>
      <c r="N1699" t="str">
        <f>IF(OR(J1699&lt;$AE$21,J1699&gt;$AF$21),"Outlier","OK")</f>
        <v>OK</v>
      </c>
      <c r="O1699" t="str">
        <f>IF(OR(C1699&lt;0,C1699&gt;1),"Outlier","OK")</f>
        <v>OK</v>
      </c>
      <c r="P1699" t="str">
        <f>IF(OR(D1699&lt;0,D1699&gt;1),"Outlier","OK")</f>
        <v>Outlier</v>
      </c>
      <c r="Q1699" t="str">
        <f t="shared" si="210"/>
        <v>80-100%</v>
      </c>
      <c r="R1699" t="str">
        <f>IF(B1699="","Missing","OK")</f>
        <v>OK</v>
      </c>
      <c r="S1699" t="str">
        <f>IF(E1699="","Missing","OK")</f>
        <v>OK</v>
      </c>
      <c r="T1699" t="str">
        <f t="shared" si="211"/>
        <v>OK</v>
      </c>
      <c r="U1699">
        <f>COUNTIF($A:$A,A1699)</f>
        <v>1</v>
      </c>
      <c r="V1699" t="str">
        <f t="shared" si="212"/>
        <v>OK</v>
      </c>
      <c r="W1699" t="str">
        <f>IF(I1699&gt;B1699,"ERROR","OK")</f>
        <v>OK</v>
      </c>
      <c r="X1699">
        <f>(B1699-I1699)/B1699</f>
        <v>0.83250597661662129</v>
      </c>
      <c r="Y1699" s="2">
        <f t="shared" si="213"/>
        <v>6.6613381477509392E-16</v>
      </c>
      <c r="Z1699" s="2" t="str">
        <f t="shared" si="214"/>
        <v>OK</v>
      </c>
      <c r="AA1699" t="str">
        <f t="shared" si="215"/>
        <v>Unique</v>
      </c>
    </row>
    <row r="1700" spans="1:27" x14ac:dyDescent="0.3">
      <c r="A1700">
        <v>1699</v>
      </c>
      <c r="B1700">
        <v>1245396.64654114</v>
      </c>
      <c r="C1700">
        <v>0.43821486145009098</v>
      </c>
      <c r="D1700">
        <v>-0.12898363598896601</v>
      </c>
      <c r="E1700">
        <v>0.24913088491573401</v>
      </c>
      <c r="F1700">
        <v>1</v>
      </c>
      <c r="G1700" t="s">
        <v>11</v>
      </c>
      <c r="H1700">
        <v>1</v>
      </c>
      <c r="I1700">
        <v>310266.76862388302</v>
      </c>
      <c r="J1700">
        <v>0.75086911508426502</v>
      </c>
      <c r="K1700" t="str">
        <f t="shared" si="208"/>
        <v>OK</v>
      </c>
      <c r="L1700" t="str">
        <f t="shared" si="209"/>
        <v>OK</v>
      </c>
      <c r="M1700" t="str">
        <f>IF(OR(B1700&lt;$AE$20,B1700&gt;$AF$20),"Outlier","OK")</f>
        <v>OK</v>
      </c>
      <c r="N1700" t="str">
        <f>IF(OR(J1700&lt;$AE$21,J1700&gt;$AF$21),"Outlier","OK")</f>
        <v>OK</v>
      </c>
      <c r="O1700" t="str">
        <f>IF(OR(C1700&lt;0,C1700&gt;1),"Outlier","OK")</f>
        <v>OK</v>
      </c>
      <c r="P1700" t="str">
        <f>IF(OR(D1700&lt;0,D1700&gt;1),"Outlier","OK")</f>
        <v>Outlier</v>
      </c>
      <c r="Q1700" t="str">
        <f t="shared" si="210"/>
        <v>60-80%</v>
      </c>
      <c r="R1700" t="str">
        <f>IF(B1700="","Missing","OK")</f>
        <v>OK</v>
      </c>
      <c r="S1700" t="str">
        <f>IF(E1700="","Missing","OK")</f>
        <v>OK</v>
      </c>
      <c r="T1700" t="str">
        <f t="shared" si="211"/>
        <v>OK</v>
      </c>
      <c r="U1700">
        <f>COUNTIF($A:$A,A1700)</f>
        <v>1</v>
      </c>
      <c r="V1700" t="str">
        <f t="shared" si="212"/>
        <v>OK</v>
      </c>
      <c r="W1700" t="str">
        <f>IF(I1700&gt;B1700,"ERROR","OK")</f>
        <v>OK</v>
      </c>
      <c r="X1700">
        <f>(B1700-I1700)/B1700</f>
        <v>0.75086911508426502</v>
      </c>
      <c r="Y1700" s="2">
        <f t="shared" si="213"/>
        <v>0</v>
      </c>
      <c r="Z1700" s="2" t="str">
        <f t="shared" si="214"/>
        <v>OK</v>
      </c>
      <c r="AA1700" t="str">
        <f t="shared" si="215"/>
        <v>Unique</v>
      </c>
    </row>
    <row r="1701" spans="1:27" x14ac:dyDescent="0.3">
      <c r="A1701">
        <v>1700</v>
      </c>
      <c r="B1701">
        <v>1298015.7061779301</v>
      </c>
      <c r="C1701">
        <v>0.53830544952356396</v>
      </c>
      <c r="D1701">
        <v>-5.8029853083577901E-2</v>
      </c>
      <c r="E1701">
        <v>0.180981807564004</v>
      </c>
      <c r="F1701">
        <v>1</v>
      </c>
      <c r="G1701" t="s">
        <v>12</v>
      </c>
      <c r="H1701">
        <v>1</v>
      </c>
      <c r="I1701">
        <v>234917.22875055001</v>
      </c>
      <c r="J1701">
        <v>0.81901819243599505</v>
      </c>
      <c r="K1701" t="str">
        <f t="shared" si="208"/>
        <v>OK</v>
      </c>
      <c r="L1701" t="str">
        <f t="shared" si="209"/>
        <v>OK</v>
      </c>
      <c r="M1701" t="str">
        <f>IF(OR(B1701&lt;$AE$20,B1701&gt;$AF$20),"Outlier","OK")</f>
        <v>OK</v>
      </c>
      <c r="N1701" t="str">
        <f>IF(OR(J1701&lt;$AE$21,J1701&gt;$AF$21),"Outlier","OK")</f>
        <v>OK</v>
      </c>
      <c r="O1701" t="str">
        <f>IF(OR(C1701&lt;0,C1701&gt;1),"Outlier","OK")</f>
        <v>OK</v>
      </c>
      <c r="P1701" t="str">
        <f>IF(OR(D1701&lt;0,D1701&gt;1),"Outlier","OK")</f>
        <v>Outlier</v>
      </c>
      <c r="Q1701" t="str">
        <f t="shared" si="210"/>
        <v>80-100%</v>
      </c>
      <c r="R1701" t="str">
        <f>IF(B1701="","Missing","OK")</f>
        <v>OK</v>
      </c>
      <c r="S1701" t="str">
        <f>IF(E1701="","Missing","OK")</f>
        <v>OK</v>
      </c>
      <c r="T1701" t="str">
        <f t="shared" si="211"/>
        <v>OK</v>
      </c>
      <c r="U1701">
        <f>COUNTIF($A:$A,A1701)</f>
        <v>1</v>
      </c>
      <c r="V1701" t="str">
        <f t="shared" si="212"/>
        <v>OK</v>
      </c>
      <c r="W1701" t="str">
        <f>IF(I1701&gt;B1701,"ERROR","OK")</f>
        <v>OK</v>
      </c>
      <c r="X1701">
        <f>(B1701-I1701)/B1701</f>
        <v>0.81901819243599516</v>
      </c>
      <c r="Y1701" s="2">
        <f t="shared" si="213"/>
        <v>1.1102230246251565E-16</v>
      </c>
      <c r="Z1701" s="2" t="str">
        <f t="shared" si="214"/>
        <v>OK</v>
      </c>
      <c r="AA1701" t="str">
        <f t="shared" si="215"/>
        <v>Unique</v>
      </c>
    </row>
    <row r="1702" spans="1:27" x14ac:dyDescent="0.3">
      <c r="A1702">
        <v>1701</v>
      </c>
      <c r="B1702">
        <v>1985002.74754346</v>
      </c>
      <c r="C1702">
        <v>0.59302782521652098</v>
      </c>
      <c r="D1702">
        <v>0.12860639796773499</v>
      </c>
      <c r="E1702">
        <v>0.25799614186750602</v>
      </c>
      <c r="F1702">
        <v>1</v>
      </c>
      <c r="G1702" t="s">
        <v>13</v>
      </c>
      <c r="H1702">
        <v>1</v>
      </c>
      <c r="I1702">
        <v>512123.05046261498</v>
      </c>
      <c r="J1702">
        <v>0.74200385813249303</v>
      </c>
      <c r="K1702" t="str">
        <f t="shared" si="208"/>
        <v>OK</v>
      </c>
      <c r="L1702" t="str">
        <f t="shared" si="209"/>
        <v>OK</v>
      </c>
      <c r="M1702" t="str">
        <f>IF(OR(B1702&lt;$AE$20,B1702&gt;$AF$20),"Outlier","OK")</f>
        <v>Outlier</v>
      </c>
      <c r="N1702" t="str">
        <f>IF(OR(J1702&lt;$AE$21,J1702&gt;$AF$21),"Outlier","OK")</f>
        <v>OK</v>
      </c>
      <c r="O1702" t="str">
        <f>IF(OR(C1702&lt;0,C1702&gt;1),"Outlier","OK")</f>
        <v>OK</v>
      </c>
      <c r="P1702" t="str">
        <f>IF(OR(D1702&lt;0,D1702&gt;1),"Outlier","OK")</f>
        <v>OK</v>
      </c>
      <c r="Q1702" t="str">
        <f t="shared" si="210"/>
        <v>60-80%</v>
      </c>
      <c r="R1702" t="str">
        <f>IF(B1702="","Missing","OK")</f>
        <v>OK</v>
      </c>
      <c r="S1702" t="str">
        <f>IF(E1702="","Missing","OK")</f>
        <v>OK</v>
      </c>
      <c r="T1702" t="str">
        <f t="shared" si="211"/>
        <v>OK</v>
      </c>
      <c r="U1702">
        <f>COUNTIF($A:$A,A1702)</f>
        <v>1</v>
      </c>
      <c r="V1702" t="str">
        <f t="shared" si="212"/>
        <v>OK</v>
      </c>
      <c r="W1702" t="str">
        <f>IF(I1702&gt;B1702,"ERROR","OK")</f>
        <v>OK</v>
      </c>
      <c r="X1702">
        <f>(B1702-I1702)/B1702</f>
        <v>0.74200385813249237</v>
      </c>
      <c r="Y1702" s="2">
        <f t="shared" si="213"/>
        <v>6.6613381477509392E-16</v>
      </c>
      <c r="Z1702" s="2" t="str">
        <f t="shared" si="214"/>
        <v>OK</v>
      </c>
      <c r="AA1702" t="str">
        <f t="shared" si="215"/>
        <v>Unique</v>
      </c>
    </row>
    <row r="1703" spans="1:27" x14ac:dyDescent="0.3">
      <c r="A1703">
        <v>1702</v>
      </c>
      <c r="B1703">
        <v>676111.48741513805</v>
      </c>
      <c r="C1703">
        <v>0.16935977242283001</v>
      </c>
      <c r="D1703">
        <v>-0.17419561328181399</v>
      </c>
      <c r="E1703">
        <v>0.28668828698809601</v>
      </c>
      <c r="F1703">
        <v>1</v>
      </c>
      <c r="G1703" t="s">
        <v>11</v>
      </c>
      <c r="H1703">
        <v>1</v>
      </c>
      <c r="I1703">
        <v>193833.24414001999</v>
      </c>
      <c r="J1703">
        <v>0.71331171301190299</v>
      </c>
      <c r="K1703" t="str">
        <f t="shared" si="208"/>
        <v>OK</v>
      </c>
      <c r="L1703" t="str">
        <f t="shared" si="209"/>
        <v>OK</v>
      </c>
      <c r="M1703" t="str">
        <f>IF(OR(B1703&lt;$AE$20,B1703&gt;$AF$20),"Outlier","OK")</f>
        <v>OK</v>
      </c>
      <c r="N1703" t="str">
        <f>IF(OR(J1703&lt;$AE$21,J1703&gt;$AF$21),"Outlier","OK")</f>
        <v>OK</v>
      </c>
      <c r="O1703" t="str">
        <f>IF(OR(C1703&lt;0,C1703&gt;1),"Outlier","OK")</f>
        <v>OK</v>
      </c>
      <c r="P1703" t="str">
        <f>IF(OR(D1703&lt;0,D1703&gt;1),"Outlier","OK")</f>
        <v>Outlier</v>
      </c>
      <c r="Q1703" t="str">
        <f t="shared" si="210"/>
        <v>60-80%</v>
      </c>
      <c r="R1703" t="str">
        <f>IF(B1703="","Missing","OK")</f>
        <v>OK</v>
      </c>
      <c r="S1703" t="str">
        <f>IF(E1703="","Missing","OK")</f>
        <v>OK</v>
      </c>
      <c r="T1703" t="str">
        <f t="shared" si="211"/>
        <v>OK</v>
      </c>
      <c r="U1703">
        <f>COUNTIF($A:$A,A1703)</f>
        <v>1</v>
      </c>
      <c r="V1703" t="str">
        <f t="shared" si="212"/>
        <v>OK</v>
      </c>
      <c r="W1703" t="str">
        <f>IF(I1703&gt;B1703,"ERROR","OK")</f>
        <v>OK</v>
      </c>
      <c r="X1703">
        <f>(B1703-I1703)/B1703</f>
        <v>0.71331171301190333</v>
      </c>
      <c r="Y1703" s="2">
        <f t="shared" si="213"/>
        <v>3.3306690738754696E-16</v>
      </c>
      <c r="Z1703" s="2" t="str">
        <f t="shared" si="214"/>
        <v>OK</v>
      </c>
      <c r="AA1703" t="str">
        <f t="shared" si="215"/>
        <v>Unique</v>
      </c>
    </row>
    <row r="1704" spans="1:27" x14ac:dyDescent="0.3">
      <c r="A1704">
        <v>1703</v>
      </c>
      <c r="B1704">
        <v>752366.543878861</v>
      </c>
      <c r="C1704">
        <v>0.216149839115332</v>
      </c>
      <c r="D1704">
        <v>-9.032468912595E-2</v>
      </c>
      <c r="E1704">
        <v>0.235700213066667</v>
      </c>
      <c r="F1704">
        <v>1</v>
      </c>
      <c r="G1704" t="s">
        <v>13</v>
      </c>
      <c r="H1704">
        <v>1</v>
      </c>
      <c r="I1704">
        <v>177332.95469647899</v>
      </c>
      <c r="J1704">
        <v>0.764299786933332</v>
      </c>
      <c r="K1704" t="str">
        <f t="shared" si="208"/>
        <v>OK</v>
      </c>
      <c r="L1704" t="str">
        <f t="shared" si="209"/>
        <v>OK</v>
      </c>
      <c r="M1704" t="str">
        <f>IF(OR(B1704&lt;$AE$20,B1704&gt;$AF$20),"Outlier","OK")</f>
        <v>OK</v>
      </c>
      <c r="N1704" t="str">
        <f>IF(OR(J1704&lt;$AE$21,J1704&gt;$AF$21),"Outlier","OK")</f>
        <v>OK</v>
      </c>
      <c r="O1704" t="str">
        <f>IF(OR(C1704&lt;0,C1704&gt;1),"Outlier","OK")</f>
        <v>OK</v>
      </c>
      <c r="P1704" t="str">
        <f>IF(OR(D1704&lt;0,D1704&gt;1),"Outlier","OK")</f>
        <v>Outlier</v>
      </c>
      <c r="Q1704" t="str">
        <f t="shared" si="210"/>
        <v>60-80%</v>
      </c>
      <c r="R1704" t="str">
        <f>IF(B1704="","Missing","OK")</f>
        <v>OK</v>
      </c>
      <c r="S1704" t="str">
        <f>IF(E1704="","Missing","OK")</f>
        <v>OK</v>
      </c>
      <c r="T1704" t="str">
        <f t="shared" si="211"/>
        <v>OK</v>
      </c>
      <c r="U1704">
        <f>COUNTIF($A:$A,A1704)</f>
        <v>1</v>
      </c>
      <c r="V1704" t="str">
        <f t="shared" si="212"/>
        <v>OK</v>
      </c>
      <c r="W1704" t="str">
        <f>IF(I1704&gt;B1704,"ERROR","OK")</f>
        <v>OK</v>
      </c>
      <c r="X1704">
        <f>(B1704-I1704)/B1704</f>
        <v>0.76429978693333356</v>
      </c>
      <c r="Y1704" s="2">
        <f t="shared" si="213"/>
        <v>1.5543122344752192E-15</v>
      </c>
      <c r="Z1704" s="2" t="str">
        <f t="shared" si="214"/>
        <v>OK</v>
      </c>
      <c r="AA1704" t="str">
        <f t="shared" si="215"/>
        <v>Unique</v>
      </c>
    </row>
    <row r="1705" spans="1:27" x14ac:dyDescent="0.3">
      <c r="A1705">
        <v>1704</v>
      </c>
      <c r="B1705">
        <v>1094915.05672161</v>
      </c>
      <c r="C1705">
        <v>0.73278745662009603</v>
      </c>
      <c r="D1705">
        <v>-0.15757843963700899</v>
      </c>
      <c r="E1705">
        <v>0.135163836472736</v>
      </c>
      <c r="F1705">
        <v>1</v>
      </c>
      <c r="G1705" t="s">
        <v>12</v>
      </c>
      <c r="H1705">
        <v>0</v>
      </c>
      <c r="I1705">
        <v>147992.919678256</v>
      </c>
      <c r="J1705">
        <v>0.864836163527264</v>
      </c>
      <c r="K1705" t="str">
        <f t="shared" si="208"/>
        <v>OK</v>
      </c>
      <c r="L1705" t="str">
        <f t="shared" si="209"/>
        <v>OK</v>
      </c>
      <c r="M1705" t="str">
        <f>IF(OR(B1705&lt;$AE$20,B1705&gt;$AF$20),"Outlier","OK")</f>
        <v>OK</v>
      </c>
      <c r="N1705" t="str">
        <f>IF(OR(J1705&lt;$AE$21,J1705&gt;$AF$21),"Outlier","OK")</f>
        <v>OK</v>
      </c>
      <c r="O1705" t="str">
        <f>IF(OR(C1705&lt;0,C1705&gt;1),"Outlier","OK")</f>
        <v>OK</v>
      </c>
      <c r="P1705" t="str">
        <f>IF(OR(D1705&lt;0,D1705&gt;1),"Outlier","OK")</f>
        <v>Outlier</v>
      </c>
      <c r="Q1705" t="str">
        <f t="shared" si="210"/>
        <v>80-100%</v>
      </c>
      <c r="R1705" t="str">
        <f>IF(B1705="","Missing","OK")</f>
        <v>OK</v>
      </c>
      <c r="S1705" t="str">
        <f>IF(E1705="","Missing","OK")</f>
        <v>OK</v>
      </c>
      <c r="T1705" t="str">
        <f t="shared" si="211"/>
        <v>OK</v>
      </c>
      <c r="U1705">
        <f>COUNTIF($A:$A,A1705)</f>
        <v>1</v>
      </c>
      <c r="V1705" t="str">
        <f t="shared" si="212"/>
        <v>OK</v>
      </c>
      <c r="W1705" t="str">
        <f>IF(I1705&gt;B1705,"ERROR","OK")</f>
        <v>OK</v>
      </c>
      <c r="X1705">
        <f>(B1705-I1705)/B1705</f>
        <v>0.86483616352726411</v>
      </c>
      <c r="Y1705" s="2">
        <f t="shared" si="213"/>
        <v>1.1102230246251565E-16</v>
      </c>
      <c r="Z1705" s="2" t="str">
        <f t="shared" si="214"/>
        <v>OK</v>
      </c>
      <c r="AA1705" t="str">
        <f t="shared" si="215"/>
        <v>Unique</v>
      </c>
    </row>
    <row r="1706" spans="1:27" x14ac:dyDescent="0.3">
      <c r="A1706">
        <v>1705</v>
      </c>
      <c r="B1706">
        <v>1268913.5039273601</v>
      </c>
      <c r="C1706">
        <v>0.738642473869075</v>
      </c>
      <c r="D1706">
        <v>-0.176244206170795</v>
      </c>
      <c r="E1706">
        <v>0.256709446398175</v>
      </c>
      <c r="F1706">
        <v>1</v>
      </c>
      <c r="G1706" t="s">
        <v>12</v>
      </c>
      <c r="H1706">
        <v>0</v>
      </c>
      <c r="I1706">
        <v>325742.08312036301</v>
      </c>
      <c r="J1706">
        <v>0.74329055360182394</v>
      </c>
      <c r="K1706" t="str">
        <f t="shared" si="208"/>
        <v>OK</v>
      </c>
      <c r="L1706" t="str">
        <f t="shared" si="209"/>
        <v>OK</v>
      </c>
      <c r="M1706" t="str">
        <f>IF(OR(B1706&lt;$AE$20,B1706&gt;$AF$20),"Outlier","OK")</f>
        <v>OK</v>
      </c>
      <c r="N1706" t="str">
        <f>IF(OR(J1706&lt;$AE$21,J1706&gt;$AF$21),"Outlier","OK")</f>
        <v>OK</v>
      </c>
      <c r="O1706" t="str">
        <f>IF(OR(C1706&lt;0,C1706&gt;1),"Outlier","OK")</f>
        <v>OK</v>
      </c>
      <c r="P1706" t="str">
        <f>IF(OR(D1706&lt;0,D1706&gt;1),"Outlier","OK")</f>
        <v>Outlier</v>
      </c>
      <c r="Q1706" t="str">
        <f t="shared" si="210"/>
        <v>60-80%</v>
      </c>
      <c r="R1706" t="str">
        <f>IF(B1706="","Missing","OK")</f>
        <v>OK</v>
      </c>
      <c r="S1706" t="str">
        <f>IF(E1706="","Missing","OK")</f>
        <v>OK</v>
      </c>
      <c r="T1706" t="str">
        <f t="shared" si="211"/>
        <v>OK</v>
      </c>
      <c r="U1706">
        <f>COUNTIF($A:$A,A1706)</f>
        <v>1</v>
      </c>
      <c r="V1706" t="str">
        <f t="shared" si="212"/>
        <v>OK</v>
      </c>
      <c r="W1706" t="str">
        <f>IF(I1706&gt;B1706,"ERROR","OK")</f>
        <v>OK</v>
      </c>
      <c r="X1706">
        <f>(B1706-I1706)/B1706</f>
        <v>0.74329055360182339</v>
      </c>
      <c r="Y1706" s="2">
        <f t="shared" si="213"/>
        <v>5.5511151231257827E-16</v>
      </c>
      <c r="Z1706" s="2" t="str">
        <f t="shared" si="214"/>
        <v>OK</v>
      </c>
      <c r="AA1706" t="str">
        <f t="shared" si="215"/>
        <v>Unique</v>
      </c>
    </row>
    <row r="1707" spans="1:27" x14ac:dyDescent="0.3">
      <c r="A1707">
        <v>1706</v>
      </c>
      <c r="B1707">
        <v>657904.93353601499</v>
      </c>
      <c r="C1707">
        <v>0.509520829713214</v>
      </c>
      <c r="D1707">
        <v>2.80926096763712E-2</v>
      </c>
      <c r="E1707">
        <v>0.48845187888167002</v>
      </c>
      <c r="F1707">
        <v>1</v>
      </c>
      <c r="G1707" t="s">
        <v>12</v>
      </c>
      <c r="H1707">
        <v>1</v>
      </c>
      <c r="I1707">
        <v>321354.900911187</v>
      </c>
      <c r="J1707">
        <v>0.51154812111832904</v>
      </c>
      <c r="K1707" t="str">
        <f t="shared" si="208"/>
        <v>OK</v>
      </c>
      <c r="L1707" t="str">
        <f t="shared" si="209"/>
        <v>OK</v>
      </c>
      <c r="M1707" t="str">
        <f>IF(OR(B1707&lt;$AE$20,B1707&gt;$AF$20),"Outlier","OK")</f>
        <v>OK</v>
      </c>
      <c r="N1707" t="str">
        <f>IF(OR(J1707&lt;$AE$21,J1707&gt;$AF$21),"Outlier","OK")</f>
        <v>OK</v>
      </c>
      <c r="O1707" t="str">
        <f>IF(OR(C1707&lt;0,C1707&gt;1),"Outlier","OK")</f>
        <v>OK</v>
      </c>
      <c r="P1707" t="str">
        <f>IF(OR(D1707&lt;0,D1707&gt;1),"Outlier","OK")</f>
        <v>OK</v>
      </c>
      <c r="Q1707" t="str">
        <f t="shared" si="210"/>
        <v>40-60%</v>
      </c>
      <c r="R1707" t="str">
        <f>IF(B1707="","Missing","OK")</f>
        <v>OK</v>
      </c>
      <c r="S1707" t="str">
        <f>IF(E1707="","Missing","OK")</f>
        <v>OK</v>
      </c>
      <c r="T1707" t="str">
        <f t="shared" si="211"/>
        <v>OK</v>
      </c>
      <c r="U1707">
        <f>COUNTIF($A:$A,A1707)</f>
        <v>1</v>
      </c>
      <c r="V1707" t="str">
        <f t="shared" si="212"/>
        <v>OK</v>
      </c>
      <c r="W1707" t="str">
        <f>IF(I1707&gt;B1707,"ERROR","OK")</f>
        <v>OK</v>
      </c>
      <c r="X1707">
        <f>(B1707-I1707)/B1707</f>
        <v>0.51154812111832959</v>
      </c>
      <c r="Y1707" s="2">
        <f t="shared" si="213"/>
        <v>5.5511151231257827E-16</v>
      </c>
      <c r="Z1707" s="2" t="str">
        <f t="shared" si="214"/>
        <v>OK</v>
      </c>
      <c r="AA1707" t="str">
        <f t="shared" si="215"/>
        <v>Unique</v>
      </c>
    </row>
    <row r="1708" spans="1:27" x14ac:dyDescent="0.3">
      <c r="A1708">
        <v>1707</v>
      </c>
      <c r="B1708">
        <v>1427330.8948888499</v>
      </c>
      <c r="C1708">
        <v>0.83846155497062103</v>
      </c>
      <c r="D1708">
        <v>-8.5664520856685106E-2</v>
      </c>
      <c r="E1708">
        <v>0.20624384884724101</v>
      </c>
      <c r="F1708">
        <v>1</v>
      </c>
      <c r="G1708" t="s">
        <v>11</v>
      </c>
      <c r="H1708">
        <v>1</v>
      </c>
      <c r="I1708">
        <v>294378.21734045399</v>
      </c>
      <c r="J1708">
        <v>0.79375615115275799</v>
      </c>
      <c r="K1708" t="str">
        <f t="shared" si="208"/>
        <v>OK</v>
      </c>
      <c r="L1708" t="str">
        <f t="shared" si="209"/>
        <v>OK</v>
      </c>
      <c r="M1708" t="str">
        <f>IF(OR(B1708&lt;$AE$20,B1708&gt;$AF$20),"Outlier","OK")</f>
        <v>OK</v>
      </c>
      <c r="N1708" t="str">
        <f>IF(OR(J1708&lt;$AE$21,J1708&gt;$AF$21),"Outlier","OK")</f>
        <v>OK</v>
      </c>
      <c r="O1708" t="str">
        <f>IF(OR(C1708&lt;0,C1708&gt;1),"Outlier","OK")</f>
        <v>OK</v>
      </c>
      <c r="P1708" t="str">
        <f>IF(OR(D1708&lt;0,D1708&gt;1),"Outlier","OK")</f>
        <v>Outlier</v>
      </c>
      <c r="Q1708" t="str">
        <f t="shared" si="210"/>
        <v>60-80%</v>
      </c>
      <c r="R1708" t="str">
        <f>IF(B1708="","Missing","OK")</f>
        <v>OK</v>
      </c>
      <c r="S1708" t="str">
        <f>IF(E1708="","Missing","OK")</f>
        <v>OK</v>
      </c>
      <c r="T1708" t="str">
        <f t="shared" si="211"/>
        <v>OK</v>
      </c>
      <c r="U1708">
        <f>COUNTIF($A:$A,A1708)</f>
        <v>1</v>
      </c>
      <c r="V1708" t="str">
        <f t="shared" si="212"/>
        <v>OK</v>
      </c>
      <c r="W1708" t="str">
        <f>IF(I1708&gt;B1708,"ERROR","OK")</f>
        <v>OK</v>
      </c>
      <c r="X1708">
        <f>(B1708-I1708)/B1708</f>
        <v>0.79375615115275844</v>
      </c>
      <c r="Y1708" s="2">
        <f t="shared" si="213"/>
        <v>4.4408920985006262E-16</v>
      </c>
      <c r="Z1708" s="2" t="str">
        <f t="shared" si="214"/>
        <v>OK</v>
      </c>
      <c r="AA1708" t="str">
        <f t="shared" si="215"/>
        <v>Unique</v>
      </c>
    </row>
    <row r="1709" spans="1:27" x14ac:dyDescent="0.3">
      <c r="A1709">
        <v>1708</v>
      </c>
      <c r="B1709">
        <v>210142.968289977</v>
      </c>
      <c r="C1709">
        <v>0.66278488860817297</v>
      </c>
      <c r="D1709">
        <v>-0.16088117674173999</v>
      </c>
      <c r="E1709">
        <v>0.13240924320844499</v>
      </c>
      <c r="F1709">
        <v>1</v>
      </c>
      <c r="G1709" t="s">
        <v>10</v>
      </c>
      <c r="H1709">
        <v>0</v>
      </c>
      <c r="I1709">
        <v>27824.871396852199</v>
      </c>
      <c r="J1709">
        <v>0.86759075679155395</v>
      </c>
      <c r="K1709" t="str">
        <f t="shared" si="208"/>
        <v>OK</v>
      </c>
      <c r="L1709" t="str">
        <f t="shared" si="209"/>
        <v>OK</v>
      </c>
      <c r="M1709" t="str">
        <f>IF(OR(B1709&lt;$AE$20,B1709&gt;$AF$20),"Outlier","OK")</f>
        <v>OK</v>
      </c>
      <c r="N1709" t="str">
        <f>IF(OR(J1709&lt;$AE$21,J1709&gt;$AF$21),"Outlier","OK")</f>
        <v>OK</v>
      </c>
      <c r="O1709" t="str">
        <f>IF(OR(C1709&lt;0,C1709&gt;1),"Outlier","OK")</f>
        <v>OK</v>
      </c>
      <c r="P1709" t="str">
        <f>IF(OR(D1709&lt;0,D1709&gt;1),"Outlier","OK")</f>
        <v>Outlier</v>
      </c>
      <c r="Q1709" t="str">
        <f t="shared" si="210"/>
        <v>80-100%</v>
      </c>
      <c r="R1709" t="str">
        <f>IF(B1709="","Missing","OK")</f>
        <v>OK</v>
      </c>
      <c r="S1709" t="str">
        <f>IF(E1709="","Missing","OK")</f>
        <v>OK</v>
      </c>
      <c r="T1709" t="str">
        <f t="shared" si="211"/>
        <v>OK</v>
      </c>
      <c r="U1709">
        <f>COUNTIF($A:$A,A1709)</f>
        <v>1</v>
      </c>
      <c r="V1709" t="str">
        <f t="shared" si="212"/>
        <v>OK</v>
      </c>
      <c r="W1709" t="str">
        <f>IF(I1709&gt;B1709,"ERROR","OK")</f>
        <v>OK</v>
      </c>
      <c r="X1709">
        <f>(B1709-I1709)/B1709</f>
        <v>0.86759075679155462</v>
      </c>
      <c r="Y1709" s="2">
        <f t="shared" si="213"/>
        <v>6.6613381477509392E-16</v>
      </c>
      <c r="Z1709" s="2" t="str">
        <f t="shared" si="214"/>
        <v>OK</v>
      </c>
      <c r="AA1709" t="str">
        <f t="shared" si="215"/>
        <v>Unique</v>
      </c>
    </row>
    <row r="1710" spans="1:27" x14ac:dyDescent="0.3">
      <c r="A1710">
        <v>1709</v>
      </c>
      <c r="B1710">
        <v>429869.33084446902</v>
      </c>
      <c r="C1710">
        <v>0.60637019042392104</v>
      </c>
      <c r="D1710">
        <v>8.3516302258645495E-2</v>
      </c>
      <c r="E1710">
        <v>0.16113999604565399</v>
      </c>
      <c r="F1710">
        <v>1</v>
      </c>
      <c r="G1710" t="s">
        <v>11</v>
      </c>
      <c r="H1710">
        <v>0</v>
      </c>
      <c r="I1710">
        <v>69269.142272425903</v>
      </c>
      <c r="J1710">
        <v>0.83886000395434501</v>
      </c>
      <c r="K1710" t="str">
        <f t="shared" si="208"/>
        <v>OK</v>
      </c>
      <c r="L1710" t="str">
        <f t="shared" si="209"/>
        <v>OK</v>
      </c>
      <c r="M1710" t="str">
        <f>IF(OR(B1710&lt;$AE$20,B1710&gt;$AF$20),"Outlier","OK")</f>
        <v>OK</v>
      </c>
      <c r="N1710" t="str">
        <f>IF(OR(J1710&lt;$AE$21,J1710&gt;$AF$21),"Outlier","OK")</f>
        <v>OK</v>
      </c>
      <c r="O1710" t="str">
        <f>IF(OR(C1710&lt;0,C1710&gt;1),"Outlier","OK")</f>
        <v>OK</v>
      </c>
      <c r="P1710" t="str">
        <f>IF(OR(D1710&lt;0,D1710&gt;1),"Outlier","OK")</f>
        <v>OK</v>
      </c>
      <c r="Q1710" t="str">
        <f t="shared" si="210"/>
        <v>80-100%</v>
      </c>
      <c r="R1710" t="str">
        <f>IF(B1710="","Missing","OK")</f>
        <v>OK</v>
      </c>
      <c r="S1710" t="str">
        <f>IF(E1710="","Missing","OK")</f>
        <v>OK</v>
      </c>
      <c r="T1710" t="str">
        <f t="shared" si="211"/>
        <v>OK</v>
      </c>
      <c r="U1710">
        <f>COUNTIF($A:$A,A1710)</f>
        <v>1</v>
      </c>
      <c r="V1710" t="str">
        <f t="shared" si="212"/>
        <v>OK</v>
      </c>
      <c r="W1710" t="str">
        <f>IF(I1710&gt;B1710,"ERROR","OK")</f>
        <v>OK</v>
      </c>
      <c r="X1710">
        <f>(B1710-I1710)/B1710</f>
        <v>0.83886000395434535</v>
      </c>
      <c r="Y1710" s="2">
        <f t="shared" si="213"/>
        <v>3.3306690738754696E-16</v>
      </c>
      <c r="Z1710" s="2" t="str">
        <f t="shared" si="214"/>
        <v>OK</v>
      </c>
      <c r="AA1710" t="str">
        <f t="shared" si="215"/>
        <v>Unique</v>
      </c>
    </row>
    <row r="1711" spans="1:27" x14ac:dyDescent="0.3">
      <c r="A1711">
        <v>1710</v>
      </c>
      <c r="B1711">
        <v>75841.128916974703</v>
      </c>
      <c r="C1711">
        <v>0.80876463544547095</v>
      </c>
      <c r="D1711">
        <v>0.100282084189075</v>
      </c>
      <c r="E1711">
        <v>0.141058995357696</v>
      </c>
      <c r="F1711">
        <v>1</v>
      </c>
      <c r="G1711" t="s">
        <v>11</v>
      </c>
      <c r="H1711">
        <v>0</v>
      </c>
      <c r="I1711">
        <v>10698.0734518219</v>
      </c>
      <c r="J1711">
        <v>0.85894100464230305</v>
      </c>
      <c r="K1711" t="str">
        <f t="shared" si="208"/>
        <v>OK</v>
      </c>
      <c r="L1711" t="str">
        <f t="shared" si="209"/>
        <v>OK</v>
      </c>
      <c r="M1711" t="str">
        <f>IF(OR(B1711&lt;$AE$20,B1711&gt;$AF$20),"Outlier","OK")</f>
        <v>OK</v>
      </c>
      <c r="N1711" t="str">
        <f>IF(OR(J1711&lt;$AE$21,J1711&gt;$AF$21),"Outlier","OK")</f>
        <v>OK</v>
      </c>
      <c r="O1711" t="str">
        <f>IF(OR(C1711&lt;0,C1711&gt;1),"Outlier","OK")</f>
        <v>OK</v>
      </c>
      <c r="P1711" t="str">
        <f>IF(OR(D1711&lt;0,D1711&gt;1),"Outlier","OK")</f>
        <v>OK</v>
      </c>
      <c r="Q1711" t="str">
        <f t="shared" si="210"/>
        <v>80-100%</v>
      </c>
      <c r="R1711" t="str">
        <f>IF(B1711="","Missing","OK")</f>
        <v>OK</v>
      </c>
      <c r="S1711" t="str">
        <f>IF(E1711="","Missing","OK")</f>
        <v>OK</v>
      </c>
      <c r="T1711" t="str">
        <f t="shared" si="211"/>
        <v>OK</v>
      </c>
      <c r="U1711">
        <f>COUNTIF($A:$A,A1711)</f>
        <v>1</v>
      </c>
      <c r="V1711" t="str">
        <f t="shared" si="212"/>
        <v>OK</v>
      </c>
      <c r="W1711" t="str">
        <f>IF(I1711&gt;B1711,"ERROR","OK")</f>
        <v>OK</v>
      </c>
      <c r="X1711">
        <f>(B1711-I1711)/B1711</f>
        <v>0.85894100464230483</v>
      </c>
      <c r="Y1711" s="2">
        <f t="shared" si="213"/>
        <v>1.7763568394002505E-15</v>
      </c>
      <c r="Z1711" s="2" t="str">
        <f t="shared" si="214"/>
        <v>OK</v>
      </c>
      <c r="AA1711" t="str">
        <f t="shared" si="215"/>
        <v>Unique</v>
      </c>
    </row>
    <row r="1712" spans="1:27" x14ac:dyDescent="0.3">
      <c r="A1712">
        <v>1711</v>
      </c>
      <c r="B1712">
        <v>1511759.21879752</v>
      </c>
      <c r="C1712">
        <v>0.45806639212059402</v>
      </c>
      <c r="D1712">
        <v>-0.168742144043528</v>
      </c>
      <c r="E1712">
        <v>0.27024436168897198</v>
      </c>
      <c r="F1712">
        <v>1</v>
      </c>
      <c r="G1712" t="s">
        <v>11</v>
      </c>
      <c r="H1712">
        <v>1</v>
      </c>
      <c r="I1712">
        <v>408544.40511135501</v>
      </c>
      <c r="J1712">
        <v>0.72975563831102797</v>
      </c>
      <c r="K1712" t="str">
        <f t="shared" si="208"/>
        <v>OK</v>
      </c>
      <c r="L1712" t="str">
        <f t="shared" si="209"/>
        <v>OK</v>
      </c>
      <c r="M1712" t="str">
        <f>IF(OR(B1712&lt;$AE$20,B1712&gt;$AF$20),"Outlier","OK")</f>
        <v>OK</v>
      </c>
      <c r="N1712" t="str">
        <f>IF(OR(J1712&lt;$AE$21,J1712&gt;$AF$21),"Outlier","OK")</f>
        <v>OK</v>
      </c>
      <c r="O1712" t="str">
        <f>IF(OR(C1712&lt;0,C1712&gt;1),"Outlier","OK")</f>
        <v>OK</v>
      </c>
      <c r="P1712" t="str">
        <f>IF(OR(D1712&lt;0,D1712&gt;1),"Outlier","OK")</f>
        <v>Outlier</v>
      </c>
      <c r="Q1712" t="str">
        <f t="shared" si="210"/>
        <v>60-80%</v>
      </c>
      <c r="R1712" t="str">
        <f>IF(B1712="","Missing","OK")</f>
        <v>OK</v>
      </c>
      <c r="S1712" t="str">
        <f>IF(E1712="","Missing","OK")</f>
        <v>OK</v>
      </c>
      <c r="T1712" t="str">
        <f t="shared" si="211"/>
        <v>OK</v>
      </c>
      <c r="U1712">
        <f>COUNTIF($A:$A,A1712)</f>
        <v>1</v>
      </c>
      <c r="V1712" t="str">
        <f t="shared" si="212"/>
        <v>OK</v>
      </c>
      <c r="W1712" t="str">
        <f>IF(I1712&gt;B1712,"ERROR","OK")</f>
        <v>OK</v>
      </c>
      <c r="X1712">
        <f>(B1712-I1712)/B1712</f>
        <v>0.72975563831102785</v>
      </c>
      <c r="Y1712" s="2">
        <f t="shared" si="213"/>
        <v>1.1102230246251565E-16</v>
      </c>
      <c r="Z1712" s="2" t="str">
        <f t="shared" si="214"/>
        <v>OK</v>
      </c>
      <c r="AA1712" t="str">
        <f t="shared" si="215"/>
        <v>Unique</v>
      </c>
    </row>
    <row r="1713" spans="1:27" x14ac:dyDescent="0.3">
      <c r="A1713">
        <v>1712</v>
      </c>
      <c r="B1713">
        <v>1898401.3041423999</v>
      </c>
      <c r="C1713">
        <v>0.62816352249118601</v>
      </c>
      <c r="D1713">
        <v>0.10774307738693099</v>
      </c>
      <c r="E1713">
        <v>0.28893352264646299</v>
      </c>
      <c r="F1713">
        <v>1</v>
      </c>
      <c r="G1713" t="s">
        <v>11</v>
      </c>
      <c r="H1713">
        <v>1</v>
      </c>
      <c r="I1713">
        <v>548511.77620250604</v>
      </c>
      <c r="J1713">
        <v>0.71106647735353601</v>
      </c>
      <c r="K1713" t="str">
        <f t="shared" si="208"/>
        <v>OK</v>
      </c>
      <c r="L1713" t="str">
        <f t="shared" si="209"/>
        <v>OK</v>
      </c>
      <c r="M1713" t="str">
        <f>IF(OR(B1713&lt;$AE$20,B1713&gt;$AF$20),"Outlier","OK")</f>
        <v>OK</v>
      </c>
      <c r="N1713" t="str">
        <f>IF(OR(J1713&lt;$AE$21,J1713&gt;$AF$21),"Outlier","OK")</f>
        <v>OK</v>
      </c>
      <c r="O1713" t="str">
        <f>IF(OR(C1713&lt;0,C1713&gt;1),"Outlier","OK")</f>
        <v>OK</v>
      </c>
      <c r="P1713" t="str">
        <f>IF(OR(D1713&lt;0,D1713&gt;1),"Outlier","OK")</f>
        <v>OK</v>
      </c>
      <c r="Q1713" t="str">
        <f t="shared" si="210"/>
        <v>60-80%</v>
      </c>
      <c r="R1713" t="str">
        <f>IF(B1713="","Missing","OK")</f>
        <v>OK</v>
      </c>
      <c r="S1713" t="str">
        <f>IF(E1713="","Missing","OK")</f>
        <v>OK</v>
      </c>
      <c r="T1713" t="str">
        <f t="shared" si="211"/>
        <v>OK</v>
      </c>
      <c r="U1713">
        <f>COUNTIF($A:$A,A1713)</f>
        <v>1</v>
      </c>
      <c r="V1713" t="str">
        <f t="shared" si="212"/>
        <v>OK</v>
      </c>
      <c r="W1713" t="str">
        <f>IF(I1713&gt;B1713,"ERROR","OK")</f>
        <v>OK</v>
      </c>
      <c r="X1713">
        <f>(B1713-I1713)/B1713</f>
        <v>0.71106647735353534</v>
      </c>
      <c r="Y1713" s="2">
        <f t="shared" si="213"/>
        <v>6.6613381477509392E-16</v>
      </c>
      <c r="Z1713" s="2" t="str">
        <f t="shared" si="214"/>
        <v>OK</v>
      </c>
      <c r="AA1713" t="str">
        <f t="shared" si="215"/>
        <v>Unique</v>
      </c>
    </row>
    <row r="1714" spans="1:27" x14ac:dyDescent="0.3">
      <c r="A1714">
        <v>1713</v>
      </c>
      <c r="B1714">
        <v>1548986.4536327301</v>
      </c>
      <c r="C1714">
        <v>0.60204781247342398</v>
      </c>
      <c r="D1714">
        <v>0.186819739625531</v>
      </c>
      <c r="E1714">
        <v>0.26794429134001702</v>
      </c>
      <c r="F1714">
        <v>1</v>
      </c>
      <c r="G1714" t="s">
        <v>10</v>
      </c>
      <c r="H1714">
        <v>0</v>
      </c>
      <c r="I1714">
        <v>415042.07761391002</v>
      </c>
      <c r="J1714">
        <v>0.73205570865998204</v>
      </c>
      <c r="K1714" t="str">
        <f t="shared" si="208"/>
        <v>OK</v>
      </c>
      <c r="L1714" t="str">
        <f t="shared" si="209"/>
        <v>OK</v>
      </c>
      <c r="M1714" t="str">
        <f>IF(OR(B1714&lt;$AE$20,B1714&gt;$AF$20),"Outlier","OK")</f>
        <v>OK</v>
      </c>
      <c r="N1714" t="str">
        <f>IF(OR(J1714&lt;$AE$21,J1714&gt;$AF$21),"Outlier","OK")</f>
        <v>OK</v>
      </c>
      <c r="O1714" t="str">
        <f>IF(OR(C1714&lt;0,C1714&gt;1),"Outlier","OK")</f>
        <v>OK</v>
      </c>
      <c r="P1714" t="str">
        <f>IF(OR(D1714&lt;0,D1714&gt;1),"Outlier","OK")</f>
        <v>OK</v>
      </c>
      <c r="Q1714" t="str">
        <f t="shared" si="210"/>
        <v>60-80%</v>
      </c>
      <c r="R1714" t="str">
        <f>IF(B1714="","Missing","OK")</f>
        <v>OK</v>
      </c>
      <c r="S1714" t="str">
        <f>IF(E1714="","Missing","OK")</f>
        <v>OK</v>
      </c>
      <c r="T1714" t="str">
        <f t="shared" si="211"/>
        <v>OK</v>
      </c>
      <c r="U1714">
        <f>COUNTIF($A:$A,A1714)</f>
        <v>1</v>
      </c>
      <c r="V1714" t="str">
        <f t="shared" si="212"/>
        <v>OK</v>
      </c>
      <c r="W1714" t="str">
        <f>IF(I1714&gt;B1714,"ERROR","OK")</f>
        <v>OK</v>
      </c>
      <c r="X1714">
        <f>(B1714-I1714)/B1714</f>
        <v>0.73205570865998171</v>
      </c>
      <c r="Y1714" s="2">
        <f t="shared" si="213"/>
        <v>3.3306690738754696E-16</v>
      </c>
      <c r="Z1714" s="2" t="str">
        <f t="shared" si="214"/>
        <v>OK</v>
      </c>
      <c r="AA1714" t="str">
        <f t="shared" si="215"/>
        <v>Unique</v>
      </c>
    </row>
    <row r="1715" spans="1:27" x14ac:dyDescent="0.3">
      <c r="A1715">
        <v>1714</v>
      </c>
      <c r="B1715">
        <v>387098.67279403599</v>
      </c>
      <c r="C1715">
        <v>0.58021168132927603</v>
      </c>
      <c r="D1715">
        <v>-0.150263588783208</v>
      </c>
      <c r="E1715">
        <v>0.12926302395959099</v>
      </c>
      <c r="F1715">
        <v>1</v>
      </c>
      <c r="G1715" t="s">
        <v>12</v>
      </c>
      <c r="H1715">
        <v>1</v>
      </c>
      <c r="I1715">
        <v>50037.545016101598</v>
      </c>
      <c r="J1715">
        <v>0.87073697604040801</v>
      </c>
      <c r="K1715" t="str">
        <f t="shared" si="208"/>
        <v>OK</v>
      </c>
      <c r="L1715" t="str">
        <f t="shared" si="209"/>
        <v>OK</v>
      </c>
      <c r="M1715" t="str">
        <f>IF(OR(B1715&lt;$AE$20,B1715&gt;$AF$20),"Outlier","OK")</f>
        <v>OK</v>
      </c>
      <c r="N1715" t="str">
        <f>IF(OR(J1715&lt;$AE$21,J1715&gt;$AF$21),"Outlier","OK")</f>
        <v>OK</v>
      </c>
      <c r="O1715" t="str">
        <f>IF(OR(C1715&lt;0,C1715&gt;1),"Outlier","OK")</f>
        <v>OK</v>
      </c>
      <c r="P1715" t="str">
        <f>IF(OR(D1715&lt;0,D1715&gt;1),"Outlier","OK")</f>
        <v>Outlier</v>
      </c>
      <c r="Q1715" t="str">
        <f t="shared" si="210"/>
        <v>80-100%</v>
      </c>
      <c r="R1715" t="str">
        <f>IF(B1715="","Missing","OK")</f>
        <v>OK</v>
      </c>
      <c r="S1715" t="str">
        <f>IF(E1715="","Missing","OK")</f>
        <v>OK</v>
      </c>
      <c r="T1715" t="str">
        <f t="shared" si="211"/>
        <v>OK</v>
      </c>
      <c r="U1715">
        <f>COUNTIF($A:$A,A1715)</f>
        <v>1</v>
      </c>
      <c r="V1715" t="str">
        <f t="shared" si="212"/>
        <v>OK</v>
      </c>
      <c r="W1715" t="str">
        <f>IF(I1715&gt;B1715,"ERROR","OK")</f>
        <v>OK</v>
      </c>
      <c r="X1715">
        <f>(B1715-I1715)/B1715</f>
        <v>0.87073697604040834</v>
      </c>
      <c r="Y1715" s="2">
        <f t="shared" si="213"/>
        <v>3.3306690738754696E-16</v>
      </c>
      <c r="Z1715" s="2" t="str">
        <f t="shared" si="214"/>
        <v>OK</v>
      </c>
      <c r="AA1715" t="str">
        <f t="shared" si="215"/>
        <v>Unique</v>
      </c>
    </row>
    <row r="1716" spans="1:27" x14ac:dyDescent="0.3">
      <c r="A1716">
        <v>1715</v>
      </c>
      <c r="B1716">
        <v>603522.832829313</v>
      </c>
      <c r="C1716">
        <v>0.65537721347623101</v>
      </c>
      <c r="D1716">
        <v>8.5566615040599606E-2</v>
      </c>
      <c r="E1716">
        <v>5.33115396957069E-2</v>
      </c>
      <c r="F1716">
        <v>1</v>
      </c>
      <c r="G1716" t="s">
        <v>11</v>
      </c>
      <c r="H1716">
        <v>0</v>
      </c>
      <c r="I1716">
        <v>32174.731459645402</v>
      </c>
      <c r="J1716">
        <v>0.94668846030429299</v>
      </c>
      <c r="K1716" t="str">
        <f t="shared" si="208"/>
        <v>OK</v>
      </c>
      <c r="L1716" t="str">
        <f t="shared" si="209"/>
        <v>OK</v>
      </c>
      <c r="M1716" t="str">
        <f>IF(OR(B1716&lt;$AE$20,B1716&gt;$AF$20),"Outlier","OK")</f>
        <v>OK</v>
      </c>
      <c r="N1716" t="str">
        <f>IF(OR(J1716&lt;$AE$21,J1716&gt;$AF$21),"Outlier","OK")</f>
        <v>OK</v>
      </c>
      <c r="O1716" t="str">
        <f>IF(OR(C1716&lt;0,C1716&gt;1),"Outlier","OK")</f>
        <v>OK</v>
      </c>
      <c r="P1716" t="str">
        <f>IF(OR(D1716&lt;0,D1716&gt;1),"Outlier","OK")</f>
        <v>OK</v>
      </c>
      <c r="Q1716" t="str">
        <f t="shared" si="210"/>
        <v>80-100%</v>
      </c>
      <c r="R1716" t="str">
        <f>IF(B1716="","Missing","OK")</f>
        <v>OK</v>
      </c>
      <c r="S1716" t="str">
        <f>IF(E1716="","Missing","OK")</f>
        <v>OK</v>
      </c>
      <c r="T1716" t="str">
        <f t="shared" si="211"/>
        <v>OK</v>
      </c>
      <c r="U1716">
        <f>COUNTIF($A:$A,A1716)</f>
        <v>1</v>
      </c>
      <c r="V1716" t="str">
        <f t="shared" si="212"/>
        <v>OK</v>
      </c>
      <c r="W1716" t="str">
        <f>IF(I1716&gt;B1716,"ERROR","OK")</f>
        <v>OK</v>
      </c>
      <c r="X1716">
        <f>(B1716-I1716)/B1716</f>
        <v>0.94668846030429299</v>
      </c>
      <c r="Y1716" s="2">
        <f t="shared" si="213"/>
        <v>0</v>
      </c>
      <c r="Z1716" s="2" t="str">
        <f t="shared" si="214"/>
        <v>OK</v>
      </c>
      <c r="AA1716" t="str">
        <f t="shared" si="215"/>
        <v>Unique</v>
      </c>
    </row>
    <row r="1717" spans="1:27" x14ac:dyDescent="0.3">
      <c r="A1717">
        <v>1716</v>
      </c>
      <c r="B1717">
        <v>1358797.6425319701</v>
      </c>
      <c r="C1717">
        <v>0.41226119430116898</v>
      </c>
      <c r="D1717">
        <v>-0.122409572168064</v>
      </c>
      <c r="E1717">
        <v>0.29394403625443499</v>
      </c>
      <c r="F1717">
        <v>1</v>
      </c>
      <c r="G1717" t="s">
        <v>12</v>
      </c>
      <c r="H1717">
        <v>1</v>
      </c>
      <c r="I1717">
        <v>399410.46349885903</v>
      </c>
      <c r="J1717">
        <v>0.70605596374556401</v>
      </c>
      <c r="K1717" t="str">
        <f t="shared" si="208"/>
        <v>OK</v>
      </c>
      <c r="L1717" t="str">
        <f t="shared" si="209"/>
        <v>OK</v>
      </c>
      <c r="M1717" t="str">
        <f>IF(OR(B1717&lt;$AE$20,B1717&gt;$AF$20),"Outlier","OK")</f>
        <v>OK</v>
      </c>
      <c r="N1717" t="str">
        <f>IF(OR(J1717&lt;$AE$21,J1717&gt;$AF$21),"Outlier","OK")</f>
        <v>OK</v>
      </c>
      <c r="O1717" t="str">
        <f>IF(OR(C1717&lt;0,C1717&gt;1),"Outlier","OK")</f>
        <v>OK</v>
      </c>
      <c r="P1717" t="str">
        <f>IF(OR(D1717&lt;0,D1717&gt;1),"Outlier","OK")</f>
        <v>Outlier</v>
      </c>
      <c r="Q1717" t="str">
        <f t="shared" si="210"/>
        <v>60-80%</v>
      </c>
      <c r="R1717" t="str">
        <f>IF(B1717="","Missing","OK")</f>
        <v>OK</v>
      </c>
      <c r="S1717" t="str">
        <f>IF(E1717="","Missing","OK")</f>
        <v>OK</v>
      </c>
      <c r="T1717" t="str">
        <f t="shared" si="211"/>
        <v>OK</v>
      </c>
      <c r="U1717">
        <f>COUNTIF($A:$A,A1717)</f>
        <v>1</v>
      </c>
      <c r="V1717" t="str">
        <f t="shared" si="212"/>
        <v>OK</v>
      </c>
      <c r="W1717" t="str">
        <f>IF(I1717&gt;B1717,"ERROR","OK")</f>
        <v>OK</v>
      </c>
      <c r="X1717">
        <f>(B1717-I1717)/B1717</f>
        <v>0.70605596374556445</v>
      </c>
      <c r="Y1717" s="2">
        <f t="shared" si="213"/>
        <v>4.4408920985006262E-16</v>
      </c>
      <c r="Z1717" s="2" t="str">
        <f t="shared" si="214"/>
        <v>OK</v>
      </c>
      <c r="AA1717" t="str">
        <f t="shared" si="215"/>
        <v>Unique</v>
      </c>
    </row>
    <row r="1718" spans="1:27" x14ac:dyDescent="0.3">
      <c r="A1718">
        <v>1717</v>
      </c>
      <c r="B1718">
        <v>653420.91732691706</v>
      </c>
      <c r="C1718">
        <v>0.17304429854029299</v>
      </c>
      <c r="D1718">
        <v>-7.7558726680967097E-2</v>
      </c>
      <c r="E1718">
        <v>0.11243843002328301</v>
      </c>
      <c r="F1718">
        <v>1</v>
      </c>
      <c r="G1718" t="s">
        <v>11</v>
      </c>
      <c r="H1718">
        <v>0</v>
      </c>
      <c r="I1718">
        <v>73469.622088612203</v>
      </c>
      <c r="J1718">
        <v>0.88756156997671598</v>
      </c>
      <c r="K1718" t="str">
        <f t="shared" si="208"/>
        <v>OK</v>
      </c>
      <c r="L1718" t="str">
        <f t="shared" si="209"/>
        <v>OK</v>
      </c>
      <c r="M1718" t="str">
        <f>IF(OR(B1718&lt;$AE$20,B1718&gt;$AF$20),"Outlier","OK")</f>
        <v>OK</v>
      </c>
      <c r="N1718" t="str">
        <f>IF(OR(J1718&lt;$AE$21,J1718&gt;$AF$21),"Outlier","OK")</f>
        <v>OK</v>
      </c>
      <c r="O1718" t="str">
        <f>IF(OR(C1718&lt;0,C1718&gt;1),"Outlier","OK")</f>
        <v>OK</v>
      </c>
      <c r="P1718" t="str">
        <f>IF(OR(D1718&lt;0,D1718&gt;1),"Outlier","OK")</f>
        <v>Outlier</v>
      </c>
      <c r="Q1718" t="str">
        <f t="shared" si="210"/>
        <v>80-100%</v>
      </c>
      <c r="R1718" t="str">
        <f>IF(B1718="","Missing","OK")</f>
        <v>OK</v>
      </c>
      <c r="S1718" t="str">
        <f>IF(E1718="","Missing","OK")</f>
        <v>OK</v>
      </c>
      <c r="T1718" t="str">
        <f t="shared" si="211"/>
        <v>OK</v>
      </c>
      <c r="U1718">
        <f>COUNTIF($A:$A,A1718)</f>
        <v>1</v>
      </c>
      <c r="V1718" t="str">
        <f t="shared" si="212"/>
        <v>OK</v>
      </c>
      <c r="W1718" t="str">
        <f>IF(I1718&gt;B1718,"ERROR","OK")</f>
        <v>OK</v>
      </c>
      <c r="X1718">
        <f>(B1718-I1718)/B1718</f>
        <v>0.88756156997671665</v>
      </c>
      <c r="Y1718" s="2">
        <f t="shared" si="213"/>
        <v>6.6613381477509392E-16</v>
      </c>
      <c r="Z1718" s="2" t="str">
        <f t="shared" si="214"/>
        <v>OK</v>
      </c>
      <c r="AA1718" t="str">
        <f t="shared" si="215"/>
        <v>Unique</v>
      </c>
    </row>
    <row r="1719" spans="1:27" x14ac:dyDescent="0.3">
      <c r="A1719">
        <v>1718</v>
      </c>
      <c r="B1719">
        <v>843295.99016926903</v>
      </c>
      <c r="C1719">
        <v>0.417685729432829</v>
      </c>
      <c r="D1719">
        <v>0.12649163284304701</v>
      </c>
      <c r="E1719">
        <v>0.12213118057490201</v>
      </c>
      <c r="F1719">
        <v>1</v>
      </c>
      <c r="G1719" t="s">
        <v>12</v>
      </c>
      <c r="H1719">
        <v>0</v>
      </c>
      <c r="I1719">
        <v>102992.734853453</v>
      </c>
      <c r="J1719">
        <v>0.87786881942509698</v>
      </c>
      <c r="K1719" t="str">
        <f t="shared" si="208"/>
        <v>OK</v>
      </c>
      <c r="L1719" t="str">
        <f t="shared" si="209"/>
        <v>OK</v>
      </c>
      <c r="M1719" t="str">
        <f>IF(OR(B1719&lt;$AE$20,B1719&gt;$AF$20),"Outlier","OK")</f>
        <v>OK</v>
      </c>
      <c r="N1719" t="str">
        <f>IF(OR(J1719&lt;$AE$21,J1719&gt;$AF$21),"Outlier","OK")</f>
        <v>OK</v>
      </c>
      <c r="O1719" t="str">
        <f>IF(OR(C1719&lt;0,C1719&gt;1),"Outlier","OK")</f>
        <v>OK</v>
      </c>
      <c r="P1719" t="str">
        <f>IF(OR(D1719&lt;0,D1719&gt;1),"Outlier","OK")</f>
        <v>OK</v>
      </c>
      <c r="Q1719" t="str">
        <f t="shared" si="210"/>
        <v>80-100%</v>
      </c>
      <c r="R1719" t="str">
        <f>IF(B1719="","Missing","OK")</f>
        <v>OK</v>
      </c>
      <c r="S1719" t="str">
        <f>IF(E1719="","Missing","OK")</f>
        <v>OK</v>
      </c>
      <c r="T1719" t="str">
        <f t="shared" si="211"/>
        <v>OK</v>
      </c>
      <c r="U1719">
        <f>COUNTIF($A:$A,A1719)</f>
        <v>1</v>
      </c>
      <c r="V1719" t="str">
        <f t="shared" si="212"/>
        <v>OK</v>
      </c>
      <c r="W1719" t="str">
        <f>IF(I1719&gt;B1719,"ERROR","OK")</f>
        <v>OK</v>
      </c>
      <c r="X1719">
        <f>(B1719-I1719)/B1719</f>
        <v>0.87786881942509887</v>
      </c>
      <c r="Y1719" s="2">
        <f t="shared" si="213"/>
        <v>1.8873791418627661E-15</v>
      </c>
      <c r="Z1719" s="2" t="str">
        <f t="shared" si="214"/>
        <v>OK</v>
      </c>
      <c r="AA1719" t="str">
        <f t="shared" si="215"/>
        <v>Unique</v>
      </c>
    </row>
    <row r="1720" spans="1:27" x14ac:dyDescent="0.3">
      <c r="A1720">
        <v>1719</v>
      </c>
      <c r="B1720">
        <v>548817.73208379501</v>
      </c>
      <c r="C1720">
        <v>0.57583038605647097</v>
      </c>
      <c r="D1720">
        <v>0.17050186342015999</v>
      </c>
      <c r="E1720">
        <v>6.7549895107327895E-2</v>
      </c>
      <c r="F1720">
        <v>1</v>
      </c>
      <c r="G1720" t="s">
        <v>10</v>
      </c>
      <c r="H1720">
        <v>0</v>
      </c>
      <c r="I1720">
        <v>37072.580235301997</v>
      </c>
      <c r="J1720">
        <v>0.93245010489267199</v>
      </c>
      <c r="K1720" t="str">
        <f t="shared" si="208"/>
        <v>OK</v>
      </c>
      <c r="L1720" t="str">
        <f t="shared" si="209"/>
        <v>OK</v>
      </c>
      <c r="M1720" t="str">
        <f>IF(OR(B1720&lt;$AE$20,B1720&gt;$AF$20),"Outlier","OK")</f>
        <v>OK</v>
      </c>
      <c r="N1720" t="str">
        <f>IF(OR(J1720&lt;$AE$21,J1720&gt;$AF$21),"Outlier","OK")</f>
        <v>OK</v>
      </c>
      <c r="O1720" t="str">
        <f>IF(OR(C1720&lt;0,C1720&gt;1),"Outlier","OK")</f>
        <v>OK</v>
      </c>
      <c r="P1720" t="str">
        <f>IF(OR(D1720&lt;0,D1720&gt;1),"Outlier","OK")</f>
        <v>OK</v>
      </c>
      <c r="Q1720" t="str">
        <f t="shared" si="210"/>
        <v>80-100%</v>
      </c>
      <c r="R1720" t="str">
        <f>IF(B1720="","Missing","OK")</f>
        <v>OK</v>
      </c>
      <c r="S1720" t="str">
        <f>IF(E1720="","Missing","OK")</f>
        <v>OK</v>
      </c>
      <c r="T1720" t="str">
        <f t="shared" si="211"/>
        <v>OK</v>
      </c>
      <c r="U1720">
        <f>COUNTIF($A:$A,A1720)</f>
        <v>1</v>
      </c>
      <c r="V1720" t="str">
        <f t="shared" si="212"/>
        <v>OK</v>
      </c>
      <c r="W1720" t="str">
        <f>IF(I1720&gt;B1720,"ERROR","OK")</f>
        <v>OK</v>
      </c>
      <c r="X1720">
        <f>(B1720-I1720)/B1720</f>
        <v>0.93245010489267199</v>
      </c>
      <c r="Y1720" s="2">
        <f t="shared" si="213"/>
        <v>0</v>
      </c>
      <c r="Z1720" s="2" t="str">
        <f t="shared" si="214"/>
        <v>OK</v>
      </c>
      <c r="AA1720" t="str">
        <f t="shared" si="215"/>
        <v>Unique</v>
      </c>
    </row>
    <row r="1721" spans="1:27" x14ac:dyDescent="0.3">
      <c r="A1721">
        <v>1720</v>
      </c>
      <c r="B1721">
        <v>1091742.1664871699</v>
      </c>
      <c r="C1721">
        <v>0.82640612751920794</v>
      </c>
      <c r="D1721">
        <v>-3.4756968042005502E-2</v>
      </c>
      <c r="E1721">
        <v>0.11349278554337</v>
      </c>
      <c r="F1721">
        <v>1</v>
      </c>
      <c r="G1721" t="s">
        <v>13</v>
      </c>
      <c r="H1721">
        <v>0</v>
      </c>
      <c r="I1721">
        <v>123904.859569782</v>
      </c>
      <c r="J1721">
        <v>0.88650721445662894</v>
      </c>
      <c r="K1721" t="str">
        <f t="shared" si="208"/>
        <v>OK</v>
      </c>
      <c r="L1721" t="str">
        <f t="shared" si="209"/>
        <v>OK</v>
      </c>
      <c r="M1721" t="str">
        <f>IF(OR(B1721&lt;$AE$20,B1721&gt;$AF$20),"Outlier","OK")</f>
        <v>OK</v>
      </c>
      <c r="N1721" t="str">
        <f>IF(OR(J1721&lt;$AE$21,J1721&gt;$AF$21),"Outlier","OK")</f>
        <v>OK</v>
      </c>
      <c r="O1721" t="str">
        <f>IF(OR(C1721&lt;0,C1721&gt;1),"Outlier","OK")</f>
        <v>OK</v>
      </c>
      <c r="P1721" t="str">
        <f>IF(OR(D1721&lt;0,D1721&gt;1),"Outlier","OK")</f>
        <v>Outlier</v>
      </c>
      <c r="Q1721" t="str">
        <f t="shared" si="210"/>
        <v>80-100%</v>
      </c>
      <c r="R1721" t="str">
        <f>IF(B1721="","Missing","OK")</f>
        <v>OK</v>
      </c>
      <c r="S1721" t="str">
        <f>IF(E1721="","Missing","OK")</f>
        <v>OK</v>
      </c>
      <c r="T1721" t="str">
        <f t="shared" si="211"/>
        <v>OK</v>
      </c>
      <c r="U1721">
        <f>COUNTIF($A:$A,A1721)</f>
        <v>1</v>
      </c>
      <c r="V1721" t="str">
        <f t="shared" si="212"/>
        <v>OK</v>
      </c>
      <c r="W1721" t="str">
        <f>IF(I1721&gt;B1721,"ERROR","OK")</f>
        <v>OK</v>
      </c>
      <c r="X1721">
        <f>(B1721-I1721)/B1721</f>
        <v>0.88650721445663039</v>
      </c>
      <c r="Y1721" s="2">
        <f t="shared" si="213"/>
        <v>1.4432899320127035E-15</v>
      </c>
      <c r="Z1721" s="2" t="str">
        <f t="shared" si="214"/>
        <v>OK</v>
      </c>
      <c r="AA1721" t="str">
        <f t="shared" si="215"/>
        <v>Unique</v>
      </c>
    </row>
    <row r="1722" spans="1:27" x14ac:dyDescent="0.3">
      <c r="A1722">
        <v>1721</v>
      </c>
      <c r="B1722">
        <v>1745478.7675703</v>
      </c>
      <c r="C1722">
        <v>0.48967369153313201</v>
      </c>
      <c r="D1722">
        <v>-0.133674695669416</v>
      </c>
      <c r="E1722">
        <v>0.41306290820562103</v>
      </c>
      <c r="F1722">
        <v>1</v>
      </c>
      <c r="G1722" t="s">
        <v>13</v>
      </c>
      <c r="H1722">
        <v>0</v>
      </c>
      <c r="I1722">
        <v>720992.53594375495</v>
      </c>
      <c r="J1722">
        <v>0.58693709179437803</v>
      </c>
      <c r="K1722" t="str">
        <f t="shared" si="208"/>
        <v>OK</v>
      </c>
      <c r="L1722" t="str">
        <f t="shared" si="209"/>
        <v>OK</v>
      </c>
      <c r="M1722" t="str">
        <f>IF(OR(B1722&lt;$AE$20,B1722&gt;$AF$20),"Outlier","OK")</f>
        <v>OK</v>
      </c>
      <c r="N1722" t="str">
        <f>IF(OR(J1722&lt;$AE$21,J1722&gt;$AF$21),"Outlier","OK")</f>
        <v>OK</v>
      </c>
      <c r="O1722" t="str">
        <f>IF(OR(C1722&lt;0,C1722&gt;1),"Outlier","OK")</f>
        <v>OK</v>
      </c>
      <c r="P1722" t="str">
        <f>IF(OR(D1722&lt;0,D1722&gt;1),"Outlier","OK")</f>
        <v>Outlier</v>
      </c>
      <c r="Q1722" t="str">
        <f t="shared" si="210"/>
        <v>40-60%</v>
      </c>
      <c r="R1722" t="str">
        <f>IF(B1722="","Missing","OK")</f>
        <v>OK</v>
      </c>
      <c r="S1722" t="str">
        <f>IF(E1722="","Missing","OK")</f>
        <v>OK</v>
      </c>
      <c r="T1722" t="str">
        <f t="shared" si="211"/>
        <v>OK</v>
      </c>
      <c r="U1722">
        <f>COUNTIF($A:$A,A1722)</f>
        <v>1</v>
      </c>
      <c r="V1722" t="str">
        <f t="shared" si="212"/>
        <v>OK</v>
      </c>
      <c r="W1722" t="str">
        <f>IF(I1722&gt;B1722,"ERROR","OK")</f>
        <v>OK</v>
      </c>
      <c r="X1722">
        <f>(B1722-I1722)/B1722</f>
        <v>0.58693709179437692</v>
      </c>
      <c r="Y1722" s="2">
        <f t="shared" si="213"/>
        <v>1.1102230246251565E-15</v>
      </c>
      <c r="Z1722" s="2" t="str">
        <f t="shared" si="214"/>
        <v>OK</v>
      </c>
      <c r="AA1722" t="str">
        <f t="shared" si="215"/>
        <v>Unique</v>
      </c>
    </row>
    <row r="1723" spans="1:27" x14ac:dyDescent="0.3">
      <c r="A1723">
        <v>1722</v>
      </c>
      <c r="B1723">
        <v>517401.01924185501</v>
      </c>
      <c r="C1723">
        <v>0.237558403427679</v>
      </c>
      <c r="D1723">
        <v>0.14739455644127</v>
      </c>
      <c r="E1723">
        <v>0.40310880237273999</v>
      </c>
      <c r="F1723">
        <v>1</v>
      </c>
      <c r="G1723" t="s">
        <v>12</v>
      </c>
      <c r="H1723">
        <v>1</v>
      </c>
      <c r="I1723">
        <v>208568.905213019</v>
      </c>
      <c r="J1723">
        <v>0.59689119762725895</v>
      </c>
      <c r="K1723" t="str">
        <f t="shared" si="208"/>
        <v>OK</v>
      </c>
      <c r="L1723" t="str">
        <f t="shared" si="209"/>
        <v>OK</v>
      </c>
      <c r="M1723" t="str">
        <f>IF(OR(B1723&lt;$AE$20,B1723&gt;$AF$20),"Outlier","OK")</f>
        <v>OK</v>
      </c>
      <c r="N1723" t="str">
        <f>IF(OR(J1723&lt;$AE$21,J1723&gt;$AF$21),"Outlier","OK")</f>
        <v>OK</v>
      </c>
      <c r="O1723" t="str">
        <f>IF(OR(C1723&lt;0,C1723&gt;1),"Outlier","OK")</f>
        <v>OK</v>
      </c>
      <c r="P1723" t="str">
        <f>IF(OR(D1723&lt;0,D1723&gt;1),"Outlier","OK")</f>
        <v>OK</v>
      </c>
      <c r="Q1723" t="str">
        <f t="shared" si="210"/>
        <v>40-60%</v>
      </c>
      <c r="R1723" t="str">
        <f>IF(B1723="","Missing","OK")</f>
        <v>OK</v>
      </c>
      <c r="S1723" t="str">
        <f>IF(E1723="","Missing","OK")</f>
        <v>OK</v>
      </c>
      <c r="T1723" t="str">
        <f t="shared" si="211"/>
        <v>OK</v>
      </c>
      <c r="U1723">
        <f>COUNTIF($A:$A,A1723)</f>
        <v>1</v>
      </c>
      <c r="V1723" t="str">
        <f t="shared" si="212"/>
        <v>OK</v>
      </c>
      <c r="W1723" t="str">
        <f>IF(I1723&gt;B1723,"ERROR","OK")</f>
        <v>OK</v>
      </c>
      <c r="X1723">
        <f>(B1723-I1723)/B1723</f>
        <v>0.59689119762726039</v>
      </c>
      <c r="Y1723" s="2">
        <f t="shared" si="213"/>
        <v>1.4432899320127035E-15</v>
      </c>
      <c r="Z1723" s="2" t="str">
        <f t="shared" si="214"/>
        <v>OK</v>
      </c>
      <c r="AA1723" t="str">
        <f t="shared" si="215"/>
        <v>Unique</v>
      </c>
    </row>
    <row r="1724" spans="1:27" x14ac:dyDescent="0.3">
      <c r="A1724">
        <v>1723</v>
      </c>
      <c r="B1724">
        <v>1082597.6046609101</v>
      </c>
      <c r="C1724">
        <v>0.53377613023265802</v>
      </c>
      <c r="D1724">
        <v>-0.10069564092434299</v>
      </c>
      <c r="E1724">
        <v>0.47272636958802899</v>
      </c>
      <c r="F1724">
        <v>1</v>
      </c>
      <c r="G1724" t="s">
        <v>13</v>
      </c>
      <c r="H1724">
        <v>0</v>
      </c>
      <c r="I1724">
        <v>511772.43537605001</v>
      </c>
      <c r="J1724">
        <v>0.52727363041196995</v>
      </c>
      <c r="K1724" t="str">
        <f t="shared" si="208"/>
        <v>OK</v>
      </c>
      <c r="L1724" t="str">
        <f t="shared" si="209"/>
        <v>OK</v>
      </c>
      <c r="M1724" t="str">
        <f>IF(OR(B1724&lt;$AE$20,B1724&gt;$AF$20),"Outlier","OK")</f>
        <v>OK</v>
      </c>
      <c r="N1724" t="str">
        <f>IF(OR(J1724&lt;$AE$21,J1724&gt;$AF$21),"Outlier","OK")</f>
        <v>OK</v>
      </c>
      <c r="O1724" t="str">
        <f>IF(OR(C1724&lt;0,C1724&gt;1),"Outlier","OK")</f>
        <v>OK</v>
      </c>
      <c r="P1724" t="str">
        <f>IF(OR(D1724&lt;0,D1724&gt;1),"Outlier","OK")</f>
        <v>Outlier</v>
      </c>
      <c r="Q1724" t="str">
        <f t="shared" si="210"/>
        <v>40-60%</v>
      </c>
      <c r="R1724" t="str">
        <f>IF(B1724="","Missing","OK")</f>
        <v>OK</v>
      </c>
      <c r="S1724" t="str">
        <f>IF(E1724="","Missing","OK")</f>
        <v>OK</v>
      </c>
      <c r="T1724" t="str">
        <f t="shared" si="211"/>
        <v>OK</v>
      </c>
      <c r="U1724">
        <f>COUNTIF($A:$A,A1724)</f>
        <v>1</v>
      </c>
      <c r="V1724" t="str">
        <f t="shared" si="212"/>
        <v>OK</v>
      </c>
      <c r="W1724" t="str">
        <f>IF(I1724&gt;B1724,"ERROR","OK")</f>
        <v>OK</v>
      </c>
      <c r="X1724">
        <f>(B1724-I1724)/B1724</f>
        <v>0.52727363041196951</v>
      </c>
      <c r="Y1724" s="2">
        <f t="shared" si="213"/>
        <v>4.4408920985006262E-16</v>
      </c>
      <c r="Z1724" s="2" t="str">
        <f t="shared" si="214"/>
        <v>OK</v>
      </c>
      <c r="AA1724" t="str">
        <f t="shared" si="215"/>
        <v>Unique</v>
      </c>
    </row>
    <row r="1725" spans="1:27" x14ac:dyDescent="0.3">
      <c r="A1725">
        <v>1724</v>
      </c>
      <c r="B1725">
        <v>1346757.1157581999</v>
      </c>
      <c r="C1725">
        <v>0.72456223137634301</v>
      </c>
      <c r="D1725">
        <v>-7.7508046305883496E-2</v>
      </c>
      <c r="E1725">
        <v>0.422517596169879</v>
      </c>
      <c r="F1725">
        <v>1</v>
      </c>
      <c r="G1725" t="s">
        <v>10</v>
      </c>
      <c r="H1725">
        <v>0</v>
      </c>
      <c r="I1725">
        <v>569028.57917483605</v>
      </c>
      <c r="J1725">
        <v>0.57748240383011995</v>
      </c>
      <c r="K1725" t="str">
        <f t="shared" si="208"/>
        <v>OK</v>
      </c>
      <c r="L1725" t="str">
        <f t="shared" si="209"/>
        <v>OK</v>
      </c>
      <c r="M1725" t="str">
        <f>IF(OR(B1725&lt;$AE$20,B1725&gt;$AF$20),"Outlier","OK")</f>
        <v>OK</v>
      </c>
      <c r="N1725" t="str">
        <f>IF(OR(J1725&lt;$AE$21,J1725&gt;$AF$21),"Outlier","OK")</f>
        <v>OK</v>
      </c>
      <c r="O1725" t="str">
        <f>IF(OR(C1725&lt;0,C1725&gt;1),"Outlier","OK")</f>
        <v>OK</v>
      </c>
      <c r="P1725" t="str">
        <f>IF(OR(D1725&lt;0,D1725&gt;1),"Outlier","OK")</f>
        <v>Outlier</v>
      </c>
      <c r="Q1725" t="str">
        <f t="shared" si="210"/>
        <v>40-60%</v>
      </c>
      <c r="R1725" t="str">
        <f>IF(B1725="","Missing","OK")</f>
        <v>OK</v>
      </c>
      <c r="S1725" t="str">
        <f>IF(E1725="","Missing","OK")</f>
        <v>OK</v>
      </c>
      <c r="T1725" t="str">
        <f t="shared" si="211"/>
        <v>OK</v>
      </c>
      <c r="U1725">
        <f>COUNTIF($A:$A,A1725)</f>
        <v>1</v>
      </c>
      <c r="V1725" t="str">
        <f t="shared" si="212"/>
        <v>OK</v>
      </c>
      <c r="W1725" t="str">
        <f>IF(I1725&gt;B1725,"ERROR","OK")</f>
        <v>OK</v>
      </c>
      <c r="X1725">
        <f>(B1725-I1725)/B1725</f>
        <v>0.57748240383011951</v>
      </c>
      <c r="Y1725" s="2">
        <f t="shared" si="213"/>
        <v>4.4408920985006262E-16</v>
      </c>
      <c r="Z1725" s="2" t="str">
        <f t="shared" si="214"/>
        <v>OK</v>
      </c>
      <c r="AA1725" t="str">
        <f t="shared" si="215"/>
        <v>Unique</v>
      </c>
    </row>
    <row r="1726" spans="1:27" x14ac:dyDescent="0.3">
      <c r="A1726">
        <v>1725</v>
      </c>
      <c r="B1726">
        <v>62822.859370377999</v>
      </c>
      <c r="C1726">
        <v>0.40203859430491101</v>
      </c>
      <c r="D1726">
        <v>-0.145781681026662</v>
      </c>
      <c r="E1726">
        <v>0.154839892137492</v>
      </c>
      <c r="F1726">
        <v>1</v>
      </c>
      <c r="G1726" t="s">
        <v>10</v>
      </c>
      <c r="H1726">
        <v>0</v>
      </c>
      <c r="I1726">
        <v>9727.4847686782196</v>
      </c>
      <c r="J1726">
        <v>0.84516010786250695</v>
      </c>
      <c r="K1726" t="str">
        <f t="shared" si="208"/>
        <v>OK</v>
      </c>
      <c r="L1726" t="str">
        <f t="shared" si="209"/>
        <v>OK</v>
      </c>
      <c r="M1726" t="str">
        <f>IF(OR(B1726&lt;$AE$20,B1726&gt;$AF$20),"Outlier","OK")</f>
        <v>Outlier</v>
      </c>
      <c r="N1726" t="str">
        <f>IF(OR(J1726&lt;$AE$21,J1726&gt;$AF$21),"Outlier","OK")</f>
        <v>OK</v>
      </c>
      <c r="O1726" t="str">
        <f>IF(OR(C1726&lt;0,C1726&gt;1),"Outlier","OK")</f>
        <v>OK</v>
      </c>
      <c r="P1726" t="str">
        <f>IF(OR(D1726&lt;0,D1726&gt;1),"Outlier","OK")</f>
        <v>Outlier</v>
      </c>
      <c r="Q1726" t="str">
        <f t="shared" si="210"/>
        <v>80-100%</v>
      </c>
      <c r="R1726" t="str">
        <f>IF(B1726="","Missing","OK")</f>
        <v>OK</v>
      </c>
      <c r="S1726" t="str">
        <f>IF(E1726="","Missing","OK")</f>
        <v>OK</v>
      </c>
      <c r="T1726" t="str">
        <f t="shared" si="211"/>
        <v>OK</v>
      </c>
      <c r="U1726">
        <f>COUNTIF($A:$A,A1726)</f>
        <v>1</v>
      </c>
      <c r="V1726" t="str">
        <f t="shared" si="212"/>
        <v>OK</v>
      </c>
      <c r="W1726" t="str">
        <f>IF(I1726&gt;B1726,"ERROR","OK")</f>
        <v>OK</v>
      </c>
      <c r="X1726">
        <f>(B1726-I1726)/B1726</f>
        <v>0.84516010786250695</v>
      </c>
      <c r="Y1726" s="2">
        <f t="shared" si="213"/>
        <v>0</v>
      </c>
      <c r="Z1726" s="2" t="str">
        <f t="shared" si="214"/>
        <v>OK</v>
      </c>
      <c r="AA1726" t="str">
        <f t="shared" si="215"/>
        <v>Unique</v>
      </c>
    </row>
    <row r="1727" spans="1:27" x14ac:dyDescent="0.3">
      <c r="A1727">
        <v>1726</v>
      </c>
      <c r="B1727">
        <v>543296.88553227903</v>
      </c>
      <c r="C1727">
        <v>0.74078164672995395</v>
      </c>
      <c r="D1727">
        <v>0.107784038037404</v>
      </c>
      <c r="E1727">
        <v>0.37188048207803798</v>
      </c>
      <c r="F1727">
        <v>1</v>
      </c>
      <c r="G1727" t="s">
        <v>12</v>
      </c>
      <c r="H1727">
        <v>0</v>
      </c>
      <c r="I1727">
        <v>202041.50770324</v>
      </c>
      <c r="J1727">
        <v>0.62811951792196197</v>
      </c>
      <c r="K1727" t="str">
        <f t="shared" si="208"/>
        <v>OK</v>
      </c>
      <c r="L1727" t="str">
        <f t="shared" si="209"/>
        <v>OK</v>
      </c>
      <c r="M1727" t="str">
        <f>IF(OR(B1727&lt;$AE$20,B1727&gt;$AF$20),"Outlier","OK")</f>
        <v>OK</v>
      </c>
      <c r="N1727" t="str">
        <f>IF(OR(J1727&lt;$AE$21,J1727&gt;$AF$21),"Outlier","OK")</f>
        <v>OK</v>
      </c>
      <c r="O1727" t="str">
        <f>IF(OR(C1727&lt;0,C1727&gt;1),"Outlier","OK")</f>
        <v>OK</v>
      </c>
      <c r="P1727" t="str">
        <f>IF(OR(D1727&lt;0,D1727&gt;1),"Outlier","OK")</f>
        <v>OK</v>
      </c>
      <c r="Q1727" t="str">
        <f t="shared" si="210"/>
        <v>60-80%</v>
      </c>
      <c r="R1727" t="str">
        <f>IF(B1727="","Missing","OK")</f>
        <v>OK</v>
      </c>
      <c r="S1727" t="str">
        <f>IF(E1727="","Missing","OK")</f>
        <v>OK</v>
      </c>
      <c r="T1727" t="str">
        <f t="shared" si="211"/>
        <v>OK</v>
      </c>
      <c r="U1727">
        <f>COUNTIF($A:$A,A1727)</f>
        <v>1</v>
      </c>
      <c r="V1727" t="str">
        <f t="shared" si="212"/>
        <v>OK</v>
      </c>
      <c r="W1727" t="str">
        <f>IF(I1727&gt;B1727,"ERROR","OK")</f>
        <v>OK</v>
      </c>
      <c r="X1727">
        <f>(B1727-I1727)/B1727</f>
        <v>0.62811951792196297</v>
      </c>
      <c r="Y1727" s="2">
        <f t="shared" si="213"/>
        <v>9.9920072216264089E-16</v>
      </c>
      <c r="Z1727" s="2" t="str">
        <f t="shared" si="214"/>
        <v>OK</v>
      </c>
      <c r="AA1727" t="str">
        <f t="shared" si="215"/>
        <v>Unique</v>
      </c>
    </row>
    <row r="1728" spans="1:27" x14ac:dyDescent="0.3">
      <c r="A1728">
        <v>1727</v>
      </c>
      <c r="B1728">
        <v>1156171.47382099</v>
      </c>
      <c r="C1728">
        <v>0.170076728991058</v>
      </c>
      <c r="D1728">
        <v>6.2076705236504902E-2</v>
      </c>
      <c r="E1728">
        <v>4.7033923641111502E-2</v>
      </c>
      <c r="F1728">
        <v>1</v>
      </c>
      <c r="G1728" t="s">
        <v>12</v>
      </c>
      <c r="H1728">
        <v>0</v>
      </c>
      <c r="I1728">
        <v>54379.280815727798</v>
      </c>
      <c r="J1728">
        <v>0.95296607635888797</v>
      </c>
      <c r="K1728" t="str">
        <f t="shared" si="208"/>
        <v>OK</v>
      </c>
      <c r="L1728" t="str">
        <f t="shared" si="209"/>
        <v>OK</v>
      </c>
      <c r="M1728" t="str">
        <f>IF(OR(B1728&lt;$AE$20,B1728&gt;$AF$20),"Outlier","OK")</f>
        <v>OK</v>
      </c>
      <c r="N1728" t="str">
        <f>IF(OR(J1728&lt;$AE$21,J1728&gt;$AF$21),"Outlier","OK")</f>
        <v>OK</v>
      </c>
      <c r="O1728" t="str">
        <f>IF(OR(C1728&lt;0,C1728&gt;1),"Outlier","OK")</f>
        <v>OK</v>
      </c>
      <c r="P1728" t="str">
        <f>IF(OR(D1728&lt;0,D1728&gt;1),"Outlier","OK")</f>
        <v>OK</v>
      </c>
      <c r="Q1728" t="str">
        <f t="shared" si="210"/>
        <v>80-100%</v>
      </c>
      <c r="R1728" t="str">
        <f>IF(B1728="","Missing","OK")</f>
        <v>OK</v>
      </c>
      <c r="S1728" t="str">
        <f>IF(E1728="","Missing","OK")</f>
        <v>OK</v>
      </c>
      <c r="T1728" t="str">
        <f t="shared" si="211"/>
        <v>OK</v>
      </c>
      <c r="U1728">
        <f>COUNTIF($A:$A,A1728)</f>
        <v>1</v>
      </c>
      <c r="V1728" t="str">
        <f t="shared" si="212"/>
        <v>OK</v>
      </c>
      <c r="W1728" t="str">
        <f>IF(I1728&gt;B1728,"ERROR","OK")</f>
        <v>OK</v>
      </c>
      <c r="X1728">
        <f>(B1728-I1728)/B1728</f>
        <v>0.95296607635888853</v>
      </c>
      <c r="Y1728" s="2">
        <f t="shared" si="213"/>
        <v>5.5511151231257827E-16</v>
      </c>
      <c r="Z1728" s="2" t="str">
        <f t="shared" si="214"/>
        <v>OK</v>
      </c>
      <c r="AA1728" t="str">
        <f t="shared" si="215"/>
        <v>Unique</v>
      </c>
    </row>
    <row r="1729" spans="1:27" x14ac:dyDescent="0.3">
      <c r="A1729">
        <v>1728</v>
      </c>
      <c r="B1729">
        <v>1659139.03422871</v>
      </c>
      <c r="C1729">
        <v>0.113697935601987</v>
      </c>
      <c r="D1729">
        <v>0.11803053167753701</v>
      </c>
      <c r="E1729">
        <v>0.15895699178071199</v>
      </c>
      <c r="F1729">
        <v>1</v>
      </c>
      <c r="G1729" t="s">
        <v>11</v>
      </c>
      <c r="H1729">
        <v>1</v>
      </c>
      <c r="I1729">
        <v>263731.74982695299</v>
      </c>
      <c r="J1729">
        <v>0.84104300821928701</v>
      </c>
      <c r="K1729" t="str">
        <f t="shared" si="208"/>
        <v>OK</v>
      </c>
      <c r="L1729" t="str">
        <f t="shared" si="209"/>
        <v>OK</v>
      </c>
      <c r="M1729" t="str">
        <f>IF(OR(B1729&lt;$AE$20,B1729&gt;$AF$20),"Outlier","OK")</f>
        <v>OK</v>
      </c>
      <c r="N1729" t="str">
        <f>IF(OR(J1729&lt;$AE$21,J1729&gt;$AF$21),"Outlier","OK")</f>
        <v>OK</v>
      </c>
      <c r="O1729" t="str">
        <f>IF(OR(C1729&lt;0,C1729&gt;1),"Outlier","OK")</f>
        <v>OK</v>
      </c>
      <c r="P1729" t="str">
        <f>IF(OR(D1729&lt;0,D1729&gt;1),"Outlier","OK")</f>
        <v>OK</v>
      </c>
      <c r="Q1729" t="str">
        <f t="shared" si="210"/>
        <v>80-100%</v>
      </c>
      <c r="R1729" t="str">
        <f>IF(B1729="","Missing","OK")</f>
        <v>OK</v>
      </c>
      <c r="S1729" t="str">
        <f>IF(E1729="","Missing","OK")</f>
        <v>OK</v>
      </c>
      <c r="T1729" t="str">
        <f t="shared" si="211"/>
        <v>OK</v>
      </c>
      <c r="U1729">
        <f>COUNTIF($A:$A,A1729)</f>
        <v>1</v>
      </c>
      <c r="V1729" t="str">
        <f t="shared" si="212"/>
        <v>OK</v>
      </c>
      <c r="W1729" t="str">
        <f>IF(I1729&gt;B1729,"ERROR","OK")</f>
        <v>OK</v>
      </c>
      <c r="X1729">
        <f>(B1729-I1729)/B1729</f>
        <v>0.84104300821928701</v>
      </c>
      <c r="Y1729" s="2">
        <f t="shared" si="213"/>
        <v>0</v>
      </c>
      <c r="Z1729" s="2" t="str">
        <f t="shared" si="214"/>
        <v>OK</v>
      </c>
      <c r="AA1729" t="str">
        <f t="shared" si="215"/>
        <v>Unique</v>
      </c>
    </row>
    <row r="1730" spans="1:27" x14ac:dyDescent="0.3">
      <c r="A1730">
        <v>1729</v>
      </c>
      <c r="B1730">
        <v>494524.88028504298</v>
      </c>
      <c r="C1730">
        <v>0.11550153611052701</v>
      </c>
      <c r="D1730">
        <v>-3.06581962322077E-2</v>
      </c>
      <c r="E1730">
        <v>0.29284962937383702</v>
      </c>
      <c r="F1730">
        <v>1</v>
      </c>
      <c r="G1730" t="s">
        <v>11</v>
      </c>
      <c r="H1730">
        <v>0</v>
      </c>
      <c r="I1730">
        <v>144821.42790761599</v>
      </c>
      <c r="J1730">
        <v>0.70715037062616204</v>
      </c>
      <c r="K1730" t="str">
        <f t="shared" si="208"/>
        <v>OK</v>
      </c>
      <c r="L1730" t="str">
        <f t="shared" si="209"/>
        <v>OK</v>
      </c>
      <c r="M1730" t="str">
        <f>IF(OR(B1730&lt;$AE$20,B1730&gt;$AF$20),"Outlier","OK")</f>
        <v>OK</v>
      </c>
      <c r="N1730" t="str">
        <f>IF(OR(J1730&lt;$AE$21,J1730&gt;$AF$21),"Outlier","OK")</f>
        <v>OK</v>
      </c>
      <c r="O1730" t="str">
        <f>IF(OR(C1730&lt;0,C1730&gt;1),"Outlier","OK")</f>
        <v>OK</v>
      </c>
      <c r="P1730" t="str">
        <f>IF(OR(D1730&lt;0,D1730&gt;1),"Outlier","OK")</f>
        <v>Outlier</v>
      </c>
      <c r="Q1730" t="str">
        <f t="shared" si="210"/>
        <v>60-80%</v>
      </c>
      <c r="R1730" t="str">
        <f>IF(B1730="","Missing","OK")</f>
        <v>OK</v>
      </c>
      <c r="S1730" t="str">
        <f>IF(E1730="","Missing","OK")</f>
        <v>OK</v>
      </c>
      <c r="T1730" t="str">
        <f t="shared" si="211"/>
        <v>OK</v>
      </c>
      <c r="U1730">
        <f>COUNTIF($A:$A,A1730)</f>
        <v>1</v>
      </c>
      <c r="V1730" t="str">
        <f t="shared" si="212"/>
        <v>OK</v>
      </c>
      <c r="W1730" t="str">
        <f>IF(I1730&gt;B1730,"ERROR","OK")</f>
        <v>OK</v>
      </c>
      <c r="X1730">
        <f>(B1730-I1730)/B1730</f>
        <v>0.70715037062616293</v>
      </c>
      <c r="Y1730" s="2">
        <f t="shared" si="213"/>
        <v>8.8817841970012523E-16</v>
      </c>
      <c r="Z1730" s="2" t="str">
        <f t="shared" si="214"/>
        <v>OK</v>
      </c>
      <c r="AA1730" t="str">
        <f t="shared" si="215"/>
        <v>Unique</v>
      </c>
    </row>
    <row r="1731" spans="1:27" x14ac:dyDescent="0.3">
      <c r="A1731">
        <v>1730</v>
      </c>
      <c r="B1731">
        <v>1802753.0858265299</v>
      </c>
      <c r="C1731">
        <v>0.409705481115475</v>
      </c>
      <c r="D1731">
        <v>0.14798400706200901</v>
      </c>
      <c r="E1731">
        <v>0.34319918070077199</v>
      </c>
      <c r="F1731">
        <v>1</v>
      </c>
      <c r="G1731" t="s">
        <v>12</v>
      </c>
      <c r="H1731">
        <v>1</v>
      </c>
      <c r="I1731">
        <v>618703.38206145598</v>
      </c>
      <c r="J1731">
        <v>0.65680081929922696</v>
      </c>
      <c r="K1731" t="str">
        <f t="shared" ref="K1731:K1794" si="216">IF(OR(J1731&lt;0,J1731&gt;1),"Error","OK")</f>
        <v>OK</v>
      </c>
      <c r="L1731" t="str">
        <f t="shared" ref="L1731:L1794" si="217">IF(I1731&gt;B1731,"Error","OK")</f>
        <v>OK</v>
      </c>
      <c r="M1731" t="str">
        <f>IF(OR(B1731&lt;$AE$20,B1731&gt;$AF$20),"Outlier","OK")</f>
        <v>OK</v>
      </c>
      <c r="N1731" t="str">
        <f>IF(OR(J1731&lt;$AE$21,J1731&gt;$AF$21),"Outlier","OK")</f>
        <v>OK</v>
      </c>
      <c r="O1731" t="str">
        <f>IF(OR(C1731&lt;0,C1731&gt;1),"Outlier","OK")</f>
        <v>OK</v>
      </c>
      <c r="P1731" t="str">
        <f>IF(OR(D1731&lt;0,D1731&gt;1),"Outlier","OK")</f>
        <v>OK</v>
      </c>
      <c r="Q1731" t="str">
        <f t="shared" ref="Q1731:Q1794" si="218">IF(J1731&lt;=0.2,"0-20%",
 IF(J1731&lt;=0.4,"20-40%",
 IF(J1731&lt;=0.6,"40-60%",
 IF(J1731&lt;=0.8,"60-80%","80-100%"))))</f>
        <v>60-80%</v>
      </c>
      <c r="R1731" t="str">
        <f>IF(B1731="","Missing","OK")</f>
        <v>OK</v>
      </c>
      <c r="S1731" t="str">
        <f>IF(E1731="","Missing","OK")</f>
        <v>OK</v>
      </c>
      <c r="T1731" t="str">
        <f t="shared" ref="T1731:T1794" si="219">IF(J1731="","Missing","OK")</f>
        <v>OK</v>
      </c>
      <c r="U1731">
        <f>COUNTIF($A:$A,A1731)</f>
        <v>1</v>
      </c>
      <c r="V1731" t="str">
        <f t="shared" ref="V1731:V1794" si="220">IF(OR(J1731&lt;0,J1731&gt;1),"ERROR","OK")</f>
        <v>OK</v>
      </c>
      <c r="W1731" t="str">
        <f>IF(I1731&gt;B1731,"ERROR","OK")</f>
        <v>OK</v>
      </c>
      <c r="X1731">
        <f>(B1731-I1731)/B1731</f>
        <v>0.65680081929922662</v>
      </c>
      <c r="Y1731" s="2">
        <f t="shared" ref="Y1731:Y1794" si="221">ABS(J1731-X1731)</f>
        <v>3.3306690738754696E-16</v>
      </c>
      <c r="Z1731" s="2" t="str">
        <f t="shared" ref="Z1731:Z1794" si="222">IF(OR(B1731="",I1731="",J1731=""),"Missing","OK")</f>
        <v>OK</v>
      </c>
      <c r="AA1731" t="str">
        <f t="shared" ref="AA1731:AA1794" si="223">IF(COUNTIF($A:$A,A1731)&gt;1,"Duplicate","Unique")</f>
        <v>Unique</v>
      </c>
    </row>
    <row r="1732" spans="1:27" x14ac:dyDescent="0.3">
      <c r="A1732">
        <v>1731</v>
      </c>
      <c r="B1732">
        <v>1657902.63729223</v>
      </c>
      <c r="C1732">
        <v>0.57729853057850899</v>
      </c>
      <c r="D1732">
        <v>-9.98010029153579E-2</v>
      </c>
      <c r="E1732">
        <v>0.63532775525030605</v>
      </c>
      <c r="F1732">
        <v>1</v>
      </c>
      <c r="G1732" t="s">
        <v>11</v>
      </c>
      <c r="H1732">
        <v>0</v>
      </c>
      <c r="I1732">
        <v>1053311.5609744301</v>
      </c>
      <c r="J1732">
        <v>0.36467224474969301</v>
      </c>
      <c r="K1732" t="str">
        <f t="shared" si="216"/>
        <v>OK</v>
      </c>
      <c r="L1732" t="str">
        <f t="shared" si="217"/>
        <v>OK</v>
      </c>
      <c r="M1732" t="str">
        <f>IF(OR(B1732&lt;$AE$20,B1732&gt;$AF$20),"Outlier","OK")</f>
        <v>OK</v>
      </c>
      <c r="N1732" t="str">
        <f>IF(OR(J1732&lt;$AE$21,J1732&gt;$AF$21),"Outlier","OK")</f>
        <v>OK</v>
      </c>
      <c r="O1732" t="str">
        <f>IF(OR(C1732&lt;0,C1732&gt;1),"Outlier","OK")</f>
        <v>OK</v>
      </c>
      <c r="P1732" t="str">
        <f>IF(OR(D1732&lt;0,D1732&gt;1),"Outlier","OK")</f>
        <v>Outlier</v>
      </c>
      <c r="Q1732" t="str">
        <f t="shared" si="218"/>
        <v>20-40%</v>
      </c>
      <c r="R1732" t="str">
        <f>IF(B1732="","Missing","OK")</f>
        <v>OK</v>
      </c>
      <c r="S1732" t="str">
        <f>IF(E1732="","Missing","OK")</f>
        <v>OK</v>
      </c>
      <c r="T1732" t="str">
        <f t="shared" si="219"/>
        <v>OK</v>
      </c>
      <c r="U1732">
        <f>COUNTIF($A:$A,A1732)</f>
        <v>1</v>
      </c>
      <c r="V1732" t="str">
        <f t="shared" si="220"/>
        <v>OK</v>
      </c>
      <c r="W1732" t="str">
        <f>IF(I1732&gt;B1732,"ERROR","OK")</f>
        <v>OK</v>
      </c>
      <c r="X1732">
        <f>(B1732-I1732)/B1732</f>
        <v>0.36467224474969684</v>
      </c>
      <c r="Y1732" s="2">
        <f t="shared" si="221"/>
        <v>3.8302694349567901E-15</v>
      </c>
      <c r="Z1732" s="2" t="str">
        <f t="shared" si="222"/>
        <v>OK</v>
      </c>
      <c r="AA1732" t="str">
        <f t="shared" si="223"/>
        <v>Unique</v>
      </c>
    </row>
    <row r="1733" spans="1:27" x14ac:dyDescent="0.3">
      <c r="A1733">
        <v>1732</v>
      </c>
      <c r="B1733">
        <v>818445.85252083698</v>
      </c>
      <c r="C1733">
        <v>0.27445675311124301</v>
      </c>
      <c r="D1733">
        <v>-0.107840601451848</v>
      </c>
      <c r="E1733">
        <v>0.51815392636030799</v>
      </c>
      <c r="F1733">
        <v>1</v>
      </c>
      <c r="G1733" t="s">
        <v>10</v>
      </c>
      <c r="H1733">
        <v>1</v>
      </c>
      <c r="I1733">
        <v>424080.93199698097</v>
      </c>
      <c r="J1733">
        <v>0.48184607363969101</v>
      </c>
      <c r="K1733" t="str">
        <f t="shared" si="216"/>
        <v>OK</v>
      </c>
      <c r="L1733" t="str">
        <f t="shared" si="217"/>
        <v>OK</v>
      </c>
      <c r="M1733" t="str">
        <f>IF(OR(B1733&lt;$AE$20,B1733&gt;$AF$20),"Outlier","OK")</f>
        <v>OK</v>
      </c>
      <c r="N1733" t="str">
        <f>IF(OR(J1733&lt;$AE$21,J1733&gt;$AF$21),"Outlier","OK")</f>
        <v>OK</v>
      </c>
      <c r="O1733" t="str">
        <f>IF(OR(C1733&lt;0,C1733&gt;1),"Outlier","OK")</f>
        <v>OK</v>
      </c>
      <c r="P1733" t="str">
        <f>IF(OR(D1733&lt;0,D1733&gt;1),"Outlier","OK")</f>
        <v>Outlier</v>
      </c>
      <c r="Q1733" t="str">
        <f t="shared" si="218"/>
        <v>40-60%</v>
      </c>
      <c r="R1733" t="str">
        <f>IF(B1733="","Missing","OK")</f>
        <v>OK</v>
      </c>
      <c r="S1733" t="str">
        <f>IF(E1733="","Missing","OK")</f>
        <v>OK</v>
      </c>
      <c r="T1733" t="str">
        <f t="shared" si="219"/>
        <v>OK</v>
      </c>
      <c r="U1733">
        <f>COUNTIF($A:$A,A1733)</f>
        <v>1</v>
      </c>
      <c r="V1733" t="str">
        <f t="shared" si="220"/>
        <v>OK</v>
      </c>
      <c r="W1733" t="str">
        <f>IF(I1733&gt;B1733,"ERROR","OK")</f>
        <v>OK</v>
      </c>
      <c r="X1733">
        <f>(B1733-I1733)/B1733</f>
        <v>0.48184607363969234</v>
      </c>
      <c r="Y1733" s="2">
        <f t="shared" si="221"/>
        <v>1.3322676295501878E-15</v>
      </c>
      <c r="Z1733" s="2" t="str">
        <f t="shared" si="222"/>
        <v>OK</v>
      </c>
      <c r="AA1733" t="str">
        <f t="shared" si="223"/>
        <v>Unique</v>
      </c>
    </row>
    <row r="1734" spans="1:27" x14ac:dyDescent="0.3">
      <c r="A1734">
        <v>1733</v>
      </c>
      <c r="B1734">
        <v>1636276.12632471</v>
      </c>
      <c r="C1734">
        <v>0.46258450870697398</v>
      </c>
      <c r="D1734">
        <v>6.0981625763252799E-2</v>
      </c>
      <c r="E1734">
        <v>0.427569761579285</v>
      </c>
      <c r="F1734">
        <v>1</v>
      </c>
      <c r="G1734" t="s">
        <v>11</v>
      </c>
      <c r="H1734">
        <v>0</v>
      </c>
      <c r="I1734">
        <v>699622.19321053301</v>
      </c>
      <c r="J1734">
        <v>0.57243023842071405</v>
      </c>
      <c r="K1734" t="str">
        <f t="shared" si="216"/>
        <v>OK</v>
      </c>
      <c r="L1734" t="str">
        <f t="shared" si="217"/>
        <v>OK</v>
      </c>
      <c r="M1734" t="str">
        <f>IF(OR(B1734&lt;$AE$20,B1734&gt;$AF$20),"Outlier","OK")</f>
        <v>OK</v>
      </c>
      <c r="N1734" t="str">
        <f>IF(OR(J1734&lt;$AE$21,J1734&gt;$AF$21),"Outlier","OK")</f>
        <v>OK</v>
      </c>
      <c r="O1734" t="str">
        <f>IF(OR(C1734&lt;0,C1734&gt;1),"Outlier","OK")</f>
        <v>OK</v>
      </c>
      <c r="P1734" t="str">
        <f>IF(OR(D1734&lt;0,D1734&gt;1),"Outlier","OK")</f>
        <v>OK</v>
      </c>
      <c r="Q1734" t="str">
        <f t="shared" si="218"/>
        <v>40-60%</v>
      </c>
      <c r="R1734" t="str">
        <f>IF(B1734="","Missing","OK")</f>
        <v>OK</v>
      </c>
      <c r="S1734" t="str">
        <f>IF(E1734="","Missing","OK")</f>
        <v>OK</v>
      </c>
      <c r="T1734" t="str">
        <f t="shared" si="219"/>
        <v>OK</v>
      </c>
      <c r="U1734">
        <f>COUNTIF($A:$A,A1734)</f>
        <v>1</v>
      </c>
      <c r="V1734" t="str">
        <f t="shared" si="220"/>
        <v>OK</v>
      </c>
      <c r="W1734" t="str">
        <f>IF(I1734&gt;B1734,"ERROR","OK")</f>
        <v>OK</v>
      </c>
      <c r="X1734">
        <f>(B1734-I1734)/B1734</f>
        <v>0.5724302384207145</v>
      </c>
      <c r="Y1734" s="2">
        <f t="shared" si="221"/>
        <v>4.4408920985006262E-16</v>
      </c>
      <c r="Z1734" s="2" t="str">
        <f t="shared" si="222"/>
        <v>OK</v>
      </c>
      <c r="AA1734" t="str">
        <f t="shared" si="223"/>
        <v>Unique</v>
      </c>
    </row>
    <row r="1735" spans="1:27" x14ac:dyDescent="0.3">
      <c r="A1735">
        <v>1734</v>
      </c>
      <c r="B1735">
        <v>1706034.7198590101</v>
      </c>
      <c r="C1735">
        <v>0.192239438593379</v>
      </c>
      <c r="D1735">
        <v>-0.19665095482781</v>
      </c>
      <c r="E1735">
        <v>0.21347798251542499</v>
      </c>
      <c r="F1735">
        <v>1</v>
      </c>
      <c r="G1735" t="s">
        <v>11</v>
      </c>
      <c r="H1735">
        <v>0</v>
      </c>
      <c r="I1735">
        <v>364200.85009677103</v>
      </c>
      <c r="J1735">
        <v>0.78652201748457395</v>
      </c>
      <c r="K1735" t="str">
        <f t="shared" si="216"/>
        <v>OK</v>
      </c>
      <c r="L1735" t="str">
        <f t="shared" si="217"/>
        <v>OK</v>
      </c>
      <c r="M1735" t="str">
        <f>IF(OR(B1735&lt;$AE$20,B1735&gt;$AF$20),"Outlier","OK")</f>
        <v>OK</v>
      </c>
      <c r="N1735" t="str">
        <f>IF(OR(J1735&lt;$AE$21,J1735&gt;$AF$21),"Outlier","OK")</f>
        <v>OK</v>
      </c>
      <c r="O1735" t="str">
        <f>IF(OR(C1735&lt;0,C1735&gt;1),"Outlier","OK")</f>
        <v>OK</v>
      </c>
      <c r="P1735" t="str">
        <f>IF(OR(D1735&lt;0,D1735&gt;1),"Outlier","OK")</f>
        <v>Outlier</v>
      </c>
      <c r="Q1735" t="str">
        <f t="shared" si="218"/>
        <v>60-80%</v>
      </c>
      <c r="R1735" t="str">
        <f>IF(B1735="","Missing","OK")</f>
        <v>OK</v>
      </c>
      <c r="S1735" t="str">
        <f>IF(E1735="","Missing","OK")</f>
        <v>OK</v>
      </c>
      <c r="T1735" t="str">
        <f t="shared" si="219"/>
        <v>OK</v>
      </c>
      <c r="U1735">
        <f>COUNTIF($A:$A,A1735)</f>
        <v>1</v>
      </c>
      <c r="V1735" t="str">
        <f t="shared" si="220"/>
        <v>OK</v>
      </c>
      <c r="W1735" t="str">
        <f>IF(I1735&gt;B1735,"ERROR","OK")</f>
        <v>OK</v>
      </c>
      <c r="X1735">
        <f>(B1735-I1735)/B1735</f>
        <v>0.78652201748457429</v>
      </c>
      <c r="Y1735" s="2">
        <f t="shared" si="221"/>
        <v>3.3306690738754696E-16</v>
      </c>
      <c r="Z1735" s="2" t="str">
        <f t="shared" si="222"/>
        <v>OK</v>
      </c>
      <c r="AA1735" t="str">
        <f t="shared" si="223"/>
        <v>Unique</v>
      </c>
    </row>
    <row r="1736" spans="1:27" x14ac:dyDescent="0.3">
      <c r="A1736">
        <v>1735</v>
      </c>
      <c r="B1736">
        <v>599237.43328494101</v>
      </c>
      <c r="C1736">
        <v>0.53921522228017005</v>
      </c>
      <c r="D1736">
        <v>-0.18649209297320701</v>
      </c>
      <c r="E1736">
        <v>7.4226931538827895E-2</v>
      </c>
      <c r="F1736">
        <v>1</v>
      </c>
      <c r="G1736" t="s">
        <v>12</v>
      </c>
      <c r="H1736">
        <v>1</v>
      </c>
      <c r="I1736">
        <v>44479.5559359443</v>
      </c>
      <c r="J1736">
        <v>0.92577306846117202</v>
      </c>
      <c r="K1736" t="str">
        <f t="shared" si="216"/>
        <v>OK</v>
      </c>
      <c r="L1736" t="str">
        <f t="shared" si="217"/>
        <v>OK</v>
      </c>
      <c r="M1736" t="str">
        <f>IF(OR(B1736&lt;$AE$20,B1736&gt;$AF$20),"Outlier","OK")</f>
        <v>OK</v>
      </c>
      <c r="N1736" t="str">
        <f>IF(OR(J1736&lt;$AE$21,J1736&gt;$AF$21),"Outlier","OK")</f>
        <v>OK</v>
      </c>
      <c r="O1736" t="str">
        <f>IF(OR(C1736&lt;0,C1736&gt;1),"Outlier","OK")</f>
        <v>OK</v>
      </c>
      <c r="P1736" t="str">
        <f>IF(OR(D1736&lt;0,D1736&gt;1),"Outlier","OK")</f>
        <v>Outlier</v>
      </c>
      <c r="Q1736" t="str">
        <f t="shared" si="218"/>
        <v>80-100%</v>
      </c>
      <c r="R1736" t="str">
        <f>IF(B1736="","Missing","OK")</f>
        <v>OK</v>
      </c>
      <c r="S1736" t="str">
        <f>IF(E1736="","Missing","OK")</f>
        <v>OK</v>
      </c>
      <c r="T1736" t="str">
        <f t="shared" si="219"/>
        <v>OK</v>
      </c>
      <c r="U1736">
        <f>COUNTIF($A:$A,A1736)</f>
        <v>1</v>
      </c>
      <c r="V1736" t="str">
        <f t="shared" si="220"/>
        <v>OK</v>
      </c>
      <c r="W1736" t="str">
        <f>IF(I1736&gt;B1736,"ERROR","OK")</f>
        <v>OK</v>
      </c>
      <c r="X1736">
        <f>(B1736-I1736)/B1736</f>
        <v>0.92577306846117202</v>
      </c>
      <c r="Y1736" s="2">
        <f t="shared" si="221"/>
        <v>0</v>
      </c>
      <c r="Z1736" s="2" t="str">
        <f t="shared" si="222"/>
        <v>OK</v>
      </c>
      <c r="AA1736" t="str">
        <f t="shared" si="223"/>
        <v>Unique</v>
      </c>
    </row>
    <row r="1737" spans="1:27" x14ac:dyDescent="0.3">
      <c r="A1737">
        <v>1736</v>
      </c>
      <c r="B1737">
        <v>274545.09467086103</v>
      </c>
      <c r="C1737">
        <v>0.18105375044198599</v>
      </c>
      <c r="D1737">
        <v>-4.9989733941946501E-2</v>
      </c>
      <c r="E1737">
        <v>0.35994518244375501</v>
      </c>
      <c r="F1737">
        <v>1</v>
      </c>
      <c r="G1737" t="s">
        <v>12</v>
      </c>
      <c r="H1737">
        <v>0</v>
      </c>
      <c r="I1737">
        <v>98821.184190341504</v>
      </c>
      <c r="J1737">
        <v>0.64005481755624405</v>
      </c>
      <c r="K1737" t="str">
        <f t="shared" si="216"/>
        <v>OK</v>
      </c>
      <c r="L1737" t="str">
        <f t="shared" si="217"/>
        <v>OK</v>
      </c>
      <c r="M1737" t="str">
        <f>IF(OR(B1737&lt;$AE$20,B1737&gt;$AF$20),"Outlier","OK")</f>
        <v>OK</v>
      </c>
      <c r="N1737" t="str">
        <f>IF(OR(J1737&lt;$AE$21,J1737&gt;$AF$21),"Outlier","OK")</f>
        <v>OK</v>
      </c>
      <c r="O1737" t="str">
        <f>IF(OR(C1737&lt;0,C1737&gt;1),"Outlier","OK")</f>
        <v>OK</v>
      </c>
      <c r="P1737" t="str">
        <f>IF(OR(D1737&lt;0,D1737&gt;1),"Outlier","OK")</f>
        <v>Outlier</v>
      </c>
      <c r="Q1737" t="str">
        <f t="shared" si="218"/>
        <v>60-80%</v>
      </c>
      <c r="R1737" t="str">
        <f>IF(B1737="","Missing","OK")</f>
        <v>OK</v>
      </c>
      <c r="S1737" t="str">
        <f>IF(E1737="","Missing","OK")</f>
        <v>OK</v>
      </c>
      <c r="T1737" t="str">
        <f t="shared" si="219"/>
        <v>OK</v>
      </c>
      <c r="U1737">
        <f>COUNTIF($A:$A,A1737)</f>
        <v>1</v>
      </c>
      <c r="V1737" t="str">
        <f t="shared" si="220"/>
        <v>OK</v>
      </c>
      <c r="W1737" t="str">
        <f>IF(I1737&gt;B1737,"ERROR","OK")</f>
        <v>OK</v>
      </c>
      <c r="X1737">
        <f>(B1737-I1737)/B1737</f>
        <v>0.64005481755624338</v>
      </c>
      <c r="Y1737" s="2">
        <f t="shared" si="221"/>
        <v>6.6613381477509392E-16</v>
      </c>
      <c r="Z1737" s="2" t="str">
        <f t="shared" si="222"/>
        <v>OK</v>
      </c>
      <c r="AA1737" t="str">
        <f t="shared" si="223"/>
        <v>Unique</v>
      </c>
    </row>
    <row r="1738" spans="1:27" x14ac:dyDescent="0.3">
      <c r="A1738">
        <v>1737</v>
      </c>
      <c r="B1738">
        <v>246791.762130405</v>
      </c>
      <c r="C1738">
        <v>0.53587668282896705</v>
      </c>
      <c r="D1738">
        <v>9.9026901674276593E-2</v>
      </c>
      <c r="E1738">
        <v>9.7763226615470794E-2</v>
      </c>
      <c r="F1738">
        <v>1</v>
      </c>
      <c r="G1738" t="s">
        <v>13</v>
      </c>
      <c r="H1738">
        <v>1</v>
      </c>
      <c r="I1738">
        <v>24127.158967986201</v>
      </c>
      <c r="J1738">
        <v>0.90223677338452901</v>
      </c>
      <c r="K1738" t="str">
        <f t="shared" si="216"/>
        <v>OK</v>
      </c>
      <c r="L1738" t="str">
        <f t="shared" si="217"/>
        <v>OK</v>
      </c>
      <c r="M1738" t="str">
        <f>IF(OR(B1738&lt;$AE$20,B1738&gt;$AF$20),"Outlier","OK")</f>
        <v>OK</v>
      </c>
      <c r="N1738" t="str">
        <f>IF(OR(J1738&lt;$AE$21,J1738&gt;$AF$21),"Outlier","OK")</f>
        <v>OK</v>
      </c>
      <c r="O1738" t="str">
        <f>IF(OR(C1738&lt;0,C1738&gt;1),"Outlier","OK")</f>
        <v>OK</v>
      </c>
      <c r="P1738" t="str">
        <f>IF(OR(D1738&lt;0,D1738&gt;1),"Outlier","OK")</f>
        <v>OK</v>
      </c>
      <c r="Q1738" t="str">
        <f t="shared" si="218"/>
        <v>80-100%</v>
      </c>
      <c r="R1738" t="str">
        <f>IF(B1738="","Missing","OK")</f>
        <v>OK</v>
      </c>
      <c r="S1738" t="str">
        <f>IF(E1738="","Missing","OK")</f>
        <v>OK</v>
      </c>
      <c r="T1738" t="str">
        <f t="shared" si="219"/>
        <v>OK</v>
      </c>
      <c r="U1738">
        <f>COUNTIF($A:$A,A1738)</f>
        <v>1</v>
      </c>
      <c r="V1738" t="str">
        <f t="shared" si="220"/>
        <v>OK</v>
      </c>
      <c r="W1738" t="str">
        <f>IF(I1738&gt;B1738,"ERROR","OK")</f>
        <v>OK</v>
      </c>
      <c r="X1738">
        <f>(B1738-I1738)/B1738</f>
        <v>0.90223677338452901</v>
      </c>
      <c r="Y1738" s="2">
        <f t="shared" si="221"/>
        <v>0</v>
      </c>
      <c r="Z1738" s="2" t="str">
        <f t="shared" si="222"/>
        <v>OK</v>
      </c>
      <c r="AA1738" t="str">
        <f t="shared" si="223"/>
        <v>Unique</v>
      </c>
    </row>
    <row r="1739" spans="1:27" x14ac:dyDescent="0.3">
      <c r="A1739">
        <v>1738</v>
      </c>
      <c r="B1739">
        <v>1767462.7596251599</v>
      </c>
      <c r="C1739">
        <v>0.32503791295323797</v>
      </c>
      <c r="D1739">
        <v>0.18321690483665901</v>
      </c>
      <c r="E1739">
        <v>6.8009488591155604E-2</v>
      </c>
      <c r="F1739">
        <v>1</v>
      </c>
      <c r="G1739" t="s">
        <v>12</v>
      </c>
      <c r="H1739">
        <v>1</v>
      </c>
      <c r="I1739">
        <v>120204.23838602001</v>
      </c>
      <c r="J1739">
        <v>0.93199051140884404</v>
      </c>
      <c r="K1739" t="str">
        <f t="shared" si="216"/>
        <v>OK</v>
      </c>
      <c r="L1739" t="str">
        <f t="shared" si="217"/>
        <v>OK</v>
      </c>
      <c r="M1739" t="str">
        <f>IF(OR(B1739&lt;$AE$20,B1739&gt;$AF$20),"Outlier","OK")</f>
        <v>OK</v>
      </c>
      <c r="N1739" t="str">
        <f>IF(OR(J1739&lt;$AE$21,J1739&gt;$AF$21),"Outlier","OK")</f>
        <v>OK</v>
      </c>
      <c r="O1739" t="str">
        <f>IF(OR(C1739&lt;0,C1739&gt;1),"Outlier","OK")</f>
        <v>OK</v>
      </c>
      <c r="P1739" t="str">
        <f>IF(OR(D1739&lt;0,D1739&gt;1),"Outlier","OK")</f>
        <v>OK</v>
      </c>
      <c r="Q1739" t="str">
        <f t="shared" si="218"/>
        <v>80-100%</v>
      </c>
      <c r="R1739" t="str">
        <f>IF(B1739="","Missing","OK")</f>
        <v>OK</v>
      </c>
      <c r="S1739" t="str">
        <f>IF(E1739="","Missing","OK")</f>
        <v>OK</v>
      </c>
      <c r="T1739" t="str">
        <f t="shared" si="219"/>
        <v>OK</v>
      </c>
      <c r="U1739">
        <f>COUNTIF($A:$A,A1739)</f>
        <v>1</v>
      </c>
      <c r="V1739" t="str">
        <f t="shared" si="220"/>
        <v>OK</v>
      </c>
      <c r="W1739" t="str">
        <f>IF(I1739&gt;B1739,"ERROR","OK")</f>
        <v>OK</v>
      </c>
      <c r="X1739">
        <f>(B1739-I1739)/B1739</f>
        <v>0.93199051140884415</v>
      </c>
      <c r="Y1739" s="2">
        <f t="shared" si="221"/>
        <v>1.1102230246251565E-16</v>
      </c>
      <c r="Z1739" s="2" t="str">
        <f t="shared" si="222"/>
        <v>OK</v>
      </c>
      <c r="AA1739" t="str">
        <f t="shared" si="223"/>
        <v>Unique</v>
      </c>
    </row>
    <row r="1740" spans="1:27" x14ac:dyDescent="0.3">
      <c r="A1740">
        <v>1739</v>
      </c>
      <c r="B1740">
        <v>1014084.31971616</v>
      </c>
      <c r="C1740">
        <v>0.74700523077513903</v>
      </c>
      <c r="D1740">
        <v>-9.68779723199929E-2</v>
      </c>
      <c r="E1740">
        <v>0.41915357601953601</v>
      </c>
      <c r="F1740">
        <v>1</v>
      </c>
      <c r="G1740" t="s">
        <v>10</v>
      </c>
      <c r="H1740">
        <v>1</v>
      </c>
      <c r="I1740">
        <v>425057.06899436697</v>
      </c>
      <c r="J1740">
        <v>0.58084642398046304</v>
      </c>
      <c r="K1740" t="str">
        <f t="shared" si="216"/>
        <v>OK</v>
      </c>
      <c r="L1740" t="str">
        <f t="shared" si="217"/>
        <v>OK</v>
      </c>
      <c r="M1740" t="str">
        <f>IF(OR(B1740&lt;$AE$20,B1740&gt;$AF$20),"Outlier","OK")</f>
        <v>OK</v>
      </c>
      <c r="N1740" t="str">
        <f>IF(OR(J1740&lt;$AE$21,J1740&gt;$AF$21),"Outlier","OK")</f>
        <v>OK</v>
      </c>
      <c r="O1740" t="str">
        <f>IF(OR(C1740&lt;0,C1740&gt;1),"Outlier","OK")</f>
        <v>OK</v>
      </c>
      <c r="P1740" t="str">
        <f>IF(OR(D1740&lt;0,D1740&gt;1),"Outlier","OK")</f>
        <v>Outlier</v>
      </c>
      <c r="Q1740" t="str">
        <f t="shared" si="218"/>
        <v>40-60%</v>
      </c>
      <c r="R1740" t="str">
        <f>IF(B1740="","Missing","OK")</f>
        <v>OK</v>
      </c>
      <c r="S1740" t="str">
        <f>IF(E1740="","Missing","OK")</f>
        <v>OK</v>
      </c>
      <c r="T1740" t="str">
        <f t="shared" si="219"/>
        <v>OK</v>
      </c>
      <c r="U1740">
        <f>COUNTIF($A:$A,A1740)</f>
        <v>1</v>
      </c>
      <c r="V1740" t="str">
        <f t="shared" si="220"/>
        <v>OK</v>
      </c>
      <c r="W1740" t="str">
        <f>IF(I1740&gt;B1740,"ERROR","OK")</f>
        <v>OK</v>
      </c>
      <c r="X1740">
        <f>(B1740-I1740)/B1740</f>
        <v>0.58084642398046382</v>
      </c>
      <c r="Y1740" s="2">
        <f t="shared" si="221"/>
        <v>7.7715611723760958E-16</v>
      </c>
      <c r="Z1740" s="2" t="str">
        <f t="shared" si="222"/>
        <v>OK</v>
      </c>
      <c r="AA1740" t="str">
        <f t="shared" si="223"/>
        <v>Unique</v>
      </c>
    </row>
    <row r="1741" spans="1:27" x14ac:dyDescent="0.3">
      <c r="A1741">
        <v>1740</v>
      </c>
      <c r="B1741">
        <v>1359332.6389654099</v>
      </c>
      <c r="C1741">
        <v>0.28697412483915802</v>
      </c>
      <c r="D1741">
        <v>-0.14858735308031501</v>
      </c>
      <c r="E1741">
        <v>0.28914811574585703</v>
      </c>
      <c r="F1741">
        <v>1</v>
      </c>
      <c r="G1741" t="s">
        <v>11</v>
      </c>
      <c r="H1741">
        <v>0</v>
      </c>
      <c r="I1741">
        <v>393048.47122869297</v>
      </c>
      <c r="J1741">
        <v>0.71085188425414203</v>
      </c>
      <c r="K1741" t="str">
        <f t="shared" si="216"/>
        <v>OK</v>
      </c>
      <c r="L1741" t="str">
        <f t="shared" si="217"/>
        <v>OK</v>
      </c>
      <c r="M1741" t="str">
        <f>IF(OR(B1741&lt;$AE$20,B1741&gt;$AF$20),"Outlier","OK")</f>
        <v>OK</v>
      </c>
      <c r="N1741" t="str">
        <f>IF(OR(J1741&lt;$AE$21,J1741&gt;$AF$21),"Outlier","OK")</f>
        <v>OK</v>
      </c>
      <c r="O1741" t="str">
        <f>IF(OR(C1741&lt;0,C1741&gt;1),"Outlier","OK")</f>
        <v>OK</v>
      </c>
      <c r="P1741" t="str">
        <f>IF(OR(D1741&lt;0,D1741&gt;1),"Outlier","OK")</f>
        <v>Outlier</v>
      </c>
      <c r="Q1741" t="str">
        <f t="shared" si="218"/>
        <v>60-80%</v>
      </c>
      <c r="R1741" t="str">
        <f>IF(B1741="","Missing","OK")</f>
        <v>OK</v>
      </c>
      <c r="S1741" t="str">
        <f>IF(E1741="","Missing","OK")</f>
        <v>OK</v>
      </c>
      <c r="T1741" t="str">
        <f t="shared" si="219"/>
        <v>OK</v>
      </c>
      <c r="U1741">
        <f>COUNTIF($A:$A,A1741)</f>
        <v>1</v>
      </c>
      <c r="V1741" t="str">
        <f t="shared" si="220"/>
        <v>OK</v>
      </c>
      <c r="W1741" t="str">
        <f>IF(I1741&gt;B1741,"ERROR","OK")</f>
        <v>OK</v>
      </c>
      <c r="X1741">
        <f>(B1741-I1741)/B1741</f>
        <v>0.71085188425414203</v>
      </c>
      <c r="Y1741" s="2">
        <f t="shared" si="221"/>
        <v>0</v>
      </c>
      <c r="Z1741" s="2" t="str">
        <f t="shared" si="222"/>
        <v>OK</v>
      </c>
      <c r="AA1741" t="str">
        <f t="shared" si="223"/>
        <v>Unique</v>
      </c>
    </row>
    <row r="1742" spans="1:27" x14ac:dyDescent="0.3">
      <c r="A1742">
        <v>1741</v>
      </c>
      <c r="B1742">
        <v>810612.95282444102</v>
      </c>
      <c r="C1742">
        <v>0.33303736657870903</v>
      </c>
      <c r="D1742">
        <v>-2.74546617473456E-2</v>
      </c>
      <c r="E1742">
        <v>0.217063585750257</v>
      </c>
      <c r="F1742">
        <v>1</v>
      </c>
      <c r="G1742" t="s">
        <v>13</v>
      </c>
      <c r="H1742">
        <v>0</v>
      </c>
      <c r="I1742">
        <v>175954.55419567699</v>
      </c>
      <c r="J1742">
        <v>0.78293641424974203</v>
      </c>
      <c r="K1742" t="str">
        <f t="shared" si="216"/>
        <v>OK</v>
      </c>
      <c r="L1742" t="str">
        <f t="shared" si="217"/>
        <v>OK</v>
      </c>
      <c r="M1742" t="str">
        <f>IF(OR(B1742&lt;$AE$20,B1742&gt;$AF$20),"Outlier","OK")</f>
        <v>OK</v>
      </c>
      <c r="N1742" t="str">
        <f>IF(OR(J1742&lt;$AE$21,J1742&gt;$AF$21),"Outlier","OK")</f>
        <v>OK</v>
      </c>
      <c r="O1742" t="str">
        <f>IF(OR(C1742&lt;0,C1742&gt;1),"Outlier","OK")</f>
        <v>OK</v>
      </c>
      <c r="P1742" t="str">
        <f>IF(OR(D1742&lt;0,D1742&gt;1),"Outlier","OK")</f>
        <v>Outlier</v>
      </c>
      <c r="Q1742" t="str">
        <f t="shared" si="218"/>
        <v>60-80%</v>
      </c>
      <c r="R1742" t="str">
        <f>IF(B1742="","Missing","OK")</f>
        <v>OK</v>
      </c>
      <c r="S1742" t="str">
        <f>IF(E1742="","Missing","OK")</f>
        <v>OK</v>
      </c>
      <c r="T1742" t="str">
        <f t="shared" si="219"/>
        <v>OK</v>
      </c>
      <c r="U1742">
        <f>COUNTIF($A:$A,A1742)</f>
        <v>1</v>
      </c>
      <c r="V1742" t="str">
        <f t="shared" si="220"/>
        <v>OK</v>
      </c>
      <c r="W1742" t="str">
        <f>IF(I1742&gt;B1742,"ERROR","OK")</f>
        <v>OK</v>
      </c>
      <c r="X1742">
        <f>(B1742-I1742)/B1742</f>
        <v>0.78293641424974314</v>
      </c>
      <c r="Y1742" s="2">
        <f t="shared" si="221"/>
        <v>1.1102230246251565E-15</v>
      </c>
      <c r="Z1742" s="2" t="str">
        <f t="shared" si="222"/>
        <v>OK</v>
      </c>
      <c r="AA1742" t="str">
        <f t="shared" si="223"/>
        <v>Unique</v>
      </c>
    </row>
    <row r="1743" spans="1:27" x14ac:dyDescent="0.3">
      <c r="A1743">
        <v>1742</v>
      </c>
      <c r="B1743">
        <v>1571491.7234494099</v>
      </c>
      <c r="C1743">
        <v>0.870508035050235</v>
      </c>
      <c r="D1743">
        <v>-7.3701838947708397E-3</v>
      </c>
      <c r="E1743">
        <v>0.30584732528637798</v>
      </c>
      <c r="F1743">
        <v>1</v>
      </c>
      <c r="G1743" t="s">
        <v>13</v>
      </c>
      <c r="H1743">
        <v>0</v>
      </c>
      <c r="I1743">
        <v>480636.540326685</v>
      </c>
      <c r="J1743">
        <v>0.69415267471362097</v>
      </c>
      <c r="K1743" t="str">
        <f t="shared" si="216"/>
        <v>OK</v>
      </c>
      <c r="L1743" t="str">
        <f t="shared" si="217"/>
        <v>OK</v>
      </c>
      <c r="M1743" t="str">
        <f>IF(OR(B1743&lt;$AE$20,B1743&gt;$AF$20),"Outlier","OK")</f>
        <v>OK</v>
      </c>
      <c r="N1743" t="str">
        <f>IF(OR(J1743&lt;$AE$21,J1743&gt;$AF$21),"Outlier","OK")</f>
        <v>OK</v>
      </c>
      <c r="O1743" t="str">
        <f>IF(OR(C1743&lt;0,C1743&gt;1),"Outlier","OK")</f>
        <v>OK</v>
      </c>
      <c r="P1743" t="str">
        <f>IF(OR(D1743&lt;0,D1743&gt;1),"Outlier","OK")</f>
        <v>Outlier</v>
      </c>
      <c r="Q1743" t="str">
        <f t="shared" si="218"/>
        <v>60-80%</v>
      </c>
      <c r="R1743" t="str">
        <f>IF(B1743="","Missing","OK")</f>
        <v>OK</v>
      </c>
      <c r="S1743" t="str">
        <f>IF(E1743="","Missing","OK")</f>
        <v>OK</v>
      </c>
      <c r="T1743" t="str">
        <f t="shared" si="219"/>
        <v>OK</v>
      </c>
      <c r="U1743">
        <f>COUNTIF($A:$A,A1743)</f>
        <v>1</v>
      </c>
      <c r="V1743" t="str">
        <f t="shared" si="220"/>
        <v>OK</v>
      </c>
      <c r="W1743" t="str">
        <f>IF(I1743&gt;B1743,"ERROR","OK")</f>
        <v>OK</v>
      </c>
      <c r="X1743">
        <f>(B1743-I1743)/B1743</f>
        <v>0.69415267471362041</v>
      </c>
      <c r="Y1743" s="2">
        <f t="shared" si="221"/>
        <v>5.5511151231257827E-16</v>
      </c>
      <c r="Z1743" s="2" t="str">
        <f t="shared" si="222"/>
        <v>OK</v>
      </c>
      <c r="AA1743" t="str">
        <f t="shared" si="223"/>
        <v>Unique</v>
      </c>
    </row>
    <row r="1744" spans="1:27" x14ac:dyDescent="0.3">
      <c r="A1744">
        <v>1743</v>
      </c>
      <c r="B1744">
        <v>1657215.7157648299</v>
      </c>
      <c r="C1744">
        <v>0.34855066239183602</v>
      </c>
      <c r="D1744">
        <v>0.15994233255721901</v>
      </c>
      <c r="E1744">
        <v>0.15144380020949599</v>
      </c>
      <c r="F1744">
        <v>1</v>
      </c>
      <c r="G1744" t="s">
        <v>11</v>
      </c>
      <c r="H1744">
        <v>0</v>
      </c>
      <c r="I1744">
        <v>250975.04576232599</v>
      </c>
      <c r="J1744">
        <v>0.84855619979050301</v>
      </c>
      <c r="K1744" t="str">
        <f t="shared" si="216"/>
        <v>OK</v>
      </c>
      <c r="L1744" t="str">
        <f t="shared" si="217"/>
        <v>OK</v>
      </c>
      <c r="M1744" t="str">
        <f>IF(OR(B1744&lt;$AE$20,B1744&gt;$AF$20),"Outlier","OK")</f>
        <v>OK</v>
      </c>
      <c r="N1744" t="str">
        <f>IF(OR(J1744&lt;$AE$21,J1744&gt;$AF$21),"Outlier","OK")</f>
        <v>OK</v>
      </c>
      <c r="O1744" t="str">
        <f>IF(OR(C1744&lt;0,C1744&gt;1),"Outlier","OK")</f>
        <v>OK</v>
      </c>
      <c r="P1744" t="str">
        <f>IF(OR(D1744&lt;0,D1744&gt;1),"Outlier","OK")</f>
        <v>OK</v>
      </c>
      <c r="Q1744" t="str">
        <f t="shared" si="218"/>
        <v>80-100%</v>
      </c>
      <c r="R1744" t="str">
        <f>IF(B1744="","Missing","OK")</f>
        <v>OK</v>
      </c>
      <c r="S1744" t="str">
        <f>IF(E1744="","Missing","OK")</f>
        <v>OK</v>
      </c>
      <c r="T1744" t="str">
        <f t="shared" si="219"/>
        <v>OK</v>
      </c>
      <c r="U1744">
        <f>COUNTIF($A:$A,A1744)</f>
        <v>1</v>
      </c>
      <c r="V1744" t="str">
        <f t="shared" si="220"/>
        <v>OK</v>
      </c>
      <c r="W1744" t="str">
        <f>IF(I1744&gt;B1744,"ERROR","OK")</f>
        <v>OK</v>
      </c>
      <c r="X1744">
        <f>(B1744-I1744)/B1744</f>
        <v>0.84855619979050378</v>
      </c>
      <c r="Y1744" s="2">
        <f t="shared" si="221"/>
        <v>7.7715611723760958E-16</v>
      </c>
      <c r="Z1744" s="2" t="str">
        <f t="shared" si="222"/>
        <v>OK</v>
      </c>
      <c r="AA1744" t="str">
        <f t="shared" si="223"/>
        <v>Unique</v>
      </c>
    </row>
    <row r="1745" spans="1:27" x14ac:dyDescent="0.3">
      <c r="A1745">
        <v>1744</v>
      </c>
      <c r="B1745">
        <v>1790444.63425288</v>
      </c>
      <c r="C1745">
        <v>0.39097527189410802</v>
      </c>
      <c r="D1745">
        <v>0.142548608732597</v>
      </c>
      <c r="E1745">
        <v>0.50251119351626095</v>
      </c>
      <c r="F1745">
        <v>1</v>
      </c>
      <c r="G1745" t="s">
        <v>11</v>
      </c>
      <c r="H1745">
        <v>0</v>
      </c>
      <c r="I1745">
        <v>899718.47008320398</v>
      </c>
      <c r="J1745">
        <v>0.497488806483738</v>
      </c>
      <c r="K1745" t="str">
        <f t="shared" si="216"/>
        <v>OK</v>
      </c>
      <c r="L1745" t="str">
        <f t="shared" si="217"/>
        <v>OK</v>
      </c>
      <c r="M1745" t="str">
        <f>IF(OR(B1745&lt;$AE$20,B1745&gt;$AF$20),"Outlier","OK")</f>
        <v>OK</v>
      </c>
      <c r="N1745" t="str">
        <f>IF(OR(J1745&lt;$AE$21,J1745&gt;$AF$21),"Outlier","OK")</f>
        <v>OK</v>
      </c>
      <c r="O1745" t="str">
        <f>IF(OR(C1745&lt;0,C1745&gt;1),"Outlier","OK")</f>
        <v>OK</v>
      </c>
      <c r="P1745" t="str">
        <f>IF(OR(D1745&lt;0,D1745&gt;1),"Outlier","OK")</f>
        <v>OK</v>
      </c>
      <c r="Q1745" t="str">
        <f t="shared" si="218"/>
        <v>40-60%</v>
      </c>
      <c r="R1745" t="str">
        <f>IF(B1745="","Missing","OK")</f>
        <v>OK</v>
      </c>
      <c r="S1745" t="str">
        <f>IF(E1745="","Missing","OK")</f>
        <v>OK</v>
      </c>
      <c r="T1745" t="str">
        <f t="shared" si="219"/>
        <v>OK</v>
      </c>
      <c r="U1745">
        <f>COUNTIF($A:$A,A1745)</f>
        <v>1</v>
      </c>
      <c r="V1745" t="str">
        <f t="shared" si="220"/>
        <v>OK</v>
      </c>
      <c r="W1745" t="str">
        <f>IF(I1745&gt;B1745,"ERROR","OK")</f>
        <v>OK</v>
      </c>
      <c r="X1745">
        <f>(B1745-I1745)/B1745</f>
        <v>0.49748880648373683</v>
      </c>
      <c r="Y1745" s="2">
        <f t="shared" si="221"/>
        <v>1.1657341758564144E-15</v>
      </c>
      <c r="Z1745" s="2" t="str">
        <f t="shared" si="222"/>
        <v>OK</v>
      </c>
      <c r="AA1745" t="str">
        <f t="shared" si="223"/>
        <v>Unique</v>
      </c>
    </row>
    <row r="1746" spans="1:27" x14ac:dyDescent="0.3">
      <c r="A1746">
        <v>1745</v>
      </c>
      <c r="B1746">
        <v>1301451.13497773</v>
      </c>
      <c r="C1746">
        <v>0.39177126195724599</v>
      </c>
      <c r="D1746">
        <v>-4.28101413460443E-2</v>
      </c>
      <c r="E1746">
        <v>0.13075286230098801</v>
      </c>
      <c r="F1746">
        <v>1</v>
      </c>
      <c r="G1746" t="s">
        <v>13</v>
      </c>
      <c r="H1746">
        <v>1</v>
      </c>
      <c r="I1746">
        <v>170168.46104320799</v>
      </c>
      <c r="J1746">
        <v>0.86924713769901096</v>
      </c>
      <c r="K1746" t="str">
        <f t="shared" si="216"/>
        <v>OK</v>
      </c>
      <c r="L1746" t="str">
        <f t="shared" si="217"/>
        <v>OK</v>
      </c>
      <c r="M1746" t="str">
        <f>IF(OR(B1746&lt;$AE$20,B1746&gt;$AF$20),"Outlier","OK")</f>
        <v>OK</v>
      </c>
      <c r="N1746" t="str">
        <f>IF(OR(J1746&lt;$AE$21,J1746&gt;$AF$21),"Outlier","OK")</f>
        <v>OK</v>
      </c>
      <c r="O1746" t="str">
        <f>IF(OR(C1746&lt;0,C1746&gt;1),"Outlier","OK")</f>
        <v>OK</v>
      </c>
      <c r="P1746" t="str">
        <f>IF(OR(D1746&lt;0,D1746&gt;1),"Outlier","OK")</f>
        <v>Outlier</v>
      </c>
      <c r="Q1746" t="str">
        <f t="shared" si="218"/>
        <v>80-100%</v>
      </c>
      <c r="R1746" t="str">
        <f>IF(B1746="","Missing","OK")</f>
        <v>OK</v>
      </c>
      <c r="S1746" t="str">
        <f>IF(E1746="","Missing","OK")</f>
        <v>OK</v>
      </c>
      <c r="T1746" t="str">
        <f t="shared" si="219"/>
        <v>OK</v>
      </c>
      <c r="U1746">
        <f>COUNTIF($A:$A,A1746)</f>
        <v>1</v>
      </c>
      <c r="V1746" t="str">
        <f t="shared" si="220"/>
        <v>OK</v>
      </c>
      <c r="W1746" t="str">
        <f>IF(I1746&gt;B1746,"ERROR","OK")</f>
        <v>OK</v>
      </c>
      <c r="X1746">
        <f>(B1746-I1746)/B1746</f>
        <v>0.86924713769901185</v>
      </c>
      <c r="Y1746" s="2">
        <f t="shared" si="221"/>
        <v>8.8817841970012523E-16</v>
      </c>
      <c r="Z1746" s="2" t="str">
        <f t="shared" si="222"/>
        <v>OK</v>
      </c>
      <c r="AA1746" t="str">
        <f t="shared" si="223"/>
        <v>Unique</v>
      </c>
    </row>
    <row r="1747" spans="1:27" x14ac:dyDescent="0.3">
      <c r="A1747">
        <v>1746</v>
      </c>
      <c r="B1747">
        <v>1789634.78687045</v>
      </c>
      <c r="C1747">
        <v>0.435407734136944</v>
      </c>
      <c r="D1747">
        <v>0.17374512496109601</v>
      </c>
      <c r="E1747">
        <v>0.16273179059767101</v>
      </c>
      <c r="F1747">
        <v>1</v>
      </c>
      <c r="G1747" t="s">
        <v>12</v>
      </c>
      <c r="H1747">
        <v>1</v>
      </c>
      <c r="I1747">
        <v>291230.47338331101</v>
      </c>
      <c r="J1747">
        <v>0.83726820940232805</v>
      </c>
      <c r="K1747" t="str">
        <f t="shared" si="216"/>
        <v>OK</v>
      </c>
      <c r="L1747" t="str">
        <f t="shared" si="217"/>
        <v>OK</v>
      </c>
      <c r="M1747" t="str">
        <f>IF(OR(B1747&lt;$AE$20,B1747&gt;$AF$20),"Outlier","OK")</f>
        <v>OK</v>
      </c>
      <c r="N1747" t="str">
        <f>IF(OR(J1747&lt;$AE$21,J1747&gt;$AF$21),"Outlier","OK")</f>
        <v>OK</v>
      </c>
      <c r="O1747" t="str">
        <f>IF(OR(C1747&lt;0,C1747&gt;1),"Outlier","OK")</f>
        <v>OK</v>
      </c>
      <c r="P1747" t="str">
        <f>IF(OR(D1747&lt;0,D1747&gt;1),"Outlier","OK")</f>
        <v>OK</v>
      </c>
      <c r="Q1747" t="str">
        <f t="shared" si="218"/>
        <v>80-100%</v>
      </c>
      <c r="R1747" t="str">
        <f>IF(B1747="","Missing","OK")</f>
        <v>OK</v>
      </c>
      <c r="S1747" t="str">
        <f>IF(E1747="","Missing","OK")</f>
        <v>OK</v>
      </c>
      <c r="T1747" t="str">
        <f t="shared" si="219"/>
        <v>OK</v>
      </c>
      <c r="U1747">
        <f>COUNTIF($A:$A,A1747)</f>
        <v>1</v>
      </c>
      <c r="V1747" t="str">
        <f t="shared" si="220"/>
        <v>OK</v>
      </c>
      <c r="W1747" t="str">
        <f>IF(I1747&gt;B1747,"ERROR","OK")</f>
        <v>OK</v>
      </c>
      <c r="X1747">
        <f>(B1747-I1747)/B1747</f>
        <v>0.83726820940232827</v>
      </c>
      <c r="Y1747" s="2">
        <f t="shared" si="221"/>
        <v>2.2204460492503131E-16</v>
      </c>
      <c r="Z1747" s="2" t="str">
        <f t="shared" si="222"/>
        <v>OK</v>
      </c>
      <c r="AA1747" t="str">
        <f t="shared" si="223"/>
        <v>Unique</v>
      </c>
    </row>
    <row r="1748" spans="1:27" x14ac:dyDescent="0.3">
      <c r="A1748">
        <v>1747</v>
      </c>
      <c r="B1748">
        <v>1740363.5505582001</v>
      </c>
      <c r="C1748">
        <v>0.210743442610726</v>
      </c>
      <c r="D1748">
        <v>-0.17842954231786101</v>
      </c>
      <c r="E1748">
        <v>0.58863883637539005</v>
      </c>
      <c r="F1748">
        <v>1</v>
      </c>
      <c r="G1748" t="s">
        <v>10</v>
      </c>
      <c r="H1748">
        <v>1</v>
      </c>
      <c r="I1748">
        <v>1024445.5752707199</v>
      </c>
      <c r="J1748">
        <v>0.41136116362460901</v>
      </c>
      <c r="K1748" t="str">
        <f t="shared" si="216"/>
        <v>OK</v>
      </c>
      <c r="L1748" t="str">
        <f t="shared" si="217"/>
        <v>OK</v>
      </c>
      <c r="M1748" t="str">
        <f>IF(OR(B1748&lt;$AE$20,B1748&gt;$AF$20),"Outlier","OK")</f>
        <v>OK</v>
      </c>
      <c r="N1748" t="str">
        <f>IF(OR(J1748&lt;$AE$21,J1748&gt;$AF$21),"Outlier","OK")</f>
        <v>OK</v>
      </c>
      <c r="O1748" t="str">
        <f>IF(OR(C1748&lt;0,C1748&gt;1),"Outlier","OK")</f>
        <v>OK</v>
      </c>
      <c r="P1748" t="str">
        <f>IF(OR(D1748&lt;0,D1748&gt;1),"Outlier","OK")</f>
        <v>Outlier</v>
      </c>
      <c r="Q1748" t="str">
        <f t="shared" si="218"/>
        <v>40-60%</v>
      </c>
      <c r="R1748" t="str">
        <f>IF(B1748="","Missing","OK")</f>
        <v>OK</v>
      </c>
      <c r="S1748" t="str">
        <f>IF(E1748="","Missing","OK")</f>
        <v>OK</v>
      </c>
      <c r="T1748" t="str">
        <f t="shared" si="219"/>
        <v>OK</v>
      </c>
      <c r="U1748">
        <f>COUNTIF($A:$A,A1748)</f>
        <v>1</v>
      </c>
      <c r="V1748" t="str">
        <f t="shared" si="220"/>
        <v>OK</v>
      </c>
      <c r="W1748" t="str">
        <f>IF(I1748&gt;B1748,"ERROR","OK")</f>
        <v>OK</v>
      </c>
      <c r="X1748">
        <f>(B1748-I1748)/B1748</f>
        <v>0.41136116362461067</v>
      </c>
      <c r="Y1748" s="2">
        <f t="shared" si="221"/>
        <v>1.6653345369377348E-15</v>
      </c>
      <c r="Z1748" s="2" t="str">
        <f t="shared" si="222"/>
        <v>OK</v>
      </c>
      <c r="AA1748" t="str">
        <f t="shared" si="223"/>
        <v>Unique</v>
      </c>
    </row>
    <row r="1749" spans="1:27" x14ac:dyDescent="0.3">
      <c r="A1749">
        <v>1748</v>
      </c>
      <c r="B1749">
        <v>579705.27054002404</v>
      </c>
      <c r="C1749">
        <v>0.38030405162627001</v>
      </c>
      <c r="D1749">
        <v>3.3618486127146303E-2</v>
      </c>
      <c r="E1749">
        <v>0.21065352652775801</v>
      </c>
      <c r="F1749">
        <v>1</v>
      </c>
      <c r="G1749" t="s">
        <v>10</v>
      </c>
      <c r="H1749">
        <v>1</v>
      </c>
      <c r="I1749">
        <v>122116.959585984</v>
      </c>
      <c r="J1749">
        <v>0.78934647347224096</v>
      </c>
      <c r="K1749" t="str">
        <f t="shared" si="216"/>
        <v>OK</v>
      </c>
      <c r="L1749" t="str">
        <f t="shared" si="217"/>
        <v>OK</v>
      </c>
      <c r="M1749" t="str">
        <f>IF(OR(B1749&lt;$AE$20,B1749&gt;$AF$20),"Outlier","OK")</f>
        <v>OK</v>
      </c>
      <c r="N1749" t="str">
        <f>IF(OR(J1749&lt;$AE$21,J1749&gt;$AF$21),"Outlier","OK")</f>
        <v>OK</v>
      </c>
      <c r="O1749" t="str">
        <f>IF(OR(C1749&lt;0,C1749&gt;1),"Outlier","OK")</f>
        <v>OK</v>
      </c>
      <c r="P1749" t="str">
        <f>IF(OR(D1749&lt;0,D1749&gt;1),"Outlier","OK")</f>
        <v>OK</v>
      </c>
      <c r="Q1749" t="str">
        <f t="shared" si="218"/>
        <v>60-80%</v>
      </c>
      <c r="R1749" t="str">
        <f>IF(B1749="","Missing","OK")</f>
        <v>OK</v>
      </c>
      <c r="S1749" t="str">
        <f>IF(E1749="","Missing","OK")</f>
        <v>OK</v>
      </c>
      <c r="T1749" t="str">
        <f t="shared" si="219"/>
        <v>OK</v>
      </c>
      <c r="U1749">
        <f>COUNTIF($A:$A,A1749)</f>
        <v>1</v>
      </c>
      <c r="V1749" t="str">
        <f t="shared" si="220"/>
        <v>OK</v>
      </c>
      <c r="W1749" t="str">
        <f>IF(I1749&gt;B1749,"ERROR","OK")</f>
        <v>OK</v>
      </c>
      <c r="X1749">
        <f>(B1749-I1749)/B1749</f>
        <v>0.78934647347224218</v>
      </c>
      <c r="Y1749" s="2">
        <f t="shared" si="221"/>
        <v>1.2212453270876722E-15</v>
      </c>
      <c r="Z1749" s="2" t="str">
        <f t="shared" si="222"/>
        <v>OK</v>
      </c>
      <c r="AA1749" t="str">
        <f t="shared" si="223"/>
        <v>Unique</v>
      </c>
    </row>
    <row r="1750" spans="1:27" x14ac:dyDescent="0.3">
      <c r="A1750">
        <v>1749</v>
      </c>
      <c r="B1750">
        <v>1197668.3747382199</v>
      </c>
      <c r="C1750">
        <v>0.30770235381913802</v>
      </c>
      <c r="D1750">
        <v>-6.3657265911540695E-2</v>
      </c>
      <c r="E1750">
        <v>0.19611279481007099</v>
      </c>
      <c r="F1750">
        <v>1</v>
      </c>
      <c r="G1750" t="s">
        <v>13</v>
      </c>
      <c r="H1750">
        <v>1</v>
      </c>
      <c r="I1750">
        <v>234878.09222554899</v>
      </c>
      <c r="J1750">
        <v>0.80388720518992796</v>
      </c>
      <c r="K1750" t="str">
        <f t="shared" si="216"/>
        <v>OK</v>
      </c>
      <c r="L1750" t="str">
        <f t="shared" si="217"/>
        <v>OK</v>
      </c>
      <c r="M1750" t="str">
        <f>IF(OR(B1750&lt;$AE$20,B1750&gt;$AF$20),"Outlier","OK")</f>
        <v>OK</v>
      </c>
      <c r="N1750" t="str">
        <f>IF(OR(J1750&lt;$AE$21,J1750&gt;$AF$21),"Outlier","OK")</f>
        <v>OK</v>
      </c>
      <c r="O1750" t="str">
        <f>IF(OR(C1750&lt;0,C1750&gt;1),"Outlier","OK")</f>
        <v>OK</v>
      </c>
      <c r="P1750" t="str">
        <f>IF(OR(D1750&lt;0,D1750&gt;1),"Outlier","OK")</f>
        <v>Outlier</v>
      </c>
      <c r="Q1750" t="str">
        <f t="shared" si="218"/>
        <v>80-100%</v>
      </c>
      <c r="R1750" t="str">
        <f>IF(B1750="","Missing","OK")</f>
        <v>OK</v>
      </c>
      <c r="S1750" t="str">
        <f>IF(E1750="","Missing","OK")</f>
        <v>OK</v>
      </c>
      <c r="T1750" t="str">
        <f t="shared" si="219"/>
        <v>OK</v>
      </c>
      <c r="U1750">
        <f>COUNTIF($A:$A,A1750)</f>
        <v>1</v>
      </c>
      <c r="V1750" t="str">
        <f t="shared" si="220"/>
        <v>OK</v>
      </c>
      <c r="W1750" t="str">
        <f>IF(I1750&gt;B1750,"ERROR","OK")</f>
        <v>OK</v>
      </c>
      <c r="X1750">
        <f>(B1750-I1750)/B1750</f>
        <v>0.80388720518992796</v>
      </c>
      <c r="Y1750" s="2">
        <f t="shared" si="221"/>
        <v>0</v>
      </c>
      <c r="Z1750" s="2" t="str">
        <f t="shared" si="222"/>
        <v>OK</v>
      </c>
      <c r="AA1750" t="str">
        <f t="shared" si="223"/>
        <v>Unique</v>
      </c>
    </row>
    <row r="1751" spans="1:27" x14ac:dyDescent="0.3">
      <c r="A1751">
        <v>1750</v>
      </c>
      <c r="B1751">
        <v>561209.51493503095</v>
      </c>
      <c r="C1751">
        <v>0.66019129224678297</v>
      </c>
      <c r="D1751">
        <v>1.70381519334947E-2</v>
      </c>
      <c r="E1751">
        <v>0.30593250188606502</v>
      </c>
      <c r="F1751">
        <v>1</v>
      </c>
      <c r="G1751" t="s">
        <v>10</v>
      </c>
      <c r="H1751">
        <v>0</v>
      </c>
      <c r="I1751">
        <v>171692.23098633901</v>
      </c>
      <c r="J1751">
        <v>0.69406749811393398</v>
      </c>
      <c r="K1751" t="str">
        <f t="shared" si="216"/>
        <v>OK</v>
      </c>
      <c r="L1751" t="str">
        <f t="shared" si="217"/>
        <v>OK</v>
      </c>
      <c r="M1751" t="str">
        <f>IF(OR(B1751&lt;$AE$20,B1751&gt;$AF$20),"Outlier","OK")</f>
        <v>OK</v>
      </c>
      <c r="N1751" t="str">
        <f>IF(OR(J1751&lt;$AE$21,J1751&gt;$AF$21),"Outlier","OK")</f>
        <v>OK</v>
      </c>
      <c r="O1751" t="str">
        <f>IF(OR(C1751&lt;0,C1751&gt;1),"Outlier","OK")</f>
        <v>OK</v>
      </c>
      <c r="P1751" t="str">
        <f>IF(OR(D1751&lt;0,D1751&gt;1),"Outlier","OK")</f>
        <v>OK</v>
      </c>
      <c r="Q1751" t="str">
        <f t="shared" si="218"/>
        <v>60-80%</v>
      </c>
      <c r="R1751" t="str">
        <f>IF(B1751="","Missing","OK")</f>
        <v>OK</v>
      </c>
      <c r="S1751" t="str">
        <f>IF(E1751="","Missing","OK")</f>
        <v>OK</v>
      </c>
      <c r="T1751" t="str">
        <f t="shared" si="219"/>
        <v>OK</v>
      </c>
      <c r="U1751">
        <f>COUNTIF($A:$A,A1751)</f>
        <v>1</v>
      </c>
      <c r="V1751" t="str">
        <f t="shared" si="220"/>
        <v>OK</v>
      </c>
      <c r="W1751" t="str">
        <f>IF(I1751&gt;B1751,"ERROR","OK")</f>
        <v>OK</v>
      </c>
      <c r="X1751">
        <f>(B1751-I1751)/B1751</f>
        <v>0.69406749811393487</v>
      </c>
      <c r="Y1751" s="2">
        <f t="shared" si="221"/>
        <v>8.8817841970012523E-16</v>
      </c>
      <c r="Z1751" s="2" t="str">
        <f t="shared" si="222"/>
        <v>OK</v>
      </c>
      <c r="AA1751" t="str">
        <f t="shared" si="223"/>
        <v>Unique</v>
      </c>
    </row>
    <row r="1752" spans="1:27" x14ac:dyDescent="0.3">
      <c r="A1752">
        <v>1751</v>
      </c>
      <c r="B1752">
        <v>1293747.35679346</v>
      </c>
      <c r="C1752">
        <v>0.63705934402352304</v>
      </c>
      <c r="D1752">
        <v>0.18818486091366199</v>
      </c>
      <c r="E1752">
        <v>0.219603830038201</v>
      </c>
      <c r="F1752">
        <v>1</v>
      </c>
      <c r="G1752" t="s">
        <v>13</v>
      </c>
      <c r="H1752">
        <v>0</v>
      </c>
      <c r="I1752">
        <v>284111.87465364498</v>
      </c>
      <c r="J1752">
        <v>0.78039616996179795</v>
      </c>
      <c r="K1752" t="str">
        <f t="shared" si="216"/>
        <v>OK</v>
      </c>
      <c r="L1752" t="str">
        <f t="shared" si="217"/>
        <v>OK</v>
      </c>
      <c r="M1752" t="str">
        <f>IF(OR(B1752&lt;$AE$20,B1752&gt;$AF$20),"Outlier","OK")</f>
        <v>OK</v>
      </c>
      <c r="N1752" t="str">
        <f>IF(OR(J1752&lt;$AE$21,J1752&gt;$AF$21),"Outlier","OK")</f>
        <v>OK</v>
      </c>
      <c r="O1752" t="str">
        <f>IF(OR(C1752&lt;0,C1752&gt;1),"Outlier","OK")</f>
        <v>OK</v>
      </c>
      <c r="P1752" t="str">
        <f>IF(OR(D1752&lt;0,D1752&gt;1),"Outlier","OK")</f>
        <v>OK</v>
      </c>
      <c r="Q1752" t="str">
        <f t="shared" si="218"/>
        <v>60-80%</v>
      </c>
      <c r="R1752" t="str">
        <f>IF(B1752="","Missing","OK")</f>
        <v>OK</v>
      </c>
      <c r="S1752" t="str">
        <f>IF(E1752="","Missing","OK")</f>
        <v>OK</v>
      </c>
      <c r="T1752" t="str">
        <f t="shared" si="219"/>
        <v>OK</v>
      </c>
      <c r="U1752">
        <f>COUNTIF($A:$A,A1752)</f>
        <v>1</v>
      </c>
      <c r="V1752" t="str">
        <f t="shared" si="220"/>
        <v>OK</v>
      </c>
      <c r="W1752" t="str">
        <f>IF(I1752&gt;B1752,"ERROR","OK")</f>
        <v>OK</v>
      </c>
      <c r="X1752">
        <f>(B1752-I1752)/B1752</f>
        <v>0.78039616996179728</v>
      </c>
      <c r="Y1752" s="2">
        <f t="shared" si="221"/>
        <v>6.6613381477509392E-16</v>
      </c>
      <c r="Z1752" s="2" t="str">
        <f t="shared" si="222"/>
        <v>OK</v>
      </c>
      <c r="AA1752" t="str">
        <f t="shared" si="223"/>
        <v>Unique</v>
      </c>
    </row>
    <row r="1753" spans="1:27" x14ac:dyDescent="0.3">
      <c r="A1753">
        <v>1752</v>
      </c>
      <c r="B1753">
        <v>1799437.6604770999</v>
      </c>
      <c r="C1753">
        <v>0.59333384175860204</v>
      </c>
      <c r="D1753">
        <v>-0.19408256287401099</v>
      </c>
      <c r="E1753">
        <v>3.2749911608644398E-2</v>
      </c>
      <c r="F1753">
        <v>1</v>
      </c>
      <c r="G1753" t="s">
        <v>13</v>
      </c>
      <c r="H1753">
        <v>1</v>
      </c>
      <c r="I1753">
        <v>58931.424325890999</v>
      </c>
      <c r="J1753">
        <v>0.96725008839135496</v>
      </c>
      <c r="K1753" t="str">
        <f t="shared" si="216"/>
        <v>OK</v>
      </c>
      <c r="L1753" t="str">
        <f t="shared" si="217"/>
        <v>OK</v>
      </c>
      <c r="M1753" t="str">
        <f>IF(OR(B1753&lt;$AE$20,B1753&gt;$AF$20),"Outlier","OK")</f>
        <v>OK</v>
      </c>
      <c r="N1753" t="str">
        <f>IF(OR(J1753&lt;$AE$21,J1753&gt;$AF$21),"Outlier","OK")</f>
        <v>OK</v>
      </c>
      <c r="O1753" t="str">
        <f>IF(OR(C1753&lt;0,C1753&gt;1),"Outlier","OK")</f>
        <v>OK</v>
      </c>
      <c r="P1753" t="str">
        <f>IF(OR(D1753&lt;0,D1753&gt;1),"Outlier","OK")</f>
        <v>Outlier</v>
      </c>
      <c r="Q1753" t="str">
        <f t="shared" si="218"/>
        <v>80-100%</v>
      </c>
      <c r="R1753" t="str">
        <f>IF(B1753="","Missing","OK")</f>
        <v>OK</v>
      </c>
      <c r="S1753" t="str">
        <f>IF(E1753="","Missing","OK")</f>
        <v>OK</v>
      </c>
      <c r="T1753" t="str">
        <f t="shared" si="219"/>
        <v>OK</v>
      </c>
      <c r="U1753">
        <f>COUNTIF($A:$A,A1753)</f>
        <v>1</v>
      </c>
      <c r="V1753" t="str">
        <f t="shared" si="220"/>
        <v>OK</v>
      </c>
      <c r="W1753" t="str">
        <f>IF(I1753&gt;B1753,"ERROR","OK")</f>
        <v>OK</v>
      </c>
      <c r="X1753">
        <f>(B1753-I1753)/B1753</f>
        <v>0.96725008839135551</v>
      </c>
      <c r="Y1753" s="2">
        <f t="shared" si="221"/>
        <v>5.5511151231257827E-16</v>
      </c>
      <c r="Z1753" s="2" t="str">
        <f t="shared" si="222"/>
        <v>OK</v>
      </c>
      <c r="AA1753" t="str">
        <f t="shared" si="223"/>
        <v>Unique</v>
      </c>
    </row>
    <row r="1754" spans="1:27" x14ac:dyDescent="0.3">
      <c r="A1754">
        <v>1753</v>
      </c>
      <c r="B1754">
        <v>992122.224079623</v>
      </c>
      <c r="C1754">
        <v>0.39651019790091002</v>
      </c>
      <c r="D1754">
        <v>1.99800976784631E-2</v>
      </c>
      <c r="E1754">
        <v>0.100447227423979</v>
      </c>
      <c r="F1754">
        <v>1</v>
      </c>
      <c r="G1754" t="s">
        <v>10</v>
      </c>
      <c r="H1754">
        <v>0</v>
      </c>
      <c r="I1754">
        <v>99655.9266745106</v>
      </c>
      <c r="J1754">
        <v>0.89955277257601995</v>
      </c>
      <c r="K1754" t="str">
        <f t="shared" si="216"/>
        <v>OK</v>
      </c>
      <c r="L1754" t="str">
        <f t="shared" si="217"/>
        <v>OK</v>
      </c>
      <c r="M1754" t="str">
        <f>IF(OR(B1754&lt;$AE$20,B1754&gt;$AF$20),"Outlier","OK")</f>
        <v>OK</v>
      </c>
      <c r="N1754" t="str">
        <f>IF(OR(J1754&lt;$AE$21,J1754&gt;$AF$21),"Outlier","OK")</f>
        <v>OK</v>
      </c>
      <c r="O1754" t="str">
        <f>IF(OR(C1754&lt;0,C1754&gt;1),"Outlier","OK")</f>
        <v>OK</v>
      </c>
      <c r="P1754" t="str">
        <f>IF(OR(D1754&lt;0,D1754&gt;1),"Outlier","OK")</f>
        <v>OK</v>
      </c>
      <c r="Q1754" t="str">
        <f t="shared" si="218"/>
        <v>80-100%</v>
      </c>
      <c r="R1754" t="str">
        <f>IF(B1754="","Missing","OK")</f>
        <v>OK</v>
      </c>
      <c r="S1754" t="str">
        <f>IF(E1754="","Missing","OK")</f>
        <v>OK</v>
      </c>
      <c r="T1754" t="str">
        <f t="shared" si="219"/>
        <v>OK</v>
      </c>
      <c r="U1754">
        <f>COUNTIF($A:$A,A1754)</f>
        <v>1</v>
      </c>
      <c r="V1754" t="str">
        <f t="shared" si="220"/>
        <v>OK</v>
      </c>
      <c r="W1754" t="str">
        <f>IF(I1754&gt;B1754,"ERROR","OK")</f>
        <v>OK</v>
      </c>
      <c r="X1754">
        <f>(B1754-I1754)/B1754</f>
        <v>0.89955277257602018</v>
      </c>
      <c r="Y1754" s="2">
        <f t="shared" si="221"/>
        <v>2.2204460492503131E-16</v>
      </c>
      <c r="Z1754" s="2" t="str">
        <f t="shared" si="222"/>
        <v>OK</v>
      </c>
      <c r="AA1754" t="str">
        <f t="shared" si="223"/>
        <v>Unique</v>
      </c>
    </row>
    <row r="1755" spans="1:27" x14ac:dyDescent="0.3">
      <c r="A1755">
        <v>1754</v>
      </c>
      <c r="B1755">
        <v>1657892.3314286601</v>
      </c>
      <c r="C1755">
        <v>0.84727612157451404</v>
      </c>
      <c r="D1755">
        <v>-4.5551659075149997E-3</v>
      </c>
      <c r="E1755">
        <v>6.3113027976646793E-2</v>
      </c>
      <c r="F1755">
        <v>1</v>
      </c>
      <c r="G1755" t="s">
        <v>10</v>
      </c>
      <c r="H1755">
        <v>0</v>
      </c>
      <c r="I1755">
        <v>104634.605095725</v>
      </c>
      <c r="J1755">
        <v>0.93688697202335303</v>
      </c>
      <c r="K1755" t="str">
        <f t="shared" si="216"/>
        <v>OK</v>
      </c>
      <c r="L1755" t="str">
        <f t="shared" si="217"/>
        <v>OK</v>
      </c>
      <c r="M1755" t="str">
        <f>IF(OR(B1755&lt;$AE$20,B1755&gt;$AF$20),"Outlier","OK")</f>
        <v>OK</v>
      </c>
      <c r="N1755" t="str">
        <f>IF(OR(J1755&lt;$AE$21,J1755&gt;$AF$21),"Outlier","OK")</f>
        <v>OK</v>
      </c>
      <c r="O1755" t="str">
        <f>IF(OR(C1755&lt;0,C1755&gt;1),"Outlier","OK")</f>
        <v>OK</v>
      </c>
      <c r="P1755" t="str">
        <f>IF(OR(D1755&lt;0,D1755&gt;1),"Outlier","OK")</f>
        <v>Outlier</v>
      </c>
      <c r="Q1755" t="str">
        <f t="shared" si="218"/>
        <v>80-100%</v>
      </c>
      <c r="R1755" t="str">
        <f>IF(B1755="","Missing","OK")</f>
        <v>OK</v>
      </c>
      <c r="S1755" t="str">
        <f>IF(E1755="","Missing","OK")</f>
        <v>OK</v>
      </c>
      <c r="T1755" t="str">
        <f t="shared" si="219"/>
        <v>OK</v>
      </c>
      <c r="U1755">
        <f>COUNTIF($A:$A,A1755)</f>
        <v>1</v>
      </c>
      <c r="V1755" t="str">
        <f t="shared" si="220"/>
        <v>OK</v>
      </c>
      <c r="W1755" t="str">
        <f>IF(I1755&gt;B1755,"ERROR","OK")</f>
        <v>OK</v>
      </c>
      <c r="X1755">
        <f>(B1755-I1755)/B1755</f>
        <v>0.93688697202335325</v>
      </c>
      <c r="Y1755" s="2">
        <f t="shared" si="221"/>
        <v>2.2204460492503131E-16</v>
      </c>
      <c r="Z1755" s="2" t="str">
        <f t="shared" si="222"/>
        <v>OK</v>
      </c>
      <c r="AA1755" t="str">
        <f t="shared" si="223"/>
        <v>Unique</v>
      </c>
    </row>
    <row r="1756" spans="1:27" x14ac:dyDescent="0.3">
      <c r="A1756">
        <v>1755</v>
      </c>
      <c r="B1756">
        <v>83353.830162687198</v>
      </c>
      <c r="C1756">
        <v>0.60152367215037605</v>
      </c>
      <c r="D1756">
        <v>-0.13446295794591301</v>
      </c>
      <c r="E1756">
        <v>0.18977511073130701</v>
      </c>
      <c r="F1756">
        <v>1</v>
      </c>
      <c r="G1756" t="s">
        <v>13</v>
      </c>
      <c r="H1756">
        <v>1</v>
      </c>
      <c r="I1756">
        <v>15818.482349002499</v>
      </c>
      <c r="J1756">
        <v>0.81022488926869196</v>
      </c>
      <c r="K1756" t="str">
        <f t="shared" si="216"/>
        <v>OK</v>
      </c>
      <c r="L1756" t="str">
        <f t="shared" si="217"/>
        <v>OK</v>
      </c>
      <c r="M1756" t="str">
        <f>IF(OR(B1756&lt;$AE$20,B1756&gt;$AF$20),"Outlier","OK")</f>
        <v>OK</v>
      </c>
      <c r="N1756" t="str">
        <f>IF(OR(J1756&lt;$AE$21,J1756&gt;$AF$21),"Outlier","OK")</f>
        <v>OK</v>
      </c>
      <c r="O1756" t="str">
        <f>IF(OR(C1756&lt;0,C1756&gt;1),"Outlier","OK")</f>
        <v>OK</v>
      </c>
      <c r="P1756" t="str">
        <f>IF(OR(D1756&lt;0,D1756&gt;1),"Outlier","OK")</f>
        <v>Outlier</v>
      </c>
      <c r="Q1756" t="str">
        <f t="shared" si="218"/>
        <v>80-100%</v>
      </c>
      <c r="R1756" t="str">
        <f>IF(B1756="","Missing","OK")</f>
        <v>OK</v>
      </c>
      <c r="S1756" t="str">
        <f>IF(E1756="","Missing","OK")</f>
        <v>OK</v>
      </c>
      <c r="T1756" t="str">
        <f t="shared" si="219"/>
        <v>OK</v>
      </c>
      <c r="U1756">
        <f>COUNTIF($A:$A,A1756)</f>
        <v>1</v>
      </c>
      <c r="V1756" t="str">
        <f t="shared" si="220"/>
        <v>OK</v>
      </c>
      <c r="W1756" t="str">
        <f>IF(I1756&gt;B1756,"ERROR","OK")</f>
        <v>OK</v>
      </c>
      <c r="X1756">
        <f>(B1756-I1756)/B1756</f>
        <v>0.81022488926869318</v>
      </c>
      <c r="Y1756" s="2">
        <f t="shared" si="221"/>
        <v>1.2212453270876722E-15</v>
      </c>
      <c r="Z1756" s="2" t="str">
        <f t="shared" si="222"/>
        <v>OK</v>
      </c>
      <c r="AA1756" t="str">
        <f t="shared" si="223"/>
        <v>Unique</v>
      </c>
    </row>
    <row r="1757" spans="1:27" x14ac:dyDescent="0.3">
      <c r="A1757">
        <v>1756</v>
      </c>
      <c r="B1757">
        <v>1740929.6829462899</v>
      </c>
      <c r="C1757">
        <v>0.414158311597835</v>
      </c>
      <c r="D1757">
        <v>0.117289670233316</v>
      </c>
      <c r="E1757">
        <v>0.34455929549268699</v>
      </c>
      <c r="F1757">
        <v>1</v>
      </c>
      <c r="G1757" t="s">
        <v>10</v>
      </c>
      <c r="H1757">
        <v>0</v>
      </c>
      <c r="I1757">
        <v>599853.50505828205</v>
      </c>
      <c r="J1757">
        <v>0.65544070450731295</v>
      </c>
      <c r="K1757" t="str">
        <f t="shared" si="216"/>
        <v>OK</v>
      </c>
      <c r="L1757" t="str">
        <f t="shared" si="217"/>
        <v>OK</v>
      </c>
      <c r="M1757" t="str">
        <f>IF(OR(B1757&lt;$AE$20,B1757&gt;$AF$20),"Outlier","OK")</f>
        <v>OK</v>
      </c>
      <c r="N1757" t="str">
        <f>IF(OR(J1757&lt;$AE$21,J1757&gt;$AF$21),"Outlier","OK")</f>
        <v>OK</v>
      </c>
      <c r="O1757" t="str">
        <f>IF(OR(C1757&lt;0,C1757&gt;1),"Outlier","OK")</f>
        <v>OK</v>
      </c>
      <c r="P1757" t="str">
        <f>IF(OR(D1757&lt;0,D1757&gt;1),"Outlier","OK")</f>
        <v>OK</v>
      </c>
      <c r="Q1757" t="str">
        <f t="shared" si="218"/>
        <v>60-80%</v>
      </c>
      <c r="R1757" t="str">
        <f>IF(B1757="","Missing","OK")</f>
        <v>OK</v>
      </c>
      <c r="S1757" t="str">
        <f>IF(E1757="","Missing","OK")</f>
        <v>OK</v>
      </c>
      <c r="T1757" t="str">
        <f t="shared" si="219"/>
        <v>OK</v>
      </c>
      <c r="U1757">
        <f>COUNTIF($A:$A,A1757)</f>
        <v>1</v>
      </c>
      <c r="V1757" t="str">
        <f t="shared" si="220"/>
        <v>OK</v>
      </c>
      <c r="W1757" t="str">
        <f>IF(I1757&gt;B1757,"ERROR","OK")</f>
        <v>OK</v>
      </c>
      <c r="X1757">
        <f>(B1757-I1757)/B1757</f>
        <v>0.65544070450731218</v>
      </c>
      <c r="Y1757" s="2">
        <f t="shared" si="221"/>
        <v>7.7715611723760958E-16</v>
      </c>
      <c r="Z1757" s="2" t="str">
        <f t="shared" si="222"/>
        <v>OK</v>
      </c>
      <c r="AA1757" t="str">
        <f t="shared" si="223"/>
        <v>Unique</v>
      </c>
    </row>
    <row r="1758" spans="1:27" x14ac:dyDescent="0.3">
      <c r="A1758">
        <v>1757</v>
      </c>
      <c r="B1758">
        <v>1891196.1694754199</v>
      </c>
      <c r="C1758">
        <v>0.89135584825981895</v>
      </c>
      <c r="D1758">
        <v>-7.6018707040583194E-2</v>
      </c>
      <c r="E1758">
        <v>5.3059502117184701E-2</v>
      </c>
      <c r="F1758">
        <v>1</v>
      </c>
      <c r="G1758" t="s">
        <v>13</v>
      </c>
      <c r="H1758">
        <v>0</v>
      </c>
      <c r="I1758">
        <v>100345.92715829299</v>
      </c>
      <c r="J1758">
        <v>0.94694049788281498</v>
      </c>
      <c r="K1758" t="str">
        <f t="shared" si="216"/>
        <v>OK</v>
      </c>
      <c r="L1758" t="str">
        <f t="shared" si="217"/>
        <v>OK</v>
      </c>
      <c r="M1758" t="str">
        <f>IF(OR(B1758&lt;$AE$20,B1758&gt;$AF$20),"Outlier","OK")</f>
        <v>OK</v>
      </c>
      <c r="N1758" t="str">
        <f>IF(OR(J1758&lt;$AE$21,J1758&gt;$AF$21),"Outlier","OK")</f>
        <v>OK</v>
      </c>
      <c r="O1758" t="str">
        <f>IF(OR(C1758&lt;0,C1758&gt;1),"Outlier","OK")</f>
        <v>OK</v>
      </c>
      <c r="P1758" t="str">
        <f>IF(OR(D1758&lt;0,D1758&gt;1),"Outlier","OK")</f>
        <v>Outlier</v>
      </c>
      <c r="Q1758" t="str">
        <f t="shared" si="218"/>
        <v>80-100%</v>
      </c>
      <c r="R1758" t="str">
        <f>IF(B1758="","Missing","OK")</f>
        <v>OK</v>
      </c>
      <c r="S1758" t="str">
        <f>IF(E1758="","Missing","OK")</f>
        <v>OK</v>
      </c>
      <c r="T1758" t="str">
        <f t="shared" si="219"/>
        <v>OK</v>
      </c>
      <c r="U1758">
        <f>COUNTIF($A:$A,A1758)</f>
        <v>1</v>
      </c>
      <c r="V1758" t="str">
        <f t="shared" si="220"/>
        <v>OK</v>
      </c>
      <c r="W1758" t="str">
        <f>IF(I1758&gt;B1758,"ERROR","OK")</f>
        <v>OK</v>
      </c>
      <c r="X1758">
        <f>(B1758-I1758)/B1758</f>
        <v>0.94694049788281509</v>
      </c>
      <c r="Y1758" s="2">
        <f t="shared" si="221"/>
        <v>1.1102230246251565E-16</v>
      </c>
      <c r="Z1758" s="2" t="str">
        <f t="shared" si="222"/>
        <v>OK</v>
      </c>
      <c r="AA1758" t="str">
        <f t="shared" si="223"/>
        <v>Unique</v>
      </c>
    </row>
    <row r="1759" spans="1:27" x14ac:dyDescent="0.3">
      <c r="A1759">
        <v>1758</v>
      </c>
      <c r="B1759">
        <v>661142.51407982397</v>
      </c>
      <c r="C1759">
        <v>0.53143558686724102</v>
      </c>
      <c r="D1759">
        <v>0.13977386217641299</v>
      </c>
      <c r="E1759">
        <v>0.32894157250306799</v>
      </c>
      <c r="F1759">
        <v>1</v>
      </c>
      <c r="G1759" t="s">
        <v>11</v>
      </c>
      <c r="H1759">
        <v>1</v>
      </c>
      <c r="I1759">
        <v>217477.25823004899</v>
      </c>
      <c r="J1759">
        <v>0.67105842749693101</v>
      </c>
      <c r="K1759" t="str">
        <f t="shared" si="216"/>
        <v>OK</v>
      </c>
      <c r="L1759" t="str">
        <f t="shared" si="217"/>
        <v>OK</v>
      </c>
      <c r="M1759" t="str">
        <f>IF(OR(B1759&lt;$AE$20,B1759&gt;$AF$20),"Outlier","OK")</f>
        <v>OK</v>
      </c>
      <c r="N1759" t="str">
        <f>IF(OR(J1759&lt;$AE$21,J1759&gt;$AF$21),"Outlier","OK")</f>
        <v>OK</v>
      </c>
      <c r="O1759" t="str">
        <f>IF(OR(C1759&lt;0,C1759&gt;1),"Outlier","OK")</f>
        <v>OK</v>
      </c>
      <c r="P1759" t="str">
        <f>IF(OR(D1759&lt;0,D1759&gt;1),"Outlier","OK")</f>
        <v>OK</v>
      </c>
      <c r="Q1759" t="str">
        <f t="shared" si="218"/>
        <v>60-80%</v>
      </c>
      <c r="R1759" t="str">
        <f>IF(B1759="","Missing","OK")</f>
        <v>OK</v>
      </c>
      <c r="S1759" t="str">
        <f>IF(E1759="","Missing","OK")</f>
        <v>OK</v>
      </c>
      <c r="T1759" t="str">
        <f t="shared" si="219"/>
        <v>OK</v>
      </c>
      <c r="U1759">
        <f>COUNTIF($A:$A,A1759)</f>
        <v>1</v>
      </c>
      <c r="V1759" t="str">
        <f t="shared" si="220"/>
        <v>OK</v>
      </c>
      <c r="W1759" t="str">
        <f>IF(I1759&gt;B1759,"ERROR","OK")</f>
        <v>OK</v>
      </c>
      <c r="X1759">
        <f>(B1759-I1759)/B1759</f>
        <v>0.67105842749693212</v>
      </c>
      <c r="Y1759" s="2">
        <f t="shared" si="221"/>
        <v>1.1102230246251565E-15</v>
      </c>
      <c r="Z1759" s="2" t="str">
        <f t="shared" si="222"/>
        <v>OK</v>
      </c>
      <c r="AA1759" t="str">
        <f t="shared" si="223"/>
        <v>Unique</v>
      </c>
    </row>
    <row r="1760" spans="1:27" x14ac:dyDescent="0.3">
      <c r="A1760">
        <v>1759</v>
      </c>
      <c r="B1760">
        <v>1433808.7496287101</v>
      </c>
      <c r="C1760">
        <v>0.64591144775849496</v>
      </c>
      <c r="D1760">
        <v>-7.4105736685314796E-2</v>
      </c>
      <c r="E1760">
        <v>0.2618260501677</v>
      </c>
      <c r="F1760">
        <v>1</v>
      </c>
      <c r="G1760" t="s">
        <v>12</v>
      </c>
      <c r="H1760">
        <v>0</v>
      </c>
      <c r="I1760">
        <v>375408.48161117599</v>
      </c>
      <c r="J1760">
        <v>0.738173949832299</v>
      </c>
      <c r="K1760" t="str">
        <f t="shared" si="216"/>
        <v>OK</v>
      </c>
      <c r="L1760" t="str">
        <f t="shared" si="217"/>
        <v>OK</v>
      </c>
      <c r="M1760" t="str">
        <f>IF(OR(B1760&lt;$AE$20,B1760&gt;$AF$20),"Outlier","OK")</f>
        <v>OK</v>
      </c>
      <c r="N1760" t="str">
        <f>IF(OR(J1760&lt;$AE$21,J1760&gt;$AF$21),"Outlier","OK")</f>
        <v>OK</v>
      </c>
      <c r="O1760" t="str">
        <f>IF(OR(C1760&lt;0,C1760&gt;1),"Outlier","OK")</f>
        <v>OK</v>
      </c>
      <c r="P1760" t="str">
        <f>IF(OR(D1760&lt;0,D1760&gt;1),"Outlier","OK")</f>
        <v>Outlier</v>
      </c>
      <c r="Q1760" t="str">
        <f t="shared" si="218"/>
        <v>60-80%</v>
      </c>
      <c r="R1760" t="str">
        <f>IF(B1760="","Missing","OK")</f>
        <v>OK</v>
      </c>
      <c r="S1760" t="str">
        <f>IF(E1760="","Missing","OK")</f>
        <v>OK</v>
      </c>
      <c r="T1760" t="str">
        <f t="shared" si="219"/>
        <v>OK</v>
      </c>
      <c r="U1760">
        <f>COUNTIF($A:$A,A1760)</f>
        <v>1</v>
      </c>
      <c r="V1760" t="str">
        <f t="shared" si="220"/>
        <v>OK</v>
      </c>
      <c r="W1760" t="str">
        <f>IF(I1760&gt;B1760,"ERROR","OK")</f>
        <v>OK</v>
      </c>
      <c r="X1760">
        <f>(B1760-I1760)/B1760</f>
        <v>0.73817394983229856</v>
      </c>
      <c r="Y1760" s="2">
        <f t="shared" si="221"/>
        <v>4.4408920985006262E-16</v>
      </c>
      <c r="Z1760" s="2" t="str">
        <f t="shared" si="222"/>
        <v>OK</v>
      </c>
      <c r="AA1760" t="str">
        <f t="shared" si="223"/>
        <v>Unique</v>
      </c>
    </row>
    <row r="1761" spans="1:27" x14ac:dyDescent="0.3">
      <c r="A1761">
        <v>1760</v>
      </c>
      <c r="B1761">
        <v>1647500.3298692801</v>
      </c>
      <c r="C1761">
        <v>0.493217841407737</v>
      </c>
      <c r="D1761">
        <v>-9.0023408226780302E-2</v>
      </c>
      <c r="E1761">
        <v>0.17352183551904701</v>
      </c>
      <c r="F1761">
        <v>1</v>
      </c>
      <c r="G1761" t="s">
        <v>10</v>
      </c>
      <c r="H1761">
        <v>0</v>
      </c>
      <c r="I1761">
        <v>285877.28125715401</v>
      </c>
      <c r="J1761">
        <v>0.82647816448095202</v>
      </c>
      <c r="K1761" t="str">
        <f t="shared" si="216"/>
        <v>OK</v>
      </c>
      <c r="L1761" t="str">
        <f t="shared" si="217"/>
        <v>OK</v>
      </c>
      <c r="M1761" t="str">
        <f>IF(OR(B1761&lt;$AE$20,B1761&gt;$AF$20),"Outlier","OK")</f>
        <v>OK</v>
      </c>
      <c r="N1761" t="str">
        <f>IF(OR(J1761&lt;$AE$21,J1761&gt;$AF$21),"Outlier","OK")</f>
        <v>OK</v>
      </c>
      <c r="O1761" t="str">
        <f>IF(OR(C1761&lt;0,C1761&gt;1),"Outlier","OK")</f>
        <v>OK</v>
      </c>
      <c r="P1761" t="str">
        <f>IF(OR(D1761&lt;0,D1761&gt;1),"Outlier","OK")</f>
        <v>Outlier</v>
      </c>
      <c r="Q1761" t="str">
        <f t="shared" si="218"/>
        <v>80-100%</v>
      </c>
      <c r="R1761" t="str">
        <f>IF(B1761="","Missing","OK")</f>
        <v>OK</v>
      </c>
      <c r="S1761" t="str">
        <f>IF(E1761="","Missing","OK")</f>
        <v>OK</v>
      </c>
      <c r="T1761" t="str">
        <f t="shared" si="219"/>
        <v>OK</v>
      </c>
      <c r="U1761">
        <f>COUNTIF($A:$A,A1761)</f>
        <v>1</v>
      </c>
      <c r="V1761" t="str">
        <f t="shared" si="220"/>
        <v>OK</v>
      </c>
      <c r="W1761" t="str">
        <f>IF(I1761&gt;B1761,"ERROR","OK")</f>
        <v>OK</v>
      </c>
      <c r="X1761">
        <f>(B1761-I1761)/B1761</f>
        <v>0.82647816448095235</v>
      </c>
      <c r="Y1761" s="2">
        <f t="shared" si="221"/>
        <v>3.3306690738754696E-16</v>
      </c>
      <c r="Z1761" s="2" t="str">
        <f t="shared" si="222"/>
        <v>OK</v>
      </c>
      <c r="AA1761" t="str">
        <f t="shared" si="223"/>
        <v>Unique</v>
      </c>
    </row>
    <row r="1762" spans="1:27" x14ac:dyDescent="0.3">
      <c r="A1762">
        <v>1761</v>
      </c>
      <c r="B1762">
        <v>292322.53906222503</v>
      </c>
      <c r="C1762">
        <v>0.415196100052029</v>
      </c>
      <c r="D1762">
        <v>-8.8979192961772605E-2</v>
      </c>
      <c r="E1762">
        <v>0.65049033902059095</v>
      </c>
      <c r="F1762">
        <v>1</v>
      </c>
      <c r="G1762" t="s">
        <v>13</v>
      </c>
      <c r="H1762">
        <v>0</v>
      </c>
      <c r="I1762">
        <v>190152.98753794699</v>
      </c>
      <c r="J1762">
        <v>0.349509660979408</v>
      </c>
      <c r="K1762" t="str">
        <f t="shared" si="216"/>
        <v>OK</v>
      </c>
      <c r="L1762" t="str">
        <f t="shared" si="217"/>
        <v>OK</v>
      </c>
      <c r="M1762" t="str">
        <f>IF(OR(B1762&lt;$AE$20,B1762&gt;$AF$20),"Outlier","OK")</f>
        <v>OK</v>
      </c>
      <c r="N1762" t="str">
        <f>IF(OR(J1762&lt;$AE$21,J1762&gt;$AF$21),"Outlier","OK")</f>
        <v>OK</v>
      </c>
      <c r="O1762" t="str">
        <f>IF(OR(C1762&lt;0,C1762&gt;1),"Outlier","OK")</f>
        <v>OK</v>
      </c>
      <c r="P1762" t="str">
        <f>IF(OR(D1762&lt;0,D1762&gt;1),"Outlier","OK")</f>
        <v>Outlier</v>
      </c>
      <c r="Q1762" t="str">
        <f t="shared" si="218"/>
        <v>20-40%</v>
      </c>
      <c r="R1762" t="str">
        <f>IF(B1762="","Missing","OK")</f>
        <v>OK</v>
      </c>
      <c r="S1762" t="str">
        <f>IF(E1762="","Missing","OK")</f>
        <v>OK</v>
      </c>
      <c r="T1762" t="str">
        <f t="shared" si="219"/>
        <v>OK</v>
      </c>
      <c r="U1762">
        <f>COUNTIF($A:$A,A1762)</f>
        <v>1</v>
      </c>
      <c r="V1762" t="str">
        <f t="shared" si="220"/>
        <v>OK</v>
      </c>
      <c r="W1762" t="str">
        <f>IF(I1762&gt;B1762,"ERROR","OK")</f>
        <v>OK</v>
      </c>
      <c r="X1762">
        <f>(B1762-I1762)/B1762</f>
        <v>0.34950966097940805</v>
      </c>
      <c r="Y1762" s="2">
        <f t="shared" si="221"/>
        <v>5.5511151231257827E-17</v>
      </c>
      <c r="Z1762" s="2" t="str">
        <f t="shared" si="222"/>
        <v>OK</v>
      </c>
      <c r="AA1762" t="str">
        <f t="shared" si="223"/>
        <v>Unique</v>
      </c>
    </row>
    <row r="1763" spans="1:27" x14ac:dyDescent="0.3">
      <c r="A1763">
        <v>1762</v>
      </c>
      <c r="B1763">
        <v>858169.56718660495</v>
      </c>
      <c r="C1763">
        <v>0.62129524402567904</v>
      </c>
      <c r="D1763">
        <v>-4.0827198025022597E-2</v>
      </c>
      <c r="E1763">
        <v>9.2648673640510798E-2</v>
      </c>
      <c r="F1763">
        <v>1</v>
      </c>
      <c r="G1763" t="s">
        <v>12</v>
      </c>
      <c r="H1763">
        <v>0</v>
      </c>
      <c r="I1763">
        <v>79508.272158490101</v>
      </c>
      <c r="J1763">
        <v>0.90735132635948901</v>
      </c>
      <c r="K1763" t="str">
        <f t="shared" si="216"/>
        <v>OK</v>
      </c>
      <c r="L1763" t="str">
        <f t="shared" si="217"/>
        <v>OK</v>
      </c>
      <c r="M1763" t="str">
        <f>IF(OR(B1763&lt;$AE$20,B1763&gt;$AF$20),"Outlier","OK")</f>
        <v>OK</v>
      </c>
      <c r="N1763" t="str">
        <f>IF(OR(J1763&lt;$AE$21,J1763&gt;$AF$21),"Outlier","OK")</f>
        <v>OK</v>
      </c>
      <c r="O1763" t="str">
        <f>IF(OR(C1763&lt;0,C1763&gt;1),"Outlier","OK")</f>
        <v>OK</v>
      </c>
      <c r="P1763" t="str">
        <f>IF(OR(D1763&lt;0,D1763&gt;1),"Outlier","OK")</f>
        <v>Outlier</v>
      </c>
      <c r="Q1763" t="str">
        <f t="shared" si="218"/>
        <v>80-100%</v>
      </c>
      <c r="R1763" t="str">
        <f>IF(B1763="","Missing","OK")</f>
        <v>OK</v>
      </c>
      <c r="S1763" t="str">
        <f>IF(E1763="","Missing","OK")</f>
        <v>OK</v>
      </c>
      <c r="T1763" t="str">
        <f t="shared" si="219"/>
        <v>OK</v>
      </c>
      <c r="U1763">
        <f>COUNTIF($A:$A,A1763)</f>
        <v>1</v>
      </c>
      <c r="V1763" t="str">
        <f t="shared" si="220"/>
        <v>OK</v>
      </c>
      <c r="W1763" t="str">
        <f>IF(I1763&gt;B1763,"ERROR","OK")</f>
        <v>OK</v>
      </c>
      <c r="X1763">
        <f>(B1763-I1763)/B1763</f>
        <v>0.90735132635948923</v>
      </c>
      <c r="Y1763" s="2">
        <f t="shared" si="221"/>
        <v>2.2204460492503131E-16</v>
      </c>
      <c r="Z1763" s="2" t="str">
        <f t="shared" si="222"/>
        <v>OK</v>
      </c>
      <c r="AA1763" t="str">
        <f t="shared" si="223"/>
        <v>Unique</v>
      </c>
    </row>
    <row r="1764" spans="1:27" x14ac:dyDescent="0.3">
      <c r="A1764">
        <v>1763</v>
      </c>
      <c r="B1764">
        <v>452837.64301443601</v>
      </c>
      <c r="C1764">
        <v>0.853654756520969</v>
      </c>
      <c r="D1764">
        <v>-8.62770016267351E-2</v>
      </c>
      <c r="E1764">
        <v>5.3846422450861797E-2</v>
      </c>
      <c r="F1764">
        <v>1</v>
      </c>
      <c r="G1764" t="s">
        <v>13</v>
      </c>
      <c r="H1764">
        <v>1</v>
      </c>
      <c r="I1764">
        <v>24383.687027407901</v>
      </c>
      <c r="J1764">
        <v>0.94615357754913798</v>
      </c>
      <c r="K1764" t="str">
        <f t="shared" si="216"/>
        <v>OK</v>
      </c>
      <c r="L1764" t="str">
        <f t="shared" si="217"/>
        <v>OK</v>
      </c>
      <c r="M1764" t="str">
        <f>IF(OR(B1764&lt;$AE$20,B1764&gt;$AF$20),"Outlier","OK")</f>
        <v>OK</v>
      </c>
      <c r="N1764" t="str">
        <f>IF(OR(J1764&lt;$AE$21,J1764&gt;$AF$21),"Outlier","OK")</f>
        <v>OK</v>
      </c>
      <c r="O1764" t="str">
        <f>IF(OR(C1764&lt;0,C1764&gt;1),"Outlier","OK")</f>
        <v>OK</v>
      </c>
      <c r="P1764" t="str">
        <f>IF(OR(D1764&lt;0,D1764&gt;1),"Outlier","OK")</f>
        <v>Outlier</v>
      </c>
      <c r="Q1764" t="str">
        <f t="shared" si="218"/>
        <v>80-100%</v>
      </c>
      <c r="R1764" t="str">
        <f>IF(B1764="","Missing","OK")</f>
        <v>OK</v>
      </c>
      <c r="S1764" t="str">
        <f>IF(E1764="","Missing","OK")</f>
        <v>OK</v>
      </c>
      <c r="T1764" t="str">
        <f t="shared" si="219"/>
        <v>OK</v>
      </c>
      <c r="U1764">
        <f>COUNTIF($A:$A,A1764)</f>
        <v>1</v>
      </c>
      <c r="V1764" t="str">
        <f t="shared" si="220"/>
        <v>OK</v>
      </c>
      <c r="W1764" t="str">
        <f>IF(I1764&gt;B1764,"ERROR","OK")</f>
        <v>OK</v>
      </c>
      <c r="X1764">
        <f>(B1764-I1764)/B1764</f>
        <v>0.94615357754913809</v>
      </c>
      <c r="Y1764" s="2">
        <f t="shared" si="221"/>
        <v>1.1102230246251565E-16</v>
      </c>
      <c r="Z1764" s="2" t="str">
        <f t="shared" si="222"/>
        <v>OK</v>
      </c>
      <c r="AA1764" t="str">
        <f t="shared" si="223"/>
        <v>Unique</v>
      </c>
    </row>
    <row r="1765" spans="1:27" x14ac:dyDescent="0.3">
      <c r="A1765">
        <v>1764</v>
      </c>
      <c r="B1765">
        <v>1505789.8504701001</v>
      </c>
      <c r="C1765">
        <v>0.293973005751473</v>
      </c>
      <c r="D1765">
        <v>-3.7782774752334602E-2</v>
      </c>
      <c r="E1765">
        <v>0.16659072044883599</v>
      </c>
      <c r="F1765">
        <v>1</v>
      </c>
      <c r="G1765" t="s">
        <v>13</v>
      </c>
      <c r="H1765">
        <v>1</v>
      </c>
      <c r="I1765">
        <v>250850.61603435999</v>
      </c>
      <c r="J1765">
        <v>0.83340927955116295</v>
      </c>
      <c r="K1765" t="str">
        <f t="shared" si="216"/>
        <v>OK</v>
      </c>
      <c r="L1765" t="str">
        <f t="shared" si="217"/>
        <v>OK</v>
      </c>
      <c r="M1765" t="str">
        <f>IF(OR(B1765&lt;$AE$20,B1765&gt;$AF$20),"Outlier","OK")</f>
        <v>OK</v>
      </c>
      <c r="N1765" t="str">
        <f>IF(OR(J1765&lt;$AE$21,J1765&gt;$AF$21),"Outlier","OK")</f>
        <v>OK</v>
      </c>
      <c r="O1765" t="str">
        <f>IF(OR(C1765&lt;0,C1765&gt;1),"Outlier","OK")</f>
        <v>OK</v>
      </c>
      <c r="P1765" t="str">
        <f>IF(OR(D1765&lt;0,D1765&gt;1),"Outlier","OK")</f>
        <v>Outlier</v>
      </c>
      <c r="Q1765" t="str">
        <f t="shared" si="218"/>
        <v>80-100%</v>
      </c>
      <c r="R1765" t="str">
        <f>IF(B1765="","Missing","OK")</f>
        <v>OK</v>
      </c>
      <c r="S1765" t="str">
        <f>IF(E1765="","Missing","OK")</f>
        <v>OK</v>
      </c>
      <c r="T1765" t="str">
        <f t="shared" si="219"/>
        <v>OK</v>
      </c>
      <c r="U1765">
        <f>COUNTIF($A:$A,A1765)</f>
        <v>1</v>
      </c>
      <c r="V1765" t="str">
        <f t="shared" si="220"/>
        <v>OK</v>
      </c>
      <c r="W1765" t="str">
        <f>IF(I1765&gt;B1765,"ERROR","OK")</f>
        <v>OK</v>
      </c>
      <c r="X1765">
        <f>(B1765-I1765)/B1765</f>
        <v>0.8334092795511634</v>
      </c>
      <c r="Y1765" s="2">
        <f t="shared" si="221"/>
        <v>4.4408920985006262E-16</v>
      </c>
      <c r="Z1765" s="2" t="str">
        <f t="shared" si="222"/>
        <v>OK</v>
      </c>
      <c r="AA1765" t="str">
        <f t="shared" si="223"/>
        <v>Unique</v>
      </c>
    </row>
    <row r="1766" spans="1:27" x14ac:dyDescent="0.3">
      <c r="A1766">
        <v>1765</v>
      </c>
      <c r="B1766">
        <v>841533.91343065805</v>
      </c>
      <c r="C1766">
        <v>0.48778675530215199</v>
      </c>
      <c r="D1766">
        <v>-0.18453635926718301</v>
      </c>
      <c r="E1766">
        <v>0.26751447880856799</v>
      </c>
      <c r="F1766">
        <v>1</v>
      </c>
      <c r="G1766" t="s">
        <v>11</v>
      </c>
      <c r="H1766">
        <v>1</v>
      </c>
      <c r="I1766">
        <v>225122.50625113701</v>
      </c>
      <c r="J1766">
        <v>0.73248552119143095</v>
      </c>
      <c r="K1766" t="str">
        <f t="shared" si="216"/>
        <v>OK</v>
      </c>
      <c r="L1766" t="str">
        <f t="shared" si="217"/>
        <v>OK</v>
      </c>
      <c r="M1766" t="str">
        <f>IF(OR(B1766&lt;$AE$20,B1766&gt;$AF$20),"Outlier","OK")</f>
        <v>OK</v>
      </c>
      <c r="N1766" t="str">
        <f>IF(OR(J1766&lt;$AE$21,J1766&gt;$AF$21),"Outlier","OK")</f>
        <v>OK</v>
      </c>
      <c r="O1766" t="str">
        <f>IF(OR(C1766&lt;0,C1766&gt;1),"Outlier","OK")</f>
        <v>OK</v>
      </c>
      <c r="P1766" t="str">
        <f>IF(OR(D1766&lt;0,D1766&gt;1),"Outlier","OK")</f>
        <v>Outlier</v>
      </c>
      <c r="Q1766" t="str">
        <f t="shared" si="218"/>
        <v>60-80%</v>
      </c>
      <c r="R1766" t="str">
        <f>IF(B1766="","Missing","OK")</f>
        <v>OK</v>
      </c>
      <c r="S1766" t="str">
        <f>IF(E1766="","Missing","OK")</f>
        <v>OK</v>
      </c>
      <c r="T1766" t="str">
        <f t="shared" si="219"/>
        <v>OK</v>
      </c>
      <c r="U1766">
        <f>COUNTIF($A:$A,A1766)</f>
        <v>1</v>
      </c>
      <c r="V1766" t="str">
        <f t="shared" si="220"/>
        <v>OK</v>
      </c>
      <c r="W1766" t="str">
        <f>IF(I1766&gt;B1766,"ERROR","OK")</f>
        <v>OK</v>
      </c>
      <c r="X1766">
        <f>(B1766-I1766)/B1766</f>
        <v>0.73248552119143207</v>
      </c>
      <c r="Y1766" s="2">
        <f t="shared" si="221"/>
        <v>1.1102230246251565E-15</v>
      </c>
      <c r="Z1766" s="2" t="str">
        <f t="shared" si="222"/>
        <v>OK</v>
      </c>
      <c r="AA1766" t="str">
        <f t="shared" si="223"/>
        <v>Unique</v>
      </c>
    </row>
    <row r="1767" spans="1:27" x14ac:dyDescent="0.3">
      <c r="A1767">
        <v>1766</v>
      </c>
      <c r="B1767">
        <v>50265.087187054902</v>
      </c>
      <c r="C1767">
        <v>0.40217066178845301</v>
      </c>
      <c r="D1767">
        <v>6.3344131001881104E-2</v>
      </c>
      <c r="E1767">
        <v>0.23658537644572999</v>
      </c>
      <c r="F1767">
        <v>1</v>
      </c>
      <c r="G1767" t="s">
        <v>10</v>
      </c>
      <c r="H1767">
        <v>1</v>
      </c>
      <c r="I1767">
        <v>11891.984574226801</v>
      </c>
      <c r="J1767">
        <v>0.76341462355426903</v>
      </c>
      <c r="K1767" t="str">
        <f t="shared" si="216"/>
        <v>OK</v>
      </c>
      <c r="L1767" t="str">
        <f t="shared" si="217"/>
        <v>OK</v>
      </c>
      <c r="M1767" t="str">
        <f>IF(OR(B1767&lt;$AE$20,B1767&gt;$AF$20),"Outlier","OK")</f>
        <v>Outlier</v>
      </c>
      <c r="N1767" t="str">
        <f>IF(OR(J1767&lt;$AE$21,J1767&gt;$AF$21),"Outlier","OK")</f>
        <v>OK</v>
      </c>
      <c r="O1767" t="str">
        <f>IF(OR(C1767&lt;0,C1767&gt;1),"Outlier","OK")</f>
        <v>OK</v>
      </c>
      <c r="P1767" t="str">
        <f>IF(OR(D1767&lt;0,D1767&gt;1),"Outlier","OK")</f>
        <v>OK</v>
      </c>
      <c r="Q1767" t="str">
        <f t="shared" si="218"/>
        <v>60-80%</v>
      </c>
      <c r="R1767" t="str">
        <f>IF(B1767="","Missing","OK")</f>
        <v>OK</v>
      </c>
      <c r="S1767" t="str">
        <f>IF(E1767="","Missing","OK")</f>
        <v>OK</v>
      </c>
      <c r="T1767" t="str">
        <f t="shared" si="219"/>
        <v>OK</v>
      </c>
      <c r="U1767">
        <f>COUNTIF($A:$A,A1767)</f>
        <v>1</v>
      </c>
      <c r="V1767" t="str">
        <f t="shared" si="220"/>
        <v>OK</v>
      </c>
      <c r="W1767" t="str">
        <f>IF(I1767&gt;B1767,"ERROR","OK")</f>
        <v>OK</v>
      </c>
      <c r="X1767">
        <f>(B1767-I1767)/B1767</f>
        <v>0.76341462355427048</v>
      </c>
      <c r="Y1767" s="2">
        <f t="shared" si="221"/>
        <v>1.4432899320127035E-15</v>
      </c>
      <c r="Z1767" s="2" t="str">
        <f t="shared" si="222"/>
        <v>OK</v>
      </c>
      <c r="AA1767" t="str">
        <f t="shared" si="223"/>
        <v>Unique</v>
      </c>
    </row>
    <row r="1768" spans="1:27" x14ac:dyDescent="0.3">
      <c r="A1768">
        <v>1767</v>
      </c>
      <c r="B1768">
        <v>562135.64326368901</v>
      </c>
      <c r="C1768">
        <v>0.65688965392868903</v>
      </c>
      <c r="D1768">
        <v>-8.2722515654219494E-2</v>
      </c>
      <c r="E1768">
        <v>0.54218826946127696</v>
      </c>
      <c r="F1768">
        <v>1</v>
      </c>
      <c r="G1768" t="s">
        <v>11</v>
      </c>
      <c r="H1768">
        <v>0</v>
      </c>
      <c r="I1768">
        <v>304783.35162364098</v>
      </c>
      <c r="J1768">
        <v>0.45781173053872198</v>
      </c>
      <c r="K1768" t="str">
        <f t="shared" si="216"/>
        <v>OK</v>
      </c>
      <c r="L1768" t="str">
        <f t="shared" si="217"/>
        <v>OK</v>
      </c>
      <c r="M1768" t="str">
        <f>IF(OR(B1768&lt;$AE$20,B1768&gt;$AF$20),"Outlier","OK")</f>
        <v>OK</v>
      </c>
      <c r="N1768" t="str">
        <f>IF(OR(J1768&lt;$AE$21,J1768&gt;$AF$21),"Outlier","OK")</f>
        <v>OK</v>
      </c>
      <c r="O1768" t="str">
        <f>IF(OR(C1768&lt;0,C1768&gt;1),"Outlier","OK")</f>
        <v>OK</v>
      </c>
      <c r="P1768" t="str">
        <f>IF(OR(D1768&lt;0,D1768&gt;1),"Outlier","OK")</f>
        <v>Outlier</v>
      </c>
      <c r="Q1768" t="str">
        <f t="shared" si="218"/>
        <v>40-60%</v>
      </c>
      <c r="R1768" t="str">
        <f>IF(B1768="","Missing","OK")</f>
        <v>OK</v>
      </c>
      <c r="S1768" t="str">
        <f>IF(E1768="","Missing","OK")</f>
        <v>OK</v>
      </c>
      <c r="T1768" t="str">
        <f t="shared" si="219"/>
        <v>OK</v>
      </c>
      <c r="U1768">
        <f>COUNTIF($A:$A,A1768)</f>
        <v>1</v>
      </c>
      <c r="V1768" t="str">
        <f t="shared" si="220"/>
        <v>OK</v>
      </c>
      <c r="W1768" t="str">
        <f>IF(I1768&gt;B1768,"ERROR","OK")</f>
        <v>OK</v>
      </c>
      <c r="X1768">
        <f>(B1768-I1768)/B1768</f>
        <v>0.45781173053872359</v>
      </c>
      <c r="Y1768" s="2">
        <f t="shared" si="221"/>
        <v>1.609823385706477E-15</v>
      </c>
      <c r="Z1768" s="2" t="str">
        <f t="shared" si="222"/>
        <v>OK</v>
      </c>
      <c r="AA1768" t="str">
        <f t="shared" si="223"/>
        <v>Unique</v>
      </c>
    </row>
    <row r="1769" spans="1:27" x14ac:dyDescent="0.3">
      <c r="A1769">
        <v>1768</v>
      </c>
      <c r="B1769">
        <v>446439.77714144002</v>
      </c>
      <c r="C1769">
        <v>0.41536989102527799</v>
      </c>
      <c r="D1769">
        <v>0.15397048774512001</v>
      </c>
      <c r="E1769">
        <v>0.49032330342054897</v>
      </c>
      <c r="F1769">
        <v>1</v>
      </c>
      <c r="G1769" t="s">
        <v>11</v>
      </c>
      <c r="H1769">
        <v>1</v>
      </c>
      <c r="I1769">
        <v>218899.82630632501</v>
      </c>
      <c r="J1769">
        <v>0.50967669657945003</v>
      </c>
      <c r="K1769" t="str">
        <f t="shared" si="216"/>
        <v>OK</v>
      </c>
      <c r="L1769" t="str">
        <f t="shared" si="217"/>
        <v>OK</v>
      </c>
      <c r="M1769" t="str">
        <f>IF(OR(B1769&lt;$AE$20,B1769&gt;$AF$20),"Outlier","OK")</f>
        <v>OK</v>
      </c>
      <c r="N1769" t="str">
        <f>IF(OR(J1769&lt;$AE$21,J1769&gt;$AF$21),"Outlier","OK")</f>
        <v>OK</v>
      </c>
      <c r="O1769" t="str">
        <f>IF(OR(C1769&lt;0,C1769&gt;1),"Outlier","OK")</f>
        <v>OK</v>
      </c>
      <c r="P1769" t="str">
        <f>IF(OR(D1769&lt;0,D1769&gt;1),"Outlier","OK")</f>
        <v>OK</v>
      </c>
      <c r="Q1769" t="str">
        <f t="shared" si="218"/>
        <v>40-60%</v>
      </c>
      <c r="R1769" t="str">
        <f>IF(B1769="","Missing","OK")</f>
        <v>OK</v>
      </c>
      <c r="S1769" t="str">
        <f>IF(E1769="","Missing","OK")</f>
        <v>OK</v>
      </c>
      <c r="T1769" t="str">
        <f t="shared" si="219"/>
        <v>OK</v>
      </c>
      <c r="U1769">
        <f>COUNTIF($A:$A,A1769)</f>
        <v>1</v>
      </c>
      <c r="V1769" t="str">
        <f t="shared" si="220"/>
        <v>OK</v>
      </c>
      <c r="W1769" t="str">
        <f>IF(I1769&gt;B1769,"ERROR","OK")</f>
        <v>OK</v>
      </c>
      <c r="X1769">
        <f>(B1769-I1769)/B1769</f>
        <v>0.50967669657945003</v>
      </c>
      <c r="Y1769" s="2">
        <f t="shared" si="221"/>
        <v>0</v>
      </c>
      <c r="Z1769" s="2" t="str">
        <f t="shared" si="222"/>
        <v>OK</v>
      </c>
      <c r="AA1769" t="str">
        <f t="shared" si="223"/>
        <v>Unique</v>
      </c>
    </row>
    <row r="1770" spans="1:27" x14ac:dyDescent="0.3">
      <c r="A1770">
        <v>1769</v>
      </c>
      <c r="B1770">
        <v>195798.08340373301</v>
      </c>
      <c r="C1770">
        <v>0.149465923623468</v>
      </c>
      <c r="D1770">
        <v>-0.16207710511300499</v>
      </c>
      <c r="E1770">
        <v>0.70971428981066398</v>
      </c>
      <c r="F1770">
        <v>1</v>
      </c>
      <c r="G1770" t="s">
        <v>13</v>
      </c>
      <c r="H1770">
        <v>1</v>
      </c>
      <c r="I1770">
        <v>138960.69770917</v>
      </c>
      <c r="J1770">
        <v>0.29028571018933502</v>
      </c>
      <c r="K1770" t="str">
        <f t="shared" si="216"/>
        <v>OK</v>
      </c>
      <c r="L1770" t="str">
        <f t="shared" si="217"/>
        <v>OK</v>
      </c>
      <c r="M1770" t="str">
        <f>IF(OR(B1770&lt;$AE$20,B1770&gt;$AF$20),"Outlier","OK")</f>
        <v>OK</v>
      </c>
      <c r="N1770" t="str">
        <f>IF(OR(J1770&lt;$AE$21,J1770&gt;$AF$21),"Outlier","OK")</f>
        <v>Outlier</v>
      </c>
      <c r="O1770" t="str">
        <f>IF(OR(C1770&lt;0,C1770&gt;1),"Outlier","OK")</f>
        <v>OK</v>
      </c>
      <c r="P1770" t="str">
        <f>IF(OR(D1770&lt;0,D1770&gt;1),"Outlier","OK")</f>
        <v>Outlier</v>
      </c>
      <c r="Q1770" t="str">
        <f t="shared" si="218"/>
        <v>20-40%</v>
      </c>
      <c r="R1770" t="str">
        <f>IF(B1770="","Missing","OK")</f>
        <v>OK</v>
      </c>
      <c r="S1770" t="str">
        <f>IF(E1770="","Missing","OK")</f>
        <v>OK</v>
      </c>
      <c r="T1770" t="str">
        <f t="shared" si="219"/>
        <v>OK</v>
      </c>
      <c r="U1770">
        <f>COUNTIF($A:$A,A1770)</f>
        <v>1</v>
      </c>
      <c r="V1770" t="str">
        <f t="shared" si="220"/>
        <v>OK</v>
      </c>
      <c r="W1770" t="str">
        <f>IF(I1770&gt;B1770,"ERROR","OK")</f>
        <v>OK</v>
      </c>
      <c r="X1770">
        <f>(B1770-I1770)/B1770</f>
        <v>0.29028571018933363</v>
      </c>
      <c r="Y1770" s="2">
        <f t="shared" si="221"/>
        <v>1.3877787807814457E-15</v>
      </c>
      <c r="Z1770" s="2" t="str">
        <f t="shared" si="222"/>
        <v>OK</v>
      </c>
      <c r="AA1770" t="str">
        <f t="shared" si="223"/>
        <v>Unique</v>
      </c>
    </row>
    <row r="1771" spans="1:27" x14ac:dyDescent="0.3">
      <c r="A1771">
        <v>1770</v>
      </c>
      <c r="B1771">
        <v>1085093.5145555499</v>
      </c>
      <c r="C1771">
        <v>0.52567832550446703</v>
      </c>
      <c r="D1771">
        <v>-2.7146090036908099E-2</v>
      </c>
      <c r="E1771">
        <v>0.231402079274654</v>
      </c>
      <c r="F1771">
        <v>1</v>
      </c>
      <c r="G1771" t="s">
        <v>10</v>
      </c>
      <c r="H1771">
        <v>0</v>
      </c>
      <c r="I1771">
        <v>251092.89547559599</v>
      </c>
      <c r="J1771">
        <v>0.76859792072534505</v>
      </c>
      <c r="K1771" t="str">
        <f t="shared" si="216"/>
        <v>OK</v>
      </c>
      <c r="L1771" t="str">
        <f t="shared" si="217"/>
        <v>OK</v>
      </c>
      <c r="M1771" t="str">
        <f>IF(OR(B1771&lt;$AE$20,B1771&gt;$AF$20),"Outlier","OK")</f>
        <v>OK</v>
      </c>
      <c r="N1771" t="str">
        <f>IF(OR(J1771&lt;$AE$21,J1771&gt;$AF$21),"Outlier","OK")</f>
        <v>OK</v>
      </c>
      <c r="O1771" t="str">
        <f>IF(OR(C1771&lt;0,C1771&gt;1),"Outlier","OK")</f>
        <v>OK</v>
      </c>
      <c r="P1771" t="str">
        <f>IF(OR(D1771&lt;0,D1771&gt;1),"Outlier","OK")</f>
        <v>Outlier</v>
      </c>
      <c r="Q1771" t="str">
        <f t="shared" si="218"/>
        <v>60-80%</v>
      </c>
      <c r="R1771" t="str">
        <f>IF(B1771="","Missing","OK")</f>
        <v>OK</v>
      </c>
      <c r="S1771" t="str">
        <f>IF(E1771="","Missing","OK")</f>
        <v>OK</v>
      </c>
      <c r="T1771" t="str">
        <f t="shared" si="219"/>
        <v>OK</v>
      </c>
      <c r="U1771">
        <f>COUNTIF($A:$A,A1771)</f>
        <v>1</v>
      </c>
      <c r="V1771" t="str">
        <f t="shared" si="220"/>
        <v>OK</v>
      </c>
      <c r="W1771" t="str">
        <f>IF(I1771&gt;B1771,"ERROR","OK")</f>
        <v>OK</v>
      </c>
      <c r="X1771">
        <f>(B1771-I1771)/B1771</f>
        <v>0.76859792072534627</v>
      </c>
      <c r="Y1771" s="2">
        <f t="shared" si="221"/>
        <v>1.2212453270876722E-15</v>
      </c>
      <c r="Z1771" s="2" t="str">
        <f t="shared" si="222"/>
        <v>OK</v>
      </c>
      <c r="AA1771" t="str">
        <f t="shared" si="223"/>
        <v>Unique</v>
      </c>
    </row>
    <row r="1772" spans="1:27" x14ac:dyDescent="0.3">
      <c r="A1772">
        <v>1771</v>
      </c>
      <c r="B1772">
        <v>707042.45686500403</v>
      </c>
      <c r="C1772">
        <v>0.104087443424785</v>
      </c>
      <c r="D1772">
        <v>-8.8162703893106903E-2</v>
      </c>
      <c r="E1772">
        <v>0.33502215961088999</v>
      </c>
      <c r="F1772">
        <v>1</v>
      </c>
      <c r="G1772" t="s">
        <v>10</v>
      </c>
      <c r="H1772">
        <v>1</v>
      </c>
      <c r="I1772">
        <v>236874.890835503</v>
      </c>
      <c r="J1772">
        <v>0.66497784038910901</v>
      </c>
      <c r="K1772" t="str">
        <f t="shared" si="216"/>
        <v>OK</v>
      </c>
      <c r="L1772" t="str">
        <f t="shared" si="217"/>
        <v>OK</v>
      </c>
      <c r="M1772" t="str">
        <f>IF(OR(B1772&lt;$AE$20,B1772&gt;$AF$20),"Outlier","OK")</f>
        <v>OK</v>
      </c>
      <c r="N1772" t="str">
        <f>IF(OR(J1772&lt;$AE$21,J1772&gt;$AF$21),"Outlier","OK")</f>
        <v>OK</v>
      </c>
      <c r="O1772" t="str">
        <f>IF(OR(C1772&lt;0,C1772&gt;1),"Outlier","OK")</f>
        <v>OK</v>
      </c>
      <c r="P1772" t="str">
        <f>IF(OR(D1772&lt;0,D1772&gt;1),"Outlier","OK")</f>
        <v>Outlier</v>
      </c>
      <c r="Q1772" t="str">
        <f t="shared" si="218"/>
        <v>60-80%</v>
      </c>
      <c r="R1772" t="str">
        <f>IF(B1772="","Missing","OK")</f>
        <v>OK</v>
      </c>
      <c r="S1772" t="str">
        <f>IF(E1772="","Missing","OK")</f>
        <v>OK</v>
      </c>
      <c r="T1772" t="str">
        <f t="shared" si="219"/>
        <v>OK</v>
      </c>
      <c r="U1772">
        <f>COUNTIF($A:$A,A1772)</f>
        <v>1</v>
      </c>
      <c r="V1772" t="str">
        <f t="shared" si="220"/>
        <v>OK</v>
      </c>
      <c r="W1772" t="str">
        <f>IF(I1772&gt;B1772,"ERROR","OK")</f>
        <v>OK</v>
      </c>
      <c r="X1772">
        <f>(B1772-I1772)/B1772</f>
        <v>0.66497784038911023</v>
      </c>
      <c r="Y1772" s="2">
        <f t="shared" si="221"/>
        <v>1.2212453270876722E-15</v>
      </c>
      <c r="Z1772" s="2" t="str">
        <f t="shared" si="222"/>
        <v>OK</v>
      </c>
      <c r="AA1772" t="str">
        <f t="shared" si="223"/>
        <v>Unique</v>
      </c>
    </row>
    <row r="1773" spans="1:27" x14ac:dyDescent="0.3">
      <c r="A1773">
        <v>1772</v>
      </c>
      <c r="B1773">
        <v>476916.22819164197</v>
      </c>
      <c r="C1773">
        <v>0.71690030210351996</v>
      </c>
      <c r="D1773">
        <v>-4.9168266735249697E-2</v>
      </c>
      <c r="E1773">
        <v>0.348037607348891</v>
      </c>
      <c r="F1773">
        <v>1</v>
      </c>
      <c r="G1773" t="s">
        <v>11</v>
      </c>
      <c r="H1773">
        <v>1</v>
      </c>
      <c r="I1773">
        <v>165984.782965677</v>
      </c>
      <c r="J1773">
        <v>0.651962392651108</v>
      </c>
      <c r="K1773" t="str">
        <f t="shared" si="216"/>
        <v>OK</v>
      </c>
      <c r="L1773" t="str">
        <f t="shared" si="217"/>
        <v>OK</v>
      </c>
      <c r="M1773" t="str">
        <f>IF(OR(B1773&lt;$AE$20,B1773&gt;$AF$20),"Outlier","OK")</f>
        <v>OK</v>
      </c>
      <c r="N1773" t="str">
        <f>IF(OR(J1773&lt;$AE$21,J1773&gt;$AF$21),"Outlier","OK")</f>
        <v>OK</v>
      </c>
      <c r="O1773" t="str">
        <f>IF(OR(C1773&lt;0,C1773&gt;1),"Outlier","OK")</f>
        <v>OK</v>
      </c>
      <c r="P1773" t="str">
        <f>IF(OR(D1773&lt;0,D1773&gt;1),"Outlier","OK")</f>
        <v>Outlier</v>
      </c>
      <c r="Q1773" t="str">
        <f t="shared" si="218"/>
        <v>60-80%</v>
      </c>
      <c r="R1773" t="str">
        <f>IF(B1773="","Missing","OK")</f>
        <v>OK</v>
      </c>
      <c r="S1773" t="str">
        <f>IF(E1773="","Missing","OK")</f>
        <v>OK</v>
      </c>
      <c r="T1773" t="str">
        <f t="shared" si="219"/>
        <v>OK</v>
      </c>
      <c r="U1773">
        <f>COUNTIF($A:$A,A1773)</f>
        <v>1</v>
      </c>
      <c r="V1773" t="str">
        <f t="shared" si="220"/>
        <v>OK</v>
      </c>
      <c r="W1773" t="str">
        <f>IF(I1773&gt;B1773,"ERROR","OK")</f>
        <v>OK</v>
      </c>
      <c r="X1773">
        <f>(B1773-I1773)/B1773</f>
        <v>0.65196239265110856</v>
      </c>
      <c r="Y1773" s="2">
        <f t="shared" si="221"/>
        <v>5.5511151231257827E-16</v>
      </c>
      <c r="Z1773" s="2" t="str">
        <f t="shared" si="222"/>
        <v>OK</v>
      </c>
      <c r="AA1773" t="str">
        <f t="shared" si="223"/>
        <v>Unique</v>
      </c>
    </row>
    <row r="1774" spans="1:27" x14ac:dyDescent="0.3">
      <c r="A1774">
        <v>1773</v>
      </c>
      <c r="B1774">
        <v>1876499.6730234299</v>
      </c>
      <c r="C1774">
        <v>0.84102993887042898</v>
      </c>
      <c r="D1774">
        <v>0.19640859404602201</v>
      </c>
      <c r="E1774">
        <v>0.47620492540953602</v>
      </c>
      <c r="F1774">
        <v>1</v>
      </c>
      <c r="G1774" t="s">
        <v>11</v>
      </c>
      <c r="H1774">
        <v>1</v>
      </c>
      <c r="I1774">
        <v>893598.386823143</v>
      </c>
      <c r="J1774">
        <v>0.52379507459046304</v>
      </c>
      <c r="K1774" t="str">
        <f t="shared" si="216"/>
        <v>OK</v>
      </c>
      <c r="L1774" t="str">
        <f t="shared" si="217"/>
        <v>OK</v>
      </c>
      <c r="M1774" t="str">
        <f>IF(OR(B1774&lt;$AE$20,B1774&gt;$AF$20),"Outlier","OK")</f>
        <v>OK</v>
      </c>
      <c r="N1774" t="str">
        <f>IF(OR(J1774&lt;$AE$21,J1774&gt;$AF$21),"Outlier","OK")</f>
        <v>OK</v>
      </c>
      <c r="O1774" t="str">
        <f>IF(OR(C1774&lt;0,C1774&gt;1),"Outlier","OK")</f>
        <v>OK</v>
      </c>
      <c r="P1774" t="str">
        <f>IF(OR(D1774&lt;0,D1774&gt;1),"Outlier","OK")</f>
        <v>OK</v>
      </c>
      <c r="Q1774" t="str">
        <f t="shared" si="218"/>
        <v>40-60%</v>
      </c>
      <c r="R1774" t="str">
        <f>IF(B1774="","Missing","OK")</f>
        <v>OK</v>
      </c>
      <c r="S1774" t="str">
        <f>IF(E1774="","Missing","OK")</f>
        <v>OK</v>
      </c>
      <c r="T1774" t="str">
        <f t="shared" si="219"/>
        <v>OK</v>
      </c>
      <c r="U1774">
        <f>COUNTIF($A:$A,A1774)</f>
        <v>1</v>
      </c>
      <c r="V1774" t="str">
        <f t="shared" si="220"/>
        <v>OK</v>
      </c>
      <c r="W1774" t="str">
        <f>IF(I1774&gt;B1774,"ERROR","OK")</f>
        <v>OK</v>
      </c>
      <c r="X1774">
        <f>(B1774-I1774)/B1774</f>
        <v>0.52379507459046304</v>
      </c>
      <c r="Y1774" s="2">
        <f t="shared" si="221"/>
        <v>0</v>
      </c>
      <c r="Z1774" s="2" t="str">
        <f t="shared" si="222"/>
        <v>OK</v>
      </c>
      <c r="AA1774" t="str">
        <f t="shared" si="223"/>
        <v>Unique</v>
      </c>
    </row>
    <row r="1775" spans="1:27" x14ac:dyDescent="0.3">
      <c r="A1775">
        <v>1774</v>
      </c>
      <c r="B1775">
        <v>681367.34775532596</v>
      </c>
      <c r="C1775">
        <v>0.41452311195104802</v>
      </c>
      <c r="D1775">
        <v>4.0084320059982297E-2</v>
      </c>
      <c r="E1775">
        <v>0.30971128838998102</v>
      </c>
      <c r="F1775">
        <v>1</v>
      </c>
      <c r="G1775" t="s">
        <v>11</v>
      </c>
      <c r="H1775">
        <v>1</v>
      </c>
      <c r="I1775">
        <v>211027.15914016601</v>
      </c>
      <c r="J1775">
        <v>0.69028871161001804</v>
      </c>
      <c r="K1775" t="str">
        <f t="shared" si="216"/>
        <v>OK</v>
      </c>
      <c r="L1775" t="str">
        <f t="shared" si="217"/>
        <v>OK</v>
      </c>
      <c r="M1775" t="str">
        <f>IF(OR(B1775&lt;$AE$20,B1775&gt;$AF$20),"Outlier","OK")</f>
        <v>OK</v>
      </c>
      <c r="N1775" t="str">
        <f>IF(OR(J1775&lt;$AE$21,J1775&gt;$AF$21),"Outlier","OK")</f>
        <v>OK</v>
      </c>
      <c r="O1775" t="str">
        <f>IF(OR(C1775&lt;0,C1775&gt;1),"Outlier","OK")</f>
        <v>OK</v>
      </c>
      <c r="P1775" t="str">
        <f>IF(OR(D1775&lt;0,D1775&gt;1),"Outlier","OK")</f>
        <v>OK</v>
      </c>
      <c r="Q1775" t="str">
        <f t="shared" si="218"/>
        <v>60-80%</v>
      </c>
      <c r="R1775" t="str">
        <f>IF(B1775="","Missing","OK")</f>
        <v>OK</v>
      </c>
      <c r="S1775" t="str">
        <f>IF(E1775="","Missing","OK")</f>
        <v>OK</v>
      </c>
      <c r="T1775" t="str">
        <f t="shared" si="219"/>
        <v>OK</v>
      </c>
      <c r="U1775">
        <f>COUNTIF($A:$A,A1775)</f>
        <v>1</v>
      </c>
      <c r="V1775" t="str">
        <f t="shared" si="220"/>
        <v>OK</v>
      </c>
      <c r="W1775" t="str">
        <f>IF(I1775&gt;B1775,"ERROR","OK")</f>
        <v>OK</v>
      </c>
      <c r="X1775">
        <f>(B1775-I1775)/B1775</f>
        <v>0.69028871161001937</v>
      </c>
      <c r="Y1775" s="2">
        <f t="shared" si="221"/>
        <v>1.3322676295501878E-15</v>
      </c>
      <c r="Z1775" s="2" t="str">
        <f t="shared" si="222"/>
        <v>OK</v>
      </c>
      <c r="AA1775" t="str">
        <f t="shared" si="223"/>
        <v>Unique</v>
      </c>
    </row>
    <row r="1776" spans="1:27" x14ac:dyDescent="0.3">
      <c r="A1776">
        <v>1775</v>
      </c>
      <c r="B1776">
        <v>299020.03177824197</v>
      </c>
      <c r="C1776">
        <v>0.28904544273699501</v>
      </c>
      <c r="D1776">
        <v>0.19250833110167201</v>
      </c>
      <c r="E1776">
        <v>0.30579420559100101</v>
      </c>
      <c r="F1776">
        <v>1</v>
      </c>
      <c r="G1776" t="s">
        <v>13</v>
      </c>
      <c r="H1776">
        <v>1</v>
      </c>
      <c r="I1776">
        <v>91438.593073423806</v>
      </c>
      <c r="J1776">
        <v>0.69420579440899799</v>
      </c>
      <c r="K1776" t="str">
        <f t="shared" si="216"/>
        <v>OK</v>
      </c>
      <c r="L1776" t="str">
        <f t="shared" si="217"/>
        <v>OK</v>
      </c>
      <c r="M1776" t="str">
        <f>IF(OR(B1776&lt;$AE$20,B1776&gt;$AF$20),"Outlier","OK")</f>
        <v>OK</v>
      </c>
      <c r="N1776" t="str">
        <f>IF(OR(J1776&lt;$AE$21,J1776&gt;$AF$21),"Outlier","OK")</f>
        <v>OK</v>
      </c>
      <c r="O1776" t="str">
        <f>IF(OR(C1776&lt;0,C1776&gt;1),"Outlier","OK")</f>
        <v>OK</v>
      </c>
      <c r="P1776" t="str">
        <f>IF(OR(D1776&lt;0,D1776&gt;1),"Outlier","OK")</f>
        <v>OK</v>
      </c>
      <c r="Q1776" t="str">
        <f t="shared" si="218"/>
        <v>60-80%</v>
      </c>
      <c r="R1776" t="str">
        <f>IF(B1776="","Missing","OK")</f>
        <v>OK</v>
      </c>
      <c r="S1776" t="str">
        <f>IF(E1776="","Missing","OK")</f>
        <v>OK</v>
      </c>
      <c r="T1776" t="str">
        <f t="shared" si="219"/>
        <v>OK</v>
      </c>
      <c r="U1776">
        <f>COUNTIF($A:$A,A1776)</f>
        <v>1</v>
      </c>
      <c r="V1776" t="str">
        <f t="shared" si="220"/>
        <v>OK</v>
      </c>
      <c r="W1776" t="str">
        <f>IF(I1776&gt;B1776,"ERROR","OK")</f>
        <v>OK</v>
      </c>
      <c r="X1776">
        <f>(B1776-I1776)/B1776</f>
        <v>0.69420579440899755</v>
      </c>
      <c r="Y1776" s="2">
        <f t="shared" si="221"/>
        <v>4.4408920985006262E-16</v>
      </c>
      <c r="Z1776" s="2" t="str">
        <f t="shared" si="222"/>
        <v>OK</v>
      </c>
      <c r="AA1776" t="str">
        <f t="shared" si="223"/>
        <v>Unique</v>
      </c>
    </row>
    <row r="1777" spans="1:27" x14ac:dyDescent="0.3">
      <c r="A1777">
        <v>1776</v>
      </c>
      <c r="B1777">
        <v>1070197.7260038699</v>
      </c>
      <c r="C1777">
        <v>0.24091292864245101</v>
      </c>
      <c r="D1777">
        <v>2.5746128329792398E-2</v>
      </c>
      <c r="E1777">
        <v>0.58656367821012201</v>
      </c>
      <c r="F1777">
        <v>1</v>
      </c>
      <c r="G1777" t="s">
        <v>13</v>
      </c>
      <c r="H1777">
        <v>1</v>
      </c>
      <c r="I1777">
        <v>627739.11457694403</v>
      </c>
      <c r="J1777">
        <v>0.41343632178987699</v>
      </c>
      <c r="K1777" t="str">
        <f t="shared" si="216"/>
        <v>OK</v>
      </c>
      <c r="L1777" t="str">
        <f t="shared" si="217"/>
        <v>OK</v>
      </c>
      <c r="M1777" t="str">
        <f>IF(OR(B1777&lt;$AE$20,B1777&gt;$AF$20),"Outlier","OK")</f>
        <v>OK</v>
      </c>
      <c r="N1777" t="str">
        <f>IF(OR(J1777&lt;$AE$21,J1777&gt;$AF$21),"Outlier","OK")</f>
        <v>OK</v>
      </c>
      <c r="O1777" t="str">
        <f>IF(OR(C1777&lt;0,C1777&gt;1),"Outlier","OK")</f>
        <v>OK</v>
      </c>
      <c r="P1777" t="str">
        <f>IF(OR(D1777&lt;0,D1777&gt;1),"Outlier","OK")</f>
        <v>OK</v>
      </c>
      <c r="Q1777" t="str">
        <f t="shared" si="218"/>
        <v>40-60%</v>
      </c>
      <c r="R1777" t="str">
        <f>IF(B1777="","Missing","OK")</f>
        <v>OK</v>
      </c>
      <c r="S1777" t="str">
        <f>IF(E1777="","Missing","OK")</f>
        <v>OK</v>
      </c>
      <c r="T1777" t="str">
        <f t="shared" si="219"/>
        <v>OK</v>
      </c>
      <c r="U1777">
        <f>COUNTIF($A:$A,A1777)</f>
        <v>1</v>
      </c>
      <c r="V1777" t="str">
        <f t="shared" si="220"/>
        <v>OK</v>
      </c>
      <c r="W1777" t="str">
        <f>IF(I1777&gt;B1777,"ERROR","OK")</f>
        <v>OK</v>
      </c>
      <c r="X1777">
        <f>(B1777-I1777)/B1777</f>
        <v>0.41343632178987261</v>
      </c>
      <c r="Y1777" s="2">
        <f t="shared" si="221"/>
        <v>4.3853809472693683E-15</v>
      </c>
      <c r="Z1777" s="2" t="str">
        <f t="shared" si="222"/>
        <v>OK</v>
      </c>
      <c r="AA1777" t="str">
        <f t="shared" si="223"/>
        <v>Unique</v>
      </c>
    </row>
    <row r="1778" spans="1:27" x14ac:dyDescent="0.3">
      <c r="A1778">
        <v>1777</v>
      </c>
      <c r="B1778">
        <v>1790055.51509643</v>
      </c>
      <c r="C1778">
        <v>0.25565462225979702</v>
      </c>
      <c r="D1778">
        <v>-6.9248253835111906E-2</v>
      </c>
      <c r="E1778">
        <v>0.14672007735899001</v>
      </c>
      <c r="F1778">
        <v>1</v>
      </c>
      <c r="G1778" t="s">
        <v>12</v>
      </c>
      <c r="H1778">
        <v>1</v>
      </c>
      <c r="I1778">
        <v>262637.08365183597</v>
      </c>
      <c r="J1778">
        <v>0.85327992264100905</v>
      </c>
      <c r="K1778" t="str">
        <f t="shared" si="216"/>
        <v>OK</v>
      </c>
      <c r="L1778" t="str">
        <f t="shared" si="217"/>
        <v>OK</v>
      </c>
      <c r="M1778" t="str">
        <f>IF(OR(B1778&lt;$AE$20,B1778&gt;$AF$20),"Outlier","OK")</f>
        <v>OK</v>
      </c>
      <c r="N1778" t="str">
        <f>IF(OR(J1778&lt;$AE$21,J1778&gt;$AF$21),"Outlier","OK")</f>
        <v>OK</v>
      </c>
      <c r="O1778" t="str">
        <f>IF(OR(C1778&lt;0,C1778&gt;1),"Outlier","OK")</f>
        <v>OK</v>
      </c>
      <c r="P1778" t="str">
        <f>IF(OR(D1778&lt;0,D1778&gt;1),"Outlier","OK")</f>
        <v>Outlier</v>
      </c>
      <c r="Q1778" t="str">
        <f t="shared" si="218"/>
        <v>80-100%</v>
      </c>
      <c r="R1778" t="str">
        <f>IF(B1778="","Missing","OK")</f>
        <v>OK</v>
      </c>
      <c r="S1778" t="str">
        <f>IF(E1778="","Missing","OK")</f>
        <v>OK</v>
      </c>
      <c r="T1778" t="str">
        <f t="shared" si="219"/>
        <v>OK</v>
      </c>
      <c r="U1778">
        <f>COUNTIF($A:$A,A1778)</f>
        <v>1</v>
      </c>
      <c r="V1778" t="str">
        <f t="shared" si="220"/>
        <v>OK</v>
      </c>
      <c r="W1778" t="str">
        <f>IF(I1778&gt;B1778,"ERROR","OK")</f>
        <v>OK</v>
      </c>
      <c r="X1778">
        <f>(B1778-I1778)/B1778</f>
        <v>0.85327992264100938</v>
      </c>
      <c r="Y1778" s="2">
        <f t="shared" si="221"/>
        <v>3.3306690738754696E-16</v>
      </c>
      <c r="Z1778" s="2" t="str">
        <f t="shared" si="222"/>
        <v>OK</v>
      </c>
      <c r="AA1778" t="str">
        <f t="shared" si="223"/>
        <v>Unique</v>
      </c>
    </row>
    <row r="1779" spans="1:27" x14ac:dyDescent="0.3">
      <c r="A1779">
        <v>1778</v>
      </c>
      <c r="B1779">
        <v>1567017.7603639001</v>
      </c>
      <c r="C1779">
        <v>0.47816244652192602</v>
      </c>
      <c r="D1779">
        <v>9.3230803455778798E-3</v>
      </c>
      <c r="E1779">
        <v>6.4132473949627899E-2</v>
      </c>
      <c r="F1779">
        <v>1</v>
      </c>
      <c r="G1779" t="s">
        <v>10</v>
      </c>
      <c r="H1779">
        <v>0</v>
      </c>
      <c r="I1779">
        <v>100496.725695142</v>
      </c>
      <c r="J1779">
        <v>0.93586752605037204</v>
      </c>
      <c r="K1779" t="str">
        <f t="shared" si="216"/>
        <v>OK</v>
      </c>
      <c r="L1779" t="str">
        <f t="shared" si="217"/>
        <v>OK</v>
      </c>
      <c r="M1779" t="str">
        <f>IF(OR(B1779&lt;$AE$20,B1779&gt;$AF$20),"Outlier","OK")</f>
        <v>OK</v>
      </c>
      <c r="N1779" t="str">
        <f>IF(OR(J1779&lt;$AE$21,J1779&gt;$AF$21),"Outlier","OK")</f>
        <v>OK</v>
      </c>
      <c r="O1779" t="str">
        <f>IF(OR(C1779&lt;0,C1779&gt;1),"Outlier","OK")</f>
        <v>OK</v>
      </c>
      <c r="P1779" t="str">
        <f>IF(OR(D1779&lt;0,D1779&gt;1),"Outlier","OK")</f>
        <v>OK</v>
      </c>
      <c r="Q1779" t="str">
        <f t="shared" si="218"/>
        <v>80-100%</v>
      </c>
      <c r="R1779" t="str">
        <f>IF(B1779="","Missing","OK")</f>
        <v>OK</v>
      </c>
      <c r="S1779" t="str">
        <f>IF(E1779="","Missing","OK")</f>
        <v>OK</v>
      </c>
      <c r="T1779" t="str">
        <f t="shared" si="219"/>
        <v>OK</v>
      </c>
      <c r="U1779">
        <f>COUNTIF($A:$A,A1779)</f>
        <v>1</v>
      </c>
      <c r="V1779" t="str">
        <f t="shared" si="220"/>
        <v>OK</v>
      </c>
      <c r="W1779" t="str">
        <f>IF(I1779&gt;B1779,"ERROR","OK")</f>
        <v>OK</v>
      </c>
      <c r="X1779">
        <f>(B1779-I1779)/B1779</f>
        <v>0.93586752605037216</v>
      </c>
      <c r="Y1779" s="2">
        <f t="shared" si="221"/>
        <v>1.1102230246251565E-16</v>
      </c>
      <c r="Z1779" s="2" t="str">
        <f t="shared" si="222"/>
        <v>OK</v>
      </c>
      <c r="AA1779" t="str">
        <f t="shared" si="223"/>
        <v>Unique</v>
      </c>
    </row>
    <row r="1780" spans="1:27" x14ac:dyDescent="0.3">
      <c r="A1780">
        <v>1779</v>
      </c>
      <c r="B1780">
        <v>338968.97157549497</v>
      </c>
      <c r="C1780">
        <v>0.88789435207954903</v>
      </c>
      <c r="D1780">
        <v>8.11446257897388E-2</v>
      </c>
      <c r="E1780">
        <v>0.13214551866281599</v>
      </c>
      <c r="F1780">
        <v>1</v>
      </c>
      <c r="G1780" t="s">
        <v>11</v>
      </c>
      <c r="H1780">
        <v>0</v>
      </c>
      <c r="I1780">
        <v>44793.230559445503</v>
      </c>
      <c r="J1780">
        <v>0.86785448133718301</v>
      </c>
      <c r="K1780" t="str">
        <f t="shared" si="216"/>
        <v>OK</v>
      </c>
      <c r="L1780" t="str">
        <f t="shared" si="217"/>
        <v>OK</v>
      </c>
      <c r="M1780" t="str">
        <f>IF(OR(B1780&lt;$AE$20,B1780&gt;$AF$20),"Outlier","OK")</f>
        <v>OK</v>
      </c>
      <c r="N1780" t="str">
        <f>IF(OR(J1780&lt;$AE$21,J1780&gt;$AF$21),"Outlier","OK")</f>
        <v>OK</v>
      </c>
      <c r="O1780" t="str">
        <f>IF(OR(C1780&lt;0,C1780&gt;1),"Outlier","OK")</f>
        <v>OK</v>
      </c>
      <c r="P1780" t="str">
        <f>IF(OR(D1780&lt;0,D1780&gt;1),"Outlier","OK")</f>
        <v>OK</v>
      </c>
      <c r="Q1780" t="str">
        <f t="shared" si="218"/>
        <v>80-100%</v>
      </c>
      <c r="R1780" t="str">
        <f>IF(B1780="","Missing","OK")</f>
        <v>OK</v>
      </c>
      <c r="S1780" t="str">
        <f>IF(E1780="","Missing","OK")</f>
        <v>OK</v>
      </c>
      <c r="T1780" t="str">
        <f t="shared" si="219"/>
        <v>OK</v>
      </c>
      <c r="U1780">
        <f>COUNTIF($A:$A,A1780)</f>
        <v>1</v>
      </c>
      <c r="V1780" t="str">
        <f t="shared" si="220"/>
        <v>OK</v>
      </c>
      <c r="W1780" t="str">
        <f>IF(I1780&gt;B1780,"ERROR","OK")</f>
        <v>OK</v>
      </c>
      <c r="X1780">
        <f>(B1780-I1780)/B1780</f>
        <v>0.86785448133718279</v>
      </c>
      <c r="Y1780" s="2">
        <f t="shared" si="221"/>
        <v>2.2204460492503131E-16</v>
      </c>
      <c r="Z1780" s="2" t="str">
        <f t="shared" si="222"/>
        <v>OK</v>
      </c>
      <c r="AA1780" t="str">
        <f t="shared" si="223"/>
        <v>Unique</v>
      </c>
    </row>
    <row r="1781" spans="1:27" x14ac:dyDescent="0.3">
      <c r="A1781">
        <v>1780</v>
      </c>
      <c r="B1781">
        <v>633012.04357003199</v>
      </c>
      <c r="C1781">
        <v>0.71068870183200905</v>
      </c>
      <c r="D1781">
        <v>-0.124796577155306</v>
      </c>
      <c r="E1781">
        <v>0.13601061022830799</v>
      </c>
      <c r="F1781">
        <v>1</v>
      </c>
      <c r="G1781" t="s">
        <v>10</v>
      </c>
      <c r="H1781">
        <v>1</v>
      </c>
      <c r="I1781">
        <v>86096.354327828798</v>
      </c>
      <c r="J1781">
        <v>0.86398938977169104</v>
      </c>
      <c r="K1781" t="str">
        <f t="shared" si="216"/>
        <v>OK</v>
      </c>
      <c r="L1781" t="str">
        <f t="shared" si="217"/>
        <v>OK</v>
      </c>
      <c r="M1781" t="str">
        <f>IF(OR(B1781&lt;$AE$20,B1781&gt;$AF$20),"Outlier","OK")</f>
        <v>OK</v>
      </c>
      <c r="N1781" t="str">
        <f>IF(OR(J1781&lt;$AE$21,J1781&gt;$AF$21),"Outlier","OK")</f>
        <v>OK</v>
      </c>
      <c r="O1781" t="str">
        <f>IF(OR(C1781&lt;0,C1781&gt;1),"Outlier","OK")</f>
        <v>OK</v>
      </c>
      <c r="P1781" t="str">
        <f>IF(OR(D1781&lt;0,D1781&gt;1),"Outlier","OK")</f>
        <v>Outlier</v>
      </c>
      <c r="Q1781" t="str">
        <f t="shared" si="218"/>
        <v>80-100%</v>
      </c>
      <c r="R1781" t="str">
        <f>IF(B1781="","Missing","OK")</f>
        <v>OK</v>
      </c>
      <c r="S1781" t="str">
        <f>IF(E1781="","Missing","OK")</f>
        <v>OK</v>
      </c>
      <c r="T1781" t="str">
        <f t="shared" si="219"/>
        <v>OK</v>
      </c>
      <c r="U1781">
        <f>COUNTIF($A:$A,A1781)</f>
        <v>1</v>
      </c>
      <c r="V1781" t="str">
        <f t="shared" si="220"/>
        <v>OK</v>
      </c>
      <c r="W1781" t="str">
        <f>IF(I1781&gt;B1781,"ERROR","OK")</f>
        <v>OK</v>
      </c>
      <c r="X1781">
        <f>(B1781-I1781)/B1781</f>
        <v>0.86398938977169137</v>
      </c>
      <c r="Y1781" s="2">
        <f t="shared" si="221"/>
        <v>3.3306690738754696E-16</v>
      </c>
      <c r="Z1781" s="2" t="str">
        <f t="shared" si="222"/>
        <v>OK</v>
      </c>
      <c r="AA1781" t="str">
        <f t="shared" si="223"/>
        <v>Unique</v>
      </c>
    </row>
    <row r="1782" spans="1:27" x14ac:dyDescent="0.3">
      <c r="A1782">
        <v>1781</v>
      </c>
      <c r="B1782">
        <v>512478.84082639602</v>
      </c>
      <c r="C1782">
        <v>0.70406786467224303</v>
      </c>
      <c r="D1782">
        <v>0.18173387482689701</v>
      </c>
      <c r="E1782">
        <v>7.6960584021200096E-2</v>
      </c>
      <c r="F1782">
        <v>1</v>
      </c>
      <c r="G1782" t="s">
        <v>11</v>
      </c>
      <c r="H1782">
        <v>1</v>
      </c>
      <c r="I1782">
        <v>39440.670888507098</v>
      </c>
      <c r="J1782">
        <v>0.92303941597879902</v>
      </c>
      <c r="K1782" t="str">
        <f t="shared" si="216"/>
        <v>OK</v>
      </c>
      <c r="L1782" t="str">
        <f t="shared" si="217"/>
        <v>OK</v>
      </c>
      <c r="M1782" t="str">
        <f>IF(OR(B1782&lt;$AE$20,B1782&gt;$AF$20),"Outlier","OK")</f>
        <v>OK</v>
      </c>
      <c r="N1782" t="str">
        <f>IF(OR(J1782&lt;$AE$21,J1782&gt;$AF$21),"Outlier","OK")</f>
        <v>OK</v>
      </c>
      <c r="O1782" t="str">
        <f>IF(OR(C1782&lt;0,C1782&gt;1),"Outlier","OK")</f>
        <v>OK</v>
      </c>
      <c r="P1782" t="str">
        <f>IF(OR(D1782&lt;0,D1782&gt;1),"Outlier","OK")</f>
        <v>OK</v>
      </c>
      <c r="Q1782" t="str">
        <f t="shared" si="218"/>
        <v>80-100%</v>
      </c>
      <c r="R1782" t="str">
        <f>IF(B1782="","Missing","OK")</f>
        <v>OK</v>
      </c>
      <c r="S1782" t="str">
        <f>IF(E1782="","Missing","OK")</f>
        <v>OK</v>
      </c>
      <c r="T1782" t="str">
        <f t="shared" si="219"/>
        <v>OK</v>
      </c>
      <c r="U1782">
        <f>COUNTIF($A:$A,A1782)</f>
        <v>1</v>
      </c>
      <c r="V1782" t="str">
        <f t="shared" si="220"/>
        <v>OK</v>
      </c>
      <c r="W1782" t="str">
        <f>IF(I1782&gt;B1782,"ERROR","OK")</f>
        <v>OK</v>
      </c>
      <c r="X1782">
        <f>(B1782-I1782)/B1782</f>
        <v>0.9230394159787999</v>
      </c>
      <c r="Y1782" s="2">
        <f t="shared" si="221"/>
        <v>8.8817841970012523E-16</v>
      </c>
      <c r="Z1782" s="2" t="str">
        <f t="shared" si="222"/>
        <v>OK</v>
      </c>
      <c r="AA1782" t="str">
        <f t="shared" si="223"/>
        <v>Unique</v>
      </c>
    </row>
    <row r="1783" spans="1:27" x14ac:dyDescent="0.3">
      <c r="A1783">
        <v>1782</v>
      </c>
      <c r="B1783">
        <v>1858890.1912877001</v>
      </c>
      <c r="C1783">
        <v>0.44111000214476398</v>
      </c>
      <c r="D1783">
        <v>1.41930750009339E-2</v>
      </c>
      <c r="E1783">
        <v>0.36857063487886399</v>
      </c>
      <c r="F1783">
        <v>1</v>
      </c>
      <c r="G1783" t="s">
        <v>11</v>
      </c>
      <c r="H1783">
        <v>1</v>
      </c>
      <c r="I1783">
        <v>685132.337973002</v>
      </c>
      <c r="J1783">
        <v>0.63142936512113501</v>
      </c>
      <c r="K1783" t="str">
        <f t="shared" si="216"/>
        <v>OK</v>
      </c>
      <c r="L1783" t="str">
        <f t="shared" si="217"/>
        <v>OK</v>
      </c>
      <c r="M1783" t="str">
        <f>IF(OR(B1783&lt;$AE$20,B1783&gt;$AF$20),"Outlier","OK")</f>
        <v>OK</v>
      </c>
      <c r="N1783" t="str">
        <f>IF(OR(J1783&lt;$AE$21,J1783&gt;$AF$21),"Outlier","OK")</f>
        <v>OK</v>
      </c>
      <c r="O1783" t="str">
        <f>IF(OR(C1783&lt;0,C1783&gt;1),"Outlier","OK")</f>
        <v>OK</v>
      </c>
      <c r="P1783" t="str">
        <f>IF(OR(D1783&lt;0,D1783&gt;1),"Outlier","OK")</f>
        <v>OK</v>
      </c>
      <c r="Q1783" t="str">
        <f t="shared" si="218"/>
        <v>60-80%</v>
      </c>
      <c r="R1783" t="str">
        <f>IF(B1783="","Missing","OK")</f>
        <v>OK</v>
      </c>
      <c r="S1783" t="str">
        <f>IF(E1783="","Missing","OK")</f>
        <v>OK</v>
      </c>
      <c r="T1783" t="str">
        <f t="shared" si="219"/>
        <v>OK</v>
      </c>
      <c r="U1783">
        <f>COUNTIF($A:$A,A1783)</f>
        <v>1</v>
      </c>
      <c r="V1783" t="str">
        <f t="shared" si="220"/>
        <v>OK</v>
      </c>
      <c r="W1783" t="str">
        <f>IF(I1783&gt;B1783,"ERROR","OK")</f>
        <v>OK</v>
      </c>
      <c r="X1783">
        <f>(B1783-I1783)/B1783</f>
        <v>0.63142936512113534</v>
      </c>
      <c r="Y1783" s="2">
        <f t="shared" si="221"/>
        <v>3.3306690738754696E-16</v>
      </c>
      <c r="Z1783" s="2" t="str">
        <f t="shared" si="222"/>
        <v>OK</v>
      </c>
      <c r="AA1783" t="str">
        <f t="shared" si="223"/>
        <v>Unique</v>
      </c>
    </row>
    <row r="1784" spans="1:27" x14ac:dyDescent="0.3">
      <c r="A1784">
        <v>1783</v>
      </c>
      <c r="B1784">
        <v>594609.15188719903</v>
      </c>
      <c r="C1784">
        <v>0.14282382786224601</v>
      </c>
      <c r="D1784">
        <v>-0.18253441131916401</v>
      </c>
      <c r="E1784">
        <v>0.44555131641836399</v>
      </c>
      <c r="F1784">
        <v>1</v>
      </c>
      <c r="G1784" t="s">
        <v>10</v>
      </c>
      <c r="H1784">
        <v>0</v>
      </c>
      <c r="I1784">
        <v>264928.890377748</v>
      </c>
      <c r="J1784">
        <v>0.55444868358163502</v>
      </c>
      <c r="K1784" t="str">
        <f t="shared" si="216"/>
        <v>OK</v>
      </c>
      <c r="L1784" t="str">
        <f t="shared" si="217"/>
        <v>OK</v>
      </c>
      <c r="M1784" t="str">
        <f>IF(OR(B1784&lt;$AE$20,B1784&gt;$AF$20),"Outlier","OK")</f>
        <v>OK</v>
      </c>
      <c r="N1784" t="str">
        <f>IF(OR(J1784&lt;$AE$21,J1784&gt;$AF$21),"Outlier","OK")</f>
        <v>OK</v>
      </c>
      <c r="O1784" t="str">
        <f>IF(OR(C1784&lt;0,C1784&gt;1),"Outlier","OK")</f>
        <v>OK</v>
      </c>
      <c r="P1784" t="str">
        <f>IF(OR(D1784&lt;0,D1784&gt;1),"Outlier","OK")</f>
        <v>Outlier</v>
      </c>
      <c r="Q1784" t="str">
        <f t="shared" si="218"/>
        <v>40-60%</v>
      </c>
      <c r="R1784" t="str">
        <f>IF(B1784="","Missing","OK")</f>
        <v>OK</v>
      </c>
      <c r="S1784" t="str">
        <f>IF(E1784="","Missing","OK")</f>
        <v>OK</v>
      </c>
      <c r="T1784" t="str">
        <f t="shared" si="219"/>
        <v>OK</v>
      </c>
      <c r="U1784">
        <f>COUNTIF($A:$A,A1784)</f>
        <v>1</v>
      </c>
      <c r="V1784" t="str">
        <f t="shared" si="220"/>
        <v>OK</v>
      </c>
      <c r="W1784" t="str">
        <f>IF(I1784&gt;B1784,"ERROR","OK")</f>
        <v>OK</v>
      </c>
      <c r="X1784">
        <f>(B1784-I1784)/B1784</f>
        <v>0.55444868358163679</v>
      </c>
      <c r="Y1784" s="2">
        <f t="shared" si="221"/>
        <v>1.7763568394002505E-15</v>
      </c>
      <c r="Z1784" s="2" t="str">
        <f t="shared" si="222"/>
        <v>OK</v>
      </c>
      <c r="AA1784" t="str">
        <f t="shared" si="223"/>
        <v>Unique</v>
      </c>
    </row>
    <row r="1785" spans="1:27" x14ac:dyDescent="0.3">
      <c r="A1785">
        <v>1784</v>
      </c>
      <c r="B1785">
        <v>380294.49623726599</v>
      </c>
      <c r="C1785">
        <v>0.553149777677305</v>
      </c>
      <c r="D1785">
        <v>-8.47845671121953E-2</v>
      </c>
      <c r="E1785">
        <v>0.35827680025612402</v>
      </c>
      <c r="F1785">
        <v>1</v>
      </c>
      <c r="G1785" t="s">
        <v>12</v>
      </c>
      <c r="H1785">
        <v>0</v>
      </c>
      <c r="I1785">
        <v>136250.69526690201</v>
      </c>
      <c r="J1785">
        <v>0.64172319974387504</v>
      </c>
      <c r="K1785" t="str">
        <f t="shared" si="216"/>
        <v>OK</v>
      </c>
      <c r="L1785" t="str">
        <f t="shared" si="217"/>
        <v>OK</v>
      </c>
      <c r="M1785" t="str">
        <f>IF(OR(B1785&lt;$AE$20,B1785&gt;$AF$20),"Outlier","OK")</f>
        <v>OK</v>
      </c>
      <c r="N1785" t="str">
        <f>IF(OR(J1785&lt;$AE$21,J1785&gt;$AF$21),"Outlier","OK")</f>
        <v>OK</v>
      </c>
      <c r="O1785" t="str">
        <f>IF(OR(C1785&lt;0,C1785&gt;1),"Outlier","OK")</f>
        <v>OK</v>
      </c>
      <c r="P1785" t="str">
        <f>IF(OR(D1785&lt;0,D1785&gt;1),"Outlier","OK")</f>
        <v>Outlier</v>
      </c>
      <c r="Q1785" t="str">
        <f t="shared" si="218"/>
        <v>60-80%</v>
      </c>
      <c r="R1785" t="str">
        <f>IF(B1785="","Missing","OK")</f>
        <v>OK</v>
      </c>
      <c r="S1785" t="str">
        <f>IF(E1785="","Missing","OK")</f>
        <v>OK</v>
      </c>
      <c r="T1785" t="str">
        <f t="shared" si="219"/>
        <v>OK</v>
      </c>
      <c r="U1785">
        <f>COUNTIF($A:$A,A1785)</f>
        <v>1</v>
      </c>
      <c r="V1785" t="str">
        <f t="shared" si="220"/>
        <v>OK</v>
      </c>
      <c r="W1785" t="str">
        <f>IF(I1785&gt;B1785,"ERROR","OK")</f>
        <v>OK</v>
      </c>
      <c r="X1785">
        <f>(B1785-I1785)/B1785</f>
        <v>0.64172319974387659</v>
      </c>
      <c r="Y1785" s="2">
        <f t="shared" si="221"/>
        <v>1.5543122344752192E-15</v>
      </c>
      <c r="Z1785" s="2" t="str">
        <f t="shared" si="222"/>
        <v>OK</v>
      </c>
      <c r="AA1785" t="str">
        <f t="shared" si="223"/>
        <v>Unique</v>
      </c>
    </row>
    <row r="1786" spans="1:27" x14ac:dyDescent="0.3">
      <c r="A1786">
        <v>1785</v>
      </c>
      <c r="B1786">
        <v>937478.46085478598</v>
      </c>
      <c r="C1786">
        <v>0.22520996707316601</v>
      </c>
      <c r="D1786">
        <v>-8.2472822014935707E-2</v>
      </c>
      <c r="E1786">
        <v>2.1562253443341499E-2</v>
      </c>
      <c r="F1786">
        <v>1</v>
      </c>
      <c r="G1786" t="s">
        <v>13</v>
      </c>
      <c r="H1786">
        <v>1</v>
      </c>
      <c r="I1786">
        <v>20214.1481706247</v>
      </c>
      <c r="J1786">
        <v>0.97843774655665805</v>
      </c>
      <c r="K1786" t="str">
        <f t="shared" si="216"/>
        <v>OK</v>
      </c>
      <c r="L1786" t="str">
        <f t="shared" si="217"/>
        <v>OK</v>
      </c>
      <c r="M1786" t="str">
        <f>IF(OR(B1786&lt;$AE$20,B1786&gt;$AF$20),"Outlier","OK")</f>
        <v>OK</v>
      </c>
      <c r="N1786" t="str">
        <f>IF(OR(J1786&lt;$AE$21,J1786&gt;$AF$21),"Outlier","OK")</f>
        <v>Outlier</v>
      </c>
      <c r="O1786" t="str">
        <f>IF(OR(C1786&lt;0,C1786&gt;1),"Outlier","OK")</f>
        <v>OK</v>
      </c>
      <c r="P1786" t="str">
        <f>IF(OR(D1786&lt;0,D1786&gt;1),"Outlier","OK")</f>
        <v>Outlier</v>
      </c>
      <c r="Q1786" t="str">
        <f t="shared" si="218"/>
        <v>80-100%</v>
      </c>
      <c r="R1786" t="str">
        <f>IF(B1786="","Missing","OK")</f>
        <v>OK</v>
      </c>
      <c r="S1786" t="str">
        <f>IF(E1786="","Missing","OK")</f>
        <v>OK</v>
      </c>
      <c r="T1786" t="str">
        <f t="shared" si="219"/>
        <v>OK</v>
      </c>
      <c r="U1786">
        <f>COUNTIF($A:$A,A1786)</f>
        <v>1</v>
      </c>
      <c r="V1786" t="str">
        <f t="shared" si="220"/>
        <v>OK</v>
      </c>
      <c r="W1786" t="str">
        <f>IF(I1786&gt;B1786,"ERROR","OK")</f>
        <v>OK</v>
      </c>
      <c r="X1786">
        <f>(B1786-I1786)/B1786</f>
        <v>0.97843774655665838</v>
      </c>
      <c r="Y1786" s="2">
        <f t="shared" si="221"/>
        <v>3.3306690738754696E-16</v>
      </c>
      <c r="Z1786" s="2" t="str">
        <f t="shared" si="222"/>
        <v>OK</v>
      </c>
      <c r="AA1786" t="str">
        <f t="shared" si="223"/>
        <v>Unique</v>
      </c>
    </row>
    <row r="1787" spans="1:27" x14ac:dyDescent="0.3">
      <c r="A1787">
        <v>1786</v>
      </c>
      <c r="B1787">
        <v>1242973.1022499299</v>
      </c>
      <c r="C1787">
        <v>0.69555132276140896</v>
      </c>
      <c r="D1787">
        <v>0.10866414414022101</v>
      </c>
      <c r="E1787">
        <v>0.30764255526019801</v>
      </c>
      <c r="F1787">
        <v>1</v>
      </c>
      <c r="G1787" t="s">
        <v>13</v>
      </c>
      <c r="H1787">
        <v>0</v>
      </c>
      <c r="I1787">
        <v>382391.42129586602</v>
      </c>
      <c r="J1787">
        <v>0.69235744473980099</v>
      </c>
      <c r="K1787" t="str">
        <f t="shared" si="216"/>
        <v>OK</v>
      </c>
      <c r="L1787" t="str">
        <f t="shared" si="217"/>
        <v>OK</v>
      </c>
      <c r="M1787" t="str">
        <f>IF(OR(B1787&lt;$AE$20,B1787&gt;$AF$20),"Outlier","OK")</f>
        <v>OK</v>
      </c>
      <c r="N1787" t="str">
        <f>IF(OR(J1787&lt;$AE$21,J1787&gt;$AF$21),"Outlier","OK")</f>
        <v>OK</v>
      </c>
      <c r="O1787" t="str">
        <f>IF(OR(C1787&lt;0,C1787&gt;1),"Outlier","OK")</f>
        <v>OK</v>
      </c>
      <c r="P1787" t="str">
        <f>IF(OR(D1787&lt;0,D1787&gt;1),"Outlier","OK")</f>
        <v>OK</v>
      </c>
      <c r="Q1787" t="str">
        <f t="shared" si="218"/>
        <v>60-80%</v>
      </c>
      <c r="R1787" t="str">
        <f>IF(B1787="","Missing","OK")</f>
        <v>OK</v>
      </c>
      <c r="S1787" t="str">
        <f>IF(E1787="","Missing","OK")</f>
        <v>OK</v>
      </c>
      <c r="T1787" t="str">
        <f t="shared" si="219"/>
        <v>OK</v>
      </c>
      <c r="U1787">
        <f>COUNTIF($A:$A,A1787)</f>
        <v>1</v>
      </c>
      <c r="V1787" t="str">
        <f t="shared" si="220"/>
        <v>OK</v>
      </c>
      <c r="W1787" t="str">
        <f>IF(I1787&gt;B1787,"ERROR","OK")</f>
        <v>OK</v>
      </c>
      <c r="X1787">
        <f>(B1787-I1787)/B1787</f>
        <v>0.69235744473980021</v>
      </c>
      <c r="Y1787" s="2">
        <f t="shared" si="221"/>
        <v>7.7715611723760958E-16</v>
      </c>
      <c r="Z1787" s="2" t="str">
        <f t="shared" si="222"/>
        <v>OK</v>
      </c>
      <c r="AA1787" t="str">
        <f t="shared" si="223"/>
        <v>Unique</v>
      </c>
    </row>
    <row r="1788" spans="1:27" x14ac:dyDescent="0.3">
      <c r="A1788">
        <v>1787</v>
      </c>
      <c r="B1788">
        <v>359098.850639285</v>
      </c>
      <c r="C1788">
        <v>0.251988969899406</v>
      </c>
      <c r="D1788">
        <v>5.7607374213442801E-2</v>
      </c>
      <c r="E1788">
        <v>0.38748232374663599</v>
      </c>
      <c r="F1788">
        <v>1</v>
      </c>
      <c r="G1788" t="s">
        <v>10</v>
      </c>
      <c r="H1788">
        <v>0</v>
      </c>
      <c r="I1788">
        <v>139144.457100456</v>
      </c>
      <c r="J1788">
        <v>0.61251767625336395</v>
      </c>
      <c r="K1788" t="str">
        <f t="shared" si="216"/>
        <v>OK</v>
      </c>
      <c r="L1788" t="str">
        <f t="shared" si="217"/>
        <v>OK</v>
      </c>
      <c r="M1788" t="str">
        <f>IF(OR(B1788&lt;$AE$20,B1788&gt;$AF$20),"Outlier","OK")</f>
        <v>OK</v>
      </c>
      <c r="N1788" t="str">
        <f>IF(OR(J1788&lt;$AE$21,J1788&gt;$AF$21),"Outlier","OK")</f>
        <v>OK</v>
      </c>
      <c r="O1788" t="str">
        <f>IF(OR(C1788&lt;0,C1788&gt;1),"Outlier","OK")</f>
        <v>OK</v>
      </c>
      <c r="P1788" t="str">
        <f>IF(OR(D1788&lt;0,D1788&gt;1),"Outlier","OK")</f>
        <v>OK</v>
      </c>
      <c r="Q1788" t="str">
        <f t="shared" si="218"/>
        <v>60-80%</v>
      </c>
      <c r="R1788" t="str">
        <f>IF(B1788="","Missing","OK")</f>
        <v>OK</v>
      </c>
      <c r="S1788" t="str">
        <f>IF(E1788="","Missing","OK")</f>
        <v>OK</v>
      </c>
      <c r="T1788" t="str">
        <f t="shared" si="219"/>
        <v>OK</v>
      </c>
      <c r="U1788">
        <f>COUNTIF($A:$A,A1788)</f>
        <v>1</v>
      </c>
      <c r="V1788" t="str">
        <f t="shared" si="220"/>
        <v>OK</v>
      </c>
      <c r="W1788" t="str">
        <f>IF(I1788&gt;B1788,"ERROR","OK")</f>
        <v>OK</v>
      </c>
      <c r="X1788">
        <f>(B1788-I1788)/B1788</f>
        <v>0.61251767625336484</v>
      </c>
      <c r="Y1788" s="2">
        <f t="shared" si="221"/>
        <v>8.8817841970012523E-16</v>
      </c>
      <c r="Z1788" s="2" t="str">
        <f t="shared" si="222"/>
        <v>OK</v>
      </c>
      <c r="AA1788" t="str">
        <f t="shared" si="223"/>
        <v>Unique</v>
      </c>
    </row>
    <row r="1789" spans="1:27" x14ac:dyDescent="0.3">
      <c r="A1789">
        <v>1788</v>
      </c>
      <c r="B1789">
        <v>97795.680250402205</v>
      </c>
      <c r="C1789">
        <v>0.431743504169606</v>
      </c>
      <c r="D1789">
        <v>9.5976673298405202E-2</v>
      </c>
      <c r="E1789">
        <v>0.50147325889790795</v>
      </c>
      <c r="F1789">
        <v>1</v>
      </c>
      <c r="G1789" t="s">
        <v>12</v>
      </c>
      <c r="H1789">
        <v>0</v>
      </c>
      <c r="I1789">
        <v>49041.918481307002</v>
      </c>
      <c r="J1789">
        <v>0.498526741102091</v>
      </c>
      <c r="K1789" t="str">
        <f t="shared" si="216"/>
        <v>OK</v>
      </c>
      <c r="L1789" t="str">
        <f t="shared" si="217"/>
        <v>OK</v>
      </c>
      <c r="M1789" t="str">
        <f>IF(OR(B1789&lt;$AE$20,B1789&gt;$AF$20),"Outlier","OK")</f>
        <v>OK</v>
      </c>
      <c r="N1789" t="str">
        <f>IF(OR(J1789&lt;$AE$21,J1789&gt;$AF$21),"Outlier","OK")</f>
        <v>OK</v>
      </c>
      <c r="O1789" t="str">
        <f>IF(OR(C1789&lt;0,C1789&gt;1),"Outlier","OK")</f>
        <v>OK</v>
      </c>
      <c r="P1789" t="str">
        <f>IF(OR(D1789&lt;0,D1789&gt;1),"Outlier","OK")</f>
        <v>OK</v>
      </c>
      <c r="Q1789" t="str">
        <f t="shared" si="218"/>
        <v>40-60%</v>
      </c>
      <c r="R1789" t="str">
        <f>IF(B1789="","Missing","OK")</f>
        <v>OK</v>
      </c>
      <c r="S1789" t="str">
        <f>IF(E1789="","Missing","OK")</f>
        <v>OK</v>
      </c>
      <c r="T1789" t="str">
        <f t="shared" si="219"/>
        <v>OK</v>
      </c>
      <c r="U1789">
        <f>COUNTIF($A:$A,A1789)</f>
        <v>1</v>
      </c>
      <c r="V1789" t="str">
        <f t="shared" si="220"/>
        <v>OK</v>
      </c>
      <c r="W1789" t="str">
        <f>IF(I1789&gt;B1789,"ERROR","OK")</f>
        <v>OK</v>
      </c>
      <c r="X1789">
        <f>(B1789-I1789)/B1789</f>
        <v>0.49852674110209172</v>
      </c>
      <c r="Y1789" s="2">
        <f t="shared" si="221"/>
        <v>7.2164496600635175E-16</v>
      </c>
      <c r="Z1789" s="2" t="str">
        <f t="shared" si="222"/>
        <v>OK</v>
      </c>
      <c r="AA1789" t="str">
        <f t="shared" si="223"/>
        <v>Unique</v>
      </c>
    </row>
    <row r="1790" spans="1:27" x14ac:dyDescent="0.3">
      <c r="A1790">
        <v>1789</v>
      </c>
      <c r="B1790">
        <v>234791.78156477501</v>
      </c>
      <c r="C1790">
        <v>0.42583230159007102</v>
      </c>
      <c r="D1790">
        <v>-0.14690123163909799</v>
      </c>
      <c r="E1790">
        <v>0.36640418648718498</v>
      </c>
      <c r="F1790">
        <v>1</v>
      </c>
      <c r="G1790" t="s">
        <v>12</v>
      </c>
      <c r="H1790">
        <v>1</v>
      </c>
      <c r="I1790">
        <v>86028.691718118294</v>
      </c>
      <c r="J1790">
        <v>0.63359581351281402</v>
      </c>
      <c r="K1790" t="str">
        <f t="shared" si="216"/>
        <v>OK</v>
      </c>
      <c r="L1790" t="str">
        <f t="shared" si="217"/>
        <v>OK</v>
      </c>
      <c r="M1790" t="str">
        <f>IF(OR(B1790&lt;$AE$20,B1790&gt;$AF$20),"Outlier","OK")</f>
        <v>OK</v>
      </c>
      <c r="N1790" t="str">
        <f>IF(OR(J1790&lt;$AE$21,J1790&gt;$AF$21),"Outlier","OK")</f>
        <v>OK</v>
      </c>
      <c r="O1790" t="str">
        <f>IF(OR(C1790&lt;0,C1790&gt;1),"Outlier","OK")</f>
        <v>OK</v>
      </c>
      <c r="P1790" t="str">
        <f>IF(OR(D1790&lt;0,D1790&gt;1),"Outlier","OK")</f>
        <v>Outlier</v>
      </c>
      <c r="Q1790" t="str">
        <f t="shared" si="218"/>
        <v>60-80%</v>
      </c>
      <c r="R1790" t="str">
        <f>IF(B1790="","Missing","OK")</f>
        <v>OK</v>
      </c>
      <c r="S1790" t="str">
        <f>IF(E1790="","Missing","OK")</f>
        <v>OK</v>
      </c>
      <c r="T1790" t="str">
        <f t="shared" si="219"/>
        <v>OK</v>
      </c>
      <c r="U1790">
        <f>COUNTIF($A:$A,A1790)</f>
        <v>1</v>
      </c>
      <c r="V1790" t="str">
        <f t="shared" si="220"/>
        <v>OK</v>
      </c>
      <c r="W1790" t="str">
        <f>IF(I1790&gt;B1790,"ERROR","OK")</f>
        <v>OK</v>
      </c>
      <c r="X1790">
        <f>(B1790-I1790)/B1790</f>
        <v>0.63359581351281469</v>
      </c>
      <c r="Y1790" s="2">
        <f t="shared" si="221"/>
        <v>6.6613381477509392E-16</v>
      </c>
      <c r="Z1790" s="2" t="str">
        <f t="shared" si="222"/>
        <v>OK</v>
      </c>
      <c r="AA1790" t="str">
        <f t="shared" si="223"/>
        <v>Unique</v>
      </c>
    </row>
    <row r="1791" spans="1:27" x14ac:dyDescent="0.3">
      <c r="A1791">
        <v>1790</v>
      </c>
      <c r="B1791">
        <v>1319348.0797707499</v>
      </c>
      <c r="C1791">
        <v>0.85814404617981699</v>
      </c>
      <c r="D1791">
        <v>0.16660977581515499</v>
      </c>
      <c r="E1791">
        <v>9.3953703032957803E-2</v>
      </c>
      <c r="F1791">
        <v>1</v>
      </c>
      <c r="G1791" t="s">
        <v>10</v>
      </c>
      <c r="H1791">
        <v>0</v>
      </c>
      <c r="I1791">
        <v>123957.63768388399</v>
      </c>
      <c r="J1791">
        <v>0.90604629696704198</v>
      </c>
      <c r="K1791" t="str">
        <f t="shared" si="216"/>
        <v>OK</v>
      </c>
      <c r="L1791" t="str">
        <f t="shared" si="217"/>
        <v>OK</v>
      </c>
      <c r="M1791" t="str">
        <f>IF(OR(B1791&lt;$AE$20,B1791&gt;$AF$20),"Outlier","OK")</f>
        <v>OK</v>
      </c>
      <c r="N1791" t="str">
        <f>IF(OR(J1791&lt;$AE$21,J1791&gt;$AF$21),"Outlier","OK")</f>
        <v>OK</v>
      </c>
      <c r="O1791" t="str">
        <f>IF(OR(C1791&lt;0,C1791&gt;1),"Outlier","OK")</f>
        <v>OK</v>
      </c>
      <c r="P1791" t="str">
        <f>IF(OR(D1791&lt;0,D1791&gt;1),"Outlier","OK")</f>
        <v>OK</v>
      </c>
      <c r="Q1791" t="str">
        <f t="shared" si="218"/>
        <v>80-100%</v>
      </c>
      <c r="R1791" t="str">
        <f>IF(B1791="","Missing","OK")</f>
        <v>OK</v>
      </c>
      <c r="S1791" t="str">
        <f>IF(E1791="","Missing","OK")</f>
        <v>OK</v>
      </c>
      <c r="T1791" t="str">
        <f t="shared" si="219"/>
        <v>OK</v>
      </c>
      <c r="U1791">
        <f>COUNTIF($A:$A,A1791)</f>
        <v>1</v>
      </c>
      <c r="V1791" t="str">
        <f t="shared" si="220"/>
        <v>OK</v>
      </c>
      <c r="W1791" t="str">
        <f>IF(I1791&gt;B1791,"ERROR","OK")</f>
        <v>OK</v>
      </c>
      <c r="X1791">
        <f>(B1791-I1791)/B1791</f>
        <v>0.90604629696704231</v>
      </c>
      <c r="Y1791" s="2">
        <f t="shared" si="221"/>
        <v>3.3306690738754696E-16</v>
      </c>
      <c r="Z1791" s="2" t="str">
        <f t="shared" si="222"/>
        <v>OK</v>
      </c>
      <c r="AA1791" t="str">
        <f t="shared" si="223"/>
        <v>Unique</v>
      </c>
    </row>
    <row r="1792" spans="1:27" x14ac:dyDescent="0.3">
      <c r="A1792">
        <v>1791</v>
      </c>
      <c r="B1792">
        <v>368724.297570077</v>
      </c>
      <c r="C1792">
        <v>0.44892850854691801</v>
      </c>
      <c r="D1792">
        <v>-3.6195936153609401E-2</v>
      </c>
      <c r="E1792">
        <v>0.29760083962490902</v>
      </c>
      <c r="F1792">
        <v>1</v>
      </c>
      <c r="G1792" t="s">
        <v>11</v>
      </c>
      <c r="H1792">
        <v>1</v>
      </c>
      <c r="I1792">
        <v>109732.660546959</v>
      </c>
      <c r="J1792">
        <v>0.70239916037508998</v>
      </c>
      <c r="K1792" t="str">
        <f t="shared" si="216"/>
        <v>OK</v>
      </c>
      <c r="L1792" t="str">
        <f t="shared" si="217"/>
        <v>OK</v>
      </c>
      <c r="M1792" t="str">
        <f>IF(OR(B1792&lt;$AE$20,B1792&gt;$AF$20),"Outlier","OK")</f>
        <v>OK</v>
      </c>
      <c r="N1792" t="str">
        <f>IF(OR(J1792&lt;$AE$21,J1792&gt;$AF$21),"Outlier","OK")</f>
        <v>OK</v>
      </c>
      <c r="O1792" t="str">
        <f>IF(OR(C1792&lt;0,C1792&gt;1),"Outlier","OK")</f>
        <v>OK</v>
      </c>
      <c r="P1792" t="str">
        <f>IF(OR(D1792&lt;0,D1792&gt;1),"Outlier","OK")</f>
        <v>Outlier</v>
      </c>
      <c r="Q1792" t="str">
        <f t="shared" si="218"/>
        <v>60-80%</v>
      </c>
      <c r="R1792" t="str">
        <f>IF(B1792="","Missing","OK")</f>
        <v>OK</v>
      </c>
      <c r="S1792" t="str">
        <f>IF(E1792="","Missing","OK")</f>
        <v>OK</v>
      </c>
      <c r="T1792" t="str">
        <f t="shared" si="219"/>
        <v>OK</v>
      </c>
      <c r="U1792">
        <f>COUNTIF($A:$A,A1792)</f>
        <v>1</v>
      </c>
      <c r="V1792" t="str">
        <f t="shared" si="220"/>
        <v>OK</v>
      </c>
      <c r="W1792" t="str">
        <f>IF(I1792&gt;B1792,"ERROR","OK")</f>
        <v>OK</v>
      </c>
      <c r="X1792">
        <f>(B1792-I1792)/B1792</f>
        <v>0.70239916037509298</v>
      </c>
      <c r="Y1792" s="2">
        <f t="shared" si="221"/>
        <v>2.9976021664879227E-15</v>
      </c>
      <c r="Z1792" s="2" t="str">
        <f t="shared" si="222"/>
        <v>OK</v>
      </c>
      <c r="AA1792" t="str">
        <f t="shared" si="223"/>
        <v>Unique</v>
      </c>
    </row>
    <row r="1793" spans="1:27" x14ac:dyDescent="0.3">
      <c r="A1793">
        <v>1792</v>
      </c>
      <c r="B1793">
        <v>554744.66943876003</v>
      </c>
      <c r="C1793">
        <v>0.43105378502622099</v>
      </c>
      <c r="D1793">
        <v>-6.99689602217856E-2</v>
      </c>
      <c r="E1793">
        <v>0.184100850592574</v>
      </c>
      <c r="F1793">
        <v>1</v>
      </c>
      <c r="G1793" t="s">
        <v>11</v>
      </c>
      <c r="H1793">
        <v>0</v>
      </c>
      <c r="I1793">
        <v>102128.96550537201</v>
      </c>
      <c r="J1793">
        <v>0.81589914940742503</v>
      </c>
      <c r="K1793" t="str">
        <f t="shared" si="216"/>
        <v>OK</v>
      </c>
      <c r="L1793" t="str">
        <f t="shared" si="217"/>
        <v>OK</v>
      </c>
      <c r="M1793" t="str">
        <f>IF(OR(B1793&lt;$AE$20,B1793&gt;$AF$20),"Outlier","OK")</f>
        <v>OK</v>
      </c>
      <c r="N1793" t="str">
        <f>IF(OR(J1793&lt;$AE$21,J1793&gt;$AF$21),"Outlier","OK")</f>
        <v>OK</v>
      </c>
      <c r="O1793" t="str">
        <f>IF(OR(C1793&lt;0,C1793&gt;1),"Outlier","OK")</f>
        <v>OK</v>
      </c>
      <c r="P1793" t="str">
        <f>IF(OR(D1793&lt;0,D1793&gt;1),"Outlier","OK")</f>
        <v>Outlier</v>
      </c>
      <c r="Q1793" t="str">
        <f t="shared" si="218"/>
        <v>80-100%</v>
      </c>
      <c r="R1793" t="str">
        <f>IF(B1793="","Missing","OK")</f>
        <v>OK</v>
      </c>
      <c r="S1793" t="str">
        <f>IF(E1793="","Missing","OK")</f>
        <v>OK</v>
      </c>
      <c r="T1793" t="str">
        <f t="shared" si="219"/>
        <v>OK</v>
      </c>
      <c r="U1793">
        <f>COUNTIF($A:$A,A1793)</f>
        <v>1</v>
      </c>
      <c r="V1793" t="str">
        <f t="shared" si="220"/>
        <v>OK</v>
      </c>
      <c r="W1793" t="str">
        <f>IF(I1793&gt;B1793,"ERROR","OK")</f>
        <v>OK</v>
      </c>
      <c r="X1793">
        <f>(B1793-I1793)/B1793</f>
        <v>0.81589914940742592</v>
      </c>
      <c r="Y1793" s="2">
        <f t="shared" si="221"/>
        <v>8.8817841970012523E-16</v>
      </c>
      <c r="Z1793" s="2" t="str">
        <f t="shared" si="222"/>
        <v>OK</v>
      </c>
      <c r="AA1793" t="str">
        <f t="shared" si="223"/>
        <v>Unique</v>
      </c>
    </row>
    <row r="1794" spans="1:27" x14ac:dyDescent="0.3">
      <c r="A1794">
        <v>1793</v>
      </c>
      <c r="B1794">
        <v>1367651.5593341</v>
      </c>
      <c r="C1794">
        <v>0.74009956647428299</v>
      </c>
      <c r="D1794">
        <v>-3.1569197431147E-2</v>
      </c>
      <c r="E1794">
        <v>0.55571366170061898</v>
      </c>
      <c r="F1794">
        <v>1</v>
      </c>
      <c r="G1794" t="s">
        <v>12</v>
      </c>
      <c r="H1794">
        <v>1</v>
      </c>
      <c r="I1794">
        <v>760022.65596811601</v>
      </c>
      <c r="J1794">
        <v>0.44428633829938002</v>
      </c>
      <c r="K1794" t="str">
        <f t="shared" si="216"/>
        <v>OK</v>
      </c>
      <c r="L1794" t="str">
        <f t="shared" si="217"/>
        <v>OK</v>
      </c>
      <c r="M1794" t="str">
        <f>IF(OR(B1794&lt;$AE$20,B1794&gt;$AF$20),"Outlier","OK")</f>
        <v>OK</v>
      </c>
      <c r="N1794" t="str">
        <f>IF(OR(J1794&lt;$AE$21,J1794&gt;$AF$21),"Outlier","OK")</f>
        <v>OK</v>
      </c>
      <c r="O1794" t="str">
        <f>IF(OR(C1794&lt;0,C1794&gt;1),"Outlier","OK")</f>
        <v>OK</v>
      </c>
      <c r="P1794" t="str">
        <f>IF(OR(D1794&lt;0,D1794&gt;1),"Outlier","OK")</f>
        <v>Outlier</v>
      </c>
      <c r="Q1794" t="str">
        <f t="shared" si="218"/>
        <v>40-60%</v>
      </c>
      <c r="R1794" t="str">
        <f>IF(B1794="","Missing","OK")</f>
        <v>OK</v>
      </c>
      <c r="S1794" t="str">
        <f>IF(E1794="","Missing","OK")</f>
        <v>OK</v>
      </c>
      <c r="T1794" t="str">
        <f t="shared" si="219"/>
        <v>OK</v>
      </c>
      <c r="U1794">
        <f>COUNTIF($A:$A,A1794)</f>
        <v>1</v>
      </c>
      <c r="V1794" t="str">
        <f t="shared" si="220"/>
        <v>OK</v>
      </c>
      <c r="W1794" t="str">
        <f>IF(I1794&gt;B1794,"ERROR","OK")</f>
        <v>OK</v>
      </c>
      <c r="X1794">
        <f>(B1794-I1794)/B1794</f>
        <v>0.44428633829937958</v>
      </c>
      <c r="Y1794" s="2">
        <f t="shared" si="221"/>
        <v>4.4408920985006262E-16</v>
      </c>
      <c r="Z1794" s="2" t="str">
        <f t="shared" si="222"/>
        <v>OK</v>
      </c>
      <c r="AA1794" t="str">
        <f t="shared" si="223"/>
        <v>Unique</v>
      </c>
    </row>
    <row r="1795" spans="1:27" x14ac:dyDescent="0.3">
      <c r="A1795">
        <v>1794</v>
      </c>
      <c r="B1795">
        <v>1749156.1007272301</v>
      </c>
      <c r="C1795">
        <v>0.43861336481388202</v>
      </c>
      <c r="D1795">
        <v>0.13254306643706101</v>
      </c>
      <c r="E1795">
        <v>0.604950091624603</v>
      </c>
      <c r="F1795">
        <v>1</v>
      </c>
      <c r="G1795" t="s">
        <v>11</v>
      </c>
      <c r="H1795">
        <v>0</v>
      </c>
      <c r="I1795">
        <v>1058152.14340067</v>
      </c>
      <c r="J1795">
        <v>0.395049908375396</v>
      </c>
      <c r="K1795" t="str">
        <f t="shared" ref="K1795:K1858" si="224">IF(OR(J1795&lt;0,J1795&gt;1),"Error","OK")</f>
        <v>OK</v>
      </c>
      <c r="L1795" t="str">
        <f t="shared" ref="L1795:L1858" si="225">IF(I1795&gt;B1795,"Error","OK")</f>
        <v>OK</v>
      </c>
      <c r="M1795" t="str">
        <f>IF(OR(B1795&lt;$AE$20,B1795&gt;$AF$20),"Outlier","OK")</f>
        <v>OK</v>
      </c>
      <c r="N1795" t="str">
        <f>IF(OR(J1795&lt;$AE$21,J1795&gt;$AF$21),"Outlier","OK")</f>
        <v>OK</v>
      </c>
      <c r="O1795" t="str">
        <f>IF(OR(C1795&lt;0,C1795&gt;1),"Outlier","OK")</f>
        <v>OK</v>
      </c>
      <c r="P1795" t="str">
        <f>IF(OR(D1795&lt;0,D1795&gt;1),"Outlier","OK")</f>
        <v>OK</v>
      </c>
      <c r="Q1795" t="str">
        <f t="shared" ref="Q1795:Q1858" si="226">IF(J1795&lt;=0.2,"0-20%",
 IF(J1795&lt;=0.4,"20-40%",
 IF(J1795&lt;=0.6,"40-60%",
 IF(J1795&lt;=0.8,"60-80%","80-100%"))))</f>
        <v>20-40%</v>
      </c>
      <c r="R1795" t="str">
        <f>IF(B1795="","Missing","OK")</f>
        <v>OK</v>
      </c>
      <c r="S1795" t="str">
        <f>IF(E1795="","Missing","OK")</f>
        <v>OK</v>
      </c>
      <c r="T1795" t="str">
        <f t="shared" ref="T1795:T1858" si="227">IF(J1795="","Missing","OK")</f>
        <v>OK</v>
      </c>
      <c r="U1795">
        <f>COUNTIF($A:$A,A1795)</f>
        <v>1</v>
      </c>
      <c r="V1795" t="str">
        <f t="shared" ref="V1795:V1858" si="228">IF(OR(J1795&lt;0,J1795&gt;1),"ERROR","OK")</f>
        <v>OK</v>
      </c>
      <c r="W1795" t="str">
        <f>IF(I1795&gt;B1795,"ERROR","OK")</f>
        <v>OK</v>
      </c>
      <c r="X1795">
        <f>(B1795-I1795)/B1795</f>
        <v>0.39504990837539766</v>
      </c>
      <c r="Y1795" s="2">
        <f t="shared" ref="Y1795:Y1858" si="229">ABS(J1795-X1795)</f>
        <v>1.6653345369377348E-15</v>
      </c>
      <c r="Z1795" s="2" t="str">
        <f t="shared" ref="Z1795:Z1858" si="230">IF(OR(B1795="",I1795="",J1795=""),"Missing","OK")</f>
        <v>OK</v>
      </c>
      <c r="AA1795" t="str">
        <f t="shared" ref="AA1795:AA1858" si="231">IF(COUNTIF($A:$A,A1795)&gt;1,"Duplicate","Unique")</f>
        <v>Unique</v>
      </c>
    </row>
    <row r="1796" spans="1:27" x14ac:dyDescent="0.3">
      <c r="A1796">
        <v>1795</v>
      </c>
      <c r="B1796">
        <v>1907709.85552441</v>
      </c>
      <c r="C1796">
        <v>0.174043887653868</v>
      </c>
      <c r="D1796">
        <v>9.4866073205339095E-3</v>
      </c>
      <c r="E1796">
        <v>0.18102915120195001</v>
      </c>
      <c r="F1796">
        <v>1</v>
      </c>
      <c r="G1796" t="s">
        <v>13</v>
      </c>
      <c r="H1796">
        <v>1</v>
      </c>
      <c r="I1796">
        <v>345351.09588518098</v>
      </c>
      <c r="J1796">
        <v>0.81897084879804904</v>
      </c>
      <c r="K1796" t="str">
        <f t="shared" si="224"/>
        <v>OK</v>
      </c>
      <c r="L1796" t="str">
        <f t="shared" si="225"/>
        <v>OK</v>
      </c>
      <c r="M1796" t="str">
        <f>IF(OR(B1796&lt;$AE$20,B1796&gt;$AF$20),"Outlier","OK")</f>
        <v>OK</v>
      </c>
      <c r="N1796" t="str">
        <f>IF(OR(J1796&lt;$AE$21,J1796&gt;$AF$21),"Outlier","OK")</f>
        <v>OK</v>
      </c>
      <c r="O1796" t="str">
        <f>IF(OR(C1796&lt;0,C1796&gt;1),"Outlier","OK")</f>
        <v>OK</v>
      </c>
      <c r="P1796" t="str">
        <f>IF(OR(D1796&lt;0,D1796&gt;1),"Outlier","OK")</f>
        <v>OK</v>
      </c>
      <c r="Q1796" t="str">
        <f t="shared" si="226"/>
        <v>80-100%</v>
      </c>
      <c r="R1796" t="str">
        <f>IF(B1796="","Missing","OK")</f>
        <v>OK</v>
      </c>
      <c r="S1796" t="str">
        <f>IF(E1796="","Missing","OK")</f>
        <v>OK</v>
      </c>
      <c r="T1796" t="str">
        <f t="shared" si="227"/>
        <v>OK</v>
      </c>
      <c r="U1796">
        <f>COUNTIF($A:$A,A1796)</f>
        <v>1</v>
      </c>
      <c r="V1796" t="str">
        <f t="shared" si="228"/>
        <v>OK</v>
      </c>
      <c r="W1796" t="str">
        <f>IF(I1796&gt;B1796,"ERROR","OK")</f>
        <v>OK</v>
      </c>
      <c r="X1796">
        <f>(B1796-I1796)/B1796</f>
        <v>0.81897084879804882</v>
      </c>
      <c r="Y1796" s="2">
        <f t="shared" si="229"/>
        <v>2.2204460492503131E-16</v>
      </c>
      <c r="Z1796" s="2" t="str">
        <f t="shared" si="230"/>
        <v>OK</v>
      </c>
      <c r="AA1796" t="str">
        <f t="shared" si="231"/>
        <v>Unique</v>
      </c>
    </row>
    <row r="1797" spans="1:27" x14ac:dyDescent="0.3">
      <c r="A1797">
        <v>1796</v>
      </c>
      <c r="B1797">
        <v>797986.44928429299</v>
      </c>
      <c r="C1797">
        <v>0.82282406397762198</v>
      </c>
      <c r="D1797">
        <v>-4.1226013089545203E-2</v>
      </c>
      <c r="E1797">
        <v>0.389475370769295</v>
      </c>
      <c r="F1797">
        <v>1</v>
      </c>
      <c r="G1797" t="s">
        <v>12</v>
      </c>
      <c r="H1797">
        <v>1</v>
      </c>
      <c r="I1797">
        <v>310796.068203873</v>
      </c>
      <c r="J1797">
        <v>0.61052462923070405</v>
      </c>
      <c r="K1797" t="str">
        <f t="shared" si="224"/>
        <v>OK</v>
      </c>
      <c r="L1797" t="str">
        <f t="shared" si="225"/>
        <v>OK</v>
      </c>
      <c r="M1797" t="str">
        <f>IF(OR(B1797&lt;$AE$20,B1797&gt;$AF$20),"Outlier","OK")</f>
        <v>OK</v>
      </c>
      <c r="N1797" t="str">
        <f>IF(OR(J1797&lt;$AE$21,J1797&gt;$AF$21),"Outlier","OK")</f>
        <v>OK</v>
      </c>
      <c r="O1797" t="str">
        <f>IF(OR(C1797&lt;0,C1797&gt;1),"Outlier","OK")</f>
        <v>OK</v>
      </c>
      <c r="P1797" t="str">
        <f>IF(OR(D1797&lt;0,D1797&gt;1),"Outlier","OK")</f>
        <v>Outlier</v>
      </c>
      <c r="Q1797" t="str">
        <f t="shared" si="226"/>
        <v>60-80%</v>
      </c>
      <c r="R1797" t="str">
        <f>IF(B1797="","Missing","OK")</f>
        <v>OK</v>
      </c>
      <c r="S1797" t="str">
        <f>IF(E1797="","Missing","OK")</f>
        <v>OK</v>
      </c>
      <c r="T1797" t="str">
        <f t="shared" si="227"/>
        <v>OK</v>
      </c>
      <c r="U1797">
        <f>COUNTIF($A:$A,A1797)</f>
        <v>1</v>
      </c>
      <c r="V1797" t="str">
        <f t="shared" si="228"/>
        <v>OK</v>
      </c>
      <c r="W1797" t="str">
        <f>IF(I1797&gt;B1797,"ERROR","OK")</f>
        <v>OK</v>
      </c>
      <c r="X1797">
        <f>(B1797-I1797)/B1797</f>
        <v>0.61052462923070527</v>
      </c>
      <c r="Y1797" s="2">
        <f t="shared" si="229"/>
        <v>1.2212453270876722E-15</v>
      </c>
      <c r="Z1797" s="2" t="str">
        <f t="shared" si="230"/>
        <v>OK</v>
      </c>
      <c r="AA1797" t="str">
        <f t="shared" si="231"/>
        <v>Unique</v>
      </c>
    </row>
    <row r="1798" spans="1:27" x14ac:dyDescent="0.3">
      <c r="A1798">
        <v>1797</v>
      </c>
      <c r="B1798">
        <v>491424.37067390798</v>
      </c>
      <c r="C1798">
        <v>0.89808651623037405</v>
      </c>
      <c r="D1798">
        <v>-6.9343959452134799E-2</v>
      </c>
      <c r="E1798">
        <v>7.5113471394690101E-2</v>
      </c>
      <c r="F1798">
        <v>1</v>
      </c>
      <c r="G1798" t="s">
        <v>12</v>
      </c>
      <c r="H1798">
        <v>0</v>
      </c>
      <c r="I1798">
        <v>36912.590409268203</v>
      </c>
      <c r="J1798">
        <v>0.92488652860530896</v>
      </c>
      <c r="K1798" t="str">
        <f t="shared" si="224"/>
        <v>OK</v>
      </c>
      <c r="L1798" t="str">
        <f t="shared" si="225"/>
        <v>OK</v>
      </c>
      <c r="M1798" t="str">
        <f>IF(OR(B1798&lt;$AE$20,B1798&gt;$AF$20),"Outlier","OK")</f>
        <v>OK</v>
      </c>
      <c r="N1798" t="str">
        <f>IF(OR(J1798&lt;$AE$21,J1798&gt;$AF$21),"Outlier","OK")</f>
        <v>OK</v>
      </c>
      <c r="O1798" t="str">
        <f>IF(OR(C1798&lt;0,C1798&gt;1),"Outlier","OK")</f>
        <v>OK</v>
      </c>
      <c r="P1798" t="str">
        <f>IF(OR(D1798&lt;0,D1798&gt;1),"Outlier","OK")</f>
        <v>Outlier</v>
      </c>
      <c r="Q1798" t="str">
        <f t="shared" si="226"/>
        <v>80-100%</v>
      </c>
      <c r="R1798" t="str">
        <f>IF(B1798="","Missing","OK")</f>
        <v>OK</v>
      </c>
      <c r="S1798" t="str">
        <f>IF(E1798="","Missing","OK")</f>
        <v>OK</v>
      </c>
      <c r="T1798" t="str">
        <f t="shared" si="227"/>
        <v>OK</v>
      </c>
      <c r="U1798">
        <f>COUNTIF($A:$A,A1798)</f>
        <v>1</v>
      </c>
      <c r="V1798" t="str">
        <f t="shared" si="228"/>
        <v>OK</v>
      </c>
      <c r="W1798" t="str">
        <f>IF(I1798&gt;B1798,"ERROR","OK")</f>
        <v>OK</v>
      </c>
      <c r="X1798">
        <f>(B1798-I1798)/B1798</f>
        <v>0.92488652860530984</v>
      </c>
      <c r="Y1798" s="2">
        <f t="shared" si="229"/>
        <v>8.8817841970012523E-16</v>
      </c>
      <c r="Z1798" s="2" t="str">
        <f t="shared" si="230"/>
        <v>OK</v>
      </c>
      <c r="AA1798" t="str">
        <f t="shared" si="231"/>
        <v>Unique</v>
      </c>
    </row>
    <row r="1799" spans="1:27" x14ac:dyDescent="0.3">
      <c r="A1799">
        <v>1798</v>
      </c>
      <c r="B1799">
        <v>1491307.9346205301</v>
      </c>
      <c r="C1799">
        <v>0.221828100657149</v>
      </c>
      <c r="D1799">
        <v>0.16346823541349401</v>
      </c>
      <c r="E1799">
        <v>0.357804110263445</v>
      </c>
      <c r="F1799">
        <v>1</v>
      </c>
      <c r="G1799" t="s">
        <v>11</v>
      </c>
      <c r="H1799">
        <v>1</v>
      </c>
      <c r="I1799">
        <v>533596.10867571703</v>
      </c>
      <c r="J1799">
        <v>0.64219588973655395</v>
      </c>
      <c r="K1799" t="str">
        <f t="shared" si="224"/>
        <v>OK</v>
      </c>
      <c r="L1799" t="str">
        <f t="shared" si="225"/>
        <v>OK</v>
      </c>
      <c r="M1799" t="str">
        <f>IF(OR(B1799&lt;$AE$20,B1799&gt;$AF$20),"Outlier","OK")</f>
        <v>OK</v>
      </c>
      <c r="N1799" t="str">
        <f>IF(OR(J1799&lt;$AE$21,J1799&gt;$AF$21),"Outlier","OK")</f>
        <v>OK</v>
      </c>
      <c r="O1799" t="str">
        <f>IF(OR(C1799&lt;0,C1799&gt;1),"Outlier","OK")</f>
        <v>OK</v>
      </c>
      <c r="P1799" t="str">
        <f>IF(OR(D1799&lt;0,D1799&gt;1),"Outlier","OK")</f>
        <v>OK</v>
      </c>
      <c r="Q1799" t="str">
        <f t="shared" si="226"/>
        <v>60-80%</v>
      </c>
      <c r="R1799" t="str">
        <f>IF(B1799="","Missing","OK")</f>
        <v>OK</v>
      </c>
      <c r="S1799" t="str">
        <f>IF(E1799="","Missing","OK")</f>
        <v>OK</v>
      </c>
      <c r="T1799" t="str">
        <f t="shared" si="227"/>
        <v>OK</v>
      </c>
      <c r="U1799">
        <f>COUNTIF($A:$A,A1799)</f>
        <v>1</v>
      </c>
      <c r="V1799" t="str">
        <f t="shared" si="228"/>
        <v>OK</v>
      </c>
      <c r="W1799" t="str">
        <f>IF(I1799&gt;B1799,"ERROR","OK")</f>
        <v>OK</v>
      </c>
      <c r="X1799">
        <f>(B1799-I1799)/B1799</f>
        <v>0.64219588973655339</v>
      </c>
      <c r="Y1799" s="2">
        <f t="shared" si="229"/>
        <v>5.5511151231257827E-16</v>
      </c>
      <c r="Z1799" s="2" t="str">
        <f t="shared" si="230"/>
        <v>OK</v>
      </c>
      <c r="AA1799" t="str">
        <f t="shared" si="231"/>
        <v>Unique</v>
      </c>
    </row>
    <row r="1800" spans="1:27" x14ac:dyDescent="0.3">
      <c r="A1800">
        <v>1799</v>
      </c>
      <c r="B1800">
        <v>1439226.6219351599</v>
      </c>
      <c r="C1800">
        <v>0.38545720783286402</v>
      </c>
      <c r="D1800">
        <v>-8.6674220470713201E-2</v>
      </c>
      <c r="E1800">
        <v>0.515934889593616</v>
      </c>
      <c r="F1800">
        <v>1</v>
      </c>
      <c r="G1800" t="s">
        <v>10</v>
      </c>
      <c r="H1800">
        <v>1</v>
      </c>
      <c r="I1800">
        <v>742547.228288315</v>
      </c>
      <c r="J1800">
        <v>0.484065110406383</v>
      </c>
      <c r="K1800" t="str">
        <f t="shared" si="224"/>
        <v>OK</v>
      </c>
      <c r="L1800" t="str">
        <f t="shared" si="225"/>
        <v>OK</v>
      </c>
      <c r="M1800" t="str">
        <f>IF(OR(B1800&lt;$AE$20,B1800&gt;$AF$20),"Outlier","OK")</f>
        <v>OK</v>
      </c>
      <c r="N1800" t="str">
        <f>IF(OR(J1800&lt;$AE$21,J1800&gt;$AF$21),"Outlier","OK")</f>
        <v>OK</v>
      </c>
      <c r="O1800" t="str">
        <f>IF(OR(C1800&lt;0,C1800&gt;1),"Outlier","OK")</f>
        <v>OK</v>
      </c>
      <c r="P1800" t="str">
        <f>IF(OR(D1800&lt;0,D1800&gt;1),"Outlier","OK")</f>
        <v>Outlier</v>
      </c>
      <c r="Q1800" t="str">
        <f t="shared" si="226"/>
        <v>40-60%</v>
      </c>
      <c r="R1800" t="str">
        <f>IF(B1800="","Missing","OK")</f>
        <v>OK</v>
      </c>
      <c r="S1800" t="str">
        <f>IF(E1800="","Missing","OK")</f>
        <v>OK</v>
      </c>
      <c r="T1800" t="str">
        <f t="shared" si="227"/>
        <v>OK</v>
      </c>
      <c r="U1800">
        <f>COUNTIF($A:$A,A1800)</f>
        <v>1</v>
      </c>
      <c r="V1800" t="str">
        <f t="shared" si="228"/>
        <v>OK</v>
      </c>
      <c r="W1800" t="str">
        <f>IF(I1800&gt;B1800,"ERROR","OK")</f>
        <v>OK</v>
      </c>
      <c r="X1800">
        <f>(B1800-I1800)/B1800</f>
        <v>0.48406511040638028</v>
      </c>
      <c r="Y1800" s="2">
        <f t="shared" si="229"/>
        <v>2.7200464103316335E-15</v>
      </c>
      <c r="Z1800" s="2" t="str">
        <f t="shared" si="230"/>
        <v>OK</v>
      </c>
      <c r="AA1800" t="str">
        <f t="shared" si="231"/>
        <v>Unique</v>
      </c>
    </row>
    <row r="1801" spans="1:27" x14ac:dyDescent="0.3">
      <c r="A1801">
        <v>1800</v>
      </c>
      <c r="B1801">
        <v>1950124.0441597099</v>
      </c>
      <c r="C1801">
        <v>0.52719601650145098</v>
      </c>
      <c r="D1801">
        <v>0.18304659791455599</v>
      </c>
      <c r="E1801">
        <v>0.26122547467580998</v>
      </c>
      <c r="F1801">
        <v>1</v>
      </c>
      <c r="G1801" t="s">
        <v>12</v>
      </c>
      <c r="H1801">
        <v>0</v>
      </c>
      <c r="I1801">
        <v>509422.07911233202</v>
      </c>
      <c r="J1801">
        <v>0.73877452532418897</v>
      </c>
      <c r="K1801" t="str">
        <f t="shared" si="224"/>
        <v>OK</v>
      </c>
      <c r="L1801" t="str">
        <f t="shared" si="225"/>
        <v>OK</v>
      </c>
      <c r="M1801" t="str">
        <f>IF(OR(B1801&lt;$AE$20,B1801&gt;$AF$20),"Outlier","OK")</f>
        <v>OK</v>
      </c>
      <c r="N1801" t="str">
        <f>IF(OR(J1801&lt;$AE$21,J1801&gt;$AF$21),"Outlier","OK")</f>
        <v>OK</v>
      </c>
      <c r="O1801" t="str">
        <f>IF(OR(C1801&lt;0,C1801&gt;1),"Outlier","OK")</f>
        <v>OK</v>
      </c>
      <c r="P1801" t="str">
        <f>IF(OR(D1801&lt;0,D1801&gt;1),"Outlier","OK")</f>
        <v>OK</v>
      </c>
      <c r="Q1801" t="str">
        <f t="shared" si="226"/>
        <v>60-80%</v>
      </c>
      <c r="R1801" t="str">
        <f>IF(B1801="","Missing","OK")</f>
        <v>OK</v>
      </c>
      <c r="S1801" t="str">
        <f>IF(E1801="","Missing","OK")</f>
        <v>OK</v>
      </c>
      <c r="T1801" t="str">
        <f t="shared" si="227"/>
        <v>OK</v>
      </c>
      <c r="U1801">
        <f>COUNTIF($A:$A,A1801)</f>
        <v>1</v>
      </c>
      <c r="V1801" t="str">
        <f t="shared" si="228"/>
        <v>OK</v>
      </c>
      <c r="W1801" t="str">
        <f>IF(I1801&gt;B1801,"ERROR","OK")</f>
        <v>OK</v>
      </c>
      <c r="X1801">
        <f>(B1801-I1801)/B1801</f>
        <v>0.73877452532418919</v>
      </c>
      <c r="Y1801" s="2">
        <f t="shared" si="229"/>
        <v>2.2204460492503131E-16</v>
      </c>
      <c r="Z1801" s="2" t="str">
        <f t="shared" si="230"/>
        <v>OK</v>
      </c>
      <c r="AA1801" t="str">
        <f t="shared" si="231"/>
        <v>Unique</v>
      </c>
    </row>
    <row r="1802" spans="1:27" x14ac:dyDescent="0.3">
      <c r="A1802">
        <v>1801</v>
      </c>
      <c r="B1802">
        <v>240881.66885950099</v>
      </c>
      <c r="C1802">
        <v>0.10987121975633</v>
      </c>
      <c r="D1802">
        <v>-9.9397237367081694E-3</v>
      </c>
      <c r="E1802">
        <v>0.227577103201797</v>
      </c>
      <c r="F1802">
        <v>1</v>
      </c>
      <c r="G1802" t="s">
        <v>12</v>
      </c>
      <c r="H1802">
        <v>1</v>
      </c>
      <c r="I1802">
        <v>54819.152413459997</v>
      </c>
      <c r="J1802">
        <v>0.77242289679820197</v>
      </c>
      <c r="K1802" t="str">
        <f t="shared" si="224"/>
        <v>OK</v>
      </c>
      <c r="L1802" t="str">
        <f t="shared" si="225"/>
        <v>OK</v>
      </c>
      <c r="M1802" t="str">
        <f>IF(OR(B1802&lt;$AE$20,B1802&gt;$AF$20),"Outlier","OK")</f>
        <v>OK</v>
      </c>
      <c r="N1802" t="str">
        <f>IF(OR(J1802&lt;$AE$21,J1802&gt;$AF$21),"Outlier","OK")</f>
        <v>OK</v>
      </c>
      <c r="O1802" t="str">
        <f>IF(OR(C1802&lt;0,C1802&gt;1),"Outlier","OK")</f>
        <v>OK</v>
      </c>
      <c r="P1802" t="str">
        <f>IF(OR(D1802&lt;0,D1802&gt;1),"Outlier","OK")</f>
        <v>Outlier</v>
      </c>
      <c r="Q1802" t="str">
        <f t="shared" si="226"/>
        <v>60-80%</v>
      </c>
      <c r="R1802" t="str">
        <f>IF(B1802="","Missing","OK")</f>
        <v>OK</v>
      </c>
      <c r="S1802" t="str">
        <f>IF(E1802="","Missing","OK")</f>
        <v>OK</v>
      </c>
      <c r="T1802" t="str">
        <f t="shared" si="227"/>
        <v>OK</v>
      </c>
      <c r="U1802">
        <f>COUNTIF($A:$A,A1802)</f>
        <v>1</v>
      </c>
      <c r="V1802" t="str">
        <f t="shared" si="228"/>
        <v>OK</v>
      </c>
      <c r="W1802" t="str">
        <f>IF(I1802&gt;B1802,"ERROR","OK")</f>
        <v>OK</v>
      </c>
      <c r="X1802">
        <f>(B1802-I1802)/B1802</f>
        <v>0.77242289679820197</v>
      </c>
      <c r="Y1802" s="2">
        <f t="shared" si="229"/>
        <v>0</v>
      </c>
      <c r="Z1802" s="2" t="str">
        <f t="shared" si="230"/>
        <v>OK</v>
      </c>
      <c r="AA1802" t="str">
        <f t="shared" si="231"/>
        <v>Unique</v>
      </c>
    </row>
    <row r="1803" spans="1:27" x14ac:dyDescent="0.3">
      <c r="A1803">
        <v>1802</v>
      </c>
      <c r="B1803">
        <v>1762381.4799569501</v>
      </c>
      <c r="C1803">
        <v>0.57090585186250198</v>
      </c>
      <c r="D1803">
        <v>2.7014951180398799E-3</v>
      </c>
      <c r="E1803">
        <v>0.131911484824102</v>
      </c>
      <c r="F1803">
        <v>1</v>
      </c>
      <c r="G1803" t="s">
        <v>13</v>
      </c>
      <c r="H1803">
        <v>1</v>
      </c>
      <c r="I1803">
        <v>232478.357847621</v>
      </c>
      <c r="J1803">
        <v>0.86808851517589702</v>
      </c>
      <c r="K1803" t="str">
        <f t="shared" si="224"/>
        <v>OK</v>
      </c>
      <c r="L1803" t="str">
        <f t="shared" si="225"/>
        <v>OK</v>
      </c>
      <c r="M1803" t="str">
        <f>IF(OR(B1803&lt;$AE$20,B1803&gt;$AF$20),"Outlier","OK")</f>
        <v>OK</v>
      </c>
      <c r="N1803" t="str">
        <f>IF(OR(J1803&lt;$AE$21,J1803&gt;$AF$21),"Outlier","OK")</f>
        <v>OK</v>
      </c>
      <c r="O1803" t="str">
        <f>IF(OR(C1803&lt;0,C1803&gt;1),"Outlier","OK")</f>
        <v>OK</v>
      </c>
      <c r="P1803" t="str">
        <f>IF(OR(D1803&lt;0,D1803&gt;1),"Outlier","OK")</f>
        <v>OK</v>
      </c>
      <c r="Q1803" t="str">
        <f t="shared" si="226"/>
        <v>80-100%</v>
      </c>
      <c r="R1803" t="str">
        <f>IF(B1803="","Missing","OK")</f>
        <v>OK</v>
      </c>
      <c r="S1803" t="str">
        <f>IF(E1803="","Missing","OK")</f>
        <v>OK</v>
      </c>
      <c r="T1803" t="str">
        <f t="shared" si="227"/>
        <v>OK</v>
      </c>
      <c r="U1803">
        <f>COUNTIF($A:$A,A1803)</f>
        <v>1</v>
      </c>
      <c r="V1803" t="str">
        <f t="shared" si="228"/>
        <v>OK</v>
      </c>
      <c r="W1803" t="str">
        <f>IF(I1803&gt;B1803,"ERROR","OK")</f>
        <v>OK</v>
      </c>
      <c r="X1803">
        <f>(B1803-I1803)/B1803</f>
        <v>0.86808851517589725</v>
      </c>
      <c r="Y1803" s="2">
        <f t="shared" si="229"/>
        <v>2.2204460492503131E-16</v>
      </c>
      <c r="Z1803" s="2" t="str">
        <f t="shared" si="230"/>
        <v>OK</v>
      </c>
      <c r="AA1803" t="str">
        <f t="shared" si="231"/>
        <v>Unique</v>
      </c>
    </row>
    <row r="1804" spans="1:27" x14ac:dyDescent="0.3">
      <c r="A1804">
        <v>1803</v>
      </c>
      <c r="B1804">
        <v>392537.46880951198</v>
      </c>
      <c r="C1804">
        <v>0.41928714451632298</v>
      </c>
      <c r="D1804">
        <v>-0.159079410404243</v>
      </c>
      <c r="E1804">
        <v>0.25086421044575102</v>
      </c>
      <c r="F1804">
        <v>1</v>
      </c>
      <c r="G1804" t="s">
        <v>10</v>
      </c>
      <c r="H1804">
        <v>0</v>
      </c>
      <c r="I1804">
        <v>98473.602183272204</v>
      </c>
      <c r="J1804">
        <v>0.74913578955424798</v>
      </c>
      <c r="K1804" t="str">
        <f t="shared" si="224"/>
        <v>OK</v>
      </c>
      <c r="L1804" t="str">
        <f t="shared" si="225"/>
        <v>OK</v>
      </c>
      <c r="M1804" t="str">
        <f>IF(OR(B1804&lt;$AE$20,B1804&gt;$AF$20),"Outlier","OK")</f>
        <v>OK</v>
      </c>
      <c r="N1804" t="str">
        <f>IF(OR(J1804&lt;$AE$21,J1804&gt;$AF$21),"Outlier","OK")</f>
        <v>OK</v>
      </c>
      <c r="O1804" t="str">
        <f>IF(OR(C1804&lt;0,C1804&gt;1),"Outlier","OK")</f>
        <v>OK</v>
      </c>
      <c r="P1804" t="str">
        <f>IF(OR(D1804&lt;0,D1804&gt;1),"Outlier","OK")</f>
        <v>Outlier</v>
      </c>
      <c r="Q1804" t="str">
        <f t="shared" si="226"/>
        <v>60-80%</v>
      </c>
      <c r="R1804" t="str">
        <f>IF(B1804="","Missing","OK")</f>
        <v>OK</v>
      </c>
      <c r="S1804" t="str">
        <f>IF(E1804="","Missing","OK")</f>
        <v>OK</v>
      </c>
      <c r="T1804" t="str">
        <f t="shared" si="227"/>
        <v>OK</v>
      </c>
      <c r="U1804">
        <f>COUNTIF($A:$A,A1804)</f>
        <v>1</v>
      </c>
      <c r="V1804" t="str">
        <f t="shared" si="228"/>
        <v>OK</v>
      </c>
      <c r="W1804" t="str">
        <f>IF(I1804&gt;B1804,"ERROR","OK")</f>
        <v>OK</v>
      </c>
      <c r="X1804">
        <f>(B1804-I1804)/B1804</f>
        <v>0.74913578955424809</v>
      </c>
      <c r="Y1804" s="2">
        <f t="shared" si="229"/>
        <v>1.1102230246251565E-16</v>
      </c>
      <c r="Z1804" s="2" t="str">
        <f t="shared" si="230"/>
        <v>OK</v>
      </c>
      <c r="AA1804" t="str">
        <f t="shared" si="231"/>
        <v>Unique</v>
      </c>
    </row>
    <row r="1805" spans="1:27" x14ac:dyDescent="0.3">
      <c r="A1805">
        <v>1804</v>
      </c>
      <c r="B1805">
        <v>1507304.0202312099</v>
      </c>
      <c r="C1805">
        <v>0.36857853600184898</v>
      </c>
      <c r="D1805">
        <v>-7.1661242965240901E-2</v>
      </c>
      <c r="E1805">
        <v>4.7451873725455798E-2</v>
      </c>
      <c r="F1805">
        <v>1</v>
      </c>
      <c r="G1805" t="s">
        <v>13</v>
      </c>
      <c r="H1805">
        <v>1</v>
      </c>
      <c r="I1805">
        <v>71524.400033883401</v>
      </c>
      <c r="J1805">
        <v>0.95254812627454399</v>
      </c>
      <c r="K1805" t="str">
        <f t="shared" si="224"/>
        <v>OK</v>
      </c>
      <c r="L1805" t="str">
        <f t="shared" si="225"/>
        <v>OK</v>
      </c>
      <c r="M1805" t="str">
        <f>IF(OR(B1805&lt;$AE$20,B1805&gt;$AF$20),"Outlier","OK")</f>
        <v>OK</v>
      </c>
      <c r="N1805" t="str">
        <f>IF(OR(J1805&lt;$AE$21,J1805&gt;$AF$21),"Outlier","OK")</f>
        <v>OK</v>
      </c>
      <c r="O1805" t="str">
        <f>IF(OR(C1805&lt;0,C1805&gt;1),"Outlier","OK")</f>
        <v>OK</v>
      </c>
      <c r="P1805" t="str">
        <f>IF(OR(D1805&lt;0,D1805&gt;1),"Outlier","OK")</f>
        <v>Outlier</v>
      </c>
      <c r="Q1805" t="str">
        <f t="shared" si="226"/>
        <v>80-100%</v>
      </c>
      <c r="R1805" t="str">
        <f>IF(B1805="","Missing","OK")</f>
        <v>OK</v>
      </c>
      <c r="S1805" t="str">
        <f>IF(E1805="","Missing","OK")</f>
        <v>OK</v>
      </c>
      <c r="T1805" t="str">
        <f t="shared" si="227"/>
        <v>OK</v>
      </c>
      <c r="U1805">
        <f>COUNTIF($A:$A,A1805)</f>
        <v>1</v>
      </c>
      <c r="V1805" t="str">
        <f t="shared" si="228"/>
        <v>OK</v>
      </c>
      <c r="W1805" t="str">
        <f>IF(I1805&gt;B1805,"ERROR","OK")</f>
        <v>OK</v>
      </c>
      <c r="X1805">
        <f>(B1805-I1805)/B1805</f>
        <v>0.95254812627454399</v>
      </c>
      <c r="Y1805" s="2">
        <f t="shared" si="229"/>
        <v>0</v>
      </c>
      <c r="Z1805" s="2" t="str">
        <f t="shared" si="230"/>
        <v>OK</v>
      </c>
      <c r="AA1805" t="str">
        <f t="shared" si="231"/>
        <v>Unique</v>
      </c>
    </row>
    <row r="1806" spans="1:27" x14ac:dyDescent="0.3">
      <c r="A1806">
        <v>1805</v>
      </c>
      <c r="B1806">
        <v>1991079.32964068</v>
      </c>
      <c r="C1806">
        <v>0.12426953261396199</v>
      </c>
      <c r="D1806">
        <v>-8.5515571477156493E-2</v>
      </c>
      <c r="E1806">
        <v>0.36148887547367797</v>
      </c>
      <c r="F1806">
        <v>1</v>
      </c>
      <c r="G1806" t="s">
        <v>10</v>
      </c>
      <c r="H1806">
        <v>1</v>
      </c>
      <c r="I1806">
        <v>719753.02785069798</v>
      </c>
      <c r="J1806">
        <v>0.63851112452632097</v>
      </c>
      <c r="K1806" t="str">
        <f t="shared" si="224"/>
        <v>OK</v>
      </c>
      <c r="L1806" t="str">
        <f t="shared" si="225"/>
        <v>OK</v>
      </c>
      <c r="M1806" t="str">
        <f>IF(OR(B1806&lt;$AE$20,B1806&gt;$AF$20),"Outlier","OK")</f>
        <v>Outlier</v>
      </c>
      <c r="N1806" t="str">
        <f>IF(OR(J1806&lt;$AE$21,J1806&gt;$AF$21),"Outlier","OK")</f>
        <v>OK</v>
      </c>
      <c r="O1806" t="str">
        <f>IF(OR(C1806&lt;0,C1806&gt;1),"Outlier","OK")</f>
        <v>OK</v>
      </c>
      <c r="P1806" t="str">
        <f>IF(OR(D1806&lt;0,D1806&gt;1),"Outlier","OK")</f>
        <v>Outlier</v>
      </c>
      <c r="Q1806" t="str">
        <f t="shared" si="226"/>
        <v>60-80%</v>
      </c>
      <c r="R1806" t="str">
        <f>IF(B1806="","Missing","OK")</f>
        <v>OK</v>
      </c>
      <c r="S1806" t="str">
        <f>IF(E1806="","Missing","OK")</f>
        <v>OK</v>
      </c>
      <c r="T1806" t="str">
        <f t="shared" si="227"/>
        <v>OK</v>
      </c>
      <c r="U1806">
        <f>COUNTIF($A:$A,A1806)</f>
        <v>1</v>
      </c>
      <c r="V1806" t="str">
        <f t="shared" si="228"/>
        <v>OK</v>
      </c>
      <c r="W1806" t="str">
        <f>IF(I1806&gt;B1806,"ERROR","OK")</f>
        <v>OK</v>
      </c>
      <c r="X1806">
        <f>(B1806-I1806)/B1806</f>
        <v>0.63851112452631997</v>
      </c>
      <c r="Y1806" s="2">
        <f t="shared" si="229"/>
        <v>9.9920072216264089E-16</v>
      </c>
      <c r="Z1806" s="2" t="str">
        <f t="shared" si="230"/>
        <v>OK</v>
      </c>
      <c r="AA1806" t="str">
        <f t="shared" si="231"/>
        <v>Unique</v>
      </c>
    </row>
    <row r="1807" spans="1:27" x14ac:dyDescent="0.3">
      <c r="A1807">
        <v>1806</v>
      </c>
      <c r="B1807">
        <v>501967.96347705298</v>
      </c>
      <c r="C1807">
        <v>0.37254820203497702</v>
      </c>
      <c r="D1807">
        <v>3.4439199135270097E-2</v>
      </c>
      <c r="E1807">
        <v>0.43284848243156299</v>
      </c>
      <c r="F1807">
        <v>1</v>
      </c>
      <c r="G1807" t="s">
        <v>11</v>
      </c>
      <c r="H1807">
        <v>0</v>
      </c>
      <c r="I1807">
        <v>217276.07122030499</v>
      </c>
      <c r="J1807">
        <v>0.56715151756843696</v>
      </c>
      <c r="K1807" t="str">
        <f t="shared" si="224"/>
        <v>OK</v>
      </c>
      <c r="L1807" t="str">
        <f t="shared" si="225"/>
        <v>OK</v>
      </c>
      <c r="M1807" t="str">
        <f>IF(OR(B1807&lt;$AE$20,B1807&gt;$AF$20),"Outlier","OK")</f>
        <v>OK</v>
      </c>
      <c r="N1807" t="str">
        <f>IF(OR(J1807&lt;$AE$21,J1807&gt;$AF$21),"Outlier","OK")</f>
        <v>OK</v>
      </c>
      <c r="O1807" t="str">
        <f>IF(OR(C1807&lt;0,C1807&gt;1),"Outlier","OK")</f>
        <v>OK</v>
      </c>
      <c r="P1807" t="str">
        <f>IF(OR(D1807&lt;0,D1807&gt;1),"Outlier","OK")</f>
        <v>OK</v>
      </c>
      <c r="Q1807" t="str">
        <f t="shared" si="226"/>
        <v>40-60%</v>
      </c>
      <c r="R1807" t="str">
        <f>IF(B1807="","Missing","OK")</f>
        <v>OK</v>
      </c>
      <c r="S1807" t="str">
        <f>IF(E1807="","Missing","OK")</f>
        <v>OK</v>
      </c>
      <c r="T1807" t="str">
        <f t="shared" si="227"/>
        <v>OK</v>
      </c>
      <c r="U1807">
        <f>COUNTIF($A:$A,A1807)</f>
        <v>1</v>
      </c>
      <c r="V1807" t="str">
        <f t="shared" si="228"/>
        <v>OK</v>
      </c>
      <c r="W1807" t="str">
        <f>IF(I1807&gt;B1807,"ERROR","OK")</f>
        <v>OK</v>
      </c>
      <c r="X1807">
        <f>(B1807-I1807)/B1807</f>
        <v>0.56715151756843629</v>
      </c>
      <c r="Y1807" s="2">
        <f t="shared" si="229"/>
        <v>6.6613381477509392E-16</v>
      </c>
      <c r="Z1807" s="2" t="str">
        <f t="shared" si="230"/>
        <v>OK</v>
      </c>
      <c r="AA1807" t="str">
        <f t="shared" si="231"/>
        <v>Unique</v>
      </c>
    </row>
    <row r="1808" spans="1:27" x14ac:dyDescent="0.3">
      <c r="A1808">
        <v>1807</v>
      </c>
      <c r="B1808">
        <v>1497250.6015184899</v>
      </c>
      <c r="C1808">
        <v>0.16285415399849901</v>
      </c>
      <c r="D1808">
        <v>-4.1852568973984802E-2</v>
      </c>
      <c r="E1808">
        <v>5.5846050697924997E-2</v>
      </c>
      <c r="F1808">
        <v>1</v>
      </c>
      <c r="G1808" t="s">
        <v>10</v>
      </c>
      <c r="H1808">
        <v>0</v>
      </c>
      <c r="I1808">
        <v>83615.532999900694</v>
      </c>
      <c r="J1808">
        <v>0.94415394930207497</v>
      </c>
      <c r="K1808" t="str">
        <f t="shared" si="224"/>
        <v>OK</v>
      </c>
      <c r="L1808" t="str">
        <f t="shared" si="225"/>
        <v>OK</v>
      </c>
      <c r="M1808" t="str">
        <f>IF(OR(B1808&lt;$AE$20,B1808&gt;$AF$20),"Outlier","OK")</f>
        <v>OK</v>
      </c>
      <c r="N1808" t="str">
        <f>IF(OR(J1808&lt;$AE$21,J1808&gt;$AF$21),"Outlier","OK")</f>
        <v>OK</v>
      </c>
      <c r="O1808" t="str">
        <f>IF(OR(C1808&lt;0,C1808&gt;1),"Outlier","OK")</f>
        <v>OK</v>
      </c>
      <c r="P1808" t="str">
        <f>IF(OR(D1808&lt;0,D1808&gt;1),"Outlier","OK")</f>
        <v>Outlier</v>
      </c>
      <c r="Q1808" t="str">
        <f t="shared" si="226"/>
        <v>80-100%</v>
      </c>
      <c r="R1808" t="str">
        <f>IF(B1808="","Missing","OK")</f>
        <v>OK</v>
      </c>
      <c r="S1808" t="str">
        <f>IF(E1808="","Missing","OK")</f>
        <v>OK</v>
      </c>
      <c r="T1808" t="str">
        <f t="shared" si="227"/>
        <v>OK</v>
      </c>
      <c r="U1808">
        <f>COUNTIF($A:$A,A1808)</f>
        <v>1</v>
      </c>
      <c r="V1808" t="str">
        <f t="shared" si="228"/>
        <v>OK</v>
      </c>
      <c r="W1808" t="str">
        <f>IF(I1808&gt;B1808,"ERROR","OK")</f>
        <v>OK</v>
      </c>
      <c r="X1808">
        <f>(B1808-I1808)/B1808</f>
        <v>0.94415394930207475</v>
      </c>
      <c r="Y1808" s="2">
        <f t="shared" si="229"/>
        <v>2.2204460492503131E-16</v>
      </c>
      <c r="Z1808" s="2" t="str">
        <f t="shared" si="230"/>
        <v>OK</v>
      </c>
      <c r="AA1808" t="str">
        <f t="shared" si="231"/>
        <v>Unique</v>
      </c>
    </row>
    <row r="1809" spans="1:27" x14ac:dyDescent="0.3">
      <c r="A1809">
        <v>1808</v>
      </c>
      <c r="B1809">
        <v>1559607.17104368</v>
      </c>
      <c r="C1809">
        <v>0.47219182966441697</v>
      </c>
      <c r="D1809">
        <v>-0.19502847300760801</v>
      </c>
      <c r="E1809">
        <v>0.27781316089735902</v>
      </c>
      <c r="F1809">
        <v>1</v>
      </c>
      <c r="G1809" t="s">
        <v>11</v>
      </c>
      <c r="H1809">
        <v>1</v>
      </c>
      <c r="I1809">
        <v>433279.39794583397</v>
      </c>
      <c r="J1809">
        <v>0.72218683910264003</v>
      </c>
      <c r="K1809" t="str">
        <f t="shared" si="224"/>
        <v>OK</v>
      </c>
      <c r="L1809" t="str">
        <f t="shared" si="225"/>
        <v>OK</v>
      </c>
      <c r="M1809" t="str">
        <f>IF(OR(B1809&lt;$AE$20,B1809&gt;$AF$20),"Outlier","OK")</f>
        <v>OK</v>
      </c>
      <c r="N1809" t="str">
        <f>IF(OR(J1809&lt;$AE$21,J1809&gt;$AF$21),"Outlier","OK")</f>
        <v>OK</v>
      </c>
      <c r="O1809" t="str">
        <f>IF(OR(C1809&lt;0,C1809&gt;1),"Outlier","OK")</f>
        <v>OK</v>
      </c>
      <c r="P1809" t="str">
        <f>IF(OR(D1809&lt;0,D1809&gt;1),"Outlier","OK")</f>
        <v>Outlier</v>
      </c>
      <c r="Q1809" t="str">
        <f t="shared" si="226"/>
        <v>60-80%</v>
      </c>
      <c r="R1809" t="str">
        <f>IF(B1809="","Missing","OK")</f>
        <v>OK</v>
      </c>
      <c r="S1809" t="str">
        <f>IF(E1809="","Missing","OK")</f>
        <v>OK</v>
      </c>
      <c r="T1809" t="str">
        <f t="shared" si="227"/>
        <v>OK</v>
      </c>
      <c r="U1809">
        <f>COUNTIF($A:$A,A1809)</f>
        <v>1</v>
      </c>
      <c r="V1809" t="str">
        <f t="shared" si="228"/>
        <v>OK</v>
      </c>
      <c r="W1809" t="str">
        <f>IF(I1809&gt;B1809,"ERROR","OK")</f>
        <v>OK</v>
      </c>
      <c r="X1809">
        <f>(B1809-I1809)/B1809</f>
        <v>0.72218683910264037</v>
      </c>
      <c r="Y1809" s="2">
        <f t="shared" si="229"/>
        <v>3.3306690738754696E-16</v>
      </c>
      <c r="Z1809" s="2" t="str">
        <f t="shared" si="230"/>
        <v>OK</v>
      </c>
      <c r="AA1809" t="str">
        <f t="shared" si="231"/>
        <v>Unique</v>
      </c>
    </row>
    <row r="1810" spans="1:27" x14ac:dyDescent="0.3">
      <c r="A1810">
        <v>1809</v>
      </c>
      <c r="B1810">
        <v>597870.76613998204</v>
      </c>
      <c r="C1810">
        <v>0.226649433045993</v>
      </c>
      <c r="D1810">
        <v>-0.16369675746033899</v>
      </c>
      <c r="E1810">
        <v>0.160401115748631</v>
      </c>
      <c r="F1810">
        <v>1</v>
      </c>
      <c r="G1810" t="s">
        <v>11</v>
      </c>
      <c r="H1810">
        <v>1</v>
      </c>
      <c r="I1810">
        <v>95899.137962342007</v>
      </c>
      <c r="J1810">
        <v>0.83959888425136897</v>
      </c>
      <c r="K1810" t="str">
        <f t="shared" si="224"/>
        <v>OK</v>
      </c>
      <c r="L1810" t="str">
        <f t="shared" si="225"/>
        <v>OK</v>
      </c>
      <c r="M1810" t="str">
        <f>IF(OR(B1810&lt;$AE$20,B1810&gt;$AF$20),"Outlier","OK")</f>
        <v>OK</v>
      </c>
      <c r="N1810" t="str">
        <f>IF(OR(J1810&lt;$AE$21,J1810&gt;$AF$21),"Outlier","OK")</f>
        <v>OK</v>
      </c>
      <c r="O1810" t="str">
        <f>IF(OR(C1810&lt;0,C1810&gt;1),"Outlier","OK")</f>
        <v>OK</v>
      </c>
      <c r="P1810" t="str">
        <f>IF(OR(D1810&lt;0,D1810&gt;1),"Outlier","OK")</f>
        <v>Outlier</v>
      </c>
      <c r="Q1810" t="str">
        <f t="shared" si="226"/>
        <v>80-100%</v>
      </c>
      <c r="R1810" t="str">
        <f>IF(B1810="","Missing","OK")</f>
        <v>OK</v>
      </c>
      <c r="S1810" t="str">
        <f>IF(E1810="","Missing","OK")</f>
        <v>OK</v>
      </c>
      <c r="T1810" t="str">
        <f t="shared" si="227"/>
        <v>OK</v>
      </c>
      <c r="U1810">
        <f>COUNTIF($A:$A,A1810)</f>
        <v>1</v>
      </c>
      <c r="V1810" t="str">
        <f t="shared" si="228"/>
        <v>OK</v>
      </c>
      <c r="W1810" t="str">
        <f>IF(I1810&gt;B1810,"ERROR","OK")</f>
        <v>OK</v>
      </c>
      <c r="X1810">
        <f>(B1810-I1810)/B1810</f>
        <v>0.83959888425136886</v>
      </c>
      <c r="Y1810" s="2">
        <f t="shared" si="229"/>
        <v>1.1102230246251565E-16</v>
      </c>
      <c r="Z1810" s="2" t="str">
        <f t="shared" si="230"/>
        <v>OK</v>
      </c>
      <c r="AA1810" t="str">
        <f t="shared" si="231"/>
        <v>Unique</v>
      </c>
    </row>
    <row r="1811" spans="1:27" x14ac:dyDescent="0.3">
      <c r="A1811">
        <v>1810</v>
      </c>
      <c r="B1811">
        <v>1846399.4191755201</v>
      </c>
      <c r="C1811">
        <v>0.24155484989877299</v>
      </c>
      <c r="D1811">
        <v>-0.100465065888472</v>
      </c>
      <c r="E1811">
        <v>0.45845080152196799</v>
      </c>
      <c r="F1811">
        <v>1</v>
      </c>
      <c r="G1811" t="s">
        <v>10</v>
      </c>
      <c r="H1811">
        <v>1</v>
      </c>
      <c r="I1811">
        <v>846483.29365071596</v>
      </c>
      <c r="J1811">
        <v>0.54154919847803096</v>
      </c>
      <c r="K1811" t="str">
        <f t="shared" si="224"/>
        <v>OK</v>
      </c>
      <c r="L1811" t="str">
        <f t="shared" si="225"/>
        <v>OK</v>
      </c>
      <c r="M1811" t="str">
        <f>IF(OR(B1811&lt;$AE$20,B1811&gt;$AF$20),"Outlier","OK")</f>
        <v>OK</v>
      </c>
      <c r="N1811" t="str">
        <f>IF(OR(J1811&lt;$AE$21,J1811&gt;$AF$21),"Outlier","OK")</f>
        <v>OK</v>
      </c>
      <c r="O1811" t="str">
        <f>IF(OR(C1811&lt;0,C1811&gt;1),"Outlier","OK")</f>
        <v>OK</v>
      </c>
      <c r="P1811" t="str">
        <f>IF(OR(D1811&lt;0,D1811&gt;1),"Outlier","OK")</f>
        <v>Outlier</v>
      </c>
      <c r="Q1811" t="str">
        <f t="shared" si="226"/>
        <v>40-60%</v>
      </c>
      <c r="R1811" t="str">
        <f>IF(B1811="","Missing","OK")</f>
        <v>OK</v>
      </c>
      <c r="S1811" t="str">
        <f>IF(E1811="","Missing","OK")</f>
        <v>OK</v>
      </c>
      <c r="T1811" t="str">
        <f t="shared" si="227"/>
        <v>OK</v>
      </c>
      <c r="U1811">
        <f>COUNTIF($A:$A,A1811)</f>
        <v>1</v>
      </c>
      <c r="V1811" t="str">
        <f t="shared" si="228"/>
        <v>OK</v>
      </c>
      <c r="W1811" t="str">
        <f>IF(I1811&gt;B1811,"ERROR","OK")</f>
        <v>OK</v>
      </c>
      <c r="X1811">
        <f>(B1811-I1811)/B1811</f>
        <v>0.54154919847803062</v>
      </c>
      <c r="Y1811" s="2">
        <f t="shared" si="229"/>
        <v>3.3306690738754696E-16</v>
      </c>
      <c r="Z1811" s="2" t="str">
        <f t="shared" si="230"/>
        <v>OK</v>
      </c>
      <c r="AA1811" t="str">
        <f t="shared" si="231"/>
        <v>Unique</v>
      </c>
    </row>
    <row r="1812" spans="1:27" x14ac:dyDescent="0.3">
      <c r="A1812">
        <v>1811</v>
      </c>
      <c r="B1812">
        <v>185844.81252589801</v>
      </c>
      <c r="C1812">
        <v>0.72693070853604702</v>
      </c>
      <c r="D1812">
        <v>0.101061028114864</v>
      </c>
      <c r="E1812">
        <v>0.105873486864901</v>
      </c>
      <c r="F1812">
        <v>1</v>
      </c>
      <c r="G1812" t="s">
        <v>10</v>
      </c>
      <c r="H1812">
        <v>0</v>
      </c>
      <c r="I1812">
        <v>19676.038317870702</v>
      </c>
      <c r="J1812">
        <v>0.89412651313509794</v>
      </c>
      <c r="K1812" t="str">
        <f t="shared" si="224"/>
        <v>OK</v>
      </c>
      <c r="L1812" t="str">
        <f t="shared" si="225"/>
        <v>OK</v>
      </c>
      <c r="M1812" t="str">
        <f>IF(OR(B1812&lt;$AE$20,B1812&gt;$AF$20),"Outlier","OK")</f>
        <v>OK</v>
      </c>
      <c r="N1812" t="str">
        <f>IF(OR(J1812&lt;$AE$21,J1812&gt;$AF$21),"Outlier","OK")</f>
        <v>OK</v>
      </c>
      <c r="O1812" t="str">
        <f>IF(OR(C1812&lt;0,C1812&gt;1),"Outlier","OK")</f>
        <v>OK</v>
      </c>
      <c r="P1812" t="str">
        <f>IF(OR(D1812&lt;0,D1812&gt;1),"Outlier","OK")</f>
        <v>OK</v>
      </c>
      <c r="Q1812" t="str">
        <f t="shared" si="226"/>
        <v>80-100%</v>
      </c>
      <c r="R1812" t="str">
        <f>IF(B1812="","Missing","OK")</f>
        <v>OK</v>
      </c>
      <c r="S1812" t="str">
        <f>IF(E1812="","Missing","OK")</f>
        <v>OK</v>
      </c>
      <c r="T1812" t="str">
        <f t="shared" si="227"/>
        <v>OK</v>
      </c>
      <c r="U1812">
        <f>COUNTIF($A:$A,A1812)</f>
        <v>1</v>
      </c>
      <c r="V1812" t="str">
        <f t="shared" si="228"/>
        <v>OK</v>
      </c>
      <c r="W1812" t="str">
        <f>IF(I1812&gt;B1812,"ERROR","OK")</f>
        <v>OK</v>
      </c>
      <c r="X1812">
        <f>(B1812-I1812)/B1812</f>
        <v>0.89412651313509872</v>
      </c>
      <c r="Y1812" s="2">
        <f t="shared" si="229"/>
        <v>7.7715611723760958E-16</v>
      </c>
      <c r="Z1812" s="2" t="str">
        <f t="shared" si="230"/>
        <v>OK</v>
      </c>
      <c r="AA1812" t="str">
        <f t="shared" si="231"/>
        <v>Unique</v>
      </c>
    </row>
    <row r="1813" spans="1:27" x14ac:dyDescent="0.3">
      <c r="A1813">
        <v>1812</v>
      </c>
      <c r="B1813">
        <v>496315.92077296099</v>
      </c>
      <c r="C1813">
        <v>0.12317520004786101</v>
      </c>
      <c r="D1813">
        <v>0.18949983787484001</v>
      </c>
      <c r="E1813">
        <v>0.15574529128998699</v>
      </c>
      <c r="F1813">
        <v>1</v>
      </c>
      <c r="G1813" t="s">
        <v>11</v>
      </c>
      <c r="H1813">
        <v>0</v>
      </c>
      <c r="I1813">
        <v>77298.867652643094</v>
      </c>
      <c r="J1813">
        <v>0.84425470871001196</v>
      </c>
      <c r="K1813" t="str">
        <f t="shared" si="224"/>
        <v>OK</v>
      </c>
      <c r="L1813" t="str">
        <f t="shared" si="225"/>
        <v>OK</v>
      </c>
      <c r="M1813" t="str">
        <f>IF(OR(B1813&lt;$AE$20,B1813&gt;$AF$20),"Outlier","OK")</f>
        <v>OK</v>
      </c>
      <c r="N1813" t="str">
        <f>IF(OR(J1813&lt;$AE$21,J1813&gt;$AF$21),"Outlier","OK")</f>
        <v>OK</v>
      </c>
      <c r="O1813" t="str">
        <f>IF(OR(C1813&lt;0,C1813&gt;1),"Outlier","OK")</f>
        <v>OK</v>
      </c>
      <c r="P1813" t="str">
        <f>IF(OR(D1813&lt;0,D1813&gt;1),"Outlier","OK")</f>
        <v>OK</v>
      </c>
      <c r="Q1813" t="str">
        <f t="shared" si="226"/>
        <v>80-100%</v>
      </c>
      <c r="R1813" t="str">
        <f>IF(B1813="","Missing","OK")</f>
        <v>OK</v>
      </c>
      <c r="S1813" t="str">
        <f>IF(E1813="","Missing","OK")</f>
        <v>OK</v>
      </c>
      <c r="T1813" t="str">
        <f t="shared" si="227"/>
        <v>OK</v>
      </c>
      <c r="U1813">
        <f>COUNTIF($A:$A,A1813)</f>
        <v>1</v>
      </c>
      <c r="V1813" t="str">
        <f t="shared" si="228"/>
        <v>OK</v>
      </c>
      <c r="W1813" t="str">
        <f>IF(I1813&gt;B1813,"ERROR","OK")</f>
        <v>OK</v>
      </c>
      <c r="X1813">
        <f>(B1813-I1813)/B1813</f>
        <v>0.84425470871001262</v>
      </c>
      <c r="Y1813" s="2">
        <f t="shared" si="229"/>
        <v>6.6613381477509392E-16</v>
      </c>
      <c r="Z1813" s="2" t="str">
        <f t="shared" si="230"/>
        <v>OK</v>
      </c>
      <c r="AA1813" t="str">
        <f t="shared" si="231"/>
        <v>Unique</v>
      </c>
    </row>
    <row r="1814" spans="1:27" x14ac:dyDescent="0.3">
      <c r="A1814">
        <v>1813</v>
      </c>
      <c r="B1814">
        <v>624429.83736378304</v>
      </c>
      <c r="C1814">
        <v>0.50081534217069301</v>
      </c>
      <c r="D1814">
        <v>-0.11944412434716201</v>
      </c>
      <c r="E1814">
        <v>7.9338236115325603E-2</v>
      </c>
      <c r="F1814">
        <v>1</v>
      </c>
      <c r="G1814" t="s">
        <v>12</v>
      </c>
      <c r="H1814">
        <v>0</v>
      </c>
      <c r="I1814">
        <v>49541.161874222198</v>
      </c>
      <c r="J1814">
        <v>0.92066176388467402</v>
      </c>
      <c r="K1814" t="str">
        <f t="shared" si="224"/>
        <v>OK</v>
      </c>
      <c r="L1814" t="str">
        <f t="shared" si="225"/>
        <v>OK</v>
      </c>
      <c r="M1814" t="str">
        <f>IF(OR(B1814&lt;$AE$20,B1814&gt;$AF$20),"Outlier","OK")</f>
        <v>OK</v>
      </c>
      <c r="N1814" t="str">
        <f>IF(OR(J1814&lt;$AE$21,J1814&gt;$AF$21),"Outlier","OK")</f>
        <v>OK</v>
      </c>
      <c r="O1814" t="str">
        <f>IF(OR(C1814&lt;0,C1814&gt;1),"Outlier","OK")</f>
        <v>OK</v>
      </c>
      <c r="P1814" t="str">
        <f>IF(OR(D1814&lt;0,D1814&gt;1),"Outlier","OK")</f>
        <v>Outlier</v>
      </c>
      <c r="Q1814" t="str">
        <f t="shared" si="226"/>
        <v>80-100%</v>
      </c>
      <c r="R1814" t="str">
        <f>IF(B1814="","Missing","OK")</f>
        <v>OK</v>
      </c>
      <c r="S1814" t="str">
        <f>IF(E1814="","Missing","OK")</f>
        <v>OK</v>
      </c>
      <c r="T1814" t="str">
        <f t="shared" si="227"/>
        <v>OK</v>
      </c>
      <c r="U1814">
        <f>COUNTIF($A:$A,A1814)</f>
        <v>1</v>
      </c>
      <c r="V1814" t="str">
        <f t="shared" si="228"/>
        <v>OK</v>
      </c>
      <c r="W1814" t="str">
        <f>IF(I1814&gt;B1814,"ERROR","OK")</f>
        <v>OK</v>
      </c>
      <c r="X1814">
        <f>(B1814-I1814)/B1814</f>
        <v>0.92066176388467436</v>
      </c>
      <c r="Y1814" s="2">
        <f t="shared" si="229"/>
        <v>3.3306690738754696E-16</v>
      </c>
      <c r="Z1814" s="2" t="str">
        <f t="shared" si="230"/>
        <v>OK</v>
      </c>
      <c r="AA1814" t="str">
        <f t="shared" si="231"/>
        <v>Unique</v>
      </c>
    </row>
    <row r="1815" spans="1:27" x14ac:dyDescent="0.3">
      <c r="A1815">
        <v>1814</v>
      </c>
      <c r="B1815">
        <v>225604.20525700899</v>
      </c>
      <c r="C1815">
        <v>0.54995869111032802</v>
      </c>
      <c r="D1815">
        <v>0.19451944915469699</v>
      </c>
      <c r="E1815">
        <v>0.455939443638814</v>
      </c>
      <c r="F1815">
        <v>1</v>
      </c>
      <c r="G1815" t="s">
        <v>12</v>
      </c>
      <c r="H1815">
        <v>1</v>
      </c>
      <c r="I1815">
        <v>102861.855827457</v>
      </c>
      <c r="J1815">
        <v>0.544060556361185</v>
      </c>
      <c r="K1815" t="str">
        <f t="shared" si="224"/>
        <v>OK</v>
      </c>
      <c r="L1815" t="str">
        <f t="shared" si="225"/>
        <v>OK</v>
      </c>
      <c r="M1815" t="str">
        <f>IF(OR(B1815&lt;$AE$20,B1815&gt;$AF$20),"Outlier","OK")</f>
        <v>OK</v>
      </c>
      <c r="N1815" t="str">
        <f>IF(OR(J1815&lt;$AE$21,J1815&gt;$AF$21),"Outlier","OK")</f>
        <v>OK</v>
      </c>
      <c r="O1815" t="str">
        <f>IF(OR(C1815&lt;0,C1815&gt;1),"Outlier","OK")</f>
        <v>OK</v>
      </c>
      <c r="P1815" t="str">
        <f>IF(OR(D1815&lt;0,D1815&gt;1),"Outlier","OK")</f>
        <v>OK</v>
      </c>
      <c r="Q1815" t="str">
        <f t="shared" si="226"/>
        <v>40-60%</v>
      </c>
      <c r="R1815" t="str">
        <f>IF(B1815="","Missing","OK")</f>
        <v>OK</v>
      </c>
      <c r="S1815" t="str">
        <f>IF(E1815="","Missing","OK")</f>
        <v>OK</v>
      </c>
      <c r="T1815" t="str">
        <f t="shared" si="227"/>
        <v>OK</v>
      </c>
      <c r="U1815">
        <f>COUNTIF($A:$A,A1815)</f>
        <v>1</v>
      </c>
      <c r="V1815" t="str">
        <f t="shared" si="228"/>
        <v>OK</v>
      </c>
      <c r="W1815" t="str">
        <f>IF(I1815&gt;B1815,"ERROR","OK")</f>
        <v>OK</v>
      </c>
      <c r="X1815">
        <f>(B1815-I1815)/B1815</f>
        <v>0.54406055636118811</v>
      </c>
      <c r="Y1815" s="2">
        <f t="shared" si="229"/>
        <v>3.1086244689504383E-15</v>
      </c>
      <c r="Z1815" s="2" t="str">
        <f t="shared" si="230"/>
        <v>OK</v>
      </c>
      <c r="AA1815" t="str">
        <f t="shared" si="231"/>
        <v>Unique</v>
      </c>
    </row>
    <row r="1816" spans="1:27" x14ac:dyDescent="0.3">
      <c r="A1816">
        <v>1815</v>
      </c>
      <c r="B1816">
        <v>528241.759506403</v>
      </c>
      <c r="C1816">
        <v>0.246596467634975</v>
      </c>
      <c r="D1816">
        <v>-0.111931699122276</v>
      </c>
      <c r="E1816">
        <v>0.10654573660007</v>
      </c>
      <c r="F1816">
        <v>1</v>
      </c>
      <c r="G1816" t="s">
        <v>12</v>
      </c>
      <c r="H1816">
        <v>0</v>
      </c>
      <c r="I1816">
        <v>56281.907369526802</v>
      </c>
      <c r="J1816">
        <v>0.89345426339992895</v>
      </c>
      <c r="K1816" t="str">
        <f t="shared" si="224"/>
        <v>OK</v>
      </c>
      <c r="L1816" t="str">
        <f t="shared" si="225"/>
        <v>OK</v>
      </c>
      <c r="M1816" t="str">
        <f>IF(OR(B1816&lt;$AE$20,B1816&gt;$AF$20),"Outlier","OK")</f>
        <v>OK</v>
      </c>
      <c r="N1816" t="str">
        <f>IF(OR(J1816&lt;$AE$21,J1816&gt;$AF$21),"Outlier","OK")</f>
        <v>OK</v>
      </c>
      <c r="O1816" t="str">
        <f>IF(OR(C1816&lt;0,C1816&gt;1),"Outlier","OK")</f>
        <v>OK</v>
      </c>
      <c r="P1816" t="str">
        <f>IF(OR(D1816&lt;0,D1816&gt;1),"Outlier","OK")</f>
        <v>Outlier</v>
      </c>
      <c r="Q1816" t="str">
        <f t="shared" si="226"/>
        <v>80-100%</v>
      </c>
      <c r="R1816" t="str">
        <f>IF(B1816="","Missing","OK")</f>
        <v>OK</v>
      </c>
      <c r="S1816" t="str">
        <f>IF(E1816="","Missing","OK")</f>
        <v>OK</v>
      </c>
      <c r="T1816" t="str">
        <f t="shared" si="227"/>
        <v>OK</v>
      </c>
      <c r="U1816">
        <f>COUNTIF($A:$A,A1816)</f>
        <v>1</v>
      </c>
      <c r="V1816" t="str">
        <f t="shared" si="228"/>
        <v>OK</v>
      </c>
      <c r="W1816" t="str">
        <f>IF(I1816&gt;B1816,"ERROR","OK")</f>
        <v>OK</v>
      </c>
      <c r="X1816">
        <f>(B1816-I1816)/B1816</f>
        <v>0.89345426339992984</v>
      </c>
      <c r="Y1816" s="2">
        <f t="shared" si="229"/>
        <v>8.8817841970012523E-16</v>
      </c>
      <c r="Z1816" s="2" t="str">
        <f t="shared" si="230"/>
        <v>OK</v>
      </c>
      <c r="AA1816" t="str">
        <f t="shared" si="231"/>
        <v>Unique</v>
      </c>
    </row>
    <row r="1817" spans="1:27" x14ac:dyDescent="0.3">
      <c r="A1817">
        <v>1816</v>
      </c>
      <c r="B1817">
        <v>1584968.6100822501</v>
      </c>
      <c r="C1817">
        <v>0.454625064400215</v>
      </c>
      <c r="D1817">
        <v>6.48311365807544E-2</v>
      </c>
      <c r="E1817">
        <v>0.38848269452258599</v>
      </c>
      <c r="F1817">
        <v>1</v>
      </c>
      <c r="G1817" t="s">
        <v>11</v>
      </c>
      <c r="H1817">
        <v>0</v>
      </c>
      <c r="I1817">
        <v>615732.87637847103</v>
      </c>
      <c r="J1817">
        <v>0.61151730547741301</v>
      </c>
      <c r="K1817" t="str">
        <f t="shared" si="224"/>
        <v>OK</v>
      </c>
      <c r="L1817" t="str">
        <f t="shared" si="225"/>
        <v>OK</v>
      </c>
      <c r="M1817" t="str">
        <f>IF(OR(B1817&lt;$AE$20,B1817&gt;$AF$20),"Outlier","OK")</f>
        <v>OK</v>
      </c>
      <c r="N1817" t="str">
        <f>IF(OR(J1817&lt;$AE$21,J1817&gt;$AF$21),"Outlier","OK")</f>
        <v>OK</v>
      </c>
      <c r="O1817" t="str">
        <f>IF(OR(C1817&lt;0,C1817&gt;1),"Outlier","OK")</f>
        <v>OK</v>
      </c>
      <c r="P1817" t="str">
        <f>IF(OR(D1817&lt;0,D1817&gt;1),"Outlier","OK")</f>
        <v>OK</v>
      </c>
      <c r="Q1817" t="str">
        <f t="shared" si="226"/>
        <v>60-80%</v>
      </c>
      <c r="R1817" t="str">
        <f>IF(B1817="","Missing","OK")</f>
        <v>OK</v>
      </c>
      <c r="S1817" t="str">
        <f>IF(E1817="","Missing","OK")</f>
        <v>OK</v>
      </c>
      <c r="T1817" t="str">
        <f t="shared" si="227"/>
        <v>OK</v>
      </c>
      <c r="U1817">
        <f>COUNTIF($A:$A,A1817)</f>
        <v>1</v>
      </c>
      <c r="V1817" t="str">
        <f t="shared" si="228"/>
        <v>OK</v>
      </c>
      <c r="W1817" t="str">
        <f>IF(I1817&gt;B1817,"ERROR","OK")</f>
        <v>OK</v>
      </c>
      <c r="X1817">
        <f>(B1817-I1817)/B1817</f>
        <v>0.61151730547741368</v>
      </c>
      <c r="Y1817" s="2">
        <f t="shared" si="229"/>
        <v>6.6613381477509392E-16</v>
      </c>
      <c r="Z1817" s="2" t="str">
        <f t="shared" si="230"/>
        <v>OK</v>
      </c>
      <c r="AA1817" t="str">
        <f t="shared" si="231"/>
        <v>Unique</v>
      </c>
    </row>
    <row r="1818" spans="1:27" x14ac:dyDescent="0.3">
      <c r="A1818">
        <v>1817</v>
      </c>
      <c r="B1818">
        <v>571105.40993453399</v>
      </c>
      <c r="C1818">
        <v>0.698584652662671</v>
      </c>
      <c r="D1818">
        <v>-5.6999489662453003E-2</v>
      </c>
      <c r="E1818">
        <v>0.36671284782906199</v>
      </c>
      <c r="F1818">
        <v>1</v>
      </c>
      <c r="G1818" t="s">
        <v>13</v>
      </c>
      <c r="H1818">
        <v>1</v>
      </c>
      <c r="I1818">
        <v>209431.69128767701</v>
      </c>
      <c r="J1818">
        <v>0.63328715217093701</v>
      </c>
      <c r="K1818" t="str">
        <f t="shared" si="224"/>
        <v>OK</v>
      </c>
      <c r="L1818" t="str">
        <f t="shared" si="225"/>
        <v>OK</v>
      </c>
      <c r="M1818" t="str">
        <f>IF(OR(B1818&lt;$AE$20,B1818&gt;$AF$20),"Outlier","OK")</f>
        <v>OK</v>
      </c>
      <c r="N1818" t="str">
        <f>IF(OR(J1818&lt;$AE$21,J1818&gt;$AF$21),"Outlier","OK")</f>
        <v>OK</v>
      </c>
      <c r="O1818" t="str">
        <f>IF(OR(C1818&lt;0,C1818&gt;1),"Outlier","OK")</f>
        <v>OK</v>
      </c>
      <c r="P1818" t="str">
        <f>IF(OR(D1818&lt;0,D1818&gt;1),"Outlier","OK")</f>
        <v>Outlier</v>
      </c>
      <c r="Q1818" t="str">
        <f t="shared" si="226"/>
        <v>60-80%</v>
      </c>
      <c r="R1818" t="str">
        <f>IF(B1818="","Missing","OK")</f>
        <v>OK</v>
      </c>
      <c r="S1818" t="str">
        <f>IF(E1818="","Missing","OK")</f>
        <v>OK</v>
      </c>
      <c r="T1818" t="str">
        <f t="shared" si="227"/>
        <v>OK</v>
      </c>
      <c r="U1818">
        <f>COUNTIF($A:$A,A1818)</f>
        <v>1</v>
      </c>
      <c r="V1818" t="str">
        <f t="shared" si="228"/>
        <v>OK</v>
      </c>
      <c r="W1818" t="str">
        <f>IF(I1818&gt;B1818,"ERROR","OK")</f>
        <v>OK</v>
      </c>
      <c r="X1818">
        <f>(B1818-I1818)/B1818</f>
        <v>0.63328715217093767</v>
      </c>
      <c r="Y1818" s="2">
        <f t="shared" si="229"/>
        <v>6.6613381477509392E-16</v>
      </c>
      <c r="Z1818" s="2" t="str">
        <f t="shared" si="230"/>
        <v>OK</v>
      </c>
      <c r="AA1818" t="str">
        <f t="shared" si="231"/>
        <v>Unique</v>
      </c>
    </row>
    <row r="1819" spans="1:27" x14ac:dyDescent="0.3">
      <c r="A1819">
        <v>1818</v>
      </c>
      <c r="B1819">
        <v>1037900.62417139</v>
      </c>
      <c r="C1819">
        <v>0.33872936366392498</v>
      </c>
      <c r="D1819">
        <v>-3.0148235631558599E-2</v>
      </c>
      <c r="E1819">
        <v>0.17817165129167001</v>
      </c>
      <c r="F1819">
        <v>1</v>
      </c>
      <c r="G1819" t="s">
        <v>12</v>
      </c>
      <c r="H1819">
        <v>1</v>
      </c>
      <c r="I1819">
        <v>184924.468085272</v>
      </c>
      <c r="J1819">
        <v>0.82182834870832899</v>
      </c>
      <c r="K1819" t="str">
        <f t="shared" si="224"/>
        <v>OK</v>
      </c>
      <c r="L1819" t="str">
        <f t="shared" si="225"/>
        <v>OK</v>
      </c>
      <c r="M1819" t="str">
        <f>IF(OR(B1819&lt;$AE$20,B1819&gt;$AF$20),"Outlier","OK")</f>
        <v>OK</v>
      </c>
      <c r="N1819" t="str">
        <f>IF(OR(J1819&lt;$AE$21,J1819&gt;$AF$21),"Outlier","OK")</f>
        <v>OK</v>
      </c>
      <c r="O1819" t="str">
        <f>IF(OR(C1819&lt;0,C1819&gt;1),"Outlier","OK")</f>
        <v>OK</v>
      </c>
      <c r="P1819" t="str">
        <f>IF(OR(D1819&lt;0,D1819&gt;1),"Outlier","OK")</f>
        <v>Outlier</v>
      </c>
      <c r="Q1819" t="str">
        <f t="shared" si="226"/>
        <v>80-100%</v>
      </c>
      <c r="R1819" t="str">
        <f>IF(B1819="","Missing","OK")</f>
        <v>OK</v>
      </c>
      <c r="S1819" t="str">
        <f>IF(E1819="","Missing","OK")</f>
        <v>OK</v>
      </c>
      <c r="T1819" t="str">
        <f t="shared" si="227"/>
        <v>OK</v>
      </c>
      <c r="U1819">
        <f>COUNTIF($A:$A,A1819)</f>
        <v>1</v>
      </c>
      <c r="V1819" t="str">
        <f t="shared" si="228"/>
        <v>OK</v>
      </c>
      <c r="W1819" t="str">
        <f>IF(I1819&gt;B1819,"ERROR","OK")</f>
        <v>OK</v>
      </c>
      <c r="X1819">
        <f>(B1819-I1819)/B1819</f>
        <v>0.82182834870832955</v>
      </c>
      <c r="Y1819" s="2">
        <f t="shared" si="229"/>
        <v>5.5511151231257827E-16</v>
      </c>
      <c r="Z1819" s="2" t="str">
        <f t="shared" si="230"/>
        <v>OK</v>
      </c>
      <c r="AA1819" t="str">
        <f t="shared" si="231"/>
        <v>Unique</v>
      </c>
    </row>
    <row r="1820" spans="1:27" x14ac:dyDescent="0.3">
      <c r="A1820">
        <v>1819</v>
      </c>
      <c r="B1820">
        <v>313940.12299506698</v>
      </c>
      <c r="C1820">
        <v>0.82521332599034602</v>
      </c>
      <c r="D1820">
        <v>-0.17554098622900899</v>
      </c>
      <c r="E1820">
        <v>0.34046460601369799</v>
      </c>
      <c r="F1820">
        <v>1</v>
      </c>
      <c r="G1820" t="s">
        <v>10</v>
      </c>
      <c r="H1820">
        <v>0</v>
      </c>
      <c r="I1820">
        <v>106885.50028740701</v>
      </c>
      <c r="J1820">
        <v>0.65953539398630101</v>
      </c>
      <c r="K1820" t="str">
        <f t="shared" si="224"/>
        <v>OK</v>
      </c>
      <c r="L1820" t="str">
        <f t="shared" si="225"/>
        <v>OK</v>
      </c>
      <c r="M1820" t="str">
        <f>IF(OR(B1820&lt;$AE$20,B1820&gt;$AF$20),"Outlier","OK")</f>
        <v>OK</v>
      </c>
      <c r="N1820" t="str">
        <f>IF(OR(J1820&lt;$AE$21,J1820&gt;$AF$21),"Outlier","OK")</f>
        <v>OK</v>
      </c>
      <c r="O1820" t="str">
        <f>IF(OR(C1820&lt;0,C1820&gt;1),"Outlier","OK")</f>
        <v>OK</v>
      </c>
      <c r="P1820" t="str">
        <f>IF(OR(D1820&lt;0,D1820&gt;1),"Outlier","OK")</f>
        <v>Outlier</v>
      </c>
      <c r="Q1820" t="str">
        <f t="shared" si="226"/>
        <v>60-80%</v>
      </c>
      <c r="R1820" t="str">
        <f>IF(B1820="","Missing","OK")</f>
        <v>OK</v>
      </c>
      <c r="S1820" t="str">
        <f>IF(E1820="","Missing","OK")</f>
        <v>OK</v>
      </c>
      <c r="T1820" t="str">
        <f t="shared" si="227"/>
        <v>OK</v>
      </c>
      <c r="U1820">
        <f>COUNTIF($A:$A,A1820)</f>
        <v>1</v>
      </c>
      <c r="V1820" t="str">
        <f t="shared" si="228"/>
        <v>OK</v>
      </c>
      <c r="W1820" t="str">
        <f>IF(I1820&gt;B1820,"ERROR","OK")</f>
        <v>OK</v>
      </c>
      <c r="X1820">
        <f>(B1820-I1820)/B1820</f>
        <v>0.65953539398630312</v>
      </c>
      <c r="Y1820" s="2">
        <f t="shared" si="229"/>
        <v>2.1094237467877974E-15</v>
      </c>
      <c r="Z1820" s="2" t="str">
        <f t="shared" si="230"/>
        <v>OK</v>
      </c>
      <c r="AA1820" t="str">
        <f t="shared" si="231"/>
        <v>Unique</v>
      </c>
    </row>
    <row r="1821" spans="1:27" x14ac:dyDescent="0.3">
      <c r="A1821">
        <v>1820</v>
      </c>
      <c r="B1821">
        <v>1203789.8521670599</v>
      </c>
      <c r="C1821">
        <v>0.28339599802320597</v>
      </c>
      <c r="D1821">
        <v>-0.198259855030441</v>
      </c>
      <c r="E1821">
        <v>0.16732208792207601</v>
      </c>
      <c r="F1821">
        <v>1</v>
      </c>
      <c r="G1821" t="s">
        <v>13</v>
      </c>
      <c r="H1821">
        <v>0</v>
      </c>
      <c r="I1821">
        <v>201420.63148400199</v>
      </c>
      <c r="J1821">
        <v>0.83267791207792297</v>
      </c>
      <c r="K1821" t="str">
        <f t="shared" si="224"/>
        <v>OK</v>
      </c>
      <c r="L1821" t="str">
        <f t="shared" si="225"/>
        <v>OK</v>
      </c>
      <c r="M1821" t="str">
        <f>IF(OR(B1821&lt;$AE$20,B1821&gt;$AF$20),"Outlier","OK")</f>
        <v>OK</v>
      </c>
      <c r="N1821" t="str">
        <f>IF(OR(J1821&lt;$AE$21,J1821&gt;$AF$21),"Outlier","OK")</f>
        <v>OK</v>
      </c>
      <c r="O1821" t="str">
        <f>IF(OR(C1821&lt;0,C1821&gt;1),"Outlier","OK")</f>
        <v>OK</v>
      </c>
      <c r="P1821" t="str">
        <f>IF(OR(D1821&lt;0,D1821&gt;1),"Outlier","OK")</f>
        <v>Outlier</v>
      </c>
      <c r="Q1821" t="str">
        <f t="shared" si="226"/>
        <v>80-100%</v>
      </c>
      <c r="R1821" t="str">
        <f>IF(B1821="","Missing","OK")</f>
        <v>OK</v>
      </c>
      <c r="S1821" t="str">
        <f>IF(E1821="","Missing","OK")</f>
        <v>OK</v>
      </c>
      <c r="T1821" t="str">
        <f t="shared" si="227"/>
        <v>OK</v>
      </c>
      <c r="U1821">
        <f>COUNTIF($A:$A,A1821)</f>
        <v>1</v>
      </c>
      <c r="V1821" t="str">
        <f t="shared" si="228"/>
        <v>OK</v>
      </c>
      <c r="W1821" t="str">
        <f>IF(I1821&gt;B1821,"ERROR","OK")</f>
        <v>OK</v>
      </c>
      <c r="X1821">
        <f>(B1821-I1821)/B1821</f>
        <v>0.83267791207792208</v>
      </c>
      <c r="Y1821" s="2">
        <f t="shared" si="229"/>
        <v>8.8817841970012523E-16</v>
      </c>
      <c r="Z1821" s="2" t="str">
        <f t="shared" si="230"/>
        <v>OK</v>
      </c>
      <c r="AA1821" t="str">
        <f t="shared" si="231"/>
        <v>Unique</v>
      </c>
    </row>
    <row r="1822" spans="1:27" x14ac:dyDescent="0.3">
      <c r="A1822">
        <v>1821</v>
      </c>
      <c r="B1822">
        <v>1241197.18017751</v>
      </c>
      <c r="C1822">
        <v>0.86902753081044104</v>
      </c>
      <c r="D1822">
        <v>-3.4305102634307999E-2</v>
      </c>
      <c r="E1822">
        <v>2.74222216686868E-2</v>
      </c>
      <c r="F1822">
        <v>1</v>
      </c>
      <c r="G1822" t="s">
        <v>13</v>
      </c>
      <c r="H1822">
        <v>0</v>
      </c>
      <c r="I1822">
        <v>34036.384209376898</v>
      </c>
      <c r="J1822">
        <v>0.97257777833131298</v>
      </c>
      <c r="K1822" t="str">
        <f t="shared" si="224"/>
        <v>OK</v>
      </c>
      <c r="L1822" t="str">
        <f t="shared" si="225"/>
        <v>OK</v>
      </c>
      <c r="M1822" t="str">
        <f>IF(OR(B1822&lt;$AE$20,B1822&gt;$AF$20),"Outlier","OK")</f>
        <v>OK</v>
      </c>
      <c r="N1822" t="str">
        <f>IF(OR(J1822&lt;$AE$21,J1822&gt;$AF$21),"Outlier","OK")</f>
        <v>Outlier</v>
      </c>
      <c r="O1822" t="str">
        <f>IF(OR(C1822&lt;0,C1822&gt;1),"Outlier","OK")</f>
        <v>OK</v>
      </c>
      <c r="P1822" t="str">
        <f>IF(OR(D1822&lt;0,D1822&gt;1),"Outlier","OK")</f>
        <v>Outlier</v>
      </c>
      <c r="Q1822" t="str">
        <f t="shared" si="226"/>
        <v>80-100%</v>
      </c>
      <c r="R1822" t="str">
        <f>IF(B1822="","Missing","OK")</f>
        <v>OK</v>
      </c>
      <c r="S1822" t="str">
        <f>IF(E1822="","Missing","OK")</f>
        <v>OK</v>
      </c>
      <c r="T1822" t="str">
        <f t="shared" si="227"/>
        <v>OK</v>
      </c>
      <c r="U1822">
        <f>COUNTIF($A:$A,A1822)</f>
        <v>1</v>
      </c>
      <c r="V1822" t="str">
        <f t="shared" si="228"/>
        <v>OK</v>
      </c>
      <c r="W1822" t="str">
        <f>IF(I1822&gt;B1822,"ERROR","OK")</f>
        <v>OK</v>
      </c>
      <c r="X1822">
        <f>(B1822-I1822)/B1822</f>
        <v>0.97257777833131298</v>
      </c>
      <c r="Y1822" s="2">
        <f t="shared" si="229"/>
        <v>0</v>
      </c>
      <c r="Z1822" s="2" t="str">
        <f t="shared" si="230"/>
        <v>OK</v>
      </c>
      <c r="AA1822" t="str">
        <f t="shared" si="231"/>
        <v>Unique</v>
      </c>
    </row>
    <row r="1823" spans="1:27" x14ac:dyDescent="0.3">
      <c r="A1823">
        <v>1822</v>
      </c>
      <c r="B1823">
        <v>475608.69770117803</v>
      </c>
      <c r="C1823">
        <v>0.318840529058741</v>
      </c>
      <c r="D1823">
        <v>-0.17687322590243601</v>
      </c>
      <c r="E1823">
        <v>0.217149605507065</v>
      </c>
      <c r="F1823">
        <v>1</v>
      </c>
      <c r="G1823" t="s">
        <v>12</v>
      </c>
      <c r="H1823">
        <v>0</v>
      </c>
      <c r="I1823">
        <v>103278.24108154001</v>
      </c>
      <c r="J1823">
        <v>0.78285039449293403</v>
      </c>
      <c r="K1823" t="str">
        <f t="shared" si="224"/>
        <v>OK</v>
      </c>
      <c r="L1823" t="str">
        <f t="shared" si="225"/>
        <v>OK</v>
      </c>
      <c r="M1823" t="str">
        <f>IF(OR(B1823&lt;$AE$20,B1823&gt;$AF$20),"Outlier","OK")</f>
        <v>OK</v>
      </c>
      <c r="N1823" t="str">
        <f>IF(OR(J1823&lt;$AE$21,J1823&gt;$AF$21),"Outlier","OK")</f>
        <v>OK</v>
      </c>
      <c r="O1823" t="str">
        <f>IF(OR(C1823&lt;0,C1823&gt;1),"Outlier","OK")</f>
        <v>OK</v>
      </c>
      <c r="P1823" t="str">
        <f>IF(OR(D1823&lt;0,D1823&gt;1),"Outlier","OK")</f>
        <v>Outlier</v>
      </c>
      <c r="Q1823" t="str">
        <f t="shared" si="226"/>
        <v>60-80%</v>
      </c>
      <c r="R1823" t="str">
        <f>IF(B1823="","Missing","OK")</f>
        <v>OK</v>
      </c>
      <c r="S1823" t="str">
        <f>IF(E1823="","Missing","OK")</f>
        <v>OK</v>
      </c>
      <c r="T1823" t="str">
        <f t="shared" si="227"/>
        <v>OK</v>
      </c>
      <c r="U1823">
        <f>COUNTIF($A:$A,A1823)</f>
        <v>1</v>
      </c>
      <c r="V1823" t="str">
        <f t="shared" si="228"/>
        <v>OK</v>
      </c>
      <c r="W1823" t="str">
        <f>IF(I1823&gt;B1823,"ERROR","OK")</f>
        <v>OK</v>
      </c>
      <c r="X1823">
        <f>(B1823-I1823)/B1823</f>
        <v>0.78285039449293448</v>
      </c>
      <c r="Y1823" s="2">
        <f t="shared" si="229"/>
        <v>4.4408920985006262E-16</v>
      </c>
      <c r="Z1823" s="2" t="str">
        <f t="shared" si="230"/>
        <v>OK</v>
      </c>
      <c r="AA1823" t="str">
        <f t="shared" si="231"/>
        <v>Unique</v>
      </c>
    </row>
    <row r="1824" spans="1:27" x14ac:dyDescent="0.3">
      <c r="A1824">
        <v>1823</v>
      </c>
      <c r="B1824">
        <v>195569.98103329301</v>
      </c>
      <c r="C1824">
        <v>0.74732607131119899</v>
      </c>
      <c r="D1824">
        <v>-0.113778312050154</v>
      </c>
      <c r="E1824">
        <v>0.217656978901763</v>
      </c>
      <c r="F1824">
        <v>1</v>
      </c>
      <c r="G1824" t="s">
        <v>13</v>
      </c>
      <c r="H1824">
        <v>1</v>
      </c>
      <c r="I1824">
        <v>42567.171235581904</v>
      </c>
      <c r="J1824">
        <v>0.78234302109823595</v>
      </c>
      <c r="K1824" t="str">
        <f t="shared" si="224"/>
        <v>OK</v>
      </c>
      <c r="L1824" t="str">
        <f t="shared" si="225"/>
        <v>OK</v>
      </c>
      <c r="M1824" t="str">
        <f>IF(OR(B1824&lt;$AE$20,B1824&gt;$AF$20),"Outlier","OK")</f>
        <v>OK</v>
      </c>
      <c r="N1824" t="str">
        <f>IF(OR(J1824&lt;$AE$21,J1824&gt;$AF$21),"Outlier","OK")</f>
        <v>OK</v>
      </c>
      <c r="O1824" t="str">
        <f>IF(OR(C1824&lt;0,C1824&gt;1),"Outlier","OK")</f>
        <v>OK</v>
      </c>
      <c r="P1824" t="str">
        <f>IF(OR(D1824&lt;0,D1824&gt;1),"Outlier","OK")</f>
        <v>Outlier</v>
      </c>
      <c r="Q1824" t="str">
        <f t="shared" si="226"/>
        <v>60-80%</v>
      </c>
      <c r="R1824" t="str">
        <f>IF(B1824="","Missing","OK")</f>
        <v>OK</v>
      </c>
      <c r="S1824" t="str">
        <f>IF(E1824="","Missing","OK")</f>
        <v>OK</v>
      </c>
      <c r="T1824" t="str">
        <f t="shared" si="227"/>
        <v>OK</v>
      </c>
      <c r="U1824">
        <f>COUNTIF($A:$A,A1824)</f>
        <v>1</v>
      </c>
      <c r="V1824" t="str">
        <f t="shared" si="228"/>
        <v>OK</v>
      </c>
      <c r="W1824" t="str">
        <f>IF(I1824&gt;B1824,"ERROR","OK")</f>
        <v>OK</v>
      </c>
      <c r="X1824">
        <f>(B1824-I1824)/B1824</f>
        <v>0.78234302109823561</v>
      </c>
      <c r="Y1824" s="2">
        <f t="shared" si="229"/>
        <v>3.3306690738754696E-16</v>
      </c>
      <c r="Z1824" s="2" t="str">
        <f t="shared" si="230"/>
        <v>OK</v>
      </c>
      <c r="AA1824" t="str">
        <f t="shared" si="231"/>
        <v>Unique</v>
      </c>
    </row>
    <row r="1825" spans="1:27" x14ac:dyDescent="0.3">
      <c r="A1825">
        <v>1824</v>
      </c>
      <c r="B1825">
        <v>1418480.1961795499</v>
      </c>
      <c r="C1825">
        <v>0.72371638618298195</v>
      </c>
      <c r="D1825">
        <v>1.08550404853907E-2</v>
      </c>
      <c r="E1825">
        <v>0.13799690481433799</v>
      </c>
      <c r="F1825">
        <v>1</v>
      </c>
      <c r="G1825" t="s">
        <v>10</v>
      </c>
      <c r="H1825">
        <v>0</v>
      </c>
      <c r="I1825">
        <v>195745.87661321301</v>
      </c>
      <c r="J1825">
        <v>0.86200309518566098</v>
      </c>
      <c r="K1825" t="str">
        <f t="shared" si="224"/>
        <v>OK</v>
      </c>
      <c r="L1825" t="str">
        <f t="shared" si="225"/>
        <v>OK</v>
      </c>
      <c r="M1825" t="str">
        <f>IF(OR(B1825&lt;$AE$20,B1825&gt;$AF$20),"Outlier","OK")</f>
        <v>OK</v>
      </c>
      <c r="N1825" t="str">
        <f>IF(OR(J1825&lt;$AE$21,J1825&gt;$AF$21),"Outlier","OK")</f>
        <v>OK</v>
      </c>
      <c r="O1825" t="str">
        <f>IF(OR(C1825&lt;0,C1825&gt;1),"Outlier","OK")</f>
        <v>OK</v>
      </c>
      <c r="P1825" t="str">
        <f>IF(OR(D1825&lt;0,D1825&gt;1),"Outlier","OK")</f>
        <v>OK</v>
      </c>
      <c r="Q1825" t="str">
        <f t="shared" si="226"/>
        <v>80-100%</v>
      </c>
      <c r="R1825" t="str">
        <f>IF(B1825="","Missing","OK")</f>
        <v>OK</v>
      </c>
      <c r="S1825" t="str">
        <f>IF(E1825="","Missing","OK")</f>
        <v>OK</v>
      </c>
      <c r="T1825" t="str">
        <f t="shared" si="227"/>
        <v>OK</v>
      </c>
      <c r="U1825">
        <f>COUNTIF($A:$A,A1825)</f>
        <v>1</v>
      </c>
      <c r="V1825" t="str">
        <f t="shared" si="228"/>
        <v>OK</v>
      </c>
      <c r="W1825" t="str">
        <f>IF(I1825&gt;B1825,"ERROR","OK")</f>
        <v>OK</v>
      </c>
      <c r="X1825">
        <f>(B1825-I1825)/B1825</f>
        <v>0.86200309518566187</v>
      </c>
      <c r="Y1825" s="2">
        <f t="shared" si="229"/>
        <v>8.8817841970012523E-16</v>
      </c>
      <c r="Z1825" s="2" t="str">
        <f t="shared" si="230"/>
        <v>OK</v>
      </c>
      <c r="AA1825" t="str">
        <f t="shared" si="231"/>
        <v>Unique</v>
      </c>
    </row>
    <row r="1826" spans="1:27" x14ac:dyDescent="0.3">
      <c r="A1826">
        <v>1825</v>
      </c>
      <c r="B1826">
        <v>1285200.75564425</v>
      </c>
      <c r="C1826">
        <v>0.53277489858252103</v>
      </c>
      <c r="D1826">
        <v>9.4703249748879208E-3</v>
      </c>
      <c r="E1826">
        <v>0.44251864062948698</v>
      </c>
      <c r="F1826">
        <v>1</v>
      </c>
      <c r="G1826" t="s">
        <v>13</v>
      </c>
      <c r="H1826">
        <v>1</v>
      </c>
      <c r="I1826">
        <v>568725.29132368497</v>
      </c>
      <c r="J1826">
        <v>0.55748135937051202</v>
      </c>
      <c r="K1826" t="str">
        <f t="shared" si="224"/>
        <v>OK</v>
      </c>
      <c r="L1826" t="str">
        <f t="shared" si="225"/>
        <v>OK</v>
      </c>
      <c r="M1826" t="str">
        <f>IF(OR(B1826&lt;$AE$20,B1826&gt;$AF$20),"Outlier","OK")</f>
        <v>OK</v>
      </c>
      <c r="N1826" t="str">
        <f>IF(OR(J1826&lt;$AE$21,J1826&gt;$AF$21),"Outlier","OK")</f>
        <v>OK</v>
      </c>
      <c r="O1826" t="str">
        <f>IF(OR(C1826&lt;0,C1826&gt;1),"Outlier","OK")</f>
        <v>OK</v>
      </c>
      <c r="P1826" t="str">
        <f>IF(OR(D1826&lt;0,D1826&gt;1),"Outlier","OK")</f>
        <v>OK</v>
      </c>
      <c r="Q1826" t="str">
        <f t="shared" si="226"/>
        <v>40-60%</v>
      </c>
      <c r="R1826" t="str">
        <f>IF(B1826="","Missing","OK")</f>
        <v>OK</v>
      </c>
      <c r="S1826" t="str">
        <f>IF(E1826="","Missing","OK")</f>
        <v>OK</v>
      </c>
      <c r="T1826" t="str">
        <f t="shared" si="227"/>
        <v>OK</v>
      </c>
      <c r="U1826">
        <f>COUNTIF($A:$A,A1826)</f>
        <v>1</v>
      </c>
      <c r="V1826" t="str">
        <f t="shared" si="228"/>
        <v>OK</v>
      </c>
      <c r="W1826" t="str">
        <f>IF(I1826&gt;B1826,"ERROR","OK")</f>
        <v>OK</v>
      </c>
      <c r="X1826">
        <f>(B1826-I1826)/B1826</f>
        <v>0.55748135937051146</v>
      </c>
      <c r="Y1826" s="2">
        <f t="shared" si="229"/>
        <v>5.5511151231257827E-16</v>
      </c>
      <c r="Z1826" s="2" t="str">
        <f t="shared" si="230"/>
        <v>OK</v>
      </c>
      <c r="AA1826" t="str">
        <f t="shared" si="231"/>
        <v>Unique</v>
      </c>
    </row>
    <row r="1827" spans="1:27" x14ac:dyDescent="0.3">
      <c r="A1827">
        <v>1826</v>
      </c>
      <c r="B1827">
        <v>990387.77879993105</v>
      </c>
      <c r="C1827">
        <v>0.22964910696670601</v>
      </c>
      <c r="D1827">
        <v>-9.6498835837725602E-2</v>
      </c>
      <c r="E1827">
        <v>0.249866442989953</v>
      </c>
      <c r="F1827">
        <v>1</v>
      </c>
      <c r="G1827" t="s">
        <v>10</v>
      </c>
      <c r="H1827">
        <v>1</v>
      </c>
      <c r="I1827">
        <v>247464.67146945899</v>
      </c>
      <c r="J1827">
        <v>0.75013355701004703</v>
      </c>
      <c r="K1827" t="str">
        <f t="shared" si="224"/>
        <v>OK</v>
      </c>
      <c r="L1827" t="str">
        <f t="shared" si="225"/>
        <v>OK</v>
      </c>
      <c r="M1827" t="str">
        <f>IF(OR(B1827&lt;$AE$20,B1827&gt;$AF$20),"Outlier","OK")</f>
        <v>OK</v>
      </c>
      <c r="N1827" t="str">
        <f>IF(OR(J1827&lt;$AE$21,J1827&gt;$AF$21),"Outlier","OK")</f>
        <v>OK</v>
      </c>
      <c r="O1827" t="str">
        <f>IF(OR(C1827&lt;0,C1827&gt;1),"Outlier","OK")</f>
        <v>OK</v>
      </c>
      <c r="P1827" t="str">
        <f>IF(OR(D1827&lt;0,D1827&gt;1),"Outlier","OK")</f>
        <v>Outlier</v>
      </c>
      <c r="Q1827" t="str">
        <f t="shared" si="226"/>
        <v>60-80%</v>
      </c>
      <c r="R1827" t="str">
        <f>IF(B1827="","Missing","OK")</f>
        <v>OK</v>
      </c>
      <c r="S1827" t="str">
        <f>IF(E1827="","Missing","OK")</f>
        <v>OK</v>
      </c>
      <c r="T1827" t="str">
        <f t="shared" si="227"/>
        <v>OK</v>
      </c>
      <c r="U1827">
        <f>COUNTIF($A:$A,A1827)</f>
        <v>1</v>
      </c>
      <c r="V1827" t="str">
        <f t="shared" si="228"/>
        <v>OK</v>
      </c>
      <c r="W1827" t="str">
        <f>IF(I1827&gt;B1827,"ERROR","OK")</f>
        <v>OK</v>
      </c>
      <c r="X1827">
        <f>(B1827-I1827)/B1827</f>
        <v>0.75013355701004725</v>
      </c>
      <c r="Y1827" s="2">
        <f t="shared" si="229"/>
        <v>2.2204460492503131E-16</v>
      </c>
      <c r="Z1827" s="2" t="str">
        <f t="shared" si="230"/>
        <v>OK</v>
      </c>
      <c r="AA1827" t="str">
        <f t="shared" si="231"/>
        <v>Unique</v>
      </c>
    </row>
    <row r="1828" spans="1:27" x14ac:dyDescent="0.3">
      <c r="A1828">
        <v>1827</v>
      </c>
      <c r="B1828">
        <v>1796074.03281499</v>
      </c>
      <c r="C1828">
        <v>0.589844845648269</v>
      </c>
      <c r="D1828">
        <v>6.4231641435726905E-2</v>
      </c>
      <c r="E1828">
        <v>0.229873515020622</v>
      </c>
      <c r="F1828">
        <v>1</v>
      </c>
      <c r="G1828" t="s">
        <v>12</v>
      </c>
      <c r="H1828">
        <v>0</v>
      </c>
      <c r="I1828">
        <v>412869.851160447</v>
      </c>
      <c r="J1828">
        <v>0.77012648497937697</v>
      </c>
      <c r="K1828" t="str">
        <f t="shared" si="224"/>
        <v>OK</v>
      </c>
      <c r="L1828" t="str">
        <f t="shared" si="225"/>
        <v>OK</v>
      </c>
      <c r="M1828" t="str">
        <f>IF(OR(B1828&lt;$AE$20,B1828&gt;$AF$20),"Outlier","OK")</f>
        <v>OK</v>
      </c>
      <c r="N1828" t="str">
        <f>IF(OR(J1828&lt;$AE$21,J1828&gt;$AF$21),"Outlier","OK")</f>
        <v>OK</v>
      </c>
      <c r="O1828" t="str">
        <f>IF(OR(C1828&lt;0,C1828&gt;1),"Outlier","OK")</f>
        <v>OK</v>
      </c>
      <c r="P1828" t="str">
        <f>IF(OR(D1828&lt;0,D1828&gt;1),"Outlier","OK")</f>
        <v>OK</v>
      </c>
      <c r="Q1828" t="str">
        <f t="shared" si="226"/>
        <v>60-80%</v>
      </c>
      <c r="R1828" t="str">
        <f>IF(B1828="","Missing","OK")</f>
        <v>OK</v>
      </c>
      <c r="S1828" t="str">
        <f>IF(E1828="","Missing","OK")</f>
        <v>OK</v>
      </c>
      <c r="T1828" t="str">
        <f t="shared" si="227"/>
        <v>OK</v>
      </c>
      <c r="U1828">
        <f>COUNTIF($A:$A,A1828)</f>
        <v>1</v>
      </c>
      <c r="V1828" t="str">
        <f t="shared" si="228"/>
        <v>OK</v>
      </c>
      <c r="W1828" t="str">
        <f>IF(I1828&gt;B1828,"ERROR","OK")</f>
        <v>OK</v>
      </c>
      <c r="X1828">
        <f>(B1828-I1828)/B1828</f>
        <v>0.77012648497937741</v>
      </c>
      <c r="Y1828" s="2">
        <f t="shared" si="229"/>
        <v>4.4408920985006262E-16</v>
      </c>
      <c r="Z1828" s="2" t="str">
        <f t="shared" si="230"/>
        <v>OK</v>
      </c>
      <c r="AA1828" t="str">
        <f t="shared" si="231"/>
        <v>Unique</v>
      </c>
    </row>
    <row r="1829" spans="1:27" x14ac:dyDescent="0.3">
      <c r="A1829">
        <v>1828</v>
      </c>
      <c r="B1829">
        <v>1955675.2819902</v>
      </c>
      <c r="C1829">
        <v>0.18990586849344401</v>
      </c>
      <c r="D1829">
        <v>-4.7406959137937701E-2</v>
      </c>
      <c r="E1829">
        <v>0.15356841359710399</v>
      </c>
      <c r="F1829">
        <v>1</v>
      </c>
      <c r="G1829" t="s">
        <v>10</v>
      </c>
      <c r="H1829">
        <v>0</v>
      </c>
      <c r="I1829">
        <v>300329.95056630397</v>
      </c>
      <c r="J1829">
        <v>0.84643158640289495</v>
      </c>
      <c r="K1829" t="str">
        <f t="shared" si="224"/>
        <v>OK</v>
      </c>
      <c r="L1829" t="str">
        <f t="shared" si="225"/>
        <v>OK</v>
      </c>
      <c r="M1829" t="str">
        <f>IF(OR(B1829&lt;$AE$20,B1829&gt;$AF$20),"Outlier","OK")</f>
        <v>OK</v>
      </c>
      <c r="N1829" t="str">
        <f>IF(OR(J1829&lt;$AE$21,J1829&gt;$AF$21),"Outlier","OK")</f>
        <v>OK</v>
      </c>
      <c r="O1829" t="str">
        <f>IF(OR(C1829&lt;0,C1829&gt;1),"Outlier","OK")</f>
        <v>OK</v>
      </c>
      <c r="P1829" t="str">
        <f>IF(OR(D1829&lt;0,D1829&gt;1),"Outlier","OK")</f>
        <v>Outlier</v>
      </c>
      <c r="Q1829" t="str">
        <f t="shared" si="226"/>
        <v>80-100%</v>
      </c>
      <c r="R1829" t="str">
        <f>IF(B1829="","Missing","OK")</f>
        <v>OK</v>
      </c>
      <c r="S1829" t="str">
        <f>IF(E1829="","Missing","OK")</f>
        <v>OK</v>
      </c>
      <c r="T1829" t="str">
        <f t="shared" si="227"/>
        <v>OK</v>
      </c>
      <c r="U1829">
        <f>COUNTIF($A:$A,A1829)</f>
        <v>1</v>
      </c>
      <c r="V1829" t="str">
        <f t="shared" si="228"/>
        <v>OK</v>
      </c>
      <c r="W1829" t="str">
        <f>IF(I1829&gt;B1829,"ERROR","OK")</f>
        <v>OK</v>
      </c>
      <c r="X1829">
        <f>(B1829-I1829)/B1829</f>
        <v>0.84643158640289606</v>
      </c>
      <c r="Y1829" s="2">
        <f t="shared" si="229"/>
        <v>1.1102230246251565E-15</v>
      </c>
      <c r="Z1829" s="2" t="str">
        <f t="shared" si="230"/>
        <v>OK</v>
      </c>
      <c r="AA1829" t="str">
        <f t="shared" si="231"/>
        <v>Unique</v>
      </c>
    </row>
    <row r="1830" spans="1:27" x14ac:dyDescent="0.3">
      <c r="A1830">
        <v>1829</v>
      </c>
      <c r="B1830">
        <v>1478168.5576792599</v>
      </c>
      <c r="C1830">
        <v>0.72810001774480604</v>
      </c>
      <c r="D1830">
        <v>-6.6730995806763199E-2</v>
      </c>
      <c r="E1830">
        <v>0.17938586839342799</v>
      </c>
      <c r="F1830">
        <v>1</v>
      </c>
      <c r="G1830" t="s">
        <v>10</v>
      </c>
      <c r="H1830">
        <v>1</v>
      </c>
      <c r="I1830">
        <v>265162.55035115598</v>
      </c>
      <c r="J1830">
        <v>0.82061413160657104</v>
      </c>
      <c r="K1830" t="str">
        <f t="shared" si="224"/>
        <v>OK</v>
      </c>
      <c r="L1830" t="str">
        <f t="shared" si="225"/>
        <v>OK</v>
      </c>
      <c r="M1830" t="str">
        <f>IF(OR(B1830&lt;$AE$20,B1830&gt;$AF$20),"Outlier","OK")</f>
        <v>OK</v>
      </c>
      <c r="N1830" t="str">
        <f>IF(OR(J1830&lt;$AE$21,J1830&gt;$AF$21),"Outlier","OK")</f>
        <v>OK</v>
      </c>
      <c r="O1830" t="str">
        <f>IF(OR(C1830&lt;0,C1830&gt;1),"Outlier","OK")</f>
        <v>OK</v>
      </c>
      <c r="P1830" t="str">
        <f>IF(OR(D1830&lt;0,D1830&gt;1),"Outlier","OK")</f>
        <v>Outlier</v>
      </c>
      <c r="Q1830" t="str">
        <f t="shared" si="226"/>
        <v>80-100%</v>
      </c>
      <c r="R1830" t="str">
        <f>IF(B1830="","Missing","OK")</f>
        <v>OK</v>
      </c>
      <c r="S1830" t="str">
        <f>IF(E1830="","Missing","OK")</f>
        <v>OK</v>
      </c>
      <c r="T1830" t="str">
        <f t="shared" si="227"/>
        <v>OK</v>
      </c>
      <c r="U1830">
        <f>COUNTIF($A:$A,A1830)</f>
        <v>1</v>
      </c>
      <c r="V1830" t="str">
        <f t="shared" si="228"/>
        <v>OK</v>
      </c>
      <c r="W1830" t="str">
        <f>IF(I1830&gt;B1830,"ERROR","OK")</f>
        <v>OK</v>
      </c>
      <c r="X1830">
        <f>(B1830-I1830)/B1830</f>
        <v>0.82061413160657137</v>
      </c>
      <c r="Y1830" s="2">
        <f t="shared" si="229"/>
        <v>3.3306690738754696E-16</v>
      </c>
      <c r="Z1830" s="2" t="str">
        <f t="shared" si="230"/>
        <v>OK</v>
      </c>
      <c r="AA1830" t="str">
        <f t="shared" si="231"/>
        <v>Unique</v>
      </c>
    </row>
    <row r="1831" spans="1:27" x14ac:dyDescent="0.3">
      <c r="A1831">
        <v>1830</v>
      </c>
      <c r="B1831">
        <v>1926433.0487319301</v>
      </c>
      <c r="C1831">
        <v>0.86254505911957802</v>
      </c>
      <c r="D1831">
        <v>3.0011127182519599E-2</v>
      </c>
      <c r="E1831">
        <v>9.3248088003400897E-2</v>
      </c>
      <c r="F1831">
        <v>1</v>
      </c>
      <c r="G1831" t="s">
        <v>11</v>
      </c>
      <c r="H1831">
        <v>0</v>
      </c>
      <c r="I1831">
        <v>179636.19846081501</v>
      </c>
      <c r="J1831">
        <v>0.90675191199659899</v>
      </c>
      <c r="K1831" t="str">
        <f t="shared" si="224"/>
        <v>OK</v>
      </c>
      <c r="L1831" t="str">
        <f t="shared" si="225"/>
        <v>OK</v>
      </c>
      <c r="M1831" t="str">
        <f>IF(OR(B1831&lt;$AE$20,B1831&gt;$AF$20),"Outlier","OK")</f>
        <v>OK</v>
      </c>
      <c r="N1831" t="str">
        <f>IF(OR(J1831&lt;$AE$21,J1831&gt;$AF$21),"Outlier","OK")</f>
        <v>OK</v>
      </c>
      <c r="O1831" t="str">
        <f>IF(OR(C1831&lt;0,C1831&gt;1),"Outlier","OK")</f>
        <v>OK</v>
      </c>
      <c r="P1831" t="str">
        <f>IF(OR(D1831&lt;0,D1831&gt;1),"Outlier","OK")</f>
        <v>OK</v>
      </c>
      <c r="Q1831" t="str">
        <f t="shared" si="226"/>
        <v>80-100%</v>
      </c>
      <c r="R1831" t="str">
        <f>IF(B1831="","Missing","OK")</f>
        <v>OK</v>
      </c>
      <c r="S1831" t="str">
        <f>IF(E1831="","Missing","OK")</f>
        <v>OK</v>
      </c>
      <c r="T1831" t="str">
        <f t="shared" si="227"/>
        <v>OK</v>
      </c>
      <c r="U1831">
        <f>COUNTIF($A:$A,A1831)</f>
        <v>1</v>
      </c>
      <c r="V1831" t="str">
        <f t="shared" si="228"/>
        <v>OK</v>
      </c>
      <c r="W1831" t="str">
        <f>IF(I1831&gt;B1831,"ERROR","OK")</f>
        <v>OK</v>
      </c>
      <c r="X1831">
        <f>(B1831-I1831)/B1831</f>
        <v>0.9067519119965991</v>
      </c>
      <c r="Y1831" s="2">
        <f t="shared" si="229"/>
        <v>1.1102230246251565E-16</v>
      </c>
      <c r="Z1831" s="2" t="str">
        <f t="shared" si="230"/>
        <v>OK</v>
      </c>
      <c r="AA1831" t="str">
        <f t="shared" si="231"/>
        <v>Unique</v>
      </c>
    </row>
    <row r="1832" spans="1:27" x14ac:dyDescent="0.3">
      <c r="A1832">
        <v>1831</v>
      </c>
      <c r="B1832">
        <v>336931.98829703702</v>
      </c>
      <c r="C1832">
        <v>0.53206802131640596</v>
      </c>
      <c r="D1832">
        <v>-0.18275078518512</v>
      </c>
      <c r="E1832">
        <v>0.18036975389580701</v>
      </c>
      <c r="F1832">
        <v>1</v>
      </c>
      <c r="G1832" t="s">
        <v>10</v>
      </c>
      <c r="H1832">
        <v>1</v>
      </c>
      <c r="I1832">
        <v>60772.339808761601</v>
      </c>
      <c r="J1832">
        <v>0.819630246104192</v>
      </c>
      <c r="K1832" t="str">
        <f t="shared" si="224"/>
        <v>OK</v>
      </c>
      <c r="L1832" t="str">
        <f t="shared" si="225"/>
        <v>OK</v>
      </c>
      <c r="M1832" t="str">
        <f>IF(OR(B1832&lt;$AE$20,B1832&gt;$AF$20),"Outlier","OK")</f>
        <v>OK</v>
      </c>
      <c r="N1832" t="str">
        <f>IF(OR(J1832&lt;$AE$21,J1832&gt;$AF$21),"Outlier","OK")</f>
        <v>OK</v>
      </c>
      <c r="O1832" t="str">
        <f>IF(OR(C1832&lt;0,C1832&gt;1),"Outlier","OK")</f>
        <v>OK</v>
      </c>
      <c r="P1832" t="str">
        <f>IF(OR(D1832&lt;0,D1832&gt;1),"Outlier","OK")</f>
        <v>Outlier</v>
      </c>
      <c r="Q1832" t="str">
        <f t="shared" si="226"/>
        <v>80-100%</v>
      </c>
      <c r="R1832" t="str">
        <f>IF(B1832="","Missing","OK")</f>
        <v>OK</v>
      </c>
      <c r="S1832" t="str">
        <f>IF(E1832="","Missing","OK")</f>
        <v>OK</v>
      </c>
      <c r="T1832" t="str">
        <f t="shared" si="227"/>
        <v>OK</v>
      </c>
      <c r="U1832">
        <f>COUNTIF($A:$A,A1832)</f>
        <v>1</v>
      </c>
      <c r="V1832" t="str">
        <f t="shared" si="228"/>
        <v>OK</v>
      </c>
      <c r="W1832" t="str">
        <f>IF(I1832&gt;B1832,"ERROR","OK")</f>
        <v>OK</v>
      </c>
      <c r="X1832">
        <f>(B1832-I1832)/B1832</f>
        <v>0.81963024610419266</v>
      </c>
      <c r="Y1832" s="2">
        <f t="shared" si="229"/>
        <v>6.6613381477509392E-16</v>
      </c>
      <c r="Z1832" s="2" t="str">
        <f t="shared" si="230"/>
        <v>OK</v>
      </c>
      <c r="AA1832" t="str">
        <f t="shared" si="231"/>
        <v>Unique</v>
      </c>
    </row>
    <row r="1833" spans="1:27" x14ac:dyDescent="0.3">
      <c r="A1833">
        <v>1832</v>
      </c>
      <c r="B1833">
        <v>361114.131526827</v>
      </c>
      <c r="C1833">
        <v>0.23467494357243801</v>
      </c>
      <c r="D1833">
        <v>-5.8245631526802601E-2</v>
      </c>
      <c r="E1833">
        <v>0.17669885783571901</v>
      </c>
      <c r="F1833">
        <v>1</v>
      </c>
      <c r="G1833" t="s">
        <v>10</v>
      </c>
      <c r="H1833">
        <v>0</v>
      </c>
      <c r="I1833">
        <v>63808.454589128298</v>
      </c>
      <c r="J1833">
        <v>0.82330114216427996</v>
      </c>
      <c r="K1833" t="str">
        <f t="shared" si="224"/>
        <v>OK</v>
      </c>
      <c r="L1833" t="str">
        <f t="shared" si="225"/>
        <v>OK</v>
      </c>
      <c r="M1833" t="str">
        <f>IF(OR(B1833&lt;$AE$20,B1833&gt;$AF$20),"Outlier","OK")</f>
        <v>OK</v>
      </c>
      <c r="N1833" t="str">
        <f>IF(OR(J1833&lt;$AE$21,J1833&gt;$AF$21),"Outlier","OK")</f>
        <v>OK</v>
      </c>
      <c r="O1833" t="str">
        <f>IF(OR(C1833&lt;0,C1833&gt;1),"Outlier","OK")</f>
        <v>OK</v>
      </c>
      <c r="P1833" t="str">
        <f>IF(OR(D1833&lt;0,D1833&gt;1),"Outlier","OK")</f>
        <v>Outlier</v>
      </c>
      <c r="Q1833" t="str">
        <f t="shared" si="226"/>
        <v>80-100%</v>
      </c>
      <c r="R1833" t="str">
        <f>IF(B1833="","Missing","OK")</f>
        <v>OK</v>
      </c>
      <c r="S1833" t="str">
        <f>IF(E1833="","Missing","OK")</f>
        <v>OK</v>
      </c>
      <c r="T1833" t="str">
        <f t="shared" si="227"/>
        <v>OK</v>
      </c>
      <c r="U1833">
        <f>COUNTIF($A:$A,A1833)</f>
        <v>1</v>
      </c>
      <c r="V1833" t="str">
        <f t="shared" si="228"/>
        <v>OK</v>
      </c>
      <c r="W1833" t="str">
        <f>IF(I1833&gt;B1833,"ERROR","OK")</f>
        <v>OK</v>
      </c>
      <c r="X1833">
        <f>(B1833-I1833)/B1833</f>
        <v>0.82330114216427996</v>
      </c>
      <c r="Y1833" s="2">
        <f t="shared" si="229"/>
        <v>0</v>
      </c>
      <c r="Z1833" s="2" t="str">
        <f t="shared" si="230"/>
        <v>OK</v>
      </c>
      <c r="AA1833" t="str">
        <f t="shared" si="231"/>
        <v>Unique</v>
      </c>
    </row>
    <row r="1834" spans="1:27" x14ac:dyDescent="0.3">
      <c r="A1834">
        <v>1833</v>
      </c>
      <c r="B1834">
        <v>1998180.52906631</v>
      </c>
      <c r="C1834">
        <v>0.19626998405427901</v>
      </c>
      <c r="D1834">
        <v>8.1913823892655793E-2</v>
      </c>
      <c r="E1834">
        <v>0.38576704572525999</v>
      </c>
      <c r="F1834">
        <v>1</v>
      </c>
      <c r="G1834" t="s">
        <v>12</v>
      </c>
      <c r="H1834">
        <v>0</v>
      </c>
      <c r="I1834">
        <v>770832.19952365197</v>
      </c>
      <c r="J1834">
        <v>0.61423295427473901</v>
      </c>
      <c r="K1834" t="str">
        <f t="shared" si="224"/>
        <v>OK</v>
      </c>
      <c r="L1834" t="str">
        <f t="shared" si="225"/>
        <v>OK</v>
      </c>
      <c r="M1834" t="str">
        <f>IF(OR(B1834&lt;$AE$20,B1834&gt;$AF$20),"Outlier","OK")</f>
        <v>Outlier</v>
      </c>
      <c r="N1834" t="str">
        <f>IF(OR(J1834&lt;$AE$21,J1834&gt;$AF$21),"Outlier","OK")</f>
        <v>OK</v>
      </c>
      <c r="O1834" t="str">
        <f>IF(OR(C1834&lt;0,C1834&gt;1),"Outlier","OK")</f>
        <v>OK</v>
      </c>
      <c r="P1834" t="str">
        <f>IF(OR(D1834&lt;0,D1834&gt;1),"Outlier","OK")</f>
        <v>OK</v>
      </c>
      <c r="Q1834" t="str">
        <f t="shared" si="226"/>
        <v>60-80%</v>
      </c>
      <c r="R1834" t="str">
        <f>IF(B1834="","Missing","OK")</f>
        <v>OK</v>
      </c>
      <c r="S1834" t="str">
        <f>IF(E1834="","Missing","OK")</f>
        <v>OK</v>
      </c>
      <c r="T1834" t="str">
        <f t="shared" si="227"/>
        <v>OK</v>
      </c>
      <c r="U1834">
        <f>COUNTIF($A:$A,A1834)</f>
        <v>1</v>
      </c>
      <c r="V1834" t="str">
        <f t="shared" si="228"/>
        <v>OK</v>
      </c>
      <c r="W1834" t="str">
        <f>IF(I1834&gt;B1834,"ERROR","OK")</f>
        <v>OK</v>
      </c>
      <c r="X1834">
        <f>(B1834-I1834)/B1834</f>
        <v>0.61423295427473779</v>
      </c>
      <c r="Y1834" s="2">
        <f t="shared" si="229"/>
        <v>1.2212453270876722E-15</v>
      </c>
      <c r="Z1834" s="2" t="str">
        <f t="shared" si="230"/>
        <v>OK</v>
      </c>
      <c r="AA1834" t="str">
        <f t="shared" si="231"/>
        <v>Unique</v>
      </c>
    </row>
    <row r="1835" spans="1:27" x14ac:dyDescent="0.3">
      <c r="A1835">
        <v>1834</v>
      </c>
      <c r="B1835">
        <v>784249.75354922202</v>
      </c>
      <c r="C1835">
        <v>0.87255303278381802</v>
      </c>
      <c r="D1835">
        <v>-5.6448826105626598E-2</v>
      </c>
      <c r="E1835">
        <v>0.42849071598622102</v>
      </c>
      <c r="F1835">
        <v>1</v>
      </c>
      <c r="G1835" t="s">
        <v>10</v>
      </c>
      <c r="H1835">
        <v>0</v>
      </c>
      <c r="I1835">
        <v>336043.73841032397</v>
      </c>
      <c r="J1835">
        <v>0.57150928401377799</v>
      </c>
      <c r="K1835" t="str">
        <f t="shared" si="224"/>
        <v>OK</v>
      </c>
      <c r="L1835" t="str">
        <f t="shared" si="225"/>
        <v>OK</v>
      </c>
      <c r="M1835" t="str">
        <f>IF(OR(B1835&lt;$AE$20,B1835&gt;$AF$20),"Outlier","OK")</f>
        <v>OK</v>
      </c>
      <c r="N1835" t="str">
        <f>IF(OR(J1835&lt;$AE$21,J1835&gt;$AF$21),"Outlier","OK")</f>
        <v>OK</v>
      </c>
      <c r="O1835" t="str">
        <f>IF(OR(C1835&lt;0,C1835&gt;1),"Outlier","OK")</f>
        <v>OK</v>
      </c>
      <c r="P1835" t="str">
        <f>IF(OR(D1835&lt;0,D1835&gt;1),"Outlier","OK")</f>
        <v>Outlier</v>
      </c>
      <c r="Q1835" t="str">
        <f t="shared" si="226"/>
        <v>40-60%</v>
      </c>
      <c r="R1835" t="str">
        <f>IF(B1835="","Missing","OK")</f>
        <v>OK</v>
      </c>
      <c r="S1835" t="str">
        <f>IF(E1835="","Missing","OK")</f>
        <v>OK</v>
      </c>
      <c r="T1835" t="str">
        <f t="shared" si="227"/>
        <v>OK</v>
      </c>
      <c r="U1835">
        <f>COUNTIF($A:$A,A1835)</f>
        <v>1</v>
      </c>
      <c r="V1835" t="str">
        <f t="shared" si="228"/>
        <v>OK</v>
      </c>
      <c r="W1835" t="str">
        <f>IF(I1835&gt;B1835,"ERROR","OK")</f>
        <v>OK</v>
      </c>
      <c r="X1835">
        <f>(B1835-I1835)/B1835</f>
        <v>0.57150928401377843</v>
      </c>
      <c r="Y1835" s="2">
        <f t="shared" si="229"/>
        <v>4.4408920985006262E-16</v>
      </c>
      <c r="Z1835" s="2" t="str">
        <f t="shared" si="230"/>
        <v>OK</v>
      </c>
      <c r="AA1835" t="str">
        <f t="shared" si="231"/>
        <v>Unique</v>
      </c>
    </row>
    <row r="1836" spans="1:27" x14ac:dyDescent="0.3">
      <c r="A1836">
        <v>1835</v>
      </c>
      <c r="B1836">
        <v>1140947.1910351301</v>
      </c>
      <c r="C1836">
        <v>0.69943551297178197</v>
      </c>
      <c r="D1836">
        <v>-0.19184082687922199</v>
      </c>
      <c r="E1836">
        <v>0.32897501164212301</v>
      </c>
      <c r="F1836">
        <v>1</v>
      </c>
      <c r="G1836" t="s">
        <v>10</v>
      </c>
      <c r="H1836">
        <v>0</v>
      </c>
      <c r="I1836">
        <v>375343.11545383203</v>
      </c>
      <c r="J1836">
        <v>0.67102498835787605</v>
      </c>
      <c r="K1836" t="str">
        <f t="shared" si="224"/>
        <v>OK</v>
      </c>
      <c r="L1836" t="str">
        <f t="shared" si="225"/>
        <v>OK</v>
      </c>
      <c r="M1836" t="str">
        <f>IF(OR(B1836&lt;$AE$20,B1836&gt;$AF$20),"Outlier","OK")</f>
        <v>OK</v>
      </c>
      <c r="N1836" t="str">
        <f>IF(OR(J1836&lt;$AE$21,J1836&gt;$AF$21),"Outlier","OK")</f>
        <v>OK</v>
      </c>
      <c r="O1836" t="str">
        <f>IF(OR(C1836&lt;0,C1836&gt;1),"Outlier","OK")</f>
        <v>OK</v>
      </c>
      <c r="P1836" t="str">
        <f>IF(OR(D1836&lt;0,D1836&gt;1),"Outlier","OK")</f>
        <v>Outlier</v>
      </c>
      <c r="Q1836" t="str">
        <f t="shared" si="226"/>
        <v>60-80%</v>
      </c>
      <c r="R1836" t="str">
        <f>IF(B1836="","Missing","OK")</f>
        <v>OK</v>
      </c>
      <c r="S1836" t="str">
        <f>IF(E1836="","Missing","OK")</f>
        <v>OK</v>
      </c>
      <c r="T1836" t="str">
        <f t="shared" si="227"/>
        <v>OK</v>
      </c>
      <c r="U1836">
        <f>COUNTIF($A:$A,A1836)</f>
        <v>1</v>
      </c>
      <c r="V1836" t="str">
        <f t="shared" si="228"/>
        <v>OK</v>
      </c>
      <c r="W1836" t="str">
        <f>IF(I1836&gt;B1836,"ERROR","OK")</f>
        <v>OK</v>
      </c>
      <c r="X1836">
        <f>(B1836-I1836)/B1836</f>
        <v>0.67102498835787472</v>
      </c>
      <c r="Y1836" s="2">
        <f t="shared" si="229"/>
        <v>1.3322676295501878E-15</v>
      </c>
      <c r="Z1836" s="2" t="str">
        <f t="shared" si="230"/>
        <v>OK</v>
      </c>
      <c r="AA1836" t="str">
        <f t="shared" si="231"/>
        <v>Unique</v>
      </c>
    </row>
    <row r="1837" spans="1:27" x14ac:dyDescent="0.3">
      <c r="A1837">
        <v>1836</v>
      </c>
      <c r="B1837">
        <v>1892227.81643449</v>
      </c>
      <c r="C1837">
        <v>0.86160905289400103</v>
      </c>
      <c r="D1837">
        <v>0.131413025839412</v>
      </c>
      <c r="E1837">
        <v>0.10099204862649799</v>
      </c>
      <c r="F1837">
        <v>1</v>
      </c>
      <c r="G1837" t="s">
        <v>13</v>
      </c>
      <c r="H1837">
        <v>0</v>
      </c>
      <c r="I1837">
        <v>191099.963649766</v>
      </c>
      <c r="J1837">
        <v>0.89900795137350098</v>
      </c>
      <c r="K1837" t="str">
        <f t="shared" si="224"/>
        <v>OK</v>
      </c>
      <c r="L1837" t="str">
        <f t="shared" si="225"/>
        <v>OK</v>
      </c>
      <c r="M1837" t="str">
        <f>IF(OR(B1837&lt;$AE$20,B1837&gt;$AF$20),"Outlier","OK")</f>
        <v>OK</v>
      </c>
      <c r="N1837" t="str">
        <f>IF(OR(J1837&lt;$AE$21,J1837&gt;$AF$21),"Outlier","OK")</f>
        <v>OK</v>
      </c>
      <c r="O1837" t="str">
        <f>IF(OR(C1837&lt;0,C1837&gt;1),"Outlier","OK")</f>
        <v>OK</v>
      </c>
      <c r="P1837" t="str">
        <f>IF(OR(D1837&lt;0,D1837&gt;1),"Outlier","OK")</f>
        <v>OK</v>
      </c>
      <c r="Q1837" t="str">
        <f t="shared" si="226"/>
        <v>80-100%</v>
      </c>
      <c r="R1837" t="str">
        <f>IF(B1837="","Missing","OK")</f>
        <v>OK</v>
      </c>
      <c r="S1837" t="str">
        <f>IF(E1837="","Missing","OK")</f>
        <v>OK</v>
      </c>
      <c r="T1837" t="str">
        <f t="shared" si="227"/>
        <v>OK</v>
      </c>
      <c r="U1837">
        <f>COUNTIF($A:$A,A1837)</f>
        <v>1</v>
      </c>
      <c r="V1837" t="str">
        <f t="shared" si="228"/>
        <v>OK</v>
      </c>
      <c r="W1837" t="str">
        <f>IF(I1837&gt;B1837,"ERROR","OK")</f>
        <v>OK</v>
      </c>
      <c r="X1837">
        <f>(B1837-I1837)/B1837</f>
        <v>0.89900795137350098</v>
      </c>
      <c r="Y1837" s="2">
        <f t="shared" si="229"/>
        <v>0</v>
      </c>
      <c r="Z1837" s="2" t="str">
        <f t="shared" si="230"/>
        <v>OK</v>
      </c>
      <c r="AA1837" t="str">
        <f t="shared" si="231"/>
        <v>Unique</v>
      </c>
    </row>
    <row r="1838" spans="1:27" x14ac:dyDescent="0.3">
      <c r="A1838">
        <v>1837</v>
      </c>
      <c r="B1838">
        <v>1227750.7291125201</v>
      </c>
      <c r="C1838">
        <v>0.31155080242757699</v>
      </c>
      <c r="D1838">
        <v>-0.11314547758471399</v>
      </c>
      <c r="E1838">
        <v>0.115270492296295</v>
      </c>
      <c r="F1838">
        <v>1</v>
      </c>
      <c r="G1838" t="s">
        <v>10</v>
      </c>
      <c r="H1838">
        <v>1</v>
      </c>
      <c r="I1838">
        <v>141523.43096193601</v>
      </c>
      <c r="J1838">
        <v>0.88472950770370495</v>
      </c>
      <c r="K1838" t="str">
        <f t="shared" si="224"/>
        <v>OK</v>
      </c>
      <c r="L1838" t="str">
        <f t="shared" si="225"/>
        <v>OK</v>
      </c>
      <c r="M1838" t="str">
        <f>IF(OR(B1838&lt;$AE$20,B1838&gt;$AF$20),"Outlier","OK")</f>
        <v>OK</v>
      </c>
      <c r="N1838" t="str">
        <f>IF(OR(J1838&lt;$AE$21,J1838&gt;$AF$21),"Outlier","OK")</f>
        <v>OK</v>
      </c>
      <c r="O1838" t="str">
        <f>IF(OR(C1838&lt;0,C1838&gt;1),"Outlier","OK")</f>
        <v>OK</v>
      </c>
      <c r="P1838" t="str">
        <f>IF(OR(D1838&lt;0,D1838&gt;1),"Outlier","OK")</f>
        <v>Outlier</v>
      </c>
      <c r="Q1838" t="str">
        <f t="shared" si="226"/>
        <v>80-100%</v>
      </c>
      <c r="R1838" t="str">
        <f>IF(B1838="","Missing","OK")</f>
        <v>OK</v>
      </c>
      <c r="S1838" t="str">
        <f>IF(E1838="","Missing","OK")</f>
        <v>OK</v>
      </c>
      <c r="T1838" t="str">
        <f t="shared" si="227"/>
        <v>OK</v>
      </c>
      <c r="U1838">
        <f>COUNTIF($A:$A,A1838)</f>
        <v>1</v>
      </c>
      <c r="V1838" t="str">
        <f t="shared" si="228"/>
        <v>OK</v>
      </c>
      <c r="W1838" t="str">
        <f>IF(I1838&gt;B1838,"ERROR","OK")</f>
        <v>OK</v>
      </c>
      <c r="X1838">
        <f>(B1838-I1838)/B1838</f>
        <v>0.8847295077037044</v>
      </c>
      <c r="Y1838" s="2">
        <f t="shared" si="229"/>
        <v>5.5511151231257827E-16</v>
      </c>
      <c r="Z1838" s="2" t="str">
        <f t="shared" si="230"/>
        <v>OK</v>
      </c>
      <c r="AA1838" t="str">
        <f t="shared" si="231"/>
        <v>Unique</v>
      </c>
    </row>
    <row r="1839" spans="1:27" x14ac:dyDescent="0.3">
      <c r="A1839">
        <v>1838</v>
      </c>
      <c r="B1839">
        <v>1746581.1954374299</v>
      </c>
      <c r="C1839">
        <v>0.25964199184797998</v>
      </c>
      <c r="D1839">
        <v>-7.9608476351869503E-2</v>
      </c>
      <c r="E1839">
        <v>0.204855397031634</v>
      </c>
      <c r="F1839">
        <v>1</v>
      </c>
      <c r="G1839" t="s">
        <v>11</v>
      </c>
      <c r="H1839">
        <v>1</v>
      </c>
      <c r="I1839">
        <v>357796.58423932199</v>
      </c>
      <c r="J1839">
        <v>0.79514460296836498</v>
      </c>
      <c r="K1839" t="str">
        <f t="shared" si="224"/>
        <v>OK</v>
      </c>
      <c r="L1839" t="str">
        <f t="shared" si="225"/>
        <v>OK</v>
      </c>
      <c r="M1839" t="str">
        <f>IF(OR(B1839&lt;$AE$20,B1839&gt;$AF$20),"Outlier","OK")</f>
        <v>OK</v>
      </c>
      <c r="N1839" t="str">
        <f>IF(OR(J1839&lt;$AE$21,J1839&gt;$AF$21),"Outlier","OK")</f>
        <v>OK</v>
      </c>
      <c r="O1839" t="str">
        <f>IF(OR(C1839&lt;0,C1839&gt;1),"Outlier","OK")</f>
        <v>OK</v>
      </c>
      <c r="P1839" t="str">
        <f>IF(OR(D1839&lt;0,D1839&gt;1),"Outlier","OK")</f>
        <v>Outlier</v>
      </c>
      <c r="Q1839" t="str">
        <f t="shared" si="226"/>
        <v>60-80%</v>
      </c>
      <c r="R1839" t="str">
        <f>IF(B1839="","Missing","OK")</f>
        <v>OK</v>
      </c>
      <c r="S1839" t="str">
        <f>IF(E1839="","Missing","OK")</f>
        <v>OK</v>
      </c>
      <c r="T1839" t="str">
        <f t="shared" si="227"/>
        <v>OK</v>
      </c>
      <c r="U1839">
        <f>COUNTIF($A:$A,A1839)</f>
        <v>1</v>
      </c>
      <c r="V1839" t="str">
        <f t="shared" si="228"/>
        <v>OK</v>
      </c>
      <c r="W1839" t="str">
        <f>IF(I1839&gt;B1839,"ERROR","OK")</f>
        <v>OK</v>
      </c>
      <c r="X1839">
        <f>(B1839-I1839)/B1839</f>
        <v>0.7951446029683652</v>
      </c>
      <c r="Y1839" s="2">
        <f t="shared" si="229"/>
        <v>2.2204460492503131E-16</v>
      </c>
      <c r="Z1839" s="2" t="str">
        <f t="shared" si="230"/>
        <v>OK</v>
      </c>
      <c r="AA1839" t="str">
        <f t="shared" si="231"/>
        <v>Unique</v>
      </c>
    </row>
    <row r="1840" spans="1:27" x14ac:dyDescent="0.3">
      <c r="A1840">
        <v>1839</v>
      </c>
      <c r="B1840">
        <v>1429228.0128760501</v>
      </c>
      <c r="C1840">
        <v>0.118939509044982</v>
      </c>
      <c r="D1840">
        <v>-2.9002773802198401E-2</v>
      </c>
      <c r="E1840">
        <v>0.58980356528726596</v>
      </c>
      <c r="F1840">
        <v>1</v>
      </c>
      <c r="G1840" t="s">
        <v>13</v>
      </c>
      <c r="H1840">
        <v>1</v>
      </c>
      <c r="I1840">
        <v>842963.77760273404</v>
      </c>
      <c r="J1840">
        <v>0.41019643471273298</v>
      </c>
      <c r="K1840" t="str">
        <f t="shared" si="224"/>
        <v>OK</v>
      </c>
      <c r="L1840" t="str">
        <f t="shared" si="225"/>
        <v>OK</v>
      </c>
      <c r="M1840" t="str">
        <f>IF(OR(B1840&lt;$AE$20,B1840&gt;$AF$20),"Outlier","OK")</f>
        <v>OK</v>
      </c>
      <c r="N1840" t="str">
        <f>IF(OR(J1840&lt;$AE$21,J1840&gt;$AF$21),"Outlier","OK")</f>
        <v>OK</v>
      </c>
      <c r="O1840" t="str">
        <f>IF(OR(C1840&lt;0,C1840&gt;1),"Outlier","OK")</f>
        <v>OK</v>
      </c>
      <c r="P1840" t="str">
        <f>IF(OR(D1840&lt;0,D1840&gt;1),"Outlier","OK")</f>
        <v>Outlier</v>
      </c>
      <c r="Q1840" t="str">
        <f t="shared" si="226"/>
        <v>40-60%</v>
      </c>
      <c r="R1840" t="str">
        <f>IF(B1840="","Missing","OK")</f>
        <v>OK</v>
      </c>
      <c r="S1840" t="str">
        <f>IF(E1840="","Missing","OK")</f>
        <v>OK</v>
      </c>
      <c r="T1840" t="str">
        <f t="shared" si="227"/>
        <v>OK</v>
      </c>
      <c r="U1840">
        <f>COUNTIF($A:$A,A1840)</f>
        <v>1</v>
      </c>
      <c r="V1840" t="str">
        <f t="shared" si="228"/>
        <v>OK</v>
      </c>
      <c r="W1840" t="str">
        <f>IF(I1840&gt;B1840,"ERROR","OK")</f>
        <v>OK</v>
      </c>
      <c r="X1840">
        <f>(B1840-I1840)/B1840</f>
        <v>0.41019643471273037</v>
      </c>
      <c r="Y1840" s="2">
        <f t="shared" si="229"/>
        <v>2.6090241078691179E-15</v>
      </c>
      <c r="Z1840" s="2" t="str">
        <f t="shared" si="230"/>
        <v>OK</v>
      </c>
      <c r="AA1840" t="str">
        <f t="shared" si="231"/>
        <v>Unique</v>
      </c>
    </row>
    <row r="1841" spans="1:27" x14ac:dyDescent="0.3">
      <c r="A1841">
        <v>1840</v>
      </c>
      <c r="B1841">
        <v>1718959.9510858699</v>
      </c>
      <c r="C1841">
        <v>0.80828277259460302</v>
      </c>
      <c r="D1841">
        <v>-5.3872798142876002E-2</v>
      </c>
      <c r="E1841">
        <v>0.30469024807020301</v>
      </c>
      <c r="F1841">
        <v>1</v>
      </c>
      <c r="G1841" t="s">
        <v>12</v>
      </c>
      <c r="H1841">
        <v>0</v>
      </c>
      <c r="I1841">
        <v>523750.33391909802</v>
      </c>
      <c r="J1841">
        <v>0.69530975192979605</v>
      </c>
      <c r="K1841" t="str">
        <f t="shared" si="224"/>
        <v>OK</v>
      </c>
      <c r="L1841" t="str">
        <f t="shared" si="225"/>
        <v>OK</v>
      </c>
      <c r="M1841" t="str">
        <f>IF(OR(B1841&lt;$AE$20,B1841&gt;$AF$20),"Outlier","OK")</f>
        <v>OK</v>
      </c>
      <c r="N1841" t="str">
        <f>IF(OR(J1841&lt;$AE$21,J1841&gt;$AF$21),"Outlier","OK")</f>
        <v>OK</v>
      </c>
      <c r="O1841" t="str">
        <f>IF(OR(C1841&lt;0,C1841&gt;1),"Outlier","OK")</f>
        <v>OK</v>
      </c>
      <c r="P1841" t="str">
        <f>IF(OR(D1841&lt;0,D1841&gt;1),"Outlier","OK")</f>
        <v>Outlier</v>
      </c>
      <c r="Q1841" t="str">
        <f t="shared" si="226"/>
        <v>60-80%</v>
      </c>
      <c r="R1841" t="str">
        <f>IF(B1841="","Missing","OK")</f>
        <v>OK</v>
      </c>
      <c r="S1841" t="str">
        <f>IF(E1841="","Missing","OK")</f>
        <v>OK</v>
      </c>
      <c r="T1841" t="str">
        <f t="shared" si="227"/>
        <v>OK</v>
      </c>
      <c r="U1841">
        <f>COUNTIF($A:$A,A1841)</f>
        <v>1</v>
      </c>
      <c r="V1841" t="str">
        <f t="shared" si="228"/>
        <v>OK</v>
      </c>
      <c r="W1841" t="str">
        <f>IF(I1841&gt;B1841,"ERROR","OK")</f>
        <v>OK</v>
      </c>
      <c r="X1841">
        <f>(B1841-I1841)/B1841</f>
        <v>0.69530975192979694</v>
      </c>
      <c r="Y1841" s="2">
        <f t="shared" si="229"/>
        <v>8.8817841970012523E-16</v>
      </c>
      <c r="Z1841" s="2" t="str">
        <f t="shared" si="230"/>
        <v>OK</v>
      </c>
      <c r="AA1841" t="str">
        <f t="shared" si="231"/>
        <v>Unique</v>
      </c>
    </row>
    <row r="1842" spans="1:27" x14ac:dyDescent="0.3">
      <c r="A1842">
        <v>1841</v>
      </c>
      <c r="B1842">
        <v>967079.32060533704</v>
      </c>
      <c r="C1842">
        <v>0.230580709201573</v>
      </c>
      <c r="D1842">
        <v>-0.174594630013405</v>
      </c>
      <c r="E1842">
        <v>0.247303109531473</v>
      </c>
      <c r="F1842">
        <v>1</v>
      </c>
      <c r="G1842" t="s">
        <v>13</v>
      </c>
      <c r="H1842">
        <v>1</v>
      </c>
      <c r="I1842">
        <v>239161.72314928399</v>
      </c>
      <c r="J1842">
        <v>0.75269689046852595</v>
      </c>
      <c r="K1842" t="str">
        <f t="shared" si="224"/>
        <v>OK</v>
      </c>
      <c r="L1842" t="str">
        <f t="shared" si="225"/>
        <v>OK</v>
      </c>
      <c r="M1842" t="str">
        <f>IF(OR(B1842&lt;$AE$20,B1842&gt;$AF$20),"Outlier","OK")</f>
        <v>OK</v>
      </c>
      <c r="N1842" t="str">
        <f>IF(OR(J1842&lt;$AE$21,J1842&gt;$AF$21),"Outlier","OK")</f>
        <v>OK</v>
      </c>
      <c r="O1842" t="str">
        <f>IF(OR(C1842&lt;0,C1842&gt;1),"Outlier","OK")</f>
        <v>OK</v>
      </c>
      <c r="P1842" t="str">
        <f>IF(OR(D1842&lt;0,D1842&gt;1),"Outlier","OK")</f>
        <v>Outlier</v>
      </c>
      <c r="Q1842" t="str">
        <f t="shared" si="226"/>
        <v>60-80%</v>
      </c>
      <c r="R1842" t="str">
        <f>IF(B1842="","Missing","OK")</f>
        <v>OK</v>
      </c>
      <c r="S1842" t="str">
        <f>IF(E1842="","Missing","OK")</f>
        <v>OK</v>
      </c>
      <c r="T1842" t="str">
        <f t="shared" si="227"/>
        <v>OK</v>
      </c>
      <c r="U1842">
        <f>COUNTIF($A:$A,A1842)</f>
        <v>1</v>
      </c>
      <c r="V1842" t="str">
        <f t="shared" si="228"/>
        <v>OK</v>
      </c>
      <c r="W1842" t="str">
        <f>IF(I1842&gt;B1842,"ERROR","OK")</f>
        <v>OK</v>
      </c>
      <c r="X1842">
        <f>(B1842-I1842)/B1842</f>
        <v>0.75269689046852717</v>
      </c>
      <c r="Y1842" s="2">
        <f t="shared" si="229"/>
        <v>1.2212453270876722E-15</v>
      </c>
      <c r="Z1842" s="2" t="str">
        <f t="shared" si="230"/>
        <v>OK</v>
      </c>
      <c r="AA1842" t="str">
        <f t="shared" si="231"/>
        <v>Unique</v>
      </c>
    </row>
    <row r="1843" spans="1:27" x14ac:dyDescent="0.3">
      <c r="A1843">
        <v>1842</v>
      </c>
      <c r="B1843">
        <v>1901291.4425258499</v>
      </c>
      <c r="C1843">
        <v>0.58897160082885602</v>
      </c>
      <c r="D1843">
        <v>0.143719855287093</v>
      </c>
      <c r="E1843">
        <v>7.0040287884541197E-2</v>
      </c>
      <c r="F1843">
        <v>1</v>
      </c>
      <c r="G1843" t="s">
        <v>12</v>
      </c>
      <c r="H1843">
        <v>1</v>
      </c>
      <c r="I1843">
        <v>133166.99998692499</v>
      </c>
      <c r="J1843">
        <v>0.92995971211545803</v>
      </c>
      <c r="K1843" t="str">
        <f t="shared" si="224"/>
        <v>OK</v>
      </c>
      <c r="L1843" t="str">
        <f t="shared" si="225"/>
        <v>OK</v>
      </c>
      <c r="M1843" t="str">
        <f>IF(OR(B1843&lt;$AE$20,B1843&gt;$AF$20),"Outlier","OK")</f>
        <v>OK</v>
      </c>
      <c r="N1843" t="str">
        <f>IF(OR(J1843&lt;$AE$21,J1843&gt;$AF$21),"Outlier","OK")</f>
        <v>OK</v>
      </c>
      <c r="O1843" t="str">
        <f>IF(OR(C1843&lt;0,C1843&gt;1),"Outlier","OK")</f>
        <v>OK</v>
      </c>
      <c r="P1843" t="str">
        <f>IF(OR(D1843&lt;0,D1843&gt;1),"Outlier","OK")</f>
        <v>OK</v>
      </c>
      <c r="Q1843" t="str">
        <f t="shared" si="226"/>
        <v>80-100%</v>
      </c>
      <c r="R1843" t="str">
        <f>IF(B1843="","Missing","OK")</f>
        <v>OK</v>
      </c>
      <c r="S1843" t="str">
        <f>IF(E1843="","Missing","OK")</f>
        <v>OK</v>
      </c>
      <c r="T1843" t="str">
        <f t="shared" si="227"/>
        <v>OK</v>
      </c>
      <c r="U1843">
        <f>COUNTIF($A:$A,A1843)</f>
        <v>1</v>
      </c>
      <c r="V1843" t="str">
        <f t="shared" si="228"/>
        <v>OK</v>
      </c>
      <c r="W1843" t="str">
        <f>IF(I1843&gt;B1843,"ERROR","OK")</f>
        <v>OK</v>
      </c>
      <c r="X1843">
        <f>(B1843-I1843)/B1843</f>
        <v>0.92995971211545891</v>
      </c>
      <c r="Y1843" s="2">
        <f t="shared" si="229"/>
        <v>8.8817841970012523E-16</v>
      </c>
      <c r="Z1843" s="2" t="str">
        <f t="shared" si="230"/>
        <v>OK</v>
      </c>
      <c r="AA1843" t="str">
        <f t="shared" si="231"/>
        <v>Unique</v>
      </c>
    </row>
    <row r="1844" spans="1:27" x14ac:dyDescent="0.3">
      <c r="A1844">
        <v>1843</v>
      </c>
      <c r="B1844">
        <v>294259.27837681101</v>
      </c>
      <c r="C1844">
        <v>0.87662122990538904</v>
      </c>
      <c r="D1844">
        <v>-0.146786310689376</v>
      </c>
      <c r="E1844">
        <v>0.14845441779541499</v>
      </c>
      <c r="F1844">
        <v>1</v>
      </c>
      <c r="G1844" t="s">
        <v>12</v>
      </c>
      <c r="H1844">
        <v>1</v>
      </c>
      <c r="I1844">
        <v>43684.0898523285</v>
      </c>
      <c r="J1844">
        <v>0.85154558220458498</v>
      </c>
      <c r="K1844" t="str">
        <f t="shared" si="224"/>
        <v>OK</v>
      </c>
      <c r="L1844" t="str">
        <f t="shared" si="225"/>
        <v>OK</v>
      </c>
      <c r="M1844" t="str">
        <f>IF(OR(B1844&lt;$AE$20,B1844&gt;$AF$20),"Outlier","OK")</f>
        <v>OK</v>
      </c>
      <c r="N1844" t="str">
        <f>IF(OR(J1844&lt;$AE$21,J1844&gt;$AF$21),"Outlier","OK")</f>
        <v>OK</v>
      </c>
      <c r="O1844" t="str">
        <f>IF(OR(C1844&lt;0,C1844&gt;1),"Outlier","OK")</f>
        <v>OK</v>
      </c>
      <c r="P1844" t="str">
        <f>IF(OR(D1844&lt;0,D1844&gt;1),"Outlier","OK")</f>
        <v>Outlier</v>
      </c>
      <c r="Q1844" t="str">
        <f t="shared" si="226"/>
        <v>80-100%</v>
      </c>
      <c r="R1844" t="str">
        <f>IF(B1844="","Missing","OK")</f>
        <v>OK</v>
      </c>
      <c r="S1844" t="str">
        <f>IF(E1844="","Missing","OK")</f>
        <v>OK</v>
      </c>
      <c r="T1844" t="str">
        <f t="shared" si="227"/>
        <v>OK</v>
      </c>
      <c r="U1844">
        <f>COUNTIF($A:$A,A1844)</f>
        <v>1</v>
      </c>
      <c r="V1844" t="str">
        <f t="shared" si="228"/>
        <v>OK</v>
      </c>
      <c r="W1844" t="str">
        <f>IF(I1844&gt;B1844,"ERROR","OK")</f>
        <v>OK</v>
      </c>
      <c r="X1844">
        <f>(B1844-I1844)/B1844</f>
        <v>0.85154558220458476</v>
      </c>
      <c r="Y1844" s="2">
        <f t="shared" si="229"/>
        <v>2.2204460492503131E-16</v>
      </c>
      <c r="Z1844" s="2" t="str">
        <f t="shared" si="230"/>
        <v>OK</v>
      </c>
      <c r="AA1844" t="str">
        <f t="shared" si="231"/>
        <v>Unique</v>
      </c>
    </row>
    <row r="1845" spans="1:27" x14ac:dyDescent="0.3">
      <c r="A1845">
        <v>1844</v>
      </c>
      <c r="B1845">
        <v>1624958.7235701301</v>
      </c>
      <c r="C1845">
        <v>0.76455979783816497</v>
      </c>
      <c r="D1845">
        <v>6.0994354719492001E-2</v>
      </c>
      <c r="E1845">
        <v>8.2444356329874194E-2</v>
      </c>
      <c r="F1845">
        <v>1</v>
      </c>
      <c r="G1845" t="s">
        <v>10</v>
      </c>
      <c r="H1845">
        <v>0</v>
      </c>
      <c r="I1845">
        <v>133968.676027354</v>
      </c>
      <c r="J1845">
        <v>0.91755564367012499</v>
      </c>
      <c r="K1845" t="str">
        <f t="shared" si="224"/>
        <v>OK</v>
      </c>
      <c r="L1845" t="str">
        <f t="shared" si="225"/>
        <v>OK</v>
      </c>
      <c r="M1845" t="str">
        <f>IF(OR(B1845&lt;$AE$20,B1845&gt;$AF$20),"Outlier","OK")</f>
        <v>OK</v>
      </c>
      <c r="N1845" t="str">
        <f>IF(OR(J1845&lt;$AE$21,J1845&gt;$AF$21),"Outlier","OK")</f>
        <v>OK</v>
      </c>
      <c r="O1845" t="str">
        <f>IF(OR(C1845&lt;0,C1845&gt;1),"Outlier","OK")</f>
        <v>OK</v>
      </c>
      <c r="P1845" t="str">
        <f>IF(OR(D1845&lt;0,D1845&gt;1),"Outlier","OK")</f>
        <v>OK</v>
      </c>
      <c r="Q1845" t="str">
        <f t="shared" si="226"/>
        <v>80-100%</v>
      </c>
      <c r="R1845" t="str">
        <f>IF(B1845="","Missing","OK")</f>
        <v>OK</v>
      </c>
      <c r="S1845" t="str">
        <f>IF(E1845="","Missing","OK")</f>
        <v>OK</v>
      </c>
      <c r="T1845" t="str">
        <f t="shared" si="227"/>
        <v>OK</v>
      </c>
      <c r="U1845">
        <f>COUNTIF($A:$A,A1845)</f>
        <v>1</v>
      </c>
      <c r="V1845" t="str">
        <f t="shared" si="228"/>
        <v>OK</v>
      </c>
      <c r="W1845" t="str">
        <f>IF(I1845&gt;B1845,"ERROR","OK")</f>
        <v>OK</v>
      </c>
      <c r="X1845">
        <f>(B1845-I1845)/B1845</f>
        <v>0.91755564367012532</v>
      </c>
      <c r="Y1845" s="2">
        <f t="shared" si="229"/>
        <v>3.3306690738754696E-16</v>
      </c>
      <c r="Z1845" s="2" t="str">
        <f t="shared" si="230"/>
        <v>OK</v>
      </c>
      <c r="AA1845" t="str">
        <f t="shared" si="231"/>
        <v>Unique</v>
      </c>
    </row>
    <row r="1846" spans="1:27" x14ac:dyDescent="0.3">
      <c r="A1846">
        <v>1845</v>
      </c>
      <c r="B1846">
        <v>508819.83980519598</v>
      </c>
      <c r="C1846">
        <v>0.32620534602067203</v>
      </c>
      <c r="D1846">
        <v>0.116988983061785</v>
      </c>
      <c r="E1846">
        <v>0.50029806712112601</v>
      </c>
      <c r="F1846">
        <v>1</v>
      </c>
      <c r="G1846" t="s">
        <v>12</v>
      </c>
      <c r="H1846">
        <v>0</v>
      </c>
      <c r="I1846">
        <v>254561.58236742101</v>
      </c>
      <c r="J1846">
        <v>0.49970193287887299</v>
      </c>
      <c r="K1846" t="str">
        <f t="shared" si="224"/>
        <v>OK</v>
      </c>
      <c r="L1846" t="str">
        <f t="shared" si="225"/>
        <v>OK</v>
      </c>
      <c r="M1846" t="str">
        <f>IF(OR(B1846&lt;$AE$20,B1846&gt;$AF$20),"Outlier","OK")</f>
        <v>OK</v>
      </c>
      <c r="N1846" t="str">
        <f>IF(OR(J1846&lt;$AE$21,J1846&gt;$AF$21),"Outlier","OK")</f>
        <v>OK</v>
      </c>
      <c r="O1846" t="str">
        <f>IF(OR(C1846&lt;0,C1846&gt;1),"Outlier","OK")</f>
        <v>OK</v>
      </c>
      <c r="P1846" t="str">
        <f>IF(OR(D1846&lt;0,D1846&gt;1),"Outlier","OK")</f>
        <v>OK</v>
      </c>
      <c r="Q1846" t="str">
        <f t="shared" si="226"/>
        <v>40-60%</v>
      </c>
      <c r="R1846" t="str">
        <f>IF(B1846="","Missing","OK")</f>
        <v>OK</v>
      </c>
      <c r="S1846" t="str">
        <f>IF(E1846="","Missing","OK")</f>
        <v>OK</v>
      </c>
      <c r="T1846" t="str">
        <f t="shared" si="227"/>
        <v>OK</v>
      </c>
      <c r="U1846">
        <f>COUNTIF($A:$A,A1846)</f>
        <v>1</v>
      </c>
      <c r="V1846" t="str">
        <f t="shared" si="228"/>
        <v>OK</v>
      </c>
      <c r="W1846" t="str">
        <f>IF(I1846&gt;B1846,"ERROR","OK")</f>
        <v>OK</v>
      </c>
      <c r="X1846">
        <f>(B1846-I1846)/B1846</f>
        <v>0.49970193287887305</v>
      </c>
      <c r="Y1846" s="2">
        <f t="shared" si="229"/>
        <v>5.5511151231257827E-17</v>
      </c>
      <c r="Z1846" s="2" t="str">
        <f t="shared" si="230"/>
        <v>OK</v>
      </c>
      <c r="AA1846" t="str">
        <f t="shared" si="231"/>
        <v>Unique</v>
      </c>
    </row>
    <row r="1847" spans="1:27" x14ac:dyDescent="0.3">
      <c r="A1847">
        <v>1846</v>
      </c>
      <c r="B1847">
        <v>1256687.48170725</v>
      </c>
      <c r="C1847">
        <v>0.89779331585940503</v>
      </c>
      <c r="D1847">
        <v>0.104796430117435</v>
      </c>
      <c r="E1847">
        <v>0.22676663132914701</v>
      </c>
      <c r="F1847">
        <v>1</v>
      </c>
      <c r="G1847" t="s">
        <v>11</v>
      </c>
      <c r="H1847">
        <v>0</v>
      </c>
      <c r="I1847">
        <v>284974.78686026501</v>
      </c>
      <c r="J1847">
        <v>0.77323336867085202</v>
      </c>
      <c r="K1847" t="str">
        <f t="shared" si="224"/>
        <v>OK</v>
      </c>
      <c r="L1847" t="str">
        <f t="shared" si="225"/>
        <v>OK</v>
      </c>
      <c r="M1847" t="str">
        <f>IF(OR(B1847&lt;$AE$20,B1847&gt;$AF$20),"Outlier","OK")</f>
        <v>OK</v>
      </c>
      <c r="N1847" t="str">
        <f>IF(OR(J1847&lt;$AE$21,J1847&gt;$AF$21),"Outlier","OK")</f>
        <v>OK</v>
      </c>
      <c r="O1847" t="str">
        <f>IF(OR(C1847&lt;0,C1847&gt;1),"Outlier","OK")</f>
        <v>OK</v>
      </c>
      <c r="P1847" t="str">
        <f>IF(OR(D1847&lt;0,D1847&gt;1),"Outlier","OK")</f>
        <v>OK</v>
      </c>
      <c r="Q1847" t="str">
        <f t="shared" si="226"/>
        <v>60-80%</v>
      </c>
      <c r="R1847" t="str">
        <f>IF(B1847="","Missing","OK")</f>
        <v>OK</v>
      </c>
      <c r="S1847" t="str">
        <f>IF(E1847="","Missing","OK")</f>
        <v>OK</v>
      </c>
      <c r="T1847" t="str">
        <f t="shared" si="227"/>
        <v>OK</v>
      </c>
      <c r="U1847">
        <f>COUNTIF($A:$A,A1847)</f>
        <v>1</v>
      </c>
      <c r="V1847" t="str">
        <f t="shared" si="228"/>
        <v>OK</v>
      </c>
      <c r="W1847" t="str">
        <f>IF(I1847&gt;B1847,"ERROR","OK")</f>
        <v>OK</v>
      </c>
      <c r="X1847">
        <f>(B1847-I1847)/B1847</f>
        <v>0.77323336867085068</v>
      </c>
      <c r="Y1847" s="2">
        <f t="shared" si="229"/>
        <v>1.3322676295501878E-15</v>
      </c>
      <c r="Z1847" s="2" t="str">
        <f t="shared" si="230"/>
        <v>OK</v>
      </c>
      <c r="AA1847" t="str">
        <f t="shared" si="231"/>
        <v>Unique</v>
      </c>
    </row>
    <row r="1848" spans="1:27" x14ac:dyDescent="0.3">
      <c r="A1848">
        <v>1847</v>
      </c>
      <c r="B1848">
        <v>1563711.3323176301</v>
      </c>
      <c r="C1848">
        <v>0.50390424160478697</v>
      </c>
      <c r="D1848">
        <v>0.141558432499022</v>
      </c>
      <c r="E1848">
        <v>0.24498786907599901</v>
      </c>
      <c r="F1848">
        <v>1</v>
      </c>
      <c r="G1848" t="s">
        <v>13</v>
      </c>
      <c r="H1848">
        <v>1</v>
      </c>
      <c r="I1848">
        <v>383090.30715448898</v>
      </c>
      <c r="J1848">
        <v>0.75501213092399999</v>
      </c>
      <c r="K1848" t="str">
        <f t="shared" si="224"/>
        <v>OK</v>
      </c>
      <c r="L1848" t="str">
        <f t="shared" si="225"/>
        <v>OK</v>
      </c>
      <c r="M1848" t="str">
        <f>IF(OR(B1848&lt;$AE$20,B1848&gt;$AF$20),"Outlier","OK")</f>
        <v>OK</v>
      </c>
      <c r="N1848" t="str">
        <f>IF(OR(J1848&lt;$AE$21,J1848&gt;$AF$21),"Outlier","OK")</f>
        <v>OK</v>
      </c>
      <c r="O1848" t="str">
        <f>IF(OR(C1848&lt;0,C1848&gt;1),"Outlier","OK")</f>
        <v>OK</v>
      </c>
      <c r="P1848" t="str">
        <f>IF(OR(D1848&lt;0,D1848&gt;1),"Outlier","OK")</f>
        <v>OK</v>
      </c>
      <c r="Q1848" t="str">
        <f t="shared" si="226"/>
        <v>60-80%</v>
      </c>
      <c r="R1848" t="str">
        <f>IF(B1848="","Missing","OK")</f>
        <v>OK</v>
      </c>
      <c r="S1848" t="str">
        <f>IF(E1848="","Missing","OK")</f>
        <v>OK</v>
      </c>
      <c r="T1848" t="str">
        <f t="shared" si="227"/>
        <v>OK</v>
      </c>
      <c r="U1848">
        <f>COUNTIF($A:$A,A1848)</f>
        <v>1</v>
      </c>
      <c r="V1848" t="str">
        <f t="shared" si="228"/>
        <v>OK</v>
      </c>
      <c r="W1848" t="str">
        <f>IF(I1848&gt;B1848,"ERROR","OK")</f>
        <v>OK</v>
      </c>
      <c r="X1848">
        <f>(B1848-I1848)/B1848</f>
        <v>0.7550121309240001</v>
      </c>
      <c r="Y1848" s="2">
        <f t="shared" si="229"/>
        <v>1.1102230246251565E-16</v>
      </c>
      <c r="Z1848" s="2" t="str">
        <f t="shared" si="230"/>
        <v>OK</v>
      </c>
      <c r="AA1848" t="str">
        <f t="shared" si="231"/>
        <v>Unique</v>
      </c>
    </row>
    <row r="1849" spans="1:27" x14ac:dyDescent="0.3">
      <c r="A1849">
        <v>1848</v>
      </c>
      <c r="B1849">
        <v>1416951.81573562</v>
      </c>
      <c r="C1849">
        <v>0.584331305038013</v>
      </c>
      <c r="D1849">
        <v>-1.42822327050101E-2</v>
      </c>
      <c r="E1849">
        <v>0.34483809660647402</v>
      </c>
      <c r="F1849">
        <v>1</v>
      </c>
      <c r="G1849" t="s">
        <v>12</v>
      </c>
      <c r="H1849">
        <v>0</v>
      </c>
      <c r="I1849">
        <v>488618.967121361</v>
      </c>
      <c r="J1849">
        <v>0.65516190339352498</v>
      </c>
      <c r="K1849" t="str">
        <f t="shared" si="224"/>
        <v>OK</v>
      </c>
      <c r="L1849" t="str">
        <f t="shared" si="225"/>
        <v>OK</v>
      </c>
      <c r="M1849" t="str">
        <f>IF(OR(B1849&lt;$AE$20,B1849&gt;$AF$20),"Outlier","OK")</f>
        <v>OK</v>
      </c>
      <c r="N1849" t="str">
        <f>IF(OR(J1849&lt;$AE$21,J1849&gt;$AF$21),"Outlier","OK")</f>
        <v>OK</v>
      </c>
      <c r="O1849" t="str">
        <f>IF(OR(C1849&lt;0,C1849&gt;1),"Outlier","OK")</f>
        <v>OK</v>
      </c>
      <c r="P1849" t="str">
        <f>IF(OR(D1849&lt;0,D1849&gt;1),"Outlier","OK")</f>
        <v>Outlier</v>
      </c>
      <c r="Q1849" t="str">
        <f t="shared" si="226"/>
        <v>60-80%</v>
      </c>
      <c r="R1849" t="str">
        <f>IF(B1849="","Missing","OK")</f>
        <v>OK</v>
      </c>
      <c r="S1849" t="str">
        <f>IF(E1849="","Missing","OK")</f>
        <v>OK</v>
      </c>
      <c r="T1849" t="str">
        <f t="shared" si="227"/>
        <v>OK</v>
      </c>
      <c r="U1849">
        <f>COUNTIF($A:$A,A1849)</f>
        <v>1</v>
      </c>
      <c r="V1849" t="str">
        <f t="shared" si="228"/>
        <v>OK</v>
      </c>
      <c r="W1849" t="str">
        <f>IF(I1849&gt;B1849,"ERROR","OK")</f>
        <v>OK</v>
      </c>
      <c r="X1849">
        <f>(B1849-I1849)/B1849</f>
        <v>0.6551619033935242</v>
      </c>
      <c r="Y1849" s="2">
        <f t="shared" si="229"/>
        <v>7.7715611723760958E-16</v>
      </c>
      <c r="Z1849" s="2" t="str">
        <f t="shared" si="230"/>
        <v>OK</v>
      </c>
      <c r="AA1849" t="str">
        <f t="shared" si="231"/>
        <v>Unique</v>
      </c>
    </row>
    <row r="1850" spans="1:27" x14ac:dyDescent="0.3">
      <c r="A1850">
        <v>1849</v>
      </c>
      <c r="B1850">
        <v>907230.89648530702</v>
      </c>
      <c r="C1850">
        <v>0.111836467677166</v>
      </c>
      <c r="D1850">
        <v>-0.172966509056658</v>
      </c>
      <c r="E1850">
        <v>0.52413633879238597</v>
      </c>
      <c r="F1850">
        <v>1</v>
      </c>
      <c r="G1850" t="s">
        <v>10</v>
      </c>
      <c r="H1850">
        <v>0</v>
      </c>
      <c r="I1850">
        <v>475512.68052314298</v>
      </c>
      <c r="J1850">
        <v>0.47586366120761298</v>
      </c>
      <c r="K1850" t="str">
        <f t="shared" si="224"/>
        <v>OK</v>
      </c>
      <c r="L1850" t="str">
        <f t="shared" si="225"/>
        <v>OK</v>
      </c>
      <c r="M1850" t="str">
        <f>IF(OR(B1850&lt;$AE$20,B1850&gt;$AF$20),"Outlier","OK")</f>
        <v>OK</v>
      </c>
      <c r="N1850" t="str">
        <f>IF(OR(J1850&lt;$AE$21,J1850&gt;$AF$21),"Outlier","OK")</f>
        <v>OK</v>
      </c>
      <c r="O1850" t="str">
        <f>IF(OR(C1850&lt;0,C1850&gt;1),"Outlier","OK")</f>
        <v>OK</v>
      </c>
      <c r="P1850" t="str">
        <f>IF(OR(D1850&lt;0,D1850&gt;1),"Outlier","OK")</f>
        <v>Outlier</v>
      </c>
      <c r="Q1850" t="str">
        <f t="shared" si="226"/>
        <v>40-60%</v>
      </c>
      <c r="R1850" t="str">
        <f>IF(B1850="","Missing","OK")</f>
        <v>OK</v>
      </c>
      <c r="S1850" t="str">
        <f>IF(E1850="","Missing","OK")</f>
        <v>OK</v>
      </c>
      <c r="T1850" t="str">
        <f t="shared" si="227"/>
        <v>OK</v>
      </c>
      <c r="U1850">
        <f>COUNTIF($A:$A,A1850)</f>
        <v>1</v>
      </c>
      <c r="V1850" t="str">
        <f t="shared" si="228"/>
        <v>OK</v>
      </c>
      <c r="W1850" t="str">
        <f>IF(I1850&gt;B1850,"ERROR","OK")</f>
        <v>OK</v>
      </c>
      <c r="X1850">
        <f>(B1850-I1850)/B1850</f>
        <v>0.47586366120761397</v>
      </c>
      <c r="Y1850" s="2">
        <f t="shared" si="229"/>
        <v>9.9920072216264089E-16</v>
      </c>
      <c r="Z1850" s="2" t="str">
        <f t="shared" si="230"/>
        <v>OK</v>
      </c>
      <c r="AA1850" t="str">
        <f t="shared" si="231"/>
        <v>Unique</v>
      </c>
    </row>
    <row r="1851" spans="1:27" x14ac:dyDescent="0.3">
      <c r="A1851">
        <v>1850</v>
      </c>
      <c r="B1851">
        <v>1864178.99462281</v>
      </c>
      <c r="C1851">
        <v>0.256091879755456</v>
      </c>
      <c r="D1851">
        <v>-7.10711502629367E-2</v>
      </c>
      <c r="E1851">
        <v>0.124352331812214</v>
      </c>
      <c r="F1851">
        <v>1</v>
      </c>
      <c r="G1851" t="s">
        <v>10</v>
      </c>
      <c r="H1851">
        <v>0</v>
      </c>
      <c r="I1851">
        <v>231815.00489669599</v>
      </c>
      <c r="J1851">
        <v>0.87564766818778506</v>
      </c>
      <c r="K1851" t="str">
        <f t="shared" si="224"/>
        <v>OK</v>
      </c>
      <c r="L1851" t="str">
        <f t="shared" si="225"/>
        <v>OK</v>
      </c>
      <c r="M1851" t="str">
        <f>IF(OR(B1851&lt;$AE$20,B1851&gt;$AF$20),"Outlier","OK")</f>
        <v>OK</v>
      </c>
      <c r="N1851" t="str">
        <f>IF(OR(J1851&lt;$AE$21,J1851&gt;$AF$21),"Outlier","OK")</f>
        <v>OK</v>
      </c>
      <c r="O1851" t="str">
        <f>IF(OR(C1851&lt;0,C1851&gt;1),"Outlier","OK")</f>
        <v>OK</v>
      </c>
      <c r="P1851" t="str">
        <f>IF(OR(D1851&lt;0,D1851&gt;1),"Outlier","OK")</f>
        <v>Outlier</v>
      </c>
      <c r="Q1851" t="str">
        <f t="shared" si="226"/>
        <v>80-100%</v>
      </c>
      <c r="R1851" t="str">
        <f>IF(B1851="","Missing","OK")</f>
        <v>OK</v>
      </c>
      <c r="S1851" t="str">
        <f>IF(E1851="","Missing","OK")</f>
        <v>OK</v>
      </c>
      <c r="T1851" t="str">
        <f t="shared" si="227"/>
        <v>OK</v>
      </c>
      <c r="U1851">
        <f>COUNTIF($A:$A,A1851)</f>
        <v>1</v>
      </c>
      <c r="V1851" t="str">
        <f t="shared" si="228"/>
        <v>OK</v>
      </c>
      <c r="W1851" t="str">
        <f>IF(I1851&gt;B1851,"ERROR","OK")</f>
        <v>OK</v>
      </c>
      <c r="X1851">
        <f>(B1851-I1851)/B1851</f>
        <v>0.87564766818778561</v>
      </c>
      <c r="Y1851" s="2">
        <f t="shared" si="229"/>
        <v>5.5511151231257827E-16</v>
      </c>
      <c r="Z1851" s="2" t="str">
        <f t="shared" si="230"/>
        <v>OK</v>
      </c>
      <c r="AA1851" t="str">
        <f t="shared" si="231"/>
        <v>Unique</v>
      </c>
    </row>
    <row r="1852" spans="1:27" x14ac:dyDescent="0.3">
      <c r="A1852">
        <v>1851</v>
      </c>
      <c r="B1852">
        <v>365567.15432905901</v>
      </c>
      <c r="C1852">
        <v>0.82049350304528101</v>
      </c>
      <c r="D1852">
        <v>-3.46016605264676E-3</v>
      </c>
      <c r="E1852">
        <v>0.188309293322002</v>
      </c>
      <c r="F1852">
        <v>1</v>
      </c>
      <c r="G1852" t="s">
        <v>10</v>
      </c>
      <c r="H1852">
        <v>0</v>
      </c>
      <c r="I1852">
        <v>68839.692493440496</v>
      </c>
      <c r="J1852">
        <v>0.81169070667799703</v>
      </c>
      <c r="K1852" t="str">
        <f t="shared" si="224"/>
        <v>OK</v>
      </c>
      <c r="L1852" t="str">
        <f t="shared" si="225"/>
        <v>OK</v>
      </c>
      <c r="M1852" t="str">
        <f>IF(OR(B1852&lt;$AE$20,B1852&gt;$AF$20),"Outlier","OK")</f>
        <v>OK</v>
      </c>
      <c r="N1852" t="str">
        <f>IF(OR(J1852&lt;$AE$21,J1852&gt;$AF$21),"Outlier","OK")</f>
        <v>OK</v>
      </c>
      <c r="O1852" t="str">
        <f>IF(OR(C1852&lt;0,C1852&gt;1),"Outlier","OK")</f>
        <v>OK</v>
      </c>
      <c r="P1852" t="str">
        <f>IF(OR(D1852&lt;0,D1852&gt;1),"Outlier","OK")</f>
        <v>Outlier</v>
      </c>
      <c r="Q1852" t="str">
        <f t="shared" si="226"/>
        <v>80-100%</v>
      </c>
      <c r="R1852" t="str">
        <f>IF(B1852="","Missing","OK")</f>
        <v>OK</v>
      </c>
      <c r="S1852" t="str">
        <f>IF(E1852="","Missing","OK")</f>
        <v>OK</v>
      </c>
      <c r="T1852" t="str">
        <f t="shared" si="227"/>
        <v>OK</v>
      </c>
      <c r="U1852">
        <f>COUNTIF($A:$A,A1852)</f>
        <v>1</v>
      </c>
      <c r="V1852" t="str">
        <f t="shared" si="228"/>
        <v>OK</v>
      </c>
      <c r="W1852" t="str">
        <f>IF(I1852&gt;B1852,"ERROR","OK")</f>
        <v>OK</v>
      </c>
      <c r="X1852">
        <f>(B1852-I1852)/B1852</f>
        <v>0.81169070667799748</v>
      </c>
      <c r="Y1852" s="2">
        <f t="shared" si="229"/>
        <v>4.4408920985006262E-16</v>
      </c>
      <c r="Z1852" s="2" t="str">
        <f t="shared" si="230"/>
        <v>OK</v>
      </c>
      <c r="AA1852" t="str">
        <f t="shared" si="231"/>
        <v>Unique</v>
      </c>
    </row>
    <row r="1853" spans="1:27" x14ac:dyDescent="0.3">
      <c r="A1853">
        <v>1852</v>
      </c>
      <c r="B1853">
        <v>1454016.08059684</v>
      </c>
      <c r="C1853">
        <v>0.393065621183527</v>
      </c>
      <c r="D1853">
        <v>0.174926118324605</v>
      </c>
      <c r="E1853">
        <v>1.1648854704738001E-2</v>
      </c>
      <c r="F1853">
        <v>1</v>
      </c>
      <c r="G1853" t="s">
        <v>12</v>
      </c>
      <c r="H1853">
        <v>0</v>
      </c>
      <c r="I1853">
        <v>16937.622061225298</v>
      </c>
      <c r="J1853">
        <v>0.98835114529526102</v>
      </c>
      <c r="K1853" t="str">
        <f t="shared" si="224"/>
        <v>OK</v>
      </c>
      <c r="L1853" t="str">
        <f t="shared" si="225"/>
        <v>OK</v>
      </c>
      <c r="M1853" t="str">
        <f>IF(OR(B1853&lt;$AE$20,B1853&gt;$AF$20),"Outlier","OK")</f>
        <v>OK</v>
      </c>
      <c r="N1853" t="str">
        <f>IF(OR(J1853&lt;$AE$21,J1853&gt;$AF$21),"Outlier","OK")</f>
        <v>Outlier</v>
      </c>
      <c r="O1853" t="str">
        <f>IF(OR(C1853&lt;0,C1853&gt;1),"Outlier","OK")</f>
        <v>OK</v>
      </c>
      <c r="P1853" t="str">
        <f>IF(OR(D1853&lt;0,D1853&gt;1),"Outlier","OK")</f>
        <v>OK</v>
      </c>
      <c r="Q1853" t="str">
        <f t="shared" si="226"/>
        <v>80-100%</v>
      </c>
      <c r="R1853" t="str">
        <f>IF(B1853="","Missing","OK")</f>
        <v>OK</v>
      </c>
      <c r="S1853" t="str">
        <f>IF(E1853="","Missing","OK")</f>
        <v>OK</v>
      </c>
      <c r="T1853" t="str">
        <f t="shared" si="227"/>
        <v>OK</v>
      </c>
      <c r="U1853">
        <f>COUNTIF($A:$A,A1853)</f>
        <v>1</v>
      </c>
      <c r="V1853" t="str">
        <f t="shared" si="228"/>
        <v>OK</v>
      </c>
      <c r="W1853" t="str">
        <f>IF(I1853&gt;B1853,"ERROR","OK")</f>
        <v>OK</v>
      </c>
      <c r="X1853">
        <f>(B1853-I1853)/B1853</f>
        <v>0.98835114529526191</v>
      </c>
      <c r="Y1853" s="2">
        <f t="shared" si="229"/>
        <v>8.8817841970012523E-16</v>
      </c>
      <c r="Z1853" s="2" t="str">
        <f t="shared" si="230"/>
        <v>OK</v>
      </c>
      <c r="AA1853" t="str">
        <f t="shared" si="231"/>
        <v>Unique</v>
      </c>
    </row>
    <row r="1854" spans="1:27" x14ac:dyDescent="0.3">
      <c r="A1854">
        <v>1853</v>
      </c>
      <c r="B1854">
        <v>543701.86825319601</v>
      </c>
      <c r="C1854">
        <v>0.476631123270575</v>
      </c>
      <c r="D1854">
        <v>-7.5554992057225906E-2</v>
      </c>
      <c r="E1854">
        <v>3.21143114932151E-2</v>
      </c>
      <c r="F1854">
        <v>1</v>
      </c>
      <c r="G1854" t="s">
        <v>10</v>
      </c>
      <c r="H1854">
        <v>0</v>
      </c>
      <c r="I1854">
        <v>17460.611156526102</v>
      </c>
      <c r="J1854">
        <v>0.96788568850678403</v>
      </c>
      <c r="K1854" t="str">
        <f t="shared" si="224"/>
        <v>OK</v>
      </c>
      <c r="L1854" t="str">
        <f t="shared" si="225"/>
        <v>OK</v>
      </c>
      <c r="M1854" t="str">
        <f>IF(OR(B1854&lt;$AE$20,B1854&gt;$AF$20),"Outlier","OK")</f>
        <v>OK</v>
      </c>
      <c r="N1854" t="str">
        <f>IF(OR(J1854&lt;$AE$21,J1854&gt;$AF$21),"Outlier","OK")</f>
        <v>OK</v>
      </c>
      <c r="O1854" t="str">
        <f>IF(OR(C1854&lt;0,C1854&gt;1),"Outlier","OK")</f>
        <v>OK</v>
      </c>
      <c r="P1854" t="str">
        <f>IF(OR(D1854&lt;0,D1854&gt;1),"Outlier","OK")</f>
        <v>Outlier</v>
      </c>
      <c r="Q1854" t="str">
        <f t="shared" si="226"/>
        <v>80-100%</v>
      </c>
      <c r="R1854" t="str">
        <f>IF(B1854="","Missing","OK")</f>
        <v>OK</v>
      </c>
      <c r="S1854" t="str">
        <f>IF(E1854="","Missing","OK")</f>
        <v>OK</v>
      </c>
      <c r="T1854" t="str">
        <f t="shared" si="227"/>
        <v>OK</v>
      </c>
      <c r="U1854">
        <f>COUNTIF($A:$A,A1854)</f>
        <v>1</v>
      </c>
      <c r="V1854" t="str">
        <f t="shared" si="228"/>
        <v>OK</v>
      </c>
      <c r="W1854" t="str">
        <f>IF(I1854&gt;B1854,"ERROR","OK")</f>
        <v>OK</v>
      </c>
      <c r="X1854">
        <f>(B1854-I1854)/B1854</f>
        <v>0.96788568850678491</v>
      </c>
      <c r="Y1854" s="2">
        <f t="shared" si="229"/>
        <v>8.8817841970012523E-16</v>
      </c>
      <c r="Z1854" s="2" t="str">
        <f t="shared" si="230"/>
        <v>OK</v>
      </c>
      <c r="AA1854" t="str">
        <f t="shared" si="231"/>
        <v>Unique</v>
      </c>
    </row>
    <row r="1855" spans="1:27" x14ac:dyDescent="0.3">
      <c r="A1855">
        <v>1854</v>
      </c>
      <c r="B1855">
        <v>1391530.31947436</v>
      </c>
      <c r="C1855">
        <v>0.72544072706893903</v>
      </c>
      <c r="D1855">
        <v>0.119151864564997</v>
      </c>
      <c r="E1855">
        <v>0.39290463152226901</v>
      </c>
      <c r="F1855">
        <v>1</v>
      </c>
      <c r="G1855" t="s">
        <v>11</v>
      </c>
      <c r="H1855">
        <v>1</v>
      </c>
      <c r="I1855">
        <v>546738.70742514101</v>
      </c>
      <c r="J1855">
        <v>0.60709536847773005</v>
      </c>
      <c r="K1855" t="str">
        <f t="shared" si="224"/>
        <v>OK</v>
      </c>
      <c r="L1855" t="str">
        <f t="shared" si="225"/>
        <v>OK</v>
      </c>
      <c r="M1855" t="str">
        <f>IF(OR(B1855&lt;$AE$20,B1855&gt;$AF$20),"Outlier","OK")</f>
        <v>OK</v>
      </c>
      <c r="N1855" t="str">
        <f>IF(OR(J1855&lt;$AE$21,J1855&gt;$AF$21),"Outlier","OK")</f>
        <v>OK</v>
      </c>
      <c r="O1855" t="str">
        <f>IF(OR(C1855&lt;0,C1855&gt;1),"Outlier","OK")</f>
        <v>OK</v>
      </c>
      <c r="P1855" t="str">
        <f>IF(OR(D1855&lt;0,D1855&gt;1),"Outlier","OK")</f>
        <v>OK</v>
      </c>
      <c r="Q1855" t="str">
        <f t="shared" si="226"/>
        <v>60-80%</v>
      </c>
      <c r="R1855" t="str">
        <f>IF(B1855="","Missing","OK")</f>
        <v>OK</v>
      </c>
      <c r="S1855" t="str">
        <f>IF(E1855="","Missing","OK")</f>
        <v>OK</v>
      </c>
      <c r="T1855" t="str">
        <f t="shared" si="227"/>
        <v>OK</v>
      </c>
      <c r="U1855">
        <f>COUNTIF($A:$A,A1855)</f>
        <v>1</v>
      </c>
      <c r="V1855" t="str">
        <f t="shared" si="228"/>
        <v>OK</v>
      </c>
      <c r="W1855" t="str">
        <f>IF(I1855&gt;B1855,"ERROR","OK")</f>
        <v>OK</v>
      </c>
      <c r="X1855">
        <f>(B1855-I1855)/B1855</f>
        <v>0.60709536847772927</v>
      </c>
      <c r="Y1855" s="2">
        <f t="shared" si="229"/>
        <v>7.7715611723760958E-16</v>
      </c>
      <c r="Z1855" s="2" t="str">
        <f t="shared" si="230"/>
        <v>OK</v>
      </c>
      <c r="AA1855" t="str">
        <f t="shared" si="231"/>
        <v>Unique</v>
      </c>
    </row>
    <row r="1856" spans="1:27" x14ac:dyDescent="0.3">
      <c r="A1856">
        <v>1855</v>
      </c>
      <c r="B1856">
        <v>421711.70649073401</v>
      </c>
      <c r="C1856">
        <v>0.58458383260493996</v>
      </c>
      <c r="D1856">
        <v>1.5807202095106401E-2</v>
      </c>
      <c r="E1856">
        <v>0.76866742090903095</v>
      </c>
      <c r="F1856">
        <v>1</v>
      </c>
      <c r="G1856" t="s">
        <v>12</v>
      </c>
      <c r="H1856">
        <v>1</v>
      </c>
      <c r="I1856">
        <v>324156.04979537899</v>
      </c>
      <c r="J1856">
        <v>0.23133257909096899</v>
      </c>
      <c r="K1856" t="str">
        <f t="shared" si="224"/>
        <v>OK</v>
      </c>
      <c r="L1856" t="str">
        <f t="shared" si="225"/>
        <v>OK</v>
      </c>
      <c r="M1856" t="str">
        <f>IF(OR(B1856&lt;$AE$20,B1856&gt;$AF$20),"Outlier","OK")</f>
        <v>OK</v>
      </c>
      <c r="N1856" t="str">
        <f>IF(OR(J1856&lt;$AE$21,J1856&gt;$AF$21),"Outlier","OK")</f>
        <v>Outlier</v>
      </c>
      <c r="O1856" t="str">
        <f>IF(OR(C1856&lt;0,C1856&gt;1),"Outlier","OK")</f>
        <v>OK</v>
      </c>
      <c r="P1856" t="str">
        <f>IF(OR(D1856&lt;0,D1856&gt;1),"Outlier","OK")</f>
        <v>OK</v>
      </c>
      <c r="Q1856" t="str">
        <f t="shared" si="226"/>
        <v>20-40%</v>
      </c>
      <c r="R1856" t="str">
        <f>IF(B1856="","Missing","OK")</f>
        <v>OK</v>
      </c>
      <c r="S1856" t="str">
        <f>IF(E1856="","Missing","OK")</f>
        <v>OK</v>
      </c>
      <c r="T1856" t="str">
        <f t="shared" si="227"/>
        <v>OK</v>
      </c>
      <c r="U1856">
        <f>COUNTIF($A:$A,A1856)</f>
        <v>1</v>
      </c>
      <c r="V1856" t="str">
        <f t="shared" si="228"/>
        <v>OK</v>
      </c>
      <c r="W1856" t="str">
        <f>IF(I1856&gt;B1856,"ERROR","OK")</f>
        <v>OK</v>
      </c>
      <c r="X1856">
        <f>(B1856-I1856)/B1856</f>
        <v>0.23133257909096849</v>
      </c>
      <c r="Y1856" s="2">
        <f t="shared" si="229"/>
        <v>4.9960036108132044E-16</v>
      </c>
      <c r="Z1856" s="2" t="str">
        <f t="shared" si="230"/>
        <v>OK</v>
      </c>
      <c r="AA1856" t="str">
        <f t="shared" si="231"/>
        <v>Unique</v>
      </c>
    </row>
    <row r="1857" spans="1:27" x14ac:dyDescent="0.3">
      <c r="A1857">
        <v>1856</v>
      </c>
      <c r="B1857">
        <v>143172.959112663</v>
      </c>
      <c r="C1857">
        <v>0.55609315114319502</v>
      </c>
      <c r="D1857">
        <v>9.3207187007633793E-2</v>
      </c>
      <c r="E1857">
        <v>0.43044949883498002</v>
      </c>
      <c r="F1857">
        <v>1</v>
      </c>
      <c r="G1857" t="s">
        <v>12</v>
      </c>
      <c r="H1857">
        <v>1</v>
      </c>
      <c r="I1857">
        <v>61628.728496767202</v>
      </c>
      <c r="J1857">
        <v>0.56955050116501904</v>
      </c>
      <c r="K1857" t="str">
        <f t="shared" si="224"/>
        <v>OK</v>
      </c>
      <c r="L1857" t="str">
        <f t="shared" si="225"/>
        <v>OK</v>
      </c>
      <c r="M1857" t="str">
        <f>IF(OR(B1857&lt;$AE$20,B1857&gt;$AF$20),"Outlier","OK")</f>
        <v>OK</v>
      </c>
      <c r="N1857" t="str">
        <f>IF(OR(J1857&lt;$AE$21,J1857&gt;$AF$21),"Outlier","OK")</f>
        <v>OK</v>
      </c>
      <c r="O1857" t="str">
        <f>IF(OR(C1857&lt;0,C1857&gt;1),"Outlier","OK")</f>
        <v>OK</v>
      </c>
      <c r="P1857" t="str">
        <f>IF(OR(D1857&lt;0,D1857&gt;1),"Outlier","OK")</f>
        <v>OK</v>
      </c>
      <c r="Q1857" t="str">
        <f t="shared" si="226"/>
        <v>40-60%</v>
      </c>
      <c r="R1857" t="str">
        <f>IF(B1857="","Missing","OK")</f>
        <v>OK</v>
      </c>
      <c r="S1857" t="str">
        <f>IF(E1857="","Missing","OK")</f>
        <v>OK</v>
      </c>
      <c r="T1857" t="str">
        <f t="shared" si="227"/>
        <v>OK</v>
      </c>
      <c r="U1857">
        <f>COUNTIF($A:$A,A1857)</f>
        <v>1</v>
      </c>
      <c r="V1857" t="str">
        <f t="shared" si="228"/>
        <v>OK</v>
      </c>
      <c r="W1857" t="str">
        <f>IF(I1857&gt;B1857,"ERROR","OK")</f>
        <v>OK</v>
      </c>
      <c r="X1857">
        <f>(B1857-I1857)/B1857</f>
        <v>0.56955050116501771</v>
      </c>
      <c r="Y1857" s="2">
        <f t="shared" si="229"/>
        <v>1.3322676295501878E-15</v>
      </c>
      <c r="Z1857" s="2" t="str">
        <f t="shared" si="230"/>
        <v>OK</v>
      </c>
      <c r="AA1857" t="str">
        <f t="shared" si="231"/>
        <v>Unique</v>
      </c>
    </row>
    <row r="1858" spans="1:27" x14ac:dyDescent="0.3">
      <c r="A1858">
        <v>1857</v>
      </c>
      <c r="B1858">
        <v>1580345.12811122</v>
      </c>
      <c r="C1858">
        <v>0.82465357736034195</v>
      </c>
      <c r="D1858">
        <v>3.7999236283468601E-2</v>
      </c>
      <c r="E1858">
        <v>0.35344628884665602</v>
      </c>
      <c r="F1858">
        <v>1</v>
      </c>
      <c r="G1858" t="s">
        <v>10</v>
      </c>
      <c r="H1858">
        <v>0</v>
      </c>
      <c r="I1858">
        <v>558567.12062780606</v>
      </c>
      <c r="J1858">
        <v>0.64655371115334304</v>
      </c>
      <c r="K1858" t="str">
        <f t="shared" si="224"/>
        <v>OK</v>
      </c>
      <c r="L1858" t="str">
        <f t="shared" si="225"/>
        <v>OK</v>
      </c>
      <c r="M1858" t="str">
        <f>IF(OR(B1858&lt;$AE$20,B1858&gt;$AF$20),"Outlier","OK")</f>
        <v>OK</v>
      </c>
      <c r="N1858" t="str">
        <f>IF(OR(J1858&lt;$AE$21,J1858&gt;$AF$21),"Outlier","OK")</f>
        <v>OK</v>
      </c>
      <c r="O1858" t="str">
        <f>IF(OR(C1858&lt;0,C1858&gt;1),"Outlier","OK")</f>
        <v>OK</v>
      </c>
      <c r="P1858" t="str">
        <f>IF(OR(D1858&lt;0,D1858&gt;1),"Outlier","OK")</f>
        <v>OK</v>
      </c>
      <c r="Q1858" t="str">
        <f t="shared" si="226"/>
        <v>60-80%</v>
      </c>
      <c r="R1858" t="str">
        <f>IF(B1858="","Missing","OK")</f>
        <v>OK</v>
      </c>
      <c r="S1858" t="str">
        <f>IF(E1858="","Missing","OK")</f>
        <v>OK</v>
      </c>
      <c r="T1858" t="str">
        <f t="shared" si="227"/>
        <v>OK</v>
      </c>
      <c r="U1858">
        <f>COUNTIF($A:$A,A1858)</f>
        <v>1</v>
      </c>
      <c r="V1858" t="str">
        <f t="shared" si="228"/>
        <v>OK</v>
      </c>
      <c r="W1858" t="str">
        <f>IF(I1858&gt;B1858,"ERROR","OK")</f>
        <v>OK</v>
      </c>
      <c r="X1858">
        <f>(B1858-I1858)/B1858</f>
        <v>0.64655371115334259</v>
      </c>
      <c r="Y1858" s="2">
        <f t="shared" si="229"/>
        <v>4.4408920985006262E-16</v>
      </c>
      <c r="Z1858" s="2" t="str">
        <f t="shared" si="230"/>
        <v>OK</v>
      </c>
      <c r="AA1858" t="str">
        <f t="shared" si="231"/>
        <v>Unique</v>
      </c>
    </row>
    <row r="1859" spans="1:27" x14ac:dyDescent="0.3">
      <c r="A1859">
        <v>1858</v>
      </c>
      <c r="B1859">
        <v>1644020.19746344</v>
      </c>
      <c r="C1859">
        <v>0.75489146928900497</v>
      </c>
      <c r="D1859">
        <v>-0.17151089402062</v>
      </c>
      <c r="E1859">
        <v>0.12566484533157701</v>
      </c>
      <c r="F1859">
        <v>1</v>
      </c>
      <c r="G1859" t="s">
        <v>13</v>
      </c>
      <c r="H1859">
        <v>0</v>
      </c>
      <c r="I1859">
        <v>206595.543836233</v>
      </c>
      <c r="J1859">
        <v>0.87433515466842204</v>
      </c>
      <c r="K1859" t="str">
        <f t="shared" ref="K1859:K1922" si="232">IF(OR(J1859&lt;0,J1859&gt;1),"Error","OK")</f>
        <v>OK</v>
      </c>
      <c r="L1859" t="str">
        <f t="shared" ref="L1859:L1922" si="233">IF(I1859&gt;B1859,"Error","OK")</f>
        <v>OK</v>
      </c>
      <c r="M1859" t="str">
        <f>IF(OR(B1859&lt;$AE$20,B1859&gt;$AF$20),"Outlier","OK")</f>
        <v>OK</v>
      </c>
      <c r="N1859" t="str">
        <f>IF(OR(J1859&lt;$AE$21,J1859&gt;$AF$21),"Outlier","OK")</f>
        <v>OK</v>
      </c>
      <c r="O1859" t="str">
        <f>IF(OR(C1859&lt;0,C1859&gt;1),"Outlier","OK")</f>
        <v>OK</v>
      </c>
      <c r="P1859" t="str">
        <f>IF(OR(D1859&lt;0,D1859&gt;1),"Outlier","OK")</f>
        <v>Outlier</v>
      </c>
      <c r="Q1859" t="str">
        <f t="shared" ref="Q1859:Q1922" si="234">IF(J1859&lt;=0.2,"0-20%",
 IF(J1859&lt;=0.4,"20-40%",
 IF(J1859&lt;=0.6,"40-60%",
 IF(J1859&lt;=0.8,"60-80%","80-100%"))))</f>
        <v>80-100%</v>
      </c>
      <c r="R1859" t="str">
        <f>IF(B1859="","Missing","OK")</f>
        <v>OK</v>
      </c>
      <c r="S1859" t="str">
        <f>IF(E1859="","Missing","OK")</f>
        <v>OK</v>
      </c>
      <c r="T1859" t="str">
        <f t="shared" ref="T1859:T1922" si="235">IF(J1859="","Missing","OK")</f>
        <v>OK</v>
      </c>
      <c r="U1859">
        <f>COUNTIF($A:$A,A1859)</f>
        <v>1</v>
      </c>
      <c r="V1859" t="str">
        <f t="shared" ref="V1859:V1922" si="236">IF(OR(J1859&lt;0,J1859&gt;1),"ERROR","OK")</f>
        <v>OK</v>
      </c>
      <c r="W1859" t="str">
        <f>IF(I1859&gt;B1859,"ERROR","OK")</f>
        <v>OK</v>
      </c>
      <c r="X1859">
        <f>(B1859-I1859)/B1859</f>
        <v>0.87433515466842238</v>
      </c>
      <c r="Y1859" s="2">
        <f t="shared" ref="Y1859:Y1922" si="237">ABS(J1859-X1859)</f>
        <v>3.3306690738754696E-16</v>
      </c>
      <c r="Z1859" s="2" t="str">
        <f t="shared" ref="Z1859:Z1922" si="238">IF(OR(B1859="",I1859="",J1859=""),"Missing","OK")</f>
        <v>OK</v>
      </c>
      <c r="AA1859" t="str">
        <f t="shared" ref="AA1859:AA1922" si="239">IF(COUNTIF($A:$A,A1859)&gt;1,"Duplicate","Unique")</f>
        <v>Unique</v>
      </c>
    </row>
    <row r="1860" spans="1:27" x14ac:dyDescent="0.3">
      <c r="A1860">
        <v>1859</v>
      </c>
      <c r="B1860">
        <v>366738.18647274497</v>
      </c>
      <c r="C1860">
        <v>0.75932527255538795</v>
      </c>
      <c r="D1860">
        <v>-0.175980176607794</v>
      </c>
      <c r="E1860">
        <v>8.2401220544779705E-2</v>
      </c>
      <c r="F1860">
        <v>1</v>
      </c>
      <c r="G1860" t="s">
        <v>13</v>
      </c>
      <c r="H1860">
        <v>0</v>
      </c>
      <c r="I1860">
        <v>30219.6741857333</v>
      </c>
      <c r="J1860">
        <v>0.91759877945521995</v>
      </c>
      <c r="K1860" t="str">
        <f t="shared" si="232"/>
        <v>OK</v>
      </c>
      <c r="L1860" t="str">
        <f t="shared" si="233"/>
        <v>OK</v>
      </c>
      <c r="M1860" t="str">
        <f>IF(OR(B1860&lt;$AE$20,B1860&gt;$AF$20),"Outlier","OK")</f>
        <v>OK</v>
      </c>
      <c r="N1860" t="str">
        <f>IF(OR(J1860&lt;$AE$21,J1860&gt;$AF$21),"Outlier","OK")</f>
        <v>OK</v>
      </c>
      <c r="O1860" t="str">
        <f>IF(OR(C1860&lt;0,C1860&gt;1),"Outlier","OK")</f>
        <v>OK</v>
      </c>
      <c r="P1860" t="str">
        <f>IF(OR(D1860&lt;0,D1860&gt;1),"Outlier","OK")</f>
        <v>Outlier</v>
      </c>
      <c r="Q1860" t="str">
        <f t="shared" si="234"/>
        <v>80-100%</v>
      </c>
      <c r="R1860" t="str">
        <f>IF(B1860="","Missing","OK")</f>
        <v>OK</v>
      </c>
      <c r="S1860" t="str">
        <f>IF(E1860="","Missing","OK")</f>
        <v>OK</v>
      </c>
      <c r="T1860" t="str">
        <f t="shared" si="235"/>
        <v>OK</v>
      </c>
      <c r="U1860">
        <f>COUNTIF($A:$A,A1860)</f>
        <v>1</v>
      </c>
      <c r="V1860" t="str">
        <f t="shared" si="236"/>
        <v>OK</v>
      </c>
      <c r="W1860" t="str">
        <f>IF(I1860&gt;B1860,"ERROR","OK")</f>
        <v>OK</v>
      </c>
      <c r="X1860">
        <f>(B1860-I1860)/B1860</f>
        <v>0.91759877945521995</v>
      </c>
      <c r="Y1860" s="2">
        <f t="shared" si="237"/>
        <v>0</v>
      </c>
      <c r="Z1860" s="2" t="str">
        <f t="shared" si="238"/>
        <v>OK</v>
      </c>
      <c r="AA1860" t="str">
        <f t="shared" si="239"/>
        <v>Unique</v>
      </c>
    </row>
    <row r="1861" spans="1:27" x14ac:dyDescent="0.3">
      <c r="A1861">
        <v>1860</v>
      </c>
      <c r="B1861">
        <v>1623844.1012234499</v>
      </c>
      <c r="C1861">
        <v>0.37270764148451602</v>
      </c>
      <c r="D1861">
        <v>4.42696069654318E-2</v>
      </c>
      <c r="E1861">
        <v>0.31550813658342602</v>
      </c>
      <c r="F1861">
        <v>1</v>
      </c>
      <c r="G1861" t="s">
        <v>12</v>
      </c>
      <c r="H1861">
        <v>0</v>
      </c>
      <c r="I1861">
        <v>512336.02647899999</v>
      </c>
      <c r="J1861">
        <v>0.68449186341657298</v>
      </c>
      <c r="K1861" t="str">
        <f t="shared" si="232"/>
        <v>OK</v>
      </c>
      <c r="L1861" t="str">
        <f t="shared" si="233"/>
        <v>OK</v>
      </c>
      <c r="M1861" t="str">
        <f>IF(OR(B1861&lt;$AE$20,B1861&gt;$AF$20),"Outlier","OK")</f>
        <v>OK</v>
      </c>
      <c r="N1861" t="str">
        <f>IF(OR(J1861&lt;$AE$21,J1861&gt;$AF$21),"Outlier","OK")</f>
        <v>OK</v>
      </c>
      <c r="O1861" t="str">
        <f>IF(OR(C1861&lt;0,C1861&gt;1),"Outlier","OK")</f>
        <v>OK</v>
      </c>
      <c r="P1861" t="str">
        <f>IF(OR(D1861&lt;0,D1861&gt;1),"Outlier","OK")</f>
        <v>OK</v>
      </c>
      <c r="Q1861" t="str">
        <f t="shared" si="234"/>
        <v>60-80%</v>
      </c>
      <c r="R1861" t="str">
        <f>IF(B1861="","Missing","OK")</f>
        <v>OK</v>
      </c>
      <c r="S1861" t="str">
        <f>IF(E1861="","Missing","OK")</f>
        <v>OK</v>
      </c>
      <c r="T1861" t="str">
        <f t="shared" si="235"/>
        <v>OK</v>
      </c>
      <c r="U1861">
        <f>COUNTIF($A:$A,A1861)</f>
        <v>1</v>
      </c>
      <c r="V1861" t="str">
        <f t="shared" si="236"/>
        <v>OK</v>
      </c>
      <c r="W1861" t="str">
        <f>IF(I1861&gt;B1861,"ERROR","OK")</f>
        <v>OK</v>
      </c>
      <c r="X1861">
        <f>(B1861-I1861)/B1861</f>
        <v>0.68449186341657331</v>
      </c>
      <c r="Y1861" s="2">
        <f t="shared" si="237"/>
        <v>3.3306690738754696E-16</v>
      </c>
      <c r="Z1861" s="2" t="str">
        <f t="shared" si="238"/>
        <v>OK</v>
      </c>
      <c r="AA1861" t="str">
        <f t="shared" si="239"/>
        <v>Unique</v>
      </c>
    </row>
    <row r="1862" spans="1:27" x14ac:dyDescent="0.3">
      <c r="A1862">
        <v>1861</v>
      </c>
      <c r="B1862">
        <v>689681.98046088603</v>
      </c>
      <c r="C1862">
        <v>0.66873614858256702</v>
      </c>
      <c r="D1862">
        <v>-9.1741554859151295E-2</v>
      </c>
      <c r="E1862">
        <v>6.4006330874263898E-2</v>
      </c>
      <c r="F1862">
        <v>1</v>
      </c>
      <c r="G1862" t="s">
        <v>12</v>
      </c>
      <c r="H1862">
        <v>1</v>
      </c>
      <c r="I1862">
        <v>44144.013039397098</v>
      </c>
      <c r="J1862">
        <v>0.93599366912573601</v>
      </c>
      <c r="K1862" t="str">
        <f t="shared" si="232"/>
        <v>OK</v>
      </c>
      <c r="L1862" t="str">
        <f t="shared" si="233"/>
        <v>OK</v>
      </c>
      <c r="M1862" t="str">
        <f>IF(OR(B1862&lt;$AE$20,B1862&gt;$AF$20),"Outlier","OK")</f>
        <v>OK</v>
      </c>
      <c r="N1862" t="str">
        <f>IF(OR(J1862&lt;$AE$21,J1862&gt;$AF$21),"Outlier","OK")</f>
        <v>OK</v>
      </c>
      <c r="O1862" t="str">
        <f>IF(OR(C1862&lt;0,C1862&gt;1),"Outlier","OK")</f>
        <v>OK</v>
      </c>
      <c r="P1862" t="str">
        <f>IF(OR(D1862&lt;0,D1862&gt;1),"Outlier","OK")</f>
        <v>Outlier</v>
      </c>
      <c r="Q1862" t="str">
        <f t="shared" si="234"/>
        <v>80-100%</v>
      </c>
      <c r="R1862" t="str">
        <f>IF(B1862="","Missing","OK")</f>
        <v>OK</v>
      </c>
      <c r="S1862" t="str">
        <f>IF(E1862="","Missing","OK")</f>
        <v>OK</v>
      </c>
      <c r="T1862" t="str">
        <f t="shared" si="235"/>
        <v>OK</v>
      </c>
      <c r="U1862">
        <f>COUNTIF($A:$A,A1862)</f>
        <v>1</v>
      </c>
      <c r="V1862" t="str">
        <f t="shared" si="236"/>
        <v>OK</v>
      </c>
      <c r="W1862" t="str">
        <f>IF(I1862&gt;B1862,"ERROR","OK")</f>
        <v>OK</v>
      </c>
      <c r="X1862">
        <f>(B1862-I1862)/B1862</f>
        <v>0.93599366912573612</v>
      </c>
      <c r="Y1862" s="2">
        <f t="shared" si="237"/>
        <v>1.1102230246251565E-16</v>
      </c>
      <c r="Z1862" s="2" t="str">
        <f t="shared" si="238"/>
        <v>OK</v>
      </c>
      <c r="AA1862" t="str">
        <f t="shared" si="239"/>
        <v>Unique</v>
      </c>
    </row>
    <row r="1863" spans="1:27" x14ac:dyDescent="0.3">
      <c r="A1863">
        <v>1862</v>
      </c>
      <c r="B1863">
        <v>1163737.4465995601</v>
      </c>
      <c r="C1863">
        <v>0.68142474449928303</v>
      </c>
      <c r="D1863">
        <v>0.189685186200065</v>
      </c>
      <c r="E1863">
        <v>0.27753507022438201</v>
      </c>
      <c r="F1863">
        <v>1</v>
      </c>
      <c r="G1863" t="s">
        <v>11</v>
      </c>
      <c r="H1863">
        <v>1</v>
      </c>
      <c r="I1863">
        <v>322977.95396475401</v>
      </c>
      <c r="J1863">
        <v>0.72246492977561705</v>
      </c>
      <c r="K1863" t="str">
        <f t="shared" si="232"/>
        <v>OK</v>
      </c>
      <c r="L1863" t="str">
        <f t="shared" si="233"/>
        <v>OK</v>
      </c>
      <c r="M1863" t="str">
        <f>IF(OR(B1863&lt;$AE$20,B1863&gt;$AF$20),"Outlier","OK")</f>
        <v>OK</v>
      </c>
      <c r="N1863" t="str">
        <f>IF(OR(J1863&lt;$AE$21,J1863&gt;$AF$21),"Outlier","OK")</f>
        <v>OK</v>
      </c>
      <c r="O1863" t="str">
        <f>IF(OR(C1863&lt;0,C1863&gt;1),"Outlier","OK")</f>
        <v>OK</v>
      </c>
      <c r="P1863" t="str">
        <f>IF(OR(D1863&lt;0,D1863&gt;1),"Outlier","OK")</f>
        <v>OK</v>
      </c>
      <c r="Q1863" t="str">
        <f t="shared" si="234"/>
        <v>60-80%</v>
      </c>
      <c r="R1863" t="str">
        <f>IF(B1863="","Missing","OK")</f>
        <v>OK</v>
      </c>
      <c r="S1863" t="str">
        <f>IF(E1863="","Missing","OK")</f>
        <v>OK</v>
      </c>
      <c r="T1863" t="str">
        <f t="shared" si="235"/>
        <v>OK</v>
      </c>
      <c r="U1863">
        <f>COUNTIF($A:$A,A1863)</f>
        <v>1</v>
      </c>
      <c r="V1863" t="str">
        <f t="shared" si="236"/>
        <v>OK</v>
      </c>
      <c r="W1863" t="str">
        <f>IF(I1863&gt;B1863,"ERROR","OK")</f>
        <v>OK</v>
      </c>
      <c r="X1863">
        <f>(B1863-I1863)/B1863</f>
        <v>0.72246492977561616</v>
      </c>
      <c r="Y1863" s="2">
        <f t="shared" si="237"/>
        <v>8.8817841970012523E-16</v>
      </c>
      <c r="Z1863" s="2" t="str">
        <f t="shared" si="238"/>
        <v>OK</v>
      </c>
      <c r="AA1863" t="str">
        <f t="shared" si="239"/>
        <v>Unique</v>
      </c>
    </row>
    <row r="1864" spans="1:27" x14ac:dyDescent="0.3">
      <c r="A1864">
        <v>1863</v>
      </c>
      <c r="B1864">
        <v>1223669.9285477099</v>
      </c>
      <c r="C1864">
        <v>0.69251376585289803</v>
      </c>
      <c r="D1864">
        <v>-0.13895552769942601</v>
      </c>
      <c r="E1864">
        <v>0.22431041142666799</v>
      </c>
      <c r="F1864">
        <v>1</v>
      </c>
      <c r="G1864" t="s">
        <v>13</v>
      </c>
      <c r="H1864">
        <v>0</v>
      </c>
      <c r="I1864">
        <v>274481.90512297902</v>
      </c>
      <c r="J1864">
        <v>0.77568958857333103</v>
      </c>
      <c r="K1864" t="str">
        <f t="shared" si="232"/>
        <v>OK</v>
      </c>
      <c r="L1864" t="str">
        <f t="shared" si="233"/>
        <v>OK</v>
      </c>
      <c r="M1864" t="str">
        <f>IF(OR(B1864&lt;$AE$20,B1864&gt;$AF$20),"Outlier","OK")</f>
        <v>OK</v>
      </c>
      <c r="N1864" t="str">
        <f>IF(OR(J1864&lt;$AE$21,J1864&gt;$AF$21),"Outlier","OK")</f>
        <v>OK</v>
      </c>
      <c r="O1864" t="str">
        <f>IF(OR(C1864&lt;0,C1864&gt;1),"Outlier","OK")</f>
        <v>OK</v>
      </c>
      <c r="P1864" t="str">
        <f>IF(OR(D1864&lt;0,D1864&gt;1),"Outlier","OK")</f>
        <v>Outlier</v>
      </c>
      <c r="Q1864" t="str">
        <f t="shared" si="234"/>
        <v>60-80%</v>
      </c>
      <c r="R1864" t="str">
        <f>IF(B1864="","Missing","OK")</f>
        <v>OK</v>
      </c>
      <c r="S1864" t="str">
        <f>IF(E1864="","Missing","OK")</f>
        <v>OK</v>
      </c>
      <c r="T1864" t="str">
        <f t="shared" si="235"/>
        <v>OK</v>
      </c>
      <c r="U1864">
        <f>COUNTIF($A:$A,A1864)</f>
        <v>1</v>
      </c>
      <c r="V1864" t="str">
        <f t="shared" si="236"/>
        <v>OK</v>
      </c>
      <c r="W1864" t="str">
        <f>IF(I1864&gt;B1864,"ERROR","OK")</f>
        <v>OK</v>
      </c>
      <c r="X1864">
        <f>(B1864-I1864)/B1864</f>
        <v>0.77568958857333137</v>
      </c>
      <c r="Y1864" s="2">
        <f t="shared" si="237"/>
        <v>3.3306690738754696E-16</v>
      </c>
      <c r="Z1864" s="2" t="str">
        <f t="shared" si="238"/>
        <v>OK</v>
      </c>
      <c r="AA1864" t="str">
        <f t="shared" si="239"/>
        <v>Unique</v>
      </c>
    </row>
    <row r="1865" spans="1:27" x14ac:dyDescent="0.3">
      <c r="A1865">
        <v>1864</v>
      </c>
      <c r="B1865">
        <v>1831583.20133984</v>
      </c>
      <c r="C1865">
        <v>0.107465537167565</v>
      </c>
      <c r="D1865">
        <v>-0.14669895092638699</v>
      </c>
      <c r="E1865">
        <v>0.38587197287923802</v>
      </c>
      <c r="F1865">
        <v>1</v>
      </c>
      <c r="G1865" t="s">
        <v>11</v>
      </c>
      <c r="H1865">
        <v>1</v>
      </c>
      <c r="I1865">
        <v>706756.62339347799</v>
      </c>
      <c r="J1865">
        <v>0.61412802712076098</v>
      </c>
      <c r="K1865" t="str">
        <f t="shared" si="232"/>
        <v>OK</v>
      </c>
      <c r="L1865" t="str">
        <f t="shared" si="233"/>
        <v>OK</v>
      </c>
      <c r="M1865" t="str">
        <f>IF(OR(B1865&lt;$AE$20,B1865&gt;$AF$20),"Outlier","OK")</f>
        <v>OK</v>
      </c>
      <c r="N1865" t="str">
        <f>IF(OR(J1865&lt;$AE$21,J1865&gt;$AF$21),"Outlier","OK")</f>
        <v>OK</v>
      </c>
      <c r="O1865" t="str">
        <f>IF(OR(C1865&lt;0,C1865&gt;1),"Outlier","OK")</f>
        <v>OK</v>
      </c>
      <c r="P1865" t="str">
        <f>IF(OR(D1865&lt;0,D1865&gt;1),"Outlier","OK")</f>
        <v>Outlier</v>
      </c>
      <c r="Q1865" t="str">
        <f t="shared" si="234"/>
        <v>60-80%</v>
      </c>
      <c r="R1865" t="str">
        <f>IF(B1865="","Missing","OK")</f>
        <v>OK</v>
      </c>
      <c r="S1865" t="str">
        <f>IF(E1865="","Missing","OK")</f>
        <v>OK</v>
      </c>
      <c r="T1865" t="str">
        <f t="shared" si="235"/>
        <v>OK</v>
      </c>
      <c r="U1865">
        <f>COUNTIF($A:$A,A1865)</f>
        <v>1</v>
      </c>
      <c r="V1865" t="str">
        <f t="shared" si="236"/>
        <v>OK</v>
      </c>
      <c r="W1865" t="str">
        <f>IF(I1865&gt;B1865,"ERROR","OK")</f>
        <v>OK</v>
      </c>
      <c r="X1865">
        <f>(B1865-I1865)/B1865</f>
        <v>0.6141280271207602</v>
      </c>
      <c r="Y1865" s="2">
        <f t="shared" si="237"/>
        <v>7.7715611723760958E-16</v>
      </c>
      <c r="Z1865" s="2" t="str">
        <f t="shared" si="238"/>
        <v>OK</v>
      </c>
      <c r="AA1865" t="str">
        <f t="shared" si="239"/>
        <v>Unique</v>
      </c>
    </row>
    <row r="1866" spans="1:27" x14ac:dyDescent="0.3">
      <c r="A1866">
        <v>1865</v>
      </c>
      <c r="B1866">
        <v>1161949.5153085501</v>
      </c>
      <c r="C1866">
        <v>0.74025346584154506</v>
      </c>
      <c r="D1866">
        <v>0.13544046806472099</v>
      </c>
      <c r="E1866">
        <v>0.156170786330284</v>
      </c>
      <c r="F1866">
        <v>1</v>
      </c>
      <c r="G1866" t="s">
        <v>10</v>
      </c>
      <c r="H1866">
        <v>1</v>
      </c>
      <c r="I1866">
        <v>181462.56948182901</v>
      </c>
      <c r="J1866">
        <v>0.84382921366971497</v>
      </c>
      <c r="K1866" t="str">
        <f t="shared" si="232"/>
        <v>OK</v>
      </c>
      <c r="L1866" t="str">
        <f t="shared" si="233"/>
        <v>OK</v>
      </c>
      <c r="M1866" t="str">
        <f>IF(OR(B1866&lt;$AE$20,B1866&gt;$AF$20),"Outlier","OK")</f>
        <v>OK</v>
      </c>
      <c r="N1866" t="str">
        <f>IF(OR(J1866&lt;$AE$21,J1866&gt;$AF$21),"Outlier","OK")</f>
        <v>OK</v>
      </c>
      <c r="O1866" t="str">
        <f>IF(OR(C1866&lt;0,C1866&gt;1),"Outlier","OK")</f>
        <v>OK</v>
      </c>
      <c r="P1866" t="str">
        <f>IF(OR(D1866&lt;0,D1866&gt;1),"Outlier","OK")</f>
        <v>OK</v>
      </c>
      <c r="Q1866" t="str">
        <f t="shared" si="234"/>
        <v>80-100%</v>
      </c>
      <c r="R1866" t="str">
        <f>IF(B1866="","Missing","OK")</f>
        <v>OK</v>
      </c>
      <c r="S1866" t="str">
        <f>IF(E1866="","Missing","OK")</f>
        <v>OK</v>
      </c>
      <c r="T1866" t="str">
        <f t="shared" si="235"/>
        <v>OK</v>
      </c>
      <c r="U1866">
        <f>COUNTIF($A:$A,A1866)</f>
        <v>1</v>
      </c>
      <c r="V1866" t="str">
        <f t="shared" si="236"/>
        <v>OK</v>
      </c>
      <c r="W1866" t="str">
        <f>IF(I1866&gt;B1866,"ERROR","OK")</f>
        <v>OK</v>
      </c>
      <c r="X1866">
        <f>(B1866-I1866)/B1866</f>
        <v>0.84382921366971575</v>
      </c>
      <c r="Y1866" s="2">
        <f t="shared" si="237"/>
        <v>7.7715611723760958E-16</v>
      </c>
      <c r="Z1866" s="2" t="str">
        <f t="shared" si="238"/>
        <v>OK</v>
      </c>
      <c r="AA1866" t="str">
        <f t="shared" si="239"/>
        <v>Unique</v>
      </c>
    </row>
    <row r="1867" spans="1:27" x14ac:dyDescent="0.3">
      <c r="A1867">
        <v>1866</v>
      </c>
      <c r="B1867">
        <v>1744465.1893583401</v>
      </c>
      <c r="C1867">
        <v>0.37584599539927599</v>
      </c>
      <c r="D1867">
        <v>-0.106338440726839</v>
      </c>
      <c r="E1867">
        <v>0.126674428138142</v>
      </c>
      <c r="F1867">
        <v>1</v>
      </c>
      <c r="G1867" t="s">
        <v>10</v>
      </c>
      <c r="H1867">
        <v>0</v>
      </c>
      <c r="I1867">
        <v>220979.13026886401</v>
      </c>
      <c r="J1867">
        <v>0.873325571861857</v>
      </c>
      <c r="K1867" t="str">
        <f t="shared" si="232"/>
        <v>OK</v>
      </c>
      <c r="L1867" t="str">
        <f t="shared" si="233"/>
        <v>OK</v>
      </c>
      <c r="M1867" t="str">
        <f>IF(OR(B1867&lt;$AE$20,B1867&gt;$AF$20),"Outlier","OK")</f>
        <v>OK</v>
      </c>
      <c r="N1867" t="str">
        <f>IF(OR(J1867&lt;$AE$21,J1867&gt;$AF$21),"Outlier","OK")</f>
        <v>OK</v>
      </c>
      <c r="O1867" t="str">
        <f>IF(OR(C1867&lt;0,C1867&gt;1),"Outlier","OK")</f>
        <v>OK</v>
      </c>
      <c r="P1867" t="str">
        <f>IF(OR(D1867&lt;0,D1867&gt;1),"Outlier","OK")</f>
        <v>Outlier</v>
      </c>
      <c r="Q1867" t="str">
        <f t="shared" si="234"/>
        <v>80-100%</v>
      </c>
      <c r="R1867" t="str">
        <f>IF(B1867="","Missing","OK")</f>
        <v>OK</v>
      </c>
      <c r="S1867" t="str">
        <f>IF(E1867="","Missing","OK")</f>
        <v>OK</v>
      </c>
      <c r="T1867" t="str">
        <f t="shared" si="235"/>
        <v>OK</v>
      </c>
      <c r="U1867">
        <f>COUNTIF($A:$A,A1867)</f>
        <v>1</v>
      </c>
      <c r="V1867" t="str">
        <f t="shared" si="236"/>
        <v>OK</v>
      </c>
      <c r="W1867" t="str">
        <f>IF(I1867&gt;B1867,"ERROR","OK")</f>
        <v>OK</v>
      </c>
      <c r="X1867">
        <f>(B1867-I1867)/B1867</f>
        <v>0.87332557186185755</v>
      </c>
      <c r="Y1867" s="2">
        <f t="shared" si="237"/>
        <v>5.5511151231257827E-16</v>
      </c>
      <c r="Z1867" s="2" t="str">
        <f t="shared" si="238"/>
        <v>OK</v>
      </c>
      <c r="AA1867" t="str">
        <f t="shared" si="239"/>
        <v>Unique</v>
      </c>
    </row>
    <row r="1868" spans="1:27" x14ac:dyDescent="0.3">
      <c r="A1868">
        <v>1867</v>
      </c>
      <c r="B1868">
        <v>871964.55123277905</v>
      </c>
      <c r="C1868">
        <v>0.17528825376544099</v>
      </c>
      <c r="D1868">
        <v>-0.16464994831392299</v>
      </c>
      <c r="E1868">
        <v>0.25086390383406199</v>
      </c>
      <c r="F1868">
        <v>1</v>
      </c>
      <c r="G1868" t="s">
        <v>12</v>
      </c>
      <c r="H1868">
        <v>0</v>
      </c>
      <c r="I1868">
        <v>218744.43132717101</v>
      </c>
      <c r="J1868">
        <v>0.74913609616593702</v>
      </c>
      <c r="K1868" t="str">
        <f t="shared" si="232"/>
        <v>OK</v>
      </c>
      <c r="L1868" t="str">
        <f t="shared" si="233"/>
        <v>OK</v>
      </c>
      <c r="M1868" t="str">
        <f>IF(OR(B1868&lt;$AE$20,B1868&gt;$AF$20),"Outlier","OK")</f>
        <v>OK</v>
      </c>
      <c r="N1868" t="str">
        <f>IF(OR(J1868&lt;$AE$21,J1868&gt;$AF$21),"Outlier","OK")</f>
        <v>OK</v>
      </c>
      <c r="O1868" t="str">
        <f>IF(OR(C1868&lt;0,C1868&gt;1),"Outlier","OK")</f>
        <v>OK</v>
      </c>
      <c r="P1868" t="str">
        <f>IF(OR(D1868&lt;0,D1868&gt;1),"Outlier","OK")</f>
        <v>Outlier</v>
      </c>
      <c r="Q1868" t="str">
        <f t="shared" si="234"/>
        <v>60-80%</v>
      </c>
      <c r="R1868" t="str">
        <f>IF(B1868="","Missing","OK")</f>
        <v>OK</v>
      </c>
      <c r="S1868" t="str">
        <f>IF(E1868="","Missing","OK")</f>
        <v>OK</v>
      </c>
      <c r="T1868" t="str">
        <f t="shared" si="235"/>
        <v>OK</v>
      </c>
      <c r="U1868">
        <f>COUNTIF($A:$A,A1868)</f>
        <v>1</v>
      </c>
      <c r="V1868" t="str">
        <f t="shared" si="236"/>
        <v>OK</v>
      </c>
      <c r="W1868" t="str">
        <f>IF(I1868&gt;B1868,"ERROR","OK")</f>
        <v>OK</v>
      </c>
      <c r="X1868">
        <f>(B1868-I1868)/B1868</f>
        <v>0.7491360961659379</v>
      </c>
      <c r="Y1868" s="2">
        <f t="shared" si="237"/>
        <v>8.8817841970012523E-16</v>
      </c>
      <c r="Z1868" s="2" t="str">
        <f t="shared" si="238"/>
        <v>OK</v>
      </c>
      <c r="AA1868" t="str">
        <f t="shared" si="239"/>
        <v>Unique</v>
      </c>
    </row>
    <row r="1869" spans="1:27" x14ac:dyDescent="0.3">
      <c r="A1869">
        <v>1868</v>
      </c>
      <c r="B1869">
        <v>1323686.00488263</v>
      </c>
      <c r="C1869">
        <v>0.482868659983411</v>
      </c>
      <c r="D1869">
        <v>9.2020663102195296E-2</v>
      </c>
      <c r="E1869">
        <v>0.36649760809677401</v>
      </c>
      <c r="F1869">
        <v>1</v>
      </c>
      <c r="G1869" t="s">
        <v>12</v>
      </c>
      <c r="H1869">
        <v>0</v>
      </c>
      <c r="I1869">
        <v>485127.75466066098</v>
      </c>
      <c r="J1869">
        <v>0.63350239190322599</v>
      </c>
      <c r="K1869" t="str">
        <f t="shared" si="232"/>
        <v>OK</v>
      </c>
      <c r="L1869" t="str">
        <f t="shared" si="233"/>
        <v>OK</v>
      </c>
      <c r="M1869" t="str">
        <f>IF(OR(B1869&lt;$AE$20,B1869&gt;$AF$20),"Outlier","OK")</f>
        <v>OK</v>
      </c>
      <c r="N1869" t="str">
        <f>IF(OR(J1869&lt;$AE$21,J1869&gt;$AF$21),"Outlier","OK")</f>
        <v>OK</v>
      </c>
      <c r="O1869" t="str">
        <f>IF(OR(C1869&lt;0,C1869&gt;1),"Outlier","OK")</f>
        <v>OK</v>
      </c>
      <c r="P1869" t="str">
        <f>IF(OR(D1869&lt;0,D1869&gt;1),"Outlier","OK")</f>
        <v>OK</v>
      </c>
      <c r="Q1869" t="str">
        <f t="shared" si="234"/>
        <v>60-80%</v>
      </c>
      <c r="R1869" t="str">
        <f>IF(B1869="","Missing","OK")</f>
        <v>OK</v>
      </c>
      <c r="S1869" t="str">
        <f>IF(E1869="","Missing","OK")</f>
        <v>OK</v>
      </c>
      <c r="T1869" t="str">
        <f t="shared" si="235"/>
        <v>OK</v>
      </c>
      <c r="U1869">
        <f>COUNTIF($A:$A,A1869)</f>
        <v>1</v>
      </c>
      <c r="V1869" t="str">
        <f t="shared" si="236"/>
        <v>OK</v>
      </c>
      <c r="W1869" t="str">
        <f>IF(I1869&gt;B1869,"ERROR","OK")</f>
        <v>OK</v>
      </c>
      <c r="X1869">
        <f>(B1869-I1869)/B1869</f>
        <v>0.63350239190322422</v>
      </c>
      <c r="Y1869" s="2">
        <f t="shared" si="237"/>
        <v>1.7763568394002505E-15</v>
      </c>
      <c r="Z1869" s="2" t="str">
        <f t="shared" si="238"/>
        <v>OK</v>
      </c>
      <c r="AA1869" t="str">
        <f t="shared" si="239"/>
        <v>Unique</v>
      </c>
    </row>
    <row r="1870" spans="1:27" x14ac:dyDescent="0.3">
      <c r="A1870">
        <v>1869</v>
      </c>
      <c r="B1870">
        <v>423358.86343683902</v>
      </c>
      <c r="C1870">
        <v>0.469125057397839</v>
      </c>
      <c r="D1870">
        <v>-0.15546325782027501</v>
      </c>
      <c r="E1870">
        <v>0.12441817230396</v>
      </c>
      <c r="F1870">
        <v>1</v>
      </c>
      <c r="G1870" t="s">
        <v>13</v>
      </c>
      <c r="H1870">
        <v>0</v>
      </c>
      <c r="I1870">
        <v>52673.536017493498</v>
      </c>
      <c r="J1870">
        <v>0.87558182769603898</v>
      </c>
      <c r="K1870" t="str">
        <f t="shared" si="232"/>
        <v>OK</v>
      </c>
      <c r="L1870" t="str">
        <f t="shared" si="233"/>
        <v>OK</v>
      </c>
      <c r="M1870" t="str">
        <f>IF(OR(B1870&lt;$AE$20,B1870&gt;$AF$20),"Outlier","OK")</f>
        <v>OK</v>
      </c>
      <c r="N1870" t="str">
        <f>IF(OR(J1870&lt;$AE$21,J1870&gt;$AF$21),"Outlier","OK")</f>
        <v>OK</v>
      </c>
      <c r="O1870" t="str">
        <f>IF(OR(C1870&lt;0,C1870&gt;1),"Outlier","OK")</f>
        <v>OK</v>
      </c>
      <c r="P1870" t="str">
        <f>IF(OR(D1870&lt;0,D1870&gt;1),"Outlier","OK")</f>
        <v>Outlier</v>
      </c>
      <c r="Q1870" t="str">
        <f t="shared" si="234"/>
        <v>80-100%</v>
      </c>
      <c r="R1870" t="str">
        <f>IF(B1870="","Missing","OK")</f>
        <v>OK</v>
      </c>
      <c r="S1870" t="str">
        <f>IF(E1870="","Missing","OK")</f>
        <v>OK</v>
      </c>
      <c r="T1870" t="str">
        <f t="shared" si="235"/>
        <v>OK</v>
      </c>
      <c r="U1870">
        <f>COUNTIF($A:$A,A1870)</f>
        <v>1</v>
      </c>
      <c r="V1870" t="str">
        <f t="shared" si="236"/>
        <v>OK</v>
      </c>
      <c r="W1870" t="str">
        <f>IF(I1870&gt;B1870,"ERROR","OK")</f>
        <v>OK</v>
      </c>
      <c r="X1870">
        <f>(B1870-I1870)/B1870</f>
        <v>0.87558182769603954</v>
      </c>
      <c r="Y1870" s="2">
        <f t="shared" si="237"/>
        <v>5.5511151231257827E-16</v>
      </c>
      <c r="Z1870" s="2" t="str">
        <f t="shared" si="238"/>
        <v>OK</v>
      </c>
      <c r="AA1870" t="str">
        <f t="shared" si="239"/>
        <v>Unique</v>
      </c>
    </row>
    <row r="1871" spans="1:27" x14ac:dyDescent="0.3">
      <c r="A1871">
        <v>1870</v>
      </c>
      <c r="B1871">
        <v>1438817.8939505899</v>
      </c>
      <c r="C1871">
        <v>0.27416983605405498</v>
      </c>
      <c r="D1871">
        <v>-7.5015955981315094E-2</v>
      </c>
      <c r="E1871">
        <v>0.57488674158911601</v>
      </c>
      <c r="F1871">
        <v>1</v>
      </c>
      <c r="G1871" t="s">
        <v>13</v>
      </c>
      <c r="H1871">
        <v>0</v>
      </c>
      <c r="I1871">
        <v>827157.33079337096</v>
      </c>
      <c r="J1871">
        <v>0.42511325841088299</v>
      </c>
      <c r="K1871" t="str">
        <f t="shared" si="232"/>
        <v>OK</v>
      </c>
      <c r="L1871" t="str">
        <f t="shared" si="233"/>
        <v>OK</v>
      </c>
      <c r="M1871" t="str">
        <f>IF(OR(B1871&lt;$AE$20,B1871&gt;$AF$20),"Outlier","OK")</f>
        <v>OK</v>
      </c>
      <c r="N1871" t="str">
        <f>IF(OR(J1871&lt;$AE$21,J1871&gt;$AF$21),"Outlier","OK")</f>
        <v>OK</v>
      </c>
      <c r="O1871" t="str">
        <f>IF(OR(C1871&lt;0,C1871&gt;1),"Outlier","OK")</f>
        <v>OK</v>
      </c>
      <c r="P1871" t="str">
        <f>IF(OR(D1871&lt;0,D1871&gt;1),"Outlier","OK")</f>
        <v>Outlier</v>
      </c>
      <c r="Q1871" t="str">
        <f t="shared" si="234"/>
        <v>40-60%</v>
      </c>
      <c r="R1871" t="str">
        <f>IF(B1871="","Missing","OK")</f>
        <v>OK</v>
      </c>
      <c r="S1871" t="str">
        <f>IF(E1871="","Missing","OK")</f>
        <v>OK</v>
      </c>
      <c r="T1871" t="str">
        <f t="shared" si="235"/>
        <v>OK</v>
      </c>
      <c r="U1871">
        <f>COUNTIF($A:$A,A1871)</f>
        <v>1</v>
      </c>
      <c r="V1871" t="str">
        <f t="shared" si="236"/>
        <v>OK</v>
      </c>
      <c r="W1871" t="str">
        <f>IF(I1871&gt;B1871,"ERROR","OK")</f>
        <v>OK</v>
      </c>
      <c r="X1871">
        <f>(B1871-I1871)/B1871</f>
        <v>0.4251132584108826</v>
      </c>
      <c r="Y1871" s="2">
        <f t="shared" si="237"/>
        <v>3.8857805861880479E-16</v>
      </c>
      <c r="Z1871" s="2" t="str">
        <f t="shared" si="238"/>
        <v>OK</v>
      </c>
      <c r="AA1871" t="str">
        <f t="shared" si="239"/>
        <v>Unique</v>
      </c>
    </row>
    <row r="1872" spans="1:27" x14ac:dyDescent="0.3">
      <c r="A1872">
        <v>1871</v>
      </c>
      <c r="B1872">
        <v>1859121.4230779801</v>
      </c>
      <c r="C1872">
        <v>0.24605288687820701</v>
      </c>
      <c r="D1872">
        <v>1.12475418324345E-2</v>
      </c>
      <c r="E1872">
        <v>0.19740583189715499</v>
      </c>
      <c r="F1872">
        <v>1</v>
      </c>
      <c r="G1872" t="s">
        <v>10</v>
      </c>
      <c r="H1872">
        <v>1</v>
      </c>
      <c r="I1872">
        <v>367001.411120534</v>
      </c>
      <c r="J1872">
        <v>0.80259416810284401</v>
      </c>
      <c r="K1872" t="str">
        <f t="shared" si="232"/>
        <v>OK</v>
      </c>
      <c r="L1872" t="str">
        <f t="shared" si="233"/>
        <v>OK</v>
      </c>
      <c r="M1872" t="str">
        <f>IF(OR(B1872&lt;$AE$20,B1872&gt;$AF$20),"Outlier","OK")</f>
        <v>OK</v>
      </c>
      <c r="N1872" t="str">
        <f>IF(OR(J1872&lt;$AE$21,J1872&gt;$AF$21),"Outlier","OK")</f>
        <v>OK</v>
      </c>
      <c r="O1872" t="str">
        <f>IF(OR(C1872&lt;0,C1872&gt;1),"Outlier","OK")</f>
        <v>OK</v>
      </c>
      <c r="P1872" t="str">
        <f>IF(OR(D1872&lt;0,D1872&gt;1),"Outlier","OK")</f>
        <v>OK</v>
      </c>
      <c r="Q1872" t="str">
        <f t="shared" si="234"/>
        <v>80-100%</v>
      </c>
      <c r="R1872" t="str">
        <f>IF(B1872="","Missing","OK")</f>
        <v>OK</v>
      </c>
      <c r="S1872" t="str">
        <f>IF(E1872="","Missing","OK")</f>
        <v>OK</v>
      </c>
      <c r="T1872" t="str">
        <f t="shared" si="235"/>
        <v>OK</v>
      </c>
      <c r="U1872">
        <f>COUNTIF($A:$A,A1872)</f>
        <v>1</v>
      </c>
      <c r="V1872" t="str">
        <f t="shared" si="236"/>
        <v>OK</v>
      </c>
      <c r="W1872" t="str">
        <f>IF(I1872&gt;B1872,"ERROR","OK")</f>
        <v>OK</v>
      </c>
      <c r="X1872">
        <f>(B1872-I1872)/B1872</f>
        <v>0.80259416810284356</v>
      </c>
      <c r="Y1872" s="2">
        <f t="shared" si="237"/>
        <v>4.4408920985006262E-16</v>
      </c>
      <c r="Z1872" s="2" t="str">
        <f t="shared" si="238"/>
        <v>OK</v>
      </c>
      <c r="AA1872" t="str">
        <f t="shared" si="239"/>
        <v>Unique</v>
      </c>
    </row>
    <row r="1873" spans="1:27" x14ac:dyDescent="0.3">
      <c r="A1873">
        <v>1872</v>
      </c>
      <c r="B1873">
        <v>882993.92050206999</v>
      </c>
      <c r="C1873">
        <v>0.82852591048407598</v>
      </c>
      <c r="D1873">
        <v>1.21298427034059E-2</v>
      </c>
      <c r="E1873">
        <v>0.194100337891283</v>
      </c>
      <c r="F1873">
        <v>1</v>
      </c>
      <c r="G1873" t="s">
        <v>10</v>
      </c>
      <c r="H1873">
        <v>1</v>
      </c>
      <c r="I1873">
        <v>171389.41832540001</v>
      </c>
      <c r="J1873">
        <v>0.805899662108716</v>
      </c>
      <c r="K1873" t="str">
        <f t="shared" si="232"/>
        <v>OK</v>
      </c>
      <c r="L1873" t="str">
        <f t="shared" si="233"/>
        <v>OK</v>
      </c>
      <c r="M1873" t="str">
        <f>IF(OR(B1873&lt;$AE$20,B1873&gt;$AF$20),"Outlier","OK")</f>
        <v>OK</v>
      </c>
      <c r="N1873" t="str">
        <f>IF(OR(J1873&lt;$AE$21,J1873&gt;$AF$21),"Outlier","OK")</f>
        <v>OK</v>
      </c>
      <c r="O1873" t="str">
        <f>IF(OR(C1873&lt;0,C1873&gt;1),"Outlier","OK")</f>
        <v>OK</v>
      </c>
      <c r="P1873" t="str">
        <f>IF(OR(D1873&lt;0,D1873&gt;1),"Outlier","OK")</f>
        <v>OK</v>
      </c>
      <c r="Q1873" t="str">
        <f t="shared" si="234"/>
        <v>80-100%</v>
      </c>
      <c r="R1873" t="str">
        <f>IF(B1873="","Missing","OK")</f>
        <v>OK</v>
      </c>
      <c r="S1873" t="str">
        <f>IF(E1873="","Missing","OK")</f>
        <v>OK</v>
      </c>
      <c r="T1873" t="str">
        <f t="shared" si="235"/>
        <v>OK</v>
      </c>
      <c r="U1873">
        <f>COUNTIF($A:$A,A1873)</f>
        <v>1</v>
      </c>
      <c r="V1873" t="str">
        <f t="shared" si="236"/>
        <v>OK</v>
      </c>
      <c r="W1873" t="str">
        <f>IF(I1873&gt;B1873,"ERROR","OK")</f>
        <v>OK</v>
      </c>
      <c r="X1873">
        <f>(B1873-I1873)/B1873</f>
        <v>0.80589966210871755</v>
      </c>
      <c r="Y1873" s="2">
        <f t="shared" si="237"/>
        <v>1.5543122344752192E-15</v>
      </c>
      <c r="Z1873" s="2" t="str">
        <f t="shared" si="238"/>
        <v>OK</v>
      </c>
      <c r="AA1873" t="str">
        <f t="shared" si="239"/>
        <v>Unique</v>
      </c>
    </row>
    <row r="1874" spans="1:27" x14ac:dyDescent="0.3">
      <c r="A1874">
        <v>1873</v>
      </c>
      <c r="B1874">
        <v>1312214.6164587401</v>
      </c>
      <c r="C1874">
        <v>0.85190244502592105</v>
      </c>
      <c r="D1874">
        <v>-5.0778238189338097E-2</v>
      </c>
      <c r="E1874">
        <v>0.31084912188688302</v>
      </c>
      <c r="F1874">
        <v>1</v>
      </c>
      <c r="G1874" t="s">
        <v>13</v>
      </c>
      <c r="H1874">
        <v>1</v>
      </c>
      <c r="I1874">
        <v>407900.76125333202</v>
      </c>
      <c r="J1874">
        <v>0.68915087811311604</v>
      </c>
      <c r="K1874" t="str">
        <f t="shared" si="232"/>
        <v>OK</v>
      </c>
      <c r="L1874" t="str">
        <f t="shared" si="233"/>
        <v>OK</v>
      </c>
      <c r="M1874" t="str">
        <f>IF(OR(B1874&lt;$AE$20,B1874&gt;$AF$20),"Outlier","OK")</f>
        <v>OK</v>
      </c>
      <c r="N1874" t="str">
        <f>IF(OR(J1874&lt;$AE$21,J1874&gt;$AF$21),"Outlier","OK")</f>
        <v>OK</v>
      </c>
      <c r="O1874" t="str">
        <f>IF(OR(C1874&lt;0,C1874&gt;1),"Outlier","OK")</f>
        <v>OK</v>
      </c>
      <c r="P1874" t="str">
        <f>IF(OR(D1874&lt;0,D1874&gt;1),"Outlier","OK")</f>
        <v>Outlier</v>
      </c>
      <c r="Q1874" t="str">
        <f t="shared" si="234"/>
        <v>60-80%</v>
      </c>
      <c r="R1874" t="str">
        <f>IF(B1874="","Missing","OK")</f>
        <v>OK</v>
      </c>
      <c r="S1874" t="str">
        <f>IF(E1874="","Missing","OK")</f>
        <v>OK</v>
      </c>
      <c r="T1874" t="str">
        <f t="shared" si="235"/>
        <v>OK</v>
      </c>
      <c r="U1874">
        <f>COUNTIF($A:$A,A1874)</f>
        <v>1</v>
      </c>
      <c r="V1874" t="str">
        <f t="shared" si="236"/>
        <v>OK</v>
      </c>
      <c r="W1874" t="str">
        <f>IF(I1874&gt;B1874,"ERROR","OK")</f>
        <v>OK</v>
      </c>
      <c r="X1874">
        <f>(B1874-I1874)/B1874</f>
        <v>0.68915087811311726</v>
      </c>
      <c r="Y1874" s="2">
        <f t="shared" si="237"/>
        <v>1.2212453270876722E-15</v>
      </c>
      <c r="Z1874" s="2" t="str">
        <f t="shared" si="238"/>
        <v>OK</v>
      </c>
      <c r="AA1874" t="str">
        <f t="shared" si="239"/>
        <v>Unique</v>
      </c>
    </row>
    <row r="1875" spans="1:27" x14ac:dyDescent="0.3">
      <c r="A1875">
        <v>1874</v>
      </c>
      <c r="B1875">
        <v>1111381.04833583</v>
      </c>
      <c r="C1875">
        <v>0.80600639067561797</v>
      </c>
      <c r="D1875">
        <v>0.12296546546455001</v>
      </c>
      <c r="E1875">
        <v>0.71686772288738099</v>
      </c>
      <c r="F1875">
        <v>1</v>
      </c>
      <c r="G1875" t="s">
        <v>11</v>
      </c>
      <c r="H1875">
        <v>0</v>
      </c>
      <c r="I1875">
        <v>796713.20138069999</v>
      </c>
      <c r="J1875">
        <v>0.28313227711261801</v>
      </c>
      <c r="K1875" t="str">
        <f t="shared" si="232"/>
        <v>OK</v>
      </c>
      <c r="L1875" t="str">
        <f t="shared" si="233"/>
        <v>OK</v>
      </c>
      <c r="M1875" t="str">
        <f>IF(OR(B1875&lt;$AE$20,B1875&gt;$AF$20),"Outlier","OK")</f>
        <v>OK</v>
      </c>
      <c r="N1875" t="str">
        <f>IF(OR(J1875&lt;$AE$21,J1875&gt;$AF$21),"Outlier","OK")</f>
        <v>Outlier</v>
      </c>
      <c r="O1875" t="str">
        <f>IF(OR(C1875&lt;0,C1875&gt;1),"Outlier","OK")</f>
        <v>OK</v>
      </c>
      <c r="P1875" t="str">
        <f>IF(OR(D1875&lt;0,D1875&gt;1),"Outlier","OK")</f>
        <v>OK</v>
      </c>
      <c r="Q1875" t="str">
        <f t="shared" si="234"/>
        <v>20-40%</v>
      </c>
      <c r="R1875" t="str">
        <f>IF(B1875="","Missing","OK")</f>
        <v>OK</v>
      </c>
      <c r="S1875" t="str">
        <f>IF(E1875="","Missing","OK")</f>
        <v>OK</v>
      </c>
      <c r="T1875" t="str">
        <f t="shared" si="235"/>
        <v>OK</v>
      </c>
      <c r="U1875">
        <f>COUNTIF($A:$A,A1875)</f>
        <v>1</v>
      </c>
      <c r="V1875" t="str">
        <f t="shared" si="236"/>
        <v>OK</v>
      </c>
      <c r="W1875" t="str">
        <f>IF(I1875&gt;B1875,"ERROR","OK")</f>
        <v>OK</v>
      </c>
      <c r="X1875">
        <f>(B1875-I1875)/B1875</f>
        <v>0.28313227711261607</v>
      </c>
      <c r="Y1875" s="2">
        <f t="shared" si="237"/>
        <v>1.9428902930940239E-15</v>
      </c>
      <c r="Z1875" s="2" t="str">
        <f t="shared" si="238"/>
        <v>OK</v>
      </c>
      <c r="AA1875" t="str">
        <f t="shared" si="239"/>
        <v>Unique</v>
      </c>
    </row>
    <row r="1876" spans="1:27" x14ac:dyDescent="0.3">
      <c r="A1876">
        <v>1875</v>
      </c>
      <c r="B1876">
        <v>78276.756390940194</v>
      </c>
      <c r="C1876">
        <v>0.34547341657013497</v>
      </c>
      <c r="D1876">
        <v>-0.17505742084894901</v>
      </c>
      <c r="E1876">
        <v>0.23628689604911399</v>
      </c>
      <c r="F1876">
        <v>1</v>
      </c>
      <c r="G1876" t="s">
        <v>11</v>
      </c>
      <c r="H1876">
        <v>0</v>
      </c>
      <c r="I1876">
        <v>18495.7718004079</v>
      </c>
      <c r="J1876">
        <v>0.76371310395088499</v>
      </c>
      <c r="K1876" t="str">
        <f t="shared" si="232"/>
        <v>OK</v>
      </c>
      <c r="L1876" t="str">
        <f t="shared" si="233"/>
        <v>OK</v>
      </c>
      <c r="M1876" t="str">
        <f>IF(OR(B1876&lt;$AE$20,B1876&gt;$AF$20),"Outlier","OK")</f>
        <v>OK</v>
      </c>
      <c r="N1876" t="str">
        <f>IF(OR(J1876&lt;$AE$21,J1876&gt;$AF$21),"Outlier","OK")</f>
        <v>OK</v>
      </c>
      <c r="O1876" t="str">
        <f>IF(OR(C1876&lt;0,C1876&gt;1),"Outlier","OK")</f>
        <v>OK</v>
      </c>
      <c r="P1876" t="str">
        <f>IF(OR(D1876&lt;0,D1876&gt;1),"Outlier","OK")</f>
        <v>Outlier</v>
      </c>
      <c r="Q1876" t="str">
        <f t="shared" si="234"/>
        <v>60-80%</v>
      </c>
      <c r="R1876" t="str">
        <f>IF(B1876="","Missing","OK")</f>
        <v>OK</v>
      </c>
      <c r="S1876" t="str">
        <f>IF(E1876="","Missing","OK")</f>
        <v>OK</v>
      </c>
      <c r="T1876" t="str">
        <f t="shared" si="235"/>
        <v>OK</v>
      </c>
      <c r="U1876">
        <f>COUNTIF($A:$A,A1876)</f>
        <v>1</v>
      </c>
      <c r="V1876" t="str">
        <f t="shared" si="236"/>
        <v>OK</v>
      </c>
      <c r="W1876" t="str">
        <f>IF(I1876&gt;B1876,"ERROR","OK")</f>
        <v>OK</v>
      </c>
      <c r="X1876">
        <f>(B1876-I1876)/B1876</f>
        <v>0.7637131039508861</v>
      </c>
      <c r="Y1876" s="2">
        <f t="shared" si="237"/>
        <v>1.1102230246251565E-15</v>
      </c>
      <c r="Z1876" s="2" t="str">
        <f t="shared" si="238"/>
        <v>OK</v>
      </c>
      <c r="AA1876" t="str">
        <f t="shared" si="239"/>
        <v>Unique</v>
      </c>
    </row>
    <row r="1877" spans="1:27" x14ac:dyDescent="0.3">
      <c r="A1877">
        <v>1876</v>
      </c>
      <c r="B1877">
        <v>1820176.76839327</v>
      </c>
      <c r="C1877">
        <v>0.28405936201379201</v>
      </c>
      <c r="D1877">
        <v>-0.13726959299090699</v>
      </c>
      <c r="E1877">
        <v>0.47024856983895702</v>
      </c>
      <c r="F1877">
        <v>1</v>
      </c>
      <c r="G1877" t="s">
        <v>12</v>
      </c>
      <c r="H1877">
        <v>0</v>
      </c>
      <c r="I1877">
        <v>855935.52219103498</v>
      </c>
      <c r="J1877">
        <v>0.52975143016104198</v>
      </c>
      <c r="K1877" t="str">
        <f t="shared" si="232"/>
        <v>OK</v>
      </c>
      <c r="L1877" t="str">
        <f t="shared" si="233"/>
        <v>OK</v>
      </c>
      <c r="M1877" t="str">
        <f>IF(OR(B1877&lt;$AE$20,B1877&gt;$AF$20),"Outlier","OK")</f>
        <v>OK</v>
      </c>
      <c r="N1877" t="str">
        <f>IF(OR(J1877&lt;$AE$21,J1877&gt;$AF$21),"Outlier","OK")</f>
        <v>OK</v>
      </c>
      <c r="O1877" t="str">
        <f>IF(OR(C1877&lt;0,C1877&gt;1),"Outlier","OK")</f>
        <v>OK</v>
      </c>
      <c r="P1877" t="str">
        <f>IF(OR(D1877&lt;0,D1877&gt;1),"Outlier","OK")</f>
        <v>Outlier</v>
      </c>
      <c r="Q1877" t="str">
        <f t="shared" si="234"/>
        <v>40-60%</v>
      </c>
      <c r="R1877" t="str">
        <f>IF(B1877="","Missing","OK")</f>
        <v>OK</v>
      </c>
      <c r="S1877" t="str">
        <f>IF(E1877="","Missing","OK")</f>
        <v>OK</v>
      </c>
      <c r="T1877" t="str">
        <f t="shared" si="235"/>
        <v>OK</v>
      </c>
      <c r="U1877">
        <f>COUNTIF($A:$A,A1877)</f>
        <v>1</v>
      </c>
      <c r="V1877" t="str">
        <f t="shared" si="236"/>
        <v>OK</v>
      </c>
      <c r="W1877" t="str">
        <f>IF(I1877&gt;B1877,"ERROR","OK")</f>
        <v>OK</v>
      </c>
      <c r="X1877">
        <f>(B1877-I1877)/B1877</f>
        <v>0.52975143016104009</v>
      </c>
      <c r="Y1877" s="2">
        <f t="shared" si="237"/>
        <v>1.8873791418627661E-15</v>
      </c>
      <c r="Z1877" s="2" t="str">
        <f t="shared" si="238"/>
        <v>OK</v>
      </c>
      <c r="AA1877" t="str">
        <f t="shared" si="239"/>
        <v>Unique</v>
      </c>
    </row>
    <row r="1878" spans="1:27" x14ac:dyDescent="0.3">
      <c r="A1878">
        <v>1877</v>
      </c>
      <c r="B1878">
        <v>1628116.1641245401</v>
      </c>
      <c r="C1878">
        <v>0.56582882549541902</v>
      </c>
      <c r="D1878">
        <v>0.173729231605778</v>
      </c>
      <c r="E1878">
        <v>0.225554563564656</v>
      </c>
      <c r="F1878">
        <v>1</v>
      </c>
      <c r="G1878" t="s">
        <v>10</v>
      </c>
      <c r="H1878">
        <v>1</v>
      </c>
      <c r="I1878">
        <v>367229.03083167499</v>
      </c>
      <c r="J1878">
        <v>0.77444543643534303</v>
      </c>
      <c r="K1878" t="str">
        <f t="shared" si="232"/>
        <v>OK</v>
      </c>
      <c r="L1878" t="str">
        <f t="shared" si="233"/>
        <v>OK</v>
      </c>
      <c r="M1878" t="str">
        <f>IF(OR(B1878&lt;$AE$20,B1878&gt;$AF$20),"Outlier","OK")</f>
        <v>OK</v>
      </c>
      <c r="N1878" t="str">
        <f>IF(OR(J1878&lt;$AE$21,J1878&gt;$AF$21),"Outlier","OK")</f>
        <v>OK</v>
      </c>
      <c r="O1878" t="str">
        <f>IF(OR(C1878&lt;0,C1878&gt;1),"Outlier","OK")</f>
        <v>OK</v>
      </c>
      <c r="P1878" t="str">
        <f>IF(OR(D1878&lt;0,D1878&gt;1),"Outlier","OK")</f>
        <v>OK</v>
      </c>
      <c r="Q1878" t="str">
        <f t="shared" si="234"/>
        <v>60-80%</v>
      </c>
      <c r="R1878" t="str">
        <f>IF(B1878="","Missing","OK")</f>
        <v>OK</v>
      </c>
      <c r="S1878" t="str">
        <f>IF(E1878="","Missing","OK")</f>
        <v>OK</v>
      </c>
      <c r="T1878" t="str">
        <f t="shared" si="235"/>
        <v>OK</v>
      </c>
      <c r="U1878">
        <f>COUNTIF($A:$A,A1878)</f>
        <v>1</v>
      </c>
      <c r="V1878" t="str">
        <f t="shared" si="236"/>
        <v>OK</v>
      </c>
      <c r="W1878" t="str">
        <f>IF(I1878&gt;B1878,"ERROR","OK")</f>
        <v>OK</v>
      </c>
      <c r="X1878">
        <f>(B1878-I1878)/B1878</f>
        <v>0.77444543643534247</v>
      </c>
      <c r="Y1878" s="2">
        <f t="shared" si="237"/>
        <v>5.5511151231257827E-16</v>
      </c>
      <c r="Z1878" s="2" t="str">
        <f t="shared" si="238"/>
        <v>OK</v>
      </c>
      <c r="AA1878" t="str">
        <f t="shared" si="239"/>
        <v>Unique</v>
      </c>
    </row>
    <row r="1879" spans="1:27" x14ac:dyDescent="0.3">
      <c r="A1879">
        <v>1878</v>
      </c>
      <c r="B1879">
        <v>860195.28806212498</v>
      </c>
      <c r="C1879">
        <v>0.77091534087081204</v>
      </c>
      <c r="D1879">
        <v>-6.2016683406451202E-2</v>
      </c>
      <c r="E1879">
        <v>0.33673119177134703</v>
      </c>
      <c r="F1879">
        <v>1</v>
      </c>
      <c r="G1879" t="s">
        <v>11</v>
      </c>
      <c r="H1879">
        <v>0</v>
      </c>
      <c r="I1879">
        <v>289654.58450525702</v>
      </c>
      <c r="J1879">
        <v>0.66326880822865197</v>
      </c>
      <c r="K1879" t="str">
        <f t="shared" si="232"/>
        <v>OK</v>
      </c>
      <c r="L1879" t="str">
        <f t="shared" si="233"/>
        <v>OK</v>
      </c>
      <c r="M1879" t="str">
        <f>IF(OR(B1879&lt;$AE$20,B1879&gt;$AF$20),"Outlier","OK")</f>
        <v>OK</v>
      </c>
      <c r="N1879" t="str">
        <f>IF(OR(J1879&lt;$AE$21,J1879&gt;$AF$21),"Outlier","OK")</f>
        <v>OK</v>
      </c>
      <c r="O1879" t="str">
        <f>IF(OR(C1879&lt;0,C1879&gt;1),"Outlier","OK")</f>
        <v>OK</v>
      </c>
      <c r="P1879" t="str">
        <f>IF(OR(D1879&lt;0,D1879&gt;1),"Outlier","OK")</f>
        <v>Outlier</v>
      </c>
      <c r="Q1879" t="str">
        <f t="shared" si="234"/>
        <v>60-80%</v>
      </c>
      <c r="R1879" t="str">
        <f>IF(B1879="","Missing","OK")</f>
        <v>OK</v>
      </c>
      <c r="S1879" t="str">
        <f>IF(E1879="","Missing","OK")</f>
        <v>OK</v>
      </c>
      <c r="T1879" t="str">
        <f t="shared" si="235"/>
        <v>OK</v>
      </c>
      <c r="U1879">
        <f>COUNTIF($A:$A,A1879)</f>
        <v>1</v>
      </c>
      <c r="V1879" t="str">
        <f t="shared" si="236"/>
        <v>OK</v>
      </c>
      <c r="W1879" t="str">
        <f>IF(I1879&gt;B1879,"ERROR","OK")</f>
        <v>OK</v>
      </c>
      <c r="X1879">
        <f>(B1879-I1879)/B1879</f>
        <v>0.66326880822865242</v>
      </c>
      <c r="Y1879" s="2">
        <f t="shared" si="237"/>
        <v>4.4408920985006262E-16</v>
      </c>
      <c r="Z1879" s="2" t="str">
        <f t="shared" si="238"/>
        <v>OK</v>
      </c>
      <c r="AA1879" t="str">
        <f t="shared" si="239"/>
        <v>Unique</v>
      </c>
    </row>
    <row r="1880" spans="1:27" x14ac:dyDescent="0.3">
      <c r="A1880">
        <v>1879</v>
      </c>
      <c r="B1880">
        <v>227388.178093136</v>
      </c>
      <c r="C1880">
        <v>0.121319792602153</v>
      </c>
      <c r="D1880">
        <v>-0.16374873156933301</v>
      </c>
      <c r="E1880">
        <v>0.40454650010519799</v>
      </c>
      <c r="F1880">
        <v>1</v>
      </c>
      <c r="G1880" t="s">
        <v>11</v>
      </c>
      <c r="H1880">
        <v>0</v>
      </c>
      <c r="I1880">
        <v>91989.091612875607</v>
      </c>
      <c r="J1880">
        <v>0.59545349989480201</v>
      </c>
      <c r="K1880" t="str">
        <f t="shared" si="232"/>
        <v>OK</v>
      </c>
      <c r="L1880" t="str">
        <f t="shared" si="233"/>
        <v>OK</v>
      </c>
      <c r="M1880" t="str">
        <f>IF(OR(B1880&lt;$AE$20,B1880&gt;$AF$20),"Outlier","OK")</f>
        <v>OK</v>
      </c>
      <c r="N1880" t="str">
        <f>IF(OR(J1880&lt;$AE$21,J1880&gt;$AF$21),"Outlier","OK")</f>
        <v>OK</v>
      </c>
      <c r="O1880" t="str">
        <f>IF(OR(C1880&lt;0,C1880&gt;1),"Outlier","OK")</f>
        <v>OK</v>
      </c>
      <c r="P1880" t="str">
        <f>IF(OR(D1880&lt;0,D1880&gt;1),"Outlier","OK")</f>
        <v>Outlier</v>
      </c>
      <c r="Q1880" t="str">
        <f t="shared" si="234"/>
        <v>40-60%</v>
      </c>
      <c r="R1880" t="str">
        <f>IF(B1880="","Missing","OK")</f>
        <v>OK</v>
      </c>
      <c r="S1880" t="str">
        <f>IF(E1880="","Missing","OK")</f>
        <v>OK</v>
      </c>
      <c r="T1880" t="str">
        <f t="shared" si="235"/>
        <v>OK</v>
      </c>
      <c r="U1880">
        <f>COUNTIF($A:$A,A1880)</f>
        <v>1</v>
      </c>
      <c r="V1880" t="str">
        <f t="shared" si="236"/>
        <v>OK</v>
      </c>
      <c r="W1880" t="str">
        <f>IF(I1880&gt;B1880,"ERROR","OK")</f>
        <v>OK</v>
      </c>
      <c r="X1880">
        <f>(B1880-I1880)/B1880</f>
        <v>0.59545349989480212</v>
      </c>
      <c r="Y1880" s="2">
        <f t="shared" si="237"/>
        <v>1.1102230246251565E-16</v>
      </c>
      <c r="Z1880" s="2" t="str">
        <f t="shared" si="238"/>
        <v>OK</v>
      </c>
      <c r="AA1880" t="str">
        <f t="shared" si="239"/>
        <v>Unique</v>
      </c>
    </row>
    <row r="1881" spans="1:27" x14ac:dyDescent="0.3">
      <c r="A1881">
        <v>1880</v>
      </c>
      <c r="B1881">
        <v>735610.91451057105</v>
      </c>
      <c r="C1881">
        <v>0.14591961543740101</v>
      </c>
      <c r="D1881">
        <v>0.185440311615646</v>
      </c>
      <c r="E1881">
        <v>0.4129863494289</v>
      </c>
      <c r="F1881">
        <v>1</v>
      </c>
      <c r="G1881" t="s">
        <v>10</v>
      </c>
      <c r="H1881">
        <v>0</v>
      </c>
      <c r="I1881">
        <v>303797.26618377498</v>
      </c>
      <c r="J1881">
        <v>0.587013650571099</v>
      </c>
      <c r="K1881" t="str">
        <f t="shared" si="232"/>
        <v>OK</v>
      </c>
      <c r="L1881" t="str">
        <f t="shared" si="233"/>
        <v>OK</v>
      </c>
      <c r="M1881" t="str">
        <f>IF(OR(B1881&lt;$AE$20,B1881&gt;$AF$20),"Outlier","OK")</f>
        <v>OK</v>
      </c>
      <c r="N1881" t="str">
        <f>IF(OR(J1881&lt;$AE$21,J1881&gt;$AF$21),"Outlier","OK")</f>
        <v>OK</v>
      </c>
      <c r="O1881" t="str">
        <f>IF(OR(C1881&lt;0,C1881&gt;1),"Outlier","OK")</f>
        <v>OK</v>
      </c>
      <c r="P1881" t="str">
        <f>IF(OR(D1881&lt;0,D1881&gt;1),"Outlier","OK")</f>
        <v>OK</v>
      </c>
      <c r="Q1881" t="str">
        <f t="shared" si="234"/>
        <v>40-60%</v>
      </c>
      <c r="R1881" t="str">
        <f>IF(B1881="","Missing","OK")</f>
        <v>OK</v>
      </c>
      <c r="S1881" t="str">
        <f>IF(E1881="","Missing","OK")</f>
        <v>OK</v>
      </c>
      <c r="T1881" t="str">
        <f t="shared" si="235"/>
        <v>OK</v>
      </c>
      <c r="U1881">
        <f>COUNTIF($A:$A,A1881)</f>
        <v>1</v>
      </c>
      <c r="V1881" t="str">
        <f t="shared" si="236"/>
        <v>OK</v>
      </c>
      <c r="W1881" t="str">
        <f>IF(I1881&gt;B1881,"ERROR","OK")</f>
        <v>OK</v>
      </c>
      <c r="X1881">
        <f>(B1881-I1881)/B1881</f>
        <v>0.58701365057110055</v>
      </c>
      <c r="Y1881" s="2">
        <f t="shared" si="237"/>
        <v>1.5543122344752192E-15</v>
      </c>
      <c r="Z1881" s="2" t="str">
        <f t="shared" si="238"/>
        <v>OK</v>
      </c>
      <c r="AA1881" t="str">
        <f t="shared" si="239"/>
        <v>Unique</v>
      </c>
    </row>
    <row r="1882" spans="1:27" x14ac:dyDescent="0.3">
      <c r="A1882">
        <v>1881</v>
      </c>
      <c r="B1882">
        <v>1075001.54421802</v>
      </c>
      <c r="C1882">
        <v>0.625791706967876</v>
      </c>
      <c r="D1882">
        <v>-0.116090297909127</v>
      </c>
      <c r="E1882">
        <v>0.50114322812452305</v>
      </c>
      <c r="F1882">
        <v>1</v>
      </c>
      <c r="G1882" t="s">
        <v>13</v>
      </c>
      <c r="H1882">
        <v>0</v>
      </c>
      <c r="I1882">
        <v>538729.74410826794</v>
      </c>
      <c r="J1882">
        <v>0.498856771875476</v>
      </c>
      <c r="K1882" t="str">
        <f t="shared" si="232"/>
        <v>OK</v>
      </c>
      <c r="L1882" t="str">
        <f t="shared" si="233"/>
        <v>OK</v>
      </c>
      <c r="M1882" t="str">
        <f>IF(OR(B1882&lt;$AE$20,B1882&gt;$AF$20),"Outlier","OK")</f>
        <v>OK</v>
      </c>
      <c r="N1882" t="str">
        <f>IF(OR(J1882&lt;$AE$21,J1882&gt;$AF$21),"Outlier","OK")</f>
        <v>OK</v>
      </c>
      <c r="O1882" t="str">
        <f>IF(OR(C1882&lt;0,C1882&gt;1),"Outlier","OK")</f>
        <v>OK</v>
      </c>
      <c r="P1882" t="str">
        <f>IF(OR(D1882&lt;0,D1882&gt;1),"Outlier","OK")</f>
        <v>Outlier</v>
      </c>
      <c r="Q1882" t="str">
        <f t="shared" si="234"/>
        <v>40-60%</v>
      </c>
      <c r="R1882" t="str">
        <f>IF(B1882="","Missing","OK")</f>
        <v>OK</v>
      </c>
      <c r="S1882" t="str">
        <f>IF(E1882="","Missing","OK")</f>
        <v>OK</v>
      </c>
      <c r="T1882" t="str">
        <f t="shared" si="235"/>
        <v>OK</v>
      </c>
      <c r="U1882">
        <f>COUNTIF($A:$A,A1882)</f>
        <v>1</v>
      </c>
      <c r="V1882" t="str">
        <f t="shared" si="236"/>
        <v>OK</v>
      </c>
      <c r="W1882" t="str">
        <f>IF(I1882&gt;B1882,"ERROR","OK")</f>
        <v>OK</v>
      </c>
      <c r="X1882">
        <f>(B1882-I1882)/B1882</f>
        <v>0.49885677187547495</v>
      </c>
      <c r="Y1882" s="2">
        <f t="shared" si="237"/>
        <v>1.0547118733938987E-15</v>
      </c>
      <c r="Z1882" s="2" t="str">
        <f t="shared" si="238"/>
        <v>OK</v>
      </c>
      <c r="AA1882" t="str">
        <f t="shared" si="239"/>
        <v>Unique</v>
      </c>
    </row>
    <row r="1883" spans="1:27" x14ac:dyDescent="0.3">
      <c r="A1883">
        <v>1882</v>
      </c>
      <c r="B1883">
        <v>526138.05848508002</v>
      </c>
      <c r="C1883">
        <v>0.85247001106222897</v>
      </c>
      <c r="D1883">
        <v>0.133233001532543</v>
      </c>
      <c r="E1883">
        <v>0.22535812130314201</v>
      </c>
      <c r="F1883">
        <v>1</v>
      </c>
      <c r="G1883" t="s">
        <v>13</v>
      </c>
      <c r="H1883">
        <v>0</v>
      </c>
      <c r="I1883">
        <v>118569.48440628</v>
      </c>
      <c r="J1883">
        <v>0.77464187869685697</v>
      </c>
      <c r="K1883" t="str">
        <f t="shared" si="232"/>
        <v>OK</v>
      </c>
      <c r="L1883" t="str">
        <f t="shared" si="233"/>
        <v>OK</v>
      </c>
      <c r="M1883" t="str">
        <f>IF(OR(B1883&lt;$AE$20,B1883&gt;$AF$20),"Outlier","OK")</f>
        <v>OK</v>
      </c>
      <c r="N1883" t="str">
        <f>IF(OR(J1883&lt;$AE$21,J1883&gt;$AF$21),"Outlier","OK")</f>
        <v>OK</v>
      </c>
      <c r="O1883" t="str">
        <f>IF(OR(C1883&lt;0,C1883&gt;1),"Outlier","OK")</f>
        <v>OK</v>
      </c>
      <c r="P1883" t="str">
        <f>IF(OR(D1883&lt;0,D1883&gt;1),"Outlier","OK")</f>
        <v>OK</v>
      </c>
      <c r="Q1883" t="str">
        <f t="shared" si="234"/>
        <v>60-80%</v>
      </c>
      <c r="R1883" t="str">
        <f>IF(B1883="","Missing","OK")</f>
        <v>OK</v>
      </c>
      <c r="S1883" t="str">
        <f>IF(E1883="","Missing","OK")</f>
        <v>OK</v>
      </c>
      <c r="T1883" t="str">
        <f t="shared" si="235"/>
        <v>OK</v>
      </c>
      <c r="U1883">
        <f>COUNTIF($A:$A,A1883)</f>
        <v>1</v>
      </c>
      <c r="V1883" t="str">
        <f t="shared" si="236"/>
        <v>OK</v>
      </c>
      <c r="W1883" t="str">
        <f>IF(I1883&gt;B1883,"ERROR","OK")</f>
        <v>OK</v>
      </c>
      <c r="X1883">
        <f>(B1883-I1883)/B1883</f>
        <v>0.77464187869685852</v>
      </c>
      <c r="Y1883" s="2">
        <f t="shared" si="237"/>
        <v>1.5543122344752192E-15</v>
      </c>
      <c r="Z1883" s="2" t="str">
        <f t="shared" si="238"/>
        <v>OK</v>
      </c>
      <c r="AA1883" t="str">
        <f t="shared" si="239"/>
        <v>Unique</v>
      </c>
    </row>
    <row r="1884" spans="1:27" x14ac:dyDescent="0.3">
      <c r="A1884">
        <v>1883</v>
      </c>
      <c r="B1884">
        <v>1673384.9291850501</v>
      </c>
      <c r="C1884">
        <v>0.66861090057714201</v>
      </c>
      <c r="D1884">
        <v>0.18868847000317199</v>
      </c>
      <c r="E1884">
        <v>0.16511520908135999</v>
      </c>
      <c r="F1884">
        <v>1</v>
      </c>
      <c r="G1884" t="s">
        <v>12</v>
      </c>
      <c r="H1884">
        <v>1</v>
      </c>
      <c r="I1884">
        <v>276301.30245598801</v>
      </c>
      <c r="J1884">
        <v>0.83488479091863899</v>
      </c>
      <c r="K1884" t="str">
        <f t="shared" si="232"/>
        <v>OK</v>
      </c>
      <c r="L1884" t="str">
        <f t="shared" si="233"/>
        <v>OK</v>
      </c>
      <c r="M1884" t="str">
        <f>IF(OR(B1884&lt;$AE$20,B1884&gt;$AF$20),"Outlier","OK")</f>
        <v>OK</v>
      </c>
      <c r="N1884" t="str">
        <f>IF(OR(J1884&lt;$AE$21,J1884&gt;$AF$21),"Outlier","OK")</f>
        <v>OK</v>
      </c>
      <c r="O1884" t="str">
        <f>IF(OR(C1884&lt;0,C1884&gt;1),"Outlier","OK")</f>
        <v>OK</v>
      </c>
      <c r="P1884" t="str">
        <f>IF(OR(D1884&lt;0,D1884&gt;1),"Outlier","OK")</f>
        <v>OK</v>
      </c>
      <c r="Q1884" t="str">
        <f t="shared" si="234"/>
        <v>80-100%</v>
      </c>
      <c r="R1884" t="str">
        <f>IF(B1884="","Missing","OK")</f>
        <v>OK</v>
      </c>
      <c r="S1884" t="str">
        <f>IF(E1884="","Missing","OK")</f>
        <v>OK</v>
      </c>
      <c r="T1884" t="str">
        <f t="shared" si="235"/>
        <v>OK</v>
      </c>
      <c r="U1884">
        <f>COUNTIF($A:$A,A1884)</f>
        <v>1</v>
      </c>
      <c r="V1884" t="str">
        <f t="shared" si="236"/>
        <v>OK</v>
      </c>
      <c r="W1884" t="str">
        <f>IF(I1884&gt;B1884,"ERROR","OK")</f>
        <v>OK</v>
      </c>
      <c r="X1884">
        <f>(B1884-I1884)/B1884</f>
        <v>0.83488479091863899</v>
      </c>
      <c r="Y1884" s="2">
        <f t="shared" si="237"/>
        <v>0</v>
      </c>
      <c r="Z1884" s="2" t="str">
        <f t="shared" si="238"/>
        <v>OK</v>
      </c>
      <c r="AA1884" t="str">
        <f t="shared" si="239"/>
        <v>Unique</v>
      </c>
    </row>
    <row r="1885" spans="1:27" x14ac:dyDescent="0.3">
      <c r="A1885">
        <v>1884</v>
      </c>
      <c r="B1885">
        <v>626180.21150477999</v>
      </c>
      <c r="C1885">
        <v>0.76253280797304501</v>
      </c>
      <c r="D1885">
        <v>0.15451560503679401</v>
      </c>
      <c r="E1885">
        <v>0.173311805849966</v>
      </c>
      <c r="F1885">
        <v>1</v>
      </c>
      <c r="G1885" t="s">
        <v>10</v>
      </c>
      <c r="H1885">
        <v>0</v>
      </c>
      <c r="I1885">
        <v>108524.423243407</v>
      </c>
      <c r="J1885">
        <v>0.82668819415003303</v>
      </c>
      <c r="K1885" t="str">
        <f t="shared" si="232"/>
        <v>OK</v>
      </c>
      <c r="L1885" t="str">
        <f t="shared" si="233"/>
        <v>OK</v>
      </c>
      <c r="M1885" t="str">
        <f>IF(OR(B1885&lt;$AE$20,B1885&gt;$AF$20),"Outlier","OK")</f>
        <v>OK</v>
      </c>
      <c r="N1885" t="str">
        <f>IF(OR(J1885&lt;$AE$21,J1885&gt;$AF$21),"Outlier","OK")</f>
        <v>OK</v>
      </c>
      <c r="O1885" t="str">
        <f>IF(OR(C1885&lt;0,C1885&gt;1),"Outlier","OK")</f>
        <v>OK</v>
      </c>
      <c r="P1885" t="str">
        <f>IF(OR(D1885&lt;0,D1885&gt;1),"Outlier","OK")</f>
        <v>OK</v>
      </c>
      <c r="Q1885" t="str">
        <f t="shared" si="234"/>
        <v>80-100%</v>
      </c>
      <c r="R1885" t="str">
        <f>IF(B1885="","Missing","OK")</f>
        <v>OK</v>
      </c>
      <c r="S1885" t="str">
        <f>IF(E1885="","Missing","OK")</f>
        <v>OK</v>
      </c>
      <c r="T1885" t="str">
        <f t="shared" si="235"/>
        <v>OK</v>
      </c>
      <c r="U1885">
        <f>COUNTIF($A:$A,A1885)</f>
        <v>1</v>
      </c>
      <c r="V1885" t="str">
        <f t="shared" si="236"/>
        <v>OK</v>
      </c>
      <c r="W1885" t="str">
        <f>IF(I1885&gt;B1885,"ERROR","OK")</f>
        <v>OK</v>
      </c>
      <c r="X1885">
        <f>(B1885-I1885)/B1885</f>
        <v>0.82668819415003414</v>
      </c>
      <c r="Y1885" s="2">
        <f t="shared" si="237"/>
        <v>1.1102230246251565E-15</v>
      </c>
      <c r="Z1885" s="2" t="str">
        <f t="shared" si="238"/>
        <v>OK</v>
      </c>
      <c r="AA1885" t="str">
        <f t="shared" si="239"/>
        <v>Unique</v>
      </c>
    </row>
    <row r="1886" spans="1:27" x14ac:dyDescent="0.3">
      <c r="A1886">
        <v>1885</v>
      </c>
      <c r="B1886">
        <v>449619.72122541303</v>
      </c>
      <c r="C1886">
        <v>0.724201561754659</v>
      </c>
      <c r="D1886">
        <v>-5.20764888910209E-2</v>
      </c>
      <c r="E1886">
        <v>0.215831867292266</v>
      </c>
      <c r="F1886">
        <v>1</v>
      </c>
      <c r="G1886" t="s">
        <v>11</v>
      </c>
      <c r="H1886">
        <v>0</v>
      </c>
      <c r="I1886">
        <v>97042.264003509496</v>
      </c>
      <c r="J1886">
        <v>0.784168132707733</v>
      </c>
      <c r="K1886" t="str">
        <f t="shared" si="232"/>
        <v>OK</v>
      </c>
      <c r="L1886" t="str">
        <f t="shared" si="233"/>
        <v>OK</v>
      </c>
      <c r="M1886" t="str">
        <f>IF(OR(B1886&lt;$AE$20,B1886&gt;$AF$20),"Outlier","OK")</f>
        <v>OK</v>
      </c>
      <c r="N1886" t="str">
        <f>IF(OR(J1886&lt;$AE$21,J1886&gt;$AF$21),"Outlier","OK")</f>
        <v>OK</v>
      </c>
      <c r="O1886" t="str">
        <f>IF(OR(C1886&lt;0,C1886&gt;1),"Outlier","OK")</f>
        <v>OK</v>
      </c>
      <c r="P1886" t="str">
        <f>IF(OR(D1886&lt;0,D1886&gt;1),"Outlier","OK")</f>
        <v>Outlier</v>
      </c>
      <c r="Q1886" t="str">
        <f t="shared" si="234"/>
        <v>60-80%</v>
      </c>
      <c r="R1886" t="str">
        <f>IF(B1886="","Missing","OK")</f>
        <v>OK</v>
      </c>
      <c r="S1886" t="str">
        <f>IF(E1886="","Missing","OK")</f>
        <v>OK</v>
      </c>
      <c r="T1886" t="str">
        <f t="shared" si="235"/>
        <v>OK</v>
      </c>
      <c r="U1886">
        <f>COUNTIF($A:$A,A1886)</f>
        <v>1</v>
      </c>
      <c r="V1886" t="str">
        <f t="shared" si="236"/>
        <v>OK</v>
      </c>
      <c r="W1886" t="str">
        <f>IF(I1886&gt;B1886,"ERROR","OK")</f>
        <v>OK</v>
      </c>
      <c r="X1886">
        <f>(B1886-I1886)/B1886</f>
        <v>0.78416813270773289</v>
      </c>
      <c r="Y1886" s="2">
        <f t="shared" si="237"/>
        <v>1.1102230246251565E-16</v>
      </c>
      <c r="Z1886" s="2" t="str">
        <f t="shared" si="238"/>
        <v>OK</v>
      </c>
      <c r="AA1886" t="str">
        <f t="shared" si="239"/>
        <v>Unique</v>
      </c>
    </row>
    <row r="1887" spans="1:27" x14ac:dyDescent="0.3">
      <c r="A1887">
        <v>1886</v>
      </c>
      <c r="B1887">
        <v>387084.808909585</v>
      </c>
      <c r="C1887">
        <v>0.80321131352573605</v>
      </c>
      <c r="D1887">
        <v>-6.2665781726066794E-2</v>
      </c>
      <c r="E1887">
        <v>8.3593068465148995E-2</v>
      </c>
      <c r="F1887">
        <v>1</v>
      </c>
      <c r="G1887" t="s">
        <v>13</v>
      </c>
      <c r="H1887">
        <v>1</v>
      </c>
      <c r="I1887">
        <v>32357.6069329981</v>
      </c>
      <c r="J1887">
        <v>0.91640693153484998</v>
      </c>
      <c r="K1887" t="str">
        <f t="shared" si="232"/>
        <v>OK</v>
      </c>
      <c r="L1887" t="str">
        <f t="shared" si="233"/>
        <v>OK</v>
      </c>
      <c r="M1887" t="str">
        <f>IF(OR(B1887&lt;$AE$20,B1887&gt;$AF$20),"Outlier","OK")</f>
        <v>OK</v>
      </c>
      <c r="N1887" t="str">
        <f>IF(OR(J1887&lt;$AE$21,J1887&gt;$AF$21),"Outlier","OK")</f>
        <v>OK</v>
      </c>
      <c r="O1887" t="str">
        <f>IF(OR(C1887&lt;0,C1887&gt;1),"Outlier","OK")</f>
        <v>OK</v>
      </c>
      <c r="P1887" t="str">
        <f>IF(OR(D1887&lt;0,D1887&gt;1),"Outlier","OK")</f>
        <v>Outlier</v>
      </c>
      <c r="Q1887" t="str">
        <f t="shared" si="234"/>
        <v>80-100%</v>
      </c>
      <c r="R1887" t="str">
        <f>IF(B1887="","Missing","OK")</f>
        <v>OK</v>
      </c>
      <c r="S1887" t="str">
        <f>IF(E1887="","Missing","OK")</f>
        <v>OK</v>
      </c>
      <c r="T1887" t="str">
        <f t="shared" si="235"/>
        <v>OK</v>
      </c>
      <c r="U1887">
        <f>COUNTIF($A:$A,A1887)</f>
        <v>1</v>
      </c>
      <c r="V1887" t="str">
        <f t="shared" si="236"/>
        <v>OK</v>
      </c>
      <c r="W1887" t="str">
        <f>IF(I1887&gt;B1887,"ERROR","OK")</f>
        <v>OK</v>
      </c>
      <c r="X1887">
        <f>(B1887-I1887)/B1887</f>
        <v>0.91640693153485087</v>
      </c>
      <c r="Y1887" s="2">
        <f t="shared" si="237"/>
        <v>8.8817841970012523E-16</v>
      </c>
      <c r="Z1887" s="2" t="str">
        <f t="shared" si="238"/>
        <v>OK</v>
      </c>
      <c r="AA1887" t="str">
        <f t="shared" si="239"/>
        <v>Unique</v>
      </c>
    </row>
    <row r="1888" spans="1:27" x14ac:dyDescent="0.3">
      <c r="A1888">
        <v>1887</v>
      </c>
      <c r="B1888">
        <v>1466225.70324955</v>
      </c>
      <c r="C1888">
        <v>0.79795629295815595</v>
      </c>
      <c r="D1888">
        <v>7.3529019267330006E-2</v>
      </c>
      <c r="E1888">
        <v>0.65085651508633202</v>
      </c>
      <c r="F1888">
        <v>1</v>
      </c>
      <c r="G1888" t="s">
        <v>10</v>
      </c>
      <c r="H1888">
        <v>1</v>
      </c>
      <c r="I1888">
        <v>954302.55154701101</v>
      </c>
      <c r="J1888">
        <v>0.34914348491366698</v>
      </c>
      <c r="K1888" t="str">
        <f t="shared" si="232"/>
        <v>OK</v>
      </c>
      <c r="L1888" t="str">
        <f t="shared" si="233"/>
        <v>OK</v>
      </c>
      <c r="M1888" t="str">
        <f>IF(OR(B1888&lt;$AE$20,B1888&gt;$AF$20),"Outlier","OK")</f>
        <v>OK</v>
      </c>
      <c r="N1888" t="str">
        <f>IF(OR(J1888&lt;$AE$21,J1888&gt;$AF$21),"Outlier","OK")</f>
        <v>OK</v>
      </c>
      <c r="O1888" t="str">
        <f>IF(OR(C1888&lt;0,C1888&gt;1),"Outlier","OK")</f>
        <v>OK</v>
      </c>
      <c r="P1888" t="str">
        <f>IF(OR(D1888&lt;0,D1888&gt;1),"Outlier","OK")</f>
        <v>OK</v>
      </c>
      <c r="Q1888" t="str">
        <f t="shared" si="234"/>
        <v>20-40%</v>
      </c>
      <c r="R1888" t="str">
        <f>IF(B1888="","Missing","OK")</f>
        <v>OK</v>
      </c>
      <c r="S1888" t="str">
        <f>IF(E1888="","Missing","OK")</f>
        <v>OK</v>
      </c>
      <c r="T1888" t="str">
        <f t="shared" si="235"/>
        <v>OK</v>
      </c>
      <c r="U1888">
        <f>COUNTIF($A:$A,A1888)</f>
        <v>1</v>
      </c>
      <c r="V1888" t="str">
        <f t="shared" si="236"/>
        <v>OK</v>
      </c>
      <c r="W1888" t="str">
        <f>IF(I1888&gt;B1888,"ERROR","OK")</f>
        <v>OK</v>
      </c>
      <c r="X1888">
        <f>(B1888-I1888)/B1888</f>
        <v>0.34914348491366626</v>
      </c>
      <c r="Y1888" s="2">
        <f t="shared" si="237"/>
        <v>7.2164496600635175E-16</v>
      </c>
      <c r="Z1888" s="2" t="str">
        <f t="shared" si="238"/>
        <v>OK</v>
      </c>
      <c r="AA1888" t="str">
        <f t="shared" si="239"/>
        <v>Unique</v>
      </c>
    </row>
    <row r="1889" spans="1:27" x14ac:dyDescent="0.3">
      <c r="A1889">
        <v>1888</v>
      </c>
      <c r="B1889">
        <v>1115914.23860015</v>
      </c>
      <c r="C1889">
        <v>0.77581060343395603</v>
      </c>
      <c r="D1889">
        <v>-0.11280336688062401</v>
      </c>
      <c r="E1889">
        <v>0.35690669256615398</v>
      </c>
      <c r="F1889">
        <v>1</v>
      </c>
      <c r="G1889" t="s">
        <v>11</v>
      </c>
      <c r="H1889">
        <v>0</v>
      </c>
      <c r="I1889">
        <v>398277.26008625998</v>
      </c>
      <c r="J1889">
        <v>0.64309330743384496</v>
      </c>
      <c r="K1889" t="str">
        <f t="shared" si="232"/>
        <v>OK</v>
      </c>
      <c r="L1889" t="str">
        <f t="shared" si="233"/>
        <v>OK</v>
      </c>
      <c r="M1889" t="str">
        <f>IF(OR(B1889&lt;$AE$20,B1889&gt;$AF$20),"Outlier","OK")</f>
        <v>OK</v>
      </c>
      <c r="N1889" t="str">
        <f>IF(OR(J1889&lt;$AE$21,J1889&gt;$AF$21),"Outlier","OK")</f>
        <v>OK</v>
      </c>
      <c r="O1889" t="str">
        <f>IF(OR(C1889&lt;0,C1889&gt;1),"Outlier","OK")</f>
        <v>OK</v>
      </c>
      <c r="P1889" t="str">
        <f>IF(OR(D1889&lt;0,D1889&gt;1),"Outlier","OK")</f>
        <v>Outlier</v>
      </c>
      <c r="Q1889" t="str">
        <f t="shared" si="234"/>
        <v>60-80%</v>
      </c>
      <c r="R1889" t="str">
        <f>IF(B1889="","Missing","OK")</f>
        <v>OK</v>
      </c>
      <c r="S1889" t="str">
        <f>IF(E1889="","Missing","OK")</f>
        <v>OK</v>
      </c>
      <c r="T1889" t="str">
        <f t="shared" si="235"/>
        <v>OK</v>
      </c>
      <c r="U1889">
        <f>COUNTIF($A:$A,A1889)</f>
        <v>1</v>
      </c>
      <c r="V1889" t="str">
        <f t="shared" si="236"/>
        <v>OK</v>
      </c>
      <c r="W1889" t="str">
        <f>IF(I1889&gt;B1889,"ERROR","OK")</f>
        <v>OK</v>
      </c>
      <c r="X1889">
        <f>(B1889-I1889)/B1889</f>
        <v>0.64309330743384374</v>
      </c>
      <c r="Y1889" s="2">
        <f t="shared" si="237"/>
        <v>1.2212453270876722E-15</v>
      </c>
      <c r="Z1889" s="2" t="str">
        <f t="shared" si="238"/>
        <v>OK</v>
      </c>
      <c r="AA1889" t="str">
        <f t="shared" si="239"/>
        <v>Unique</v>
      </c>
    </row>
    <row r="1890" spans="1:27" x14ac:dyDescent="0.3">
      <c r="A1890">
        <v>1889</v>
      </c>
      <c r="B1890">
        <v>1407150.07795891</v>
      </c>
      <c r="C1890">
        <v>0.62775147619882599</v>
      </c>
      <c r="D1890">
        <v>7.9858327565634199E-2</v>
      </c>
      <c r="E1890">
        <v>0.51171330223266598</v>
      </c>
      <c r="F1890">
        <v>1</v>
      </c>
      <c r="G1890" t="s">
        <v>13</v>
      </c>
      <c r="H1890">
        <v>1</v>
      </c>
      <c r="I1890">
        <v>720057.41312931001</v>
      </c>
      <c r="J1890">
        <v>0.48828669776733302</v>
      </c>
      <c r="K1890" t="str">
        <f t="shared" si="232"/>
        <v>OK</v>
      </c>
      <c r="L1890" t="str">
        <f t="shared" si="233"/>
        <v>OK</v>
      </c>
      <c r="M1890" t="str">
        <f>IF(OR(B1890&lt;$AE$20,B1890&gt;$AF$20),"Outlier","OK")</f>
        <v>OK</v>
      </c>
      <c r="N1890" t="str">
        <f>IF(OR(J1890&lt;$AE$21,J1890&gt;$AF$21),"Outlier","OK")</f>
        <v>OK</v>
      </c>
      <c r="O1890" t="str">
        <f>IF(OR(C1890&lt;0,C1890&gt;1),"Outlier","OK")</f>
        <v>OK</v>
      </c>
      <c r="P1890" t="str">
        <f>IF(OR(D1890&lt;0,D1890&gt;1),"Outlier","OK")</f>
        <v>OK</v>
      </c>
      <c r="Q1890" t="str">
        <f t="shared" si="234"/>
        <v>40-60%</v>
      </c>
      <c r="R1890" t="str">
        <f>IF(B1890="","Missing","OK")</f>
        <v>OK</v>
      </c>
      <c r="S1890" t="str">
        <f>IF(E1890="","Missing","OK")</f>
        <v>OK</v>
      </c>
      <c r="T1890" t="str">
        <f t="shared" si="235"/>
        <v>OK</v>
      </c>
      <c r="U1890">
        <f>COUNTIF($A:$A,A1890)</f>
        <v>1</v>
      </c>
      <c r="V1890" t="str">
        <f t="shared" si="236"/>
        <v>OK</v>
      </c>
      <c r="W1890" t="str">
        <f>IF(I1890&gt;B1890,"ERROR","OK")</f>
        <v>OK</v>
      </c>
      <c r="X1890">
        <f>(B1890-I1890)/B1890</f>
        <v>0.48828669776733202</v>
      </c>
      <c r="Y1890" s="2">
        <f t="shared" si="237"/>
        <v>9.9920072216264089E-16</v>
      </c>
      <c r="Z1890" s="2" t="str">
        <f t="shared" si="238"/>
        <v>OK</v>
      </c>
      <c r="AA1890" t="str">
        <f t="shared" si="239"/>
        <v>Unique</v>
      </c>
    </row>
    <row r="1891" spans="1:27" x14ac:dyDescent="0.3">
      <c r="A1891">
        <v>1890</v>
      </c>
      <c r="B1891">
        <v>616172.95405959303</v>
      </c>
      <c r="C1891">
        <v>0.27341078910190397</v>
      </c>
      <c r="D1891">
        <v>3.05124258844287E-2</v>
      </c>
      <c r="E1891">
        <v>0.114153369236644</v>
      </c>
      <c r="F1891">
        <v>1</v>
      </c>
      <c r="G1891" t="s">
        <v>13</v>
      </c>
      <c r="H1891">
        <v>1</v>
      </c>
      <c r="I1891">
        <v>70338.2187383985</v>
      </c>
      <c r="J1891">
        <v>0.88584663076335501</v>
      </c>
      <c r="K1891" t="str">
        <f t="shared" si="232"/>
        <v>OK</v>
      </c>
      <c r="L1891" t="str">
        <f t="shared" si="233"/>
        <v>OK</v>
      </c>
      <c r="M1891" t="str">
        <f>IF(OR(B1891&lt;$AE$20,B1891&gt;$AF$20),"Outlier","OK")</f>
        <v>OK</v>
      </c>
      <c r="N1891" t="str">
        <f>IF(OR(J1891&lt;$AE$21,J1891&gt;$AF$21),"Outlier","OK")</f>
        <v>OK</v>
      </c>
      <c r="O1891" t="str">
        <f>IF(OR(C1891&lt;0,C1891&gt;1),"Outlier","OK")</f>
        <v>OK</v>
      </c>
      <c r="P1891" t="str">
        <f>IF(OR(D1891&lt;0,D1891&gt;1),"Outlier","OK")</f>
        <v>OK</v>
      </c>
      <c r="Q1891" t="str">
        <f t="shared" si="234"/>
        <v>80-100%</v>
      </c>
      <c r="R1891" t="str">
        <f>IF(B1891="","Missing","OK")</f>
        <v>OK</v>
      </c>
      <c r="S1891" t="str">
        <f>IF(E1891="","Missing","OK")</f>
        <v>OK</v>
      </c>
      <c r="T1891" t="str">
        <f t="shared" si="235"/>
        <v>OK</v>
      </c>
      <c r="U1891">
        <f>COUNTIF($A:$A,A1891)</f>
        <v>1</v>
      </c>
      <c r="V1891" t="str">
        <f t="shared" si="236"/>
        <v>OK</v>
      </c>
      <c r="W1891" t="str">
        <f>IF(I1891&gt;B1891,"ERROR","OK")</f>
        <v>OK</v>
      </c>
      <c r="X1891">
        <f>(B1891-I1891)/B1891</f>
        <v>0.88584663076335579</v>
      </c>
      <c r="Y1891" s="2">
        <f t="shared" si="237"/>
        <v>7.7715611723760958E-16</v>
      </c>
      <c r="Z1891" s="2" t="str">
        <f t="shared" si="238"/>
        <v>OK</v>
      </c>
      <c r="AA1891" t="str">
        <f t="shared" si="239"/>
        <v>Unique</v>
      </c>
    </row>
    <row r="1892" spans="1:27" x14ac:dyDescent="0.3">
      <c r="A1892">
        <v>1891</v>
      </c>
      <c r="B1892">
        <v>830006.01703730796</v>
      </c>
      <c r="C1892">
        <v>0.74186151088937002</v>
      </c>
      <c r="D1892">
        <v>8.2208063040872498E-2</v>
      </c>
      <c r="E1892">
        <v>7.2385436116311597E-2</v>
      </c>
      <c r="F1892">
        <v>1</v>
      </c>
      <c r="G1892" t="s">
        <v>13</v>
      </c>
      <c r="H1892">
        <v>0</v>
      </c>
      <c r="I1892">
        <v>60080.347522408301</v>
      </c>
      <c r="J1892">
        <v>0.92761456388368801</v>
      </c>
      <c r="K1892" t="str">
        <f t="shared" si="232"/>
        <v>OK</v>
      </c>
      <c r="L1892" t="str">
        <f t="shared" si="233"/>
        <v>OK</v>
      </c>
      <c r="M1892" t="str">
        <f>IF(OR(B1892&lt;$AE$20,B1892&gt;$AF$20),"Outlier","OK")</f>
        <v>OK</v>
      </c>
      <c r="N1892" t="str">
        <f>IF(OR(J1892&lt;$AE$21,J1892&gt;$AF$21),"Outlier","OK")</f>
        <v>OK</v>
      </c>
      <c r="O1892" t="str">
        <f>IF(OR(C1892&lt;0,C1892&gt;1),"Outlier","OK")</f>
        <v>OK</v>
      </c>
      <c r="P1892" t="str">
        <f>IF(OR(D1892&lt;0,D1892&gt;1),"Outlier","OK")</f>
        <v>OK</v>
      </c>
      <c r="Q1892" t="str">
        <f t="shared" si="234"/>
        <v>80-100%</v>
      </c>
      <c r="R1892" t="str">
        <f>IF(B1892="","Missing","OK")</f>
        <v>OK</v>
      </c>
      <c r="S1892" t="str">
        <f>IF(E1892="","Missing","OK")</f>
        <v>OK</v>
      </c>
      <c r="T1892" t="str">
        <f t="shared" si="235"/>
        <v>OK</v>
      </c>
      <c r="U1892">
        <f>COUNTIF($A:$A,A1892)</f>
        <v>1</v>
      </c>
      <c r="V1892" t="str">
        <f t="shared" si="236"/>
        <v>OK</v>
      </c>
      <c r="W1892" t="str">
        <f>IF(I1892&gt;B1892,"ERROR","OK")</f>
        <v>OK</v>
      </c>
      <c r="X1892">
        <f>(B1892-I1892)/B1892</f>
        <v>0.92761456388368835</v>
      </c>
      <c r="Y1892" s="2">
        <f t="shared" si="237"/>
        <v>3.3306690738754696E-16</v>
      </c>
      <c r="Z1892" s="2" t="str">
        <f t="shared" si="238"/>
        <v>OK</v>
      </c>
      <c r="AA1892" t="str">
        <f t="shared" si="239"/>
        <v>Unique</v>
      </c>
    </row>
    <row r="1893" spans="1:27" x14ac:dyDescent="0.3">
      <c r="A1893">
        <v>1892</v>
      </c>
      <c r="B1893">
        <v>1796434.18208385</v>
      </c>
      <c r="C1893">
        <v>0.14430958680735401</v>
      </c>
      <c r="D1893">
        <v>-6.5968936585476007E-2</v>
      </c>
      <c r="E1893">
        <v>0.236493892834128</v>
      </c>
      <c r="F1893">
        <v>1</v>
      </c>
      <c r="G1893" t="s">
        <v>11</v>
      </c>
      <c r="H1893">
        <v>0</v>
      </c>
      <c r="I1893">
        <v>424845.71294130501</v>
      </c>
      <c r="J1893">
        <v>0.76350610716587097</v>
      </c>
      <c r="K1893" t="str">
        <f t="shared" si="232"/>
        <v>OK</v>
      </c>
      <c r="L1893" t="str">
        <f t="shared" si="233"/>
        <v>OK</v>
      </c>
      <c r="M1893" t="str">
        <f>IF(OR(B1893&lt;$AE$20,B1893&gt;$AF$20),"Outlier","OK")</f>
        <v>OK</v>
      </c>
      <c r="N1893" t="str">
        <f>IF(OR(J1893&lt;$AE$21,J1893&gt;$AF$21),"Outlier","OK")</f>
        <v>OK</v>
      </c>
      <c r="O1893" t="str">
        <f>IF(OR(C1893&lt;0,C1893&gt;1),"Outlier","OK")</f>
        <v>OK</v>
      </c>
      <c r="P1893" t="str">
        <f>IF(OR(D1893&lt;0,D1893&gt;1),"Outlier","OK")</f>
        <v>Outlier</v>
      </c>
      <c r="Q1893" t="str">
        <f t="shared" si="234"/>
        <v>60-80%</v>
      </c>
      <c r="R1893" t="str">
        <f>IF(B1893="","Missing","OK")</f>
        <v>OK</v>
      </c>
      <c r="S1893" t="str">
        <f>IF(E1893="","Missing","OK")</f>
        <v>OK</v>
      </c>
      <c r="T1893" t="str">
        <f t="shared" si="235"/>
        <v>OK</v>
      </c>
      <c r="U1893">
        <f>COUNTIF($A:$A,A1893)</f>
        <v>1</v>
      </c>
      <c r="V1893" t="str">
        <f t="shared" si="236"/>
        <v>OK</v>
      </c>
      <c r="W1893" t="str">
        <f>IF(I1893&gt;B1893,"ERROR","OK")</f>
        <v>OK</v>
      </c>
      <c r="X1893">
        <f>(B1893-I1893)/B1893</f>
        <v>0.76350610716587053</v>
      </c>
      <c r="Y1893" s="2">
        <f t="shared" si="237"/>
        <v>4.4408920985006262E-16</v>
      </c>
      <c r="Z1893" s="2" t="str">
        <f t="shared" si="238"/>
        <v>OK</v>
      </c>
      <c r="AA1893" t="str">
        <f t="shared" si="239"/>
        <v>Unique</v>
      </c>
    </row>
    <row r="1894" spans="1:27" x14ac:dyDescent="0.3">
      <c r="A1894">
        <v>1893</v>
      </c>
      <c r="B1894">
        <v>694284.79662813002</v>
      </c>
      <c r="C1894">
        <v>0.79082836076236696</v>
      </c>
      <c r="D1894">
        <v>-8.0538394160418705E-2</v>
      </c>
      <c r="E1894">
        <v>0.22965962720591401</v>
      </c>
      <c r="F1894">
        <v>1</v>
      </c>
      <c r="G1894" t="s">
        <v>11</v>
      </c>
      <c r="H1894">
        <v>0</v>
      </c>
      <c r="I1894">
        <v>159449.18756835</v>
      </c>
      <c r="J1894">
        <v>0.77034037279408496</v>
      </c>
      <c r="K1894" t="str">
        <f t="shared" si="232"/>
        <v>OK</v>
      </c>
      <c r="L1894" t="str">
        <f t="shared" si="233"/>
        <v>OK</v>
      </c>
      <c r="M1894" t="str">
        <f>IF(OR(B1894&lt;$AE$20,B1894&gt;$AF$20),"Outlier","OK")</f>
        <v>OK</v>
      </c>
      <c r="N1894" t="str">
        <f>IF(OR(J1894&lt;$AE$21,J1894&gt;$AF$21),"Outlier","OK")</f>
        <v>OK</v>
      </c>
      <c r="O1894" t="str">
        <f>IF(OR(C1894&lt;0,C1894&gt;1),"Outlier","OK")</f>
        <v>OK</v>
      </c>
      <c r="P1894" t="str">
        <f>IF(OR(D1894&lt;0,D1894&gt;1),"Outlier","OK")</f>
        <v>Outlier</v>
      </c>
      <c r="Q1894" t="str">
        <f t="shared" si="234"/>
        <v>60-80%</v>
      </c>
      <c r="R1894" t="str">
        <f>IF(B1894="","Missing","OK")</f>
        <v>OK</v>
      </c>
      <c r="S1894" t="str">
        <f>IF(E1894="","Missing","OK")</f>
        <v>OK</v>
      </c>
      <c r="T1894" t="str">
        <f t="shared" si="235"/>
        <v>OK</v>
      </c>
      <c r="U1894">
        <f>COUNTIF($A:$A,A1894)</f>
        <v>1</v>
      </c>
      <c r="V1894" t="str">
        <f t="shared" si="236"/>
        <v>OK</v>
      </c>
      <c r="W1894" t="str">
        <f>IF(I1894&gt;B1894,"ERROR","OK")</f>
        <v>OK</v>
      </c>
      <c r="X1894">
        <f>(B1894-I1894)/B1894</f>
        <v>0.77034037279408618</v>
      </c>
      <c r="Y1894" s="2">
        <f t="shared" si="237"/>
        <v>1.2212453270876722E-15</v>
      </c>
      <c r="Z1894" s="2" t="str">
        <f t="shared" si="238"/>
        <v>OK</v>
      </c>
      <c r="AA1894" t="str">
        <f t="shared" si="239"/>
        <v>Unique</v>
      </c>
    </row>
    <row r="1895" spans="1:27" x14ac:dyDescent="0.3">
      <c r="A1895">
        <v>1894</v>
      </c>
      <c r="B1895">
        <v>1810750.81636631</v>
      </c>
      <c r="C1895">
        <v>0.54724100804486797</v>
      </c>
      <c r="D1895">
        <v>-6.2044672735031899E-2</v>
      </c>
      <c r="E1895">
        <v>0.232287103202547</v>
      </c>
      <c r="F1895">
        <v>1</v>
      </c>
      <c r="G1895" t="s">
        <v>10</v>
      </c>
      <c r="H1895">
        <v>1</v>
      </c>
      <c r="I1895">
        <v>420614.06175537698</v>
      </c>
      <c r="J1895">
        <v>0.76771289679745203</v>
      </c>
      <c r="K1895" t="str">
        <f t="shared" si="232"/>
        <v>OK</v>
      </c>
      <c r="L1895" t="str">
        <f t="shared" si="233"/>
        <v>OK</v>
      </c>
      <c r="M1895" t="str">
        <f>IF(OR(B1895&lt;$AE$20,B1895&gt;$AF$20),"Outlier","OK")</f>
        <v>OK</v>
      </c>
      <c r="N1895" t="str">
        <f>IF(OR(J1895&lt;$AE$21,J1895&gt;$AF$21),"Outlier","OK")</f>
        <v>OK</v>
      </c>
      <c r="O1895" t="str">
        <f>IF(OR(C1895&lt;0,C1895&gt;1),"Outlier","OK")</f>
        <v>OK</v>
      </c>
      <c r="P1895" t="str">
        <f>IF(OR(D1895&lt;0,D1895&gt;1),"Outlier","OK")</f>
        <v>Outlier</v>
      </c>
      <c r="Q1895" t="str">
        <f t="shared" si="234"/>
        <v>60-80%</v>
      </c>
      <c r="R1895" t="str">
        <f>IF(B1895="","Missing","OK")</f>
        <v>OK</v>
      </c>
      <c r="S1895" t="str">
        <f>IF(E1895="","Missing","OK")</f>
        <v>OK</v>
      </c>
      <c r="T1895" t="str">
        <f t="shared" si="235"/>
        <v>OK</v>
      </c>
      <c r="U1895">
        <f>COUNTIF($A:$A,A1895)</f>
        <v>1</v>
      </c>
      <c r="V1895" t="str">
        <f t="shared" si="236"/>
        <v>OK</v>
      </c>
      <c r="W1895" t="str">
        <f>IF(I1895&gt;B1895,"ERROR","OK")</f>
        <v>OK</v>
      </c>
      <c r="X1895">
        <f>(B1895-I1895)/B1895</f>
        <v>0.76771289679745314</v>
      </c>
      <c r="Y1895" s="2">
        <f t="shared" si="237"/>
        <v>1.1102230246251565E-15</v>
      </c>
      <c r="Z1895" s="2" t="str">
        <f t="shared" si="238"/>
        <v>OK</v>
      </c>
      <c r="AA1895" t="str">
        <f t="shared" si="239"/>
        <v>Unique</v>
      </c>
    </row>
    <row r="1896" spans="1:27" x14ac:dyDescent="0.3">
      <c r="A1896">
        <v>1895</v>
      </c>
      <c r="B1896">
        <v>1934256.60885043</v>
      </c>
      <c r="C1896">
        <v>0.78409130009927297</v>
      </c>
      <c r="D1896">
        <v>-0.10415767597306699</v>
      </c>
      <c r="E1896">
        <v>2.7892328084692001E-2</v>
      </c>
      <c r="F1896">
        <v>1</v>
      </c>
      <c r="G1896" t="s">
        <v>10</v>
      </c>
      <c r="H1896">
        <v>0</v>
      </c>
      <c r="I1896">
        <v>53950.919934040299</v>
      </c>
      <c r="J1896">
        <v>0.972107671915307</v>
      </c>
      <c r="K1896" t="str">
        <f t="shared" si="232"/>
        <v>OK</v>
      </c>
      <c r="L1896" t="str">
        <f t="shared" si="233"/>
        <v>OK</v>
      </c>
      <c r="M1896" t="str">
        <f>IF(OR(B1896&lt;$AE$20,B1896&gt;$AF$20),"Outlier","OK")</f>
        <v>OK</v>
      </c>
      <c r="N1896" t="str">
        <f>IF(OR(J1896&lt;$AE$21,J1896&gt;$AF$21),"Outlier","OK")</f>
        <v>Outlier</v>
      </c>
      <c r="O1896" t="str">
        <f>IF(OR(C1896&lt;0,C1896&gt;1),"Outlier","OK")</f>
        <v>OK</v>
      </c>
      <c r="P1896" t="str">
        <f>IF(OR(D1896&lt;0,D1896&gt;1),"Outlier","OK")</f>
        <v>Outlier</v>
      </c>
      <c r="Q1896" t="str">
        <f t="shared" si="234"/>
        <v>80-100%</v>
      </c>
      <c r="R1896" t="str">
        <f>IF(B1896="","Missing","OK")</f>
        <v>OK</v>
      </c>
      <c r="S1896" t="str">
        <f>IF(E1896="","Missing","OK")</f>
        <v>OK</v>
      </c>
      <c r="T1896" t="str">
        <f t="shared" si="235"/>
        <v>OK</v>
      </c>
      <c r="U1896">
        <f>COUNTIF($A:$A,A1896)</f>
        <v>1</v>
      </c>
      <c r="V1896" t="str">
        <f t="shared" si="236"/>
        <v>OK</v>
      </c>
      <c r="W1896" t="str">
        <f>IF(I1896&gt;B1896,"ERROR","OK")</f>
        <v>OK</v>
      </c>
      <c r="X1896">
        <f>(B1896-I1896)/B1896</f>
        <v>0.97210767191530778</v>
      </c>
      <c r="Y1896" s="2">
        <f t="shared" si="237"/>
        <v>7.7715611723760958E-16</v>
      </c>
      <c r="Z1896" s="2" t="str">
        <f t="shared" si="238"/>
        <v>OK</v>
      </c>
      <c r="AA1896" t="str">
        <f t="shared" si="239"/>
        <v>Unique</v>
      </c>
    </row>
    <row r="1897" spans="1:27" x14ac:dyDescent="0.3">
      <c r="A1897">
        <v>1896</v>
      </c>
      <c r="B1897">
        <v>88091.444642008893</v>
      </c>
      <c r="C1897">
        <v>0.60502818492966803</v>
      </c>
      <c r="D1897">
        <v>0.17860936837001101</v>
      </c>
      <c r="E1897">
        <v>0.35513637867416797</v>
      </c>
      <c r="F1897">
        <v>1</v>
      </c>
      <c r="G1897" t="s">
        <v>10</v>
      </c>
      <c r="H1897">
        <v>1</v>
      </c>
      <c r="I1897">
        <v>31284.476642338999</v>
      </c>
      <c r="J1897">
        <v>0.64486362132583097</v>
      </c>
      <c r="K1897" t="str">
        <f t="shared" si="232"/>
        <v>OK</v>
      </c>
      <c r="L1897" t="str">
        <f t="shared" si="233"/>
        <v>OK</v>
      </c>
      <c r="M1897" t="str">
        <f>IF(OR(B1897&lt;$AE$20,B1897&gt;$AF$20),"Outlier","OK")</f>
        <v>OK</v>
      </c>
      <c r="N1897" t="str">
        <f>IF(OR(J1897&lt;$AE$21,J1897&gt;$AF$21),"Outlier","OK")</f>
        <v>OK</v>
      </c>
      <c r="O1897" t="str">
        <f>IF(OR(C1897&lt;0,C1897&gt;1),"Outlier","OK")</f>
        <v>OK</v>
      </c>
      <c r="P1897" t="str">
        <f>IF(OR(D1897&lt;0,D1897&gt;1),"Outlier","OK")</f>
        <v>OK</v>
      </c>
      <c r="Q1897" t="str">
        <f t="shared" si="234"/>
        <v>60-80%</v>
      </c>
      <c r="R1897" t="str">
        <f>IF(B1897="","Missing","OK")</f>
        <v>OK</v>
      </c>
      <c r="S1897" t="str">
        <f>IF(E1897="","Missing","OK")</f>
        <v>OK</v>
      </c>
      <c r="T1897" t="str">
        <f t="shared" si="235"/>
        <v>OK</v>
      </c>
      <c r="U1897">
        <f>COUNTIF($A:$A,A1897)</f>
        <v>1</v>
      </c>
      <c r="V1897" t="str">
        <f t="shared" si="236"/>
        <v>OK</v>
      </c>
      <c r="W1897" t="str">
        <f>IF(I1897&gt;B1897,"ERROR","OK")</f>
        <v>OK</v>
      </c>
      <c r="X1897">
        <f>(B1897-I1897)/B1897</f>
        <v>0.64486362132583175</v>
      </c>
      <c r="Y1897" s="2">
        <f t="shared" si="237"/>
        <v>7.7715611723760958E-16</v>
      </c>
      <c r="Z1897" s="2" t="str">
        <f t="shared" si="238"/>
        <v>OK</v>
      </c>
      <c r="AA1897" t="str">
        <f t="shared" si="239"/>
        <v>Unique</v>
      </c>
    </row>
    <row r="1898" spans="1:27" x14ac:dyDescent="0.3">
      <c r="A1898">
        <v>1897</v>
      </c>
      <c r="B1898">
        <v>1013749.32892799</v>
      </c>
      <c r="C1898">
        <v>0.79345594668953201</v>
      </c>
      <c r="D1898">
        <v>1.3948480708102199E-2</v>
      </c>
      <c r="E1898">
        <v>0.32575050151146301</v>
      </c>
      <c r="F1898">
        <v>1</v>
      </c>
      <c r="G1898" t="s">
        <v>13</v>
      </c>
      <c r="H1898">
        <v>1</v>
      </c>
      <c r="I1898">
        <v>330229.35230520403</v>
      </c>
      <c r="J1898">
        <v>0.67424949848853599</v>
      </c>
      <c r="K1898" t="str">
        <f t="shared" si="232"/>
        <v>OK</v>
      </c>
      <c r="L1898" t="str">
        <f t="shared" si="233"/>
        <v>OK</v>
      </c>
      <c r="M1898" t="str">
        <f>IF(OR(B1898&lt;$AE$20,B1898&gt;$AF$20),"Outlier","OK")</f>
        <v>OK</v>
      </c>
      <c r="N1898" t="str">
        <f>IF(OR(J1898&lt;$AE$21,J1898&gt;$AF$21),"Outlier","OK")</f>
        <v>OK</v>
      </c>
      <c r="O1898" t="str">
        <f>IF(OR(C1898&lt;0,C1898&gt;1),"Outlier","OK")</f>
        <v>OK</v>
      </c>
      <c r="P1898" t="str">
        <f>IF(OR(D1898&lt;0,D1898&gt;1),"Outlier","OK")</f>
        <v>OK</v>
      </c>
      <c r="Q1898" t="str">
        <f t="shared" si="234"/>
        <v>60-80%</v>
      </c>
      <c r="R1898" t="str">
        <f>IF(B1898="","Missing","OK")</f>
        <v>OK</v>
      </c>
      <c r="S1898" t="str">
        <f>IF(E1898="","Missing","OK")</f>
        <v>OK</v>
      </c>
      <c r="T1898" t="str">
        <f t="shared" si="235"/>
        <v>OK</v>
      </c>
      <c r="U1898">
        <f>COUNTIF($A:$A,A1898)</f>
        <v>1</v>
      </c>
      <c r="V1898" t="str">
        <f t="shared" si="236"/>
        <v>OK</v>
      </c>
      <c r="W1898" t="str">
        <f>IF(I1898&gt;B1898,"ERROR","OK")</f>
        <v>OK</v>
      </c>
      <c r="X1898">
        <f>(B1898-I1898)/B1898</f>
        <v>0.67424949848853488</v>
      </c>
      <c r="Y1898" s="2">
        <f t="shared" si="237"/>
        <v>1.1102230246251565E-15</v>
      </c>
      <c r="Z1898" s="2" t="str">
        <f t="shared" si="238"/>
        <v>OK</v>
      </c>
      <c r="AA1898" t="str">
        <f t="shared" si="239"/>
        <v>Unique</v>
      </c>
    </row>
    <row r="1899" spans="1:27" x14ac:dyDescent="0.3">
      <c r="A1899">
        <v>1898</v>
      </c>
      <c r="B1899">
        <v>1263009.2068316101</v>
      </c>
      <c r="C1899">
        <v>0.75504444853410102</v>
      </c>
      <c r="D1899">
        <v>-2.5426677625039799E-2</v>
      </c>
      <c r="E1899">
        <v>0.25419589899608003</v>
      </c>
      <c r="F1899">
        <v>1</v>
      </c>
      <c r="G1899" t="s">
        <v>10</v>
      </c>
      <c r="H1899">
        <v>0</v>
      </c>
      <c r="I1899">
        <v>321051.76077088801</v>
      </c>
      <c r="J1899">
        <v>0.74580410100391903</v>
      </c>
      <c r="K1899" t="str">
        <f t="shared" si="232"/>
        <v>OK</v>
      </c>
      <c r="L1899" t="str">
        <f t="shared" si="233"/>
        <v>OK</v>
      </c>
      <c r="M1899" t="str">
        <f>IF(OR(B1899&lt;$AE$20,B1899&gt;$AF$20),"Outlier","OK")</f>
        <v>OK</v>
      </c>
      <c r="N1899" t="str">
        <f>IF(OR(J1899&lt;$AE$21,J1899&gt;$AF$21),"Outlier","OK")</f>
        <v>OK</v>
      </c>
      <c r="O1899" t="str">
        <f>IF(OR(C1899&lt;0,C1899&gt;1),"Outlier","OK")</f>
        <v>OK</v>
      </c>
      <c r="P1899" t="str">
        <f>IF(OR(D1899&lt;0,D1899&gt;1),"Outlier","OK")</f>
        <v>Outlier</v>
      </c>
      <c r="Q1899" t="str">
        <f t="shared" si="234"/>
        <v>60-80%</v>
      </c>
      <c r="R1899" t="str">
        <f>IF(B1899="","Missing","OK")</f>
        <v>OK</v>
      </c>
      <c r="S1899" t="str">
        <f>IF(E1899="","Missing","OK")</f>
        <v>OK</v>
      </c>
      <c r="T1899" t="str">
        <f t="shared" si="235"/>
        <v>OK</v>
      </c>
      <c r="U1899">
        <f>COUNTIF($A:$A,A1899)</f>
        <v>1</v>
      </c>
      <c r="V1899" t="str">
        <f t="shared" si="236"/>
        <v>OK</v>
      </c>
      <c r="W1899" t="str">
        <f>IF(I1899&gt;B1899,"ERROR","OK")</f>
        <v>OK</v>
      </c>
      <c r="X1899">
        <f>(B1899-I1899)/B1899</f>
        <v>0.74580410100391925</v>
      </c>
      <c r="Y1899" s="2">
        <f t="shared" si="237"/>
        <v>2.2204460492503131E-16</v>
      </c>
      <c r="Z1899" s="2" t="str">
        <f t="shared" si="238"/>
        <v>OK</v>
      </c>
      <c r="AA1899" t="str">
        <f t="shared" si="239"/>
        <v>Unique</v>
      </c>
    </row>
    <row r="1900" spans="1:27" x14ac:dyDescent="0.3">
      <c r="A1900">
        <v>1899</v>
      </c>
      <c r="B1900">
        <v>74377.728842910903</v>
      </c>
      <c r="C1900">
        <v>0.75881126369813801</v>
      </c>
      <c r="D1900">
        <v>0.16095280311306301</v>
      </c>
      <c r="E1900">
        <v>0.21007455748464399</v>
      </c>
      <c r="F1900">
        <v>1</v>
      </c>
      <c r="G1900" t="s">
        <v>10</v>
      </c>
      <c r="H1900">
        <v>1</v>
      </c>
      <c r="I1900">
        <v>15624.8684733874</v>
      </c>
      <c r="J1900">
        <v>0.78992544251535501</v>
      </c>
      <c r="K1900" t="str">
        <f t="shared" si="232"/>
        <v>OK</v>
      </c>
      <c r="L1900" t="str">
        <f t="shared" si="233"/>
        <v>OK</v>
      </c>
      <c r="M1900" t="str">
        <f>IF(OR(B1900&lt;$AE$20,B1900&gt;$AF$20),"Outlier","OK")</f>
        <v>OK</v>
      </c>
      <c r="N1900" t="str">
        <f>IF(OR(J1900&lt;$AE$21,J1900&gt;$AF$21),"Outlier","OK")</f>
        <v>OK</v>
      </c>
      <c r="O1900" t="str">
        <f>IF(OR(C1900&lt;0,C1900&gt;1),"Outlier","OK")</f>
        <v>OK</v>
      </c>
      <c r="P1900" t="str">
        <f>IF(OR(D1900&lt;0,D1900&gt;1),"Outlier","OK")</f>
        <v>OK</v>
      </c>
      <c r="Q1900" t="str">
        <f t="shared" si="234"/>
        <v>60-80%</v>
      </c>
      <c r="R1900" t="str">
        <f>IF(B1900="","Missing","OK")</f>
        <v>OK</v>
      </c>
      <c r="S1900" t="str">
        <f>IF(E1900="","Missing","OK")</f>
        <v>OK</v>
      </c>
      <c r="T1900" t="str">
        <f t="shared" si="235"/>
        <v>OK</v>
      </c>
      <c r="U1900">
        <f>COUNTIF($A:$A,A1900)</f>
        <v>1</v>
      </c>
      <c r="V1900" t="str">
        <f t="shared" si="236"/>
        <v>OK</v>
      </c>
      <c r="W1900" t="str">
        <f>IF(I1900&gt;B1900,"ERROR","OK")</f>
        <v>OK</v>
      </c>
      <c r="X1900">
        <f>(B1900-I1900)/B1900</f>
        <v>0.78992544251535535</v>
      </c>
      <c r="Y1900" s="2">
        <f t="shared" si="237"/>
        <v>3.3306690738754696E-16</v>
      </c>
      <c r="Z1900" s="2" t="str">
        <f t="shared" si="238"/>
        <v>OK</v>
      </c>
      <c r="AA1900" t="str">
        <f t="shared" si="239"/>
        <v>Unique</v>
      </c>
    </row>
    <row r="1901" spans="1:27" x14ac:dyDescent="0.3">
      <c r="A1901">
        <v>1900</v>
      </c>
      <c r="B1901">
        <v>732820.282858536</v>
      </c>
      <c r="C1901">
        <v>0.38864091181536398</v>
      </c>
      <c r="D1901">
        <v>-0.12923220642734501</v>
      </c>
      <c r="E1901">
        <v>0.30324814871918698</v>
      </c>
      <c r="F1901">
        <v>1</v>
      </c>
      <c r="G1901" t="s">
        <v>10</v>
      </c>
      <c r="H1901">
        <v>1</v>
      </c>
      <c r="I1901">
        <v>222226.39412072199</v>
      </c>
      <c r="J1901">
        <v>0.69675185128081196</v>
      </c>
      <c r="K1901" t="str">
        <f t="shared" si="232"/>
        <v>OK</v>
      </c>
      <c r="L1901" t="str">
        <f t="shared" si="233"/>
        <v>OK</v>
      </c>
      <c r="M1901" t="str">
        <f>IF(OR(B1901&lt;$AE$20,B1901&gt;$AF$20),"Outlier","OK")</f>
        <v>OK</v>
      </c>
      <c r="N1901" t="str">
        <f>IF(OR(J1901&lt;$AE$21,J1901&gt;$AF$21),"Outlier","OK")</f>
        <v>OK</v>
      </c>
      <c r="O1901" t="str">
        <f>IF(OR(C1901&lt;0,C1901&gt;1),"Outlier","OK")</f>
        <v>OK</v>
      </c>
      <c r="P1901" t="str">
        <f>IF(OR(D1901&lt;0,D1901&gt;1),"Outlier","OK")</f>
        <v>Outlier</v>
      </c>
      <c r="Q1901" t="str">
        <f t="shared" si="234"/>
        <v>60-80%</v>
      </c>
      <c r="R1901" t="str">
        <f>IF(B1901="","Missing","OK")</f>
        <v>OK</v>
      </c>
      <c r="S1901" t="str">
        <f>IF(E1901="","Missing","OK")</f>
        <v>OK</v>
      </c>
      <c r="T1901" t="str">
        <f t="shared" si="235"/>
        <v>OK</v>
      </c>
      <c r="U1901">
        <f>COUNTIF($A:$A,A1901)</f>
        <v>1</v>
      </c>
      <c r="V1901" t="str">
        <f t="shared" si="236"/>
        <v>OK</v>
      </c>
      <c r="W1901" t="str">
        <f>IF(I1901&gt;B1901,"ERROR","OK")</f>
        <v>OK</v>
      </c>
      <c r="X1901">
        <f>(B1901-I1901)/B1901</f>
        <v>0.69675185128081307</v>
      </c>
      <c r="Y1901" s="2">
        <f t="shared" si="237"/>
        <v>1.1102230246251565E-15</v>
      </c>
      <c r="Z1901" s="2" t="str">
        <f t="shared" si="238"/>
        <v>OK</v>
      </c>
      <c r="AA1901" t="str">
        <f t="shared" si="239"/>
        <v>Unique</v>
      </c>
    </row>
    <row r="1902" spans="1:27" x14ac:dyDescent="0.3">
      <c r="A1902">
        <v>1901</v>
      </c>
      <c r="B1902">
        <v>104685.036585756</v>
      </c>
      <c r="C1902">
        <v>0.25399880279745701</v>
      </c>
      <c r="D1902">
        <v>-3.08378077809029E-2</v>
      </c>
      <c r="E1902">
        <v>0.26072707714703802</v>
      </c>
      <c r="F1902">
        <v>1</v>
      </c>
      <c r="G1902" t="s">
        <v>10</v>
      </c>
      <c r="H1902">
        <v>1</v>
      </c>
      <c r="I1902">
        <v>27294.2236100351</v>
      </c>
      <c r="J1902">
        <v>0.73927292285296098</v>
      </c>
      <c r="K1902" t="str">
        <f t="shared" si="232"/>
        <v>OK</v>
      </c>
      <c r="L1902" t="str">
        <f t="shared" si="233"/>
        <v>OK</v>
      </c>
      <c r="M1902" t="str">
        <f>IF(OR(B1902&lt;$AE$20,B1902&gt;$AF$20),"Outlier","OK")</f>
        <v>OK</v>
      </c>
      <c r="N1902" t="str">
        <f>IF(OR(J1902&lt;$AE$21,J1902&gt;$AF$21),"Outlier","OK")</f>
        <v>OK</v>
      </c>
      <c r="O1902" t="str">
        <f>IF(OR(C1902&lt;0,C1902&gt;1),"Outlier","OK")</f>
        <v>OK</v>
      </c>
      <c r="P1902" t="str">
        <f>IF(OR(D1902&lt;0,D1902&gt;1),"Outlier","OK")</f>
        <v>Outlier</v>
      </c>
      <c r="Q1902" t="str">
        <f t="shared" si="234"/>
        <v>60-80%</v>
      </c>
      <c r="R1902" t="str">
        <f>IF(B1902="","Missing","OK")</f>
        <v>OK</v>
      </c>
      <c r="S1902" t="str">
        <f>IF(E1902="","Missing","OK")</f>
        <v>OK</v>
      </c>
      <c r="T1902" t="str">
        <f t="shared" si="235"/>
        <v>OK</v>
      </c>
      <c r="U1902">
        <f>COUNTIF($A:$A,A1902)</f>
        <v>1</v>
      </c>
      <c r="V1902" t="str">
        <f t="shared" si="236"/>
        <v>OK</v>
      </c>
      <c r="W1902" t="str">
        <f>IF(I1902&gt;B1902,"ERROR","OK")</f>
        <v>OK</v>
      </c>
      <c r="X1902">
        <f>(B1902-I1902)/B1902</f>
        <v>0.73927292285296009</v>
      </c>
      <c r="Y1902" s="2">
        <f t="shared" si="237"/>
        <v>8.8817841970012523E-16</v>
      </c>
      <c r="Z1902" s="2" t="str">
        <f t="shared" si="238"/>
        <v>OK</v>
      </c>
      <c r="AA1902" t="str">
        <f t="shared" si="239"/>
        <v>Unique</v>
      </c>
    </row>
    <row r="1903" spans="1:27" x14ac:dyDescent="0.3">
      <c r="A1903">
        <v>1902</v>
      </c>
      <c r="B1903">
        <v>1252158.3782001201</v>
      </c>
      <c r="C1903">
        <v>0.72567670473941803</v>
      </c>
      <c r="D1903">
        <v>-0.15989370405658801</v>
      </c>
      <c r="E1903">
        <v>0.276447493665616</v>
      </c>
      <c r="F1903">
        <v>1</v>
      </c>
      <c r="G1903" t="s">
        <v>12</v>
      </c>
      <c r="H1903">
        <v>0</v>
      </c>
      <c r="I1903">
        <v>346156.04532582703</v>
      </c>
      <c r="J1903">
        <v>0.72355250633438295</v>
      </c>
      <c r="K1903" t="str">
        <f t="shared" si="232"/>
        <v>OK</v>
      </c>
      <c r="L1903" t="str">
        <f t="shared" si="233"/>
        <v>OK</v>
      </c>
      <c r="M1903" t="str">
        <f>IF(OR(B1903&lt;$AE$20,B1903&gt;$AF$20),"Outlier","OK")</f>
        <v>OK</v>
      </c>
      <c r="N1903" t="str">
        <f>IF(OR(J1903&lt;$AE$21,J1903&gt;$AF$21),"Outlier","OK")</f>
        <v>OK</v>
      </c>
      <c r="O1903" t="str">
        <f>IF(OR(C1903&lt;0,C1903&gt;1),"Outlier","OK")</f>
        <v>OK</v>
      </c>
      <c r="P1903" t="str">
        <f>IF(OR(D1903&lt;0,D1903&gt;1),"Outlier","OK")</f>
        <v>Outlier</v>
      </c>
      <c r="Q1903" t="str">
        <f t="shared" si="234"/>
        <v>60-80%</v>
      </c>
      <c r="R1903" t="str">
        <f>IF(B1903="","Missing","OK")</f>
        <v>OK</v>
      </c>
      <c r="S1903" t="str">
        <f>IF(E1903="","Missing","OK")</f>
        <v>OK</v>
      </c>
      <c r="T1903" t="str">
        <f t="shared" si="235"/>
        <v>OK</v>
      </c>
      <c r="U1903">
        <f>COUNTIF($A:$A,A1903)</f>
        <v>1</v>
      </c>
      <c r="V1903" t="str">
        <f t="shared" si="236"/>
        <v>OK</v>
      </c>
      <c r="W1903" t="str">
        <f>IF(I1903&gt;B1903,"ERROR","OK")</f>
        <v>OK</v>
      </c>
      <c r="X1903">
        <f>(B1903-I1903)/B1903</f>
        <v>0.72355250633438284</v>
      </c>
      <c r="Y1903" s="2">
        <f t="shared" si="237"/>
        <v>1.1102230246251565E-16</v>
      </c>
      <c r="Z1903" s="2" t="str">
        <f t="shared" si="238"/>
        <v>OK</v>
      </c>
      <c r="AA1903" t="str">
        <f t="shared" si="239"/>
        <v>Unique</v>
      </c>
    </row>
    <row r="1904" spans="1:27" x14ac:dyDescent="0.3">
      <c r="A1904">
        <v>1903</v>
      </c>
      <c r="B1904">
        <v>953158.68979772495</v>
      </c>
      <c r="C1904">
        <v>0.42580721344809802</v>
      </c>
      <c r="D1904">
        <v>-8.9048633384161899E-3</v>
      </c>
      <c r="E1904">
        <v>0.45236649524273997</v>
      </c>
      <c r="F1904">
        <v>1</v>
      </c>
      <c r="G1904" t="s">
        <v>11</v>
      </c>
      <c r="H1904">
        <v>1</v>
      </c>
      <c r="I1904">
        <v>431177.05591395899</v>
      </c>
      <c r="J1904">
        <v>0.54763350475725903</v>
      </c>
      <c r="K1904" t="str">
        <f t="shared" si="232"/>
        <v>OK</v>
      </c>
      <c r="L1904" t="str">
        <f t="shared" si="233"/>
        <v>OK</v>
      </c>
      <c r="M1904" t="str">
        <f>IF(OR(B1904&lt;$AE$20,B1904&gt;$AF$20),"Outlier","OK")</f>
        <v>OK</v>
      </c>
      <c r="N1904" t="str">
        <f>IF(OR(J1904&lt;$AE$21,J1904&gt;$AF$21),"Outlier","OK")</f>
        <v>OK</v>
      </c>
      <c r="O1904" t="str">
        <f>IF(OR(C1904&lt;0,C1904&gt;1),"Outlier","OK")</f>
        <v>OK</v>
      </c>
      <c r="P1904" t="str">
        <f>IF(OR(D1904&lt;0,D1904&gt;1),"Outlier","OK")</f>
        <v>Outlier</v>
      </c>
      <c r="Q1904" t="str">
        <f t="shared" si="234"/>
        <v>40-60%</v>
      </c>
      <c r="R1904" t="str">
        <f>IF(B1904="","Missing","OK")</f>
        <v>OK</v>
      </c>
      <c r="S1904" t="str">
        <f>IF(E1904="","Missing","OK")</f>
        <v>OK</v>
      </c>
      <c r="T1904" t="str">
        <f t="shared" si="235"/>
        <v>OK</v>
      </c>
      <c r="U1904">
        <f>COUNTIF($A:$A,A1904)</f>
        <v>1</v>
      </c>
      <c r="V1904" t="str">
        <f t="shared" si="236"/>
        <v>OK</v>
      </c>
      <c r="W1904" t="str">
        <f>IF(I1904&gt;B1904,"ERROR","OK")</f>
        <v>OK</v>
      </c>
      <c r="X1904">
        <f>(B1904-I1904)/B1904</f>
        <v>0.5476335047572598</v>
      </c>
      <c r="Y1904" s="2">
        <f t="shared" si="237"/>
        <v>7.7715611723760958E-16</v>
      </c>
      <c r="Z1904" s="2" t="str">
        <f t="shared" si="238"/>
        <v>OK</v>
      </c>
      <c r="AA1904" t="str">
        <f t="shared" si="239"/>
        <v>Unique</v>
      </c>
    </row>
    <row r="1905" spans="1:27" x14ac:dyDescent="0.3">
      <c r="A1905">
        <v>1904</v>
      </c>
      <c r="B1905">
        <v>562684.22964246699</v>
      </c>
      <c r="C1905">
        <v>0.48588285824336302</v>
      </c>
      <c r="D1905">
        <v>9.5641007685316595E-2</v>
      </c>
      <c r="E1905">
        <v>0.30481228250752701</v>
      </c>
      <c r="F1905">
        <v>1</v>
      </c>
      <c r="G1905" t="s">
        <v>12</v>
      </c>
      <c r="H1905">
        <v>1</v>
      </c>
      <c r="I1905">
        <v>171513.06436831001</v>
      </c>
      <c r="J1905">
        <v>0.69518771749247199</v>
      </c>
      <c r="K1905" t="str">
        <f t="shared" si="232"/>
        <v>OK</v>
      </c>
      <c r="L1905" t="str">
        <f t="shared" si="233"/>
        <v>OK</v>
      </c>
      <c r="M1905" t="str">
        <f>IF(OR(B1905&lt;$AE$20,B1905&gt;$AF$20),"Outlier","OK")</f>
        <v>OK</v>
      </c>
      <c r="N1905" t="str">
        <f>IF(OR(J1905&lt;$AE$21,J1905&gt;$AF$21),"Outlier","OK")</f>
        <v>OK</v>
      </c>
      <c r="O1905" t="str">
        <f>IF(OR(C1905&lt;0,C1905&gt;1),"Outlier","OK")</f>
        <v>OK</v>
      </c>
      <c r="P1905" t="str">
        <f>IF(OR(D1905&lt;0,D1905&gt;1),"Outlier","OK")</f>
        <v>OK</v>
      </c>
      <c r="Q1905" t="str">
        <f t="shared" si="234"/>
        <v>60-80%</v>
      </c>
      <c r="R1905" t="str">
        <f>IF(B1905="","Missing","OK")</f>
        <v>OK</v>
      </c>
      <c r="S1905" t="str">
        <f>IF(E1905="","Missing","OK")</f>
        <v>OK</v>
      </c>
      <c r="T1905" t="str">
        <f t="shared" si="235"/>
        <v>OK</v>
      </c>
      <c r="U1905">
        <f>COUNTIF($A:$A,A1905)</f>
        <v>1</v>
      </c>
      <c r="V1905" t="str">
        <f t="shared" si="236"/>
        <v>OK</v>
      </c>
      <c r="W1905" t="str">
        <f>IF(I1905&gt;B1905,"ERROR","OK")</f>
        <v>OK</v>
      </c>
      <c r="X1905">
        <f>(B1905-I1905)/B1905</f>
        <v>0.69518771749247266</v>
      </c>
      <c r="Y1905" s="2">
        <f t="shared" si="237"/>
        <v>6.6613381477509392E-16</v>
      </c>
      <c r="Z1905" s="2" t="str">
        <f t="shared" si="238"/>
        <v>OK</v>
      </c>
      <c r="AA1905" t="str">
        <f t="shared" si="239"/>
        <v>Unique</v>
      </c>
    </row>
    <row r="1906" spans="1:27" x14ac:dyDescent="0.3">
      <c r="A1906">
        <v>1905</v>
      </c>
      <c r="B1906">
        <v>1566301.03919268</v>
      </c>
      <c r="C1906">
        <v>0.53145388162154505</v>
      </c>
      <c r="D1906">
        <v>6.5840438929769401E-2</v>
      </c>
      <c r="E1906">
        <v>0.33229283519165598</v>
      </c>
      <c r="F1906">
        <v>1</v>
      </c>
      <c r="G1906" t="s">
        <v>11</v>
      </c>
      <c r="H1906">
        <v>1</v>
      </c>
      <c r="I1906">
        <v>520470.61307697598</v>
      </c>
      <c r="J1906">
        <v>0.66770716480834302</v>
      </c>
      <c r="K1906" t="str">
        <f t="shared" si="232"/>
        <v>OK</v>
      </c>
      <c r="L1906" t="str">
        <f t="shared" si="233"/>
        <v>OK</v>
      </c>
      <c r="M1906" t="str">
        <f>IF(OR(B1906&lt;$AE$20,B1906&gt;$AF$20),"Outlier","OK")</f>
        <v>OK</v>
      </c>
      <c r="N1906" t="str">
        <f>IF(OR(J1906&lt;$AE$21,J1906&gt;$AF$21),"Outlier","OK")</f>
        <v>OK</v>
      </c>
      <c r="O1906" t="str">
        <f>IF(OR(C1906&lt;0,C1906&gt;1),"Outlier","OK")</f>
        <v>OK</v>
      </c>
      <c r="P1906" t="str">
        <f>IF(OR(D1906&lt;0,D1906&gt;1),"Outlier","OK")</f>
        <v>OK</v>
      </c>
      <c r="Q1906" t="str">
        <f t="shared" si="234"/>
        <v>60-80%</v>
      </c>
      <c r="R1906" t="str">
        <f>IF(B1906="","Missing","OK")</f>
        <v>OK</v>
      </c>
      <c r="S1906" t="str">
        <f>IF(E1906="","Missing","OK")</f>
        <v>OK</v>
      </c>
      <c r="T1906" t="str">
        <f t="shared" si="235"/>
        <v>OK</v>
      </c>
      <c r="U1906">
        <f>COUNTIF($A:$A,A1906)</f>
        <v>1</v>
      </c>
      <c r="V1906" t="str">
        <f t="shared" si="236"/>
        <v>OK</v>
      </c>
      <c r="W1906" t="str">
        <f>IF(I1906&gt;B1906,"ERROR","OK")</f>
        <v>OK</v>
      </c>
      <c r="X1906">
        <f>(B1906-I1906)/B1906</f>
        <v>0.66770716480834191</v>
      </c>
      <c r="Y1906" s="2">
        <f t="shared" si="237"/>
        <v>1.1102230246251565E-15</v>
      </c>
      <c r="Z1906" s="2" t="str">
        <f t="shared" si="238"/>
        <v>OK</v>
      </c>
      <c r="AA1906" t="str">
        <f t="shared" si="239"/>
        <v>Unique</v>
      </c>
    </row>
    <row r="1907" spans="1:27" x14ac:dyDescent="0.3">
      <c r="A1907">
        <v>1906</v>
      </c>
      <c r="B1907">
        <v>1108683.09732482</v>
      </c>
      <c r="C1907">
        <v>0.23123401451867101</v>
      </c>
      <c r="D1907">
        <v>-0.18098246198451301</v>
      </c>
      <c r="E1907">
        <v>0.682179789853953</v>
      </c>
      <c r="F1907">
        <v>1</v>
      </c>
      <c r="G1907" t="s">
        <v>13</v>
      </c>
      <c r="H1907">
        <v>0</v>
      </c>
      <c r="I1907">
        <v>756321.20234768</v>
      </c>
      <c r="J1907">
        <v>0.317820210146046</v>
      </c>
      <c r="K1907" t="str">
        <f t="shared" si="232"/>
        <v>OK</v>
      </c>
      <c r="L1907" t="str">
        <f t="shared" si="233"/>
        <v>OK</v>
      </c>
      <c r="M1907" t="str">
        <f>IF(OR(B1907&lt;$AE$20,B1907&gt;$AF$20),"Outlier","OK")</f>
        <v>OK</v>
      </c>
      <c r="N1907" t="str">
        <f>IF(OR(J1907&lt;$AE$21,J1907&gt;$AF$21),"Outlier","OK")</f>
        <v>OK</v>
      </c>
      <c r="O1907" t="str">
        <f>IF(OR(C1907&lt;0,C1907&gt;1),"Outlier","OK")</f>
        <v>OK</v>
      </c>
      <c r="P1907" t="str">
        <f>IF(OR(D1907&lt;0,D1907&gt;1),"Outlier","OK")</f>
        <v>Outlier</v>
      </c>
      <c r="Q1907" t="str">
        <f t="shared" si="234"/>
        <v>20-40%</v>
      </c>
      <c r="R1907" t="str">
        <f>IF(B1907="","Missing","OK")</f>
        <v>OK</v>
      </c>
      <c r="S1907" t="str">
        <f>IF(E1907="","Missing","OK")</f>
        <v>OK</v>
      </c>
      <c r="T1907" t="str">
        <f t="shared" si="235"/>
        <v>OK</v>
      </c>
      <c r="U1907">
        <f>COUNTIF($A:$A,A1907)</f>
        <v>1</v>
      </c>
      <c r="V1907" t="str">
        <f t="shared" si="236"/>
        <v>OK</v>
      </c>
      <c r="W1907" t="str">
        <f>IF(I1907&gt;B1907,"ERROR","OK")</f>
        <v>OK</v>
      </c>
      <c r="X1907">
        <f>(B1907-I1907)/B1907</f>
        <v>0.31782021014604289</v>
      </c>
      <c r="Y1907" s="2">
        <f t="shared" si="237"/>
        <v>3.1086244689504383E-15</v>
      </c>
      <c r="Z1907" s="2" t="str">
        <f t="shared" si="238"/>
        <v>OK</v>
      </c>
      <c r="AA1907" t="str">
        <f t="shared" si="239"/>
        <v>Unique</v>
      </c>
    </row>
    <row r="1908" spans="1:27" x14ac:dyDescent="0.3">
      <c r="A1908">
        <v>1907</v>
      </c>
      <c r="B1908">
        <v>698233.105580681</v>
      </c>
      <c r="C1908">
        <v>0.55685882640761397</v>
      </c>
      <c r="D1908">
        <v>-9.2834164354522797E-2</v>
      </c>
      <c r="E1908">
        <v>0.44522702094906402</v>
      </c>
      <c r="F1908">
        <v>1</v>
      </c>
      <c r="G1908" t="s">
        <v>12</v>
      </c>
      <c r="H1908">
        <v>1</v>
      </c>
      <c r="I1908">
        <v>310872.24552569998</v>
      </c>
      <c r="J1908">
        <v>0.55477297905093503</v>
      </c>
      <c r="K1908" t="str">
        <f t="shared" si="232"/>
        <v>OK</v>
      </c>
      <c r="L1908" t="str">
        <f t="shared" si="233"/>
        <v>OK</v>
      </c>
      <c r="M1908" t="str">
        <f>IF(OR(B1908&lt;$AE$20,B1908&gt;$AF$20),"Outlier","OK")</f>
        <v>OK</v>
      </c>
      <c r="N1908" t="str">
        <f>IF(OR(J1908&lt;$AE$21,J1908&gt;$AF$21),"Outlier","OK")</f>
        <v>OK</v>
      </c>
      <c r="O1908" t="str">
        <f>IF(OR(C1908&lt;0,C1908&gt;1),"Outlier","OK")</f>
        <v>OK</v>
      </c>
      <c r="P1908" t="str">
        <f>IF(OR(D1908&lt;0,D1908&gt;1),"Outlier","OK")</f>
        <v>Outlier</v>
      </c>
      <c r="Q1908" t="str">
        <f t="shared" si="234"/>
        <v>40-60%</v>
      </c>
      <c r="R1908" t="str">
        <f>IF(B1908="","Missing","OK")</f>
        <v>OK</v>
      </c>
      <c r="S1908" t="str">
        <f>IF(E1908="","Missing","OK")</f>
        <v>OK</v>
      </c>
      <c r="T1908" t="str">
        <f t="shared" si="235"/>
        <v>OK</v>
      </c>
      <c r="U1908">
        <f>COUNTIF($A:$A,A1908)</f>
        <v>1</v>
      </c>
      <c r="V1908" t="str">
        <f t="shared" si="236"/>
        <v>OK</v>
      </c>
      <c r="W1908" t="str">
        <f>IF(I1908&gt;B1908,"ERROR","OK")</f>
        <v>OK</v>
      </c>
      <c r="X1908">
        <f>(B1908-I1908)/B1908</f>
        <v>0.55477297905093581</v>
      </c>
      <c r="Y1908" s="2">
        <f t="shared" si="237"/>
        <v>7.7715611723760958E-16</v>
      </c>
      <c r="Z1908" s="2" t="str">
        <f t="shared" si="238"/>
        <v>OK</v>
      </c>
      <c r="AA1908" t="str">
        <f t="shared" si="239"/>
        <v>Unique</v>
      </c>
    </row>
    <row r="1909" spans="1:27" x14ac:dyDescent="0.3">
      <c r="A1909">
        <v>1908</v>
      </c>
      <c r="B1909">
        <v>1873840.6685027201</v>
      </c>
      <c r="C1909">
        <v>0.52303859449004897</v>
      </c>
      <c r="D1909">
        <v>-1.9979316178811199E-2</v>
      </c>
      <c r="E1909">
        <v>0.34142204428527301</v>
      </c>
      <c r="F1909">
        <v>1</v>
      </c>
      <c r="G1909" t="s">
        <v>13</v>
      </c>
      <c r="H1909">
        <v>1</v>
      </c>
      <c r="I1909">
        <v>639770.51170508401</v>
      </c>
      <c r="J1909">
        <v>0.65857795571472599</v>
      </c>
      <c r="K1909" t="str">
        <f t="shared" si="232"/>
        <v>OK</v>
      </c>
      <c r="L1909" t="str">
        <f t="shared" si="233"/>
        <v>OK</v>
      </c>
      <c r="M1909" t="str">
        <f>IF(OR(B1909&lt;$AE$20,B1909&gt;$AF$20),"Outlier","OK")</f>
        <v>OK</v>
      </c>
      <c r="N1909" t="str">
        <f>IF(OR(J1909&lt;$AE$21,J1909&gt;$AF$21),"Outlier","OK")</f>
        <v>OK</v>
      </c>
      <c r="O1909" t="str">
        <f>IF(OR(C1909&lt;0,C1909&gt;1),"Outlier","OK")</f>
        <v>OK</v>
      </c>
      <c r="P1909" t="str">
        <f>IF(OR(D1909&lt;0,D1909&gt;1),"Outlier","OK")</f>
        <v>Outlier</v>
      </c>
      <c r="Q1909" t="str">
        <f t="shared" si="234"/>
        <v>60-80%</v>
      </c>
      <c r="R1909" t="str">
        <f>IF(B1909="","Missing","OK")</f>
        <v>OK</v>
      </c>
      <c r="S1909" t="str">
        <f>IF(E1909="","Missing","OK")</f>
        <v>OK</v>
      </c>
      <c r="T1909" t="str">
        <f t="shared" si="235"/>
        <v>OK</v>
      </c>
      <c r="U1909">
        <f>COUNTIF($A:$A,A1909)</f>
        <v>1</v>
      </c>
      <c r="V1909" t="str">
        <f t="shared" si="236"/>
        <v>OK</v>
      </c>
      <c r="W1909" t="str">
        <f>IF(I1909&gt;B1909,"ERROR","OK")</f>
        <v>OK</v>
      </c>
      <c r="X1909">
        <f>(B1909-I1909)/B1909</f>
        <v>0.65857795571472555</v>
      </c>
      <c r="Y1909" s="2">
        <f t="shared" si="237"/>
        <v>4.4408920985006262E-16</v>
      </c>
      <c r="Z1909" s="2" t="str">
        <f t="shared" si="238"/>
        <v>OK</v>
      </c>
      <c r="AA1909" t="str">
        <f t="shared" si="239"/>
        <v>Unique</v>
      </c>
    </row>
    <row r="1910" spans="1:27" x14ac:dyDescent="0.3">
      <c r="A1910">
        <v>1909</v>
      </c>
      <c r="B1910">
        <v>1952877.0119034301</v>
      </c>
      <c r="C1910">
        <v>0.42082148471095399</v>
      </c>
      <c r="D1910">
        <v>0.160811644791993</v>
      </c>
      <c r="E1910">
        <v>0.14865124045992301</v>
      </c>
      <c r="F1910">
        <v>1</v>
      </c>
      <c r="G1910" t="s">
        <v>12</v>
      </c>
      <c r="H1910">
        <v>0</v>
      </c>
      <c r="I1910">
        <v>290297.59028511401</v>
      </c>
      <c r="J1910">
        <v>0.85134875954007605</v>
      </c>
      <c r="K1910" t="str">
        <f t="shared" si="232"/>
        <v>OK</v>
      </c>
      <c r="L1910" t="str">
        <f t="shared" si="233"/>
        <v>OK</v>
      </c>
      <c r="M1910" t="str">
        <f>IF(OR(B1910&lt;$AE$20,B1910&gt;$AF$20),"Outlier","OK")</f>
        <v>OK</v>
      </c>
      <c r="N1910" t="str">
        <f>IF(OR(J1910&lt;$AE$21,J1910&gt;$AF$21),"Outlier","OK")</f>
        <v>OK</v>
      </c>
      <c r="O1910" t="str">
        <f>IF(OR(C1910&lt;0,C1910&gt;1),"Outlier","OK")</f>
        <v>OK</v>
      </c>
      <c r="P1910" t="str">
        <f>IF(OR(D1910&lt;0,D1910&gt;1),"Outlier","OK")</f>
        <v>OK</v>
      </c>
      <c r="Q1910" t="str">
        <f t="shared" si="234"/>
        <v>80-100%</v>
      </c>
      <c r="R1910" t="str">
        <f>IF(B1910="","Missing","OK")</f>
        <v>OK</v>
      </c>
      <c r="S1910" t="str">
        <f>IF(E1910="","Missing","OK")</f>
        <v>OK</v>
      </c>
      <c r="T1910" t="str">
        <f t="shared" si="235"/>
        <v>OK</v>
      </c>
      <c r="U1910">
        <f>COUNTIF($A:$A,A1910)</f>
        <v>1</v>
      </c>
      <c r="V1910" t="str">
        <f t="shared" si="236"/>
        <v>OK</v>
      </c>
      <c r="W1910" t="str">
        <f>IF(I1910&gt;B1910,"ERROR","OK")</f>
        <v>OK</v>
      </c>
      <c r="X1910">
        <f>(B1910-I1910)/B1910</f>
        <v>0.85134875954007627</v>
      </c>
      <c r="Y1910" s="2">
        <f t="shared" si="237"/>
        <v>2.2204460492503131E-16</v>
      </c>
      <c r="Z1910" s="2" t="str">
        <f t="shared" si="238"/>
        <v>OK</v>
      </c>
      <c r="AA1910" t="str">
        <f t="shared" si="239"/>
        <v>Unique</v>
      </c>
    </row>
    <row r="1911" spans="1:27" x14ac:dyDescent="0.3">
      <c r="A1911">
        <v>1910</v>
      </c>
      <c r="B1911">
        <v>405682.06497147499</v>
      </c>
      <c r="C1911">
        <v>0.36214972295105402</v>
      </c>
      <c r="D1911">
        <v>-7.6863815411131797E-2</v>
      </c>
      <c r="E1911">
        <v>0.53733673387388003</v>
      </c>
      <c r="F1911">
        <v>1</v>
      </c>
      <c r="G1911" t="s">
        <v>11</v>
      </c>
      <c r="H1911">
        <v>1</v>
      </c>
      <c r="I1911">
        <v>217987.875782983</v>
      </c>
      <c r="J1911">
        <v>0.46266326612611902</v>
      </c>
      <c r="K1911" t="str">
        <f t="shared" si="232"/>
        <v>OK</v>
      </c>
      <c r="L1911" t="str">
        <f t="shared" si="233"/>
        <v>OK</v>
      </c>
      <c r="M1911" t="str">
        <f>IF(OR(B1911&lt;$AE$20,B1911&gt;$AF$20),"Outlier","OK")</f>
        <v>OK</v>
      </c>
      <c r="N1911" t="str">
        <f>IF(OR(J1911&lt;$AE$21,J1911&gt;$AF$21),"Outlier","OK")</f>
        <v>OK</v>
      </c>
      <c r="O1911" t="str">
        <f>IF(OR(C1911&lt;0,C1911&gt;1),"Outlier","OK")</f>
        <v>OK</v>
      </c>
      <c r="P1911" t="str">
        <f>IF(OR(D1911&lt;0,D1911&gt;1),"Outlier","OK")</f>
        <v>Outlier</v>
      </c>
      <c r="Q1911" t="str">
        <f t="shared" si="234"/>
        <v>40-60%</v>
      </c>
      <c r="R1911" t="str">
        <f>IF(B1911="","Missing","OK")</f>
        <v>OK</v>
      </c>
      <c r="S1911" t="str">
        <f>IF(E1911="","Missing","OK")</f>
        <v>OK</v>
      </c>
      <c r="T1911" t="str">
        <f t="shared" si="235"/>
        <v>OK</v>
      </c>
      <c r="U1911">
        <f>COUNTIF($A:$A,A1911)</f>
        <v>1</v>
      </c>
      <c r="V1911" t="str">
        <f t="shared" si="236"/>
        <v>OK</v>
      </c>
      <c r="W1911" t="str">
        <f>IF(I1911&gt;B1911,"ERROR","OK")</f>
        <v>OK</v>
      </c>
      <c r="X1911">
        <f>(B1911-I1911)/B1911</f>
        <v>0.46266326612612135</v>
      </c>
      <c r="Y1911" s="2">
        <f t="shared" si="237"/>
        <v>2.3314683517128287E-15</v>
      </c>
      <c r="Z1911" s="2" t="str">
        <f t="shared" si="238"/>
        <v>OK</v>
      </c>
      <c r="AA1911" t="str">
        <f t="shared" si="239"/>
        <v>Unique</v>
      </c>
    </row>
    <row r="1912" spans="1:27" x14ac:dyDescent="0.3">
      <c r="A1912">
        <v>1911</v>
      </c>
      <c r="B1912">
        <v>1957864.00018855</v>
      </c>
      <c r="C1912">
        <v>0.103455871428606</v>
      </c>
      <c r="D1912">
        <v>0.10513735246599699</v>
      </c>
      <c r="E1912">
        <v>9.4573770593264606E-2</v>
      </c>
      <c r="F1912">
        <v>1</v>
      </c>
      <c r="G1912" t="s">
        <v>13</v>
      </c>
      <c r="H1912">
        <v>1</v>
      </c>
      <c r="I1912">
        <v>185162.58080664399</v>
      </c>
      <c r="J1912">
        <v>0.90542622940673501</v>
      </c>
      <c r="K1912" t="str">
        <f t="shared" si="232"/>
        <v>OK</v>
      </c>
      <c r="L1912" t="str">
        <f t="shared" si="233"/>
        <v>OK</v>
      </c>
      <c r="M1912" t="str">
        <f>IF(OR(B1912&lt;$AE$20,B1912&gt;$AF$20),"Outlier","OK")</f>
        <v>OK</v>
      </c>
      <c r="N1912" t="str">
        <f>IF(OR(J1912&lt;$AE$21,J1912&gt;$AF$21),"Outlier","OK")</f>
        <v>OK</v>
      </c>
      <c r="O1912" t="str">
        <f>IF(OR(C1912&lt;0,C1912&gt;1),"Outlier","OK")</f>
        <v>OK</v>
      </c>
      <c r="P1912" t="str">
        <f>IF(OR(D1912&lt;0,D1912&gt;1),"Outlier","OK")</f>
        <v>OK</v>
      </c>
      <c r="Q1912" t="str">
        <f t="shared" si="234"/>
        <v>80-100%</v>
      </c>
      <c r="R1912" t="str">
        <f>IF(B1912="","Missing","OK")</f>
        <v>OK</v>
      </c>
      <c r="S1912" t="str">
        <f>IF(E1912="","Missing","OK")</f>
        <v>OK</v>
      </c>
      <c r="T1912" t="str">
        <f t="shared" si="235"/>
        <v>OK</v>
      </c>
      <c r="U1912">
        <f>COUNTIF($A:$A,A1912)</f>
        <v>1</v>
      </c>
      <c r="V1912" t="str">
        <f t="shared" si="236"/>
        <v>OK</v>
      </c>
      <c r="W1912" t="str">
        <f>IF(I1912&gt;B1912,"ERROR","OK")</f>
        <v>OK</v>
      </c>
      <c r="X1912">
        <f>(B1912-I1912)/B1912</f>
        <v>0.90542622940673512</v>
      </c>
      <c r="Y1912" s="2">
        <f t="shared" si="237"/>
        <v>1.1102230246251565E-16</v>
      </c>
      <c r="Z1912" s="2" t="str">
        <f t="shared" si="238"/>
        <v>OK</v>
      </c>
      <c r="AA1912" t="str">
        <f t="shared" si="239"/>
        <v>Unique</v>
      </c>
    </row>
    <row r="1913" spans="1:27" x14ac:dyDescent="0.3">
      <c r="A1913">
        <v>1912</v>
      </c>
      <c r="B1913">
        <v>1195827.83643269</v>
      </c>
      <c r="C1913">
        <v>0.56700472997142204</v>
      </c>
      <c r="D1913">
        <v>1.9401478249491001E-2</v>
      </c>
      <c r="E1913">
        <v>0.31944675940886802</v>
      </c>
      <c r="F1913">
        <v>1</v>
      </c>
      <c r="G1913" t="s">
        <v>12</v>
      </c>
      <c r="H1913">
        <v>0</v>
      </c>
      <c r="I1913">
        <v>382003.32715934399</v>
      </c>
      <c r="J1913">
        <v>0.68055324059113098</v>
      </c>
      <c r="K1913" t="str">
        <f t="shared" si="232"/>
        <v>OK</v>
      </c>
      <c r="L1913" t="str">
        <f t="shared" si="233"/>
        <v>OK</v>
      </c>
      <c r="M1913" t="str">
        <f>IF(OR(B1913&lt;$AE$20,B1913&gt;$AF$20),"Outlier","OK")</f>
        <v>OK</v>
      </c>
      <c r="N1913" t="str">
        <f>IF(OR(J1913&lt;$AE$21,J1913&gt;$AF$21),"Outlier","OK")</f>
        <v>OK</v>
      </c>
      <c r="O1913" t="str">
        <f>IF(OR(C1913&lt;0,C1913&gt;1),"Outlier","OK")</f>
        <v>OK</v>
      </c>
      <c r="P1913" t="str">
        <f>IF(OR(D1913&lt;0,D1913&gt;1),"Outlier","OK")</f>
        <v>OK</v>
      </c>
      <c r="Q1913" t="str">
        <f t="shared" si="234"/>
        <v>60-80%</v>
      </c>
      <c r="R1913" t="str">
        <f>IF(B1913="","Missing","OK")</f>
        <v>OK</v>
      </c>
      <c r="S1913" t="str">
        <f>IF(E1913="","Missing","OK")</f>
        <v>OK</v>
      </c>
      <c r="T1913" t="str">
        <f t="shared" si="235"/>
        <v>OK</v>
      </c>
      <c r="U1913">
        <f>COUNTIF($A:$A,A1913)</f>
        <v>1</v>
      </c>
      <c r="V1913" t="str">
        <f t="shared" si="236"/>
        <v>OK</v>
      </c>
      <c r="W1913" t="str">
        <f>IF(I1913&gt;B1913,"ERROR","OK")</f>
        <v>OK</v>
      </c>
      <c r="X1913">
        <f>(B1913-I1913)/B1913</f>
        <v>0.6805532405911292</v>
      </c>
      <c r="Y1913" s="2">
        <f t="shared" si="237"/>
        <v>1.7763568394002505E-15</v>
      </c>
      <c r="Z1913" s="2" t="str">
        <f t="shared" si="238"/>
        <v>OK</v>
      </c>
      <c r="AA1913" t="str">
        <f t="shared" si="239"/>
        <v>Unique</v>
      </c>
    </row>
    <row r="1914" spans="1:27" x14ac:dyDescent="0.3">
      <c r="A1914">
        <v>1913</v>
      </c>
      <c r="B1914">
        <v>1756948.9432600201</v>
      </c>
      <c r="C1914">
        <v>0.31456043983392501</v>
      </c>
      <c r="D1914">
        <v>8.2285686626594301E-2</v>
      </c>
      <c r="E1914">
        <v>0.23372332794150399</v>
      </c>
      <c r="F1914">
        <v>1</v>
      </c>
      <c r="G1914" t="s">
        <v>11</v>
      </c>
      <c r="H1914">
        <v>0</v>
      </c>
      <c r="I1914">
        <v>410639.95404204202</v>
      </c>
      <c r="J1914">
        <v>0.76627667205849503</v>
      </c>
      <c r="K1914" t="str">
        <f t="shared" si="232"/>
        <v>OK</v>
      </c>
      <c r="L1914" t="str">
        <f t="shared" si="233"/>
        <v>OK</v>
      </c>
      <c r="M1914" t="str">
        <f>IF(OR(B1914&lt;$AE$20,B1914&gt;$AF$20),"Outlier","OK")</f>
        <v>OK</v>
      </c>
      <c r="N1914" t="str">
        <f>IF(OR(J1914&lt;$AE$21,J1914&gt;$AF$21),"Outlier","OK")</f>
        <v>OK</v>
      </c>
      <c r="O1914" t="str">
        <f>IF(OR(C1914&lt;0,C1914&gt;1),"Outlier","OK")</f>
        <v>OK</v>
      </c>
      <c r="P1914" t="str">
        <f>IF(OR(D1914&lt;0,D1914&gt;1),"Outlier","OK")</f>
        <v>OK</v>
      </c>
      <c r="Q1914" t="str">
        <f t="shared" si="234"/>
        <v>60-80%</v>
      </c>
      <c r="R1914" t="str">
        <f>IF(B1914="","Missing","OK")</f>
        <v>OK</v>
      </c>
      <c r="S1914" t="str">
        <f>IF(E1914="","Missing","OK")</f>
        <v>OK</v>
      </c>
      <c r="T1914" t="str">
        <f t="shared" si="235"/>
        <v>OK</v>
      </c>
      <c r="U1914">
        <f>COUNTIF($A:$A,A1914)</f>
        <v>1</v>
      </c>
      <c r="V1914" t="str">
        <f t="shared" si="236"/>
        <v>OK</v>
      </c>
      <c r="W1914" t="str">
        <f>IF(I1914&gt;B1914,"ERROR","OK")</f>
        <v>OK</v>
      </c>
      <c r="X1914">
        <f>(B1914-I1914)/B1914</f>
        <v>0.76627667205849515</v>
      </c>
      <c r="Y1914" s="2">
        <f t="shared" si="237"/>
        <v>1.1102230246251565E-16</v>
      </c>
      <c r="Z1914" s="2" t="str">
        <f t="shared" si="238"/>
        <v>OK</v>
      </c>
      <c r="AA1914" t="str">
        <f t="shared" si="239"/>
        <v>Unique</v>
      </c>
    </row>
    <row r="1915" spans="1:27" x14ac:dyDescent="0.3">
      <c r="A1915">
        <v>1914</v>
      </c>
      <c r="B1915">
        <v>618420.17616082996</v>
      </c>
      <c r="C1915">
        <v>0.369455119321764</v>
      </c>
      <c r="D1915">
        <v>-0.19435892423405601</v>
      </c>
      <c r="E1915">
        <v>0.38156918956008301</v>
      </c>
      <c r="F1915">
        <v>1</v>
      </c>
      <c r="G1915" t="s">
        <v>12</v>
      </c>
      <c r="H1915">
        <v>0</v>
      </c>
      <c r="I1915">
        <v>235970.085425292</v>
      </c>
      <c r="J1915">
        <v>0.61843081043991699</v>
      </c>
      <c r="K1915" t="str">
        <f t="shared" si="232"/>
        <v>OK</v>
      </c>
      <c r="L1915" t="str">
        <f t="shared" si="233"/>
        <v>OK</v>
      </c>
      <c r="M1915" t="str">
        <f>IF(OR(B1915&lt;$AE$20,B1915&gt;$AF$20),"Outlier","OK")</f>
        <v>OK</v>
      </c>
      <c r="N1915" t="str">
        <f>IF(OR(J1915&lt;$AE$21,J1915&gt;$AF$21),"Outlier","OK")</f>
        <v>OK</v>
      </c>
      <c r="O1915" t="str">
        <f>IF(OR(C1915&lt;0,C1915&gt;1),"Outlier","OK")</f>
        <v>OK</v>
      </c>
      <c r="P1915" t="str">
        <f>IF(OR(D1915&lt;0,D1915&gt;1),"Outlier","OK")</f>
        <v>Outlier</v>
      </c>
      <c r="Q1915" t="str">
        <f t="shared" si="234"/>
        <v>60-80%</v>
      </c>
      <c r="R1915" t="str">
        <f>IF(B1915="","Missing","OK")</f>
        <v>OK</v>
      </c>
      <c r="S1915" t="str">
        <f>IF(E1915="","Missing","OK")</f>
        <v>OK</v>
      </c>
      <c r="T1915" t="str">
        <f t="shared" si="235"/>
        <v>OK</v>
      </c>
      <c r="U1915">
        <f>COUNTIF($A:$A,A1915)</f>
        <v>1</v>
      </c>
      <c r="V1915" t="str">
        <f t="shared" si="236"/>
        <v>OK</v>
      </c>
      <c r="W1915" t="str">
        <f>IF(I1915&gt;B1915,"ERROR","OK")</f>
        <v>OK</v>
      </c>
      <c r="X1915">
        <f>(B1915-I1915)/B1915</f>
        <v>0.61843081043991643</v>
      </c>
      <c r="Y1915" s="2">
        <f t="shared" si="237"/>
        <v>5.5511151231257827E-16</v>
      </c>
      <c r="Z1915" s="2" t="str">
        <f t="shared" si="238"/>
        <v>OK</v>
      </c>
      <c r="AA1915" t="str">
        <f t="shared" si="239"/>
        <v>Unique</v>
      </c>
    </row>
    <row r="1916" spans="1:27" x14ac:dyDescent="0.3">
      <c r="A1916">
        <v>1915</v>
      </c>
      <c r="B1916">
        <v>140885.09231022399</v>
      </c>
      <c r="C1916">
        <v>0.21236393063047501</v>
      </c>
      <c r="D1916">
        <v>-3.4498266169169199E-2</v>
      </c>
      <c r="E1916">
        <v>0.28840301218749398</v>
      </c>
      <c r="F1916">
        <v>1</v>
      </c>
      <c r="G1916" t="s">
        <v>11</v>
      </c>
      <c r="H1916">
        <v>0</v>
      </c>
      <c r="I1916">
        <v>40631.684994581803</v>
      </c>
      <c r="J1916">
        <v>0.71159698781250502</v>
      </c>
      <c r="K1916" t="str">
        <f t="shared" si="232"/>
        <v>OK</v>
      </c>
      <c r="L1916" t="str">
        <f t="shared" si="233"/>
        <v>OK</v>
      </c>
      <c r="M1916" t="str">
        <f>IF(OR(B1916&lt;$AE$20,B1916&gt;$AF$20),"Outlier","OK")</f>
        <v>OK</v>
      </c>
      <c r="N1916" t="str">
        <f>IF(OR(J1916&lt;$AE$21,J1916&gt;$AF$21),"Outlier","OK")</f>
        <v>OK</v>
      </c>
      <c r="O1916" t="str">
        <f>IF(OR(C1916&lt;0,C1916&gt;1),"Outlier","OK")</f>
        <v>OK</v>
      </c>
      <c r="P1916" t="str">
        <f>IF(OR(D1916&lt;0,D1916&gt;1),"Outlier","OK")</f>
        <v>Outlier</v>
      </c>
      <c r="Q1916" t="str">
        <f t="shared" si="234"/>
        <v>60-80%</v>
      </c>
      <c r="R1916" t="str">
        <f>IF(B1916="","Missing","OK")</f>
        <v>OK</v>
      </c>
      <c r="S1916" t="str">
        <f>IF(E1916="","Missing","OK")</f>
        <v>OK</v>
      </c>
      <c r="T1916" t="str">
        <f t="shared" si="235"/>
        <v>OK</v>
      </c>
      <c r="U1916">
        <f>COUNTIF($A:$A,A1916)</f>
        <v>1</v>
      </c>
      <c r="V1916" t="str">
        <f t="shared" si="236"/>
        <v>OK</v>
      </c>
      <c r="W1916" t="str">
        <f>IF(I1916&gt;B1916,"ERROR","OK")</f>
        <v>OK</v>
      </c>
      <c r="X1916">
        <f>(B1916-I1916)/B1916</f>
        <v>0.71159698781250569</v>
      </c>
      <c r="Y1916" s="2">
        <f t="shared" si="237"/>
        <v>6.6613381477509392E-16</v>
      </c>
      <c r="Z1916" s="2" t="str">
        <f t="shared" si="238"/>
        <v>OK</v>
      </c>
      <c r="AA1916" t="str">
        <f t="shared" si="239"/>
        <v>Unique</v>
      </c>
    </row>
    <row r="1917" spans="1:27" x14ac:dyDescent="0.3">
      <c r="A1917">
        <v>1916</v>
      </c>
      <c r="B1917">
        <v>74540.908450841394</v>
      </c>
      <c r="C1917">
        <v>0.73438925926826004</v>
      </c>
      <c r="D1917">
        <v>0.12703065208624001</v>
      </c>
      <c r="E1917">
        <v>0.16393559375568101</v>
      </c>
      <c r="F1917">
        <v>1</v>
      </c>
      <c r="G1917" t="s">
        <v>12</v>
      </c>
      <c r="H1917">
        <v>0</v>
      </c>
      <c r="I1917">
        <v>12219.9080859766</v>
      </c>
      <c r="J1917">
        <v>0.83606440624431799</v>
      </c>
      <c r="K1917" t="str">
        <f t="shared" si="232"/>
        <v>OK</v>
      </c>
      <c r="L1917" t="str">
        <f t="shared" si="233"/>
        <v>OK</v>
      </c>
      <c r="M1917" t="str">
        <f>IF(OR(B1917&lt;$AE$20,B1917&gt;$AF$20),"Outlier","OK")</f>
        <v>OK</v>
      </c>
      <c r="N1917" t="str">
        <f>IF(OR(J1917&lt;$AE$21,J1917&gt;$AF$21),"Outlier","OK")</f>
        <v>OK</v>
      </c>
      <c r="O1917" t="str">
        <f>IF(OR(C1917&lt;0,C1917&gt;1),"Outlier","OK")</f>
        <v>OK</v>
      </c>
      <c r="P1917" t="str">
        <f>IF(OR(D1917&lt;0,D1917&gt;1),"Outlier","OK")</f>
        <v>OK</v>
      </c>
      <c r="Q1917" t="str">
        <f t="shared" si="234"/>
        <v>80-100%</v>
      </c>
      <c r="R1917" t="str">
        <f>IF(B1917="","Missing","OK")</f>
        <v>OK</v>
      </c>
      <c r="S1917" t="str">
        <f>IF(E1917="","Missing","OK")</f>
        <v>OK</v>
      </c>
      <c r="T1917" t="str">
        <f t="shared" si="235"/>
        <v>OK</v>
      </c>
      <c r="U1917">
        <f>COUNTIF($A:$A,A1917)</f>
        <v>1</v>
      </c>
      <c r="V1917" t="str">
        <f t="shared" si="236"/>
        <v>OK</v>
      </c>
      <c r="W1917" t="str">
        <f>IF(I1917&gt;B1917,"ERROR","OK")</f>
        <v>OK</v>
      </c>
      <c r="X1917">
        <f>(B1917-I1917)/B1917</f>
        <v>0.83606440624431833</v>
      </c>
      <c r="Y1917" s="2">
        <f t="shared" si="237"/>
        <v>3.3306690738754696E-16</v>
      </c>
      <c r="Z1917" s="2" t="str">
        <f t="shared" si="238"/>
        <v>OK</v>
      </c>
      <c r="AA1917" t="str">
        <f t="shared" si="239"/>
        <v>Unique</v>
      </c>
    </row>
    <row r="1918" spans="1:27" x14ac:dyDescent="0.3">
      <c r="A1918">
        <v>1917</v>
      </c>
      <c r="B1918">
        <v>890315.61622134806</v>
      </c>
      <c r="C1918">
        <v>0.43065603707837602</v>
      </c>
      <c r="D1918">
        <v>8.8822352386595499E-2</v>
      </c>
      <c r="E1918">
        <v>0.103615394305053</v>
      </c>
      <c r="F1918">
        <v>1</v>
      </c>
      <c r="G1918" t="s">
        <v>10</v>
      </c>
      <c r="H1918">
        <v>1</v>
      </c>
      <c r="I1918">
        <v>92250.403630721397</v>
      </c>
      <c r="J1918">
        <v>0.89638460569494605</v>
      </c>
      <c r="K1918" t="str">
        <f t="shared" si="232"/>
        <v>OK</v>
      </c>
      <c r="L1918" t="str">
        <f t="shared" si="233"/>
        <v>OK</v>
      </c>
      <c r="M1918" t="str">
        <f>IF(OR(B1918&lt;$AE$20,B1918&gt;$AF$20),"Outlier","OK")</f>
        <v>OK</v>
      </c>
      <c r="N1918" t="str">
        <f>IF(OR(J1918&lt;$AE$21,J1918&gt;$AF$21),"Outlier","OK")</f>
        <v>OK</v>
      </c>
      <c r="O1918" t="str">
        <f>IF(OR(C1918&lt;0,C1918&gt;1),"Outlier","OK")</f>
        <v>OK</v>
      </c>
      <c r="P1918" t="str">
        <f>IF(OR(D1918&lt;0,D1918&gt;1),"Outlier","OK")</f>
        <v>OK</v>
      </c>
      <c r="Q1918" t="str">
        <f t="shared" si="234"/>
        <v>80-100%</v>
      </c>
      <c r="R1918" t="str">
        <f>IF(B1918="","Missing","OK")</f>
        <v>OK</v>
      </c>
      <c r="S1918" t="str">
        <f>IF(E1918="","Missing","OK")</f>
        <v>OK</v>
      </c>
      <c r="T1918" t="str">
        <f t="shared" si="235"/>
        <v>OK</v>
      </c>
      <c r="U1918">
        <f>COUNTIF($A:$A,A1918)</f>
        <v>1</v>
      </c>
      <c r="V1918" t="str">
        <f t="shared" si="236"/>
        <v>OK</v>
      </c>
      <c r="W1918" t="str">
        <f>IF(I1918&gt;B1918,"ERROR","OK")</f>
        <v>OK</v>
      </c>
      <c r="X1918">
        <f>(B1918-I1918)/B1918</f>
        <v>0.89638460569494682</v>
      </c>
      <c r="Y1918" s="2">
        <f t="shared" si="237"/>
        <v>7.7715611723760958E-16</v>
      </c>
      <c r="Z1918" s="2" t="str">
        <f t="shared" si="238"/>
        <v>OK</v>
      </c>
      <c r="AA1918" t="str">
        <f t="shared" si="239"/>
        <v>Unique</v>
      </c>
    </row>
    <row r="1919" spans="1:27" x14ac:dyDescent="0.3">
      <c r="A1919">
        <v>1918</v>
      </c>
      <c r="B1919">
        <v>58870.2560402327</v>
      </c>
      <c r="C1919">
        <v>0.33555993524932098</v>
      </c>
      <c r="D1919">
        <v>5.1051511308851903E-2</v>
      </c>
      <c r="E1919">
        <v>0.47498863920310902</v>
      </c>
      <c r="F1919">
        <v>1</v>
      </c>
      <c r="G1919" t="s">
        <v>11</v>
      </c>
      <c r="H1919">
        <v>0</v>
      </c>
      <c r="I1919">
        <v>27962.702806088801</v>
      </c>
      <c r="J1919">
        <v>0.52501136079689004</v>
      </c>
      <c r="K1919" t="str">
        <f t="shared" si="232"/>
        <v>OK</v>
      </c>
      <c r="L1919" t="str">
        <f t="shared" si="233"/>
        <v>OK</v>
      </c>
      <c r="M1919" t="str">
        <f>IF(OR(B1919&lt;$AE$20,B1919&gt;$AF$20),"Outlier","OK")</f>
        <v>Outlier</v>
      </c>
      <c r="N1919" t="str">
        <f>IF(OR(J1919&lt;$AE$21,J1919&gt;$AF$21),"Outlier","OK")</f>
        <v>OK</v>
      </c>
      <c r="O1919" t="str">
        <f>IF(OR(C1919&lt;0,C1919&gt;1),"Outlier","OK")</f>
        <v>OK</v>
      </c>
      <c r="P1919" t="str">
        <f>IF(OR(D1919&lt;0,D1919&gt;1),"Outlier","OK")</f>
        <v>OK</v>
      </c>
      <c r="Q1919" t="str">
        <f t="shared" si="234"/>
        <v>40-60%</v>
      </c>
      <c r="R1919" t="str">
        <f>IF(B1919="","Missing","OK")</f>
        <v>OK</v>
      </c>
      <c r="S1919" t="str">
        <f>IF(E1919="","Missing","OK")</f>
        <v>OK</v>
      </c>
      <c r="T1919" t="str">
        <f t="shared" si="235"/>
        <v>OK</v>
      </c>
      <c r="U1919">
        <f>COUNTIF($A:$A,A1919)</f>
        <v>1</v>
      </c>
      <c r="V1919" t="str">
        <f t="shared" si="236"/>
        <v>OK</v>
      </c>
      <c r="W1919" t="str">
        <f>IF(I1919&gt;B1919,"ERROR","OK")</f>
        <v>OK</v>
      </c>
      <c r="X1919">
        <f>(B1919-I1919)/B1919</f>
        <v>0.52501136079688993</v>
      </c>
      <c r="Y1919" s="2">
        <f t="shared" si="237"/>
        <v>1.1102230246251565E-16</v>
      </c>
      <c r="Z1919" s="2" t="str">
        <f t="shared" si="238"/>
        <v>OK</v>
      </c>
      <c r="AA1919" t="str">
        <f t="shared" si="239"/>
        <v>Unique</v>
      </c>
    </row>
    <row r="1920" spans="1:27" x14ac:dyDescent="0.3">
      <c r="A1920">
        <v>1919</v>
      </c>
      <c r="B1920">
        <v>918688.78245275398</v>
      </c>
      <c r="C1920">
        <v>0.419964536991767</v>
      </c>
      <c r="D1920">
        <v>-5.1929551195306699E-2</v>
      </c>
      <c r="E1920">
        <v>0.50668482248720303</v>
      </c>
      <c r="F1920">
        <v>1</v>
      </c>
      <c r="G1920" t="s">
        <v>10</v>
      </c>
      <c r="H1920">
        <v>0</v>
      </c>
      <c r="I1920">
        <v>465485.66265805898</v>
      </c>
      <c r="J1920">
        <v>0.49331517751279602</v>
      </c>
      <c r="K1920" t="str">
        <f t="shared" si="232"/>
        <v>OK</v>
      </c>
      <c r="L1920" t="str">
        <f t="shared" si="233"/>
        <v>OK</v>
      </c>
      <c r="M1920" t="str">
        <f>IF(OR(B1920&lt;$AE$20,B1920&gt;$AF$20),"Outlier","OK")</f>
        <v>OK</v>
      </c>
      <c r="N1920" t="str">
        <f>IF(OR(J1920&lt;$AE$21,J1920&gt;$AF$21),"Outlier","OK")</f>
        <v>OK</v>
      </c>
      <c r="O1920" t="str">
        <f>IF(OR(C1920&lt;0,C1920&gt;1),"Outlier","OK")</f>
        <v>OK</v>
      </c>
      <c r="P1920" t="str">
        <f>IF(OR(D1920&lt;0,D1920&gt;1),"Outlier","OK")</f>
        <v>Outlier</v>
      </c>
      <c r="Q1920" t="str">
        <f t="shared" si="234"/>
        <v>40-60%</v>
      </c>
      <c r="R1920" t="str">
        <f>IF(B1920="","Missing","OK")</f>
        <v>OK</v>
      </c>
      <c r="S1920" t="str">
        <f>IF(E1920="","Missing","OK")</f>
        <v>OK</v>
      </c>
      <c r="T1920" t="str">
        <f t="shared" si="235"/>
        <v>OK</v>
      </c>
      <c r="U1920">
        <f>COUNTIF($A:$A,A1920)</f>
        <v>1</v>
      </c>
      <c r="V1920" t="str">
        <f t="shared" si="236"/>
        <v>OK</v>
      </c>
      <c r="W1920" t="str">
        <f>IF(I1920&gt;B1920,"ERROR","OK")</f>
        <v>OK</v>
      </c>
      <c r="X1920">
        <f>(B1920-I1920)/B1920</f>
        <v>0.49331517751279624</v>
      </c>
      <c r="Y1920" s="2">
        <f t="shared" si="237"/>
        <v>2.2204460492503131E-16</v>
      </c>
      <c r="Z1920" s="2" t="str">
        <f t="shared" si="238"/>
        <v>OK</v>
      </c>
      <c r="AA1920" t="str">
        <f t="shared" si="239"/>
        <v>Unique</v>
      </c>
    </row>
    <row r="1921" spans="1:27" x14ac:dyDescent="0.3">
      <c r="A1921">
        <v>1920</v>
      </c>
      <c r="B1921">
        <v>1500741.98226198</v>
      </c>
      <c r="C1921">
        <v>0.17265397632792501</v>
      </c>
      <c r="D1921">
        <v>2.5283848725277801E-2</v>
      </c>
      <c r="E1921">
        <v>0.47396450350422897</v>
      </c>
      <c r="F1921">
        <v>1</v>
      </c>
      <c r="G1921" t="s">
        <v>11</v>
      </c>
      <c r="H1921">
        <v>0</v>
      </c>
      <c r="I1921">
        <v>711298.42851075402</v>
      </c>
      <c r="J1921">
        <v>0.52603549649576997</v>
      </c>
      <c r="K1921" t="str">
        <f t="shared" si="232"/>
        <v>OK</v>
      </c>
      <c r="L1921" t="str">
        <f t="shared" si="233"/>
        <v>OK</v>
      </c>
      <c r="M1921" t="str">
        <f>IF(OR(B1921&lt;$AE$20,B1921&gt;$AF$20),"Outlier","OK")</f>
        <v>OK</v>
      </c>
      <c r="N1921" t="str">
        <f>IF(OR(J1921&lt;$AE$21,J1921&gt;$AF$21),"Outlier","OK")</f>
        <v>OK</v>
      </c>
      <c r="O1921" t="str">
        <f>IF(OR(C1921&lt;0,C1921&gt;1),"Outlier","OK")</f>
        <v>OK</v>
      </c>
      <c r="P1921" t="str">
        <f>IF(OR(D1921&lt;0,D1921&gt;1),"Outlier","OK")</f>
        <v>OK</v>
      </c>
      <c r="Q1921" t="str">
        <f t="shared" si="234"/>
        <v>40-60%</v>
      </c>
      <c r="R1921" t="str">
        <f>IF(B1921="","Missing","OK")</f>
        <v>OK</v>
      </c>
      <c r="S1921" t="str">
        <f>IF(E1921="","Missing","OK")</f>
        <v>OK</v>
      </c>
      <c r="T1921" t="str">
        <f t="shared" si="235"/>
        <v>OK</v>
      </c>
      <c r="U1921">
        <f>COUNTIF($A:$A,A1921)</f>
        <v>1</v>
      </c>
      <c r="V1921" t="str">
        <f t="shared" si="236"/>
        <v>OK</v>
      </c>
      <c r="W1921" t="str">
        <f>IF(I1921&gt;B1921,"ERROR","OK")</f>
        <v>OK</v>
      </c>
      <c r="X1921">
        <f>(B1921-I1921)/B1921</f>
        <v>0.52603549649576953</v>
      </c>
      <c r="Y1921" s="2">
        <f t="shared" si="237"/>
        <v>4.4408920985006262E-16</v>
      </c>
      <c r="Z1921" s="2" t="str">
        <f t="shared" si="238"/>
        <v>OK</v>
      </c>
      <c r="AA1921" t="str">
        <f t="shared" si="239"/>
        <v>Unique</v>
      </c>
    </row>
    <row r="1922" spans="1:27" x14ac:dyDescent="0.3">
      <c r="A1922">
        <v>1921</v>
      </c>
      <c r="B1922">
        <v>1353251.7916910299</v>
      </c>
      <c r="C1922">
        <v>0.323421251402215</v>
      </c>
      <c r="D1922">
        <v>-0.19866581950002499</v>
      </c>
      <c r="E1922">
        <v>0.25317359827512897</v>
      </c>
      <c r="F1922">
        <v>1</v>
      </c>
      <c r="G1922" t="s">
        <v>13</v>
      </c>
      <c r="H1922">
        <v>1</v>
      </c>
      <c r="I1922">
        <v>342607.62547468499</v>
      </c>
      <c r="J1922">
        <v>0.74682640172487003</v>
      </c>
      <c r="K1922" t="str">
        <f t="shared" si="232"/>
        <v>OK</v>
      </c>
      <c r="L1922" t="str">
        <f t="shared" si="233"/>
        <v>OK</v>
      </c>
      <c r="M1922" t="str">
        <f>IF(OR(B1922&lt;$AE$20,B1922&gt;$AF$20),"Outlier","OK")</f>
        <v>OK</v>
      </c>
      <c r="N1922" t="str">
        <f>IF(OR(J1922&lt;$AE$21,J1922&gt;$AF$21),"Outlier","OK")</f>
        <v>OK</v>
      </c>
      <c r="O1922" t="str">
        <f>IF(OR(C1922&lt;0,C1922&gt;1),"Outlier","OK")</f>
        <v>OK</v>
      </c>
      <c r="P1922" t="str">
        <f>IF(OR(D1922&lt;0,D1922&gt;1),"Outlier","OK")</f>
        <v>Outlier</v>
      </c>
      <c r="Q1922" t="str">
        <f t="shared" si="234"/>
        <v>60-80%</v>
      </c>
      <c r="R1922" t="str">
        <f>IF(B1922="","Missing","OK")</f>
        <v>OK</v>
      </c>
      <c r="S1922" t="str">
        <f>IF(E1922="","Missing","OK")</f>
        <v>OK</v>
      </c>
      <c r="T1922" t="str">
        <f t="shared" si="235"/>
        <v>OK</v>
      </c>
      <c r="U1922">
        <f>COUNTIF($A:$A,A1922)</f>
        <v>1</v>
      </c>
      <c r="V1922" t="str">
        <f t="shared" si="236"/>
        <v>OK</v>
      </c>
      <c r="W1922" t="str">
        <f>IF(I1922&gt;B1922,"ERROR","OK")</f>
        <v>OK</v>
      </c>
      <c r="X1922">
        <f>(B1922-I1922)/B1922</f>
        <v>0.7468264017248698</v>
      </c>
      <c r="Y1922" s="2">
        <f t="shared" si="237"/>
        <v>2.2204460492503131E-16</v>
      </c>
      <c r="Z1922" s="2" t="str">
        <f t="shared" si="238"/>
        <v>OK</v>
      </c>
      <c r="AA1922" t="str">
        <f t="shared" si="239"/>
        <v>Unique</v>
      </c>
    </row>
    <row r="1923" spans="1:27" x14ac:dyDescent="0.3">
      <c r="A1923">
        <v>1922</v>
      </c>
      <c r="B1923">
        <v>1477313.2209687701</v>
      </c>
      <c r="C1923">
        <v>0.19644214219984399</v>
      </c>
      <c r="D1923">
        <v>-8.8239530898823804E-2</v>
      </c>
      <c r="E1923">
        <v>0.371265602819282</v>
      </c>
      <c r="F1923">
        <v>1</v>
      </c>
      <c r="G1923" t="s">
        <v>10</v>
      </c>
      <c r="H1923">
        <v>1</v>
      </c>
      <c r="I1923">
        <v>548475.58353586902</v>
      </c>
      <c r="J1923">
        <v>0.628734397180717</v>
      </c>
      <c r="K1923" t="str">
        <f t="shared" ref="K1923:K1986" si="240">IF(OR(J1923&lt;0,J1923&gt;1),"Error","OK")</f>
        <v>OK</v>
      </c>
      <c r="L1923" t="str">
        <f t="shared" ref="L1923:L1986" si="241">IF(I1923&gt;B1923,"Error","OK")</f>
        <v>OK</v>
      </c>
      <c r="M1923" t="str">
        <f>IF(OR(B1923&lt;$AE$20,B1923&gt;$AF$20),"Outlier","OK")</f>
        <v>OK</v>
      </c>
      <c r="N1923" t="str">
        <f>IF(OR(J1923&lt;$AE$21,J1923&gt;$AF$21),"Outlier","OK")</f>
        <v>OK</v>
      </c>
      <c r="O1923" t="str">
        <f>IF(OR(C1923&lt;0,C1923&gt;1),"Outlier","OK")</f>
        <v>OK</v>
      </c>
      <c r="P1923" t="str">
        <f>IF(OR(D1923&lt;0,D1923&gt;1),"Outlier","OK")</f>
        <v>Outlier</v>
      </c>
      <c r="Q1923" t="str">
        <f t="shared" ref="Q1923:Q1986" si="242">IF(J1923&lt;=0.2,"0-20%",
 IF(J1923&lt;=0.4,"20-40%",
 IF(J1923&lt;=0.6,"40-60%",
 IF(J1923&lt;=0.8,"60-80%","80-100%"))))</f>
        <v>60-80%</v>
      </c>
      <c r="R1923" t="str">
        <f>IF(B1923="","Missing","OK")</f>
        <v>OK</v>
      </c>
      <c r="S1923" t="str">
        <f>IF(E1923="","Missing","OK")</f>
        <v>OK</v>
      </c>
      <c r="T1923" t="str">
        <f t="shared" ref="T1923:T1986" si="243">IF(J1923="","Missing","OK")</f>
        <v>OK</v>
      </c>
      <c r="U1923">
        <f>COUNTIF($A:$A,A1923)</f>
        <v>1</v>
      </c>
      <c r="V1923" t="str">
        <f t="shared" ref="V1923:V1986" si="244">IF(OR(J1923&lt;0,J1923&gt;1),"ERROR","OK")</f>
        <v>OK</v>
      </c>
      <c r="W1923" t="str">
        <f>IF(I1923&gt;B1923,"ERROR","OK")</f>
        <v>OK</v>
      </c>
      <c r="X1923">
        <f>(B1923-I1923)/B1923</f>
        <v>0.62873439718071567</v>
      </c>
      <c r="Y1923" s="2">
        <f t="shared" ref="Y1923:Y1986" si="245">ABS(J1923-X1923)</f>
        <v>1.3322676295501878E-15</v>
      </c>
      <c r="Z1923" s="2" t="str">
        <f t="shared" ref="Z1923:Z1986" si="246">IF(OR(B1923="",I1923="",J1923=""),"Missing","OK")</f>
        <v>OK</v>
      </c>
      <c r="AA1923" t="str">
        <f t="shared" ref="AA1923:AA1986" si="247">IF(COUNTIF($A:$A,A1923)&gt;1,"Duplicate","Unique")</f>
        <v>Unique</v>
      </c>
    </row>
    <row r="1924" spans="1:27" x14ac:dyDescent="0.3">
      <c r="A1924">
        <v>1923</v>
      </c>
      <c r="B1924">
        <v>1209432.71245283</v>
      </c>
      <c r="C1924">
        <v>0.76041375183047499</v>
      </c>
      <c r="D1924">
        <v>-0.189391758522439</v>
      </c>
      <c r="E1924">
        <v>0.22753351050843701</v>
      </c>
      <c r="F1924">
        <v>1</v>
      </c>
      <c r="G1924" t="s">
        <v>10</v>
      </c>
      <c r="H1924">
        <v>1</v>
      </c>
      <c r="I1924">
        <v>275186.47078813601</v>
      </c>
      <c r="J1924">
        <v>0.77246648949156205</v>
      </c>
      <c r="K1924" t="str">
        <f t="shared" si="240"/>
        <v>OK</v>
      </c>
      <c r="L1924" t="str">
        <f t="shared" si="241"/>
        <v>OK</v>
      </c>
      <c r="M1924" t="str">
        <f>IF(OR(B1924&lt;$AE$20,B1924&gt;$AF$20),"Outlier","OK")</f>
        <v>OK</v>
      </c>
      <c r="N1924" t="str">
        <f>IF(OR(J1924&lt;$AE$21,J1924&gt;$AF$21),"Outlier","OK")</f>
        <v>OK</v>
      </c>
      <c r="O1924" t="str">
        <f>IF(OR(C1924&lt;0,C1924&gt;1),"Outlier","OK")</f>
        <v>OK</v>
      </c>
      <c r="P1924" t="str">
        <f>IF(OR(D1924&lt;0,D1924&gt;1),"Outlier","OK")</f>
        <v>Outlier</v>
      </c>
      <c r="Q1924" t="str">
        <f t="shared" si="242"/>
        <v>60-80%</v>
      </c>
      <c r="R1924" t="str">
        <f>IF(B1924="","Missing","OK")</f>
        <v>OK</v>
      </c>
      <c r="S1924" t="str">
        <f>IF(E1924="","Missing","OK")</f>
        <v>OK</v>
      </c>
      <c r="T1924" t="str">
        <f t="shared" si="243"/>
        <v>OK</v>
      </c>
      <c r="U1924">
        <f>COUNTIF($A:$A,A1924)</f>
        <v>1</v>
      </c>
      <c r="V1924" t="str">
        <f t="shared" si="244"/>
        <v>OK</v>
      </c>
      <c r="W1924" t="str">
        <f>IF(I1924&gt;B1924,"ERROR","OK")</f>
        <v>OK</v>
      </c>
      <c r="X1924">
        <f>(B1924-I1924)/B1924</f>
        <v>0.77246648949156094</v>
      </c>
      <c r="Y1924" s="2">
        <f t="shared" si="245"/>
        <v>1.1102230246251565E-15</v>
      </c>
      <c r="Z1924" s="2" t="str">
        <f t="shared" si="246"/>
        <v>OK</v>
      </c>
      <c r="AA1924" t="str">
        <f t="shared" si="247"/>
        <v>Unique</v>
      </c>
    </row>
    <row r="1925" spans="1:27" x14ac:dyDescent="0.3">
      <c r="A1925">
        <v>1924</v>
      </c>
      <c r="B1925">
        <v>1910280.1374081301</v>
      </c>
      <c r="C1925">
        <v>0.49340939904109599</v>
      </c>
      <c r="D1925">
        <v>1.5238943730533199E-2</v>
      </c>
      <c r="E1925">
        <v>0.43787143843488602</v>
      </c>
      <c r="F1925">
        <v>1</v>
      </c>
      <c r="G1925" t="s">
        <v>11</v>
      </c>
      <c r="H1925">
        <v>0</v>
      </c>
      <c r="I1925">
        <v>836457.111580492</v>
      </c>
      <c r="J1925">
        <v>0.56212856156511304</v>
      </c>
      <c r="K1925" t="str">
        <f t="shared" si="240"/>
        <v>OK</v>
      </c>
      <c r="L1925" t="str">
        <f t="shared" si="241"/>
        <v>OK</v>
      </c>
      <c r="M1925" t="str">
        <f>IF(OR(B1925&lt;$AE$20,B1925&gt;$AF$20),"Outlier","OK")</f>
        <v>OK</v>
      </c>
      <c r="N1925" t="str">
        <f>IF(OR(J1925&lt;$AE$21,J1925&gt;$AF$21),"Outlier","OK")</f>
        <v>OK</v>
      </c>
      <c r="O1925" t="str">
        <f>IF(OR(C1925&lt;0,C1925&gt;1),"Outlier","OK")</f>
        <v>OK</v>
      </c>
      <c r="P1925" t="str">
        <f>IF(OR(D1925&lt;0,D1925&gt;1),"Outlier","OK")</f>
        <v>OK</v>
      </c>
      <c r="Q1925" t="str">
        <f t="shared" si="242"/>
        <v>40-60%</v>
      </c>
      <c r="R1925" t="str">
        <f>IF(B1925="","Missing","OK")</f>
        <v>OK</v>
      </c>
      <c r="S1925" t="str">
        <f>IF(E1925="","Missing","OK")</f>
        <v>OK</v>
      </c>
      <c r="T1925" t="str">
        <f t="shared" si="243"/>
        <v>OK</v>
      </c>
      <c r="U1925">
        <f>COUNTIF($A:$A,A1925)</f>
        <v>1</v>
      </c>
      <c r="V1925" t="str">
        <f t="shared" si="244"/>
        <v>OK</v>
      </c>
      <c r="W1925" t="str">
        <f>IF(I1925&gt;B1925,"ERROR","OK")</f>
        <v>OK</v>
      </c>
      <c r="X1925">
        <f>(B1925-I1925)/B1925</f>
        <v>0.56212856156511271</v>
      </c>
      <c r="Y1925" s="2">
        <f t="shared" si="245"/>
        <v>3.3306690738754696E-16</v>
      </c>
      <c r="Z1925" s="2" t="str">
        <f t="shared" si="246"/>
        <v>OK</v>
      </c>
      <c r="AA1925" t="str">
        <f t="shared" si="247"/>
        <v>Unique</v>
      </c>
    </row>
    <row r="1926" spans="1:27" x14ac:dyDescent="0.3">
      <c r="A1926">
        <v>1925</v>
      </c>
      <c r="B1926">
        <v>518200.205533145</v>
      </c>
      <c r="C1926">
        <v>0.51888761480580703</v>
      </c>
      <c r="D1926">
        <v>-8.5712513860026096E-2</v>
      </c>
      <c r="E1926">
        <v>5.4931947971735902E-2</v>
      </c>
      <c r="F1926">
        <v>1</v>
      </c>
      <c r="G1926" t="s">
        <v>12</v>
      </c>
      <c r="H1926">
        <v>1</v>
      </c>
      <c r="I1926">
        <v>28465.7467292896</v>
      </c>
      <c r="J1926">
        <v>0.94506805202826405</v>
      </c>
      <c r="K1926" t="str">
        <f t="shared" si="240"/>
        <v>OK</v>
      </c>
      <c r="L1926" t="str">
        <f t="shared" si="241"/>
        <v>OK</v>
      </c>
      <c r="M1926" t="str">
        <f>IF(OR(B1926&lt;$AE$20,B1926&gt;$AF$20),"Outlier","OK")</f>
        <v>OK</v>
      </c>
      <c r="N1926" t="str">
        <f>IF(OR(J1926&lt;$AE$21,J1926&gt;$AF$21),"Outlier","OK")</f>
        <v>OK</v>
      </c>
      <c r="O1926" t="str">
        <f>IF(OR(C1926&lt;0,C1926&gt;1),"Outlier","OK")</f>
        <v>OK</v>
      </c>
      <c r="P1926" t="str">
        <f>IF(OR(D1926&lt;0,D1926&gt;1),"Outlier","OK")</f>
        <v>Outlier</v>
      </c>
      <c r="Q1926" t="str">
        <f t="shared" si="242"/>
        <v>80-100%</v>
      </c>
      <c r="R1926" t="str">
        <f>IF(B1926="","Missing","OK")</f>
        <v>OK</v>
      </c>
      <c r="S1926" t="str">
        <f>IF(E1926="","Missing","OK")</f>
        <v>OK</v>
      </c>
      <c r="T1926" t="str">
        <f t="shared" si="243"/>
        <v>OK</v>
      </c>
      <c r="U1926">
        <f>COUNTIF($A:$A,A1926)</f>
        <v>1</v>
      </c>
      <c r="V1926" t="str">
        <f t="shared" si="244"/>
        <v>OK</v>
      </c>
      <c r="W1926" t="str">
        <f>IF(I1926&gt;B1926,"ERROR","OK")</f>
        <v>OK</v>
      </c>
      <c r="X1926">
        <f>(B1926-I1926)/B1926</f>
        <v>0.94506805202826405</v>
      </c>
      <c r="Y1926" s="2">
        <f t="shared" si="245"/>
        <v>0</v>
      </c>
      <c r="Z1926" s="2" t="str">
        <f t="shared" si="246"/>
        <v>OK</v>
      </c>
      <c r="AA1926" t="str">
        <f t="shared" si="247"/>
        <v>Unique</v>
      </c>
    </row>
    <row r="1927" spans="1:27" x14ac:dyDescent="0.3">
      <c r="A1927">
        <v>1926</v>
      </c>
      <c r="B1927">
        <v>1812461.6913647901</v>
      </c>
      <c r="C1927">
        <v>0.864147556717351</v>
      </c>
      <c r="D1927">
        <v>6.8995179628606004E-2</v>
      </c>
      <c r="E1927">
        <v>0.59611029252572001</v>
      </c>
      <c r="F1927">
        <v>1</v>
      </c>
      <c r="G1927" t="s">
        <v>10</v>
      </c>
      <c r="H1927">
        <v>0</v>
      </c>
      <c r="I1927">
        <v>1080427.0690311301</v>
      </c>
      <c r="J1927">
        <v>0.40388970747427899</v>
      </c>
      <c r="K1927" t="str">
        <f t="shared" si="240"/>
        <v>OK</v>
      </c>
      <c r="L1927" t="str">
        <f t="shared" si="241"/>
        <v>OK</v>
      </c>
      <c r="M1927" t="str">
        <f>IF(OR(B1927&lt;$AE$20,B1927&gt;$AF$20),"Outlier","OK")</f>
        <v>OK</v>
      </c>
      <c r="N1927" t="str">
        <f>IF(OR(J1927&lt;$AE$21,J1927&gt;$AF$21),"Outlier","OK")</f>
        <v>OK</v>
      </c>
      <c r="O1927" t="str">
        <f>IF(OR(C1927&lt;0,C1927&gt;1),"Outlier","OK")</f>
        <v>OK</v>
      </c>
      <c r="P1927" t="str">
        <f>IF(OR(D1927&lt;0,D1927&gt;1),"Outlier","OK")</f>
        <v>OK</v>
      </c>
      <c r="Q1927" t="str">
        <f t="shared" si="242"/>
        <v>40-60%</v>
      </c>
      <c r="R1927" t="str">
        <f>IF(B1927="","Missing","OK")</f>
        <v>OK</v>
      </c>
      <c r="S1927" t="str">
        <f>IF(E1927="","Missing","OK")</f>
        <v>OK</v>
      </c>
      <c r="T1927" t="str">
        <f t="shared" si="243"/>
        <v>OK</v>
      </c>
      <c r="U1927">
        <f>COUNTIF($A:$A,A1927)</f>
        <v>1</v>
      </c>
      <c r="V1927" t="str">
        <f t="shared" si="244"/>
        <v>OK</v>
      </c>
      <c r="W1927" t="str">
        <f>IF(I1927&gt;B1927,"ERROR","OK")</f>
        <v>OK</v>
      </c>
      <c r="X1927">
        <f>(B1927-I1927)/B1927</f>
        <v>0.40388970747427788</v>
      </c>
      <c r="Y1927" s="2">
        <f t="shared" si="245"/>
        <v>1.1102230246251565E-15</v>
      </c>
      <c r="Z1927" s="2" t="str">
        <f t="shared" si="246"/>
        <v>OK</v>
      </c>
      <c r="AA1927" t="str">
        <f t="shared" si="247"/>
        <v>Unique</v>
      </c>
    </row>
    <row r="1928" spans="1:27" x14ac:dyDescent="0.3">
      <c r="A1928">
        <v>1927</v>
      </c>
      <c r="B1928">
        <v>1964371.00389138</v>
      </c>
      <c r="C1928">
        <v>0.89913786110858296</v>
      </c>
      <c r="D1928">
        <v>0.193413787378063</v>
      </c>
      <c r="E1928">
        <v>0.30359699992836697</v>
      </c>
      <c r="F1928">
        <v>1</v>
      </c>
      <c r="G1928" t="s">
        <v>10</v>
      </c>
      <c r="H1928">
        <v>0</v>
      </c>
      <c r="I1928">
        <v>596377.14352769905</v>
      </c>
      <c r="J1928">
        <v>0.69640300007163203</v>
      </c>
      <c r="K1928" t="str">
        <f t="shared" si="240"/>
        <v>OK</v>
      </c>
      <c r="L1928" t="str">
        <f t="shared" si="241"/>
        <v>OK</v>
      </c>
      <c r="M1928" t="str">
        <f>IF(OR(B1928&lt;$AE$20,B1928&gt;$AF$20),"Outlier","OK")</f>
        <v>OK</v>
      </c>
      <c r="N1928" t="str">
        <f>IF(OR(J1928&lt;$AE$21,J1928&gt;$AF$21),"Outlier","OK")</f>
        <v>OK</v>
      </c>
      <c r="O1928" t="str">
        <f>IF(OR(C1928&lt;0,C1928&gt;1),"Outlier","OK")</f>
        <v>OK</v>
      </c>
      <c r="P1928" t="str">
        <f>IF(OR(D1928&lt;0,D1928&gt;1),"Outlier","OK")</f>
        <v>OK</v>
      </c>
      <c r="Q1928" t="str">
        <f t="shared" si="242"/>
        <v>60-80%</v>
      </c>
      <c r="R1928" t="str">
        <f>IF(B1928="","Missing","OK")</f>
        <v>OK</v>
      </c>
      <c r="S1928" t="str">
        <f>IF(E1928="","Missing","OK")</f>
        <v>OK</v>
      </c>
      <c r="T1928" t="str">
        <f t="shared" si="243"/>
        <v>OK</v>
      </c>
      <c r="U1928">
        <f>COUNTIF($A:$A,A1928)</f>
        <v>1</v>
      </c>
      <c r="V1928" t="str">
        <f t="shared" si="244"/>
        <v>OK</v>
      </c>
      <c r="W1928" t="str">
        <f>IF(I1928&gt;B1928,"ERROR","OK")</f>
        <v>OK</v>
      </c>
      <c r="X1928">
        <f>(B1928-I1928)/B1928</f>
        <v>0.69640300007163214</v>
      </c>
      <c r="Y1928" s="2">
        <f t="shared" si="245"/>
        <v>1.1102230246251565E-16</v>
      </c>
      <c r="Z1928" s="2" t="str">
        <f t="shared" si="246"/>
        <v>OK</v>
      </c>
      <c r="AA1928" t="str">
        <f t="shared" si="247"/>
        <v>Unique</v>
      </c>
    </row>
    <row r="1929" spans="1:27" x14ac:dyDescent="0.3">
      <c r="A1929">
        <v>1928</v>
      </c>
      <c r="B1929">
        <v>56918.737208091501</v>
      </c>
      <c r="C1929">
        <v>0.43991753322087701</v>
      </c>
      <c r="D1929">
        <v>9.5856212186108194E-2</v>
      </c>
      <c r="E1929">
        <v>0.53299819193582698</v>
      </c>
      <c r="F1929">
        <v>1</v>
      </c>
      <c r="G1929" t="s">
        <v>13</v>
      </c>
      <c r="H1929">
        <v>0</v>
      </c>
      <c r="I1929">
        <v>30337.584019183199</v>
      </c>
      <c r="J1929">
        <v>0.46700180806417302</v>
      </c>
      <c r="K1929" t="str">
        <f t="shared" si="240"/>
        <v>OK</v>
      </c>
      <c r="L1929" t="str">
        <f t="shared" si="241"/>
        <v>OK</v>
      </c>
      <c r="M1929" t="str">
        <f>IF(OR(B1929&lt;$AE$20,B1929&gt;$AF$20),"Outlier","OK")</f>
        <v>Outlier</v>
      </c>
      <c r="N1929" t="str">
        <f>IF(OR(J1929&lt;$AE$21,J1929&gt;$AF$21),"Outlier","OK")</f>
        <v>OK</v>
      </c>
      <c r="O1929" t="str">
        <f>IF(OR(C1929&lt;0,C1929&gt;1),"Outlier","OK")</f>
        <v>OK</v>
      </c>
      <c r="P1929" t="str">
        <f>IF(OR(D1929&lt;0,D1929&gt;1),"Outlier","OK")</f>
        <v>OK</v>
      </c>
      <c r="Q1929" t="str">
        <f t="shared" si="242"/>
        <v>40-60%</v>
      </c>
      <c r="R1929" t="str">
        <f>IF(B1929="","Missing","OK")</f>
        <v>OK</v>
      </c>
      <c r="S1929" t="str">
        <f>IF(E1929="","Missing","OK")</f>
        <v>OK</v>
      </c>
      <c r="T1929" t="str">
        <f t="shared" si="243"/>
        <v>OK</v>
      </c>
      <c r="U1929">
        <f>COUNTIF($A:$A,A1929)</f>
        <v>1</v>
      </c>
      <c r="V1929" t="str">
        <f t="shared" si="244"/>
        <v>OK</v>
      </c>
      <c r="W1929" t="str">
        <f>IF(I1929&gt;B1929,"ERROR","OK")</f>
        <v>OK</v>
      </c>
      <c r="X1929">
        <f>(B1929-I1929)/B1929</f>
        <v>0.46700180806417391</v>
      </c>
      <c r="Y1929" s="2">
        <f t="shared" si="245"/>
        <v>8.8817841970012523E-16</v>
      </c>
      <c r="Z1929" s="2" t="str">
        <f t="shared" si="246"/>
        <v>OK</v>
      </c>
      <c r="AA1929" t="str">
        <f t="shared" si="247"/>
        <v>Unique</v>
      </c>
    </row>
    <row r="1930" spans="1:27" x14ac:dyDescent="0.3">
      <c r="A1930">
        <v>1929</v>
      </c>
      <c r="B1930">
        <v>890718.68263212696</v>
      </c>
      <c r="C1930">
        <v>0.181507415980382</v>
      </c>
      <c r="D1930">
        <v>0.17987214273374899</v>
      </c>
      <c r="E1930">
        <v>0.734055581243239</v>
      </c>
      <c r="F1930">
        <v>1</v>
      </c>
      <c r="G1930" t="s">
        <v>12</v>
      </c>
      <c r="H1930">
        <v>1</v>
      </c>
      <c r="I1930">
        <v>653837.02030373795</v>
      </c>
      <c r="J1930">
        <v>0.265944418756761</v>
      </c>
      <c r="K1930" t="str">
        <f t="shared" si="240"/>
        <v>OK</v>
      </c>
      <c r="L1930" t="str">
        <f t="shared" si="241"/>
        <v>OK</v>
      </c>
      <c r="M1930" t="str">
        <f>IF(OR(B1930&lt;$AE$20,B1930&gt;$AF$20),"Outlier","OK")</f>
        <v>OK</v>
      </c>
      <c r="N1930" t="str">
        <f>IF(OR(J1930&lt;$AE$21,J1930&gt;$AF$21),"Outlier","OK")</f>
        <v>Outlier</v>
      </c>
      <c r="O1930" t="str">
        <f>IF(OR(C1930&lt;0,C1930&gt;1),"Outlier","OK")</f>
        <v>OK</v>
      </c>
      <c r="P1930" t="str">
        <f>IF(OR(D1930&lt;0,D1930&gt;1),"Outlier","OK")</f>
        <v>OK</v>
      </c>
      <c r="Q1930" t="str">
        <f t="shared" si="242"/>
        <v>20-40%</v>
      </c>
      <c r="R1930" t="str">
        <f>IF(B1930="","Missing","OK")</f>
        <v>OK</v>
      </c>
      <c r="S1930" t="str">
        <f>IF(E1930="","Missing","OK")</f>
        <v>OK</v>
      </c>
      <c r="T1930" t="str">
        <f t="shared" si="243"/>
        <v>OK</v>
      </c>
      <c r="U1930">
        <f>COUNTIF($A:$A,A1930)</f>
        <v>1</v>
      </c>
      <c r="V1930" t="str">
        <f t="shared" si="244"/>
        <v>OK</v>
      </c>
      <c r="W1930" t="str">
        <f>IF(I1930&gt;B1930,"ERROR","OK")</f>
        <v>OK</v>
      </c>
      <c r="X1930">
        <f>(B1930-I1930)/B1930</f>
        <v>0.26594441875676117</v>
      </c>
      <c r="Y1930" s="2">
        <f t="shared" si="245"/>
        <v>1.6653345369377348E-16</v>
      </c>
      <c r="Z1930" s="2" t="str">
        <f t="shared" si="246"/>
        <v>OK</v>
      </c>
      <c r="AA1930" t="str">
        <f t="shared" si="247"/>
        <v>Unique</v>
      </c>
    </row>
    <row r="1931" spans="1:27" x14ac:dyDescent="0.3">
      <c r="A1931">
        <v>1930</v>
      </c>
      <c r="B1931">
        <v>1368340.8115427501</v>
      </c>
      <c r="C1931">
        <v>0.80657957230141297</v>
      </c>
      <c r="D1931">
        <v>0.10377065348742601</v>
      </c>
      <c r="E1931">
        <v>0.28186268732797898</v>
      </c>
      <c r="F1931">
        <v>1</v>
      </c>
      <c r="G1931" t="s">
        <v>12</v>
      </c>
      <c r="H1931">
        <v>1</v>
      </c>
      <c r="I1931">
        <v>385684.21832198999</v>
      </c>
      <c r="J1931">
        <v>0.71813731267201997</v>
      </c>
      <c r="K1931" t="str">
        <f t="shared" si="240"/>
        <v>OK</v>
      </c>
      <c r="L1931" t="str">
        <f t="shared" si="241"/>
        <v>OK</v>
      </c>
      <c r="M1931" t="str">
        <f>IF(OR(B1931&lt;$AE$20,B1931&gt;$AF$20),"Outlier","OK")</f>
        <v>OK</v>
      </c>
      <c r="N1931" t="str">
        <f>IF(OR(J1931&lt;$AE$21,J1931&gt;$AF$21),"Outlier","OK")</f>
        <v>OK</v>
      </c>
      <c r="O1931" t="str">
        <f>IF(OR(C1931&lt;0,C1931&gt;1),"Outlier","OK")</f>
        <v>OK</v>
      </c>
      <c r="P1931" t="str">
        <f>IF(OR(D1931&lt;0,D1931&gt;1),"Outlier","OK")</f>
        <v>OK</v>
      </c>
      <c r="Q1931" t="str">
        <f t="shared" si="242"/>
        <v>60-80%</v>
      </c>
      <c r="R1931" t="str">
        <f>IF(B1931="","Missing","OK")</f>
        <v>OK</v>
      </c>
      <c r="S1931" t="str">
        <f>IF(E1931="","Missing","OK")</f>
        <v>OK</v>
      </c>
      <c r="T1931" t="str">
        <f t="shared" si="243"/>
        <v>OK</v>
      </c>
      <c r="U1931">
        <f>COUNTIF($A:$A,A1931)</f>
        <v>1</v>
      </c>
      <c r="V1931" t="str">
        <f t="shared" si="244"/>
        <v>OK</v>
      </c>
      <c r="W1931" t="str">
        <f>IF(I1931&gt;B1931,"ERROR","OK")</f>
        <v>OK</v>
      </c>
      <c r="X1931">
        <f>(B1931-I1931)/B1931</f>
        <v>0.71813731267201897</v>
      </c>
      <c r="Y1931" s="2">
        <f t="shared" si="245"/>
        <v>9.9920072216264089E-16</v>
      </c>
      <c r="Z1931" s="2" t="str">
        <f t="shared" si="246"/>
        <v>OK</v>
      </c>
      <c r="AA1931" t="str">
        <f t="shared" si="247"/>
        <v>Unique</v>
      </c>
    </row>
    <row r="1932" spans="1:27" x14ac:dyDescent="0.3">
      <c r="A1932">
        <v>1931</v>
      </c>
      <c r="B1932">
        <v>1248344.3238253801</v>
      </c>
      <c r="C1932">
        <v>0.209616448679809</v>
      </c>
      <c r="D1932">
        <v>0.184685081129846</v>
      </c>
      <c r="E1932">
        <v>0.48522752862086799</v>
      </c>
      <c r="F1932">
        <v>1</v>
      </c>
      <c r="G1932" t="s">
        <v>10</v>
      </c>
      <c r="H1932">
        <v>0</v>
      </c>
      <c r="I1932">
        <v>605731.03111768095</v>
      </c>
      <c r="J1932">
        <v>0.51477247137913196</v>
      </c>
      <c r="K1932" t="str">
        <f t="shared" si="240"/>
        <v>OK</v>
      </c>
      <c r="L1932" t="str">
        <f t="shared" si="241"/>
        <v>OK</v>
      </c>
      <c r="M1932" t="str">
        <f>IF(OR(B1932&lt;$AE$20,B1932&gt;$AF$20),"Outlier","OK")</f>
        <v>OK</v>
      </c>
      <c r="N1932" t="str">
        <f>IF(OR(J1932&lt;$AE$21,J1932&gt;$AF$21),"Outlier","OK")</f>
        <v>OK</v>
      </c>
      <c r="O1932" t="str">
        <f>IF(OR(C1932&lt;0,C1932&gt;1),"Outlier","OK")</f>
        <v>OK</v>
      </c>
      <c r="P1932" t="str">
        <f>IF(OR(D1932&lt;0,D1932&gt;1),"Outlier","OK")</f>
        <v>OK</v>
      </c>
      <c r="Q1932" t="str">
        <f t="shared" si="242"/>
        <v>40-60%</v>
      </c>
      <c r="R1932" t="str">
        <f>IF(B1932="","Missing","OK")</f>
        <v>OK</v>
      </c>
      <c r="S1932" t="str">
        <f>IF(E1932="","Missing","OK")</f>
        <v>OK</v>
      </c>
      <c r="T1932" t="str">
        <f t="shared" si="243"/>
        <v>OK</v>
      </c>
      <c r="U1932">
        <f>COUNTIF($A:$A,A1932)</f>
        <v>1</v>
      </c>
      <c r="V1932" t="str">
        <f t="shared" si="244"/>
        <v>OK</v>
      </c>
      <c r="W1932" t="str">
        <f>IF(I1932&gt;B1932,"ERROR","OK")</f>
        <v>OK</v>
      </c>
      <c r="X1932">
        <f>(B1932-I1932)/B1932</f>
        <v>0.5147724713791294</v>
      </c>
      <c r="Y1932" s="2">
        <f t="shared" si="245"/>
        <v>2.55351295663786E-15</v>
      </c>
      <c r="Z1932" s="2" t="str">
        <f t="shared" si="246"/>
        <v>OK</v>
      </c>
      <c r="AA1932" t="str">
        <f t="shared" si="247"/>
        <v>Unique</v>
      </c>
    </row>
    <row r="1933" spans="1:27" x14ac:dyDescent="0.3">
      <c r="A1933">
        <v>1932</v>
      </c>
      <c r="B1933">
        <v>1979025.19256523</v>
      </c>
      <c r="C1933">
        <v>0.52589411581530898</v>
      </c>
      <c r="D1933">
        <v>5.305858573398E-2</v>
      </c>
      <c r="E1933">
        <v>0.15550019987396099</v>
      </c>
      <c r="F1933">
        <v>1</v>
      </c>
      <c r="G1933" t="s">
        <v>13</v>
      </c>
      <c r="H1933">
        <v>0</v>
      </c>
      <c r="I1933">
        <v>307738.81299949699</v>
      </c>
      <c r="J1933">
        <v>0.84449980012603798</v>
      </c>
      <c r="K1933" t="str">
        <f t="shared" si="240"/>
        <v>OK</v>
      </c>
      <c r="L1933" t="str">
        <f t="shared" si="241"/>
        <v>OK</v>
      </c>
      <c r="M1933" t="str">
        <f>IF(OR(B1933&lt;$AE$20,B1933&gt;$AF$20),"Outlier","OK")</f>
        <v>OK</v>
      </c>
      <c r="N1933" t="str">
        <f>IF(OR(J1933&lt;$AE$21,J1933&gt;$AF$21),"Outlier","OK")</f>
        <v>OK</v>
      </c>
      <c r="O1933" t="str">
        <f>IF(OR(C1933&lt;0,C1933&gt;1),"Outlier","OK")</f>
        <v>OK</v>
      </c>
      <c r="P1933" t="str">
        <f>IF(OR(D1933&lt;0,D1933&gt;1),"Outlier","OK")</f>
        <v>OK</v>
      </c>
      <c r="Q1933" t="str">
        <f t="shared" si="242"/>
        <v>80-100%</v>
      </c>
      <c r="R1933" t="str">
        <f>IF(B1933="","Missing","OK")</f>
        <v>OK</v>
      </c>
      <c r="S1933" t="str">
        <f>IF(E1933="","Missing","OK")</f>
        <v>OK</v>
      </c>
      <c r="T1933" t="str">
        <f t="shared" si="243"/>
        <v>OK</v>
      </c>
      <c r="U1933">
        <f>COUNTIF($A:$A,A1933)</f>
        <v>1</v>
      </c>
      <c r="V1933" t="str">
        <f t="shared" si="244"/>
        <v>OK</v>
      </c>
      <c r="W1933" t="str">
        <f>IF(I1933&gt;B1933,"ERROR","OK")</f>
        <v>OK</v>
      </c>
      <c r="X1933">
        <f>(B1933-I1933)/B1933</f>
        <v>0.8444998001260392</v>
      </c>
      <c r="Y1933" s="2">
        <f t="shared" si="245"/>
        <v>1.2212453270876722E-15</v>
      </c>
      <c r="Z1933" s="2" t="str">
        <f t="shared" si="246"/>
        <v>OK</v>
      </c>
      <c r="AA1933" t="str">
        <f t="shared" si="247"/>
        <v>Unique</v>
      </c>
    </row>
    <row r="1934" spans="1:27" x14ac:dyDescent="0.3">
      <c r="A1934">
        <v>1933</v>
      </c>
      <c r="B1934">
        <v>1337717.76028571</v>
      </c>
      <c r="C1934">
        <v>0.51590240120300801</v>
      </c>
      <c r="D1934">
        <v>-9.7465169734846105E-2</v>
      </c>
      <c r="E1934">
        <v>0.32582968226035602</v>
      </c>
      <c r="F1934">
        <v>1</v>
      </c>
      <c r="G1934" t="s">
        <v>12</v>
      </c>
      <c r="H1934">
        <v>0</v>
      </c>
      <c r="I1934">
        <v>435868.15278792899</v>
      </c>
      <c r="J1934">
        <v>0.67417031773964298</v>
      </c>
      <c r="K1934" t="str">
        <f t="shared" si="240"/>
        <v>OK</v>
      </c>
      <c r="L1934" t="str">
        <f t="shared" si="241"/>
        <v>OK</v>
      </c>
      <c r="M1934" t="str">
        <f>IF(OR(B1934&lt;$AE$20,B1934&gt;$AF$20),"Outlier","OK")</f>
        <v>OK</v>
      </c>
      <c r="N1934" t="str">
        <f>IF(OR(J1934&lt;$AE$21,J1934&gt;$AF$21),"Outlier","OK")</f>
        <v>OK</v>
      </c>
      <c r="O1934" t="str">
        <f>IF(OR(C1934&lt;0,C1934&gt;1),"Outlier","OK")</f>
        <v>OK</v>
      </c>
      <c r="P1934" t="str">
        <f>IF(OR(D1934&lt;0,D1934&gt;1),"Outlier","OK")</f>
        <v>Outlier</v>
      </c>
      <c r="Q1934" t="str">
        <f t="shared" si="242"/>
        <v>60-80%</v>
      </c>
      <c r="R1934" t="str">
        <f>IF(B1934="","Missing","OK")</f>
        <v>OK</v>
      </c>
      <c r="S1934" t="str">
        <f>IF(E1934="","Missing","OK")</f>
        <v>OK</v>
      </c>
      <c r="T1934" t="str">
        <f t="shared" si="243"/>
        <v>OK</v>
      </c>
      <c r="U1934">
        <f>COUNTIF($A:$A,A1934)</f>
        <v>1</v>
      </c>
      <c r="V1934" t="str">
        <f t="shared" si="244"/>
        <v>OK</v>
      </c>
      <c r="W1934" t="str">
        <f>IF(I1934&gt;B1934,"ERROR","OK")</f>
        <v>OK</v>
      </c>
      <c r="X1934">
        <f>(B1934-I1934)/B1934</f>
        <v>0.67417031773964331</v>
      </c>
      <c r="Y1934" s="2">
        <f t="shared" si="245"/>
        <v>3.3306690738754696E-16</v>
      </c>
      <c r="Z1934" s="2" t="str">
        <f t="shared" si="246"/>
        <v>OK</v>
      </c>
      <c r="AA1934" t="str">
        <f t="shared" si="247"/>
        <v>Unique</v>
      </c>
    </row>
    <row r="1935" spans="1:27" x14ac:dyDescent="0.3">
      <c r="A1935">
        <v>1934</v>
      </c>
      <c r="B1935">
        <v>1254020.0608115599</v>
      </c>
      <c r="C1935">
        <v>0.88251053853035699</v>
      </c>
      <c r="D1935">
        <v>-6.5076919694934204E-2</v>
      </c>
      <c r="E1935">
        <v>0.21600683410926</v>
      </c>
      <c r="F1935">
        <v>1</v>
      </c>
      <c r="G1935" t="s">
        <v>10</v>
      </c>
      <c r="H1935">
        <v>0</v>
      </c>
      <c r="I1935">
        <v>270876.90324540797</v>
      </c>
      <c r="J1935">
        <v>0.78399316589073897</v>
      </c>
      <c r="K1935" t="str">
        <f t="shared" si="240"/>
        <v>OK</v>
      </c>
      <c r="L1935" t="str">
        <f t="shared" si="241"/>
        <v>OK</v>
      </c>
      <c r="M1935" t="str">
        <f>IF(OR(B1935&lt;$AE$20,B1935&gt;$AF$20),"Outlier","OK")</f>
        <v>OK</v>
      </c>
      <c r="N1935" t="str">
        <f>IF(OR(J1935&lt;$AE$21,J1935&gt;$AF$21),"Outlier","OK")</f>
        <v>OK</v>
      </c>
      <c r="O1935" t="str">
        <f>IF(OR(C1935&lt;0,C1935&gt;1),"Outlier","OK")</f>
        <v>OK</v>
      </c>
      <c r="P1935" t="str">
        <f>IF(OR(D1935&lt;0,D1935&gt;1),"Outlier","OK")</f>
        <v>Outlier</v>
      </c>
      <c r="Q1935" t="str">
        <f t="shared" si="242"/>
        <v>60-80%</v>
      </c>
      <c r="R1935" t="str">
        <f>IF(B1935="","Missing","OK")</f>
        <v>OK</v>
      </c>
      <c r="S1935" t="str">
        <f>IF(E1935="","Missing","OK")</f>
        <v>OK</v>
      </c>
      <c r="T1935" t="str">
        <f t="shared" si="243"/>
        <v>OK</v>
      </c>
      <c r="U1935">
        <f>COUNTIF($A:$A,A1935)</f>
        <v>1</v>
      </c>
      <c r="V1935" t="str">
        <f t="shared" si="244"/>
        <v>OK</v>
      </c>
      <c r="W1935" t="str">
        <f>IF(I1935&gt;B1935,"ERROR","OK")</f>
        <v>OK</v>
      </c>
      <c r="X1935">
        <f>(B1935-I1935)/B1935</f>
        <v>0.78399316589073909</v>
      </c>
      <c r="Y1935" s="2">
        <f t="shared" si="245"/>
        <v>1.1102230246251565E-16</v>
      </c>
      <c r="Z1935" s="2" t="str">
        <f t="shared" si="246"/>
        <v>OK</v>
      </c>
      <c r="AA1935" t="str">
        <f t="shared" si="247"/>
        <v>Unique</v>
      </c>
    </row>
    <row r="1936" spans="1:27" x14ac:dyDescent="0.3">
      <c r="A1936">
        <v>1935</v>
      </c>
      <c r="B1936">
        <v>1856342.17344357</v>
      </c>
      <c r="C1936">
        <v>0.78438530330613798</v>
      </c>
      <c r="D1936">
        <v>-0.19631595920143599</v>
      </c>
      <c r="E1936">
        <v>6.2462736804751999E-2</v>
      </c>
      <c r="F1936">
        <v>1</v>
      </c>
      <c r="G1936" t="s">
        <v>10</v>
      </c>
      <c r="H1936">
        <v>0</v>
      </c>
      <c r="I1936">
        <v>115952.21259936701</v>
      </c>
      <c r="J1936">
        <v>0.93753726319524799</v>
      </c>
      <c r="K1936" t="str">
        <f t="shared" si="240"/>
        <v>OK</v>
      </c>
      <c r="L1936" t="str">
        <f t="shared" si="241"/>
        <v>OK</v>
      </c>
      <c r="M1936" t="str">
        <f>IF(OR(B1936&lt;$AE$20,B1936&gt;$AF$20),"Outlier","OK")</f>
        <v>OK</v>
      </c>
      <c r="N1936" t="str">
        <f>IF(OR(J1936&lt;$AE$21,J1936&gt;$AF$21),"Outlier","OK")</f>
        <v>OK</v>
      </c>
      <c r="O1936" t="str">
        <f>IF(OR(C1936&lt;0,C1936&gt;1),"Outlier","OK")</f>
        <v>OK</v>
      </c>
      <c r="P1936" t="str">
        <f>IF(OR(D1936&lt;0,D1936&gt;1),"Outlier","OK")</f>
        <v>Outlier</v>
      </c>
      <c r="Q1936" t="str">
        <f t="shared" si="242"/>
        <v>80-100%</v>
      </c>
      <c r="R1936" t="str">
        <f>IF(B1936="","Missing","OK")</f>
        <v>OK</v>
      </c>
      <c r="S1936" t="str">
        <f>IF(E1936="","Missing","OK")</f>
        <v>OK</v>
      </c>
      <c r="T1936" t="str">
        <f t="shared" si="243"/>
        <v>OK</v>
      </c>
      <c r="U1936">
        <f>COUNTIF($A:$A,A1936)</f>
        <v>1</v>
      </c>
      <c r="V1936" t="str">
        <f t="shared" si="244"/>
        <v>OK</v>
      </c>
      <c r="W1936" t="str">
        <f>IF(I1936&gt;B1936,"ERROR","OK")</f>
        <v>OK</v>
      </c>
      <c r="X1936">
        <f>(B1936-I1936)/B1936</f>
        <v>0.93753726319524811</v>
      </c>
      <c r="Y1936" s="2">
        <f t="shared" si="245"/>
        <v>1.1102230246251565E-16</v>
      </c>
      <c r="Z1936" s="2" t="str">
        <f t="shared" si="246"/>
        <v>OK</v>
      </c>
      <c r="AA1936" t="str">
        <f t="shared" si="247"/>
        <v>Unique</v>
      </c>
    </row>
    <row r="1937" spans="1:27" x14ac:dyDescent="0.3">
      <c r="A1937">
        <v>1936</v>
      </c>
      <c r="B1937">
        <v>1809123.1436793699</v>
      </c>
      <c r="C1937">
        <v>0.69625991765106898</v>
      </c>
      <c r="D1937">
        <v>7.8259233321243293E-2</v>
      </c>
      <c r="E1937">
        <v>4.7561594882059799E-2</v>
      </c>
      <c r="F1937">
        <v>1</v>
      </c>
      <c r="G1937" t="s">
        <v>11</v>
      </c>
      <c r="H1937">
        <v>0</v>
      </c>
      <c r="I1937">
        <v>86044.782051436996</v>
      </c>
      <c r="J1937">
        <v>0.95243840511793998</v>
      </c>
      <c r="K1937" t="str">
        <f t="shared" si="240"/>
        <v>OK</v>
      </c>
      <c r="L1937" t="str">
        <f t="shared" si="241"/>
        <v>OK</v>
      </c>
      <c r="M1937" t="str">
        <f>IF(OR(B1937&lt;$AE$20,B1937&gt;$AF$20),"Outlier","OK")</f>
        <v>OK</v>
      </c>
      <c r="N1937" t="str">
        <f>IF(OR(J1937&lt;$AE$21,J1937&gt;$AF$21),"Outlier","OK")</f>
        <v>OK</v>
      </c>
      <c r="O1937" t="str">
        <f>IF(OR(C1937&lt;0,C1937&gt;1),"Outlier","OK")</f>
        <v>OK</v>
      </c>
      <c r="P1937" t="str">
        <f>IF(OR(D1937&lt;0,D1937&gt;1),"Outlier","OK")</f>
        <v>OK</v>
      </c>
      <c r="Q1937" t="str">
        <f t="shared" si="242"/>
        <v>80-100%</v>
      </c>
      <c r="R1937" t="str">
        <f>IF(B1937="","Missing","OK")</f>
        <v>OK</v>
      </c>
      <c r="S1937" t="str">
        <f>IF(E1937="","Missing","OK")</f>
        <v>OK</v>
      </c>
      <c r="T1937" t="str">
        <f t="shared" si="243"/>
        <v>OK</v>
      </c>
      <c r="U1937">
        <f>COUNTIF($A:$A,A1937)</f>
        <v>1</v>
      </c>
      <c r="V1937" t="str">
        <f t="shared" si="244"/>
        <v>OK</v>
      </c>
      <c r="W1937" t="str">
        <f>IF(I1937&gt;B1937,"ERROR","OK")</f>
        <v>OK</v>
      </c>
      <c r="X1937">
        <f>(B1937-I1937)/B1937</f>
        <v>0.95243840511793998</v>
      </c>
      <c r="Y1937" s="2">
        <f t="shared" si="245"/>
        <v>0</v>
      </c>
      <c r="Z1937" s="2" t="str">
        <f t="shared" si="246"/>
        <v>OK</v>
      </c>
      <c r="AA1937" t="str">
        <f t="shared" si="247"/>
        <v>Unique</v>
      </c>
    </row>
    <row r="1938" spans="1:27" x14ac:dyDescent="0.3">
      <c r="A1938">
        <v>1937</v>
      </c>
      <c r="B1938">
        <v>1676662.56384422</v>
      </c>
      <c r="C1938">
        <v>0.48989147879016698</v>
      </c>
      <c r="D1938">
        <v>1.1201007339985401E-3</v>
      </c>
      <c r="E1938">
        <v>0.26921305533235901</v>
      </c>
      <c r="F1938">
        <v>1</v>
      </c>
      <c r="G1938" t="s">
        <v>12</v>
      </c>
      <c r="H1938">
        <v>0</v>
      </c>
      <c r="I1938">
        <v>451379.45157388999</v>
      </c>
      <c r="J1938">
        <v>0.73078694466764005</v>
      </c>
      <c r="K1938" t="str">
        <f t="shared" si="240"/>
        <v>OK</v>
      </c>
      <c r="L1938" t="str">
        <f t="shared" si="241"/>
        <v>OK</v>
      </c>
      <c r="M1938" t="str">
        <f>IF(OR(B1938&lt;$AE$20,B1938&gt;$AF$20),"Outlier","OK")</f>
        <v>OK</v>
      </c>
      <c r="N1938" t="str">
        <f>IF(OR(J1938&lt;$AE$21,J1938&gt;$AF$21),"Outlier","OK")</f>
        <v>OK</v>
      </c>
      <c r="O1938" t="str">
        <f>IF(OR(C1938&lt;0,C1938&gt;1),"Outlier","OK")</f>
        <v>OK</v>
      </c>
      <c r="P1938" t="str">
        <f>IF(OR(D1938&lt;0,D1938&gt;1),"Outlier","OK")</f>
        <v>OK</v>
      </c>
      <c r="Q1938" t="str">
        <f t="shared" si="242"/>
        <v>60-80%</v>
      </c>
      <c r="R1938" t="str">
        <f>IF(B1938="","Missing","OK")</f>
        <v>OK</v>
      </c>
      <c r="S1938" t="str">
        <f>IF(E1938="","Missing","OK")</f>
        <v>OK</v>
      </c>
      <c r="T1938" t="str">
        <f t="shared" si="243"/>
        <v>OK</v>
      </c>
      <c r="U1938">
        <f>COUNTIF($A:$A,A1938)</f>
        <v>1</v>
      </c>
      <c r="V1938" t="str">
        <f t="shared" si="244"/>
        <v>OK</v>
      </c>
      <c r="W1938" t="str">
        <f>IF(I1938&gt;B1938,"ERROR","OK")</f>
        <v>OK</v>
      </c>
      <c r="X1938">
        <f>(B1938-I1938)/B1938</f>
        <v>0.73078694466764038</v>
      </c>
      <c r="Y1938" s="2">
        <f t="shared" si="245"/>
        <v>3.3306690738754696E-16</v>
      </c>
      <c r="Z1938" s="2" t="str">
        <f t="shared" si="246"/>
        <v>OK</v>
      </c>
      <c r="AA1938" t="str">
        <f t="shared" si="247"/>
        <v>Unique</v>
      </c>
    </row>
    <row r="1939" spans="1:27" x14ac:dyDescent="0.3">
      <c r="A1939">
        <v>1938</v>
      </c>
      <c r="B1939">
        <v>844380.626149085</v>
      </c>
      <c r="C1939">
        <v>0.47863775447386803</v>
      </c>
      <c r="D1939">
        <v>-8.0681054675543595E-2</v>
      </c>
      <c r="E1939">
        <v>0.268755076369461</v>
      </c>
      <c r="F1939">
        <v>1</v>
      </c>
      <c r="G1939" t="s">
        <v>12</v>
      </c>
      <c r="H1939">
        <v>1</v>
      </c>
      <c r="I1939">
        <v>226931.57966559101</v>
      </c>
      <c r="J1939">
        <v>0.73124492363053795</v>
      </c>
      <c r="K1939" t="str">
        <f t="shared" si="240"/>
        <v>OK</v>
      </c>
      <c r="L1939" t="str">
        <f t="shared" si="241"/>
        <v>OK</v>
      </c>
      <c r="M1939" t="str">
        <f>IF(OR(B1939&lt;$AE$20,B1939&gt;$AF$20),"Outlier","OK")</f>
        <v>OK</v>
      </c>
      <c r="N1939" t="str">
        <f>IF(OR(J1939&lt;$AE$21,J1939&gt;$AF$21),"Outlier","OK")</f>
        <v>OK</v>
      </c>
      <c r="O1939" t="str">
        <f>IF(OR(C1939&lt;0,C1939&gt;1),"Outlier","OK")</f>
        <v>OK</v>
      </c>
      <c r="P1939" t="str">
        <f>IF(OR(D1939&lt;0,D1939&gt;1),"Outlier","OK")</f>
        <v>Outlier</v>
      </c>
      <c r="Q1939" t="str">
        <f t="shared" si="242"/>
        <v>60-80%</v>
      </c>
      <c r="R1939" t="str">
        <f>IF(B1939="","Missing","OK")</f>
        <v>OK</v>
      </c>
      <c r="S1939" t="str">
        <f>IF(E1939="","Missing","OK")</f>
        <v>OK</v>
      </c>
      <c r="T1939" t="str">
        <f t="shared" si="243"/>
        <v>OK</v>
      </c>
      <c r="U1939">
        <f>COUNTIF($A:$A,A1939)</f>
        <v>1</v>
      </c>
      <c r="V1939" t="str">
        <f t="shared" si="244"/>
        <v>OK</v>
      </c>
      <c r="W1939" t="str">
        <f>IF(I1939&gt;B1939,"ERROR","OK")</f>
        <v>OK</v>
      </c>
      <c r="X1939">
        <f>(B1939-I1939)/B1939</f>
        <v>0.73124492363053861</v>
      </c>
      <c r="Y1939" s="2">
        <f t="shared" si="245"/>
        <v>6.6613381477509392E-16</v>
      </c>
      <c r="Z1939" s="2" t="str">
        <f t="shared" si="246"/>
        <v>OK</v>
      </c>
      <c r="AA1939" t="str">
        <f t="shared" si="247"/>
        <v>Unique</v>
      </c>
    </row>
    <row r="1940" spans="1:27" x14ac:dyDescent="0.3">
      <c r="A1940">
        <v>1939</v>
      </c>
      <c r="B1940">
        <v>1410121.49320647</v>
      </c>
      <c r="C1940">
        <v>0.29003997210084298</v>
      </c>
      <c r="D1940">
        <v>6.01809508179528E-2</v>
      </c>
      <c r="E1940">
        <v>0.49863246774763598</v>
      </c>
      <c r="F1940">
        <v>1</v>
      </c>
      <c r="G1940" t="s">
        <v>10</v>
      </c>
      <c r="H1940">
        <v>0</v>
      </c>
      <c r="I1940">
        <v>703132.35998152697</v>
      </c>
      <c r="J1940">
        <v>0.50136753225236397</v>
      </c>
      <c r="K1940" t="str">
        <f t="shared" si="240"/>
        <v>OK</v>
      </c>
      <c r="L1940" t="str">
        <f t="shared" si="241"/>
        <v>OK</v>
      </c>
      <c r="M1940" t="str">
        <f>IF(OR(B1940&lt;$AE$20,B1940&gt;$AF$20),"Outlier","OK")</f>
        <v>OK</v>
      </c>
      <c r="N1940" t="str">
        <f>IF(OR(J1940&lt;$AE$21,J1940&gt;$AF$21),"Outlier","OK")</f>
        <v>OK</v>
      </c>
      <c r="O1940" t="str">
        <f>IF(OR(C1940&lt;0,C1940&gt;1),"Outlier","OK")</f>
        <v>OK</v>
      </c>
      <c r="P1940" t="str">
        <f>IF(OR(D1940&lt;0,D1940&gt;1),"Outlier","OK")</f>
        <v>OK</v>
      </c>
      <c r="Q1940" t="str">
        <f t="shared" si="242"/>
        <v>40-60%</v>
      </c>
      <c r="R1940" t="str">
        <f>IF(B1940="","Missing","OK")</f>
        <v>OK</v>
      </c>
      <c r="S1940" t="str">
        <f>IF(E1940="","Missing","OK")</f>
        <v>OK</v>
      </c>
      <c r="T1940" t="str">
        <f t="shared" si="243"/>
        <v>OK</v>
      </c>
      <c r="U1940">
        <f>COUNTIF($A:$A,A1940)</f>
        <v>1</v>
      </c>
      <c r="V1940" t="str">
        <f t="shared" si="244"/>
        <v>OK</v>
      </c>
      <c r="W1940" t="str">
        <f>IF(I1940&gt;B1940,"ERROR","OK")</f>
        <v>OK</v>
      </c>
      <c r="X1940">
        <f>(B1940-I1940)/B1940</f>
        <v>0.50136753225236153</v>
      </c>
      <c r="Y1940" s="2">
        <f t="shared" si="245"/>
        <v>2.4424906541753444E-15</v>
      </c>
      <c r="Z1940" s="2" t="str">
        <f t="shared" si="246"/>
        <v>OK</v>
      </c>
      <c r="AA1940" t="str">
        <f t="shared" si="247"/>
        <v>Unique</v>
      </c>
    </row>
    <row r="1941" spans="1:27" x14ac:dyDescent="0.3">
      <c r="A1941">
        <v>1940</v>
      </c>
      <c r="B1941">
        <v>1914199.7915271299</v>
      </c>
      <c r="C1941">
        <v>0.36226919918839301</v>
      </c>
      <c r="D1941">
        <v>-3.2842792876797901E-2</v>
      </c>
      <c r="E1941">
        <v>0.35299979416588501</v>
      </c>
      <c r="F1941">
        <v>1</v>
      </c>
      <c r="G1941" t="s">
        <v>11</v>
      </c>
      <c r="H1941">
        <v>0</v>
      </c>
      <c r="I1941">
        <v>675712.13240145904</v>
      </c>
      <c r="J1941">
        <v>0.64700020583411399</v>
      </c>
      <c r="K1941" t="str">
        <f t="shared" si="240"/>
        <v>OK</v>
      </c>
      <c r="L1941" t="str">
        <f t="shared" si="241"/>
        <v>OK</v>
      </c>
      <c r="M1941" t="str">
        <f>IF(OR(B1941&lt;$AE$20,B1941&gt;$AF$20),"Outlier","OK")</f>
        <v>OK</v>
      </c>
      <c r="N1941" t="str">
        <f>IF(OR(J1941&lt;$AE$21,J1941&gt;$AF$21),"Outlier","OK")</f>
        <v>OK</v>
      </c>
      <c r="O1941" t="str">
        <f>IF(OR(C1941&lt;0,C1941&gt;1),"Outlier","OK")</f>
        <v>OK</v>
      </c>
      <c r="P1941" t="str">
        <f>IF(OR(D1941&lt;0,D1941&gt;1),"Outlier","OK")</f>
        <v>Outlier</v>
      </c>
      <c r="Q1941" t="str">
        <f t="shared" si="242"/>
        <v>60-80%</v>
      </c>
      <c r="R1941" t="str">
        <f>IF(B1941="","Missing","OK")</f>
        <v>OK</v>
      </c>
      <c r="S1941" t="str">
        <f>IF(E1941="","Missing","OK")</f>
        <v>OK</v>
      </c>
      <c r="T1941" t="str">
        <f t="shared" si="243"/>
        <v>OK</v>
      </c>
      <c r="U1941">
        <f>COUNTIF($A:$A,A1941)</f>
        <v>1</v>
      </c>
      <c r="V1941" t="str">
        <f t="shared" si="244"/>
        <v>OK</v>
      </c>
      <c r="W1941" t="str">
        <f>IF(I1941&gt;B1941,"ERROR","OK")</f>
        <v>OK</v>
      </c>
      <c r="X1941">
        <f>(B1941-I1941)/B1941</f>
        <v>0.64700020583411377</v>
      </c>
      <c r="Y1941" s="2">
        <f t="shared" si="245"/>
        <v>2.2204460492503131E-16</v>
      </c>
      <c r="Z1941" s="2" t="str">
        <f t="shared" si="246"/>
        <v>OK</v>
      </c>
      <c r="AA1941" t="str">
        <f t="shared" si="247"/>
        <v>Unique</v>
      </c>
    </row>
    <row r="1942" spans="1:27" x14ac:dyDescent="0.3">
      <c r="A1942">
        <v>1941</v>
      </c>
      <c r="B1942">
        <v>517777.80100866698</v>
      </c>
      <c r="C1942">
        <v>0.109849248191121</v>
      </c>
      <c r="D1942">
        <v>0.16004663851765299</v>
      </c>
      <c r="E1942">
        <v>0.49513252142262798</v>
      </c>
      <c r="F1942">
        <v>1</v>
      </c>
      <c r="G1942" t="s">
        <v>10</v>
      </c>
      <c r="H1942">
        <v>0</v>
      </c>
      <c r="I1942">
        <v>256368.62815008499</v>
      </c>
      <c r="J1942">
        <v>0.50486747857737102</v>
      </c>
      <c r="K1942" t="str">
        <f t="shared" si="240"/>
        <v>OK</v>
      </c>
      <c r="L1942" t="str">
        <f t="shared" si="241"/>
        <v>OK</v>
      </c>
      <c r="M1942" t="str">
        <f>IF(OR(B1942&lt;$AE$20,B1942&gt;$AF$20),"Outlier","OK")</f>
        <v>OK</v>
      </c>
      <c r="N1942" t="str">
        <f>IF(OR(J1942&lt;$AE$21,J1942&gt;$AF$21),"Outlier","OK")</f>
        <v>OK</v>
      </c>
      <c r="O1942" t="str">
        <f>IF(OR(C1942&lt;0,C1942&gt;1),"Outlier","OK")</f>
        <v>OK</v>
      </c>
      <c r="P1942" t="str">
        <f>IF(OR(D1942&lt;0,D1942&gt;1),"Outlier","OK")</f>
        <v>OK</v>
      </c>
      <c r="Q1942" t="str">
        <f t="shared" si="242"/>
        <v>40-60%</v>
      </c>
      <c r="R1942" t="str">
        <f>IF(B1942="","Missing","OK")</f>
        <v>OK</v>
      </c>
      <c r="S1942" t="str">
        <f>IF(E1942="","Missing","OK")</f>
        <v>OK</v>
      </c>
      <c r="T1942" t="str">
        <f t="shared" si="243"/>
        <v>OK</v>
      </c>
      <c r="U1942">
        <f>COUNTIF($A:$A,A1942)</f>
        <v>1</v>
      </c>
      <c r="V1942" t="str">
        <f t="shared" si="244"/>
        <v>OK</v>
      </c>
      <c r="W1942" t="str">
        <f>IF(I1942&gt;B1942,"ERROR","OK")</f>
        <v>OK</v>
      </c>
      <c r="X1942">
        <f>(B1942-I1942)/B1942</f>
        <v>0.50486747857737202</v>
      </c>
      <c r="Y1942" s="2">
        <f t="shared" si="245"/>
        <v>9.9920072216264089E-16</v>
      </c>
      <c r="Z1942" s="2" t="str">
        <f t="shared" si="246"/>
        <v>OK</v>
      </c>
      <c r="AA1942" t="str">
        <f t="shared" si="247"/>
        <v>Unique</v>
      </c>
    </row>
    <row r="1943" spans="1:27" x14ac:dyDescent="0.3">
      <c r="A1943">
        <v>1942</v>
      </c>
      <c r="B1943">
        <v>1001563.40623754</v>
      </c>
      <c r="C1943">
        <v>0.63675677854761104</v>
      </c>
      <c r="D1943">
        <v>-5.01287629928997E-2</v>
      </c>
      <c r="E1943">
        <v>0.31654821830886998</v>
      </c>
      <c r="F1943">
        <v>1</v>
      </c>
      <c r="G1943" t="s">
        <v>13</v>
      </c>
      <c r="H1943">
        <v>0</v>
      </c>
      <c r="I1943">
        <v>317043.11176785798</v>
      </c>
      <c r="J1943">
        <v>0.68345178169112997</v>
      </c>
      <c r="K1943" t="str">
        <f t="shared" si="240"/>
        <v>OK</v>
      </c>
      <c r="L1943" t="str">
        <f t="shared" si="241"/>
        <v>OK</v>
      </c>
      <c r="M1943" t="str">
        <f>IF(OR(B1943&lt;$AE$20,B1943&gt;$AF$20),"Outlier","OK")</f>
        <v>OK</v>
      </c>
      <c r="N1943" t="str">
        <f>IF(OR(J1943&lt;$AE$21,J1943&gt;$AF$21),"Outlier","OK")</f>
        <v>OK</v>
      </c>
      <c r="O1943" t="str">
        <f>IF(OR(C1943&lt;0,C1943&gt;1),"Outlier","OK")</f>
        <v>OK</v>
      </c>
      <c r="P1943" t="str">
        <f>IF(OR(D1943&lt;0,D1943&gt;1),"Outlier","OK")</f>
        <v>Outlier</v>
      </c>
      <c r="Q1943" t="str">
        <f t="shared" si="242"/>
        <v>60-80%</v>
      </c>
      <c r="R1943" t="str">
        <f>IF(B1943="","Missing","OK")</f>
        <v>OK</v>
      </c>
      <c r="S1943" t="str">
        <f>IF(E1943="","Missing","OK")</f>
        <v>OK</v>
      </c>
      <c r="T1943" t="str">
        <f t="shared" si="243"/>
        <v>OK</v>
      </c>
      <c r="U1943">
        <f>COUNTIF($A:$A,A1943)</f>
        <v>1</v>
      </c>
      <c r="V1943" t="str">
        <f t="shared" si="244"/>
        <v>OK</v>
      </c>
      <c r="W1943" t="str">
        <f>IF(I1943&gt;B1943,"ERROR","OK")</f>
        <v>OK</v>
      </c>
      <c r="X1943">
        <f>(B1943-I1943)/B1943</f>
        <v>0.6834517816911283</v>
      </c>
      <c r="Y1943" s="2">
        <f t="shared" si="245"/>
        <v>1.6653345369377348E-15</v>
      </c>
      <c r="Z1943" s="2" t="str">
        <f t="shared" si="246"/>
        <v>OK</v>
      </c>
      <c r="AA1943" t="str">
        <f t="shared" si="247"/>
        <v>Unique</v>
      </c>
    </row>
    <row r="1944" spans="1:27" x14ac:dyDescent="0.3">
      <c r="A1944">
        <v>1943</v>
      </c>
      <c r="B1944">
        <v>1527263.8138822</v>
      </c>
      <c r="C1944">
        <v>0.39531540482217598</v>
      </c>
      <c r="D1944">
        <v>-0.186796090610819</v>
      </c>
      <c r="E1944">
        <v>0.51306327700280796</v>
      </c>
      <c r="F1944">
        <v>1</v>
      </c>
      <c r="G1944" t="s">
        <v>10</v>
      </c>
      <c r="H1944">
        <v>0</v>
      </c>
      <c r="I1944">
        <v>783582.97719821194</v>
      </c>
      <c r="J1944">
        <v>0.48693672299719098</v>
      </c>
      <c r="K1944" t="str">
        <f t="shared" si="240"/>
        <v>OK</v>
      </c>
      <c r="L1944" t="str">
        <f t="shared" si="241"/>
        <v>OK</v>
      </c>
      <c r="M1944" t="str">
        <f>IF(OR(B1944&lt;$AE$20,B1944&gt;$AF$20),"Outlier","OK")</f>
        <v>OK</v>
      </c>
      <c r="N1944" t="str">
        <f>IF(OR(J1944&lt;$AE$21,J1944&gt;$AF$21),"Outlier","OK")</f>
        <v>OK</v>
      </c>
      <c r="O1944" t="str">
        <f>IF(OR(C1944&lt;0,C1944&gt;1),"Outlier","OK")</f>
        <v>OK</v>
      </c>
      <c r="P1944" t="str">
        <f>IF(OR(D1944&lt;0,D1944&gt;1),"Outlier","OK")</f>
        <v>Outlier</v>
      </c>
      <c r="Q1944" t="str">
        <f t="shared" si="242"/>
        <v>40-60%</v>
      </c>
      <c r="R1944" t="str">
        <f>IF(B1944="","Missing","OK")</f>
        <v>OK</v>
      </c>
      <c r="S1944" t="str">
        <f>IF(E1944="","Missing","OK")</f>
        <v>OK</v>
      </c>
      <c r="T1944" t="str">
        <f t="shared" si="243"/>
        <v>OK</v>
      </c>
      <c r="U1944">
        <f>COUNTIF($A:$A,A1944)</f>
        <v>1</v>
      </c>
      <c r="V1944" t="str">
        <f t="shared" si="244"/>
        <v>OK</v>
      </c>
      <c r="W1944" t="str">
        <f>IF(I1944&gt;B1944,"ERROR","OK")</f>
        <v>OK</v>
      </c>
      <c r="X1944">
        <f>(B1944-I1944)/B1944</f>
        <v>0.48693672299718954</v>
      </c>
      <c r="Y1944" s="2">
        <f t="shared" si="245"/>
        <v>1.4432899320127035E-15</v>
      </c>
      <c r="Z1944" s="2" t="str">
        <f t="shared" si="246"/>
        <v>OK</v>
      </c>
      <c r="AA1944" t="str">
        <f t="shared" si="247"/>
        <v>Unique</v>
      </c>
    </row>
    <row r="1945" spans="1:27" x14ac:dyDescent="0.3">
      <c r="A1945">
        <v>1944</v>
      </c>
      <c r="B1945">
        <v>1215642.5413933899</v>
      </c>
      <c r="C1945">
        <v>0.73233095626272804</v>
      </c>
      <c r="D1945">
        <v>-0.10917465013063</v>
      </c>
      <c r="E1945">
        <v>0.31753747992213199</v>
      </c>
      <c r="F1945">
        <v>1</v>
      </c>
      <c r="G1945" t="s">
        <v>12</v>
      </c>
      <c r="H1945">
        <v>1</v>
      </c>
      <c r="I1945">
        <v>386012.06908019498</v>
      </c>
      <c r="J1945">
        <v>0.68246252007786701</v>
      </c>
      <c r="K1945" t="str">
        <f t="shared" si="240"/>
        <v>OK</v>
      </c>
      <c r="L1945" t="str">
        <f t="shared" si="241"/>
        <v>OK</v>
      </c>
      <c r="M1945" t="str">
        <f>IF(OR(B1945&lt;$AE$20,B1945&gt;$AF$20),"Outlier","OK")</f>
        <v>OK</v>
      </c>
      <c r="N1945" t="str">
        <f>IF(OR(J1945&lt;$AE$21,J1945&gt;$AF$21),"Outlier","OK")</f>
        <v>OK</v>
      </c>
      <c r="O1945" t="str">
        <f>IF(OR(C1945&lt;0,C1945&gt;1),"Outlier","OK")</f>
        <v>OK</v>
      </c>
      <c r="P1945" t="str">
        <f>IF(OR(D1945&lt;0,D1945&gt;1),"Outlier","OK")</f>
        <v>Outlier</v>
      </c>
      <c r="Q1945" t="str">
        <f t="shared" si="242"/>
        <v>60-80%</v>
      </c>
      <c r="R1945" t="str">
        <f>IF(B1945="","Missing","OK")</f>
        <v>OK</v>
      </c>
      <c r="S1945" t="str">
        <f>IF(E1945="","Missing","OK")</f>
        <v>OK</v>
      </c>
      <c r="T1945" t="str">
        <f t="shared" si="243"/>
        <v>OK</v>
      </c>
      <c r="U1945">
        <f>COUNTIF($A:$A,A1945)</f>
        <v>1</v>
      </c>
      <c r="V1945" t="str">
        <f t="shared" si="244"/>
        <v>OK</v>
      </c>
      <c r="W1945" t="str">
        <f>IF(I1945&gt;B1945,"ERROR","OK")</f>
        <v>OK</v>
      </c>
      <c r="X1945">
        <f>(B1945-I1945)/B1945</f>
        <v>0.68246252007786645</v>
      </c>
      <c r="Y1945" s="2">
        <f t="shared" si="245"/>
        <v>5.5511151231257827E-16</v>
      </c>
      <c r="Z1945" s="2" t="str">
        <f t="shared" si="246"/>
        <v>OK</v>
      </c>
      <c r="AA1945" t="str">
        <f t="shared" si="247"/>
        <v>Unique</v>
      </c>
    </row>
    <row r="1946" spans="1:27" x14ac:dyDescent="0.3">
      <c r="A1946">
        <v>1945</v>
      </c>
      <c r="B1946">
        <v>1578308.7635411001</v>
      </c>
      <c r="C1946">
        <v>0.56552171743450796</v>
      </c>
      <c r="D1946">
        <v>-2.62002036749737E-2</v>
      </c>
      <c r="E1946">
        <v>7.3104247291855995E-2</v>
      </c>
      <c r="F1946">
        <v>1</v>
      </c>
      <c r="G1946" t="s">
        <v>11</v>
      </c>
      <c r="H1946">
        <v>1</v>
      </c>
      <c r="I1946">
        <v>115381.074152812</v>
      </c>
      <c r="J1946">
        <v>0.92689575270814395</v>
      </c>
      <c r="K1946" t="str">
        <f t="shared" si="240"/>
        <v>OK</v>
      </c>
      <c r="L1946" t="str">
        <f t="shared" si="241"/>
        <v>OK</v>
      </c>
      <c r="M1946" t="str">
        <f>IF(OR(B1946&lt;$AE$20,B1946&gt;$AF$20),"Outlier","OK")</f>
        <v>OK</v>
      </c>
      <c r="N1946" t="str">
        <f>IF(OR(J1946&lt;$AE$21,J1946&gt;$AF$21),"Outlier","OK")</f>
        <v>OK</v>
      </c>
      <c r="O1946" t="str">
        <f>IF(OR(C1946&lt;0,C1946&gt;1),"Outlier","OK")</f>
        <v>OK</v>
      </c>
      <c r="P1946" t="str">
        <f>IF(OR(D1946&lt;0,D1946&gt;1),"Outlier","OK")</f>
        <v>Outlier</v>
      </c>
      <c r="Q1946" t="str">
        <f t="shared" si="242"/>
        <v>80-100%</v>
      </c>
      <c r="R1946" t="str">
        <f>IF(B1946="","Missing","OK")</f>
        <v>OK</v>
      </c>
      <c r="S1946" t="str">
        <f>IF(E1946="","Missing","OK")</f>
        <v>OK</v>
      </c>
      <c r="T1946" t="str">
        <f t="shared" si="243"/>
        <v>OK</v>
      </c>
      <c r="U1946">
        <f>COUNTIF($A:$A,A1946)</f>
        <v>1</v>
      </c>
      <c r="V1946" t="str">
        <f t="shared" si="244"/>
        <v>OK</v>
      </c>
      <c r="W1946" t="str">
        <f>IF(I1946&gt;B1946,"ERROR","OK")</f>
        <v>OK</v>
      </c>
      <c r="X1946">
        <f>(B1946-I1946)/B1946</f>
        <v>0.92689575270814406</v>
      </c>
      <c r="Y1946" s="2">
        <f t="shared" si="245"/>
        <v>1.1102230246251565E-16</v>
      </c>
      <c r="Z1946" s="2" t="str">
        <f t="shared" si="246"/>
        <v>OK</v>
      </c>
      <c r="AA1946" t="str">
        <f t="shared" si="247"/>
        <v>Unique</v>
      </c>
    </row>
    <row r="1947" spans="1:27" x14ac:dyDescent="0.3">
      <c r="A1947">
        <v>1946</v>
      </c>
      <c r="B1947">
        <v>564820.37528114801</v>
      </c>
      <c r="C1947">
        <v>0.54462758054594196</v>
      </c>
      <c r="D1947">
        <v>-0.122283643164974</v>
      </c>
      <c r="E1947">
        <v>0.60934233298388896</v>
      </c>
      <c r="F1947">
        <v>1</v>
      </c>
      <c r="G1947" t="s">
        <v>10</v>
      </c>
      <c r="H1947">
        <v>1</v>
      </c>
      <c r="I1947">
        <v>344168.96519065002</v>
      </c>
      <c r="J1947">
        <v>0.39065766701610999</v>
      </c>
      <c r="K1947" t="str">
        <f t="shared" si="240"/>
        <v>OK</v>
      </c>
      <c r="L1947" t="str">
        <f t="shared" si="241"/>
        <v>OK</v>
      </c>
      <c r="M1947" t="str">
        <f>IF(OR(B1947&lt;$AE$20,B1947&gt;$AF$20),"Outlier","OK")</f>
        <v>OK</v>
      </c>
      <c r="N1947" t="str">
        <f>IF(OR(J1947&lt;$AE$21,J1947&gt;$AF$21),"Outlier","OK")</f>
        <v>OK</v>
      </c>
      <c r="O1947" t="str">
        <f>IF(OR(C1947&lt;0,C1947&gt;1),"Outlier","OK")</f>
        <v>OK</v>
      </c>
      <c r="P1947" t="str">
        <f>IF(OR(D1947&lt;0,D1947&gt;1),"Outlier","OK")</f>
        <v>Outlier</v>
      </c>
      <c r="Q1947" t="str">
        <f t="shared" si="242"/>
        <v>20-40%</v>
      </c>
      <c r="R1947" t="str">
        <f>IF(B1947="","Missing","OK")</f>
        <v>OK</v>
      </c>
      <c r="S1947" t="str">
        <f>IF(E1947="","Missing","OK")</f>
        <v>OK</v>
      </c>
      <c r="T1947" t="str">
        <f t="shared" si="243"/>
        <v>OK</v>
      </c>
      <c r="U1947">
        <f>COUNTIF($A:$A,A1947)</f>
        <v>1</v>
      </c>
      <c r="V1947" t="str">
        <f t="shared" si="244"/>
        <v>OK</v>
      </c>
      <c r="W1947" t="str">
        <f>IF(I1947&gt;B1947,"ERROR","OK")</f>
        <v>OK</v>
      </c>
      <c r="X1947">
        <f>(B1947-I1947)/B1947</f>
        <v>0.39065766701611171</v>
      </c>
      <c r="Y1947" s="2">
        <f t="shared" si="245"/>
        <v>1.7208456881689926E-15</v>
      </c>
      <c r="Z1947" s="2" t="str">
        <f t="shared" si="246"/>
        <v>OK</v>
      </c>
      <c r="AA1947" t="str">
        <f t="shared" si="247"/>
        <v>Unique</v>
      </c>
    </row>
    <row r="1948" spans="1:27" x14ac:dyDescent="0.3">
      <c r="A1948">
        <v>1947</v>
      </c>
      <c r="B1948">
        <v>305109.610438011</v>
      </c>
      <c r="C1948">
        <v>0.43883747559041397</v>
      </c>
      <c r="D1948">
        <v>1.09267067919509E-2</v>
      </c>
      <c r="E1948">
        <v>0.36465389438248202</v>
      </c>
      <c r="F1948">
        <v>1</v>
      </c>
      <c r="G1948" t="s">
        <v>11</v>
      </c>
      <c r="H1948">
        <v>0</v>
      </c>
      <c r="I1948">
        <v>111259.40765974201</v>
      </c>
      <c r="J1948">
        <v>0.63534610561751703</v>
      </c>
      <c r="K1948" t="str">
        <f t="shared" si="240"/>
        <v>OK</v>
      </c>
      <c r="L1948" t="str">
        <f t="shared" si="241"/>
        <v>OK</v>
      </c>
      <c r="M1948" t="str">
        <f>IF(OR(B1948&lt;$AE$20,B1948&gt;$AF$20),"Outlier","OK")</f>
        <v>OK</v>
      </c>
      <c r="N1948" t="str">
        <f>IF(OR(J1948&lt;$AE$21,J1948&gt;$AF$21),"Outlier","OK")</f>
        <v>OK</v>
      </c>
      <c r="O1948" t="str">
        <f>IF(OR(C1948&lt;0,C1948&gt;1),"Outlier","OK")</f>
        <v>OK</v>
      </c>
      <c r="P1948" t="str">
        <f>IF(OR(D1948&lt;0,D1948&gt;1),"Outlier","OK")</f>
        <v>OK</v>
      </c>
      <c r="Q1948" t="str">
        <f t="shared" si="242"/>
        <v>60-80%</v>
      </c>
      <c r="R1948" t="str">
        <f>IF(B1948="","Missing","OK")</f>
        <v>OK</v>
      </c>
      <c r="S1948" t="str">
        <f>IF(E1948="","Missing","OK")</f>
        <v>OK</v>
      </c>
      <c r="T1948" t="str">
        <f t="shared" si="243"/>
        <v>OK</v>
      </c>
      <c r="U1948">
        <f>COUNTIF($A:$A,A1948)</f>
        <v>1</v>
      </c>
      <c r="V1948" t="str">
        <f t="shared" si="244"/>
        <v>OK</v>
      </c>
      <c r="W1948" t="str">
        <f>IF(I1948&gt;B1948,"ERROR","OK")</f>
        <v>OK</v>
      </c>
      <c r="X1948">
        <f>(B1948-I1948)/B1948</f>
        <v>0.63534610561752025</v>
      </c>
      <c r="Y1948" s="2">
        <f t="shared" si="245"/>
        <v>3.219646771412954E-15</v>
      </c>
      <c r="Z1948" s="2" t="str">
        <f t="shared" si="246"/>
        <v>OK</v>
      </c>
      <c r="AA1948" t="str">
        <f t="shared" si="247"/>
        <v>Unique</v>
      </c>
    </row>
    <row r="1949" spans="1:27" x14ac:dyDescent="0.3">
      <c r="A1949">
        <v>1948</v>
      </c>
      <c r="B1949">
        <v>968864.60592616501</v>
      </c>
      <c r="C1949">
        <v>0.59503191086150797</v>
      </c>
      <c r="D1949">
        <v>7.4204081983384795E-2</v>
      </c>
      <c r="E1949">
        <v>3.77156465110964E-2</v>
      </c>
      <c r="F1949">
        <v>1</v>
      </c>
      <c r="G1949" t="s">
        <v>13</v>
      </c>
      <c r="H1949">
        <v>0</v>
      </c>
      <c r="I1949">
        <v>36541.354994223999</v>
      </c>
      <c r="J1949">
        <v>0.96228435348890295</v>
      </c>
      <c r="K1949" t="str">
        <f t="shared" si="240"/>
        <v>OK</v>
      </c>
      <c r="L1949" t="str">
        <f t="shared" si="241"/>
        <v>OK</v>
      </c>
      <c r="M1949" t="str">
        <f>IF(OR(B1949&lt;$AE$20,B1949&gt;$AF$20),"Outlier","OK")</f>
        <v>OK</v>
      </c>
      <c r="N1949" t="str">
        <f>IF(OR(J1949&lt;$AE$21,J1949&gt;$AF$21),"Outlier","OK")</f>
        <v>OK</v>
      </c>
      <c r="O1949" t="str">
        <f>IF(OR(C1949&lt;0,C1949&gt;1),"Outlier","OK")</f>
        <v>OK</v>
      </c>
      <c r="P1949" t="str">
        <f>IF(OR(D1949&lt;0,D1949&gt;1),"Outlier","OK")</f>
        <v>OK</v>
      </c>
      <c r="Q1949" t="str">
        <f t="shared" si="242"/>
        <v>80-100%</v>
      </c>
      <c r="R1949" t="str">
        <f>IF(B1949="","Missing","OK")</f>
        <v>OK</v>
      </c>
      <c r="S1949" t="str">
        <f>IF(E1949="","Missing","OK")</f>
        <v>OK</v>
      </c>
      <c r="T1949" t="str">
        <f t="shared" si="243"/>
        <v>OK</v>
      </c>
      <c r="U1949">
        <f>COUNTIF($A:$A,A1949)</f>
        <v>1</v>
      </c>
      <c r="V1949" t="str">
        <f t="shared" si="244"/>
        <v>OK</v>
      </c>
      <c r="W1949" t="str">
        <f>IF(I1949&gt;B1949,"ERROR","OK")</f>
        <v>OK</v>
      </c>
      <c r="X1949">
        <f>(B1949-I1949)/B1949</f>
        <v>0.96228435348890351</v>
      </c>
      <c r="Y1949" s="2">
        <f t="shared" si="245"/>
        <v>5.5511151231257827E-16</v>
      </c>
      <c r="Z1949" s="2" t="str">
        <f t="shared" si="246"/>
        <v>OK</v>
      </c>
      <c r="AA1949" t="str">
        <f t="shared" si="247"/>
        <v>Unique</v>
      </c>
    </row>
    <row r="1950" spans="1:27" x14ac:dyDescent="0.3">
      <c r="A1950">
        <v>1949</v>
      </c>
      <c r="B1950">
        <v>1346388.4774097099</v>
      </c>
      <c r="C1950">
        <v>0.74096357363320797</v>
      </c>
      <c r="D1950">
        <v>8.21447770422358E-2</v>
      </c>
      <c r="E1950">
        <v>0.12589525817752201</v>
      </c>
      <c r="F1950">
        <v>1</v>
      </c>
      <c r="G1950" t="s">
        <v>10</v>
      </c>
      <c r="H1950">
        <v>1</v>
      </c>
      <c r="I1950">
        <v>169503.924970736</v>
      </c>
      <c r="J1950">
        <v>0.87410474182247699</v>
      </c>
      <c r="K1950" t="str">
        <f t="shared" si="240"/>
        <v>OK</v>
      </c>
      <c r="L1950" t="str">
        <f t="shared" si="241"/>
        <v>OK</v>
      </c>
      <c r="M1950" t="str">
        <f>IF(OR(B1950&lt;$AE$20,B1950&gt;$AF$20),"Outlier","OK")</f>
        <v>OK</v>
      </c>
      <c r="N1950" t="str">
        <f>IF(OR(J1950&lt;$AE$21,J1950&gt;$AF$21),"Outlier","OK")</f>
        <v>OK</v>
      </c>
      <c r="O1950" t="str">
        <f>IF(OR(C1950&lt;0,C1950&gt;1),"Outlier","OK")</f>
        <v>OK</v>
      </c>
      <c r="P1950" t="str">
        <f>IF(OR(D1950&lt;0,D1950&gt;1),"Outlier","OK")</f>
        <v>OK</v>
      </c>
      <c r="Q1950" t="str">
        <f t="shared" si="242"/>
        <v>80-100%</v>
      </c>
      <c r="R1950" t="str">
        <f>IF(B1950="","Missing","OK")</f>
        <v>OK</v>
      </c>
      <c r="S1950" t="str">
        <f>IF(E1950="","Missing","OK")</f>
        <v>OK</v>
      </c>
      <c r="T1950" t="str">
        <f t="shared" si="243"/>
        <v>OK</v>
      </c>
      <c r="U1950">
        <f>COUNTIF($A:$A,A1950)</f>
        <v>1</v>
      </c>
      <c r="V1950" t="str">
        <f t="shared" si="244"/>
        <v>OK</v>
      </c>
      <c r="W1950" t="str">
        <f>IF(I1950&gt;B1950,"ERROR","OK")</f>
        <v>OK</v>
      </c>
      <c r="X1950">
        <f>(B1950-I1950)/B1950</f>
        <v>0.8741047418224781</v>
      </c>
      <c r="Y1950" s="2">
        <f t="shared" si="245"/>
        <v>1.1102230246251565E-15</v>
      </c>
      <c r="Z1950" s="2" t="str">
        <f t="shared" si="246"/>
        <v>OK</v>
      </c>
      <c r="AA1950" t="str">
        <f t="shared" si="247"/>
        <v>Unique</v>
      </c>
    </row>
    <row r="1951" spans="1:27" x14ac:dyDescent="0.3">
      <c r="A1951">
        <v>1950</v>
      </c>
      <c r="B1951">
        <v>1215215.49870802</v>
      </c>
      <c r="C1951">
        <v>0.24023672430437501</v>
      </c>
      <c r="D1951">
        <v>-0.179730188535972</v>
      </c>
      <c r="E1951">
        <v>0.50499493670600504</v>
      </c>
      <c r="F1951">
        <v>1</v>
      </c>
      <c r="G1951" t="s">
        <v>10</v>
      </c>
      <c r="H1951">
        <v>0</v>
      </c>
      <c r="I1951">
        <v>613677.67385421495</v>
      </c>
      <c r="J1951">
        <v>0.49500506329399402</v>
      </c>
      <c r="K1951" t="str">
        <f t="shared" si="240"/>
        <v>OK</v>
      </c>
      <c r="L1951" t="str">
        <f t="shared" si="241"/>
        <v>OK</v>
      </c>
      <c r="M1951" t="str">
        <f>IF(OR(B1951&lt;$AE$20,B1951&gt;$AF$20),"Outlier","OK")</f>
        <v>OK</v>
      </c>
      <c r="N1951" t="str">
        <f>IF(OR(J1951&lt;$AE$21,J1951&gt;$AF$21),"Outlier","OK")</f>
        <v>OK</v>
      </c>
      <c r="O1951" t="str">
        <f>IF(OR(C1951&lt;0,C1951&gt;1),"Outlier","OK")</f>
        <v>OK</v>
      </c>
      <c r="P1951" t="str">
        <f>IF(OR(D1951&lt;0,D1951&gt;1),"Outlier","OK")</f>
        <v>Outlier</v>
      </c>
      <c r="Q1951" t="str">
        <f t="shared" si="242"/>
        <v>40-60%</v>
      </c>
      <c r="R1951" t="str">
        <f>IF(B1951="","Missing","OK")</f>
        <v>OK</v>
      </c>
      <c r="S1951" t="str">
        <f>IF(E1951="","Missing","OK")</f>
        <v>OK</v>
      </c>
      <c r="T1951" t="str">
        <f t="shared" si="243"/>
        <v>OK</v>
      </c>
      <c r="U1951">
        <f>COUNTIF($A:$A,A1951)</f>
        <v>1</v>
      </c>
      <c r="V1951" t="str">
        <f t="shared" si="244"/>
        <v>OK</v>
      </c>
      <c r="W1951" t="str">
        <f>IF(I1951&gt;B1951,"ERROR","OK")</f>
        <v>OK</v>
      </c>
      <c r="X1951">
        <f>(B1951-I1951)/B1951</f>
        <v>0.49500506329399324</v>
      </c>
      <c r="Y1951" s="2">
        <f t="shared" si="245"/>
        <v>7.7715611723760958E-16</v>
      </c>
      <c r="Z1951" s="2" t="str">
        <f t="shared" si="246"/>
        <v>OK</v>
      </c>
      <c r="AA1951" t="str">
        <f t="shared" si="247"/>
        <v>Unique</v>
      </c>
    </row>
    <row r="1952" spans="1:27" x14ac:dyDescent="0.3">
      <c r="A1952">
        <v>1951</v>
      </c>
      <c r="B1952">
        <v>1240817.18316617</v>
      </c>
      <c r="C1952">
        <v>0.26352727753384197</v>
      </c>
      <c r="D1952">
        <v>0.146827362555909</v>
      </c>
      <c r="E1952">
        <v>0.35635503663457702</v>
      </c>
      <c r="F1952">
        <v>1</v>
      </c>
      <c r="G1952" t="s">
        <v>10</v>
      </c>
      <c r="H1952">
        <v>0</v>
      </c>
      <c r="I1952">
        <v>442171.45276399498</v>
      </c>
      <c r="J1952">
        <v>0.64364496336542198</v>
      </c>
      <c r="K1952" t="str">
        <f t="shared" si="240"/>
        <v>OK</v>
      </c>
      <c r="L1952" t="str">
        <f t="shared" si="241"/>
        <v>OK</v>
      </c>
      <c r="M1952" t="str">
        <f>IF(OR(B1952&lt;$AE$20,B1952&gt;$AF$20),"Outlier","OK")</f>
        <v>OK</v>
      </c>
      <c r="N1952" t="str">
        <f>IF(OR(J1952&lt;$AE$21,J1952&gt;$AF$21),"Outlier","OK")</f>
        <v>OK</v>
      </c>
      <c r="O1952" t="str">
        <f>IF(OR(C1952&lt;0,C1952&gt;1),"Outlier","OK")</f>
        <v>OK</v>
      </c>
      <c r="P1952" t="str">
        <f>IF(OR(D1952&lt;0,D1952&gt;1),"Outlier","OK")</f>
        <v>OK</v>
      </c>
      <c r="Q1952" t="str">
        <f t="shared" si="242"/>
        <v>60-80%</v>
      </c>
      <c r="R1952" t="str">
        <f>IF(B1952="","Missing","OK")</f>
        <v>OK</v>
      </c>
      <c r="S1952" t="str">
        <f>IF(E1952="","Missing","OK")</f>
        <v>OK</v>
      </c>
      <c r="T1952" t="str">
        <f t="shared" si="243"/>
        <v>OK</v>
      </c>
      <c r="U1952">
        <f>COUNTIF($A:$A,A1952)</f>
        <v>1</v>
      </c>
      <c r="V1952" t="str">
        <f t="shared" si="244"/>
        <v>OK</v>
      </c>
      <c r="W1952" t="str">
        <f>IF(I1952&gt;B1952,"ERROR","OK")</f>
        <v>OK</v>
      </c>
      <c r="X1952">
        <f>(B1952-I1952)/B1952</f>
        <v>0.64364496336542154</v>
      </c>
      <c r="Y1952" s="2">
        <f t="shared" si="245"/>
        <v>4.4408920985006262E-16</v>
      </c>
      <c r="Z1952" s="2" t="str">
        <f t="shared" si="246"/>
        <v>OK</v>
      </c>
      <c r="AA1952" t="str">
        <f t="shared" si="247"/>
        <v>Unique</v>
      </c>
    </row>
    <row r="1953" spans="1:27" x14ac:dyDescent="0.3">
      <c r="A1953">
        <v>1952</v>
      </c>
      <c r="B1953">
        <v>230690.639310956</v>
      </c>
      <c r="C1953">
        <v>0.35703370943246199</v>
      </c>
      <c r="D1953">
        <v>0.134860981881576</v>
      </c>
      <c r="E1953">
        <v>0.59385892045862199</v>
      </c>
      <c r="F1953">
        <v>1</v>
      </c>
      <c r="G1953" t="s">
        <v>10</v>
      </c>
      <c r="H1953">
        <v>0</v>
      </c>
      <c r="I1953">
        <v>136997.694021114</v>
      </c>
      <c r="J1953">
        <v>0.40614107954137701</v>
      </c>
      <c r="K1953" t="str">
        <f t="shared" si="240"/>
        <v>OK</v>
      </c>
      <c r="L1953" t="str">
        <f t="shared" si="241"/>
        <v>OK</v>
      </c>
      <c r="M1953" t="str">
        <f>IF(OR(B1953&lt;$AE$20,B1953&gt;$AF$20),"Outlier","OK")</f>
        <v>OK</v>
      </c>
      <c r="N1953" t="str">
        <f>IF(OR(J1953&lt;$AE$21,J1953&gt;$AF$21),"Outlier","OK")</f>
        <v>OK</v>
      </c>
      <c r="O1953" t="str">
        <f>IF(OR(C1953&lt;0,C1953&gt;1),"Outlier","OK")</f>
        <v>OK</v>
      </c>
      <c r="P1953" t="str">
        <f>IF(OR(D1953&lt;0,D1953&gt;1),"Outlier","OK")</f>
        <v>OK</v>
      </c>
      <c r="Q1953" t="str">
        <f t="shared" si="242"/>
        <v>40-60%</v>
      </c>
      <c r="R1953" t="str">
        <f>IF(B1953="","Missing","OK")</f>
        <v>OK</v>
      </c>
      <c r="S1953" t="str">
        <f>IF(E1953="","Missing","OK")</f>
        <v>OK</v>
      </c>
      <c r="T1953" t="str">
        <f t="shared" si="243"/>
        <v>OK</v>
      </c>
      <c r="U1953">
        <f>COUNTIF($A:$A,A1953)</f>
        <v>1</v>
      </c>
      <c r="V1953" t="str">
        <f t="shared" si="244"/>
        <v>OK</v>
      </c>
      <c r="W1953" t="str">
        <f>IF(I1953&gt;B1953,"ERROR","OK")</f>
        <v>OK</v>
      </c>
      <c r="X1953">
        <f>(B1953-I1953)/B1953</f>
        <v>0.40614107954137657</v>
      </c>
      <c r="Y1953" s="2">
        <f t="shared" si="245"/>
        <v>4.4408920985006262E-16</v>
      </c>
      <c r="Z1953" s="2" t="str">
        <f t="shared" si="246"/>
        <v>OK</v>
      </c>
      <c r="AA1953" t="str">
        <f t="shared" si="247"/>
        <v>Unique</v>
      </c>
    </row>
    <row r="1954" spans="1:27" x14ac:dyDescent="0.3">
      <c r="A1954">
        <v>1953</v>
      </c>
      <c r="B1954">
        <v>1008071.64316397</v>
      </c>
      <c r="C1954">
        <v>0.63037609114529503</v>
      </c>
      <c r="D1954">
        <v>0.17893367231006499</v>
      </c>
      <c r="E1954">
        <v>0.52358865681028199</v>
      </c>
      <c r="F1954">
        <v>1</v>
      </c>
      <c r="G1954" t="s">
        <v>11</v>
      </c>
      <c r="H1954">
        <v>0</v>
      </c>
      <c r="I1954">
        <v>527814.87761276006</v>
      </c>
      <c r="J1954">
        <v>0.47641134318971801</v>
      </c>
      <c r="K1954" t="str">
        <f t="shared" si="240"/>
        <v>OK</v>
      </c>
      <c r="L1954" t="str">
        <f t="shared" si="241"/>
        <v>OK</v>
      </c>
      <c r="M1954" t="str">
        <f>IF(OR(B1954&lt;$AE$20,B1954&gt;$AF$20),"Outlier","OK")</f>
        <v>OK</v>
      </c>
      <c r="N1954" t="str">
        <f>IF(OR(J1954&lt;$AE$21,J1954&gt;$AF$21),"Outlier","OK")</f>
        <v>OK</v>
      </c>
      <c r="O1954" t="str">
        <f>IF(OR(C1954&lt;0,C1954&gt;1),"Outlier","OK")</f>
        <v>OK</v>
      </c>
      <c r="P1954" t="str">
        <f>IF(OR(D1954&lt;0,D1954&gt;1),"Outlier","OK")</f>
        <v>OK</v>
      </c>
      <c r="Q1954" t="str">
        <f t="shared" si="242"/>
        <v>40-60%</v>
      </c>
      <c r="R1954" t="str">
        <f>IF(B1954="","Missing","OK")</f>
        <v>OK</v>
      </c>
      <c r="S1954" t="str">
        <f>IF(E1954="","Missing","OK")</f>
        <v>OK</v>
      </c>
      <c r="T1954" t="str">
        <f t="shared" si="243"/>
        <v>OK</v>
      </c>
      <c r="U1954">
        <f>COUNTIF($A:$A,A1954)</f>
        <v>1</v>
      </c>
      <c r="V1954" t="str">
        <f t="shared" si="244"/>
        <v>OK</v>
      </c>
      <c r="W1954" t="str">
        <f>IF(I1954&gt;B1954,"ERROR","OK")</f>
        <v>OK</v>
      </c>
      <c r="X1954">
        <f>(B1954-I1954)/B1954</f>
        <v>0.4764113431897149</v>
      </c>
      <c r="Y1954" s="2">
        <f t="shared" si="245"/>
        <v>3.1086244689504383E-15</v>
      </c>
      <c r="Z1954" s="2" t="str">
        <f t="shared" si="246"/>
        <v>OK</v>
      </c>
      <c r="AA1954" t="str">
        <f t="shared" si="247"/>
        <v>Unique</v>
      </c>
    </row>
    <row r="1955" spans="1:27" x14ac:dyDescent="0.3">
      <c r="A1955">
        <v>1954</v>
      </c>
      <c r="B1955">
        <v>444806.81847545499</v>
      </c>
      <c r="C1955">
        <v>0.60670378660826296</v>
      </c>
      <c r="D1955">
        <v>-4.7087870016596797E-2</v>
      </c>
      <c r="E1955">
        <v>0.440826368437716</v>
      </c>
      <c r="F1955">
        <v>1</v>
      </c>
      <c r="G1955" t="s">
        <v>11</v>
      </c>
      <c r="H1955">
        <v>0</v>
      </c>
      <c r="I1955">
        <v>196082.57444486901</v>
      </c>
      <c r="J1955">
        <v>0.55917363156228295</v>
      </c>
      <c r="K1955" t="str">
        <f t="shared" si="240"/>
        <v>OK</v>
      </c>
      <c r="L1955" t="str">
        <f t="shared" si="241"/>
        <v>OK</v>
      </c>
      <c r="M1955" t="str">
        <f>IF(OR(B1955&lt;$AE$20,B1955&gt;$AF$20),"Outlier","OK")</f>
        <v>OK</v>
      </c>
      <c r="N1955" t="str">
        <f>IF(OR(J1955&lt;$AE$21,J1955&gt;$AF$21),"Outlier","OK")</f>
        <v>OK</v>
      </c>
      <c r="O1955" t="str">
        <f>IF(OR(C1955&lt;0,C1955&gt;1),"Outlier","OK")</f>
        <v>OK</v>
      </c>
      <c r="P1955" t="str">
        <f>IF(OR(D1955&lt;0,D1955&gt;1),"Outlier","OK")</f>
        <v>Outlier</v>
      </c>
      <c r="Q1955" t="str">
        <f t="shared" si="242"/>
        <v>40-60%</v>
      </c>
      <c r="R1955" t="str">
        <f>IF(B1955="","Missing","OK")</f>
        <v>OK</v>
      </c>
      <c r="S1955" t="str">
        <f>IF(E1955="","Missing","OK")</f>
        <v>OK</v>
      </c>
      <c r="T1955" t="str">
        <f t="shared" si="243"/>
        <v>OK</v>
      </c>
      <c r="U1955">
        <f>COUNTIF($A:$A,A1955)</f>
        <v>1</v>
      </c>
      <c r="V1955" t="str">
        <f t="shared" si="244"/>
        <v>OK</v>
      </c>
      <c r="W1955" t="str">
        <f>IF(I1955&gt;B1955,"ERROR","OK")</f>
        <v>OK</v>
      </c>
      <c r="X1955">
        <f>(B1955-I1955)/B1955</f>
        <v>0.55917363156228439</v>
      </c>
      <c r="Y1955" s="2">
        <f t="shared" si="245"/>
        <v>1.4432899320127035E-15</v>
      </c>
      <c r="Z1955" s="2" t="str">
        <f t="shared" si="246"/>
        <v>OK</v>
      </c>
      <c r="AA1955" t="str">
        <f t="shared" si="247"/>
        <v>Unique</v>
      </c>
    </row>
    <row r="1956" spans="1:27" x14ac:dyDescent="0.3">
      <c r="A1956">
        <v>1955</v>
      </c>
      <c r="B1956">
        <v>1435822.1904883699</v>
      </c>
      <c r="C1956">
        <v>0.81369890184082705</v>
      </c>
      <c r="D1956">
        <v>-2.02612003819043E-2</v>
      </c>
      <c r="E1956">
        <v>0.26658115034944901</v>
      </c>
      <c r="F1956">
        <v>1</v>
      </c>
      <c r="G1956" t="s">
        <v>10</v>
      </c>
      <c r="H1956">
        <v>0</v>
      </c>
      <c r="I1956">
        <v>382763.13123765698</v>
      </c>
      <c r="J1956">
        <v>0.73341884965055004</v>
      </c>
      <c r="K1956" t="str">
        <f t="shared" si="240"/>
        <v>OK</v>
      </c>
      <c r="L1956" t="str">
        <f t="shared" si="241"/>
        <v>OK</v>
      </c>
      <c r="M1956" t="str">
        <f>IF(OR(B1956&lt;$AE$20,B1956&gt;$AF$20),"Outlier","OK")</f>
        <v>OK</v>
      </c>
      <c r="N1956" t="str">
        <f>IF(OR(J1956&lt;$AE$21,J1956&gt;$AF$21),"Outlier","OK")</f>
        <v>OK</v>
      </c>
      <c r="O1956" t="str">
        <f>IF(OR(C1956&lt;0,C1956&gt;1),"Outlier","OK")</f>
        <v>OK</v>
      </c>
      <c r="P1956" t="str">
        <f>IF(OR(D1956&lt;0,D1956&gt;1),"Outlier","OK")</f>
        <v>Outlier</v>
      </c>
      <c r="Q1956" t="str">
        <f t="shared" si="242"/>
        <v>60-80%</v>
      </c>
      <c r="R1956" t="str">
        <f>IF(B1956="","Missing","OK")</f>
        <v>OK</v>
      </c>
      <c r="S1956" t="str">
        <f>IF(E1956="","Missing","OK")</f>
        <v>OK</v>
      </c>
      <c r="T1956" t="str">
        <f t="shared" si="243"/>
        <v>OK</v>
      </c>
      <c r="U1956">
        <f>COUNTIF($A:$A,A1956)</f>
        <v>1</v>
      </c>
      <c r="V1956" t="str">
        <f t="shared" si="244"/>
        <v>OK</v>
      </c>
      <c r="W1956" t="str">
        <f>IF(I1956&gt;B1956,"ERROR","OK")</f>
        <v>OK</v>
      </c>
      <c r="X1956">
        <f>(B1956-I1956)/B1956</f>
        <v>0.73341884965054982</v>
      </c>
      <c r="Y1956" s="2">
        <f t="shared" si="245"/>
        <v>2.2204460492503131E-16</v>
      </c>
      <c r="Z1956" s="2" t="str">
        <f t="shared" si="246"/>
        <v>OK</v>
      </c>
      <c r="AA1956" t="str">
        <f t="shared" si="247"/>
        <v>Unique</v>
      </c>
    </row>
    <row r="1957" spans="1:27" x14ac:dyDescent="0.3">
      <c r="A1957">
        <v>1956</v>
      </c>
      <c r="B1957">
        <v>1138917.3769561199</v>
      </c>
      <c r="C1957">
        <v>0.33404738759209901</v>
      </c>
      <c r="D1957">
        <v>-0.15341962806721801</v>
      </c>
      <c r="E1957">
        <v>0.62556478600534904</v>
      </c>
      <c r="F1957">
        <v>1</v>
      </c>
      <c r="G1957" t="s">
        <v>13</v>
      </c>
      <c r="H1957">
        <v>0</v>
      </c>
      <c r="I1957">
        <v>712466.60519332904</v>
      </c>
      <c r="J1957">
        <v>0.37443521399465002</v>
      </c>
      <c r="K1957" t="str">
        <f t="shared" si="240"/>
        <v>OK</v>
      </c>
      <c r="L1957" t="str">
        <f t="shared" si="241"/>
        <v>OK</v>
      </c>
      <c r="M1957" t="str">
        <f>IF(OR(B1957&lt;$AE$20,B1957&gt;$AF$20),"Outlier","OK")</f>
        <v>OK</v>
      </c>
      <c r="N1957" t="str">
        <f>IF(OR(J1957&lt;$AE$21,J1957&gt;$AF$21),"Outlier","OK")</f>
        <v>OK</v>
      </c>
      <c r="O1957" t="str">
        <f>IF(OR(C1957&lt;0,C1957&gt;1),"Outlier","OK")</f>
        <v>OK</v>
      </c>
      <c r="P1957" t="str">
        <f>IF(OR(D1957&lt;0,D1957&gt;1),"Outlier","OK")</f>
        <v>Outlier</v>
      </c>
      <c r="Q1957" t="str">
        <f t="shared" si="242"/>
        <v>20-40%</v>
      </c>
      <c r="R1957" t="str">
        <f>IF(B1957="","Missing","OK")</f>
        <v>OK</v>
      </c>
      <c r="S1957" t="str">
        <f>IF(E1957="","Missing","OK")</f>
        <v>OK</v>
      </c>
      <c r="T1957" t="str">
        <f t="shared" si="243"/>
        <v>OK</v>
      </c>
      <c r="U1957">
        <f>COUNTIF($A:$A,A1957)</f>
        <v>1</v>
      </c>
      <c r="V1957" t="str">
        <f t="shared" si="244"/>
        <v>OK</v>
      </c>
      <c r="W1957" t="str">
        <f>IF(I1957&gt;B1957,"ERROR","OK")</f>
        <v>OK</v>
      </c>
      <c r="X1957">
        <f>(B1957-I1957)/B1957</f>
        <v>0.37443521399465057</v>
      </c>
      <c r="Y1957" s="2">
        <f t="shared" si="245"/>
        <v>5.5511151231257827E-16</v>
      </c>
      <c r="Z1957" s="2" t="str">
        <f t="shared" si="246"/>
        <v>OK</v>
      </c>
      <c r="AA1957" t="str">
        <f t="shared" si="247"/>
        <v>Unique</v>
      </c>
    </row>
    <row r="1958" spans="1:27" x14ac:dyDescent="0.3">
      <c r="A1958">
        <v>1957</v>
      </c>
      <c r="B1958">
        <v>1221516.22670713</v>
      </c>
      <c r="C1958">
        <v>0.15159888706545299</v>
      </c>
      <c r="D1958">
        <v>-8.6099771468541503E-2</v>
      </c>
      <c r="E1958">
        <v>0.21170627269147599</v>
      </c>
      <c r="F1958">
        <v>1</v>
      </c>
      <c r="G1958" t="s">
        <v>13</v>
      </c>
      <c r="H1958">
        <v>0</v>
      </c>
      <c r="I1958">
        <v>258602.647388324</v>
      </c>
      <c r="J1958">
        <v>0.78829372730852298</v>
      </c>
      <c r="K1958" t="str">
        <f t="shared" si="240"/>
        <v>OK</v>
      </c>
      <c r="L1958" t="str">
        <f t="shared" si="241"/>
        <v>OK</v>
      </c>
      <c r="M1958" t="str">
        <f>IF(OR(B1958&lt;$AE$20,B1958&gt;$AF$20),"Outlier","OK")</f>
        <v>OK</v>
      </c>
      <c r="N1958" t="str">
        <f>IF(OR(J1958&lt;$AE$21,J1958&gt;$AF$21),"Outlier","OK")</f>
        <v>OK</v>
      </c>
      <c r="O1958" t="str">
        <f>IF(OR(C1958&lt;0,C1958&gt;1),"Outlier","OK")</f>
        <v>OK</v>
      </c>
      <c r="P1958" t="str">
        <f>IF(OR(D1958&lt;0,D1958&gt;1),"Outlier","OK")</f>
        <v>Outlier</v>
      </c>
      <c r="Q1958" t="str">
        <f t="shared" si="242"/>
        <v>60-80%</v>
      </c>
      <c r="R1958" t="str">
        <f>IF(B1958="","Missing","OK")</f>
        <v>OK</v>
      </c>
      <c r="S1958" t="str">
        <f>IF(E1958="","Missing","OK")</f>
        <v>OK</v>
      </c>
      <c r="T1958" t="str">
        <f t="shared" si="243"/>
        <v>OK</v>
      </c>
      <c r="U1958">
        <f>COUNTIF($A:$A,A1958)</f>
        <v>1</v>
      </c>
      <c r="V1958" t="str">
        <f t="shared" si="244"/>
        <v>OK</v>
      </c>
      <c r="W1958" t="str">
        <f>IF(I1958&gt;B1958,"ERROR","OK")</f>
        <v>OK</v>
      </c>
      <c r="X1958">
        <f>(B1958-I1958)/B1958</f>
        <v>0.78829372730852276</v>
      </c>
      <c r="Y1958" s="2">
        <f t="shared" si="245"/>
        <v>2.2204460492503131E-16</v>
      </c>
      <c r="Z1958" s="2" t="str">
        <f t="shared" si="246"/>
        <v>OK</v>
      </c>
      <c r="AA1958" t="str">
        <f t="shared" si="247"/>
        <v>Unique</v>
      </c>
    </row>
    <row r="1959" spans="1:27" x14ac:dyDescent="0.3">
      <c r="A1959">
        <v>1958</v>
      </c>
      <c r="B1959">
        <v>1211355.44509591</v>
      </c>
      <c r="C1959">
        <v>0.452740076066316</v>
      </c>
      <c r="D1959">
        <v>1.9308221712005299E-2</v>
      </c>
      <c r="E1959">
        <v>0.32762411898816701</v>
      </c>
      <c r="F1959">
        <v>1</v>
      </c>
      <c r="G1959" t="s">
        <v>11</v>
      </c>
      <c r="H1959">
        <v>1</v>
      </c>
      <c r="I1959">
        <v>396869.260481067</v>
      </c>
      <c r="J1959">
        <v>0.67237588101183199</v>
      </c>
      <c r="K1959" t="str">
        <f t="shared" si="240"/>
        <v>OK</v>
      </c>
      <c r="L1959" t="str">
        <f t="shared" si="241"/>
        <v>OK</v>
      </c>
      <c r="M1959" t="str">
        <f>IF(OR(B1959&lt;$AE$20,B1959&gt;$AF$20),"Outlier","OK")</f>
        <v>OK</v>
      </c>
      <c r="N1959" t="str">
        <f>IF(OR(J1959&lt;$AE$21,J1959&gt;$AF$21),"Outlier","OK")</f>
        <v>OK</v>
      </c>
      <c r="O1959" t="str">
        <f>IF(OR(C1959&lt;0,C1959&gt;1),"Outlier","OK")</f>
        <v>OK</v>
      </c>
      <c r="P1959" t="str">
        <f>IF(OR(D1959&lt;0,D1959&gt;1),"Outlier","OK")</f>
        <v>OK</v>
      </c>
      <c r="Q1959" t="str">
        <f t="shared" si="242"/>
        <v>60-80%</v>
      </c>
      <c r="R1959" t="str">
        <f>IF(B1959="","Missing","OK")</f>
        <v>OK</v>
      </c>
      <c r="S1959" t="str">
        <f>IF(E1959="","Missing","OK")</f>
        <v>OK</v>
      </c>
      <c r="T1959" t="str">
        <f t="shared" si="243"/>
        <v>OK</v>
      </c>
      <c r="U1959">
        <f>COUNTIF($A:$A,A1959)</f>
        <v>1</v>
      </c>
      <c r="V1959" t="str">
        <f t="shared" si="244"/>
        <v>OK</v>
      </c>
      <c r="W1959" t="str">
        <f>IF(I1959&gt;B1959,"ERROR","OK")</f>
        <v>OK</v>
      </c>
      <c r="X1959">
        <f>(B1959-I1959)/B1959</f>
        <v>0.67237588101183254</v>
      </c>
      <c r="Y1959" s="2">
        <f t="shared" si="245"/>
        <v>5.5511151231257827E-16</v>
      </c>
      <c r="Z1959" s="2" t="str">
        <f t="shared" si="246"/>
        <v>OK</v>
      </c>
      <c r="AA1959" t="str">
        <f t="shared" si="247"/>
        <v>Unique</v>
      </c>
    </row>
    <row r="1960" spans="1:27" x14ac:dyDescent="0.3">
      <c r="A1960">
        <v>1959</v>
      </c>
      <c r="B1960">
        <v>647116.28379473998</v>
      </c>
      <c r="C1960">
        <v>0.58956204708767002</v>
      </c>
      <c r="D1960">
        <v>-8.3482101829660496E-2</v>
      </c>
      <c r="E1960">
        <v>9.66598408949466E-2</v>
      </c>
      <c r="F1960">
        <v>1</v>
      </c>
      <c r="G1960" t="s">
        <v>11</v>
      </c>
      <c r="H1960">
        <v>1</v>
      </c>
      <c r="I1960">
        <v>62550.1570321287</v>
      </c>
      <c r="J1960">
        <v>0.90334015910505305</v>
      </c>
      <c r="K1960" t="str">
        <f t="shared" si="240"/>
        <v>OK</v>
      </c>
      <c r="L1960" t="str">
        <f t="shared" si="241"/>
        <v>OK</v>
      </c>
      <c r="M1960" t="str">
        <f>IF(OR(B1960&lt;$AE$20,B1960&gt;$AF$20),"Outlier","OK")</f>
        <v>OK</v>
      </c>
      <c r="N1960" t="str">
        <f>IF(OR(J1960&lt;$AE$21,J1960&gt;$AF$21),"Outlier","OK")</f>
        <v>OK</v>
      </c>
      <c r="O1960" t="str">
        <f>IF(OR(C1960&lt;0,C1960&gt;1),"Outlier","OK")</f>
        <v>OK</v>
      </c>
      <c r="P1960" t="str">
        <f>IF(OR(D1960&lt;0,D1960&gt;1),"Outlier","OK")</f>
        <v>Outlier</v>
      </c>
      <c r="Q1960" t="str">
        <f t="shared" si="242"/>
        <v>80-100%</v>
      </c>
      <c r="R1960" t="str">
        <f>IF(B1960="","Missing","OK")</f>
        <v>OK</v>
      </c>
      <c r="S1960" t="str">
        <f>IF(E1960="","Missing","OK")</f>
        <v>OK</v>
      </c>
      <c r="T1960" t="str">
        <f t="shared" si="243"/>
        <v>OK</v>
      </c>
      <c r="U1960">
        <f>COUNTIF($A:$A,A1960)</f>
        <v>1</v>
      </c>
      <c r="V1960" t="str">
        <f t="shared" si="244"/>
        <v>OK</v>
      </c>
      <c r="W1960" t="str">
        <f>IF(I1960&gt;B1960,"ERROR","OK")</f>
        <v>OK</v>
      </c>
      <c r="X1960">
        <f>(B1960-I1960)/B1960</f>
        <v>0.90334015910505339</v>
      </c>
      <c r="Y1960" s="2">
        <f t="shared" si="245"/>
        <v>3.3306690738754696E-16</v>
      </c>
      <c r="Z1960" s="2" t="str">
        <f t="shared" si="246"/>
        <v>OK</v>
      </c>
      <c r="AA1960" t="str">
        <f t="shared" si="247"/>
        <v>Unique</v>
      </c>
    </row>
    <row r="1961" spans="1:27" x14ac:dyDescent="0.3">
      <c r="A1961">
        <v>1960</v>
      </c>
      <c r="B1961">
        <v>212569.97888851399</v>
      </c>
      <c r="C1961">
        <v>0.254198872746423</v>
      </c>
      <c r="D1961">
        <v>0.107267057303277</v>
      </c>
      <c r="E1961">
        <v>0.30792292565408402</v>
      </c>
      <c r="F1961">
        <v>1</v>
      </c>
      <c r="G1961" t="s">
        <v>10</v>
      </c>
      <c r="H1961">
        <v>0</v>
      </c>
      <c r="I1961">
        <v>65455.169805578204</v>
      </c>
      <c r="J1961">
        <v>0.69207707434591503</v>
      </c>
      <c r="K1961" t="str">
        <f t="shared" si="240"/>
        <v>OK</v>
      </c>
      <c r="L1961" t="str">
        <f t="shared" si="241"/>
        <v>OK</v>
      </c>
      <c r="M1961" t="str">
        <f>IF(OR(B1961&lt;$AE$20,B1961&gt;$AF$20),"Outlier","OK")</f>
        <v>OK</v>
      </c>
      <c r="N1961" t="str">
        <f>IF(OR(J1961&lt;$AE$21,J1961&gt;$AF$21),"Outlier","OK")</f>
        <v>OK</v>
      </c>
      <c r="O1961" t="str">
        <f>IF(OR(C1961&lt;0,C1961&gt;1),"Outlier","OK")</f>
        <v>OK</v>
      </c>
      <c r="P1961" t="str">
        <f>IF(OR(D1961&lt;0,D1961&gt;1),"Outlier","OK")</f>
        <v>OK</v>
      </c>
      <c r="Q1961" t="str">
        <f t="shared" si="242"/>
        <v>60-80%</v>
      </c>
      <c r="R1961" t="str">
        <f>IF(B1961="","Missing","OK")</f>
        <v>OK</v>
      </c>
      <c r="S1961" t="str">
        <f>IF(E1961="","Missing","OK")</f>
        <v>OK</v>
      </c>
      <c r="T1961" t="str">
        <f t="shared" si="243"/>
        <v>OK</v>
      </c>
      <c r="U1961">
        <f>COUNTIF($A:$A,A1961)</f>
        <v>1</v>
      </c>
      <c r="V1961" t="str">
        <f t="shared" si="244"/>
        <v>OK</v>
      </c>
      <c r="W1961" t="str">
        <f>IF(I1961&gt;B1961,"ERROR","OK")</f>
        <v>OK</v>
      </c>
      <c r="X1961">
        <f>(B1961-I1961)/B1961</f>
        <v>0.69207707434591559</v>
      </c>
      <c r="Y1961" s="2">
        <f t="shared" si="245"/>
        <v>5.5511151231257827E-16</v>
      </c>
      <c r="Z1961" s="2" t="str">
        <f t="shared" si="246"/>
        <v>OK</v>
      </c>
      <c r="AA1961" t="str">
        <f t="shared" si="247"/>
        <v>Unique</v>
      </c>
    </row>
    <row r="1962" spans="1:27" x14ac:dyDescent="0.3">
      <c r="A1962">
        <v>1961</v>
      </c>
      <c r="B1962">
        <v>855523.675141435</v>
      </c>
      <c r="C1962">
        <v>0.67034381226328199</v>
      </c>
      <c r="D1962">
        <v>-0.12209112270411</v>
      </c>
      <c r="E1962">
        <v>0.53018262841751695</v>
      </c>
      <c r="F1962">
        <v>1</v>
      </c>
      <c r="G1962" t="s">
        <v>10</v>
      </c>
      <c r="H1962">
        <v>0</v>
      </c>
      <c r="I1962">
        <v>453583.7907599</v>
      </c>
      <c r="J1962">
        <v>0.46981737158248199</v>
      </c>
      <c r="K1962" t="str">
        <f t="shared" si="240"/>
        <v>OK</v>
      </c>
      <c r="L1962" t="str">
        <f t="shared" si="241"/>
        <v>OK</v>
      </c>
      <c r="M1962" t="str">
        <f>IF(OR(B1962&lt;$AE$20,B1962&gt;$AF$20),"Outlier","OK")</f>
        <v>OK</v>
      </c>
      <c r="N1962" t="str">
        <f>IF(OR(J1962&lt;$AE$21,J1962&gt;$AF$21),"Outlier","OK")</f>
        <v>OK</v>
      </c>
      <c r="O1962" t="str">
        <f>IF(OR(C1962&lt;0,C1962&gt;1),"Outlier","OK")</f>
        <v>OK</v>
      </c>
      <c r="P1962" t="str">
        <f>IF(OR(D1962&lt;0,D1962&gt;1),"Outlier","OK")</f>
        <v>Outlier</v>
      </c>
      <c r="Q1962" t="str">
        <f t="shared" si="242"/>
        <v>40-60%</v>
      </c>
      <c r="R1962" t="str">
        <f>IF(B1962="","Missing","OK")</f>
        <v>OK</v>
      </c>
      <c r="S1962" t="str">
        <f>IF(E1962="","Missing","OK")</f>
        <v>OK</v>
      </c>
      <c r="T1962" t="str">
        <f t="shared" si="243"/>
        <v>OK</v>
      </c>
      <c r="U1962">
        <f>COUNTIF($A:$A,A1962)</f>
        <v>1</v>
      </c>
      <c r="V1962" t="str">
        <f t="shared" si="244"/>
        <v>OK</v>
      </c>
      <c r="W1962" t="str">
        <f>IF(I1962&gt;B1962,"ERROR","OK")</f>
        <v>OK</v>
      </c>
      <c r="X1962">
        <f>(B1962-I1962)/B1962</f>
        <v>0.46981737158248293</v>
      </c>
      <c r="Y1962" s="2">
        <f t="shared" si="245"/>
        <v>9.4368957093138306E-16</v>
      </c>
      <c r="Z1962" s="2" t="str">
        <f t="shared" si="246"/>
        <v>OK</v>
      </c>
      <c r="AA1962" t="str">
        <f t="shared" si="247"/>
        <v>Unique</v>
      </c>
    </row>
    <row r="1963" spans="1:27" x14ac:dyDescent="0.3">
      <c r="A1963">
        <v>1962</v>
      </c>
      <c r="B1963">
        <v>630595.75709414098</v>
      </c>
      <c r="C1963">
        <v>0.58977235747003798</v>
      </c>
      <c r="D1963">
        <v>4.2105096543828102E-2</v>
      </c>
      <c r="E1963">
        <v>0.55460800166858404</v>
      </c>
      <c r="F1963">
        <v>1</v>
      </c>
      <c r="G1963" t="s">
        <v>11</v>
      </c>
      <c r="H1963">
        <v>0</v>
      </c>
      <c r="I1963">
        <v>349733.45270266902</v>
      </c>
      <c r="J1963">
        <v>0.44539199833141502</v>
      </c>
      <c r="K1963" t="str">
        <f t="shared" si="240"/>
        <v>OK</v>
      </c>
      <c r="L1963" t="str">
        <f t="shared" si="241"/>
        <v>OK</v>
      </c>
      <c r="M1963" t="str">
        <f>IF(OR(B1963&lt;$AE$20,B1963&gt;$AF$20),"Outlier","OK")</f>
        <v>OK</v>
      </c>
      <c r="N1963" t="str">
        <f>IF(OR(J1963&lt;$AE$21,J1963&gt;$AF$21),"Outlier","OK")</f>
        <v>OK</v>
      </c>
      <c r="O1963" t="str">
        <f>IF(OR(C1963&lt;0,C1963&gt;1),"Outlier","OK")</f>
        <v>OK</v>
      </c>
      <c r="P1963" t="str">
        <f>IF(OR(D1963&lt;0,D1963&gt;1),"Outlier","OK")</f>
        <v>OK</v>
      </c>
      <c r="Q1963" t="str">
        <f t="shared" si="242"/>
        <v>40-60%</v>
      </c>
      <c r="R1963" t="str">
        <f>IF(B1963="","Missing","OK")</f>
        <v>OK</v>
      </c>
      <c r="S1963" t="str">
        <f>IF(E1963="","Missing","OK")</f>
        <v>OK</v>
      </c>
      <c r="T1963" t="str">
        <f t="shared" si="243"/>
        <v>OK</v>
      </c>
      <c r="U1963">
        <f>COUNTIF($A:$A,A1963)</f>
        <v>1</v>
      </c>
      <c r="V1963" t="str">
        <f t="shared" si="244"/>
        <v>OK</v>
      </c>
      <c r="W1963" t="str">
        <f>IF(I1963&gt;B1963,"ERROR","OK")</f>
        <v>OK</v>
      </c>
      <c r="X1963">
        <f>(B1963-I1963)/B1963</f>
        <v>0.44539199833141652</v>
      </c>
      <c r="Y1963" s="2">
        <f t="shared" si="245"/>
        <v>1.4988010832439613E-15</v>
      </c>
      <c r="Z1963" s="2" t="str">
        <f t="shared" si="246"/>
        <v>OK</v>
      </c>
      <c r="AA1963" t="str">
        <f t="shared" si="247"/>
        <v>Unique</v>
      </c>
    </row>
    <row r="1964" spans="1:27" x14ac:dyDescent="0.3">
      <c r="A1964">
        <v>1963</v>
      </c>
      <c r="B1964">
        <v>1160929.6037338299</v>
      </c>
      <c r="C1964">
        <v>0.88129264485041703</v>
      </c>
      <c r="D1964">
        <v>-0.14001108689962999</v>
      </c>
      <c r="E1964">
        <v>0.29327125323481001</v>
      </c>
      <c r="F1964">
        <v>1</v>
      </c>
      <c r="G1964" t="s">
        <v>10</v>
      </c>
      <c r="H1964">
        <v>1</v>
      </c>
      <c r="I1964">
        <v>340467.27980441402</v>
      </c>
      <c r="J1964">
        <v>0.70672874676518904</v>
      </c>
      <c r="K1964" t="str">
        <f t="shared" si="240"/>
        <v>OK</v>
      </c>
      <c r="L1964" t="str">
        <f t="shared" si="241"/>
        <v>OK</v>
      </c>
      <c r="M1964" t="str">
        <f>IF(OR(B1964&lt;$AE$20,B1964&gt;$AF$20),"Outlier","OK")</f>
        <v>OK</v>
      </c>
      <c r="N1964" t="str">
        <f>IF(OR(J1964&lt;$AE$21,J1964&gt;$AF$21),"Outlier","OK")</f>
        <v>OK</v>
      </c>
      <c r="O1964" t="str">
        <f>IF(OR(C1964&lt;0,C1964&gt;1),"Outlier","OK")</f>
        <v>OK</v>
      </c>
      <c r="P1964" t="str">
        <f>IF(OR(D1964&lt;0,D1964&gt;1),"Outlier","OK")</f>
        <v>Outlier</v>
      </c>
      <c r="Q1964" t="str">
        <f t="shared" si="242"/>
        <v>60-80%</v>
      </c>
      <c r="R1964" t="str">
        <f>IF(B1964="","Missing","OK")</f>
        <v>OK</v>
      </c>
      <c r="S1964" t="str">
        <f>IF(E1964="","Missing","OK")</f>
        <v>OK</v>
      </c>
      <c r="T1964" t="str">
        <f t="shared" si="243"/>
        <v>OK</v>
      </c>
      <c r="U1964">
        <f>COUNTIF($A:$A,A1964)</f>
        <v>1</v>
      </c>
      <c r="V1964" t="str">
        <f t="shared" si="244"/>
        <v>OK</v>
      </c>
      <c r="W1964" t="str">
        <f>IF(I1964&gt;B1964,"ERROR","OK")</f>
        <v>OK</v>
      </c>
      <c r="X1964">
        <f>(B1964-I1964)/B1964</f>
        <v>0.70672874676518793</v>
      </c>
      <c r="Y1964" s="2">
        <f t="shared" si="245"/>
        <v>1.1102230246251565E-15</v>
      </c>
      <c r="Z1964" s="2" t="str">
        <f t="shared" si="246"/>
        <v>OK</v>
      </c>
      <c r="AA1964" t="str">
        <f t="shared" si="247"/>
        <v>Unique</v>
      </c>
    </row>
    <row r="1965" spans="1:27" x14ac:dyDescent="0.3">
      <c r="A1965">
        <v>1964</v>
      </c>
      <c r="B1965">
        <v>485118.60933463299</v>
      </c>
      <c r="C1965">
        <v>0.34654744610715399</v>
      </c>
      <c r="D1965">
        <v>-3.0718116059303201E-2</v>
      </c>
      <c r="E1965">
        <v>0.35287740388906302</v>
      </c>
      <c r="F1965">
        <v>1</v>
      </c>
      <c r="G1965" t="s">
        <v>10</v>
      </c>
      <c r="H1965">
        <v>0</v>
      </c>
      <c r="I1965">
        <v>171187.39544027799</v>
      </c>
      <c r="J1965">
        <v>0.64712259611093603</v>
      </c>
      <c r="K1965" t="str">
        <f t="shared" si="240"/>
        <v>OK</v>
      </c>
      <c r="L1965" t="str">
        <f t="shared" si="241"/>
        <v>OK</v>
      </c>
      <c r="M1965" t="str">
        <f>IF(OR(B1965&lt;$AE$20,B1965&gt;$AF$20),"Outlier","OK")</f>
        <v>OK</v>
      </c>
      <c r="N1965" t="str">
        <f>IF(OR(J1965&lt;$AE$21,J1965&gt;$AF$21),"Outlier","OK")</f>
        <v>OK</v>
      </c>
      <c r="O1965" t="str">
        <f>IF(OR(C1965&lt;0,C1965&gt;1),"Outlier","OK")</f>
        <v>OK</v>
      </c>
      <c r="P1965" t="str">
        <f>IF(OR(D1965&lt;0,D1965&gt;1),"Outlier","OK")</f>
        <v>Outlier</v>
      </c>
      <c r="Q1965" t="str">
        <f t="shared" si="242"/>
        <v>60-80%</v>
      </c>
      <c r="R1965" t="str">
        <f>IF(B1965="","Missing","OK")</f>
        <v>OK</v>
      </c>
      <c r="S1965" t="str">
        <f>IF(E1965="","Missing","OK")</f>
        <v>OK</v>
      </c>
      <c r="T1965" t="str">
        <f t="shared" si="243"/>
        <v>OK</v>
      </c>
      <c r="U1965">
        <f>COUNTIF($A:$A,A1965)</f>
        <v>1</v>
      </c>
      <c r="V1965" t="str">
        <f t="shared" si="244"/>
        <v>OK</v>
      </c>
      <c r="W1965" t="str">
        <f>IF(I1965&gt;B1965,"ERROR","OK")</f>
        <v>OK</v>
      </c>
      <c r="X1965">
        <f>(B1965-I1965)/B1965</f>
        <v>0.6471225961109367</v>
      </c>
      <c r="Y1965" s="2">
        <f t="shared" si="245"/>
        <v>6.6613381477509392E-16</v>
      </c>
      <c r="Z1965" s="2" t="str">
        <f t="shared" si="246"/>
        <v>OK</v>
      </c>
      <c r="AA1965" t="str">
        <f t="shared" si="247"/>
        <v>Unique</v>
      </c>
    </row>
    <row r="1966" spans="1:27" x14ac:dyDescent="0.3">
      <c r="A1966">
        <v>1965</v>
      </c>
      <c r="B1966">
        <v>486218.50476678298</v>
      </c>
      <c r="C1966">
        <v>0.21473610156197201</v>
      </c>
      <c r="D1966">
        <v>0.17063332548858201</v>
      </c>
      <c r="E1966">
        <v>0.14677769576869301</v>
      </c>
      <c r="F1966">
        <v>1</v>
      </c>
      <c r="G1966" t="s">
        <v>13</v>
      </c>
      <c r="H1966">
        <v>0</v>
      </c>
      <c r="I1966">
        <v>71366.031769768102</v>
      </c>
      <c r="J1966">
        <v>0.85322230423130596</v>
      </c>
      <c r="K1966" t="str">
        <f t="shared" si="240"/>
        <v>OK</v>
      </c>
      <c r="L1966" t="str">
        <f t="shared" si="241"/>
        <v>OK</v>
      </c>
      <c r="M1966" t="str">
        <f>IF(OR(B1966&lt;$AE$20,B1966&gt;$AF$20),"Outlier","OK")</f>
        <v>OK</v>
      </c>
      <c r="N1966" t="str">
        <f>IF(OR(J1966&lt;$AE$21,J1966&gt;$AF$21),"Outlier","OK")</f>
        <v>OK</v>
      </c>
      <c r="O1966" t="str">
        <f>IF(OR(C1966&lt;0,C1966&gt;1),"Outlier","OK")</f>
        <v>OK</v>
      </c>
      <c r="P1966" t="str">
        <f>IF(OR(D1966&lt;0,D1966&gt;1),"Outlier","OK")</f>
        <v>OK</v>
      </c>
      <c r="Q1966" t="str">
        <f t="shared" si="242"/>
        <v>80-100%</v>
      </c>
      <c r="R1966" t="str">
        <f>IF(B1966="","Missing","OK")</f>
        <v>OK</v>
      </c>
      <c r="S1966" t="str">
        <f>IF(E1966="","Missing","OK")</f>
        <v>OK</v>
      </c>
      <c r="T1966" t="str">
        <f t="shared" si="243"/>
        <v>OK</v>
      </c>
      <c r="U1966">
        <f>COUNTIF($A:$A,A1966)</f>
        <v>1</v>
      </c>
      <c r="V1966" t="str">
        <f t="shared" si="244"/>
        <v>OK</v>
      </c>
      <c r="W1966" t="str">
        <f>IF(I1966&gt;B1966,"ERROR","OK")</f>
        <v>OK</v>
      </c>
      <c r="X1966">
        <f>(B1966-I1966)/B1966</f>
        <v>0.85322230423130618</v>
      </c>
      <c r="Y1966" s="2">
        <f t="shared" si="245"/>
        <v>2.2204460492503131E-16</v>
      </c>
      <c r="Z1966" s="2" t="str">
        <f t="shared" si="246"/>
        <v>OK</v>
      </c>
      <c r="AA1966" t="str">
        <f t="shared" si="247"/>
        <v>Unique</v>
      </c>
    </row>
    <row r="1967" spans="1:27" x14ac:dyDescent="0.3">
      <c r="A1967">
        <v>1966</v>
      </c>
      <c r="B1967">
        <v>684054.18181973195</v>
      </c>
      <c r="C1967">
        <v>0.75919764784595301</v>
      </c>
      <c r="D1967">
        <v>-0.10949720404706</v>
      </c>
      <c r="E1967">
        <v>0.187289573591644</v>
      </c>
      <c r="F1967">
        <v>1</v>
      </c>
      <c r="G1967" t="s">
        <v>12</v>
      </c>
      <c r="H1967">
        <v>0</v>
      </c>
      <c r="I1967">
        <v>128116.216026599</v>
      </c>
      <c r="J1967">
        <v>0.812710426408355</v>
      </c>
      <c r="K1967" t="str">
        <f t="shared" si="240"/>
        <v>OK</v>
      </c>
      <c r="L1967" t="str">
        <f t="shared" si="241"/>
        <v>OK</v>
      </c>
      <c r="M1967" t="str">
        <f>IF(OR(B1967&lt;$AE$20,B1967&gt;$AF$20),"Outlier","OK")</f>
        <v>OK</v>
      </c>
      <c r="N1967" t="str">
        <f>IF(OR(J1967&lt;$AE$21,J1967&gt;$AF$21),"Outlier","OK")</f>
        <v>OK</v>
      </c>
      <c r="O1967" t="str">
        <f>IF(OR(C1967&lt;0,C1967&gt;1),"Outlier","OK")</f>
        <v>OK</v>
      </c>
      <c r="P1967" t="str">
        <f>IF(OR(D1967&lt;0,D1967&gt;1),"Outlier","OK")</f>
        <v>Outlier</v>
      </c>
      <c r="Q1967" t="str">
        <f t="shared" si="242"/>
        <v>80-100%</v>
      </c>
      <c r="R1967" t="str">
        <f>IF(B1967="","Missing","OK")</f>
        <v>OK</v>
      </c>
      <c r="S1967" t="str">
        <f>IF(E1967="","Missing","OK")</f>
        <v>OK</v>
      </c>
      <c r="T1967" t="str">
        <f t="shared" si="243"/>
        <v>OK</v>
      </c>
      <c r="U1967">
        <f>COUNTIF($A:$A,A1967)</f>
        <v>1</v>
      </c>
      <c r="V1967" t="str">
        <f t="shared" si="244"/>
        <v>OK</v>
      </c>
      <c r="W1967" t="str">
        <f>IF(I1967&gt;B1967,"ERROR","OK")</f>
        <v>OK</v>
      </c>
      <c r="X1967">
        <f>(B1967-I1967)/B1967</f>
        <v>0.81271042640835534</v>
      </c>
      <c r="Y1967" s="2">
        <f t="shared" si="245"/>
        <v>3.3306690738754696E-16</v>
      </c>
      <c r="Z1967" s="2" t="str">
        <f t="shared" si="246"/>
        <v>OK</v>
      </c>
      <c r="AA1967" t="str">
        <f t="shared" si="247"/>
        <v>Unique</v>
      </c>
    </row>
    <row r="1968" spans="1:27" x14ac:dyDescent="0.3">
      <c r="A1968">
        <v>1967</v>
      </c>
      <c r="B1968">
        <v>387982.761239163</v>
      </c>
      <c r="C1968">
        <v>0.78891415723291702</v>
      </c>
      <c r="D1968">
        <v>0.19815386030561999</v>
      </c>
      <c r="E1968">
        <v>0.30979473127098101</v>
      </c>
      <c r="F1968">
        <v>1</v>
      </c>
      <c r="G1968" t="s">
        <v>12</v>
      </c>
      <c r="H1968">
        <v>0</v>
      </c>
      <c r="I1968">
        <v>120195.01525585999</v>
      </c>
      <c r="J1968">
        <v>0.690205268729018</v>
      </c>
      <c r="K1968" t="str">
        <f t="shared" si="240"/>
        <v>OK</v>
      </c>
      <c r="L1968" t="str">
        <f t="shared" si="241"/>
        <v>OK</v>
      </c>
      <c r="M1968" t="str">
        <f>IF(OR(B1968&lt;$AE$20,B1968&gt;$AF$20),"Outlier","OK")</f>
        <v>OK</v>
      </c>
      <c r="N1968" t="str">
        <f>IF(OR(J1968&lt;$AE$21,J1968&gt;$AF$21),"Outlier","OK")</f>
        <v>OK</v>
      </c>
      <c r="O1968" t="str">
        <f>IF(OR(C1968&lt;0,C1968&gt;1),"Outlier","OK")</f>
        <v>OK</v>
      </c>
      <c r="P1968" t="str">
        <f>IF(OR(D1968&lt;0,D1968&gt;1),"Outlier","OK")</f>
        <v>OK</v>
      </c>
      <c r="Q1968" t="str">
        <f t="shared" si="242"/>
        <v>60-80%</v>
      </c>
      <c r="R1968" t="str">
        <f>IF(B1968="","Missing","OK")</f>
        <v>OK</v>
      </c>
      <c r="S1968" t="str">
        <f>IF(E1968="","Missing","OK")</f>
        <v>OK</v>
      </c>
      <c r="T1968" t="str">
        <f t="shared" si="243"/>
        <v>OK</v>
      </c>
      <c r="U1968">
        <f>COUNTIF($A:$A,A1968)</f>
        <v>1</v>
      </c>
      <c r="V1968" t="str">
        <f t="shared" si="244"/>
        <v>OK</v>
      </c>
      <c r="W1968" t="str">
        <f>IF(I1968&gt;B1968,"ERROR","OK")</f>
        <v>OK</v>
      </c>
      <c r="X1968">
        <f>(B1968-I1968)/B1968</f>
        <v>0.69020526872901822</v>
      </c>
      <c r="Y1968" s="2">
        <f t="shared" si="245"/>
        <v>2.2204460492503131E-16</v>
      </c>
      <c r="Z1968" s="2" t="str">
        <f t="shared" si="246"/>
        <v>OK</v>
      </c>
      <c r="AA1968" t="str">
        <f t="shared" si="247"/>
        <v>Unique</v>
      </c>
    </row>
    <row r="1969" spans="1:27" x14ac:dyDescent="0.3">
      <c r="A1969">
        <v>1968</v>
      </c>
      <c r="B1969">
        <v>833920.98420835997</v>
      </c>
      <c r="C1969">
        <v>0.242493964977472</v>
      </c>
      <c r="D1969">
        <v>-0.18973740445214099</v>
      </c>
      <c r="E1969">
        <v>6.33244294712033E-2</v>
      </c>
      <c r="F1969">
        <v>1</v>
      </c>
      <c r="G1969" t="s">
        <v>10</v>
      </c>
      <c r="H1969">
        <v>1</v>
      </c>
      <c r="I1969">
        <v>52807.570549058801</v>
      </c>
      <c r="J1969">
        <v>0.93667557052879602</v>
      </c>
      <c r="K1969" t="str">
        <f t="shared" si="240"/>
        <v>OK</v>
      </c>
      <c r="L1969" t="str">
        <f t="shared" si="241"/>
        <v>OK</v>
      </c>
      <c r="M1969" t="str">
        <f>IF(OR(B1969&lt;$AE$20,B1969&gt;$AF$20),"Outlier","OK")</f>
        <v>OK</v>
      </c>
      <c r="N1969" t="str">
        <f>IF(OR(J1969&lt;$AE$21,J1969&gt;$AF$21),"Outlier","OK")</f>
        <v>OK</v>
      </c>
      <c r="O1969" t="str">
        <f>IF(OR(C1969&lt;0,C1969&gt;1),"Outlier","OK")</f>
        <v>OK</v>
      </c>
      <c r="P1969" t="str">
        <f>IF(OR(D1969&lt;0,D1969&gt;1),"Outlier","OK")</f>
        <v>Outlier</v>
      </c>
      <c r="Q1969" t="str">
        <f t="shared" si="242"/>
        <v>80-100%</v>
      </c>
      <c r="R1969" t="str">
        <f>IF(B1969="","Missing","OK")</f>
        <v>OK</v>
      </c>
      <c r="S1969" t="str">
        <f>IF(E1969="","Missing","OK")</f>
        <v>OK</v>
      </c>
      <c r="T1969" t="str">
        <f t="shared" si="243"/>
        <v>OK</v>
      </c>
      <c r="U1969">
        <f>COUNTIF($A:$A,A1969)</f>
        <v>1</v>
      </c>
      <c r="V1969" t="str">
        <f t="shared" si="244"/>
        <v>OK</v>
      </c>
      <c r="W1969" t="str">
        <f>IF(I1969&gt;B1969,"ERROR","OK")</f>
        <v>OK</v>
      </c>
      <c r="X1969">
        <f>(B1969-I1969)/B1969</f>
        <v>0.93667557052879657</v>
      </c>
      <c r="Y1969" s="2">
        <f t="shared" si="245"/>
        <v>5.5511151231257827E-16</v>
      </c>
      <c r="Z1969" s="2" t="str">
        <f t="shared" si="246"/>
        <v>OK</v>
      </c>
      <c r="AA1969" t="str">
        <f t="shared" si="247"/>
        <v>Unique</v>
      </c>
    </row>
    <row r="1970" spans="1:27" x14ac:dyDescent="0.3">
      <c r="A1970">
        <v>1969</v>
      </c>
      <c r="B1970">
        <v>1656833.54168273</v>
      </c>
      <c r="C1970">
        <v>0.31235187854950303</v>
      </c>
      <c r="D1970">
        <v>-4.9068647633391103E-2</v>
      </c>
      <c r="E1970">
        <v>0.405466983542419</v>
      </c>
      <c r="F1970">
        <v>1</v>
      </c>
      <c r="G1970" t="s">
        <v>13</v>
      </c>
      <c r="H1970">
        <v>1</v>
      </c>
      <c r="I1970">
        <v>671791.29837800097</v>
      </c>
      <c r="J1970">
        <v>0.59453301645758005</v>
      </c>
      <c r="K1970" t="str">
        <f t="shared" si="240"/>
        <v>OK</v>
      </c>
      <c r="L1970" t="str">
        <f t="shared" si="241"/>
        <v>OK</v>
      </c>
      <c r="M1970" t="str">
        <f>IF(OR(B1970&lt;$AE$20,B1970&gt;$AF$20),"Outlier","OK")</f>
        <v>OK</v>
      </c>
      <c r="N1970" t="str">
        <f>IF(OR(J1970&lt;$AE$21,J1970&gt;$AF$21),"Outlier","OK")</f>
        <v>OK</v>
      </c>
      <c r="O1970" t="str">
        <f>IF(OR(C1970&lt;0,C1970&gt;1),"Outlier","OK")</f>
        <v>OK</v>
      </c>
      <c r="P1970" t="str">
        <f>IF(OR(D1970&lt;0,D1970&gt;1),"Outlier","OK")</f>
        <v>Outlier</v>
      </c>
      <c r="Q1970" t="str">
        <f t="shared" si="242"/>
        <v>40-60%</v>
      </c>
      <c r="R1970" t="str">
        <f>IF(B1970="","Missing","OK")</f>
        <v>OK</v>
      </c>
      <c r="S1970" t="str">
        <f>IF(E1970="","Missing","OK")</f>
        <v>OK</v>
      </c>
      <c r="T1970" t="str">
        <f t="shared" si="243"/>
        <v>OK</v>
      </c>
      <c r="U1970">
        <f>COUNTIF($A:$A,A1970)</f>
        <v>1</v>
      </c>
      <c r="V1970" t="str">
        <f t="shared" si="244"/>
        <v>OK</v>
      </c>
      <c r="W1970" t="str">
        <f>IF(I1970&gt;B1970,"ERROR","OK")</f>
        <v>OK</v>
      </c>
      <c r="X1970">
        <f>(B1970-I1970)/B1970</f>
        <v>0.59453301645757994</v>
      </c>
      <c r="Y1970" s="2">
        <f t="shared" si="245"/>
        <v>1.1102230246251565E-16</v>
      </c>
      <c r="Z1970" s="2" t="str">
        <f t="shared" si="246"/>
        <v>OK</v>
      </c>
      <c r="AA1970" t="str">
        <f t="shared" si="247"/>
        <v>Unique</v>
      </c>
    </row>
    <row r="1971" spans="1:27" x14ac:dyDescent="0.3">
      <c r="A1971">
        <v>1970</v>
      </c>
      <c r="B1971">
        <v>1711408.5491639699</v>
      </c>
      <c r="C1971">
        <v>0.63518794830159997</v>
      </c>
      <c r="D1971">
        <v>5.2399766455016997E-2</v>
      </c>
      <c r="E1971">
        <v>0.38706275513923599</v>
      </c>
      <c r="F1971">
        <v>1</v>
      </c>
      <c r="G1971" t="s">
        <v>13</v>
      </c>
      <c r="H1971">
        <v>0</v>
      </c>
      <c r="I1971">
        <v>662422.50820825004</v>
      </c>
      <c r="J1971">
        <v>0.61293724486076295</v>
      </c>
      <c r="K1971" t="str">
        <f t="shared" si="240"/>
        <v>OK</v>
      </c>
      <c r="L1971" t="str">
        <f t="shared" si="241"/>
        <v>OK</v>
      </c>
      <c r="M1971" t="str">
        <f>IF(OR(B1971&lt;$AE$20,B1971&gt;$AF$20),"Outlier","OK")</f>
        <v>OK</v>
      </c>
      <c r="N1971" t="str">
        <f>IF(OR(J1971&lt;$AE$21,J1971&gt;$AF$21),"Outlier","OK")</f>
        <v>OK</v>
      </c>
      <c r="O1971" t="str">
        <f>IF(OR(C1971&lt;0,C1971&gt;1),"Outlier","OK")</f>
        <v>OK</v>
      </c>
      <c r="P1971" t="str">
        <f>IF(OR(D1971&lt;0,D1971&gt;1),"Outlier","OK")</f>
        <v>OK</v>
      </c>
      <c r="Q1971" t="str">
        <f t="shared" si="242"/>
        <v>60-80%</v>
      </c>
      <c r="R1971" t="str">
        <f>IF(B1971="","Missing","OK")</f>
        <v>OK</v>
      </c>
      <c r="S1971" t="str">
        <f>IF(E1971="","Missing","OK")</f>
        <v>OK</v>
      </c>
      <c r="T1971" t="str">
        <f t="shared" si="243"/>
        <v>OK</v>
      </c>
      <c r="U1971">
        <f>COUNTIF($A:$A,A1971)</f>
        <v>1</v>
      </c>
      <c r="V1971" t="str">
        <f t="shared" si="244"/>
        <v>OK</v>
      </c>
      <c r="W1971" t="str">
        <f>IF(I1971&gt;B1971,"ERROR","OK")</f>
        <v>OK</v>
      </c>
      <c r="X1971">
        <f>(B1971-I1971)/B1971</f>
        <v>0.6129372448607634</v>
      </c>
      <c r="Y1971" s="2">
        <f t="shared" si="245"/>
        <v>4.4408920985006262E-16</v>
      </c>
      <c r="Z1971" s="2" t="str">
        <f t="shared" si="246"/>
        <v>OK</v>
      </c>
      <c r="AA1971" t="str">
        <f t="shared" si="247"/>
        <v>Unique</v>
      </c>
    </row>
    <row r="1972" spans="1:27" x14ac:dyDescent="0.3">
      <c r="A1972">
        <v>1971</v>
      </c>
      <c r="B1972">
        <v>261081.766176251</v>
      </c>
      <c r="C1972">
        <v>0.18124060932515601</v>
      </c>
      <c r="D1972">
        <v>-0.19490206122877099</v>
      </c>
      <c r="E1972">
        <v>0.25047299295015502</v>
      </c>
      <c r="F1972">
        <v>1</v>
      </c>
      <c r="G1972" t="s">
        <v>11</v>
      </c>
      <c r="H1972">
        <v>0</v>
      </c>
      <c r="I1972">
        <v>65393.931378878602</v>
      </c>
      <c r="J1972">
        <v>0.74952700704984399</v>
      </c>
      <c r="K1972" t="str">
        <f t="shared" si="240"/>
        <v>OK</v>
      </c>
      <c r="L1972" t="str">
        <f t="shared" si="241"/>
        <v>OK</v>
      </c>
      <c r="M1972" t="str">
        <f>IF(OR(B1972&lt;$AE$20,B1972&gt;$AF$20),"Outlier","OK")</f>
        <v>OK</v>
      </c>
      <c r="N1972" t="str">
        <f>IF(OR(J1972&lt;$AE$21,J1972&gt;$AF$21),"Outlier","OK")</f>
        <v>OK</v>
      </c>
      <c r="O1972" t="str">
        <f>IF(OR(C1972&lt;0,C1972&gt;1),"Outlier","OK")</f>
        <v>OK</v>
      </c>
      <c r="P1972" t="str">
        <f>IF(OR(D1972&lt;0,D1972&gt;1),"Outlier","OK")</f>
        <v>Outlier</v>
      </c>
      <c r="Q1972" t="str">
        <f t="shared" si="242"/>
        <v>60-80%</v>
      </c>
      <c r="R1972" t="str">
        <f>IF(B1972="","Missing","OK")</f>
        <v>OK</v>
      </c>
      <c r="S1972" t="str">
        <f>IF(E1972="","Missing","OK")</f>
        <v>OK</v>
      </c>
      <c r="T1972" t="str">
        <f t="shared" si="243"/>
        <v>OK</v>
      </c>
      <c r="U1972">
        <f>COUNTIF($A:$A,A1972)</f>
        <v>1</v>
      </c>
      <c r="V1972" t="str">
        <f t="shared" si="244"/>
        <v>OK</v>
      </c>
      <c r="W1972" t="str">
        <f>IF(I1972&gt;B1972,"ERROR","OK")</f>
        <v>OK</v>
      </c>
      <c r="X1972">
        <f>(B1972-I1972)/B1972</f>
        <v>0.74952700704984321</v>
      </c>
      <c r="Y1972" s="2">
        <f t="shared" si="245"/>
        <v>7.7715611723760958E-16</v>
      </c>
      <c r="Z1972" s="2" t="str">
        <f t="shared" si="246"/>
        <v>OK</v>
      </c>
      <c r="AA1972" t="str">
        <f t="shared" si="247"/>
        <v>Unique</v>
      </c>
    </row>
    <row r="1973" spans="1:27" x14ac:dyDescent="0.3">
      <c r="A1973">
        <v>1972</v>
      </c>
      <c r="B1973">
        <v>694923.77511235594</v>
      </c>
      <c r="C1973">
        <v>0.63954900767713097</v>
      </c>
      <c r="D1973">
        <v>8.3149490603529094E-2</v>
      </c>
      <c r="E1973">
        <v>0.229981924387543</v>
      </c>
      <c r="F1973">
        <v>1</v>
      </c>
      <c r="G1973" t="s">
        <v>11</v>
      </c>
      <c r="H1973">
        <v>0</v>
      </c>
      <c r="I1973">
        <v>159819.907102995</v>
      </c>
      <c r="J1973">
        <v>0.77001807561245705</v>
      </c>
      <c r="K1973" t="str">
        <f t="shared" si="240"/>
        <v>OK</v>
      </c>
      <c r="L1973" t="str">
        <f t="shared" si="241"/>
        <v>OK</v>
      </c>
      <c r="M1973" t="str">
        <f>IF(OR(B1973&lt;$AE$20,B1973&gt;$AF$20),"Outlier","OK")</f>
        <v>OK</v>
      </c>
      <c r="N1973" t="str">
        <f>IF(OR(J1973&lt;$AE$21,J1973&gt;$AF$21),"Outlier","OK")</f>
        <v>OK</v>
      </c>
      <c r="O1973" t="str">
        <f>IF(OR(C1973&lt;0,C1973&gt;1),"Outlier","OK")</f>
        <v>OK</v>
      </c>
      <c r="P1973" t="str">
        <f>IF(OR(D1973&lt;0,D1973&gt;1),"Outlier","OK")</f>
        <v>OK</v>
      </c>
      <c r="Q1973" t="str">
        <f t="shared" si="242"/>
        <v>60-80%</v>
      </c>
      <c r="R1973" t="str">
        <f>IF(B1973="","Missing","OK")</f>
        <v>OK</v>
      </c>
      <c r="S1973" t="str">
        <f>IF(E1973="","Missing","OK")</f>
        <v>OK</v>
      </c>
      <c r="T1973" t="str">
        <f t="shared" si="243"/>
        <v>OK</v>
      </c>
      <c r="U1973">
        <f>COUNTIF($A:$A,A1973)</f>
        <v>1</v>
      </c>
      <c r="V1973" t="str">
        <f t="shared" si="244"/>
        <v>OK</v>
      </c>
      <c r="W1973" t="str">
        <f>IF(I1973&gt;B1973,"ERROR","OK")</f>
        <v>OK</v>
      </c>
      <c r="X1973">
        <f>(B1973-I1973)/B1973</f>
        <v>0.77001807561245816</v>
      </c>
      <c r="Y1973" s="2">
        <f t="shared" si="245"/>
        <v>1.1102230246251565E-15</v>
      </c>
      <c r="Z1973" s="2" t="str">
        <f t="shared" si="246"/>
        <v>OK</v>
      </c>
      <c r="AA1973" t="str">
        <f t="shared" si="247"/>
        <v>Unique</v>
      </c>
    </row>
    <row r="1974" spans="1:27" x14ac:dyDescent="0.3">
      <c r="A1974">
        <v>1973</v>
      </c>
      <c r="B1974">
        <v>1245763.56596948</v>
      </c>
      <c r="C1974">
        <v>0.166948538013304</v>
      </c>
      <c r="D1974">
        <v>-3.07966823937833E-2</v>
      </c>
      <c r="E1974">
        <v>0.35001841998105099</v>
      </c>
      <c r="F1974">
        <v>1</v>
      </c>
      <c r="G1974" t="s">
        <v>12</v>
      </c>
      <c r="H1974">
        <v>0</v>
      </c>
      <c r="I1974">
        <v>436040.19503060001</v>
      </c>
      <c r="J1974">
        <v>0.64998158001894801</v>
      </c>
      <c r="K1974" t="str">
        <f t="shared" si="240"/>
        <v>OK</v>
      </c>
      <c r="L1974" t="str">
        <f t="shared" si="241"/>
        <v>OK</v>
      </c>
      <c r="M1974" t="str">
        <f>IF(OR(B1974&lt;$AE$20,B1974&gt;$AF$20),"Outlier","OK")</f>
        <v>OK</v>
      </c>
      <c r="N1974" t="str">
        <f>IF(OR(J1974&lt;$AE$21,J1974&gt;$AF$21),"Outlier","OK")</f>
        <v>OK</v>
      </c>
      <c r="O1974" t="str">
        <f>IF(OR(C1974&lt;0,C1974&gt;1),"Outlier","OK")</f>
        <v>OK</v>
      </c>
      <c r="P1974" t="str">
        <f>IF(OR(D1974&lt;0,D1974&gt;1),"Outlier","OK")</f>
        <v>Outlier</v>
      </c>
      <c r="Q1974" t="str">
        <f t="shared" si="242"/>
        <v>60-80%</v>
      </c>
      <c r="R1974" t="str">
        <f>IF(B1974="","Missing","OK")</f>
        <v>OK</v>
      </c>
      <c r="S1974" t="str">
        <f>IF(E1974="","Missing","OK")</f>
        <v>OK</v>
      </c>
      <c r="T1974" t="str">
        <f t="shared" si="243"/>
        <v>OK</v>
      </c>
      <c r="U1974">
        <f>COUNTIF($A:$A,A1974)</f>
        <v>1</v>
      </c>
      <c r="V1974" t="str">
        <f t="shared" si="244"/>
        <v>OK</v>
      </c>
      <c r="W1974" t="str">
        <f>IF(I1974&gt;B1974,"ERROR","OK")</f>
        <v>OK</v>
      </c>
      <c r="X1974">
        <f>(B1974-I1974)/B1974</f>
        <v>0.64998158001894668</v>
      </c>
      <c r="Y1974" s="2">
        <f t="shared" si="245"/>
        <v>1.3322676295501878E-15</v>
      </c>
      <c r="Z1974" s="2" t="str">
        <f t="shared" si="246"/>
        <v>OK</v>
      </c>
      <c r="AA1974" t="str">
        <f t="shared" si="247"/>
        <v>Unique</v>
      </c>
    </row>
    <row r="1975" spans="1:27" x14ac:dyDescent="0.3">
      <c r="A1975">
        <v>1974</v>
      </c>
      <c r="B1975">
        <v>492549.58611519297</v>
      </c>
      <c r="C1975">
        <v>0.67326808959678197</v>
      </c>
      <c r="D1975">
        <v>5.7647464337888601E-2</v>
      </c>
      <c r="E1975">
        <v>0.15462590305225701</v>
      </c>
      <c r="F1975">
        <v>1</v>
      </c>
      <c r="G1975" t="s">
        <v>13</v>
      </c>
      <c r="H1975">
        <v>1</v>
      </c>
      <c r="I1975">
        <v>76160.924551077405</v>
      </c>
      <c r="J1975">
        <v>0.84537409694774202</v>
      </c>
      <c r="K1975" t="str">
        <f t="shared" si="240"/>
        <v>OK</v>
      </c>
      <c r="L1975" t="str">
        <f t="shared" si="241"/>
        <v>OK</v>
      </c>
      <c r="M1975" t="str">
        <f>IF(OR(B1975&lt;$AE$20,B1975&gt;$AF$20),"Outlier","OK")</f>
        <v>OK</v>
      </c>
      <c r="N1975" t="str">
        <f>IF(OR(J1975&lt;$AE$21,J1975&gt;$AF$21),"Outlier","OK")</f>
        <v>OK</v>
      </c>
      <c r="O1975" t="str">
        <f>IF(OR(C1975&lt;0,C1975&gt;1),"Outlier","OK")</f>
        <v>OK</v>
      </c>
      <c r="P1975" t="str">
        <f>IF(OR(D1975&lt;0,D1975&gt;1),"Outlier","OK")</f>
        <v>OK</v>
      </c>
      <c r="Q1975" t="str">
        <f t="shared" si="242"/>
        <v>80-100%</v>
      </c>
      <c r="R1975" t="str">
        <f>IF(B1975="","Missing","OK")</f>
        <v>OK</v>
      </c>
      <c r="S1975" t="str">
        <f>IF(E1975="","Missing","OK")</f>
        <v>OK</v>
      </c>
      <c r="T1975" t="str">
        <f t="shared" si="243"/>
        <v>OK</v>
      </c>
      <c r="U1975">
        <f>COUNTIF($A:$A,A1975)</f>
        <v>1</v>
      </c>
      <c r="V1975" t="str">
        <f t="shared" si="244"/>
        <v>OK</v>
      </c>
      <c r="W1975" t="str">
        <f>IF(I1975&gt;B1975,"ERROR","OK")</f>
        <v>OK</v>
      </c>
      <c r="X1975">
        <f>(B1975-I1975)/B1975</f>
        <v>0.84537409694774246</v>
      </c>
      <c r="Y1975" s="2">
        <f t="shared" si="245"/>
        <v>4.4408920985006262E-16</v>
      </c>
      <c r="Z1975" s="2" t="str">
        <f t="shared" si="246"/>
        <v>OK</v>
      </c>
      <c r="AA1975" t="str">
        <f t="shared" si="247"/>
        <v>Unique</v>
      </c>
    </row>
    <row r="1976" spans="1:27" x14ac:dyDescent="0.3">
      <c r="A1976">
        <v>1975</v>
      </c>
      <c r="B1976">
        <v>1842979.9734298999</v>
      </c>
      <c r="C1976">
        <v>0.46561032588608697</v>
      </c>
      <c r="D1976">
        <v>0.164896254676658</v>
      </c>
      <c r="E1976">
        <v>0.118168085152296</v>
      </c>
      <c r="F1976">
        <v>1</v>
      </c>
      <c r="G1976" t="s">
        <v>10</v>
      </c>
      <c r="H1976">
        <v>1</v>
      </c>
      <c r="I1976">
        <v>217781.414434242</v>
      </c>
      <c r="J1976">
        <v>0.88183191484770296</v>
      </c>
      <c r="K1976" t="str">
        <f t="shared" si="240"/>
        <v>OK</v>
      </c>
      <c r="L1976" t="str">
        <f t="shared" si="241"/>
        <v>OK</v>
      </c>
      <c r="M1976" t="str">
        <f>IF(OR(B1976&lt;$AE$20,B1976&gt;$AF$20),"Outlier","OK")</f>
        <v>OK</v>
      </c>
      <c r="N1976" t="str">
        <f>IF(OR(J1976&lt;$AE$21,J1976&gt;$AF$21),"Outlier","OK")</f>
        <v>OK</v>
      </c>
      <c r="O1976" t="str">
        <f>IF(OR(C1976&lt;0,C1976&gt;1),"Outlier","OK")</f>
        <v>OK</v>
      </c>
      <c r="P1976" t="str">
        <f>IF(OR(D1976&lt;0,D1976&gt;1),"Outlier","OK")</f>
        <v>OK</v>
      </c>
      <c r="Q1976" t="str">
        <f t="shared" si="242"/>
        <v>80-100%</v>
      </c>
      <c r="R1976" t="str">
        <f>IF(B1976="","Missing","OK")</f>
        <v>OK</v>
      </c>
      <c r="S1976" t="str">
        <f>IF(E1976="","Missing","OK")</f>
        <v>OK</v>
      </c>
      <c r="T1976" t="str">
        <f t="shared" si="243"/>
        <v>OK</v>
      </c>
      <c r="U1976">
        <f>COUNTIF($A:$A,A1976)</f>
        <v>1</v>
      </c>
      <c r="V1976" t="str">
        <f t="shared" si="244"/>
        <v>OK</v>
      </c>
      <c r="W1976" t="str">
        <f>IF(I1976&gt;B1976,"ERROR","OK")</f>
        <v>OK</v>
      </c>
      <c r="X1976">
        <f>(B1976-I1976)/B1976</f>
        <v>0.88183191484770318</v>
      </c>
      <c r="Y1976" s="2">
        <f t="shared" si="245"/>
        <v>2.2204460492503131E-16</v>
      </c>
      <c r="Z1976" s="2" t="str">
        <f t="shared" si="246"/>
        <v>OK</v>
      </c>
      <c r="AA1976" t="str">
        <f t="shared" si="247"/>
        <v>Unique</v>
      </c>
    </row>
    <row r="1977" spans="1:27" x14ac:dyDescent="0.3">
      <c r="A1977">
        <v>1976</v>
      </c>
      <c r="B1977">
        <v>1427935.0715872699</v>
      </c>
      <c r="C1977">
        <v>0.74858744752404605</v>
      </c>
      <c r="D1977">
        <v>-2.8190509102420502E-2</v>
      </c>
      <c r="E1977">
        <v>0.22045465854745</v>
      </c>
      <c r="F1977">
        <v>1</v>
      </c>
      <c r="G1977" t="s">
        <v>12</v>
      </c>
      <c r="H1977">
        <v>0</v>
      </c>
      <c r="I1977">
        <v>314794.938634702</v>
      </c>
      <c r="J1977">
        <v>0.77954534145254895</v>
      </c>
      <c r="K1977" t="str">
        <f t="shared" si="240"/>
        <v>OK</v>
      </c>
      <c r="L1977" t="str">
        <f t="shared" si="241"/>
        <v>OK</v>
      </c>
      <c r="M1977" t="str">
        <f>IF(OR(B1977&lt;$AE$20,B1977&gt;$AF$20),"Outlier","OK")</f>
        <v>OK</v>
      </c>
      <c r="N1977" t="str">
        <f>IF(OR(J1977&lt;$AE$21,J1977&gt;$AF$21),"Outlier","OK")</f>
        <v>OK</v>
      </c>
      <c r="O1977" t="str">
        <f>IF(OR(C1977&lt;0,C1977&gt;1),"Outlier","OK")</f>
        <v>OK</v>
      </c>
      <c r="P1977" t="str">
        <f>IF(OR(D1977&lt;0,D1977&gt;1),"Outlier","OK")</f>
        <v>Outlier</v>
      </c>
      <c r="Q1977" t="str">
        <f t="shared" si="242"/>
        <v>60-80%</v>
      </c>
      <c r="R1977" t="str">
        <f>IF(B1977="","Missing","OK")</f>
        <v>OK</v>
      </c>
      <c r="S1977" t="str">
        <f>IF(E1977="","Missing","OK")</f>
        <v>OK</v>
      </c>
      <c r="T1977" t="str">
        <f t="shared" si="243"/>
        <v>OK</v>
      </c>
      <c r="U1977">
        <f>COUNTIF($A:$A,A1977)</f>
        <v>1</v>
      </c>
      <c r="V1977" t="str">
        <f t="shared" si="244"/>
        <v>OK</v>
      </c>
      <c r="W1977" t="str">
        <f>IF(I1977&gt;B1977,"ERROR","OK")</f>
        <v>OK</v>
      </c>
      <c r="X1977">
        <f>(B1977-I1977)/B1977</f>
        <v>0.77954534145254872</v>
      </c>
      <c r="Y1977" s="2">
        <f t="shared" si="245"/>
        <v>2.2204460492503131E-16</v>
      </c>
      <c r="Z1977" s="2" t="str">
        <f t="shared" si="246"/>
        <v>OK</v>
      </c>
      <c r="AA1977" t="str">
        <f t="shared" si="247"/>
        <v>Unique</v>
      </c>
    </row>
    <row r="1978" spans="1:27" x14ac:dyDescent="0.3">
      <c r="A1978">
        <v>1977</v>
      </c>
      <c r="B1978">
        <v>479565.38106450898</v>
      </c>
      <c r="C1978">
        <v>0.76723526374602402</v>
      </c>
      <c r="D1978">
        <v>6.6990899351102806E-2</v>
      </c>
      <c r="E1978">
        <v>3.1309873816264301E-2</v>
      </c>
      <c r="F1978">
        <v>1</v>
      </c>
      <c r="G1978" t="s">
        <v>11</v>
      </c>
      <c r="H1978">
        <v>0</v>
      </c>
      <c r="I1978">
        <v>15015.131567778501</v>
      </c>
      <c r="J1978">
        <v>0.96869012618373496</v>
      </c>
      <c r="K1978" t="str">
        <f t="shared" si="240"/>
        <v>OK</v>
      </c>
      <c r="L1978" t="str">
        <f t="shared" si="241"/>
        <v>OK</v>
      </c>
      <c r="M1978" t="str">
        <f>IF(OR(B1978&lt;$AE$20,B1978&gt;$AF$20),"Outlier","OK")</f>
        <v>OK</v>
      </c>
      <c r="N1978" t="str">
        <f>IF(OR(J1978&lt;$AE$21,J1978&gt;$AF$21),"Outlier","OK")</f>
        <v>Outlier</v>
      </c>
      <c r="O1978" t="str">
        <f>IF(OR(C1978&lt;0,C1978&gt;1),"Outlier","OK")</f>
        <v>OK</v>
      </c>
      <c r="P1978" t="str">
        <f>IF(OR(D1978&lt;0,D1978&gt;1),"Outlier","OK")</f>
        <v>OK</v>
      </c>
      <c r="Q1978" t="str">
        <f t="shared" si="242"/>
        <v>80-100%</v>
      </c>
      <c r="R1978" t="str">
        <f>IF(B1978="","Missing","OK")</f>
        <v>OK</v>
      </c>
      <c r="S1978" t="str">
        <f>IF(E1978="","Missing","OK")</f>
        <v>OK</v>
      </c>
      <c r="T1978" t="str">
        <f t="shared" si="243"/>
        <v>OK</v>
      </c>
      <c r="U1978">
        <f>COUNTIF($A:$A,A1978)</f>
        <v>1</v>
      </c>
      <c r="V1978" t="str">
        <f t="shared" si="244"/>
        <v>OK</v>
      </c>
      <c r="W1978" t="str">
        <f>IF(I1978&gt;B1978,"ERROR","OK")</f>
        <v>OK</v>
      </c>
      <c r="X1978">
        <f>(B1978-I1978)/B1978</f>
        <v>0.96869012618373573</v>
      </c>
      <c r="Y1978" s="2">
        <f t="shared" si="245"/>
        <v>7.7715611723760958E-16</v>
      </c>
      <c r="Z1978" s="2" t="str">
        <f t="shared" si="246"/>
        <v>OK</v>
      </c>
      <c r="AA1978" t="str">
        <f t="shared" si="247"/>
        <v>Unique</v>
      </c>
    </row>
    <row r="1979" spans="1:27" x14ac:dyDescent="0.3">
      <c r="A1979">
        <v>1978</v>
      </c>
      <c r="B1979">
        <v>258031.49519212201</v>
      </c>
      <c r="C1979">
        <v>0.82960329588171999</v>
      </c>
      <c r="D1979">
        <v>0.12239212564275601</v>
      </c>
      <c r="E1979">
        <v>0.54846112672920699</v>
      </c>
      <c r="F1979">
        <v>1</v>
      </c>
      <c r="G1979" t="s">
        <v>10</v>
      </c>
      <c r="H1979">
        <v>1</v>
      </c>
      <c r="I1979">
        <v>141520.24458469299</v>
      </c>
      <c r="J1979">
        <v>0.45153887327079201</v>
      </c>
      <c r="K1979" t="str">
        <f t="shared" si="240"/>
        <v>OK</v>
      </c>
      <c r="L1979" t="str">
        <f t="shared" si="241"/>
        <v>OK</v>
      </c>
      <c r="M1979" t="str">
        <f>IF(OR(B1979&lt;$AE$20,B1979&gt;$AF$20),"Outlier","OK")</f>
        <v>OK</v>
      </c>
      <c r="N1979" t="str">
        <f>IF(OR(J1979&lt;$AE$21,J1979&gt;$AF$21),"Outlier","OK")</f>
        <v>OK</v>
      </c>
      <c r="O1979" t="str">
        <f>IF(OR(C1979&lt;0,C1979&gt;1),"Outlier","OK")</f>
        <v>OK</v>
      </c>
      <c r="P1979" t="str">
        <f>IF(OR(D1979&lt;0,D1979&gt;1),"Outlier","OK")</f>
        <v>OK</v>
      </c>
      <c r="Q1979" t="str">
        <f t="shared" si="242"/>
        <v>40-60%</v>
      </c>
      <c r="R1979" t="str">
        <f>IF(B1979="","Missing","OK")</f>
        <v>OK</v>
      </c>
      <c r="S1979" t="str">
        <f>IF(E1979="","Missing","OK")</f>
        <v>OK</v>
      </c>
      <c r="T1979" t="str">
        <f t="shared" si="243"/>
        <v>OK</v>
      </c>
      <c r="U1979">
        <f>COUNTIF($A:$A,A1979)</f>
        <v>1</v>
      </c>
      <c r="V1979" t="str">
        <f t="shared" si="244"/>
        <v>OK</v>
      </c>
      <c r="W1979" t="str">
        <f>IF(I1979&gt;B1979,"ERROR","OK")</f>
        <v>OK</v>
      </c>
      <c r="X1979">
        <f>(B1979-I1979)/B1979</f>
        <v>0.45153887327079378</v>
      </c>
      <c r="Y1979" s="2">
        <f t="shared" si="245"/>
        <v>1.7763568394002505E-15</v>
      </c>
      <c r="Z1979" s="2" t="str">
        <f t="shared" si="246"/>
        <v>OK</v>
      </c>
      <c r="AA1979" t="str">
        <f t="shared" si="247"/>
        <v>Unique</v>
      </c>
    </row>
    <row r="1980" spans="1:27" x14ac:dyDescent="0.3">
      <c r="A1980">
        <v>1979</v>
      </c>
      <c r="B1980">
        <v>193862.92187658499</v>
      </c>
      <c r="C1980">
        <v>0.80937461771377595</v>
      </c>
      <c r="D1980">
        <v>-0.17354648960031499</v>
      </c>
      <c r="E1980">
        <v>0.24519997888335199</v>
      </c>
      <c r="F1980">
        <v>1</v>
      </c>
      <c r="G1980" t="s">
        <v>13</v>
      </c>
      <c r="H1980">
        <v>0</v>
      </c>
      <c r="I1980">
        <v>47535.184350403797</v>
      </c>
      <c r="J1980">
        <v>0.75480002111664701</v>
      </c>
      <c r="K1980" t="str">
        <f t="shared" si="240"/>
        <v>OK</v>
      </c>
      <c r="L1980" t="str">
        <f t="shared" si="241"/>
        <v>OK</v>
      </c>
      <c r="M1980" t="str">
        <f>IF(OR(B1980&lt;$AE$20,B1980&gt;$AF$20),"Outlier","OK")</f>
        <v>OK</v>
      </c>
      <c r="N1980" t="str">
        <f>IF(OR(J1980&lt;$AE$21,J1980&gt;$AF$21),"Outlier","OK")</f>
        <v>OK</v>
      </c>
      <c r="O1980" t="str">
        <f>IF(OR(C1980&lt;0,C1980&gt;1),"Outlier","OK")</f>
        <v>OK</v>
      </c>
      <c r="P1980" t="str">
        <f>IF(OR(D1980&lt;0,D1980&gt;1),"Outlier","OK")</f>
        <v>Outlier</v>
      </c>
      <c r="Q1980" t="str">
        <f t="shared" si="242"/>
        <v>60-80%</v>
      </c>
      <c r="R1980" t="str">
        <f>IF(B1980="","Missing","OK")</f>
        <v>OK</v>
      </c>
      <c r="S1980" t="str">
        <f>IF(E1980="","Missing","OK")</f>
        <v>OK</v>
      </c>
      <c r="T1980" t="str">
        <f t="shared" si="243"/>
        <v>OK</v>
      </c>
      <c r="U1980">
        <f>COUNTIF($A:$A,A1980)</f>
        <v>1</v>
      </c>
      <c r="V1980" t="str">
        <f t="shared" si="244"/>
        <v>OK</v>
      </c>
      <c r="W1980" t="str">
        <f>IF(I1980&gt;B1980,"ERROR","OK")</f>
        <v>OK</v>
      </c>
      <c r="X1980">
        <f>(B1980-I1980)/B1980</f>
        <v>0.7548000211166469</v>
      </c>
      <c r="Y1980" s="2">
        <f t="shared" si="245"/>
        <v>1.1102230246251565E-16</v>
      </c>
      <c r="Z1980" s="2" t="str">
        <f t="shared" si="246"/>
        <v>OK</v>
      </c>
      <c r="AA1980" t="str">
        <f t="shared" si="247"/>
        <v>Unique</v>
      </c>
    </row>
    <row r="1981" spans="1:27" x14ac:dyDescent="0.3">
      <c r="A1981">
        <v>1980</v>
      </c>
      <c r="B1981">
        <v>416549.45233457902</v>
      </c>
      <c r="C1981">
        <v>0.493787186440727</v>
      </c>
      <c r="D1981">
        <v>-0.19269299883766799</v>
      </c>
      <c r="E1981">
        <v>0.232479936432817</v>
      </c>
      <c r="F1981">
        <v>1</v>
      </c>
      <c r="G1981" t="s">
        <v>11</v>
      </c>
      <c r="H1981">
        <v>0</v>
      </c>
      <c r="I1981">
        <v>96839.390199867907</v>
      </c>
      <c r="J1981">
        <v>0.76752006356718205</v>
      </c>
      <c r="K1981" t="str">
        <f t="shared" si="240"/>
        <v>OK</v>
      </c>
      <c r="L1981" t="str">
        <f t="shared" si="241"/>
        <v>OK</v>
      </c>
      <c r="M1981" t="str">
        <f>IF(OR(B1981&lt;$AE$20,B1981&gt;$AF$20),"Outlier","OK")</f>
        <v>OK</v>
      </c>
      <c r="N1981" t="str">
        <f>IF(OR(J1981&lt;$AE$21,J1981&gt;$AF$21),"Outlier","OK")</f>
        <v>OK</v>
      </c>
      <c r="O1981" t="str">
        <f>IF(OR(C1981&lt;0,C1981&gt;1),"Outlier","OK")</f>
        <v>OK</v>
      </c>
      <c r="P1981" t="str">
        <f>IF(OR(D1981&lt;0,D1981&gt;1),"Outlier","OK")</f>
        <v>Outlier</v>
      </c>
      <c r="Q1981" t="str">
        <f t="shared" si="242"/>
        <v>60-80%</v>
      </c>
      <c r="R1981" t="str">
        <f>IF(B1981="","Missing","OK")</f>
        <v>OK</v>
      </c>
      <c r="S1981" t="str">
        <f>IF(E1981="","Missing","OK")</f>
        <v>OK</v>
      </c>
      <c r="T1981" t="str">
        <f t="shared" si="243"/>
        <v>OK</v>
      </c>
      <c r="U1981">
        <f>COUNTIF($A:$A,A1981)</f>
        <v>1</v>
      </c>
      <c r="V1981" t="str">
        <f t="shared" si="244"/>
        <v>OK</v>
      </c>
      <c r="W1981" t="str">
        <f>IF(I1981&gt;B1981,"ERROR","OK")</f>
        <v>OK</v>
      </c>
      <c r="X1981">
        <f>(B1981-I1981)/B1981</f>
        <v>0.7675200635671825</v>
      </c>
      <c r="Y1981" s="2">
        <f t="shared" si="245"/>
        <v>4.4408920985006262E-16</v>
      </c>
      <c r="Z1981" s="2" t="str">
        <f t="shared" si="246"/>
        <v>OK</v>
      </c>
      <c r="AA1981" t="str">
        <f t="shared" si="247"/>
        <v>Unique</v>
      </c>
    </row>
    <row r="1982" spans="1:27" x14ac:dyDescent="0.3">
      <c r="A1982">
        <v>1981</v>
      </c>
      <c r="B1982">
        <v>821318.36973885901</v>
      </c>
      <c r="C1982">
        <v>0.81780134722567999</v>
      </c>
      <c r="D1982">
        <v>-0.12638812531104901</v>
      </c>
      <c r="E1982">
        <v>0.66186146368358001</v>
      </c>
      <c r="F1982">
        <v>1</v>
      </c>
      <c r="G1982" t="s">
        <v>11</v>
      </c>
      <c r="H1982">
        <v>0</v>
      </c>
      <c r="I1982">
        <v>543598.97834557295</v>
      </c>
      <c r="J1982">
        <v>0.33813853631641899</v>
      </c>
      <c r="K1982" t="str">
        <f t="shared" si="240"/>
        <v>OK</v>
      </c>
      <c r="L1982" t="str">
        <f t="shared" si="241"/>
        <v>OK</v>
      </c>
      <c r="M1982" t="str">
        <f>IF(OR(B1982&lt;$AE$20,B1982&gt;$AF$20),"Outlier","OK")</f>
        <v>OK</v>
      </c>
      <c r="N1982" t="str">
        <f>IF(OR(J1982&lt;$AE$21,J1982&gt;$AF$21),"Outlier","OK")</f>
        <v>OK</v>
      </c>
      <c r="O1982" t="str">
        <f>IF(OR(C1982&lt;0,C1982&gt;1),"Outlier","OK")</f>
        <v>OK</v>
      </c>
      <c r="P1982" t="str">
        <f>IF(OR(D1982&lt;0,D1982&gt;1),"Outlier","OK")</f>
        <v>Outlier</v>
      </c>
      <c r="Q1982" t="str">
        <f t="shared" si="242"/>
        <v>20-40%</v>
      </c>
      <c r="R1982" t="str">
        <f>IF(B1982="","Missing","OK")</f>
        <v>OK</v>
      </c>
      <c r="S1982" t="str">
        <f>IF(E1982="","Missing","OK")</f>
        <v>OK</v>
      </c>
      <c r="T1982" t="str">
        <f t="shared" si="243"/>
        <v>OK</v>
      </c>
      <c r="U1982">
        <f>COUNTIF($A:$A,A1982)</f>
        <v>1</v>
      </c>
      <c r="V1982" t="str">
        <f t="shared" si="244"/>
        <v>OK</v>
      </c>
      <c r="W1982" t="str">
        <f>IF(I1982&gt;B1982,"ERROR","OK")</f>
        <v>OK</v>
      </c>
      <c r="X1982">
        <f>(B1982-I1982)/B1982</f>
        <v>0.33813853631641999</v>
      </c>
      <c r="Y1982" s="2">
        <f t="shared" si="245"/>
        <v>9.9920072216264089E-16</v>
      </c>
      <c r="Z1982" s="2" t="str">
        <f t="shared" si="246"/>
        <v>OK</v>
      </c>
      <c r="AA1982" t="str">
        <f t="shared" si="247"/>
        <v>Unique</v>
      </c>
    </row>
    <row r="1983" spans="1:27" x14ac:dyDescent="0.3">
      <c r="A1983">
        <v>1982</v>
      </c>
      <c r="B1983">
        <v>1514037.8601430999</v>
      </c>
      <c r="C1983">
        <v>0.32008173083482</v>
      </c>
      <c r="D1983">
        <v>-0.15666692052933701</v>
      </c>
      <c r="E1983">
        <v>0.127905052568346</v>
      </c>
      <c r="F1983">
        <v>1</v>
      </c>
      <c r="G1983" t="s">
        <v>13</v>
      </c>
      <c r="H1983">
        <v>1</v>
      </c>
      <c r="I1983">
        <v>193653.09209207099</v>
      </c>
      <c r="J1983">
        <v>0.87209494743165294</v>
      </c>
      <c r="K1983" t="str">
        <f t="shared" si="240"/>
        <v>OK</v>
      </c>
      <c r="L1983" t="str">
        <f t="shared" si="241"/>
        <v>OK</v>
      </c>
      <c r="M1983" t="str">
        <f>IF(OR(B1983&lt;$AE$20,B1983&gt;$AF$20),"Outlier","OK")</f>
        <v>OK</v>
      </c>
      <c r="N1983" t="str">
        <f>IF(OR(J1983&lt;$AE$21,J1983&gt;$AF$21),"Outlier","OK")</f>
        <v>OK</v>
      </c>
      <c r="O1983" t="str">
        <f>IF(OR(C1983&lt;0,C1983&gt;1),"Outlier","OK")</f>
        <v>OK</v>
      </c>
      <c r="P1983" t="str">
        <f>IF(OR(D1983&lt;0,D1983&gt;1),"Outlier","OK")</f>
        <v>Outlier</v>
      </c>
      <c r="Q1983" t="str">
        <f t="shared" si="242"/>
        <v>80-100%</v>
      </c>
      <c r="R1983" t="str">
        <f>IF(B1983="","Missing","OK")</f>
        <v>OK</v>
      </c>
      <c r="S1983" t="str">
        <f>IF(E1983="","Missing","OK")</f>
        <v>OK</v>
      </c>
      <c r="T1983" t="str">
        <f t="shared" si="243"/>
        <v>OK</v>
      </c>
      <c r="U1983">
        <f>COUNTIF($A:$A,A1983)</f>
        <v>1</v>
      </c>
      <c r="V1983" t="str">
        <f t="shared" si="244"/>
        <v>OK</v>
      </c>
      <c r="W1983" t="str">
        <f>IF(I1983&gt;B1983,"ERROR","OK")</f>
        <v>OK</v>
      </c>
      <c r="X1983">
        <f>(B1983-I1983)/B1983</f>
        <v>0.87209494743165294</v>
      </c>
      <c r="Y1983" s="2">
        <f t="shared" si="245"/>
        <v>0</v>
      </c>
      <c r="Z1983" s="2" t="str">
        <f t="shared" si="246"/>
        <v>OK</v>
      </c>
      <c r="AA1983" t="str">
        <f t="shared" si="247"/>
        <v>Unique</v>
      </c>
    </row>
    <row r="1984" spans="1:27" x14ac:dyDescent="0.3">
      <c r="A1984">
        <v>1983</v>
      </c>
      <c r="B1984">
        <v>324947.94890683598</v>
      </c>
      <c r="C1984">
        <v>0.85599371502094301</v>
      </c>
      <c r="D1984">
        <v>2.9045020315507201E-2</v>
      </c>
      <c r="E1984">
        <v>0.456517302900393</v>
      </c>
      <c r="F1984">
        <v>1</v>
      </c>
      <c r="G1984" t="s">
        <v>10</v>
      </c>
      <c r="H1984">
        <v>0</v>
      </c>
      <c r="I1984">
        <v>148344.361217964</v>
      </c>
      <c r="J1984">
        <v>0.54348269709960595</v>
      </c>
      <c r="K1984" t="str">
        <f t="shared" si="240"/>
        <v>OK</v>
      </c>
      <c r="L1984" t="str">
        <f t="shared" si="241"/>
        <v>OK</v>
      </c>
      <c r="M1984" t="str">
        <f>IF(OR(B1984&lt;$AE$20,B1984&gt;$AF$20),"Outlier","OK")</f>
        <v>OK</v>
      </c>
      <c r="N1984" t="str">
        <f>IF(OR(J1984&lt;$AE$21,J1984&gt;$AF$21),"Outlier","OK")</f>
        <v>OK</v>
      </c>
      <c r="O1984" t="str">
        <f>IF(OR(C1984&lt;0,C1984&gt;1),"Outlier","OK")</f>
        <v>OK</v>
      </c>
      <c r="P1984" t="str">
        <f>IF(OR(D1984&lt;0,D1984&gt;1),"Outlier","OK")</f>
        <v>OK</v>
      </c>
      <c r="Q1984" t="str">
        <f t="shared" si="242"/>
        <v>40-60%</v>
      </c>
      <c r="R1984" t="str">
        <f>IF(B1984="","Missing","OK")</f>
        <v>OK</v>
      </c>
      <c r="S1984" t="str">
        <f>IF(E1984="","Missing","OK")</f>
        <v>OK</v>
      </c>
      <c r="T1984" t="str">
        <f t="shared" si="243"/>
        <v>OK</v>
      </c>
      <c r="U1984">
        <f>COUNTIF($A:$A,A1984)</f>
        <v>1</v>
      </c>
      <c r="V1984" t="str">
        <f t="shared" si="244"/>
        <v>OK</v>
      </c>
      <c r="W1984" t="str">
        <f>IF(I1984&gt;B1984,"ERROR","OK")</f>
        <v>OK</v>
      </c>
      <c r="X1984">
        <f>(B1984-I1984)/B1984</f>
        <v>0.54348269709960539</v>
      </c>
      <c r="Y1984" s="2">
        <f t="shared" si="245"/>
        <v>5.5511151231257827E-16</v>
      </c>
      <c r="Z1984" s="2" t="str">
        <f t="shared" si="246"/>
        <v>OK</v>
      </c>
      <c r="AA1984" t="str">
        <f t="shared" si="247"/>
        <v>Unique</v>
      </c>
    </row>
    <row r="1985" spans="1:27" x14ac:dyDescent="0.3">
      <c r="A1985">
        <v>1984</v>
      </c>
      <c r="B1985">
        <v>121101.30765198301</v>
      </c>
      <c r="C1985">
        <v>0.59279656188062102</v>
      </c>
      <c r="D1985">
        <v>1.6305881010512599E-2</v>
      </c>
      <c r="E1985">
        <v>0.284346083739693</v>
      </c>
      <c r="F1985">
        <v>1</v>
      </c>
      <c r="G1985" t="s">
        <v>11</v>
      </c>
      <c r="H1985">
        <v>0</v>
      </c>
      <c r="I1985">
        <v>34434.682566597301</v>
      </c>
      <c r="J1985">
        <v>0.71565391626030705</v>
      </c>
      <c r="K1985" t="str">
        <f t="shared" si="240"/>
        <v>OK</v>
      </c>
      <c r="L1985" t="str">
        <f t="shared" si="241"/>
        <v>OK</v>
      </c>
      <c r="M1985" t="str">
        <f>IF(OR(B1985&lt;$AE$20,B1985&gt;$AF$20),"Outlier","OK")</f>
        <v>OK</v>
      </c>
      <c r="N1985" t="str">
        <f>IF(OR(J1985&lt;$AE$21,J1985&gt;$AF$21),"Outlier","OK")</f>
        <v>OK</v>
      </c>
      <c r="O1985" t="str">
        <f>IF(OR(C1985&lt;0,C1985&gt;1),"Outlier","OK")</f>
        <v>OK</v>
      </c>
      <c r="P1985" t="str">
        <f>IF(OR(D1985&lt;0,D1985&gt;1),"Outlier","OK")</f>
        <v>OK</v>
      </c>
      <c r="Q1985" t="str">
        <f t="shared" si="242"/>
        <v>60-80%</v>
      </c>
      <c r="R1985" t="str">
        <f>IF(B1985="","Missing","OK")</f>
        <v>OK</v>
      </c>
      <c r="S1985" t="str">
        <f>IF(E1985="","Missing","OK")</f>
        <v>OK</v>
      </c>
      <c r="T1985" t="str">
        <f t="shared" si="243"/>
        <v>OK</v>
      </c>
      <c r="U1985">
        <f>COUNTIF($A:$A,A1985)</f>
        <v>1</v>
      </c>
      <c r="V1985" t="str">
        <f t="shared" si="244"/>
        <v>OK</v>
      </c>
      <c r="W1985" t="str">
        <f>IF(I1985&gt;B1985,"ERROR","OK")</f>
        <v>OK</v>
      </c>
      <c r="X1985">
        <f>(B1985-I1985)/B1985</f>
        <v>0.71565391626030517</v>
      </c>
      <c r="Y1985" s="2">
        <f t="shared" si="245"/>
        <v>1.8873791418627661E-15</v>
      </c>
      <c r="Z1985" s="2" t="str">
        <f t="shared" si="246"/>
        <v>OK</v>
      </c>
      <c r="AA1985" t="str">
        <f t="shared" si="247"/>
        <v>Unique</v>
      </c>
    </row>
    <row r="1986" spans="1:27" x14ac:dyDescent="0.3">
      <c r="A1986">
        <v>1985</v>
      </c>
      <c r="B1986">
        <v>1788816.12100254</v>
      </c>
      <c r="C1986">
        <v>0.192705322755822</v>
      </c>
      <c r="D1986">
        <v>0.190406192800051</v>
      </c>
      <c r="E1986">
        <v>0.36244988671564399</v>
      </c>
      <c r="F1986">
        <v>1</v>
      </c>
      <c r="G1986" t="s">
        <v>11</v>
      </c>
      <c r="H1986">
        <v>1</v>
      </c>
      <c r="I1986">
        <v>648356.20041249297</v>
      </c>
      <c r="J1986">
        <v>0.63755011328435496</v>
      </c>
      <c r="K1986" t="str">
        <f t="shared" si="240"/>
        <v>OK</v>
      </c>
      <c r="L1986" t="str">
        <f t="shared" si="241"/>
        <v>OK</v>
      </c>
      <c r="M1986" t="str">
        <f>IF(OR(B1986&lt;$AE$20,B1986&gt;$AF$20),"Outlier","OK")</f>
        <v>OK</v>
      </c>
      <c r="N1986" t="str">
        <f>IF(OR(J1986&lt;$AE$21,J1986&gt;$AF$21),"Outlier","OK")</f>
        <v>OK</v>
      </c>
      <c r="O1986" t="str">
        <f>IF(OR(C1986&lt;0,C1986&gt;1),"Outlier","OK")</f>
        <v>OK</v>
      </c>
      <c r="P1986" t="str">
        <f>IF(OR(D1986&lt;0,D1986&gt;1),"Outlier","OK")</f>
        <v>OK</v>
      </c>
      <c r="Q1986" t="str">
        <f t="shared" si="242"/>
        <v>60-80%</v>
      </c>
      <c r="R1986" t="str">
        <f>IF(B1986="","Missing","OK")</f>
        <v>OK</v>
      </c>
      <c r="S1986" t="str">
        <f>IF(E1986="","Missing","OK")</f>
        <v>OK</v>
      </c>
      <c r="T1986" t="str">
        <f t="shared" si="243"/>
        <v>OK</v>
      </c>
      <c r="U1986">
        <f>COUNTIF($A:$A,A1986)</f>
        <v>1</v>
      </c>
      <c r="V1986" t="str">
        <f t="shared" si="244"/>
        <v>OK</v>
      </c>
      <c r="W1986" t="str">
        <f>IF(I1986&gt;B1986,"ERROR","OK")</f>
        <v>OK</v>
      </c>
      <c r="X1986">
        <f>(B1986-I1986)/B1986</f>
        <v>0.6375501132843534</v>
      </c>
      <c r="Y1986" s="2">
        <f t="shared" si="245"/>
        <v>1.5543122344752192E-15</v>
      </c>
      <c r="Z1986" s="2" t="str">
        <f t="shared" si="246"/>
        <v>OK</v>
      </c>
      <c r="AA1986" t="str">
        <f t="shared" si="247"/>
        <v>Unique</v>
      </c>
    </row>
    <row r="1987" spans="1:27" x14ac:dyDescent="0.3">
      <c r="A1987">
        <v>1986</v>
      </c>
      <c r="B1987">
        <v>703982.27435734204</v>
      </c>
      <c r="C1987">
        <v>0.84246242726285103</v>
      </c>
      <c r="D1987">
        <v>-0.154982517075585</v>
      </c>
      <c r="E1987">
        <v>4.8067650401406002E-2</v>
      </c>
      <c r="F1987">
        <v>1</v>
      </c>
      <c r="G1987" t="s">
        <v>13</v>
      </c>
      <c r="H1987">
        <v>0</v>
      </c>
      <c r="I1987">
        <v>33838.773852595397</v>
      </c>
      <c r="J1987">
        <v>0.95193234959859396</v>
      </c>
      <c r="K1987" t="str">
        <f t="shared" ref="K1987:K2001" si="248">IF(OR(J1987&lt;0,J1987&gt;1),"Error","OK")</f>
        <v>OK</v>
      </c>
      <c r="L1987" t="str">
        <f t="shared" ref="L1987:L2001" si="249">IF(I1987&gt;B1987,"Error","OK")</f>
        <v>OK</v>
      </c>
      <c r="M1987" t="str">
        <f>IF(OR(B1987&lt;$AE$20,B1987&gt;$AF$20),"Outlier","OK")</f>
        <v>OK</v>
      </c>
      <c r="N1987" t="str">
        <f>IF(OR(J1987&lt;$AE$21,J1987&gt;$AF$21),"Outlier","OK")</f>
        <v>OK</v>
      </c>
      <c r="O1987" t="str">
        <f>IF(OR(C1987&lt;0,C1987&gt;1),"Outlier","OK")</f>
        <v>OK</v>
      </c>
      <c r="P1987" t="str">
        <f>IF(OR(D1987&lt;0,D1987&gt;1),"Outlier","OK")</f>
        <v>Outlier</v>
      </c>
      <c r="Q1987" t="str">
        <f t="shared" ref="Q1987:Q2001" si="250">IF(J1987&lt;=0.2,"0-20%",
 IF(J1987&lt;=0.4,"20-40%",
 IF(J1987&lt;=0.6,"40-60%",
 IF(J1987&lt;=0.8,"60-80%","80-100%"))))</f>
        <v>80-100%</v>
      </c>
      <c r="R1987" t="str">
        <f>IF(B1987="","Missing","OK")</f>
        <v>OK</v>
      </c>
      <c r="S1987" t="str">
        <f>IF(E1987="","Missing","OK")</f>
        <v>OK</v>
      </c>
      <c r="T1987" t="str">
        <f t="shared" ref="T1987:T2001" si="251">IF(J1987="","Missing","OK")</f>
        <v>OK</v>
      </c>
      <c r="U1987">
        <f>COUNTIF($A:$A,A1987)</f>
        <v>1</v>
      </c>
      <c r="V1987" t="str">
        <f t="shared" ref="V1987:V2001" si="252">IF(OR(J1987&lt;0,J1987&gt;1),"ERROR","OK")</f>
        <v>OK</v>
      </c>
      <c r="W1987" t="str">
        <f>IF(I1987&gt;B1987,"ERROR","OK")</f>
        <v>OK</v>
      </c>
      <c r="X1987">
        <f>(B1987-I1987)/B1987</f>
        <v>0.95193234959859407</v>
      </c>
      <c r="Y1987" s="2">
        <f t="shared" ref="Y1987:Y2001" si="253">ABS(J1987-X1987)</f>
        <v>1.1102230246251565E-16</v>
      </c>
      <c r="Z1987" s="2" t="str">
        <f t="shared" ref="Z1987:Z2001" si="254">IF(OR(B1987="",I1987="",J1987=""),"Missing","OK")</f>
        <v>OK</v>
      </c>
      <c r="AA1987" t="str">
        <f t="shared" ref="AA1987:AA2001" si="255">IF(COUNTIF($A:$A,A1987)&gt;1,"Duplicate","Unique")</f>
        <v>Unique</v>
      </c>
    </row>
    <row r="1988" spans="1:27" x14ac:dyDescent="0.3">
      <c r="A1988">
        <v>1987</v>
      </c>
      <c r="B1988">
        <v>694205.12418105302</v>
      </c>
      <c r="C1988">
        <v>0.46697408415375402</v>
      </c>
      <c r="D1988">
        <v>-0.19281792171829301</v>
      </c>
      <c r="E1988">
        <v>7.1185648744505503E-2</v>
      </c>
      <c r="F1988">
        <v>1</v>
      </c>
      <c r="G1988" t="s">
        <v>11</v>
      </c>
      <c r="H1988">
        <v>0</v>
      </c>
      <c r="I1988">
        <v>49417.442126588299</v>
      </c>
      <c r="J1988">
        <v>0.92881435125549405</v>
      </c>
      <c r="K1988" t="str">
        <f t="shared" si="248"/>
        <v>OK</v>
      </c>
      <c r="L1988" t="str">
        <f t="shared" si="249"/>
        <v>OK</v>
      </c>
      <c r="M1988" t="str">
        <f>IF(OR(B1988&lt;$AE$20,B1988&gt;$AF$20),"Outlier","OK")</f>
        <v>OK</v>
      </c>
      <c r="N1988" t="str">
        <f>IF(OR(J1988&lt;$AE$21,J1988&gt;$AF$21),"Outlier","OK")</f>
        <v>OK</v>
      </c>
      <c r="O1988" t="str">
        <f>IF(OR(C1988&lt;0,C1988&gt;1),"Outlier","OK")</f>
        <v>OK</v>
      </c>
      <c r="P1988" t="str">
        <f>IF(OR(D1988&lt;0,D1988&gt;1),"Outlier","OK")</f>
        <v>Outlier</v>
      </c>
      <c r="Q1988" t="str">
        <f t="shared" si="250"/>
        <v>80-100%</v>
      </c>
      <c r="R1988" t="str">
        <f>IF(B1988="","Missing","OK")</f>
        <v>OK</v>
      </c>
      <c r="S1988" t="str">
        <f>IF(E1988="","Missing","OK")</f>
        <v>OK</v>
      </c>
      <c r="T1988" t="str">
        <f t="shared" si="251"/>
        <v>OK</v>
      </c>
      <c r="U1988">
        <f>COUNTIF($A:$A,A1988)</f>
        <v>1</v>
      </c>
      <c r="V1988" t="str">
        <f t="shared" si="252"/>
        <v>OK</v>
      </c>
      <c r="W1988" t="str">
        <f>IF(I1988&gt;B1988,"ERROR","OK")</f>
        <v>OK</v>
      </c>
      <c r="X1988">
        <f>(B1988-I1988)/B1988</f>
        <v>0.92881435125549439</v>
      </c>
      <c r="Y1988" s="2">
        <f t="shared" si="253"/>
        <v>3.3306690738754696E-16</v>
      </c>
      <c r="Z1988" s="2" t="str">
        <f t="shared" si="254"/>
        <v>OK</v>
      </c>
      <c r="AA1988" t="str">
        <f t="shared" si="255"/>
        <v>Unique</v>
      </c>
    </row>
    <row r="1989" spans="1:27" x14ac:dyDescent="0.3">
      <c r="A1989">
        <v>1988</v>
      </c>
      <c r="B1989">
        <v>1073959.4534752399</v>
      </c>
      <c r="C1989">
        <v>0.19939635994991001</v>
      </c>
      <c r="D1989">
        <v>-0.154866507223755</v>
      </c>
      <c r="E1989">
        <v>0.22174851596813899</v>
      </c>
      <c r="F1989">
        <v>1</v>
      </c>
      <c r="G1989" t="s">
        <v>10</v>
      </c>
      <c r="H1989">
        <v>0</v>
      </c>
      <c r="I1989">
        <v>238148.915018089</v>
      </c>
      <c r="J1989">
        <v>0.77825148403186095</v>
      </c>
      <c r="K1989" t="str">
        <f t="shared" si="248"/>
        <v>OK</v>
      </c>
      <c r="L1989" t="str">
        <f t="shared" si="249"/>
        <v>OK</v>
      </c>
      <c r="M1989" t="str">
        <f>IF(OR(B1989&lt;$AE$20,B1989&gt;$AF$20),"Outlier","OK")</f>
        <v>OK</v>
      </c>
      <c r="N1989" t="str">
        <f>IF(OR(J1989&lt;$AE$21,J1989&gt;$AF$21),"Outlier","OK")</f>
        <v>OK</v>
      </c>
      <c r="O1989" t="str">
        <f>IF(OR(C1989&lt;0,C1989&gt;1),"Outlier","OK")</f>
        <v>OK</v>
      </c>
      <c r="P1989" t="str">
        <f>IF(OR(D1989&lt;0,D1989&gt;1),"Outlier","OK")</f>
        <v>Outlier</v>
      </c>
      <c r="Q1989" t="str">
        <f t="shared" si="250"/>
        <v>60-80%</v>
      </c>
      <c r="R1989" t="str">
        <f>IF(B1989="","Missing","OK")</f>
        <v>OK</v>
      </c>
      <c r="S1989" t="str">
        <f>IF(E1989="","Missing","OK")</f>
        <v>OK</v>
      </c>
      <c r="T1989" t="str">
        <f t="shared" si="251"/>
        <v>OK</v>
      </c>
      <c r="U1989">
        <f>COUNTIF($A:$A,A1989)</f>
        <v>1</v>
      </c>
      <c r="V1989" t="str">
        <f t="shared" si="252"/>
        <v>OK</v>
      </c>
      <c r="W1989" t="str">
        <f>IF(I1989&gt;B1989,"ERROR","OK")</f>
        <v>OK</v>
      </c>
      <c r="X1989">
        <f>(B1989-I1989)/B1989</f>
        <v>0.77825148403186017</v>
      </c>
      <c r="Y1989" s="2">
        <f t="shared" si="253"/>
        <v>7.7715611723760958E-16</v>
      </c>
      <c r="Z1989" s="2" t="str">
        <f t="shared" si="254"/>
        <v>OK</v>
      </c>
      <c r="AA1989" t="str">
        <f t="shared" si="255"/>
        <v>Unique</v>
      </c>
    </row>
    <row r="1990" spans="1:27" x14ac:dyDescent="0.3">
      <c r="A1990">
        <v>1989</v>
      </c>
      <c r="B1990">
        <v>868667.97243415401</v>
      </c>
      <c r="C1990">
        <v>0.78193668007844497</v>
      </c>
      <c r="D1990">
        <v>-0.173084874122167</v>
      </c>
      <c r="E1990">
        <v>7.8235232637630603E-2</v>
      </c>
      <c r="F1990">
        <v>1</v>
      </c>
      <c r="G1990" t="s">
        <v>12</v>
      </c>
      <c r="H1990">
        <v>0</v>
      </c>
      <c r="I1990">
        <v>67960.440908244898</v>
      </c>
      <c r="J1990">
        <v>0.92176476736236901</v>
      </c>
      <c r="K1990" t="str">
        <f t="shared" si="248"/>
        <v>OK</v>
      </c>
      <c r="L1990" t="str">
        <f t="shared" si="249"/>
        <v>OK</v>
      </c>
      <c r="M1990" t="str">
        <f>IF(OR(B1990&lt;$AE$20,B1990&gt;$AF$20),"Outlier","OK")</f>
        <v>OK</v>
      </c>
      <c r="N1990" t="str">
        <f>IF(OR(J1990&lt;$AE$21,J1990&gt;$AF$21),"Outlier","OK")</f>
        <v>OK</v>
      </c>
      <c r="O1990" t="str">
        <f>IF(OR(C1990&lt;0,C1990&gt;1),"Outlier","OK")</f>
        <v>OK</v>
      </c>
      <c r="P1990" t="str">
        <f>IF(OR(D1990&lt;0,D1990&gt;1),"Outlier","OK")</f>
        <v>Outlier</v>
      </c>
      <c r="Q1990" t="str">
        <f t="shared" si="250"/>
        <v>80-100%</v>
      </c>
      <c r="R1990" t="str">
        <f>IF(B1990="","Missing","OK")</f>
        <v>OK</v>
      </c>
      <c r="S1990" t="str">
        <f>IF(E1990="","Missing","OK")</f>
        <v>OK</v>
      </c>
      <c r="T1990" t="str">
        <f t="shared" si="251"/>
        <v>OK</v>
      </c>
      <c r="U1990">
        <f>COUNTIF($A:$A,A1990)</f>
        <v>1</v>
      </c>
      <c r="V1990" t="str">
        <f t="shared" si="252"/>
        <v>OK</v>
      </c>
      <c r="W1990" t="str">
        <f>IF(I1990&gt;B1990,"ERROR","OK")</f>
        <v>OK</v>
      </c>
      <c r="X1990">
        <f>(B1990-I1990)/B1990</f>
        <v>0.92176476736236934</v>
      </c>
      <c r="Y1990" s="2">
        <f t="shared" si="253"/>
        <v>3.3306690738754696E-16</v>
      </c>
      <c r="Z1990" s="2" t="str">
        <f t="shared" si="254"/>
        <v>OK</v>
      </c>
      <c r="AA1990" t="str">
        <f t="shared" si="255"/>
        <v>Unique</v>
      </c>
    </row>
    <row r="1991" spans="1:27" x14ac:dyDescent="0.3">
      <c r="A1991">
        <v>1990</v>
      </c>
      <c r="B1991">
        <v>625698.74393061001</v>
      </c>
      <c r="C1991">
        <v>0.77241363220966897</v>
      </c>
      <c r="D1991">
        <v>5.8139854225932097E-2</v>
      </c>
      <c r="E1991">
        <v>0.126270570860501</v>
      </c>
      <c r="F1991">
        <v>1</v>
      </c>
      <c r="G1991" t="s">
        <v>13</v>
      </c>
      <c r="H1991">
        <v>1</v>
      </c>
      <c r="I1991">
        <v>79007.337582816603</v>
      </c>
      <c r="J1991">
        <v>0.87372942913949903</v>
      </c>
      <c r="K1991" t="str">
        <f t="shared" si="248"/>
        <v>OK</v>
      </c>
      <c r="L1991" t="str">
        <f t="shared" si="249"/>
        <v>OK</v>
      </c>
      <c r="M1991" t="str">
        <f>IF(OR(B1991&lt;$AE$20,B1991&gt;$AF$20),"Outlier","OK")</f>
        <v>OK</v>
      </c>
      <c r="N1991" t="str">
        <f>IF(OR(J1991&lt;$AE$21,J1991&gt;$AF$21),"Outlier","OK")</f>
        <v>OK</v>
      </c>
      <c r="O1991" t="str">
        <f>IF(OR(C1991&lt;0,C1991&gt;1),"Outlier","OK")</f>
        <v>OK</v>
      </c>
      <c r="P1991" t="str">
        <f>IF(OR(D1991&lt;0,D1991&gt;1),"Outlier","OK")</f>
        <v>OK</v>
      </c>
      <c r="Q1991" t="str">
        <f t="shared" si="250"/>
        <v>80-100%</v>
      </c>
      <c r="R1991" t="str">
        <f>IF(B1991="","Missing","OK")</f>
        <v>OK</v>
      </c>
      <c r="S1991" t="str">
        <f>IF(E1991="","Missing","OK")</f>
        <v>OK</v>
      </c>
      <c r="T1991" t="str">
        <f t="shared" si="251"/>
        <v>OK</v>
      </c>
      <c r="U1991">
        <f>COUNTIF($A:$A,A1991)</f>
        <v>1</v>
      </c>
      <c r="V1991" t="str">
        <f t="shared" si="252"/>
        <v>OK</v>
      </c>
      <c r="W1991" t="str">
        <f>IF(I1991&gt;B1991,"ERROR","OK")</f>
        <v>OK</v>
      </c>
      <c r="X1991">
        <f>(B1991-I1991)/B1991</f>
        <v>0.87372942913949891</v>
      </c>
      <c r="Y1991" s="2">
        <f t="shared" si="253"/>
        <v>1.1102230246251565E-16</v>
      </c>
      <c r="Z1991" s="2" t="str">
        <f t="shared" si="254"/>
        <v>OK</v>
      </c>
      <c r="AA1991" t="str">
        <f t="shared" si="255"/>
        <v>Unique</v>
      </c>
    </row>
    <row r="1992" spans="1:27" x14ac:dyDescent="0.3">
      <c r="A1992">
        <v>1991</v>
      </c>
      <c r="B1992">
        <v>1445379.67540113</v>
      </c>
      <c r="C1992">
        <v>0.84921009598167496</v>
      </c>
      <c r="D1992">
        <v>-0.196373192108135</v>
      </c>
      <c r="E1992">
        <v>0.18123312662260099</v>
      </c>
      <c r="F1992">
        <v>1</v>
      </c>
      <c r="G1992" t="s">
        <v>13</v>
      </c>
      <c r="H1992">
        <v>0</v>
      </c>
      <c r="I1992">
        <v>261950.67772970701</v>
      </c>
      <c r="J1992">
        <v>0.81876687337739895</v>
      </c>
      <c r="K1992" t="str">
        <f t="shared" si="248"/>
        <v>OK</v>
      </c>
      <c r="L1992" t="str">
        <f t="shared" si="249"/>
        <v>OK</v>
      </c>
      <c r="M1992" t="str">
        <f>IF(OR(B1992&lt;$AE$20,B1992&gt;$AF$20),"Outlier","OK")</f>
        <v>OK</v>
      </c>
      <c r="N1992" t="str">
        <f>IF(OR(J1992&lt;$AE$21,J1992&gt;$AF$21),"Outlier","OK")</f>
        <v>OK</v>
      </c>
      <c r="O1992" t="str">
        <f>IF(OR(C1992&lt;0,C1992&gt;1),"Outlier","OK")</f>
        <v>OK</v>
      </c>
      <c r="P1992" t="str">
        <f>IF(OR(D1992&lt;0,D1992&gt;1),"Outlier","OK")</f>
        <v>Outlier</v>
      </c>
      <c r="Q1992" t="str">
        <f t="shared" si="250"/>
        <v>80-100%</v>
      </c>
      <c r="R1992" t="str">
        <f>IF(B1992="","Missing","OK")</f>
        <v>OK</v>
      </c>
      <c r="S1992" t="str">
        <f>IF(E1992="","Missing","OK")</f>
        <v>OK</v>
      </c>
      <c r="T1992" t="str">
        <f t="shared" si="251"/>
        <v>OK</v>
      </c>
      <c r="U1992">
        <f>COUNTIF($A:$A,A1992)</f>
        <v>1</v>
      </c>
      <c r="V1992" t="str">
        <f t="shared" si="252"/>
        <v>OK</v>
      </c>
      <c r="W1992" t="str">
        <f>IF(I1992&gt;B1992,"ERROR","OK")</f>
        <v>OK</v>
      </c>
      <c r="X1992">
        <f>(B1992-I1992)/B1992</f>
        <v>0.81876687337739895</v>
      </c>
      <c r="Y1992" s="2">
        <f t="shared" si="253"/>
        <v>0</v>
      </c>
      <c r="Z1992" s="2" t="str">
        <f t="shared" si="254"/>
        <v>OK</v>
      </c>
      <c r="AA1992" t="str">
        <f t="shared" si="255"/>
        <v>Unique</v>
      </c>
    </row>
    <row r="1993" spans="1:27" x14ac:dyDescent="0.3">
      <c r="A1993">
        <v>1992</v>
      </c>
      <c r="B1993">
        <v>1594728.77158862</v>
      </c>
      <c r="C1993">
        <v>0.64652919749479898</v>
      </c>
      <c r="D1993">
        <v>-0.13703318612766399</v>
      </c>
      <c r="E1993">
        <v>0.38292078067208701</v>
      </c>
      <c r="F1993">
        <v>1</v>
      </c>
      <c r="G1993" t="s">
        <v>12</v>
      </c>
      <c r="H1993">
        <v>1</v>
      </c>
      <c r="I1993">
        <v>610654.78617695498</v>
      </c>
      <c r="J1993">
        <v>0.61707921932791199</v>
      </c>
      <c r="K1993" t="str">
        <f t="shared" si="248"/>
        <v>OK</v>
      </c>
      <c r="L1993" t="str">
        <f t="shared" si="249"/>
        <v>OK</v>
      </c>
      <c r="M1993" t="str">
        <f>IF(OR(B1993&lt;$AE$20,B1993&gt;$AF$20),"Outlier","OK")</f>
        <v>OK</v>
      </c>
      <c r="N1993" t="str">
        <f>IF(OR(J1993&lt;$AE$21,J1993&gt;$AF$21),"Outlier","OK")</f>
        <v>OK</v>
      </c>
      <c r="O1993" t="str">
        <f>IF(OR(C1993&lt;0,C1993&gt;1),"Outlier","OK")</f>
        <v>OK</v>
      </c>
      <c r="P1993" t="str">
        <f>IF(OR(D1993&lt;0,D1993&gt;1),"Outlier","OK")</f>
        <v>Outlier</v>
      </c>
      <c r="Q1993" t="str">
        <f t="shared" si="250"/>
        <v>60-80%</v>
      </c>
      <c r="R1993" t="str">
        <f>IF(B1993="","Missing","OK")</f>
        <v>OK</v>
      </c>
      <c r="S1993" t="str">
        <f>IF(E1993="","Missing","OK")</f>
        <v>OK</v>
      </c>
      <c r="T1993" t="str">
        <f t="shared" si="251"/>
        <v>OK</v>
      </c>
      <c r="U1993">
        <f>COUNTIF($A:$A,A1993)</f>
        <v>1</v>
      </c>
      <c r="V1993" t="str">
        <f t="shared" si="252"/>
        <v>OK</v>
      </c>
      <c r="W1993" t="str">
        <f>IF(I1993&gt;B1993,"ERROR","OK")</f>
        <v>OK</v>
      </c>
      <c r="X1993">
        <f>(B1993-I1993)/B1993</f>
        <v>0.61707921932791154</v>
      </c>
      <c r="Y1993" s="2">
        <f t="shared" si="253"/>
        <v>4.4408920985006262E-16</v>
      </c>
      <c r="Z1993" s="2" t="str">
        <f t="shared" si="254"/>
        <v>OK</v>
      </c>
      <c r="AA1993" t="str">
        <f t="shared" si="255"/>
        <v>Unique</v>
      </c>
    </row>
    <row r="1994" spans="1:27" x14ac:dyDescent="0.3">
      <c r="A1994">
        <v>1993</v>
      </c>
      <c r="B1994">
        <v>1661245.3611518301</v>
      </c>
      <c r="C1994">
        <v>0.59569093704393306</v>
      </c>
      <c r="D1994">
        <v>-8.9756267227475896E-3</v>
      </c>
      <c r="E1994">
        <v>0.49774249634843298</v>
      </c>
      <c r="F1994">
        <v>1</v>
      </c>
      <c r="G1994" t="s">
        <v>10</v>
      </c>
      <c r="H1994">
        <v>1</v>
      </c>
      <c r="I1994">
        <v>826872.41310696804</v>
      </c>
      <c r="J1994">
        <v>0.50225750365156696</v>
      </c>
      <c r="K1994" t="str">
        <f t="shared" si="248"/>
        <v>OK</v>
      </c>
      <c r="L1994" t="str">
        <f t="shared" si="249"/>
        <v>OK</v>
      </c>
      <c r="M1994" t="str">
        <f>IF(OR(B1994&lt;$AE$20,B1994&gt;$AF$20),"Outlier","OK")</f>
        <v>OK</v>
      </c>
      <c r="N1994" t="str">
        <f>IF(OR(J1994&lt;$AE$21,J1994&gt;$AF$21),"Outlier","OK")</f>
        <v>OK</v>
      </c>
      <c r="O1994" t="str">
        <f>IF(OR(C1994&lt;0,C1994&gt;1),"Outlier","OK")</f>
        <v>OK</v>
      </c>
      <c r="P1994" t="str">
        <f>IF(OR(D1994&lt;0,D1994&gt;1),"Outlier","OK")</f>
        <v>Outlier</v>
      </c>
      <c r="Q1994" t="str">
        <f t="shared" si="250"/>
        <v>40-60%</v>
      </c>
      <c r="R1994" t="str">
        <f>IF(B1994="","Missing","OK")</f>
        <v>OK</v>
      </c>
      <c r="S1994" t="str">
        <f>IF(E1994="","Missing","OK")</f>
        <v>OK</v>
      </c>
      <c r="T1994" t="str">
        <f t="shared" si="251"/>
        <v>OK</v>
      </c>
      <c r="U1994">
        <f>COUNTIF($A:$A,A1994)</f>
        <v>1</v>
      </c>
      <c r="V1994" t="str">
        <f t="shared" si="252"/>
        <v>OK</v>
      </c>
      <c r="W1994" t="str">
        <f>IF(I1994&gt;B1994,"ERROR","OK")</f>
        <v>OK</v>
      </c>
      <c r="X1994">
        <f>(B1994-I1994)/B1994</f>
        <v>0.50225750365156574</v>
      </c>
      <c r="Y1994" s="2">
        <f t="shared" si="253"/>
        <v>1.2212453270876722E-15</v>
      </c>
      <c r="Z1994" s="2" t="str">
        <f t="shared" si="254"/>
        <v>OK</v>
      </c>
      <c r="AA1994" t="str">
        <f t="shared" si="255"/>
        <v>Unique</v>
      </c>
    </row>
    <row r="1995" spans="1:27" x14ac:dyDescent="0.3">
      <c r="A1995">
        <v>1994</v>
      </c>
      <c r="B1995">
        <v>1551559.039291</v>
      </c>
      <c r="C1995">
        <v>0.744763366434119</v>
      </c>
      <c r="D1995">
        <v>-9.79889056028517E-2</v>
      </c>
      <c r="E1995">
        <v>0.22209337989574199</v>
      </c>
      <c r="F1995">
        <v>1</v>
      </c>
      <c r="G1995" t="s">
        <v>10</v>
      </c>
      <c r="H1995">
        <v>0</v>
      </c>
      <c r="I1995">
        <v>344590.99114392902</v>
      </c>
      <c r="J1995">
        <v>0.77790662010425704</v>
      </c>
      <c r="K1995" t="str">
        <f t="shared" si="248"/>
        <v>OK</v>
      </c>
      <c r="L1995" t="str">
        <f t="shared" si="249"/>
        <v>OK</v>
      </c>
      <c r="M1995" t="str">
        <f>IF(OR(B1995&lt;$AE$20,B1995&gt;$AF$20),"Outlier","OK")</f>
        <v>OK</v>
      </c>
      <c r="N1995" t="str">
        <f>IF(OR(J1995&lt;$AE$21,J1995&gt;$AF$21),"Outlier","OK")</f>
        <v>OK</v>
      </c>
      <c r="O1995" t="str">
        <f>IF(OR(C1995&lt;0,C1995&gt;1),"Outlier","OK")</f>
        <v>OK</v>
      </c>
      <c r="P1995" t="str">
        <f>IF(OR(D1995&lt;0,D1995&gt;1),"Outlier","OK")</f>
        <v>Outlier</v>
      </c>
      <c r="Q1995" t="str">
        <f t="shared" si="250"/>
        <v>60-80%</v>
      </c>
      <c r="R1995" t="str">
        <f>IF(B1995="","Missing","OK")</f>
        <v>OK</v>
      </c>
      <c r="S1995" t="str">
        <f>IF(E1995="","Missing","OK")</f>
        <v>OK</v>
      </c>
      <c r="T1995" t="str">
        <f t="shared" si="251"/>
        <v>OK</v>
      </c>
      <c r="U1995">
        <f>COUNTIF($A:$A,A1995)</f>
        <v>1</v>
      </c>
      <c r="V1995" t="str">
        <f t="shared" si="252"/>
        <v>OK</v>
      </c>
      <c r="W1995" t="str">
        <f>IF(I1995&gt;B1995,"ERROR","OK")</f>
        <v>OK</v>
      </c>
      <c r="X1995">
        <f>(B1995-I1995)/B1995</f>
        <v>0.77790662010425771</v>
      </c>
      <c r="Y1995" s="2">
        <f t="shared" si="253"/>
        <v>6.6613381477509392E-16</v>
      </c>
      <c r="Z1995" s="2" t="str">
        <f t="shared" si="254"/>
        <v>OK</v>
      </c>
      <c r="AA1995" t="str">
        <f t="shared" si="255"/>
        <v>Unique</v>
      </c>
    </row>
    <row r="1996" spans="1:27" x14ac:dyDescent="0.3">
      <c r="A1996">
        <v>1995</v>
      </c>
      <c r="B1996">
        <v>1396334.23594629</v>
      </c>
      <c r="C1996">
        <v>0.49509036036564302</v>
      </c>
      <c r="D1996">
        <v>-0.119000842719495</v>
      </c>
      <c r="E1996">
        <v>0.61307610403680302</v>
      </c>
      <c r="F1996">
        <v>1</v>
      </c>
      <c r="G1996" t="s">
        <v>12</v>
      </c>
      <c r="H1996">
        <v>1</v>
      </c>
      <c r="I1996">
        <v>856059.15330716304</v>
      </c>
      <c r="J1996">
        <v>0.38692389596319599</v>
      </c>
      <c r="K1996" t="str">
        <f t="shared" si="248"/>
        <v>OK</v>
      </c>
      <c r="L1996" t="str">
        <f t="shared" si="249"/>
        <v>OK</v>
      </c>
      <c r="M1996" t="str">
        <f>IF(OR(B1996&lt;$AE$20,B1996&gt;$AF$20),"Outlier","OK")</f>
        <v>OK</v>
      </c>
      <c r="N1996" t="str">
        <f>IF(OR(J1996&lt;$AE$21,J1996&gt;$AF$21),"Outlier","OK")</f>
        <v>OK</v>
      </c>
      <c r="O1996" t="str">
        <f>IF(OR(C1996&lt;0,C1996&gt;1),"Outlier","OK")</f>
        <v>OK</v>
      </c>
      <c r="P1996" t="str">
        <f>IF(OR(D1996&lt;0,D1996&gt;1),"Outlier","OK")</f>
        <v>Outlier</v>
      </c>
      <c r="Q1996" t="str">
        <f t="shared" si="250"/>
        <v>20-40%</v>
      </c>
      <c r="R1996" t="str">
        <f>IF(B1996="","Missing","OK")</f>
        <v>OK</v>
      </c>
      <c r="S1996" t="str">
        <f>IF(E1996="","Missing","OK")</f>
        <v>OK</v>
      </c>
      <c r="T1996" t="str">
        <f t="shared" si="251"/>
        <v>OK</v>
      </c>
      <c r="U1996">
        <f>COUNTIF($A:$A,A1996)</f>
        <v>1</v>
      </c>
      <c r="V1996" t="str">
        <f t="shared" si="252"/>
        <v>OK</v>
      </c>
      <c r="W1996" t="str">
        <f>IF(I1996&gt;B1996,"ERROR","OK")</f>
        <v>OK</v>
      </c>
      <c r="X1996">
        <f>(B1996-I1996)/B1996</f>
        <v>0.38692389596319304</v>
      </c>
      <c r="Y1996" s="2">
        <f t="shared" si="253"/>
        <v>2.9420910152566648E-15</v>
      </c>
      <c r="Z1996" s="2" t="str">
        <f t="shared" si="254"/>
        <v>OK</v>
      </c>
      <c r="AA1996" t="str">
        <f t="shared" si="255"/>
        <v>Unique</v>
      </c>
    </row>
    <row r="1997" spans="1:27" x14ac:dyDescent="0.3">
      <c r="A1997">
        <v>1996</v>
      </c>
      <c r="B1997">
        <v>426374.095021302</v>
      </c>
      <c r="C1997">
        <v>0.85984502494511705</v>
      </c>
      <c r="D1997">
        <v>-5.9909397202197101E-3</v>
      </c>
      <c r="E1997">
        <v>0.46950310712611598</v>
      </c>
      <c r="F1997">
        <v>1</v>
      </c>
      <c r="G1997" t="s">
        <v>13</v>
      </c>
      <c r="H1997">
        <v>0</v>
      </c>
      <c r="I1997">
        <v>200183.962410587</v>
      </c>
      <c r="J1997">
        <v>0.53049689287388302</v>
      </c>
      <c r="K1997" t="str">
        <f t="shared" si="248"/>
        <v>OK</v>
      </c>
      <c r="L1997" t="str">
        <f t="shared" si="249"/>
        <v>OK</v>
      </c>
      <c r="M1997" t="str">
        <f>IF(OR(B1997&lt;$AE$20,B1997&gt;$AF$20),"Outlier","OK")</f>
        <v>OK</v>
      </c>
      <c r="N1997" t="str">
        <f>IF(OR(J1997&lt;$AE$21,J1997&gt;$AF$21),"Outlier","OK")</f>
        <v>OK</v>
      </c>
      <c r="O1997" t="str">
        <f>IF(OR(C1997&lt;0,C1997&gt;1),"Outlier","OK")</f>
        <v>OK</v>
      </c>
      <c r="P1997" t="str">
        <f>IF(OR(D1997&lt;0,D1997&gt;1),"Outlier","OK")</f>
        <v>Outlier</v>
      </c>
      <c r="Q1997" t="str">
        <f t="shared" si="250"/>
        <v>40-60%</v>
      </c>
      <c r="R1997" t="str">
        <f>IF(B1997="","Missing","OK")</f>
        <v>OK</v>
      </c>
      <c r="S1997" t="str">
        <f>IF(E1997="","Missing","OK")</f>
        <v>OK</v>
      </c>
      <c r="T1997" t="str">
        <f t="shared" si="251"/>
        <v>OK</v>
      </c>
      <c r="U1997">
        <f>COUNTIF($A:$A,A1997)</f>
        <v>1</v>
      </c>
      <c r="V1997" t="str">
        <f t="shared" si="252"/>
        <v>OK</v>
      </c>
      <c r="W1997" t="str">
        <f>IF(I1997&gt;B1997,"ERROR","OK")</f>
        <v>OK</v>
      </c>
      <c r="X1997">
        <f>(B1997-I1997)/B1997</f>
        <v>0.53049689287388424</v>
      </c>
      <c r="Y1997" s="2">
        <f t="shared" si="253"/>
        <v>1.2212453270876722E-15</v>
      </c>
      <c r="Z1997" s="2" t="str">
        <f t="shared" si="254"/>
        <v>OK</v>
      </c>
      <c r="AA1997" t="str">
        <f t="shared" si="255"/>
        <v>Unique</v>
      </c>
    </row>
    <row r="1998" spans="1:27" x14ac:dyDescent="0.3">
      <c r="A1998">
        <v>1997</v>
      </c>
      <c r="B1998">
        <v>1476718.2616546301</v>
      </c>
      <c r="C1998">
        <v>0.71327360555095598</v>
      </c>
      <c r="D1998">
        <v>-5.10118334181109E-2</v>
      </c>
      <c r="E1998">
        <v>0.30501680436475598</v>
      </c>
      <c r="F1998">
        <v>1</v>
      </c>
      <c r="G1998" t="s">
        <v>11</v>
      </c>
      <c r="H1998">
        <v>0</v>
      </c>
      <c r="I1998">
        <v>450423.88511697401</v>
      </c>
      <c r="J1998">
        <v>0.69498319563524302</v>
      </c>
      <c r="K1998" t="str">
        <f t="shared" si="248"/>
        <v>OK</v>
      </c>
      <c r="L1998" t="str">
        <f t="shared" si="249"/>
        <v>OK</v>
      </c>
      <c r="M1998" t="str">
        <f>IF(OR(B1998&lt;$AE$20,B1998&gt;$AF$20),"Outlier","OK")</f>
        <v>OK</v>
      </c>
      <c r="N1998" t="str">
        <f>IF(OR(J1998&lt;$AE$21,J1998&gt;$AF$21),"Outlier","OK")</f>
        <v>OK</v>
      </c>
      <c r="O1998" t="str">
        <f>IF(OR(C1998&lt;0,C1998&gt;1),"Outlier","OK")</f>
        <v>OK</v>
      </c>
      <c r="P1998" t="str">
        <f>IF(OR(D1998&lt;0,D1998&gt;1),"Outlier","OK")</f>
        <v>Outlier</v>
      </c>
      <c r="Q1998" t="str">
        <f t="shared" si="250"/>
        <v>60-80%</v>
      </c>
      <c r="R1998" t="str">
        <f>IF(B1998="","Missing","OK")</f>
        <v>OK</v>
      </c>
      <c r="S1998" t="str">
        <f>IF(E1998="","Missing","OK")</f>
        <v>OK</v>
      </c>
      <c r="T1998" t="str">
        <f t="shared" si="251"/>
        <v>OK</v>
      </c>
      <c r="U1998">
        <f>COUNTIF($A:$A,A1998)</f>
        <v>1</v>
      </c>
      <c r="V1998" t="str">
        <f t="shared" si="252"/>
        <v>OK</v>
      </c>
      <c r="W1998" t="str">
        <f>IF(I1998&gt;B1998,"ERROR","OK")</f>
        <v>OK</v>
      </c>
      <c r="X1998">
        <f>(B1998-I1998)/B1998</f>
        <v>0.69498319563524324</v>
      </c>
      <c r="Y1998" s="2">
        <f t="shared" si="253"/>
        <v>2.2204460492503131E-16</v>
      </c>
      <c r="Z1998" s="2" t="str">
        <f t="shared" si="254"/>
        <v>OK</v>
      </c>
      <c r="AA1998" t="str">
        <f t="shared" si="255"/>
        <v>Unique</v>
      </c>
    </row>
    <row r="1999" spans="1:27" x14ac:dyDescent="0.3">
      <c r="A1999">
        <v>1998</v>
      </c>
      <c r="B1999">
        <v>585687.19450438197</v>
      </c>
      <c r="C1999">
        <v>0.12429799151035301</v>
      </c>
      <c r="D1999">
        <v>0.139658479171931</v>
      </c>
      <c r="E1999">
        <v>0.39695920362571702</v>
      </c>
      <c r="F1999">
        <v>1</v>
      </c>
      <c r="G1999" t="s">
        <v>10</v>
      </c>
      <c r="H1999">
        <v>1</v>
      </c>
      <c r="I1999">
        <v>232493.92230424</v>
      </c>
      <c r="J1999">
        <v>0.60304079637428198</v>
      </c>
      <c r="K1999" t="str">
        <f t="shared" si="248"/>
        <v>OK</v>
      </c>
      <c r="L1999" t="str">
        <f t="shared" si="249"/>
        <v>OK</v>
      </c>
      <c r="M1999" t="str">
        <f>IF(OR(B1999&lt;$AE$20,B1999&gt;$AF$20),"Outlier","OK")</f>
        <v>OK</v>
      </c>
      <c r="N1999" t="str">
        <f>IF(OR(J1999&lt;$AE$21,J1999&gt;$AF$21),"Outlier","OK")</f>
        <v>OK</v>
      </c>
      <c r="O1999" t="str">
        <f>IF(OR(C1999&lt;0,C1999&gt;1),"Outlier","OK")</f>
        <v>OK</v>
      </c>
      <c r="P1999" t="str">
        <f>IF(OR(D1999&lt;0,D1999&gt;1),"Outlier","OK")</f>
        <v>OK</v>
      </c>
      <c r="Q1999" t="str">
        <f t="shared" si="250"/>
        <v>60-80%</v>
      </c>
      <c r="R1999" t="str">
        <f>IF(B1999="","Missing","OK")</f>
        <v>OK</v>
      </c>
      <c r="S1999" t="str">
        <f>IF(E1999="","Missing","OK")</f>
        <v>OK</v>
      </c>
      <c r="T1999" t="str">
        <f t="shared" si="251"/>
        <v>OK</v>
      </c>
      <c r="U1999">
        <f>COUNTIF($A:$A,A1999)</f>
        <v>1</v>
      </c>
      <c r="V1999" t="str">
        <f t="shared" si="252"/>
        <v>OK</v>
      </c>
      <c r="W1999" t="str">
        <f>IF(I1999&gt;B1999,"ERROR","OK")</f>
        <v>OK</v>
      </c>
      <c r="X1999">
        <f>(B1999-I1999)/B1999</f>
        <v>0.60304079637428276</v>
      </c>
      <c r="Y1999" s="2">
        <f t="shared" si="253"/>
        <v>7.7715611723760958E-16</v>
      </c>
      <c r="Z1999" s="2" t="str">
        <f t="shared" si="254"/>
        <v>OK</v>
      </c>
      <c r="AA1999" t="str">
        <f t="shared" si="255"/>
        <v>Unique</v>
      </c>
    </row>
    <row r="2000" spans="1:27" x14ac:dyDescent="0.3">
      <c r="A2000">
        <v>1999</v>
      </c>
      <c r="B2000">
        <v>1457544.17010933</v>
      </c>
      <c r="C2000">
        <v>0.293404157055286</v>
      </c>
      <c r="D2000">
        <v>-0.16426184136734301</v>
      </c>
      <c r="E2000">
        <v>0.279974998721019</v>
      </c>
      <c r="F2000">
        <v>1</v>
      </c>
      <c r="G2000" t="s">
        <v>11</v>
      </c>
      <c r="H2000">
        <v>0</v>
      </c>
      <c r="I2000">
        <v>408075.92716218898</v>
      </c>
      <c r="J2000">
        <v>0.72002500127897995</v>
      </c>
      <c r="K2000" t="str">
        <f t="shared" si="248"/>
        <v>OK</v>
      </c>
      <c r="L2000" t="str">
        <f t="shared" si="249"/>
        <v>OK</v>
      </c>
      <c r="M2000" t="str">
        <f>IF(OR(B2000&lt;$AE$20,B2000&gt;$AF$20),"Outlier","OK")</f>
        <v>OK</v>
      </c>
      <c r="N2000" t="str">
        <f>IF(OR(J2000&lt;$AE$21,J2000&gt;$AF$21),"Outlier","OK")</f>
        <v>OK</v>
      </c>
      <c r="O2000" t="str">
        <f>IF(OR(C2000&lt;0,C2000&gt;1),"Outlier","OK")</f>
        <v>OK</v>
      </c>
      <c r="P2000" t="str">
        <f>IF(OR(D2000&lt;0,D2000&gt;1),"Outlier","OK")</f>
        <v>Outlier</v>
      </c>
      <c r="Q2000" t="str">
        <f t="shared" si="250"/>
        <v>60-80%</v>
      </c>
      <c r="R2000" t="str">
        <f>IF(B2000="","Missing","OK")</f>
        <v>OK</v>
      </c>
      <c r="S2000" t="str">
        <f>IF(E2000="","Missing","OK")</f>
        <v>OK</v>
      </c>
      <c r="T2000" t="str">
        <f t="shared" si="251"/>
        <v>OK</v>
      </c>
      <c r="U2000">
        <f>COUNTIF($A:$A,A2000)</f>
        <v>1</v>
      </c>
      <c r="V2000" t="str">
        <f t="shared" si="252"/>
        <v>OK</v>
      </c>
      <c r="W2000" t="str">
        <f>IF(I2000&gt;B2000,"ERROR","OK")</f>
        <v>OK</v>
      </c>
      <c r="X2000">
        <f>(B2000-I2000)/B2000</f>
        <v>0.7200250012789805</v>
      </c>
      <c r="Y2000" s="2">
        <f t="shared" si="253"/>
        <v>5.5511151231257827E-16</v>
      </c>
      <c r="Z2000" s="2" t="str">
        <f t="shared" si="254"/>
        <v>OK</v>
      </c>
      <c r="AA2000" t="str">
        <f t="shared" si="255"/>
        <v>Unique</v>
      </c>
    </row>
    <row r="2001" spans="1:27" x14ac:dyDescent="0.3">
      <c r="A2001">
        <v>2000</v>
      </c>
      <c r="B2001">
        <v>240832.660987696</v>
      </c>
      <c r="C2001">
        <v>0.23384927552051599</v>
      </c>
      <c r="D2001">
        <v>-0.18488544753623801</v>
      </c>
      <c r="E2001">
        <v>0.120786568041194</v>
      </c>
      <c r="F2001">
        <v>1</v>
      </c>
      <c r="G2001" t="s">
        <v>11</v>
      </c>
      <c r="H2001">
        <v>0</v>
      </c>
      <c r="I2001">
        <v>29089.3505929323</v>
      </c>
      <c r="J2001">
        <v>0.87921343195880497</v>
      </c>
      <c r="K2001" t="str">
        <f t="shared" si="248"/>
        <v>OK</v>
      </c>
      <c r="L2001" t="str">
        <f t="shared" si="249"/>
        <v>OK</v>
      </c>
      <c r="M2001" t="str">
        <f>IF(OR(B2001&lt;$AE$20,B2001&gt;$AF$20),"Outlier","OK")</f>
        <v>OK</v>
      </c>
      <c r="N2001" t="str">
        <f>IF(OR(J2001&lt;$AE$21,J2001&gt;$AF$21),"Outlier","OK")</f>
        <v>OK</v>
      </c>
      <c r="O2001" t="str">
        <f>IF(OR(C2001&lt;0,C2001&gt;1),"Outlier","OK")</f>
        <v>OK</v>
      </c>
      <c r="P2001" t="str">
        <f>IF(OR(D2001&lt;0,D2001&gt;1),"Outlier","OK")</f>
        <v>Outlier</v>
      </c>
      <c r="Q2001" t="str">
        <f t="shared" si="250"/>
        <v>80-100%</v>
      </c>
      <c r="R2001" t="str">
        <f>IF(B2001="","Missing","OK")</f>
        <v>OK</v>
      </c>
      <c r="S2001" t="str">
        <f>IF(E2001="","Missing","OK")</f>
        <v>OK</v>
      </c>
      <c r="T2001" t="str">
        <f t="shared" si="251"/>
        <v>OK</v>
      </c>
      <c r="U2001">
        <f>COUNTIF($A:$A,A2001)</f>
        <v>1</v>
      </c>
      <c r="V2001" t="str">
        <f t="shared" si="252"/>
        <v>OK</v>
      </c>
      <c r="W2001" t="str">
        <f>IF(I2001&gt;B2001,"ERROR","OK")</f>
        <v>OK</v>
      </c>
      <c r="X2001">
        <f>(B2001-I2001)/B2001</f>
        <v>0.87921343195880541</v>
      </c>
      <c r="Y2001" s="2">
        <f t="shared" si="253"/>
        <v>4.4408920985006262E-16</v>
      </c>
      <c r="Z2001" s="2" t="str">
        <f t="shared" si="254"/>
        <v>OK</v>
      </c>
      <c r="AA2001" t="str">
        <f t="shared" si="255"/>
        <v>Unique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LGD Raw Datatset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BISWARUPA MOHAPATRA</dc:creator>
  <cp:lastModifiedBy>Biswarupa Mohapatra</cp:lastModifiedBy>
  <dcterms:created xsi:type="dcterms:W3CDTF">2015-06-05T18:17:20Z</dcterms:created>
  <dcterms:modified xsi:type="dcterms:W3CDTF">2026-04-23T11:59:21Z</dcterms:modified>
</cp:coreProperties>
</file>