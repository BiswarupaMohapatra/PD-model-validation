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D:\DESKTOP\Work Related Neera Maam's Writeups\2026\Github Workouts\"/>
    </mc:Choice>
  </mc:AlternateContent>
  <xr:revisionPtr revIDLastSave="0" documentId="13_ncr:1_{76A2E997-597E-412F-907F-6E28484BA0E2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Sheet1" sheetId="1" r:id="rId1"/>
    <sheet name="Train Data" sheetId="3" r:id="rId2"/>
    <sheet name="Test Data" sheetId="2" r:id="rId3"/>
  </sheets>
  <externalReferences>
    <externalReference r:id="rId4"/>
  </externalReferences>
  <definedNames>
    <definedName name="_xlnm._FilterDatabase" localSheetId="0" hidden="1">Sheet1!$A$1:$J$1001</definedName>
  </definedNames>
  <calcPr calcId="191029"/>
  <pivotCaches>
    <pivotCache cacheId="13" r:id="rId5"/>
    <pivotCache cacheId="1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2" l="1"/>
  <c r="O6" i="3"/>
  <c r="K2" i="3"/>
  <c r="T7" i="2"/>
  <c r="T6" i="2"/>
  <c r="T5" i="2"/>
  <c r="V7" i="3"/>
  <c r="V6" i="3"/>
  <c r="V5" i="3"/>
  <c r="M4" i="2"/>
  <c r="M3" i="2"/>
  <c r="O4" i="3"/>
  <c r="O3" i="3"/>
  <c r="O2" i="3"/>
  <c r="M2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2" i="1"/>
  <c r="A800" i="1"/>
  <c r="A801" i="1"/>
  <c r="A798" i="1"/>
  <c r="A799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81" i="1"/>
  <c r="A779" i="1"/>
  <c r="A780" i="1"/>
  <c r="A775" i="1"/>
  <c r="A776" i="1"/>
  <c r="A777" i="1"/>
  <c r="A778" i="1"/>
  <c r="A771" i="1"/>
  <c r="A772" i="1"/>
  <c r="A773" i="1"/>
  <c r="A77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53" i="1"/>
  <c r="A754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2" i="1"/>
  <c r="P3" i="1" l="1"/>
  <c r="O2" i="1"/>
  <c r="O3" i="1"/>
  <c r="P2" i="1"/>
</calcChain>
</file>

<file path=xl/sharedStrings.xml><?xml version="1.0" encoding="utf-8"?>
<sst xmlns="http://schemas.openxmlformats.org/spreadsheetml/2006/main" count="5493" uniqueCount="1037">
  <si>
    <t>Borrower_ID</t>
  </si>
  <si>
    <t>Industry</t>
  </si>
  <si>
    <t>Leverage</t>
  </si>
  <si>
    <t>Interest_Coverage</t>
  </si>
  <si>
    <t>DSCR</t>
  </si>
  <si>
    <t>Default</t>
  </si>
  <si>
    <t>Manufacturing</t>
  </si>
  <si>
    <t>BBB</t>
  </si>
  <si>
    <t>Retail</t>
  </si>
  <si>
    <t>B</t>
  </si>
  <si>
    <t>Pharma</t>
  </si>
  <si>
    <t>A</t>
  </si>
  <si>
    <t>Construction</t>
  </si>
  <si>
    <t>BB</t>
  </si>
  <si>
    <t>IT Services</t>
  </si>
  <si>
    <t>Revenue_Mn</t>
  </si>
  <si>
    <t>Rating</t>
  </si>
  <si>
    <t>C801</t>
  </si>
  <si>
    <t>Transportation</t>
  </si>
  <si>
    <t>C802</t>
  </si>
  <si>
    <t>C803</t>
  </si>
  <si>
    <t>C804</t>
  </si>
  <si>
    <t>C805</t>
  </si>
  <si>
    <t>C806</t>
  </si>
  <si>
    <t>C807</t>
  </si>
  <si>
    <t>C808</t>
  </si>
  <si>
    <t>C809</t>
  </si>
  <si>
    <t>C810</t>
  </si>
  <si>
    <t>C811</t>
  </si>
  <si>
    <t>C812</t>
  </si>
  <si>
    <t>C813</t>
  </si>
  <si>
    <t>C814</t>
  </si>
  <si>
    <t>C815</t>
  </si>
  <si>
    <t>C816</t>
  </si>
  <si>
    <t>C817</t>
  </si>
  <si>
    <t>C818</t>
  </si>
  <si>
    <t>C819</t>
  </si>
  <si>
    <t>C820</t>
  </si>
  <si>
    <t>C821</t>
  </si>
  <si>
    <t>C822</t>
  </si>
  <si>
    <t>C823</t>
  </si>
  <si>
    <t>C824</t>
  </si>
  <si>
    <t>C825</t>
  </si>
  <si>
    <t>C826</t>
  </si>
  <si>
    <t>C827</t>
  </si>
  <si>
    <t>C828</t>
  </si>
  <si>
    <t>C829</t>
  </si>
  <si>
    <t>C830</t>
  </si>
  <si>
    <t>C831</t>
  </si>
  <si>
    <t>C832</t>
  </si>
  <si>
    <t>C833</t>
  </si>
  <si>
    <t>C834</t>
  </si>
  <si>
    <t>C835</t>
  </si>
  <si>
    <t>C836</t>
  </si>
  <si>
    <t>C837</t>
  </si>
  <si>
    <t>C838</t>
  </si>
  <si>
    <t>C839</t>
  </si>
  <si>
    <t>C840</t>
  </si>
  <si>
    <t>C841</t>
  </si>
  <si>
    <t>C842</t>
  </si>
  <si>
    <t>C843</t>
  </si>
  <si>
    <t>C844</t>
  </si>
  <si>
    <t>C845</t>
  </si>
  <si>
    <t>C846</t>
  </si>
  <si>
    <t>C847</t>
  </si>
  <si>
    <t>C848</t>
  </si>
  <si>
    <t>C849</t>
  </si>
  <si>
    <t>C850</t>
  </si>
  <si>
    <t>C851</t>
  </si>
  <si>
    <t>C852</t>
  </si>
  <si>
    <t>C853</t>
  </si>
  <si>
    <t>C854</t>
  </si>
  <si>
    <t>C855</t>
  </si>
  <si>
    <t>C856</t>
  </si>
  <si>
    <t>C857</t>
  </si>
  <si>
    <t>C858</t>
  </si>
  <si>
    <t>C859</t>
  </si>
  <si>
    <t>C860</t>
  </si>
  <si>
    <t>C861</t>
  </si>
  <si>
    <t>C862</t>
  </si>
  <si>
    <t>C863</t>
  </si>
  <si>
    <t>C864</t>
  </si>
  <si>
    <t>C865</t>
  </si>
  <si>
    <t>C866</t>
  </si>
  <si>
    <t>C867</t>
  </si>
  <si>
    <t>C868</t>
  </si>
  <si>
    <t>C869</t>
  </si>
  <si>
    <t>C870</t>
  </si>
  <si>
    <t>C871</t>
  </si>
  <si>
    <t>C872</t>
  </si>
  <si>
    <t>C873</t>
  </si>
  <si>
    <t>C874</t>
  </si>
  <si>
    <t>C875</t>
  </si>
  <si>
    <t>C876</t>
  </si>
  <si>
    <t>C877</t>
  </si>
  <si>
    <t>C878</t>
  </si>
  <si>
    <t>C879</t>
  </si>
  <si>
    <t>C880</t>
  </si>
  <si>
    <t>C881</t>
  </si>
  <si>
    <t>C882</t>
  </si>
  <si>
    <t>C883</t>
  </si>
  <si>
    <t>C884</t>
  </si>
  <si>
    <t>C885</t>
  </si>
  <si>
    <t>C886</t>
  </si>
  <si>
    <t>C887</t>
  </si>
  <si>
    <t>C888</t>
  </si>
  <si>
    <t>C889</t>
  </si>
  <si>
    <t>C890</t>
  </si>
  <si>
    <t>C891</t>
  </si>
  <si>
    <t>C892</t>
  </si>
  <si>
    <t>C893</t>
  </si>
  <si>
    <t>C894</t>
  </si>
  <si>
    <t>C895</t>
  </si>
  <si>
    <t>C896</t>
  </si>
  <si>
    <t>C897</t>
  </si>
  <si>
    <t>C898</t>
  </si>
  <si>
    <t>C899</t>
  </si>
  <si>
    <t>C900</t>
  </si>
  <si>
    <t>C901</t>
  </si>
  <si>
    <t>C902</t>
  </si>
  <si>
    <t>C903</t>
  </si>
  <si>
    <t>C904</t>
  </si>
  <si>
    <t>C905</t>
  </si>
  <si>
    <t>C906</t>
  </si>
  <si>
    <t>C907</t>
  </si>
  <si>
    <t>C908</t>
  </si>
  <si>
    <t>C909</t>
  </si>
  <si>
    <t>C910</t>
  </si>
  <si>
    <t>C911</t>
  </si>
  <si>
    <t>C912</t>
  </si>
  <si>
    <t>C913</t>
  </si>
  <si>
    <t>C914</t>
  </si>
  <si>
    <t>C915</t>
  </si>
  <si>
    <t>C916</t>
  </si>
  <si>
    <t>C917</t>
  </si>
  <si>
    <t>C918</t>
  </si>
  <si>
    <t>C919</t>
  </si>
  <si>
    <t>C920</t>
  </si>
  <si>
    <t>C921</t>
  </si>
  <si>
    <t>C922</t>
  </si>
  <si>
    <t>C923</t>
  </si>
  <si>
    <t>C924</t>
  </si>
  <si>
    <t>C925</t>
  </si>
  <si>
    <t>C926</t>
  </si>
  <si>
    <t>C927</t>
  </si>
  <si>
    <t>C928</t>
  </si>
  <si>
    <t>C929</t>
  </si>
  <si>
    <t>C930</t>
  </si>
  <si>
    <t>C931</t>
  </si>
  <si>
    <t>C932</t>
  </si>
  <si>
    <t>C933</t>
  </si>
  <si>
    <t>C934</t>
  </si>
  <si>
    <t>C935</t>
  </si>
  <si>
    <t>C936</t>
  </si>
  <si>
    <t>C937</t>
  </si>
  <si>
    <t>C938</t>
  </si>
  <si>
    <t>C939</t>
  </si>
  <si>
    <t>C940</t>
  </si>
  <si>
    <t>C941</t>
  </si>
  <si>
    <t>C942</t>
  </si>
  <si>
    <t>C943</t>
  </si>
  <si>
    <t>C944</t>
  </si>
  <si>
    <t>C945</t>
  </si>
  <si>
    <t>C946</t>
  </si>
  <si>
    <t>C947</t>
  </si>
  <si>
    <t>C948</t>
  </si>
  <si>
    <t>C949</t>
  </si>
  <si>
    <t>C950</t>
  </si>
  <si>
    <t>C951</t>
  </si>
  <si>
    <t>C952</t>
  </si>
  <si>
    <t>C953</t>
  </si>
  <si>
    <t>C954</t>
  </si>
  <si>
    <t>C955</t>
  </si>
  <si>
    <t>C956</t>
  </si>
  <si>
    <t>C957</t>
  </si>
  <si>
    <t>C958</t>
  </si>
  <si>
    <t>C959</t>
  </si>
  <si>
    <t>C960</t>
  </si>
  <si>
    <t>C961</t>
  </si>
  <si>
    <t>C962</t>
  </si>
  <si>
    <t>C963</t>
  </si>
  <si>
    <t>C964</t>
  </si>
  <si>
    <t>C965</t>
  </si>
  <si>
    <t>C966</t>
  </si>
  <si>
    <t>C967</t>
  </si>
  <si>
    <t>C968</t>
  </si>
  <si>
    <t>C969</t>
  </si>
  <si>
    <t>C970</t>
  </si>
  <si>
    <t>C971</t>
  </si>
  <si>
    <t>C972</t>
  </si>
  <si>
    <t>C973</t>
  </si>
  <si>
    <t>C974</t>
  </si>
  <si>
    <t>C975</t>
  </si>
  <si>
    <t>C976</t>
  </si>
  <si>
    <t>C977</t>
  </si>
  <si>
    <t>C978</t>
  </si>
  <si>
    <t>C979</t>
  </si>
  <si>
    <t>C980</t>
  </si>
  <si>
    <t>C981</t>
  </si>
  <si>
    <t>C982</t>
  </si>
  <si>
    <t>C983</t>
  </si>
  <si>
    <t>C984</t>
  </si>
  <si>
    <t>C985</t>
  </si>
  <si>
    <t>C986</t>
  </si>
  <si>
    <t>C987</t>
  </si>
  <si>
    <t>C988</t>
  </si>
  <si>
    <t>C989</t>
  </si>
  <si>
    <t>C990</t>
  </si>
  <si>
    <t>C991</t>
  </si>
  <si>
    <t>C992</t>
  </si>
  <si>
    <t>C993</t>
  </si>
  <si>
    <t>C994</t>
  </si>
  <si>
    <t>C995</t>
  </si>
  <si>
    <t>C996</t>
  </si>
  <si>
    <t>C997</t>
  </si>
  <si>
    <t>C998</t>
  </si>
  <si>
    <t>C999</t>
  </si>
  <si>
    <t>C1000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</si>
  <si>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</si>
  <si>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</si>
  <si>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</si>
  <si>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</si>
  <si>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</si>
  <si>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</si>
  <si>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</si>
  <si>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</si>
  <si>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</si>
  <si>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</si>
  <si>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</si>
  <si>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</si>
  <si>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</si>
  <si>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</si>
  <si>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</si>
  <si>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</si>
  <si>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</si>
  <si>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</si>
  <si>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</si>
  <si>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</si>
  <si>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</si>
  <si>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</si>
  <si>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</si>
  <si>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</si>
  <si>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</si>
  <si>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</si>
  <si>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</si>
  <si>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</si>
  <si>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</si>
  <si>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</si>
  <si>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</si>
  <si>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</si>
  <si>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</si>
  <si>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</si>
  <si>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</si>
  <si>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</si>
  <si>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</si>
  <si>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</si>
  <si>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</si>
  <si>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</si>
  <si>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</si>
  <si>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</si>
  <si>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</si>
  <si>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</si>
  <si>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</si>
  <si>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</si>
  <si>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</si>
  <si>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</si>
  <si>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</si>
  <si>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</si>
  <si>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</si>
  <si>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</si>
  <si>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</si>
  <si>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</si>
  <si>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</si>
  <si>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</si>
  <si>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</si>
  <si>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</si>
  <si>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</si>
  <si>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</si>
  <si>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</si>
  <si>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</si>
  <si>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</si>
  <si>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</si>
  <si>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</si>
  <si>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</si>
  <si>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</si>
  <si>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</si>
  <si>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</si>
  <si>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</si>
  <si>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</si>
  <si>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</si>
  <si>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</si>
  <si>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</si>
  <si>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</si>
  <si>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</si>
  <si>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</si>
  <si>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</si>
  <si>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</si>
  <si>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</si>
  <si>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</si>
  <si>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</si>
  <si>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</si>
  <si>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</si>
  <si>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</si>
  <si>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</si>
  <si>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</si>
  <si>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</si>
  <si>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</si>
  <si>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</si>
  <si>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</si>
  <si>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</si>
  <si>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</si>
  <si>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</si>
  <si>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</si>
  <si>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</si>
  <si>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</si>
  <si>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</si>
  <si>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</si>
  <si>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</si>
  <si>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</si>
  <si>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</si>
  <si>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</si>
  <si>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</si>
  <si>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</si>
  <si>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</si>
  <si>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</si>
  <si>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</si>
  <si>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</si>
  <si>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</si>
  <si>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</si>
  <si>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</si>
  <si>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</si>
  <si>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</si>
  <si>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</si>
  <si>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</si>
  <si>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</si>
  <si>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</si>
  <si>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</si>
  <si>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</si>
  <si>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</si>
  <si>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</si>
  <si>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</si>
  <si>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</si>
  <si>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</si>
  <si>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</si>
  <si>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</si>
  <si>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</si>
  <si>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</si>
  <si>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</si>
  <si>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</si>
  <si>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</si>
  <si>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</si>
  <si>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</si>
  <si>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</si>
  <si>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</si>
  <si>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</si>
  <si>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</si>
  <si>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</si>
  <si>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</si>
  <si>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</si>
  <si>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</si>
  <si>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</si>
  <si>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</si>
  <si>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</si>
  <si>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</si>
  <si>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</si>
  <si>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</si>
  <si>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</si>
  <si>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</si>
  <si>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</si>
  <si>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</si>
  <si>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</si>
  <si>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</si>
  <si>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</si>
  <si>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</si>
  <si>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</si>
  <si>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</si>
  <si>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</si>
  <si>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</si>
  <si>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</si>
  <si>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</si>
  <si>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</si>
  <si>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</si>
  <si>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</si>
  <si>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</si>
  <si>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</si>
  <si>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</si>
  <si>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</si>
  <si>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</si>
  <si>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</si>
  <si>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</si>
  <si>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</si>
  <si>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</si>
  <si>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</si>
  <si>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</si>
  <si>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</si>
  <si>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</si>
  <si>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</si>
  <si>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</si>
  <si>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</si>
  <si>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</si>
  <si>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</si>
  <si>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</si>
  <si>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</si>
  <si>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</si>
  <si>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</si>
  <si>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</si>
  <si>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</si>
  <si>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</si>
  <si>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</si>
  <si>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</si>
  <si>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</si>
  <si>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</si>
  <si>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</si>
  <si>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</si>
  <si>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</si>
  <si>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</si>
  <si>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</si>
  <si>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</si>
  <si>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</si>
  <si>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</si>
  <si>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</si>
  <si>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</si>
  <si>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</si>
  <si>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</si>
  <si>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</si>
  <si>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</si>
  <si>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</si>
  <si>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</si>
  <si>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</si>
  <si>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</si>
  <si>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</si>
  <si>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</si>
  <si>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</si>
  <si>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</si>
  <si>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</si>
  <si>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</si>
  <si>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</si>
  <si>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</si>
  <si>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</si>
  <si>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</si>
  <si>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</si>
  <si>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</si>
  <si>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</si>
  <si>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</si>
  <si>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</si>
  <si>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</si>
  <si>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</si>
  <si>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</si>
  <si>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</si>
  <si>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</si>
  <si>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</si>
  <si>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</si>
  <si>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</si>
  <si>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</si>
  <si>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</si>
  <si>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</si>
  <si>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</si>
  <si>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</si>
  <si>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</si>
  <si>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</si>
  <si>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</si>
  <si>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</si>
  <si>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</si>
  <si>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</si>
  <si>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</si>
  <si>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</si>
  <si>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</si>
  <si>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</si>
  <si>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</si>
  <si>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</si>
  <si>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</si>
  <si>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</si>
  <si>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</si>
  <si>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</si>
  <si>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</si>
  <si>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</si>
  <si>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</si>
  <si>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</si>
  <si>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</si>
  <si>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</si>
  <si>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</si>
  <si>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</si>
  <si>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</si>
  <si>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</si>
  <si>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</si>
  <si>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</si>
  <si>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</si>
  <si>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</si>
  <si>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</si>
  <si>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</si>
  <si>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</si>
  <si>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</si>
  <si>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</si>
  <si>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</si>
  <si>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</si>
  <si>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</si>
  <si>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</si>
  <si>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</si>
  <si>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</si>
  <si>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</si>
  <si>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</si>
  <si>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</si>
  <si>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</si>
  <si>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</si>
  <si>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</si>
  <si>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</si>
  <si>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</si>
  <si>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</si>
  <si>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</si>
  <si>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</si>
  <si>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</si>
  <si>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</si>
  <si>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</si>
  <si>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</si>
  <si>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</si>
  <si>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</si>
  <si>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</si>
  <si>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</si>
  <si>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</si>
  <si>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</si>
  <si>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</si>
  <si>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</si>
  <si>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</si>
  <si>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</si>
  <si>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</si>
  <si>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</si>
  <si>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</si>
  <si>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</si>
  <si>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</si>
  <si>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</si>
  <si>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</si>
  <si>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</si>
  <si>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</si>
  <si>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</si>
  <si>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</si>
  <si>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</si>
  <si>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</si>
  <si>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</si>
  <si>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</si>
  <si>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</si>
  <si>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</si>
  <si>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</si>
  <si>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</si>
  <si>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</si>
  <si>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</si>
  <si>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</si>
  <si>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</si>
  <si>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</si>
  <si>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</si>
  <si>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</si>
  <si>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</si>
  <si>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</si>
  <si>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</si>
  <si>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</si>
  <si>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</si>
  <si>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</si>
  <si>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</si>
  <si>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</si>
  <si>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</si>
  <si>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</si>
  <si>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</si>
  <si>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</si>
  <si>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</si>
  <si>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</si>
  <si>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</si>
  <si>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</si>
  <si>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</si>
  <si>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</si>
  <si>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</si>
  <si>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</si>
  <si>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</si>
  <si>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</si>
  <si>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</si>
  <si>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</si>
  <si>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</si>
  <si>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</si>
  <si>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</si>
  <si>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</si>
  <si>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</si>
  <si>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</si>
  <si>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</si>
  <si>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</si>
  <si>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</si>
  <si>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</si>
  <si>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</si>
  <si>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</si>
  <si>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</si>
  <si>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</si>
  <si>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</si>
  <si>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</si>
  <si>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</si>
  <si>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</si>
  <si>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</si>
  <si>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</si>
  <si>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</si>
  <si>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</si>
  <si>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</si>
  <si>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</si>
  <si>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</si>
  <si>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</si>
  <si>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</si>
  <si>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</si>
  <si>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</si>
  <si>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</si>
  <si>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</si>
  <si>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</si>
  <si>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</si>
  <si>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</si>
  <si>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</si>
  <si>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</si>
  <si>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</si>
  <si>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</si>
  <si>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</si>
  <si>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</si>
  <si>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</si>
  <si>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</si>
  <si>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</si>
  <si>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</si>
  <si>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</si>
  <si>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</si>
  <si>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</si>
  <si>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</si>
  <si>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</si>
  <si>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</si>
  <si>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</si>
  <si>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</si>
  <si>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</si>
  <si>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</si>
  <si>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</si>
  <si>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</si>
  <si>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</si>
  <si>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</si>
  <si>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</si>
  <si>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</si>
  <si>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</si>
  <si>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</si>
  <si>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</si>
  <si>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</si>
  <si>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</si>
  <si>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</si>
  <si>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</si>
  <si>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</si>
  <si>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</si>
  <si>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</si>
  <si>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</si>
  <si>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</si>
  <si>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</si>
  <si>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</si>
  <si>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C631</t>
  </si>
  <si>
    <t>C632</t>
  </si>
  <si>
    <t>C633</t>
  </si>
  <si>
    <t>C634</t>
  </si>
  <si>
    <t>C635</t>
  </si>
  <si>
    <t>C636</t>
  </si>
  <si>
    <t>C637</t>
  </si>
  <si>
    <t>C638</t>
  </si>
  <si>
    <t>C639</t>
  </si>
  <si>
    <t>C640</t>
  </si>
  <si>
    <t>C641</t>
  </si>
  <si>
    <t>C642</t>
  </si>
  <si>
    <t>C643</t>
  </si>
  <si>
    <t>C644</t>
  </si>
  <si>
    <t>C645</t>
  </si>
  <si>
    <t>C646</t>
  </si>
  <si>
    <t>C647</t>
  </si>
  <si>
    <t>C648</t>
  </si>
  <si>
    <t>C649</t>
  </si>
  <si>
    <t>C650</t>
  </si>
  <si>
    <t>C651</t>
  </si>
  <si>
    <t>C652</t>
  </si>
  <si>
    <t>C653</t>
  </si>
  <si>
    <t>C654</t>
  </si>
  <si>
    <t>C655</t>
  </si>
  <si>
    <t>C656</t>
  </si>
  <si>
    <t>C657</t>
  </si>
  <si>
    <t>C658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</si>
  <si>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</si>
  <si>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</si>
  <si>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</si>
  <si>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</si>
  <si>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</si>
  <si>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</si>
  <si>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</si>
  <si>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</si>
  <si>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</si>
  <si>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</si>
  <si>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</si>
  <si>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</si>
  <si>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</si>
  <si>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</si>
  <si>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</si>
  <si>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</si>
  <si>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</si>
  <si>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</si>
  <si>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</si>
  <si>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</si>
  <si>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</si>
  <si>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</si>
  <si>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</si>
  <si>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C682</t>
  </si>
  <si>
    <t>C683</t>
  </si>
  <si>
    <t>C684</t>
  </si>
  <si>
    <t>C685</t>
  </si>
  <si>
    <t>C686</t>
  </si>
  <si>
    <t>C687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</si>
  <si>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</si>
  <si>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</si>
  <si>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</si>
  <si>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</si>
  <si>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</si>
  <si>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</si>
  <si>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</si>
  <si>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</si>
  <si>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</si>
  <si>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C697</t>
  </si>
  <si>
    <t>C698</t>
  </si>
  <si>
    <t>C699</t>
  </si>
  <si>
    <t>C700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</si>
  <si>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</si>
  <si>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</si>
  <si>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</si>
  <si>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</si>
  <si>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</si>
  <si>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</si>
  <si>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</si>
  <si>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</si>
  <si>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</si>
  <si>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</si>
  <si>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</si>
  <si>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</si>
  <si>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</si>
  <si>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</si>
  <si>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</si>
  <si>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</si>
  <si>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</si>
  <si>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</si>
  <si>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</si>
  <si>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</si>
  <si>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</si>
  <si>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</si>
  <si>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</si>
  <si>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</si>
  <si>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</si>
  <si>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C726</t>
  </si>
  <si>
    <t>C727</t>
  </si>
  <si>
    <t>C728</t>
  </si>
  <si>
    <t>C729</t>
  </si>
  <si>
    <t>C730</t>
  </si>
  <si>
    <t>C731</t>
  </si>
  <si>
    <t>C732</t>
  </si>
  <si>
    <t>C733</t>
  </si>
  <si>
    <t>C734</t>
  </si>
  <si>
    <t>C735</t>
  </si>
  <si>
    <t>C736</t>
  </si>
  <si>
    <t>C737</t>
  </si>
  <si>
    <t>C738</t>
  </si>
  <si>
    <t>C739</t>
  </si>
  <si>
    <t>C740</t>
  </si>
  <si>
    <t>C741</t>
  </si>
  <si>
    <t>C742</t>
  </si>
  <si>
    <t>C743</t>
  </si>
  <si>
    <t>C744</t>
  </si>
  <si>
    <t>C745</t>
  </si>
  <si>
    <t>C746</t>
  </si>
  <si>
    <t>C747</t>
  </si>
  <si>
    <t>C748</t>
  </si>
  <si>
    <t>C749</t>
  </si>
  <si>
    <t>C750</t>
  </si>
  <si>
    <t>C751</t>
  </si>
  <si>
    <t>C752</t>
  </si>
  <si>
    <t>C753</t>
  </si>
  <si>
    <t>C754</t>
  </si>
  <si>
    <t>C755</t>
  </si>
  <si>
    <t>C756</t>
  </si>
  <si>
    <t>C757</t>
  </si>
  <si>
    <t>C758</t>
  </si>
  <si>
    <t>C759</t>
  </si>
  <si>
    <t>C760</t>
  </si>
  <si>
    <t>C761</t>
  </si>
  <si>
    <t>C762</t>
  </si>
  <si>
    <t>C763</t>
  </si>
  <si>
    <t>C764</t>
  </si>
  <si>
    <t>C765</t>
  </si>
  <si>
    <t>C766</t>
  </si>
  <si>
    <t>C767</t>
  </si>
  <si>
    <t>C768</t>
  </si>
  <si>
    <t>C769</t>
  </si>
  <si>
    <t>C770</t>
  </si>
  <si>
    <t>C771</t>
  </si>
  <si>
    <t>C772</t>
  </si>
  <si>
    <t>C773</t>
  </si>
  <si>
    <t>C774</t>
  </si>
  <si>
    <t>C775</t>
  </si>
  <si>
    <t>C776</t>
  </si>
  <si>
    <t>C777</t>
  </si>
  <si>
    <t>C778</t>
  </si>
  <si>
    <t>C779</t>
  </si>
  <si>
    <t>C780</t>
  </si>
  <si>
    <t>C781</t>
  </si>
  <si>
    <t>C782</t>
  </si>
  <si>
    <t>C783</t>
  </si>
  <si>
    <t>C784</t>
  </si>
  <si>
    <t>C785</t>
  </si>
  <si>
    <t>C786</t>
  </si>
  <si>
    <t>C787</t>
  </si>
  <si>
    <t>C788</t>
  </si>
  <si>
    <t>C789</t>
  </si>
  <si>
    <t>C790</t>
  </si>
  <si>
    <t>C791</t>
  </si>
  <si>
    <t>C792</t>
  </si>
  <si>
    <t>C793</t>
  </si>
  <si>
    <t>C794</t>
  </si>
  <si>
    <t>C795</t>
  </si>
  <si>
    <t>C796</t>
  </si>
  <si>
    <t>C797</t>
  </si>
  <si>
    <t>C798</t>
  </si>
  <si>
    <t>C799</t>
  </si>
  <si>
    <t>C800</t>
  </si>
  <si>
    <t>Rand</t>
  </si>
  <si>
    <t>Dataset Type</t>
  </si>
  <si>
    <t>Train Record</t>
  </si>
  <si>
    <t>Test Record</t>
  </si>
  <si>
    <t>C001</t>
  </si>
  <si>
    <t>Train</t>
  </si>
  <si>
    <t>C003</t>
  </si>
  <si>
    <t>C004</t>
  </si>
  <si>
    <t>C005</t>
  </si>
  <si>
    <t>C006</t>
  </si>
  <si>
    <t>C008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</si>
  <si>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</si>
  <si>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</si>
  <si>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</si>
  <si>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</si>
  <si>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</si>
  <si>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</si>
  <si>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</si>
  <si>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</si>
  <si>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</si>
  <si>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</si>
  <si>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</si>
  <si>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</si>
  <si>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</si>
  <si>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</si>
  <si>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</si>
  <si>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C027</t>
  </si>
  <si>
    <t>C028</t>
  </si>
  <si>
    <t>C029</t>
  </si>
  <si>
    <t>C030</t>
  </si>
  <si>
    <t>C031</t>
  </si>
  <si>
    <t>C033</t>
  </si>
  <si>
    <t>C035</t>
  </si>
  <si>
    <t>C036</t>
  </si>
  <si>
    <t>C037</t>
  </si>
  <si>
    <t>C038</t>
  </si>
  <si>
    <t>C041</t>
  </si>
  <si>
    <t>C042</t>
  </si>
  <si>
    <t>C043</t>
  </si>
  <si>
    <t>C045</t>
  </si>
  <si>
    <t>C046</t>
  </si>
  <si>
    <t>C048</t>
  </si>
  <si>
    <t>C049</t>
  </si>
  <si>
    <t>C050</t>
  </si>
  <si>
    <t>C051</t>
  </si>
  <si>
    <t>C052</t>
  </si>
  <si>
    <t>C054</t>
  </si>
  <si>
    <t>C055</t>
  </si>
  <si>
    <t>C056</t>
  </si>
  <si>
    <t>C057</t>
  </si>
  <si>
    <t>C059</t>
  </si>
  <si>
    <t>C060</t>
  </si>
  <si>
    <t>C061</t>
  </si>
  <si>
    <t>C062</t>
  </si>
  <si>
    <t>C063</t>
  </si>
  <si>
    <t>C064</t>
  </si>
  <si>
    <t>C065</t>
  </si>
  <si>
    <t>C068</t>
  </si>
  <si>
    <t>C069</t>
  </si>
  <si>
    <t>C071</t>
  </si>
  <si>
    <t>C072</t>
  </si>
  <si>
    <t>C073</t>
  </si>
  <si>
    <t>C075</t>
  </si>
  <si>
    <t>C076</t>
  </si>
  <si>
    <t>C077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</si>
  <si>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</si>
  <si>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</si>
  <si>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</si>
  <si>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</si>
  <si>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</si>
  <si>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</si>
  <si>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</si>
  <si>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</si>
  <si>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</si>
  <si>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C090</t>
  </si>
  <si>
    <t>C092</t>
  </si>
  <si>
    <t>C093</t>
  </si>
  <si>
    <t>C096</t>
  </si>
  <si>
    <t>C097</t>
  </si>
  <si>
    <t>C098</t>
  </si>
  <si>
    <t>C099</t>
  </si>
  <si>
    <t>C100</t>
  </si>
  <si>
    <t>C101</t>
  </si>
  <si>
    <t>C102</t>
  </si>
  <si>
    <t>C103</t>
  </si>
  <si>
    <t>C105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</si>
  <si>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</si>
  <si>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</si>
  <si>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</si>
  <si>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</si>
  <si>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</si>
  <si>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</si>
  <si>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</si>
  <si>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</si>
  <si>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</si>
  <si>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C120</t>
  </si>
  <si>
    <t>C121</t>
  </si>
  <si>
    <t>C122</t>
  </si>
  <si>
    <t>C123</t>
  </si>
  <si>
    <t>C124</t>
  </si>
  <si>
    <t>C125</t>
  </si>
  <si>
    <t>C126</t>
  </si>
  <si>
    <t>C128</t>
  </si>
  <si>
    <t>C129</t>
  </si>
  <si>
    <t>C134</t>
  </si>
  <si>
    <t>C135</t>
  </si>
  <si>
    <t>C136</t>
  </si>
  <si>
    <t>C139</t>
  </si>
  <si>
    <t>C145</t>
  </si>
  <si>
    <t>C146</t>
  </si>
  <si>
    <t>C149</t>
  </si>
  <si>
    <t>C150</t>
  </si>
  <si>
    <t>C151</t>
  </si>
  <si>
    <t>C152</t>
  </si>
  <si>
    <t>C154</t>
  </si>
  <si>
    <t>C156</t>
  </si>
  <si>
    <t>C157</t>
  </si>
  <si>
    <t>C158</t>
  </si>
  <si>
    <t>C159</t>
  </si>
  <si>
    <t>C160</t>
  </si>
  <si>
    <t>C161</t>
  </si>
  <si>
    <t>C162</t>
  </si>
  <si>
    <t>C163</t>
  </si>
  <si>
    <t>C165</t>
  </si>
  <si>
    <t>C166</t>
  </si>
  <si>
    <t>C167</t>
  </si>
  <si>
    <t>C168</t>
  </si>
  <si>
    <t>C170</t>
  </si>
  <si>
    <t>C171</t>
  </si>
  <si>
    <t>C172</t>
  </si>
  <si>
    <t>C173</t>
  </si>
  <si>
    <t>C177</t>
  </si>
  <si>
    <t>C179</t>
  </si>
  <si>
    <t>C180</t>
  </si>
  <si>
    <t>C181</t>
  </si>
  <si>
    <t>C184</t>
  </si>
  <si>
    <t>C186</t>
  </si>
  <si>
    <t>C188</t>
  </si>
  <si>
    <t>C189</t>
  </si>
  <si>
    <t>C191</t>
  </si>
  <si>
    <t>C192</t>
  </si>
  <si>
    <t>C195</t>
  </si>
  <si>
    <t>C196</t>
  </si>
  <si>
    <t>C200</t>
  </si>
  <si>
    <t>C002</t>
  </si>
  <si>
    <t>Test</t>
  </si>
  <si>
    <t>C007</t>
  </si>
  <si>
    <t>C009</t>
  </si>
  <si>
    <t>C010</t>
  </si>
  <si>
    <t>C026</t>
  </si>
  <si>
    <t>C032</t>
  </si>
  <si>
    <t>C034</t>
  </si>
  <si>
    <t>C039</t>
  </si>
  <si>
    <t>C040</t>
  </si>
  <si>
    <t>C044</t>
  </si>
  <si>
    <t>C047</t>
  </si>
  <si>
    <t>C053</t>
  </si>
  <si>
    <t>C058</t>
  </si>
  <si>
    <t>C066</t>
  </si>
  <si>
    <t>C067</t>
  </si>
  <si>
    <t>C070</t>
  </si>
  <si>
    <t>C074</t>
  </si>
  <si>
    <t>C078</t>
  </si>
  <si>
    <t>C088</t>
  </si>
  <si>
    <t>C089</t>
  </si>
  <si>
    <t>C091</t>
  </si>
  <si>
    <t>C094</t>
  </si>
  <si>
    <t>C095</t>
  </si>
  <si>
    <t>C104</t>
  </si>
  <si>
    <t>C106</t>
  </si>
  <si>
    <t>C107</t>
  </si>
  <si>
    <t>C117</t>
  </si>
  <si>
    <t>C118</t>
  </si>
  <si>
    <t>C119</t>
  </si>
  <si>
    <t>C127</t>
  </si>
  <si>
    <t>C130</t>
  </si>
  <si>
    <t>C131</t>
  </si>
  <si>
    <t>C132</t>
  </si>
  <si>
    <t>C133</t>
  </si>
  <si>
    <t>C137</t>
  </si>
  <si>
    <t>C138</t>
  </si>
  <si>
    <t>C140</t>
  </si>
  <si>
    <t>C141</t>
  </si>
  <si>
    <t>C142</t>
  </si>
  <si>
    <t>C143</t>
  </si>
  <si>
    <t>C144</t>
  </si>
  <si>
    <t>C147</t>
  </si>
  <si>
    <t>C148</t>
  </si>
  <si>
    <t>C153</t>
  </si>
  <si>
    <t>C155</t>
  </si>
  <si>
    <t>C164</t>
  </si>
  <si>
    <t>C169</t>
  </si>
  <si>
    <t>C174</t>
  </si>
  <si>
    <t>C175</t>
  </si>
  <si>
    <t>C176</t>
  </si>
  <si>
    <t>C178</t>
  </si>
  <si>
    <t>C182</t>
  </si>
  <si>
    <t>C183</t>
  </si>
  <si>
    <t>C185</t>
  </si>
  <si>
    <t>C187</t>
  </si>
  <si>
    <t>C190</t>
  </si>
  <si>
    <t>C193</t>
  </si>
  <si>
    <t>C194</t>
  </si>
  <si>
    <t>C197</t>
  </si>
  <si>
    <t>C198</t>
  </si>
  <si>
    <t>C199</t>
  </si>
  <si>
    <t>Row count check</t>
  </si>
  <si>
    <t>Default Distriibution check</t>
  </si>
  <si>
    <t>Row Labels</t>
  </si>
  <si>
    <t>Grand Total</t>
  </si>
  <si>
    <t>Column Labels</t>
  </si>
  <si>
    <t>Count of Borrower_ID</t>
  </si>
  <si>
    <t>Ratuing distribution check</t>
  </si>
  <si>
    <t>Industry distribution check</t>
  </si>
  <si>
    <t>Revenue-Mn</t>
  </si>
  <si>
    <t>DSCr</t>
  </si>
  <si>
    <t>Exists_in_Test</t>
  </si>
  <si>
    <t>Default rate similarity</t>
  </si>
  <si>
    <t>Rating distribution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</si>
</sst>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"/>
    <numFmt numFmtId="173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0" fillId="0" borderId="2" xfId="0" applyBorder="1" applyAlignment="1">
      <alignment horizontal="right" vertical="center" wrapText="1"/>
    </xf>
    <xf numFmtId="0" fontId="0" fillId="2" borderId="1" xfId="0" applyFill="1" applyBorder="1" applyAlignment="1">
      <alignment horizontal="right" vertical="center" wrapText="1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right" vertical="center" wrapText="1"/>
    </xf>
    <xf numFmtId="0" fontId="0" fillId="0" borderId="1" xfId="0" applyBorder="1"/>
    <xf numFmtId="0" fontId="1" fillId="2" borderId="3" xfId="0" applyFont="1" applyFill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2" borderId="3" xfId="0" applyFill="1" applyBorder="1" applyAlignment="1">
      <alignment horizontal="right" vertical="center" wrapText="1"/>
    </xf>
    <xf numFmtId="168" fontId="0" fillId="0" borderId="1" xfId="0" applyNumberFormat="1" applyBorder="1" applyAlignment="1">
      <alignment horizontal="righ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1" xfId="0" applyFont="1" applyBorder="1"/>
    <xf numFmtId="173" fontId="1" fillId="0" borderId="1" xfId="0" applyNumberFormat="1" applyFont="1" applyBorder="1"/>
    <xf numFmtId="17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s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SWARUPA MOHAPTRA" refreshedDate="46197.663290277778" createdVersion="8" refreshedVersion="8" minRefreshableVersion="3" recordCount="719" xr:uid="{77B7622C-F14F-4047-A32F-BAFBEF56026F}">
  <cacheSource type="worksheet">
    <worksheetSource ref="A1:J720" sheet="Train Data"/>
  </cacheSource>
  <cacheFields count="10">
    <cacheField name="Borrower_ID" numFmtId="0">
      <sharedItems/>
    </cacheField>
    <cacheField name="Industry" numFmtId="0">
      <sharedItems count="6">
        <s v="Manufacturing"/>
        <s v="Transportation"/>
        <s v="Construction"/>
        <s v="Pharma"/>
        <s v="Retail"/>
        <s v="IT Services"/>
      </sharedItems>
    </cacheField>
    <cacheField name="Revenue_Mn" numFmtId="0">
      <sharedItems containsSemiMixedTypes="0" containsString="0" containsNumber="1" containsInteger="1" minValue="50" maxValue="500"/>
    </cacheField>
    <cacheField name="Leverage" numFmtId="0">
      <sharedItems containsSemiMixedTypes="0" containsString="0" containsNumber="1" minValue="0.5" maxValue="8"/>
    </cacheField>
    <cacheField name="Interest_Coverage" numFmtId="0">
      <sharedItems containsSemiMixedTypes="0" containsString="0" containsNumber="1" minValue="0.6" maxValue="10"/>
    </cacheField>
    <cacheField name="DSCR" numFmtId="0">
      <sharedItems containsSemiMixedTypes="0" containsString="0" containsNumber="1" minValue="0.5" maxValue="3"/>
    </cacheField>
    <cacheField name="Rating" numFmtId="0">
      <sharedItems count="4">
        <s v="BBB"/>
        <s v="BB"/>
        <s v="B"/>
        <s v="A"/>
      </sharedItems>
    </cacheField>
    <cacheField name="Default" numFmtId="0">
      <sharedItems containsSemiMixedTypes="0" containsString="0" containsNumber="1" containsInteger="1" minValue="0" maxValue="1"/>
    </cacheField>
    <cacheField name="Rand" numFmtId="168">
      <sharedItems containsSemiMixedTypes="0" containsString="0" containsNumber="1" minValue="1.4678307980326988E-3" maxValue="0.69760265008070899"/>
    </cacheField>
    <cacheField name="Dataset Type" numFmtId="0">
      <sharedItems count="1">
        <s v="Trai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SWARUPA MOHAPTRA" refreshedDate="46197.66597800926" createdVersion="8" refreshedVersion="8" minRefreshableVersion="3" recordCount="281" xr:uid="{188830B8-A532-4A13-8044-8A068E3B4F34}">
  <cacheSource type="worksheet">
    <worksheetSource ref="A1:J282" sheet="Test Data"/>
  </cacheSource>
  <cacheFields count="10">
    <cacheField name="Borrower_ID" numFmtId="0">
      <sharedItems/>
    </cacheField>
    <cacheField name="Industry" numFmtId="0">
      <sharedItems count="6">
        <s v="Transportation"/>
        <s v="Retail"/>
        <s v="IT Services"/>
        <s v="Construction"/>
        <s v="Pharma"/>
        <s v="Manufacturing"/>
      </sharedItems>
    </cacheField>
    <cacheField name="Revenue_Mn" numFmtId="0">
      <sharedItems containsSemiMixedTypes="0" containsString="0" containsNumber="1" containsInteger="1" minValue="54" maxValue="500"/>
    </cacheField>
    <cacheField name="Leverage" numFmtId="0">
      <sharedItems containsSemiMixedTypes="0" containsString="0" containsNumber="1" minValue="0.5" maxValue="8"/>
    </cacheField>
    <cacheField name="Interest_Coverage" numFmtId="0">
      <sharedItems containsSemiMixedTypes="0" containsString="0" containsNumber="1" minValue="0.5" maxValue="10"/>
    </cacheField>
    <cacheField name="DSCR" numFmtId="0">
      <sharedItems containsSemiMixedTypes="0" containsString="0" containsNumber="1" minValue="0.5" maxValue="3"/>
    </cacheField>
    <cacheField name="Rating" numFmtId="0">
      <sharedItems count="4">
        <s v="B"/>
        <s v="BBB"/>
        <s v="BB"/>
        <s v="A"/>
      </sharedItems>
    </cacheField>
    <cacheField name="Default" numFmtId="0">
      <sharedItems containsSemiMixedTypes="0" containsString="0" containsNumber="1" containsInteger="1" minValue="0" maxValue="1"/>
    </cacheField>
    <cacheField name="Rand" numFmtId="168">
      <sharedItems containsSemiMixedTypes="0" containsString="0" containsNumber="1" minValue="0.70041308217111575" maxValue="0.99906734363487559"/>
    </cacheField>
    <cacheField name="Dataset Type" numFmtId="0">
      <sharedItems count="1">
        <s v="Te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9">
  <r>
    <s v="C001"/>
    <x v="0"/>
    <n v="495"/>
    <n v="2.9"/>
    <n v="5.6"/>
    <n v="2.2000000000000002"/>
    <x v="0"/>
    <n v="0"/>
    <n v="0.49527598923784077"/>
    <x v="0"/>
  </r>
  <r>
    <s v="C003"/>
    <x v="0"/>
    <n v="57"/>
    <n v="4.8"/>
    <n v="9.3000000000000007"/>
    <n v="1.1000000000000001"/>
    <x v="1"/>
    <n v="0"/>
    <n v="0.21806798038781738"/>
    <x v="0"/>
  </r>
  <r>
    <s v="C004"/>
    <x v="1"/>
    <n v="441"/>
    <n v="6.4"/>
    <n v="4.8"/>
    <n v="2"/>
    <x v="2"/>
    <n v="0"/>
    <n v="0.55658265498754445"/>
    <x v="0"/>
  </r>
  <r>
    <s v="C005"/>
    <x v="0"/>
    <n v="147"/>
    <n v="1.7"/>
    <n v="7.6"/>
    <n v="1.3"/>
    <x v="3"/>
    <n v="0"/>
    <n v="0.42458791556365982"/>
    <x v="0"/>
  </r>
  <r>
    <s v="C006"/>
    <x v="2"/>
    <n v="166"/>
    <n v="3.4"/>
    <n v="1.4"/>
    <n v="2.8"/>
    <x v="0"/>
    <n v="0"/>
    <n v="0.23905027758091535"/>
    <x v="0"/>
  </r>
  <r>
    <s v="C008"/>
    <x v="3"/>
    <n v="204"/>
    <n v="2.2000000000000002"/>
    <n v="5.4"/>
    <n v="2.5"/>
    <x v="0"/>
    <n v="0"/>
    <n v="0.28543801350183484"/>
    <x v="0"/>
  </r>
  <r>
    <s v="C011"/>
    <x v="4"/>
    <n v="463"/>
    <n v="6"/>
    <n v="1.8"/>
    <n v="1.2"/>
    <x v="2"/>
    <n v="0"/>
    <n v="0.6865439949901313"/>
    <x v="0"/>
  </r>
  <r>
    <s v="C012"/>
    <x v="0"/>
    <n v="112"/>
    <n v="0.8"/>
    <n v="1.5"/>
    <n v="2.7"/>
    <x v="3"/>
    <n v="0"/>
    <n v="0.29793880174148601"/>
    <x v="0"/>
  </r>
  <r>
    <s v="C013"/>
    <x v="3"/>
    <n v="232"/>
    <n v="6.6"/>
    <n v="9.3000000000000007"/>
    <n v="2.8"/>
    <x v="2"/>
    <n v="0"/>
    <n v="0.2562874108379386"/>
    <x v="0"/>
  </r>
  <r>
    <s v="C014"/>
    <x v="2"/>
    <n v="188"/>
    <n v="6"/>
    <n v="8.6"/>
    <n v="2.1"/>
    <x v="2"/>
    <n v="0"/>
    <n v="0.13678795729161031"/>
    <x v="0"/>
  </r>
  <r>
    <s v="C015"/>
    <x v="3"/>
    <n v="276"/>
    <n v="1.3"/>
    <n v="7.7"/>
    <n v="2.2999999999999998"/>
    <x v="3"/>
    <n v="0"/>
    <n v="0.56682798606506601"/>
    <x v="0"/>
  </r>
  <r>
    <s v="C016"/>
    <x v="0"/>
    <n v="87"/>
    <n v="3.8"/>
    <n v="3.6"/>
    <n v="0.8"/>
    <x v="0"/>
    <n v="0"/>
    <n v="0.54864673829540633"/>
    <x v="0"/>
  </r>
  <r>
    <s v="C017"/>
    <x v="4"/>
    <n v="399"/>
    <n v="1.7"/>
    <n v="9"/>
    <n v="0.7"/>
    <x v="3"/>
    <n v="0"/>
    <n v="0.54022559697516015"/>
    <x v="0"/>
  </r>
  <r>
    <s v="C018"/>
    <x v="0"/>
    <n v="376"/>
    <n v="5"/>
    <n v="6.1"/>
    <n v="2"/>
    <x v="1"/>
    <n v="0"/>
    <n v="0.67120944135495197"/>
    <x v="0"/>
  </r>
  <r>
    <s v="C019"/>
    <x v="3"/>
    <n v="442"/>
    <n v="1.8"/>
    <n v="9.6999999999999993"/>
    <n v="1.4"/>
    <x v="3"/>
    <n v="0"/>
    <n v="0.15652730808893511"/>
    <x v="0"/>
  </r>
  <r>
    <s v="C020"/>
    <x v="1"/>
    <n v="451"/>
    <n v="2.2999999999999998"/>
    <n v="5.9"/>
    <n v="1.8"/>
    <x v="0"/>
    <n v="0"/>
    <n v="0.34025853648496363"/>
    <x v="0"/>
  </r>
  <r>
    <s v="C021"/>
    <x v="3"/>
    <n v="451"/>
    <n v="2.8"/>
    <n v="2.4"/>
    <n v="2"/>
    <x v="0"/>
    <n v="0"/>
    <n v="0.15743363423404055"/>
    <x v="0"/>
  </r>
  <r>
    <s v="C022"/>
    <x v="4"/>
    <n v="491"/>
    <n v="1.8"/>
    <n v="6.5"/>
    <n v="0.6"/>
    <x v="3"/>
    <n v="0"/>
    <n v="0.53248923755584743"/>
    <x v="0"/>
  </r>
  <r>
    <s v="C023"/>
    <x v="0"/>
    <n v="187"/>
    <n v="6.4"/>
    <n v="0.9"/>
    <n v="2.7"/>
    <x v="2"/>
    <n v="0"/>
    <n v="6.2596724723578467E-2"/>
    <x v="0"/>
  </r>
  <r>
    <s v="C024"/>
    <x v="0"/>
    <n v="382"/>
    <n v="4.9000000000000004"/>
    <n v="5.0999999999999996"/>
    <n v="0.5"/>
    <x v="1"/>
    <n v="0"/>
    <n v="0.33297727597636273"/>
    <x v="0"/>
  </r>
  <r>
    <s v="C025"/>
    <x v="1"/>
    <n v="450"/>
    <n v="4.4000000000000004"/>
    <n v="1.8"/>
    <n v="0.8"/>
    <x v="1"/>
    <n v="0"/>
    <n v="1.428437875828259E-2"/>
    <x v="0"/>
  </r>
  <r>
    <s v="C027"/>
    <x v="1"/>
    <n v="82"/>
    <n v="2.9"/>
    <n v="9.6999999999999993"/>
    <n v="2.1"/>
    <x v="0"/>
    <n v="0"/>
    <n v="0.25108914876231869"/>
    <x v="0"/>
  </r>
  <r>
    <s v="C028"/>
    <x v="4"/>
    <n v="123"/>
    <n v="1.1000000000000001"/>
    <n v="5.5"/>
    <n v="2"/>
    <x v="3"/>
    <n v="0"/>
    <n v="0.21267755844826719"/>
    <x v="0"/>
  </r>
  <r>
    <s v="C029"/>
    <x v="1"/>
    <n v="297"/>
    <n v="3.6"/>
    <n v="8.8000000000000007"/>
    <n v="2"/>
    <x v="0"/>
    <n v="0"/>
    <n v="0.69419947434331941"/>
    <x v="0"/>
  </r>
  <r>
    <s v="C030"/>
    <x v="5"/>
    <n v="152"/>
    <n v="7.6"/>
    <n v="4.2"/>
    <n v="2.9"/>
    <x v="2"/>
    <n v="0"/>
    <n v="0.46691081768165377"/>
    <x v="0"/>
  </r>
  <r>
    <s v="C031"/>
    <x v="5"/>
    <n v="282"/>
    <n v="1.6"/>
    <n v="9.9"/>
    <n v="2.2999999999999998"/>
    <x v="3"/>
    <n v="0"/>
    <n v="9.5367187563797029E-2"/>
    <x v="0"/>
  </r>
  <r>
    <s v="C033"/>
    <x v="0"/>
    <n v="215"/>
    <n v="4.4000000000000004"/>
    <n v="2.9"/>
    <n v="2"/>
    <x v="1"/>
    <n v="0"/>
    <n v="6.2307706256110262E-2"/>
    <x v="0"/>
  </r>
  <r>
    <s v="C035"/>
    <x v="3"/>
    <n v="308"/>
    <n v="7.8"/>
    <n v="2.7"/>
    <n v="2.2000000000000002"/>
    <x v="2"/>
    <n v="0"/>
    <n v="0.43675380015538223"/>
    <x v="0"/>
  </r>
  <r>
    <s v="C036"/>
    <x v="2"/>
    <n v="308"/>
    <n v="5.6"/>
    <n v="8.8000000000000007"/>
    <n v="1"/>
    <x v="1"/>
    <n v="0"/>
    <n v="0.60035381417733513"/>
    <x v="0"/>
  </r>
  <r>
    <s v="C037"/>
    <x v="3"/>
    <n v="239"/>
    <n v="0.9"/>
    <n v="5.3"/>
    <n v="2.6"/>
    <x v="3"/>
    <n v="0"/>
    <n v="0.51128886993358502"/>
    <x v="0"/>
  </r>
  <r>
    <s v="C038"/>
    <x v="1"/>
    <n v="384"/>
    <n v="7.1"/>
    <n v="5.6"/>
    <n v="2.5"/>
    <x v="2"/>
    <n v="0"/>
    <n v="0.63128593603191374"/>
    <x v="0"/>
  </r>
  <r>
    <s v="C041"/>
    <x v="4"/>
    <n v="82"/>
    <n v="1"/>
    <n v="9"/>
    <n v="1.8"/>
    <x v="3"/>
    <n v="0"/>
    <n v="0.36488171503122346"/>
    <x v="0"/>
  </r>
  <r>
    <s v="C042"/>
    <x v="3"/>
    <n v="282"/>
    <n v="7.9"/>
    <n v="7.2"/>
    <n v="1.4"/>
    <x v="2"/>
    <n v="0"/>
    <n v="0.50576626931250745"/>
    <x v="0"/>
  </r>
  <r>
    <s v="C043"/>
    <x v="0"/>
    <n v="466"/>
    <n v="3.1"/>
    <n v="4.2"/>
    <n v="1.6"/>
    <x v="0"/>
    <n v="0"/>
    <n v="0.46083834781212607"/>
    <x v="0"/>
  </r>
  <r>
    <s v="C045"/>
    <x v="0"/>
    <n v="212"/>
    <n v="4"/>
    <n v="7"/>
    <n v="2.1"/>
    <x v="1"/>
    <n v="0"/>
    <n v="0.69127340451315289"/>
    <x v="0"/>
  </r>
  <r>
    <s v="C046"/>
    <x v="2"/>
    <n v="478"/>
    <n v="2.1"/>
    <n v="3.7"/>
    <n v="2.5"/>
    <x v="0"/>
    <n v="0"/>
    <n v="0.21521692154022531"/>
    <x v="0"/>
  </r>
  <r>
    <s v="C048"/>
    <x v="3"/>
    <n v="181"/>
    <n v="2"/>
    <n v="9"/>
    <n v="0.6"/>
    <x v="0"/>
    <n v="0"/>
    <n v="0.1263789418147252"/>
    <x v="0"/>
  </r>
  <r>
    <s v="C049"/>
    <x v="1"/>
    <n v="284"/>
    <n v="0.9"/>
    <n v="8.8000000000000007"/>
    <n v="0.6"/>
    <x v="3"/>
    <n v="0"/>
    <n v="0.20801183625756259"/>
    <x v="0"/>
  </r>
  <r>
    <s v="C050"/>
    <x v="4"/>
    <n v="347"/>
    <n v="5.6"/>
    <n v="7.5"/>
    <n v="2.2000000000000002"/>
    <x v="1"/>
    <n v="0"/>
    <n v="0.67003059651130037"/>
    <x v="0"/>
  </r>
  <r>
    <s v="C051"/>
    <x v="5"/>
    <n v="329"/>
    <n v="2"/>
    <n v="7.5"/>
    <n v="0.8"/>
    <x v="0"/>
    <n v="0"/>
    <n v="0.25230060599266868"/>
    <x v="0"/>
  </r>
  <r>
    <s v="C052"/>
    <x v="4"/>
    <n v="223"/>
    <n v="5.3"/>
    <n v="3.7"/>
    <n v="2.2000000000000002"/>
    <x v="1"/>
    <n v="0"/>
    <n v="0.33530307492576317"/>
    <x v="0"/>
  </r>
  <r>
    <s v="C054"/>
    <x v="4"/>
    <n v="136"/>
    <n v="0.6"/>
    <n v="7.2"/>
    <n v="1.8"/>
    <x v="3"/>
    <n v="0"/>
    <n v="5.7940355418192313E-3"/>
    <x v="0"/>
  </r>
  <r>
    <s v="C055"/>
    <x v="3"/>
    <n v="359"/>
    <n v="2"/>
    <n v="3.7"/>
    <n v="2.9"/>
    <x v="0"/>
    <n v="0"/>
    <n v="0.37550776195226221"/>
    <x v="0"/>
  </r>
  <r>
    <s v="C056"/>
    <x v="3"/>
    <n v="456"/>
    <n v="6.5"/>
    <n v="5.7"/>
    <n v="0.9"/>
    <x v="2"/>
    <n v="0"/>
    <n v="9.3894544817863856E-2"/>
    <x v="0"/>
  </r>
  <r>
    <s v="C057"/>
    <x v="5"/>
    <n v="499"/>
    <n v="3.9"/>
    <n v="3.1"/>
    <n v="1.4"/>
    <x v="0"/>
    <n v="0"/>
    <n v="0.36717839109035688"/>
    <x v="0"/>
  </r>
  <r>
    <s v="C059"/>
    <x v="3"/>
    <n v="242"/>
    <n v="2.8"/>
    <n v="1.9"/>
    <n v="2.8"/>
    <x v="0"/>
    <n v="0"/>
    <n v="0.10621223789653245"/>
    <x v="0"/>
  </r>
  <r>
    <s v="C060"/>
    <x v="4"/>
    <n v="127"/>
    <n v="7.1"/>
    <n v="3"/>
    <n v="2.8"/>
    <x v="2"/>
    <n v="0"/>
    <n v="0.69437017673231749"/>
    <x v="0"/>
  </r>
  <r>
    <s v="C061"/>
    <x v="1"/>
    <n v="146"/>
    <n v="7.8"/>
    <n v="5.3"/>
    <n v="1.9"/>
    <x v="2"/>
    <n v="0"/>
    <n v="0.38932820259957635"/>
    <x v="0"/>
  </r>
  <r>
    <s v="C062"/>
    <x v="0"/>
    <n v="281"/>
    <n v="7.2"/>
    <n v="1"/>
    <n v="2.5"/>
    <x v="2"/>
    <n v="0"/>
    <n v="0.15743707230396031"/>
    <x v="0"/>
  </r>
  <r>
    <s v="C063"/>
    <x v="4"/>
    <n v="167"/>
    <n v="3"/>
    <n v="2.1"/>
    <n v="2.7"/>
    <x v="0"/>
    <n v="0"/>
    <n v="0.60575543907367169"/>
    <x v="0"/>
  </r>
  <r>
    <s v="C064"/>
    <x v="0"/>
    <n v="114"/>
    <n v="5.4"/>
    <n v="4.3"/>
    <n v="1.9"/>
    <x v="1"/>
    <n v="0"/>
    <n v="0.48435244436368452"/>
    <x v="0"/>
  </r>
  <r>
    <s v="C065"/>
    <x v="5"/>
    <n v="394"/>
    <n v="5.0999999999999996"/>
    <n v="5.3"/>
    <n v="1.3"/>
    <x v="1"/>
    <n v="0"/>
    <n v="0.55573152327775144"/>
    <x v="0"/>
  </r>
  <r>
    <s v="C068"/>
    <x v="2"/>
    <n v="352"/>
    <n v="4.0999999999999996"/>
    <n v="3.7"/>
    <n v="0.6"/>
    <x v="1"/>
    <n v="0"/>
    <n v="0.59198154830081473"/>
    <x v="0"/>
  </r>
  <r>
    <s v="C069"/>
    <x v="5"/>
    <n v="60"/>
    <n v="6.5"/>
    <n v="4.7"/>
    <n v="2.2999999999999998"/>
    <x v="2"/>
    <n v="0"/>
    <n v="4.7559764942437521E-3"/>
    <x v="0"/>
  </r>
  <r>
    <s v="C071"/>
    <x v="1"/>
    <n v="473"/>
    <n v="1"/>
    <n v="4"/>
    <n v="3"/>
    <x v="3"/>
    <n v="0"/>
    <n v="0.47454737609497777"/>
    <x v="0"/>
  </r>
  <r>
    <s v="C072"/>
    <x v="5"/>
    <n v="449"/>
    <n v="7.7"/>
    <n v="2.2000000000000002"/>
    <n v="1.9"/>
    <x v="2"/>
    <n v="0"/>
    <n v="0.4415907972282852"/>
    <x v="0"/>
  </r>
  <r>
    <s v="C073"/>
    <x v="5"/>
    <n v="326"/>
    <n v="6.3"/>
    <n v="3.4"/>
    <n v="2.2999999999999998"/>
    <x v="2"/>
    <n v="0"/>
    <n v="0.38852544777315001"/>
    <x v="0"/>
  </r>
  <r>
    <s v="C075"/>
    <x v="1"/>
    <n v="354"/>
    <n v="4"/>
    <n v="8.1"/>
    <n v="1.7"/>
    <x v="1"/>
    <n v="0"/>
    <n v="0.2470843295765156"/>
    <x v="0"/>
  </r>
  <r>
    <s v="C076"/>
    <x v="5"/>
    <n v="295"/>
    <n v="7"/>
    <n v="6.1"/>
    <n v="2"/>
    <x v="2"/>
    <n v="0"/>
    <n v="0.44992426803011709"/>
    <x v="0"/>
  </r>
  <r>
    <s v="C077"/>
    <x v="5"/>
    <n v="52"/>
    <n v="1.1000000000000001"/>
    <n v="7"/>
    <n v="1.5"/>
    <x v="3"/>
    <n v="0"/>
    <n v="0.1962614924262569"/>
    <x v="0"/>
  </r>
  <r>
    <s v="C079"/>
    <x v="3"/>
    <n v="316"/>
    <n v="2.7"/>
    <n v="4.5999999999999996"/>
    <n v="1.8"/>
    <x v="0"/>
    <n v="0"/>
    <n v="0.18261741748741844"/>
    <x v="0"/>
  </r>
  <r>
    <s v="C080"/>
    <x v="4"/>
    <n v="372"/>
    <n v="0.8"/>
    <n v="6.8"/>
    <n v="1.5"/>
    <x v="3"/>
    <n v="0"/>
    <n v="0.12398831394554666"/>
    <x v="0"/>
  </r>
  <r>
    <s v="C081"/>
    <x v="4"/>
    <n v="465"/>
    <n v="1.8"/>
    <n v="0.9"/>
    <n v="0.7"/>
    <x v="3"/>
    <n v="0"/>
    <n v="0.17149153789863469"/>
    <x v="0"/>
  </r>
  <r>
    <s v="C082"/>
    <x v="4"/>
    <n v="491"/>
    <n v="3.4"/>
    <n v="5.7"/>
    <n v="1.8"/>
    <x v="0"/>
    <n v="0"/>
    <n v="0.44215738777626701"/>
    <x v="0"/>
  </r>
  <r>
    <s v="C083"/>
    <x v="4"/>
    <n v="127"/>
    <n v="3.5"/>
    <n v="4.5999999999999996"/>
    <n v="1.6"/>
    <x v="0"/>
    <n v="0"/>
    <n v="0.24425081630609935"/>
    <x v="0"/>
  </r>
  <r>
    <s v="C084"/>
    <x v="0"/>
    <n v="149"/>
    <n v="1.4"/>
    <n v="5.5"/>
    <n v="1.6"/>
    <x v="3"/>
    <n v="0"/>
    <n v="0.26255565194676234"/>
    <x v="0"/>
  </r>
  <r>
    <s v="C085"/>
    <x v="4"/>
    <n v="162"/>
    <n v="7.2"/>
    <n v="9.6"/>
    <n v="2.2999999999999998"/>
    <x v="2"/>
    <n v="0"/>
    <n v="0.45119416727809414"/>
    <x v="0"/>
  </r>
  <r>
    <s v="C086"/>
    <x v="1"/>
    <n v="325"/>
    <n v="5.7"/>
    <n v="2.9"/>
    <n v="1.3"/>
    <x v="1"/>
    <n v="0"/>
    <n v="0.68418418944440662"/>
    <x v="0"/>
  </r>
  <r>
    <s v="C087"/>
    <x v="1"/>
    <n v="202"/>
    <n v="3"/>
    <n v="5.7"/>
    <n v="2.2000000000000002"/>
    <x v="0"/>
    <n v="0"/>
    <n v="0.48477465814271414"/>
    <x v="0"/>
  </r>
  <r>
    <s v="C090"/>
    <x v="1"/>
    <n v="178"/>
    <n v="1.6"/>
    <n v="1.3"/>
    <n v="2.7"/>
    <x v="3"/>
    <n v="0"/>
    <n v="0.40522153653462667"/>
    <x v="0"/>
  </r>
  <r>
    <s v="C092"/>
    <x v="3"/>
    <n v="273"/>
    <n v="1.3"/>
    <n v="6.9"/>
    <n v="0.6"/>
    <x v="3"/>
    <n v="0"/>
    <n v="0.15737555743587639"/>
    <x v="0"/>
  </r>
  <r>
    <s v="C093"/>
    <x v="4"/>
    <n v="488"/>
    <n v="5.2"/>
    <n v="3.9"/>
    <n v="2.7"/>
    <x v="1"/>
    <n v="0"/>
    <n v="0.11860251194809102"/>
    <x v="0"/>
  </r>
  <r>
    <s v="C096"/>
    <x v="3"/>
    <n v="140"/>
    <n v="2"/>
    <n v="4.5"/>
    <n v="1.9"/>
    <x v="0"/>
    <n v="0"/>
    <n v="6.8605653570962266E-2"/>
    <x v="0"/>
  </r>
  <r>
    <s v="C097"/>
    <x v="5"/>
    <n v="133"/>
    <n v="7.1"/>
    <n v="5.8"/>
    <n v="0.9"/>
    <x v="2"/>
    <n v="0"/>
    <n v="0.67154844766660005"/>
    <x v="0"/>
  </r>
  <r>
    <s v="C098"/>
    <x v="0"/>
    <n v="245"/>
    <n v="5.4"/>
    <n v="2.6"/>
    <n v="0.6"/>
    <x v="1"/>
    <n v="0"/>
    <n v="0.30507200073533813"/>
    <x v="0"/>
  </r>
  <r>
    <s v="C099"/>
    <x v="0"/>
    <n v="449"/>
    <n v="2"/>
    <n v="2.2999999999999998"/>
    <n v="0.7"/>
    <x v="0"/>
    <n v="0"/>
    <n v="0.28239317241638651"/>
    <x v="0"/>
  </r>
  <r>
    <s v="C100"/>
    <x v="1"/>
    <n v="297"/>
    <n v="4.3"/>
    <n v="1.2"/>
    <n v="1.1000000000000001"/>
    <x v="1"/>
    <n v="0"/>
    <n v="0.11094817572580684"/>
    <x v="0"/>
  </r>
  <r>
    <s v="C101"/>
    <x v="2"/>
    <n v="249"/>
    <n v="6.7"/>
    <n v="7.5"/>
    <n v="1.1000000000000001"/>
    <x v="2"/>
    <n v="0"/>
    <n v="0.64886258693444776"/>
    <x v="0"/>
  </r>
  <r>
    <s v="C102"/>
    <x v="4"/>
    <n v="358"/>
    <n v="7.8"/>
    <n v="0.9"/>
    <n v="1.2"/>
    <x v="2"/>
    <n v="0"/>
    <n v="0.5030408665685181"/>
    <x v="0"/>
  </r>
  <r>
    <s v="C103"/>
    <x v="1"/>
    <n v="363"/>
    <n v="3.6"/>
    <n v="3.9"/>
    <n v="1.4"/>
    <x v="0"/>
    <n v="0"/>
    <n v="0.40988896197206171"/>
    <x v="0"/>
  </r>
  <r>
    <s v="C105"/>
    <x v="0"/>
    <n v="213"/>
    <n v="2.4"/>
    <n v="1.8"/>
    <n v="2.7"/>
    <x v="0"/>
    <n v="0"/>
    <n v="1.8762027267431591E-3"/>
    <x v="0"/>
  </r>
  <r>
    <s v="C108"/>
    <x v="0"/>
    <n v="107"/>
    <n v="4.2"/>
    <n v="1.2"/>
    <n v="0.9"/>
    <x v="1"/>
    <n v="0"/>
    <n v="0.64369752467702901"/>
    <x v="0"/>
  </r>
  <r>
    <s v="C109"/>
    <x v="2"/>
    <n v="260"/>
    <n v="3.8"/>
    <n v="6.3"/>
    <n v="2.9"/>
    <x v="0"/>
    <n v="0"/>
    <n v="0.36539548803090727"/>
    <x v="0"/>
  </r>
  <r>
    <s v="C110"/>
    <x v="5"/>
    <n v="465"/>
    <n v="4.5"/>
    <n v="1.2"/>
    <n v="2.2999999999999998"/>
    <x v="1"/>
    <n v="0"/>
    <n v="0.38388908800855792"/>
    <x v="0"/>
  </r>
  <r>
    <s v="C111"/>
    <x v="3"/>
    <n v="391"/>
    <n v="3.7"/>
    <n v="7.7"/>
    <n v="2.9"/>
    <x v="0"/>
    <n v="0"/>
    <n v="0.65814030220377928"/>
    <x v="0"/>
  </r>
  <r>
    <s v="C112"/>
    <x v="1"/>
    <n v="272"/>
    <n v="4.3"/>
    <n v="4.3"/>
    <n v="2.9"/>
    <x v="1"/>
    <n v="0"/>
    <n v="1.0465712053437159E-2"/>
    <x v="0"/>
  </r>
  <r>
    <s v="C113"/>
    <x v="1"/>
    <n v="265"/>
    <n v="2.1"/>
    <n v="5.0999999999999996"/>
    <n v="1.3"/>
    <x v="0"/>
    <n v="0"/>
    <n v="6.568400983478595E-2"/>
    <x v="0"/>
  </r>
  <r>
    <s v="C114"/>
    <x v="0"/>
    <n v="263"/>
    <n v="1.3"/>
    <n v="7.7"/>
    <n v="1.3"/>
    <x v="3"/>
    <n v="0"/>
    <n v="0.14077241325406409"/>
    <x v="0"/>
  </r>
  <r>
    <s v="C115"/>
    <x v="2"/>
    <n v="89"/>
    <n v="1.7"/>
    <n v="2.8"/>
    <n v="1.6"/>
    <x v="3"/>
    <n v="0"/>
    <n v="0.39258231847486424"/>
    <x v="0"/>
  </r>
  <r>
    <s v="C116"/>
    <x v="5"/>
    <n v="411"/>
    <n v="6"/>
    <n v="4.7"/>
    <n v="2.8"/>
    <x v="2"/>
    <n v="0"/>
    <n v="0.28078141746004015"/>
    <x v="0"/>
  </r>
  <r>
    <s v="C120"/>
    <x v="4"/>
    <n v="264"/>
    <n v="2"/>
    <n v="0.6"/>
    <n v="1.2"/>
    <x v="0"/>
    <n v="0"/>
    <n v="0.37061796339865993"/>
    <x v="0"/>
  </r>
  <r>
    <s v="C121"/>
    <x v="2"/>
    <n v="494"/>
    <n v="3"/>
    <n v="6"/>
    <n v="1"/>
    <x v="0"/>
    <n v="0"/>
    <n v="0.5386491678615255"/>
    <x v="0"/>
  </r>
  <r>
    <s v="C122"/>
    <x v="3"/>
    <n v="149"/>
    <n v="7.6"/>
    <n v="8.1999999999999993"/>
    <n v="1.6"/>
    <x v="2"/>
    <n v="0"/>
    <n v="0.49105321786292733"/>
    <x v="0"/>
  </r>
  <r>
    <s v="C123"/>
    <x v="4"/>
    <n v="395"/>
    <n v="5.6"/>
    <n v="6.1"/>
    <n v="2.9"/>
    <x v="1"/>
    <n v="0"/>
    <n v="0.63047763754659436"/>
    <x v="0"/>
  </r>
  <r>
    <s v="C124"/>
    <x v="2"/>
    <n v="404"/>
    <n v="0.8"/>
    <n v="2.8"/>
    <n v="0.5"/>
    <x v="3"/>
    <n v="0"/>
    <n v="0.47754809384515218"/>
    <x v="0"/>
  </r>
  <r>
    <s v="C125"/>
    <x v="5"/>
    <n v="72"/>
    <n v="0.9"/>
    <n v="3"/>
    <n v="2.6"/>
    <x v="3"/>
    <n v="0"/>
    <n v="0.30811137651096865"/>
    <x v="0"/>
  </r>
  <r>
    <s v="C126"/>
    <x v="5"/>
    <n v="497"/>
    <n v="7.3"/>
    <n v="1.8"/>
    <n v="2"/>
    <x v="2"/>
    <n v="0"/>
    <n v="0.58315049160593269"/>
    <x v="0"/>
  </r>
  <r>
    <s v="C128"/>
    <x v="3"/>
    <n v="245"/>
    <n v="4.5999999999999996"/>
    <n v="8.9"/>
    <n v="1"/>
    <x v="1"/>
    <n v="0"/>
    <n v="0.53453278698247186"/>
    <x v="0"/>
  </r>
  <r>
    <s v="C129"/>
    <x v="4"/>
    <n v="156"/>
    <n v="7.7"/>
    <n v="2.9"/>
    <n v="1.5"/>
    <x v="2"/>
    <n v="0"/>
    <n v="0.62771624381955737"/>
    <x v="0"/>
  </r>
  <r>
    <s v="C134"/>
    <x v="4"/>
    <n v="446"/>
    <n v="4.2"/>
    <n v="9.3000000000000007"/>
    <n v="1.5"/>
    <x v="1"/>
    <n v="0"/>
    <n v="0.58894790437803524"/>
    <x v="0"/>
  </r>
  <r>
    <s v="C135"/>
    <x v="1"/>
    <n v="305"/>
    <n v="2.9"/>
    <n v="3.8"/>
    <n v="2.8"/>
    <x v="0"/>
    <n v="0"/>
    <n v="0.35738445521630935"/>
    <x v="0"/>
  </r>
  <r>
    <s v="C136"/>
    <x v="2"/>
    <n v="108"/>
    <n v="5.6"/>
    <n v="7.8"/>
    <n v="2.4"/>
    <x v="1"/>
    <n v="0"/>
    <n v="0.57973929433826554"/>
    <x v="0"/>
  </r>
  <r>
    <s v="C139"/>
    <x v="5"/>
    <n v="169"/>
    <n v="3.3"/>
    <n v="6.9"/>
    <n v="0.9"/>
    <x v="0"/>
    <n v="0"/>
    <n v="0.61119486248868116"/>
    <x v="0"/>
  </r>
  <r>
    <s v="C145"/>
    <x v="5"/>
    <n v="199"/>
    <n v="6.1"/>
    <n v="4.0999999999999996"/>
    <n v="2.1"/>
    <x v="2"/>
    <n v="0"/>
    <n v="0.11907392471402278"/>
    <x v="0"/>
  </r>
  <r>
    <s v="C146"/>
    <x v="5"/>
    <n v="337"/>
    <n v="5.5"/>
    <n v="5.4"/>
    <n v="2.2999999999999998"/>
    <x v="1"/>
    <n v="0"/>
    <n v="0.65966314004272208"/>
    <x v="0"/>
  </r>
  <r>
    <s v="C149"/>
    <x v="2"/>
    <n v="207"/>
    <n v="4.3"/>
    <n v="2.8"/>
    <n v="2.7"/>
    <x v="1"/>
    <n v="0"/>
    <n v="3.4121257429478913E-2"/>
    <x v="0"/>
  </r>
  <r>
    <s v="C150"/>
    <x v="4"/>
    <n v="348"/>
    <n v="4.7"/>
    <n v="5"/>
    <n v="2.5"/>
    <x v="1"/>
    <n v="0"/>
    <n v="3.6102294148436131E-2"/>
    <x v="0"/>
  </r>
  <r>
    <s v="C151"/>
    <x v="0"/>
    <n v="499"/>
    <n v="1.9"/>
    <n v="9.6999999999999993"/>
    <n v="1.1000000000000001"/>
    <x v="3"/>
    <n v="0"/>
    <n v="0.48123457424759841"/>
    <x v="0"/>
  </r>
  <r>
    <s v="C152"/>
    <x v="4"/>
    <n v="166"/>
    <n v="6.5"/>
    <n v="4.5999999999999996"/>
    <n v="0.9"/>
    <x v="2"/>
    <n v="0"/>
    <n v="0.1885536817377701"/>
    <x v="0"/>
  </r>
  <r>
    <s v="C154"/>
    <x v="1"/>
    <n v="186"/>
    <n v="3"/>
    <n v="1.9"/>
    <n v="1.3"/>
    <x v="0"/>
    <n v="0"/>
    <n v="0.55008315537689756"/>
    <x v="0"/>
  </r>
  <r>
    <s v="C156"/>
    <x v="0"/>
    <n v="386"/>
    <n v="5.9"/>
    <n v="8.5"/>
    <n v="0.6"/>
    <x v="1"/>
    <n v="0"/>
    <n v="0.27655670721782444"/>
    <x v="0"/>
  </r>
  <r>
    <s v="C157"/>
    <x v="0"/>
    <n v="238"/>
    <n v="6.2"/>
    <n v="7.8"/>
    <n v="1.7"/>
    <x v="2"/>
    <n v="0"/>
    <n v="0.65268472470813677"/>
    <x v="0"/>
  </r>
  <r>
    <s v="C158"/>
    <x v="1"/>
    <n v="199"/>
    <n v="7.3"/>
    <n v="7.3"/>
    <n v="1.8"/>
    <x v="2"/>
    <n v="0"/>
    <n v="0.57164285579342489"/>
    <x v="0"/>
  </r>
  <r>
    <s v="C159"/>
    <x v="1"/>
    <n v="57"/>
    <n v="7.4"/>
    <n v="7.8"/>
    <n v="0.7"/>
    <x v="2"/>
    <n v="0"/>
    <n v="4.9115802636889527E-2"/>
    <x v="0"/>
  </r>
  <r>
    <s v="C160"/>
    <x v="2"/>
    <n v="140"/>
    <n v="7.1"/>
    <n v="8.1999999999999993"/>
    <n v="3"/>
    <x v="2"/>
    <n v="0"/>
    <n v="0.20525974537773306"/>
    <x v="0"/>
  </r>
  <r>
    <s v="C161"/>
    <x v="5"/>
    <n v="205"/>
    <n v="5.7"/>
    <n v="3.4"/>
    <n v="1.5"/>
    <x v="1"/>
    <n v="0"/>
    <n v="0.49134481787295081"/>
    <x v="0"/>
  </r>
  <r>
    <s v="C162"/>
    <x v="5"/>
    <n v="240"/>
    <n v="0.7"/>
    <n v="8.1999999999999993"/>
    <n v="2.6"/>
    <x v="3"/>
    <n v="0"/>
    <n v="9.3609786804807915E-2"/>
    <x v="0"/>
  </r>
  <r>
    <s v="C163"/>
    <x v="4"/>
    <n v="331"/>
    <n v="0.9"/>
    <n v="3"/>
    <n v="0.7"/>
    <x v="3"/>
    <n v="0"/>
    <n v="0.57403871147477292"/>
    <x v="0"/>
  </r>
  <r>
    <s v="C165"/>
    <x v="4"/>
    <n v="156"/>
    <n v="4"/>
    <n v="3.3"/>
    <n v="2.4"/>
    <x v="1"/>
    <n v="0"/>
    <n v="0.10478301599754458"/>
    <x v="0"/>
  </r>
  <r>
    <s v="C166"/>
    <x v="3"/>
    <n v="155"/>
    <n v="4.8"/>
    <n v="7"/>
    <n v="2.7"/>
    <x v="1"/>
    <n v="0"/>
    <n v="0.4760081318461965"/>
    <x v="0"/>
  </r>
  <r>
    <s v="C167"/>
    <x v="1"/>
    <n v="90"/>
    <n v="7.4"/>
    <n v="6.6"/>
    <n v="0.7"/>
    <x v="2"/>
    <n v="0"/>
    <n v="0.32530604324253343"/>
    <x v="0"/>
  </r>
  <r>
    <s v="C168"/>
    <x v="1"/>
    <n v="116"/>
    <n v="0.6"/>
    <n v="1.9"/>
    <n v="1.7"/>
    <x v="3"/>
    <n v="0"/>
    <n v="0.2428443146786935"/>
    <x v="0"/>
  </r>
  <r>
    <s v="C170"/>
    <x v="0"/>
    <n v="392"/>
    <n v="5.8"/>
    <n v="6.6"/>
    <n v="1.7"/>
    <x v="1"/>
    <n v="0"/>
    <n v="0.42699947907633851"/>
    <x v="0"/>
  </r>
  <r>
    <s v="C171"/>
    <x v="0"/>
    <n v="476"/>
    <n v="3.6"/>
    <n v="6"/>
    <n v="1.8"/>
    <x v="0"/>
    <n v="0"/>
    <n v="0.58466094849983774"/>
    <x v="0"/>
  </r>
  <r>
    <s v="C172"/>
    <x v="0"/>
    <n v="337"/>
    <n v="5.6"/>
    <n v="7.9"/>
    <n v="1"/>
    <x v="1"/>
    <n v="0"/>
    <n v="0.65023292879378836"/>
    <x v="0"/>
  </r>
  <r>
    <s v="C173"/>
    <x v="5"/>
    <n v="248"/>
    <n v="0.8"/>
    <n v="2.4"/>
    <n v="1.3"/>
    <x v="3"/>
    <n v="0"/>
    <n v="0.38195324372427997"/>
    <x v="0"/>
  </r>
  <r>
    <s v="C177"/>
    <x v="3"/>
    <n v="269"/>
    <n v="3.3"/>
    <n v="9.8000000000000007"/>
    <n v="1.1000000000000001"/>
    <x v="0"/>
    <n v="0"/>
    <n v="0.64996412089345257"/>
    <x v="0"/>
  </r>
  <r>
    <s v="C179"/>
    <x v="4"/>
    <n v="224"/>
    <n v="7.4"/>
    <n v="3.7"/>
    <n v="1.6"/>
    <x v="2"/>
    <n v="0"/>
    <n v="0.13812698361176123"/>
    <x v="0"/>
  </r>
  <r>
    <s v="C180"/>
    <x v="2"/>
    <n v="319"/>
    <n v="1.3"/>
    <n v="6.7"/>
    <n v="2.4"/>
    <x v="3"/>
    <n v="0"/>
    <n v="0.29101199531434452"/>
    <x v="0"/>
  </r>
  <r>
    <s v="C181"/>
    <x v="3"/>
    <n v="139"/>
    <n v="5.2"/>
    <n v="5.9"/>
    <n v="2.4"/>
    <x v="1"/>
    <n v="0"/>
    <n v="0.39310491836906036"/>
    <x v="0"/>
  </r>
  <r>
    <s v="C184"/>
    <x v="0"/>
    <n v="330"/>
    <n v="7.7"/>
    <n v="8.9"/>
    <n v="2"/>
    <x v="2"/>
    <n v="0"/>
    <n v="0.15013846625581229"/>
    <x v="0"/>
  </r>
  <r>
    <s v="C186"/>
    <x v="3"/>
    <n v="326"/>
    <n v="7.3"/>
    <n v="6"/>
    <n v="2.6"/>
    <x v="2"/>
    <n v="0"/>
    <n v="0.19258404610780833"/>
    <x v="0"/>
  </r>
  <r>
    <s v="C188"/>
    <x v="1"/>
    <n v="469"/>
    <n v="4.7"/>
    <n v="9.6999999999999993"/>
    <n v="1.2"/>
    <x v="1"/>
    <n v="0"/>
    <n v="0.45641504620928897"/>
    <x v="0"/>
  </r>
  <r>
    <s v="C189"/>
    <x v="0"/>
    <n v="197"/>
    <n v="4.9000000000000004"/>
    <n v="0.8"/>
    <n v="1.2"/>
    <x v="1"/>
    <n v="0"/>
    <n v="0.13015002828551436"/>
    <x v="0"/>
  </r>
  <r>
    <s v="C191"/>
    <x v="2"/>
    <n v="468"/>
    <n v="4.7"/>
    <n v="0.9"/>
    <n v="2"/>
    <x v="1"/>
    <n v="0"/>
    <n v="0.21362244842508449"/>
    <x v="0"/>
  </r>
  <r>
    <s v="C192"/>
    <x v="3"/>
    <n v="435"/>
    <n v="3.2"/>
    <n v="2.7"/>
    <n v="0.7"/>
    <x v="0"/>
    <n v="0"/>
    <n v="0.65911802169368461"/>
    <x v="0"/>
  </r>
  <r>
    <s v="C195"/>
    <x v="5"/>
    <n v="102"/>
    <n v="6.3"/>
    <n v="8.1999999999999993"/>
    <n v="2.7"/>
    <x v="2"/>
    <n v="0"/>
    <n v="0.61106590447832532"/>
    <x v="0"/>
  </r>
  <r>
    <s v="C196"/>
    <x v="1"/>
    <n v="62"/>
    <n v="5.4"/>
    <n v="7.7"/>
    <n v="2.9"/>
    <x v="1"/>
    <n v="0"/>
    <n v="0.57535266036605393"/>
    <x v="0"/>
  </r>
  <r>
    <s v="C200"/>
    <x v="5"/>
    <n v="199"/>
    <n v="1.1000000000000001"/>
    <n v="2.1"/>
    <n v="1.5"/>
    <x v="3"/>
    <n v="0"/>
    <n v="0.35762445800039722"/>
    <x v="0"/>
  </r>
  <r>
    <s v="C201"/>
    <x v="4"/>
    <n v="422"/>
    <n v="4.5999999999999996"/>
    <n v="4.4000000000000004"/>
    <n v="0.6"/>
    <x v="1"/>
    <n v="0"/>
    <n v="0.60379894236193732"/>
    <x v="0"/>
  </r>
  <r>
    <s v="C202"/>
    <x v="0"/>
    <n v="93"/>
    <n v="7"/>
    <n v="8.9"/>
    <n v="1.9"/>
    <x v="2"/>
    <n v="0"/>
    <n v="2.6481326416889717E-2"/>
    <x v="0"/>
  </r>
  <r>
    <s v="C203"/>
    <x v="3"/>
    <n v="109"/>
    <n v="4.2"/>
    <n v="6.3"/>
    <n v="1.8"/>
    <x v="1"/>
    <n v="0"/>
    <n v="0.32362141806804379"/>
    <x v="0"/>
  </r>
  <r>
    <s v="C205"/>
    <x v="5"/>
    <n v="380"/>
    <n v="4.2"/>
    <n v="6.8"/>
    <n v="0.9"/>
    <x v="1"/>
    <n v="0"/>
    <n v="0.59240848061656859"/>
    <x v="0"/>
  </r>
  <r>
    <s v="C206"/>
    <x v="3"/>
    <n v="370"/>
    <n v="6.6"/>
    <n v="0.7"/>
    <n v="1.4"/>
    <x v="2"/>
    <n v="0"/>
    <n v="0.13661790411469299"/>
    <x v="0"/>
  </r>
  <r>
    <s v="C207"/>
    <x v="5"/>
    <n v="285"/>
    <n v="2.9"/>
    <n v="3.6"/>
    <n v="2.2999999999999998"/>
    <x v="0"/>
    <n v="0"/>
    <n v="0.62024616967313828"/>
    <x v="0"/>
  </r>
  <r>
    <s v="C208"/>
    <x v="5"/>
    <n v="53"/>
    <n v="5.8"/>
    <n v="1.6"/>
    <n v="1.3"/>
    <x v="1"/>
    <n v="0"/>
    <n v="0.10229964814591463"/>
    <x v="0"/>
  </r>
  <r>
    <s v="C209"/>
    <x v="4"/>
    <n v="430"/>
    <n v="6.7"/>
    <n v="6.1"/>
    <n v="2.8"/>
    <x v="2"/>
    <n v="0"/>
    <n v="0.59849889696366965"/>
    <x v="0"/>
  </r>
  <r>
    <s v="C216"/>
    <x v="3"/>
    <n v="50"/>
    <n v="3.6"/>
    <n v="5.9"/>
    <n v="2.8"/>
    <x v="0"/>
    <n v="0"/>
    <n v="0.5981236819435668"/>
    <x v="0"/>
  </r>
  <r>
    <s v="C218"/>
    <x v="0"/>
    <n v="419"/>
    <n v="7.3"/>
    <n v="4.7"/>
    <n v="0.7"/>
    <x v="2"/>
    <n v="0"/>
    <n v="0.41888301450314291"/>
    <x v="0"/>
  </r>
  <r>
    <s v="C219"/>
    <x v="3"/>
    <n v="330"/>
    <n v="6.7"/>
    <n v="1.6"/>
    <n v="1.7"/>
    <x v="2"/>
    <n v="0"/>
    <n v="0.58119153724305272"/>
    <x v="0"/>
  </r>
  <r>
    <s v="C220"/>
    <x v="5"/>
    <n v="147"/>
    <n v="6.1"/>
    <n v="4.5999999999999996"/>
    <n v="2.5"/>
    <x v="2"/>
    <n v="0"/>
    <n v="0.65128035137895923"/>
    <x v="0"/>
  </r>
  <r>
    <s v="C221"/>
    <x v="4"/>
    <n v="60"/>
    <n v="4.5999999999999996"/>
    <n v="4.0999999999999996"/>
    <n v="2.9"/>
    <x v="1"/>
    <n v="0"/>
    <n v="0.50669631722860142"/>
    <x v="0"/>
  </r>
  <r>
    <s v="C222"/>
    <x v="3"/>
    <n v="482"/>
    <n v="3.8"/>
    <n v="6.8"/>
    <n v="3"/>
    <x v="0"/>
    <n v="0"/>
    <n v="0.49834995868371346"/>
    <x v="0"/>
  </r>
  <r>
    <s v="C223"/>
    <x v="2"/>
    <n v="273"/>
    <n v="4.4000000000000004"/>
    <n v="6.5"/>
    <n v="2"/>
    <x v="1"/>
    <n v="0"/>
    <n v="0.19545234988326754"/>
    <x v="0"/>
  </r>
  <r>
    <s v="C224"/>
    <x v="3"/>
    <n v="475"/>
    <n v="0.5"/>
    <n v="2.8"/>
    <n v="0.6"/>
    <x v="3"/>
    <n v="0"/>
    <n v="0.66105880165665765"/>
    <x v="0"/>
  </r>
  <r>
    <s v="C225"/>
    <x v="5"/>
    <n v="310"/>
    <n v="7.8"/>
    <n v="5.3"/>
    <n v="1"/>
    <x v="2"/>
    <n v="0"/>
    <n v="0.59144318784281891"/>
    <x v="0"/>
  </r>
  <r>
    <s v="C226"/>
    <x v="5"/>
    <n v="444"/>
    <n v="6.9"/>
    <n v="9"/>
    <n v="1"/>
    <x v="2"/>
    <n v="0"/>
    <n v="0.17785074249544863"/>
    <x v="0"/>
  </r>
  <r>
    <s v="C227"/>
    <x v="5"/>
    <n v="151"/>
    <n v="2.7"/>
    <n v="3.6"/>
    <n v="1.5"/>
    <x v="0"/>
    <n v="0"/>
    <n v="0.1682870927303225"/>
    <x v="0"/>
  </r>
  <r>
    <s v="C228"/>
    <x v="0"/>
    <n v="370"/>
    <n v="4.2"/>
    <n v="2.1"/>
    <n v="1.5"/>
    <x v="1"/>
    <n v="0"/>
    <n v="0.18640815435499869"/>
    <x v="0"/>
  </r>
  <r>
    <s v="C229"/>
    <x v="1"/>
    <n v="206"/>
    <n v="4.4000000000000004"/>
    <n v="0.8"/>
    <n v="1.6"/>
    <x v="1"/>
    <n v="0"/>
    <n v="0.38123937035890598"/>
    <x v="0"/>
  </r>
  <r>
    <s v="C232"/>
    <x v="2"/>
    <n v="204"/>
    <n v="6.2"/>
    <n v="1.2"/>
    <n v="0.9"/>
    <x v="2"/>
    <n v="1"/>
    <n v="0.17822856482622551"/>
    <x v="0"/>
  </r>
  <r>
    <s v="C233"/>
    <x v="0"/>
    <n v="215"/>
    <n v="6.8"/>
    <n v="4.0999999999999996"/>
    <n v="1.3"/>
    <x v="2"/>
    <n v="0"/>
    <n v="0.66040921723356083"/>
    <x v="0"/>
  </r>
  <r>
    <s v="C234"/>
    <x v="2"/>
    <n v="371"/>
    <n v="6.7"/>
    <n v="3.6"/>
    <n v="2.7"/>
    <x v="2"/>
    <n v="0"/>
    <n v="0.17105611899921269"/>
    <x v="0"/>
  </r>
  <r>
    <s v="C237"/>
    <x v="0"/>
    <n v="130"/>
    <n v="6"/>
    <n v="3.8"/>
    <n v="1.1000000000000001"/>
    <x v="2"/>
    <n v="0"/>
    <n v="9.0065861639041955E-2"/>
    <x v="0"/>
  </r>
  <r>
    <s v="C238"/>
    <x v="2"/>
    <n v="91"/>
    <n v="3"/>
    <n v="8.1"/>
    <n v="1.6"/>
    <x v="0"/>
    <n v="0"/>
    <n v="0.44187618025037523"/>
    <x v="0"/>
  </r>
  <r>
    <s v="C240"/>
    <x v="4"/>
    <n v="347"/>
    <n v="3"/>
    <n v="5"/>
    <n v="0.6"/>
    <x v="0"/>
    <n v="0"/>
    <n v="0.2810081001166187"/>
    <x v="0"/>
  </r>
  <r>
    <s v="C241"/>
    <x v="2"/>
    <n v="429"/>
    <n v="1.1000000000000001"/>
    <n v="3.9"/>
    <n v="2.5"/>
    <x v="3"/>
    <n v="0"/>
    <n v="0.27108516118671189"/>
    <x v="0"/>
  </r>
  <r>
    <s v="C243"/>
    <x v="0"/>
    <n v="476"/>
    <n v="5.6"/>
    <n v="9.4"/>
    <n v="0.8"/>
    <x v="1"/>
    <n v="0"/>
    <n v="0.38297739088180693"/>
    <x v="0"/>
  </r>
  <r>
    <s v="C244"/>
    <x v="5"/>
    <n v="94"/>
    <n v="3.1"/>
    <n v="6.4"/>
    <n v="1.2"/>
    <x v="0"/>
    <n v="0"/>
    <n v="0.48015400218847559"/>
    <x v="0"/>
  </r>
  <r>
    <s v="C245"/>
    <x v="1"/>
    <n v="64"/>
    <n v="1.7"/>
    <n v="6"/>
    <n v="1.8"/>
    <x v="3"/>
    <n v="0"/>
    <n v="0.3480326617684566"/>
    <x v="0"/>
  </r>
  <r>
    <s v="C247"/>
    <x v="1"/>
    <n v="485"/>
    <n v="6.3"/>
    <n v="4.9000000000000004"/>
    <n v="0.9"/>
    <x v="2"/>
    <n v="0"/>
    <n v="0.42652208939581748"/>
    <x v="0"/>
  </r>
  <r>
    <s v="C251"/>
    <x v="4"/>
    <n v="152"/>
    <n v="5.7"/>
    <n v="9.6999999999999993"/>
    <n v="2.4"/>
    <x v="1"/>
    <n v="0"/>
    <n v="0.58255491673088444"/>
    <x v="0"/>
  </r>
  <r>
    <s v="C252"/>
    <x v="2"/>
    <n v="331"/>
    <n v="2.6"/>
    <n v="9"/>
    <n v="2.8"/>
    <x v="0"/>
    <n v="0"/>
    <n v="9.5562892284533074E-3"/>
    <x v="0"/>
  </r>
  <r>
    <s v="C253"/>
    <x v="5"/>
    <n v="187"/>
    <n v="5.0999999999999996"/>
    <n v="5.3"/>
    <n v="1.6"/>
    <x v="1"/>
    <n v="0"/>
    <n v="0.22607524135426116"/>
    <x v="0"/>
  </r>
  <r>
    <s v="C254"/>
    <x v="5"/>
    <n v="373"/>
    <n v="1.6"/>
    <n v="9.9"/>
    <n v="1.5"/>
    <x v="3"/>
    <n v="0"/>
    <n v="0.5838400898135514"/>
    <x v="0"/>
  </r>
  <r>
    <s v="C255"/>
    <x v="1"/>
    <n v="239"/>
    <n v="4.3"/>
    <n v="9.6"/>
    <n v="2.1"/>
    <x v="1"/>
    <n v="0"/>
    <n v="0.41224067769225214"/>
    <x v="0"/>
  </r>
  <r>
    <s v="C256"/>
    <x v="0"/>
    <n v="404"/>
    <n v="5.0999999999999996"/>
    <n v="7"/>
    <n v="2.7"/>
    <x v="1"/>
    <n v="0"/>
    <n v="0.11600436059271768"/>
    <x v="0"/>
  </r>
  <r>
    <s v="C257"/>
    <x v="5"/>
    <n v="427"/>
    <n v="7"/>
    <n v="5.0999999999999996"/>
    <n v="2.9"/>
    <x v="2"/>
    <n v="0"/>
    <n v="0.36495395788853402"/>
    <x v="0"/>
  </r>
  <r>
    <s v="C259"/>
    <x v="4"/>
    <n v="147"/>
    <n v="7.9"/>
    <n v="9.8000000000000007"/>
    <n v="1.1000000000000001"/>
    <x v="2"/>
    <n v="0"/>
    <n v="0.25624799328480874"/>
    <x v="0"/>
  </r>
  <r>
    <s v="C260"/>
    <x v="4"/>
    <n v="267"/>
    <n v="8"/>
    <n v="9.8000000000000007"/>
    <n v="2.4"/>
    <x v="2"/>
    <n v="0"/>
    <n v="0.58916664129573748"/>
    <x v="0"/>
  </r>
  <r>
    <s v="C261"/>
    <x v="2"/>
    <n v="307"/>
    <n v="6.5"/>
    <n v="10"/>
    <n v="2.2999999999999998"/>
    <x v="2"/>
    <n v="0"/>
    <n v="0.48759313967066309"/>
    <x v="0"/>
  </r>
  <r>
    <s v="C262"/>
    <x v="0"/>
    <n v="500"/>
    <n v="3.1"/>
    <n v="4.0999999999999996"/>
    <n v="1.8"/>
    <x v="0"/>
    <n v="0"/>
    <n v="9.3920025379538807E-2"/>
    <x v="0"/>
  </r>
  <r>
    <s v="C263"/>
    <x v="5"/>
    <n v="439"/>
    <n v="4.7"/>
    <n v="2"/>
    <n v="2.2999999999999998"/>
    <x v="1"/>
    <n v="0"/>
    <n v="0.37929582283025898"/>
    <x v="0"/>
  </r>
  <r>
    <s v="C264"/>
    <x v="3"/>
    <n v="171"/>
    <n v="0.7"/>
    <n v="0.6"/>
    <n v="2.1"/>
    <x v="3"/>
    <n v="0"/>
    <n v="3.3471646024864077E-3"/>
    <x v="0"/>
  </r>
  <r>
    <s v="C265"/>
    <x v="4"/>
    <n v="349"/>
    <n v="5.0999999999999996"/>
    <n v="7.8"/>
    <n v="1.2"/>
    <x v="1"/>
    <n v="0"/>
    <n v="0.39191138394162095"/>
    <x v="0"/>
  </r>
  <r>
    <s v="C267"/>
    <x v="3"/>
    <n v="268"/>
    <n v="0.9"/>
    <n v="5.8"/>
    <n v="0.7"/>
    <x v="3"/>
    <n v="0"/>
    <n v="0.11519607521541331"/>
    <x v="0"/>
  </r>
  <r>
    <s v="C268"/>
    <x v="3"/>
    <n v="332"/>
    <n v="3.5"/>
    <n v="7.1"/>
    <n v="1.3"/>
    <x v="0"/>
    <n v="0"/>
    <n v="4.8584391029713347E-2"/>
    <x v="0"/>
  </r>
  <r>
    <s v="C269"/>
    <x v="2"/>
    <n v="213"/>
    <n v="7.2"/>
    <n v="5.6"/>
    <n v="0.9"/>
    <x v="2"/>
    <n v="0"/>
    <n v="0.30913046092707108"/>
    <x v="0"/>
  </r>
  <r>
    <s v="C270"/>
    <x v="1"/>
    <n v="244"/>
    <n v="5.5"/>
    <n v="3.3"/>
    <n v="0.6"/>
    <x v="1"/>
    <n v="0"/>
    <n v="0.46853309939406695"/>
    <x v="0"/>
  </r>
  <r>
    <s v="C271"/>
    <x v="1"/>
    <n v="260"/>
    <n v="2.1"/>
    <n v="2"/>
    <n v="0.7"/>
    <x v="0"/>
    <n v="0"/>
    <n v="0.43476113453495069"/>
    <x v="0"/>
  </r>
  <r>
    <s v="C272"/>
    <x v="2"/>
    <n v="126"/>
    <n v="4.5999999999999996"/>
    <n v="4.5"/>
    <n v="0.9"/>
    <x v="1"/>
    <n v="0"/>
    <n v="0.63892891992344913"/>
    <x v="0"/>
  </r>
  <r>
    <s v="C273"/>
    <x v="4"/>
    <n v="82"/>
    <n v="5"/>
    <n v="5.5"/>
    <n v="1.2"/>
    <x v="1"/>
    <n v="0"/>
    <n v="0.1216440245288366"/>
    <x v="0"/>
  </r>
  <r>
    <s v="C274"/>
    <x v="5"/>
    <n v="331"/>
    <n v="0.7"/>
    <n v="3.9"/>
    <n v="2.1"/>
    <x v="3"/>
    <n v="0"/>
    <n v="0.28722907075533211"/>
    <x v="0"/>
  </r>
  <r>
    <s v="C275"/>
    <x v="1"/>
    <n v="125"/>
    <n v="2.9"/>
    <n v="6.5"/>
    <n v="1.3"/>
    <x v="0"/>
    <n v="0"/>
    <n v="0.47627618132290561"/>
    <x v="0"/>
  </r>
  <r>
    <s v="C277"/>
    <x v="5"/>
    <n v="372"/>
    <n v="0.5"/>
    <n v="8.5"/>
    <n v="1.2"/>
    <x v="3"/>
    <n v="0"/>
    <n v="4.0540728146843508E-2"/>
    <x v="0"/>
  </r>
  <r>
    <s v="C278"/>
    <x v="4"/>
    <n v="498"/>
    <n v="3.6"/>
    <n v="4.5"/>
    <n v="1.7"/>
    <x v="0"/>
    <n v="0"/>
    <n v="0.26764447420919113"/>
    <x v="0"/>
  </r>
  <r>
    <s v="C280"/>
    <x v="3"/>
    <n v="456"/>
    <n v="6.7"/>
    <n v="5.7"/>
    <n v="0.8"/>
    <x v="2"/>
    <n v="0"/>
    <n v="0.51633817901263812"/>
    <x v="0"/>
  </r>
  <r>
    <s v="C281"/>
    <x v="4"/>
    <n v="156"/>
    <n v="7.8"/>
    <n v="6.8"/>
    <n v="2.7"/>
    <x v="2"/>
    <n v="0"/>
    <n v="0.14796903068224643"/>
    <x v="0"/>
  </r>
  <r>
    <s v="C282"/>
    <x v="0"/>
    <n v="413"/>
    <n v="1.6"/>
    <n v="0.7"/>
    <n v="2.1"/>
    <x v="3"/>
    <n v="0"/>
    <n v="0.45813584482979164"/>
    <x v="0"/>
  </r>
  <r>
    <s v="C284"/>
    <x v="3"/>
    <n v="320"/>
    <n v="7.2"/>
    <n v="2.8"/>
    <n v="2.2000000000000002"/>
    <x v="2"/>
    <n v="0"/>
    <n v="4.4394734061333874E-2"/>
    <x v="0"/>
  </r>
  <r>
    <s v="C286"/>
    <x v="4"/>
    <n v="407"/>
    <n v="1.4"/>
    <n v="9.1"/>
    <n v="1"/>
    <x v="3"/>
    <n v="0"/>
    <n v="0.69586333134718303"/>
    <x v="0"/>
  </r>
  <r>
    <s v="C287"/>
    <x v="0"/>
    <n v="177"/>
    <n v="6.8"/>
    <n v="6.6"/>
    <n v="1.6"/>
    <x v="2"/>
    <n v="0"/>
    <n v="0.61659709453652756"/>
    <x v="0"/>
  </r>
  <r>
    <s v="C288"/>
    <x v="1"/>
    <n v="367"/>
    <n v="6.3"/>
    <n v="3.8"/>
    <n v="1.7"/>
    <x v="2"/>
    <n v="0"/>
    <n v="0.33478397705785945"/>
    <x v="0"/>
  </r>
  <r>
    <s v="C289"/>
    <x v="3"/>
    <n v="348"/>
    <n v="4.5"/>
    <n v="7.1"/>
    <n v="2.2999999999999998"/>
    <x v="1"/>
    <n v="0"/>
    <n v="0.64785085659392583"/>
    <x v="0"/>
  </r>
  <r>
    <s v="C290"/>
    <x v="2"/>
    <n v="435"/>
    <n v="2.4"/>
    <n v="4"/>
    <n v="1.4"/>
    <x v="0"/>
    <n v="0"/>
    <n v="0.26596981673267772"/>
    <x v="0"/>
  </r>
  <r>
    <s v="C291"/>
    <x v="5"/>
    <n v="122"/>
    <n v="5.4"/>
    <n v="2.4"/>
    <n v="1.2"/>
    <x v="1"/>
    <n v="0"/>
    <n v="0.52281041935999395"/>
    <x v="0"/>
  </r>
  <r>
    <s v="C292"/>
    <x v="2"/>
    <n v="500"/>
    <n v="4.0999999999999996"/>
    <n v="2"/>
    <n v="1.5"/>
    <x v="1"/>
    <n v="0"/>
    <n v="0.22842237393745524"/>
    <x v="0"/>
  </r>
  <r>
    <s v="C293"/>
    <x v="4"/>
    <n v="283"/>
    <n v="3.2"/>
    <n v="6.4"/>
    <n v="2.6"/>
    <x v="0"/>
    <n v="0"/>
    <n v="0.34390207740793699"/>
    <x v="0"/>
  </r>
  <r>
    <s v="C295"/>
    <x v="0"/>
    <n v="207"/>
    <n v="1"/>
    <n v="7.7"/>
    <n v="1.4"/>
    <x v="3"/>
    <n v="0"/>
    <n v="0.18787101529194039"/>
    <x v="0"/>
  </r>
  <r>
    <s v="C297"/>
    <x v="2"/>
    <n v="118"/>
    <n v="1.1000000000000001"/>
    <n v="8.6999999999999993"/>
    <n v="1.1000000000000001"/>
    <x v="3"/>
    <n v="0"/>
    <n v="0.28428644619052912"/>
    <x v="0"/>
  </r>
  <r>
    <s v="C298"/>
    <x v="1"/>
    <n v="88"/>
    <n v="6.8"/>
    <n v="4"/>
    <n v="0.6"/>
    <x v="2"/>
    <n v="0"/>
    <n v="0.45499048580317913"/>
    <x v="0"/>
  </r>
  <r>
    <s v="C299"/>
    <x v="3"/>
    <n v="461"/>
    <n v="3.1"/>
    <n v="5.4"/>
    <n v="1.1000000000000001"/>
    <x v="0"/>
    <n v="0"/>
    <n v="0.21284870580513071"/>
    <x v="0"/>
  </r>
  <r>
    <s v="C300"/>
    <x v="1"/>
    <n v="390"/>
    <n v="4.8"/>
    <n v="5.8"/>
    <n v="2.6"/>
    <x v="1"/>
    <n v="0"/>
    <n v="0.15940857665883745"/>
    <x v="0"/>
  </r>
  <r>
    <s v="C301"/>
    <x v="0"/>
    <n v="139"/>
    <n v="6.6"/>
    <n v="2.6"/>
    <n v="1.4"/>
    <x v="2"/>
    <n v="0"/>
    <n v="0.6877269364251859"/>
    <x v="0"/>
  </r>
  <r>
    <s v="C302"/>
    <x v="3"/>
    <n v="107"/>
    <n v="3.7"/>
    <n v="2"/>
    <n v="0.7"/>
    <x v="0"/>
    <n v="0"/>
    <n v="0.53358242142304624"/>
    <x v="0"/>
  </r>
  <r>
    <s v="C303"/>
    <x v="4"/>
    <n v="451"/>
    <n v="3.2"/>
    <n v="4.5"/>
    <n v="0.8"/>
    <x v="0"/>
    <n v="0"/>
    <n v="0.31397521828562114"/>
    <x v="0"/>
  </r>
  <r>
    <s v="C307"/>
    <x v="3"/>
    <n v="311"/>
    <n v="3.7"/>
    <n v="7.9"/>
    <n v="1.2"/>
    <x v="0"/>
    <n v="0"/>
    <n v="0.56397203813477925"/>
    <x v="0"/>
  </r>
  <r>
    <s v="C309"/>
    <x v="5"/>
    <n v="236"/>
    <n v="2.7"/>
    <n v="8.1"/>
    <n v="0.8"/>
    <x v="0"/>
    <n v="0"/>
    <n v="0.60946872177696554"/>
    <x v="0"/>
  </r>
  <r>
    <s v="C310"/>
    <x v="4"/>
    <n v="421"/>
    <n v="1.4"/>
    <n v="1.2"/>
    <n v="2.2000000000000002"/>
    <x v="3"/>
    <n v="0"/>
    <n v="0.60647618366136224"/>
    <x v="0"/>
  </r>
  <r>
    <s v="C311"/>
    <x v="3"/>
    <n v="427"/>
    <n v="1.3"/>
    <n v="7.7"/>
    <n v="2.5"/>
    <x v="3"/>
    <n v="0"/>
    <n v="6.1648179357902122E-2"/>
    <x v="0"/>
  </r>
  <r>
    <s v="C312"/>
    <x v="2"/>
    <n v="288"/>
    <n v="0.5"/>
    <n v="9.1"/>
    <n v="1.8"/>
    <x v="3"/>
    <n v="0"/>
    <n v="0.52004965386741375"/>
    <x v="0"/>
  </r>
  <r>
    <s v="C314"/>
    <x v="3"/>
    <n v="210"/>
    <n v="7.3"/>
    <n v="6.9"/>
    <n v="2.7"/>
    <x v="2"/>
    <n v="0"/>
    <n v="0.43129852245273526"/>
    <x v="0"/>
  </r>
  <r>
    <s v="C315"/>
    <x v="2"/>
    <n v="296"/>
    <n v="6.9"/>
    <n v="2.5"/>
    <n v="0.9"/>
    <x v="2"/>
    <n v="0"/>
    <n v="1.9515423086967187E-2"/>
    <x v="0"/>
  </r>
  <r>
    <s v="C317"/>
    <x v="5"/>
    <n v="467"/>
    <n v="8"/>
    <n v="4.8"/>
    <n v="1.8"/>
    <x v="2"/>
    <n v="0"/>
    <n v="5.116601951061206E-2"/>
    <x v="0"/>
  </r>
  <r>
    <s v="C320"/>
    <x v="4"/>
    <n v="399"/>
    <n v="7.8"/>
    <n v="2.1"/>
    <n v="2.5"/>
    <x v="2"/>
    <n v="0"/>
    <n v="0.13525230940517785"/>
    <x v="0"/>
  </r>
  <r>
    <s v="C322"/>
    <x v="1"/>
    <n v="210"/>
    <n v="3.3"/>
    <n v="3.8"/>
    <n v="2.5"/>
    <x v="0"/>
    <n v="0"/>
    <n v="0.399244885740202"/>
    <x v="0"/>
  </r>
  <r>
    <s v="C323"/>
    <x v="3"/>
    <n v="278"/>
    <n v="5"/>
    <n v="4.0999999999999996"/>
    <n v="1.5"/>
    <x v="1"/>
    <n v="0"/>
    <n v="0.69663951097306254"/>
    <x v="0"/>
  </r>
  <r>
    <s v="C324"/>
    <x v="1"/>
    <n v="154"/>
    <n v="0.9"/>
    <n v="6.6"/>
    <n v="0.7"/>
    <x v="3"/>
    <n v="0"/>
    <n v="0.26477099329904641"/>
    <x v="0"/>
  </r>
  <r>
    <s v="C325"/>
    <x v="2"/>
    <n v="352"/>
    <n v="5.8"/>
    <n v="6.4"/>
    <n v="0.9"/>
    <x v="1"/>
    <n v="0"/>
    <n v="0.10473029384231081"/>
    <x v="0"/>
  </r>
  <r>
    <s v="C326"/>
    <x v="4"/>
    <n v="193"/>
    <n v="4.5999999999999996"/>
    <n v="9.8000000000000007"/>
    <n v="2.1"/>
    <x v="1"/>
    <n v="0"/>
    <n v="0.64669902147123703"/>
    <x v="0"/>
  </r>
  <r>
    <s v="C327"/>
    <x v="2"/>
    <n v="122"/>
    <n v="2.4"/>
    <n v="6.8"/>
    <n v="2.9"/>
    <x v="0"/>
    <n v="0"/>
    <n v="2.7971956181466306E-2"/>
    <x v="0"/>
  </r>
  <r>
    <s v="C328"/>
    <x v="5"/>
    <n v="244"/>
    <n v="2.7"/>
    <n v="6.8"/>
    <n v="1.6"/>
    <x v="0"/>
    <n v="0"/>
    <n v="0.59260869994098808"/>
    <x v="0"/>
  </r>
  <r>
    <s v="C330"/>
    <x v="4"/>
    <n v="244"/>
    <n v="7.7"/>
    <n v="8.1999999999999993"/>
    <n v="1.7"/>
    <x v="2"/>
    <n v="0"/>
    <n v="0.20868615173084515"/>
    <x v="0"/>
  </r>
  <r>
    <s v="C332"/>
    <x v="1"/>
    <n v="83"/>
    <n v="6.3"/>
    <n v="4.9000000000000004"/>
    <n v="2.9"/>
    <x v="2"/>
    <n v="0"/>
    <n v="0.55098658070258577"/>
    <x v="0"/>
  </r>
  <r>
    <s v="C333"/>
    <x v="3"/>
    <n v="449"/>
    <n v="2.8"/>
    <n v="6"/>
    <n v="2.2000000000000002"/>
    <x v="0"/>
    <n v="0"/>
    <n v="0.49980472397498754"/>
    <x v="0"/>
  </r>
  <r>
    <s v="C334"/>
    <x v="4"/>
    <n v="203"/>
    <n v="6.7"/>
    <n v="4.4000000000000004"/>
    <n v="1.6"/>
    <x v="2"/>
    <n v="0"/>
    <n v="0.28278125542107602"/>
    <x v="0"/>
  </r>
  <r>
    <s v="C336"/>
    <x v="3"/>
    <n v="297"/>
    <n v="4.9000000000000004"/>
    <n v="2.7"/>
    <n v="1"/>
    <x v="1"/>
    <n v="0"/>
    <n v="0.48379530978172369"/>
    <x v="0"/>
  </r>
  <r>
    <s v="C337"/>
    <x v="5"/>
    <n v="193"/>
    <n v="1.2"/>
    <n v="4.7"/>
    <n v="2"/>
    <x v="3"/>
    <n v="0"/>
    <n v="0.5578443003354332"/>
    <x v="0"/>
  </r>
  <r>
    <s v="C339"/>
    <x v="5"/>
    <n v="438"/>
    <n v="2.9"/>
    <n v="9.5"/>
    <n v="1.3"/>
    <x v="0"/>
    <n v="0"/>
    <n v="0.4086230050292915"/>
    <x v="0"/>
  </r>
  <r>
    <s v="C340"/>
    <x v="3"/>
    <n v="490"/>
    <n v="3.4"/>
    <n v="1.5"/>
    <n v="2.7"/>
    <x v="0"/>
    <n v="0"/>
    <n v="0.4697653274886594"/>
    <x v="0"/>
  </r>
  <r>
    <s v="C342"/>
    <x v="1"/>
    <n v="467"/>
    <n v="2.6"/>
    <n v="9.6999999999999993"/>
    <n v="2.8"/>
    <x v="0"/>
    <n v="0"/>
    <n v="2.6623991202180841E-2"/>
    <x v="0"/>
  </r>
  <r>
    <s v="C343"/>
    <x v="1"/>
    <n v="481"/>
    <n v="5.0999999999999996"/>
    <n v="8.1999999999999993"/>
    <n v="2.6"/>
    <x v="1"/>
    <n v="0"/>
    <n v="0.67400080954582531"/>
    <x v="0"/>
  </r>
  <r>
    <s v="C344"/>
    <x v="5"/>
    <n v="204"/>
    <n v="5.3"/>
    <n v="2.5"/>
    <n v="3"/>
    <x v="1"/>
    <n v="0"/>
    <n v="1.7028202307093343E-2"/>
    <x v="0"/>
  </r>
  <r>
    <s v="C345"/>
    <x v="4"/>
    <n v="307"/>
    <n v="6.4"/>
    <n v="4.8"/>
    <n v="0.9"/>
    <x v="2"/>
    <n v="0"/>
    <n v="0.36677528834311424"/>
    <x v="0"/>
  </r>
  <r>
    <s v="C346"/>
    <x v="3"/>
    <n v="252"/>
    <n v="5.0999999999999996"/>
    <n v="1.4"/>
    <n v="1.8"/>
    <x v="1"/>
    <n v="0"/>
    <n v="0.28348659551228161"/>
    <x v="0"/>
  </r>
  <r>
    <s v="C347"/>
    <x v="5"/>
    <n v="276"/>
    <n v="4.2"/>
    <n v="10"/>
    <n v="1.9"/>
    <x v="1"/>
    <n v="0"/>
    <n v="0.54897640963980188"/>
    <x v="0"/>
  </r>
  <r>
    <s v="C349"/>
    <x v="5"/>
    <n v="132"/>
    <n v="0.9"/>
    <n v="2.2000000000000002"/>
    <n v="2.9"/>
    <x v="3"/>
    <n v="0"/>
    <n v="0.21051037972492359"/>
    <x v="0"/>
  </r>
  <r>
    <s v="C350"/>
    <x v="4"/>
    <n v="78"/>
    <n v="7.5"/>
    <n v="8.6999999999999993"/>
    <n v="1.8"/>
    <x v="2"/>
    <n v="0"/>
    <n v="0.4144314042789341"/>
    <x v="0"/>
  </r>
  <r>
    <s v="C351"/>
    <x v="0"/>
    <n v="223"/>
    <n v="2.2000000000000002"/>
    <n v="4.2"/>
    <n v="2.8"/>
    <x v="0"/>
    <n v="0"/>
    <n v="9.2109797594434939E-2"/>
    <x v="0"/>
  </r>
  <r>
    <s v="C353"/>
    <x v="0"/>
    <n v="335"/>
    <n v="6.3"/>
    <n v="5.3"/>
    <n v="1.2"/>
    <x v="2"/>
    <n v="0"/>
    <n v="0.54322020125102277"/>
    <x v="0"/>
  </r>
  <r>
    <s v="C354"/>
    <x v="1"/>
    <n v="79"/>
    <n v="2.8"/>
    <n v="5.0999999999999996"/>
    <n v="2.9"/>
    <x v="0"/>
    <n v="0"/>
    <n v="5.0638978950962366E-2"/>
    <x v="0"/>
  </r>
  <r>
    <s v="C356"/>
    <x v="1"/>
    <n v="323"/>
    <n v="0.6"/>
    <n v="3.3"/>
    <n v="1"/>
    <x v="3"/>
    <n v="0"/>
    <n v="0.48619209348600279"/>
    <x v="0"/>
  </r>
  <r>
    <s v="C358"/>
    <x v="0"/>
    <n v="367"/>
    <n v="7.3"/>
    <n v="4.9000000000000004"/>
    <n v="2.6"/>
    <x v="2"/>
    <n v="0"/>
    <n v="0.28015327270847556"/>
    <x v="0"/>
  </r>
  <r>
    <s v="C360"/>
    <x v="0"/>
    <n v="51"/>
    <n v="7.8"/>
    <n v="0.6"/>
    <n v="2.7"/>
    <x v="2"/>
    <n v="0"/>
    <n v="0.62233456077985383"/>
    <x v="0"/>
  </r>
  <r>
    <s v="C361"/>
    <x v="0"/>
    <n v="487"/>
    <n v="3"/>
    <n v="1.5"/>
    <n v="2.6"/>
    <x v="0"/>
    <n v="0"/>
    <n v="0.17377717004165083"/>
    <x v="0"/>
  </r>
  <r>
    <s v="C362"/>
    <x v="3"/>
    <n v="200"/>
    <n v="2.7"/>
    <n v="5.3"/>
    <n v="2.5"/>
    <x v="0"/>
    <n v="0"/>
    <n v="0.10030921352958078"/>
    <x v="0"/>
  </r>
  <r>
    <s v="C363"/>
    <x v="3"/>
    <n v="155"/>
    <n v="7.4"/>
    <n v="3.5"/>
    <n v="2.7"/>
    <x v="2"/>
    <n v="0"/>
    <n v="0.13638857309973129"/>
    <x v="0"/>
  </r>
  <r>
    <s v="C364"/>
    <x v="5"/>
    <n v="178"/>
    <n v="2.1"/>
    <n v="6.6"/>
    <n v="0.6"/>
    <x v="0"/>
    <n v="0"/>
    <n v="0.57725377738242956"/>
    <x v="0"/>
  </r>
  <r>
    <s v="C367"/>
    <x v="5"/>
    <n v="487"/>
    <n v="7.2"/>
    <n v="8.1999999999999993"/>
    <n v="2.5"/>
    <x v="2"/>
    <n v="0"/>
    <n v="8.3458124435891512E-2"/>
    <x v="0"/>
  </r>
  <r>
    <s v="C368"/>
    <x v="3"/>
    <n v="404"/>
    <n v="1.8"/>
    <n v="6.6"/>
    <n v="0.6"/>
    <x v="3"/>
    <n v="0"/>
    <n v="0.29912222816636902"/>
    <x v="0"/>
  </r>
  <r>
    <s v="C369"/>
    <x v="4"/>
    <n v="458"/>
    <n v="6"/>
    <n v="5.8"/>
    <n v="2.4"/>
    <x v="2"/>
    <n v="0"/>
    <n v="0.52136571528142717"/>
    <x v="0"/>
  </r>
  <r>
    <s v="C371"/>
    <x v="2"/>
    <n v="269"/>
    <n v="7"/>
    <n v="7.9"/>
    <n v="0.7"/>
    <x v="2"/>
    <n v="0"/>
    <n v="3.5718760660009674E-2"/>
    <x v="0"/>
  </r>
  <r>
    <s v="C375"/>
    <x v="3"/>
    <n v="467"/>
    <n v="5.4"/>
    <n v="9.4"/>
    <n v="0.6"/>
    <x v="1"/>
    <n v="0"/>
    <n v="0.69760265008070899"/>
    <x v="0"/>
  </r>
  <r>
    <s v="C377"/>
    <x v="4"/>
    <n v="363"/>
    <n v="6.5"/>
    <n v="0.9"/>
    <n v="1.6"/>
    <x v="2"/>
    <n v="0"/>
    <n v="0.32429082979871537"/>
    <x v="0"/>
  </r>
  <r>
    <s v="C378"/>
    <x v="4"/>
    <n v="234"/>
    <n v="5.4"/>
    <n v="5.8"/>
    <n v="1.9"/>
    <x v="1"/>
    <n v="0"/>
    <n v="0.19764008673264388"/>
    <x v="0"/>
  </r>
  <r>
    <s v="C379"/>
    <x v="0"/>
    <n v="377"/>
    <n v="3.4"/>
    <n v="4.0999999999999996"/>
    <n v="2.4"/>
    <x v="0"/>
    <n v="0"/>
    <n v="0.12085315270689589"/>
    <x v="0"/>
  </r>
  <r>
    <s v="C380"/>
    <x v="2"/>
    <n v="411"/>
    <n v="3"/>
    <n v="9.8000000000000007"/>
    <n v="1.3"/>
    <x v="0"/>
    <n v="0"/>
    <n v="0.21904509563930463"/>
    <x v="0"/>
  </r>
  <r>
    <s v="C381"/>
    <x v="5"/>
    <n v="178"/>
    <n v="6.1"/>
    <n v="5.0999999999999996"/>
    <n v="1.3"/>
    <x v="2"/>
    <n v="0"/>
    <n v="5.4471622809246778E-3"/>
    <x v="0"/>
  </r>
  <r>
    <s v="C383"/>
    <x v="4"/>
    <n v="348"/>
    <n v="2"/>
    <n v="6.1"/>
    <n v="1.8"/>
    <x v="0"/>
    <n v="0"/>
    <n v="8.0068698732515764E-2"/>
    <x v="0"/>
  </r>
  <r>
    <s v="C384"/>
    <x v="5"/>
    <n v="221"/>
    <n v="2.2000000000000002"/>
    <n v="4.2"/>
    <n v="1.3"/>
    <x v="0"/>
    <n v="0"/>
    <n v="5.0901844703004073E-3"/>
    <x v="0"/>
  </r>
  <r>
    <s v="C385"/>
    <x v="3"/>
    <n v="257"/>
    <n v="1.8"/>
    <n v="0.6"/>
    <n v="2.4"/>
    <x v="3"/>
    <n v="0"/>
    <n v="0.66987813689495035"/>
    <x v="0"/>
  </r>
  <r>
    <s v="C386"/>
    <x v="3"/>
    <n v="426"/>
    <n v="2"/>
    <n v="1.8"/>
    <n v="1.4"/>
    <x v="0"/>
    <n v="0"/>
    <n v="8.122647533833538E-2"/>
    <x v="0"/>
  </r>
  <r>
    <s v="C387"/>
    <x v="5"/>
    <n v="402"/>
    <n v="1.4"/>
    <n v="6.3"/>
    <n v="2.8"/>
    <x v="3"/>
    <n v="0"/>
    <n v="9.1693026570462743E-2"/>
    <x v="0"/>
  </r>
  <r>
    <s v="C388"/>
    <x v="4"/>
    <n v="328"/>
    <n v="4"/>
    <n v="4.8"/>
    <n v="1.8"/>
    <x v="1"/>
    <n v="0"/>
    <n v="0.10167201185828556"/>
    <x v="0"/>
  </r>
  <r>
    <s v="C389"/>
    <x v="1"/>
    <n v="395"/>
    <n v="1.5"/>
    <n v="8.1999999999999993"/>
    <n v="2.8"/>
    <x v="3"/>
    <n v="0"/>
    <n v="0.18645224825981488"/>
    <x v="0"/>
  </r>
  <r>
    <s v="C390"/>
    <x v="1"/>
    <n v="456"/>
    <n v="2.2999999999999998"/>
    <n v="0.6"/>
    <n v="1.5"/>
    <x v="0"/>
    <n v="0"/>
    <n v="0.15779065678304638"/>
    <x v="0"/>
  </r>
  <r>
    <s v="C392"/>
    <x v="2"/>
    <n v="104"/>
    <n v="3.7"/>
    <n v="8"/>
    <n v="1.7"/>
    <x v="0"/>
    <n v="0"/>
    <n v="0.17950651784402372"/>
    <x v="0"/>
  </r>
  <r>
    <s v="C395"/>
    <x v="5"/>
    <n v="104"/>
    <n v="4.3"/>
    <n v="7.2"/>
    <n v="2.1"/>
    <x v="1"/>
    <n v="0"/>
    <n v="0.29077064101629135"/>
    <x v="0"/>
  </r>
  <r>
    <s v="C396"/>
    <x v="5"/>
    <n v="288"/>
    <n v="2.8"/>
    <n v="1"/>
    <n v="1.4"/>
    <x v="0"/>
    <n v="0"/>
    <n v="0.50829961030025905"/>
    <x v="0"/>
  </r>
  <r>
    <s v="C397"/>
    <x v="0"/>
    <n v="270"/>
    <n v="2.5"/>
    <n v="9.5"/>
    <n v="1.8"/>
    <x v="0"/>
    <n v="0"/>
    <n v="0.39172549306280213"/>
    <x v="0"/>
  </r>
  <r>
    <s v="C398"/>
    <x v="1"/>
    <n v="379"/>
    <n v="2.2000000000000002"/>
    <n v="9.1999999999999993"/>
    <n v="0.9"/>
    <x v="0"/>
    <n v="0"/>
    <n v="0.19025246362584114"/>
    <x v="0"/>
  </r>
  <r>
    <s v="C400"/>
    <x v="0"/>
    <n v="486"/>
    <n v="4.5999999999999996"/>
    <n v="1.5"/>
    <n v="1.2"/>
    <x v="1"/>
    <n v="0"/>
    <n v="0.45748723136662695"/>
    <x v="0"/>
  </r>
  <r>
    <s v="C402"/>
    <x v="0"/>
    <n v="148"/>
    <n v="3.4"/>
    <n v="5.2"/>
    <n v="2.5"/>
    <x v="0"/>
    <n v="0"/>
    <n v="9.8828042846681674E-2"/>
    <x v="0"/>
  </r>
  <r>
    <s v="C403"/>
    <x v="0"/>
    <n v="311"/>
    <n v="1.7"/>
    <n v="5.7"/>
    <n v="0.9"/>
    <x v="3"/>
    <n v="0"/>
    <n v="0.25043322227402298"/>
    <x v="0"/>
  </r>
  <r>
    <s v="C406"/>
    <x v="1"/>
    <n v="67"/>
    <n v="1.8"/>
    <n v="7.2"/>
    <n v="1"/>
    <x v="3"/>
    <n v="0"/>
    <n v="7.2622839554206675E-2"/>
    <x v="0"/>
  </r>
  <r>
    <s v="C407"/>
    <x v="2"/>
    <n v="116"/>
    <n v="2.8"/>
    <n v="8.6"/>
    <n v="1.6"/>
    <x v="0"/>
    <n v="0"/>
    <n v="0.26647647681068354"/>
    <x v="0"/>
  </r>
  <r>
    <s v="C409"/>
    <x v="2"/>
    <n v="408"/>
    <n v="7.1"/>
    <n v="5.4"/>
    <n v="1"/>
    <x v="2"/>
    <n v="0"/>
    <n v="0.43982630214278218"/>
    <x v="0"/>
  </r>
  <r>
    <s v="C410"/>
    <x v="4"/>
    <n v="133"/>
    <n v="5"/>
    <n v="6.7"/>
    <n v="1.2"/>
    <x v="1"/>
    <n v="0"/>
    <n v="0.64688295541799123"/>
    <x v="0"/>
  </r>
  <r>
    <s v="C411"/>
    <x v="4"/>
    <n v="294"/>
    <n v="4.3"/>
    <n v="2.1"/>
    <n v="1.9"/>
    <x v="1"/>
    <n v="0"/>
    <n v="0.28250234517742678"/>
    <x v="0"/>
  </r>
  <r>
    <s v="C412"/>
    <x v="1"/>
    <n v="222"/>
    <n v="7.6"/>
    <n v="4.3"/>
    <n v="2.2000000000000002"/>
    <x v="2"/>
    <n v="0"/>
    <n v="0.56491660941905941"/>
    <x v="0"/>
  </r>
  <r>
    <s v="C414"/>
    <x v="0"/>
    <n v="54"/>
    <n v="2.6"/>
    <n v="4.5999999999999996"/>
    <n v="0.7"/>
    <x v="0"/>
    <n v="0"/>
    <n v="0.44773860255507736"/>
    <x v="0"/>
  </r>
  <r>
    <s v="C415"/>
    <x v="5"/>
    <n v="418"/>
    <n v="6"/>
    <n v="4.9000000000000004"/>
    <n v="2.2000000000000002"/>
    <x v="2"/>
    <n v="0"/>
    <n v="0.15590728948791011"/>
    <x v="0"/>
  </r>
  <r>
    <s v="C416"/>
    <x v="4"/>
    <n v="67"/>
    <n v="3.4"/>
    <n v="1.5"/>
    <n v="2.5"/>
    <x v="0"/>
    <n v="0"/>
    <n v="0.51501674281330412"/>
    <x v="0"/>
  </r>
  <r>
    <s v="C417"/>
    <x v="2"/>
    <n v="296"/>
    <n v="2.1"/>
    <n v="8.6999999999999993"/>
    <n v="2.6"/>
    <x v="0"/>
    <n v="0"/>
    <n v="0.49344994110086349"/>
    <x v="0"/>
  </r>
  <r>
    <s v="C419"/>
    <x v="0"/>
    <n v="114"/>
    <n v="5.3"/>
    <n v="2.8"/>
    <n v="2.8"/>
    <x v="1"/>
    <n v="0"/>
    <n v="0.28825256808836552"/>
    <x v="0"/>
  </r>
  <r>
    <s v="C420"/>
    <x v="3"/>
    <n v="210"/>
    <n v="5.8"/>
    <n v="3"/>
    <n v="2.4"/>
    <x v="1"/>
    <n v="0"/>
    <n v="0.13207830600563297"/>
    <x v="0"/>
  </r>
  <r>
    <s v="C421"/>
    <x v="1"/>
    <n v="398"/>
    <n v="5.9"/>
    <n v="4.0999999999999996"/>
    <n v="1.6"/>
    <x v="1"/>
    <n v="0"/>
    <n v="0.53705083245640117"/>
    <x v="0"/>
  </r>
  <r>
    <s v="C422"/>
    <x v="5"/>
    <n v="275"/>
    <n v="5.5"/>
    <n v="2.7"/>
    <n v="1.2"/>
    <x v="1"/>
    <n v="0"/>
    <n v="8.355489079644618E-2"/>
    <x v="0"/>
  </r>
  <r>
    <s v="C423"/>
    <x v="0"/>
    <n v="391"/>
    <n v="0.9"/>
    <n v="0.8"/>
    <n v="1.8"/>
    <x v="3"/>
    <n v="0"/>
    <n v="0.18621120221180987"/>
    <x v="0"/>
  </r>
  <r>
    <s v="C425"/>
    <x v="2"/>
    <n v="398"/>
    <n v="3.4"/>
    <n v="8"/>
    <n v="0.7"/>
    <x v="0"/>
    <n v="0"/>
    <n v="0.58927830262053049"/>
    <x v="0"/>
  </r>
  <r>
    <s v="C426"/>
    <x v="2"/>
    <n v="244"/>
    <n v="5.8"/>
    <n v="9.6"/>
    <n v="1.5"/>
    <x v="1"/>
    <n v="0"/>
    <n v="0.36846554118747554"/>
    <x v="0"/>
  </r>
  <r>
    <s v="C427"/>
    <x v="5"/>
    <n v="90"/>
    <n v="4"/>
    <n v="8.1999999999999993"/>
    <n v="2.4"/>
    <x v="1"/>
    <n v="0"/>
    <n v="0.68219694472078474"/>
    <x v="0"/>
  </r>
  <r>
    <s v="C428"/>
    <x v="1"/>
    <n v="434"/>
    <n v="5.3"/>
    <n v="5.0999999999999996"/>
    <n v="1.4"/>
    <x v="1"/>
    <n v="0"/>
    <n v="0.17749444058367747"/>
    <x v="0"/>
  </r>
  <r>
    <s v="C429"/>
    <x v="4"/>
    <n v="120"/>
    <n v="4.0999999999999996"/>
    <n v="4.8"/>
    <n v="1.6"/>
    <x v="1"/>
    <n v="0"/>
    <n v="0.56213371593478012"/>
    <x v="0"/>
  </r>
  <r>
    <s v="C430"/>
    <x v="2"/>
    <n v="213"/>
    <n v="2.1"/>
    <n v="9.1"/>
    <n v="2.1"/>
    <x v="0"/>
    <n v="0"/>
    <n v="0.20008739936536712"/>
    <x v="0"/>
  </r>
  <r>
    <s v="C432"/>
    <x v="1"/>
    <n v="410"/>
    <n v="6.6"/>
    <n v="5.4"/>
    <n v="1.5"/>
    <x v="2"/>
    <n v="0"/>
    <n v="0.14266977396746305"/>
    <x v="0"/>
  </r>
  <r>
    <s v="C433"/>
    <x v="2"/>
    <n v="216"/>
    <n v="2.4"/>
    <n v="7.3"/>
    <n v="2.9"/>
    <x v="0"/>
    <n v="0"/>
    <n v="0.51349766437009869"/>
    <x v="0"/>
  </r>
  <r>
    <s v="C435"/>
    <x v="3"/>
    <n v="427"/>
    <n v="3.8"/>
    <n v="1.1000000000000001"/>
    <n v="1.9"/>
    <x v="0"/>
    <n v="0"/>
    <n v="1.4678307980326988E-3"/>
    <x v="0"/>
  </r>
  <r>
    <s v="C436"/>
    <x v="1"/>
    <n v="471"/>
    <n v="6"/>
    <n v="5.7"/>
    <n v="2.7"/>
    <x v="2"/>
    <n v="0"/>
    <n v="0.19212637993413373"/>
    <x v="0"/>
  </r>
  <r>
    <s v="C437"/>
    <x v="0"/>
    <n v="199"/>
    <n v="1.2"/>
    <n v="7.5"/>
    <n v="1.2"/>
    <x v="3"/>
    <n v="0"/>
    <n v="0.29574227014021381"/>
    <x v="0"/>
  </r>
  <r>
    <s v="C438"/>
    <x v="4"/>
    <n v="425"/>
    <n v="6.8"/>
    <n v="9.4"/>
    <n v="2.6"/>
    <x v="2"/>
    <n v="0"/>
    <n v="0.13752309233466209"/>
    <x v="0"/>
  </r>
  <r>
    <s v="C439"/>
    <x v="0"/>
    <n v="191"/>
    <n v="5.8"/>
    <n v="7"/>
    <n v="1.6"/>
    <x v="1"/>
    <n v="0"/>
    <n v="0.6049763280954884"/>
    <x v="0"/>
  </r>
  <r>
    <s v="C440"/>
    <x v="3"/>
    <n v="183"/>
    <n v="1.8"/>
    <n v="1.8"/>
    <n v="1.8"/>
    <x v="3"/>
    <n v="0"/>
    <n v="7.5196956082394517E-2"/>
    <x v="0"/>
  </r>
  <r>
    <s v="C441"/>
    <x v="4"/>
    <n v="89"/>
    <n v="0.7"/>
    <n v="5.6"/>
    <n v="1.2"/>
    <x v="3"/>
    <n v="0"/>
    <n v="2.617005861328292E-3"/>
    <x v="0"/>
  </r>
  <r>
    <s v="C442"/>
    <x v="3"/>
    <n v="59"/>
    <n v="3.4"/>
    <n v="4"/>
    <n v="2.2999999999999998"/>
    <x v="0"/>
    <n v="0"/>
    <n v="0.36250360051406993"/>
    <x v="0"/>
  </r>
  <r>
    <s v="C444"/>
    <x v="0"/>
    <n v="313"/>
    <n v="5.7"/>
    <n v="1.1000000000000001"/>
    <n v="2.7"/>
    <x v="1"/>
    <n v="0"/>
    <n v="0.58122313269572345"/>
    <x v="0"/>
  </r>
  <r>
    <s v="C445"/>
    <x v="2"/>
    <n v="95"/>
    <n v="1.3"/>
    <n v="1.8"/>
    <n v="2"/>
    <x v="3"/>
    <n v="0"/>
    <n v="0.41171661783986879"/>
    <x v="0"/>
  </r>
  <r>
    <s v="C446"/>
    <x v="1"/>
    <n v="433"/>
    <n v="5.4"/>
    <n v="0.7"/>
    <n v="1.2"/>
    <x v="1"/>
    <n v="0"/>
    <n v="0.6757138263124568"/>
    <x v="0"/>
  </r>
  <r>
    <s v="C450"/>
    <x v="5"/>
    <n v="424"/>
    <n v="6.9"/>
    <n v="1.7"/>
    <n v="1.6"/>
    <x v="2"/>
    <n v="0"/>
    <n v="0.67315993367301408"/>
    <x v="0"/>
  </r>
  <r>
    <s v="C451"/>
    <x v="0"/>
    <n v="203"/>
    <n v="3.7"/>
    <n v="5.8"/>
    <n v="1.7"/>
    <x v="0"/>
    <n v="0"/>
    <n v="0.38266973736760213"/>
    <x v="0"/>
  </r>
  <r>
    <s v="C452"/>
    <x v="1"/>
    <n v="169"/>
    <n v="1.3"/>
    <n v="9"/>
    <n v="1.6"/>
    <x v="3"/>
    <n v="0"/>
    <n v="0.13034966723901054"/>
    <x v="0"/>
  </r>
  <r>
    <s v="C453"/>
    <x v="3"/>
    <n v="327"/>
    <n v="4.0999999999999996"/>
    <n v="4.5"/>
    <n v="0.5"/>
    <x v="1"/>
    <n v="0"/>
    <n v="0.56654138093434958"/>
    <x v="0"/>
  </r>
  <r>
    <s v="C454"/>
    <x v="0"/>
    <n v="448"/>
    <n v="3"/>
    <n v="3.8"/>
    <n v="1.4"/>
    <x v="0"/>
    <n v="0"/>
    <n v="0.30104096664678326"/>
    <x v="0"/>
  </r>
  <r>
    <s v="C455"/>
    <x v="5"/>
    <n v="479"/>
    <n v="4.4000000000000004"/>
    <n v="3.4"/>
    <n v="0.5"/>
    <x v="1"/>
    <n v="0"/>
    <n v="0.65733100404183065"/>
    <x v="0"/>
  </r>
  <r>
    <s v="C456"/>
    <x v="0"/>
    <n v="104"/>
    <n v="2.7"/>
    <n v="0.7"/>
    <n v="0.6"/>
    <x v="0"/>
    <n v="0"/>
    <n v="0.50548355742727868"/>
    <x v="0"/>
  </r>
  <r>
    <s v="C457"/>
    <x v="4"/>
    <n v="130"/>
    <n v="7.6"/>
    <n v="2.7"/>
    <n v="2.2000000000000002"/>
    <x v="2"/>
    <n v="0"/>
    <n v="2.2055958222988781E-2"/>
    <x v="0"/>
  </r>
  <r>
    <s v="C458"/>
    <x v="5"/>
    <n v="280"/>
    <n v="3.9"/>
    <n v="2.8"/>
    <n v="1.9"/>
    <x v="0"/>
    <n v="0"/>
    <n v="0.33889862842759888"/>
    <x v="0"/>
  </r>
  <r>
    <s v="C459"/>
    <x v="1"/>
    <n v="279"/>
    <n v="1.8"/>
    <n v="9.8000000000000007"/>
    <n v="2.1"/>
    <x v="3"/>
    <n v="0"/>
    <n v="0.31177928107025898"/>
    <x v="0"/>
  </r>
  <r>
    <s v="C460"/>
    <x v="5"/>
    <n v="411"/>
    <n v="5.4"/>
    <n v="0.9"/>
    <n v="2.7"/>
    <x v="1"/>
    <n v="0"/>
    <n v="0.44148047908019483"/>
    <x v="0"/>
  </r>
  <r>
    <s v="C461"/>
    <x v="2"/>
    <n v="185"/>
    <n v="2"/>
    <n v="9.8000000000000007"/>
    <n v="2.8"/>
    <x v="0"/>
    <n v="0"/>
    <n v="1.5801334237802944E-2"/>
    <x v="0"/>
  </r>
  <r>
    <s v="C465"/>
    <x v="4"/>
    <n v="395"/>
    <n v="2.9"/>
    <n v="2.2999999999999998"/>
    <n v="2"/>
    <x v="0"/>
    <n v="0"/>
    <n v="0.17951551681195654"/>
    <x v="0"/>
  </r>
  <r>
    <s v="C466"/>
    <x v="5"/>
    <n v="53"/>
    <n v="7.2"/>
    <n v="7.8"/>
    <n v="1.9"/>
    <x v="2"/>
    <n v="0"/>
    <n v="0.47130967497083143"/>
    <x v="0"/>
  </r>
  <r>
    <s v="C468"/>
    <x v="1"/>
    <n v="234"/>
    <n v="0.6"/>
    <n v="4"/>
    <n v="3"/>
    <x v="3"/>
    <n v="0"/>
    <n v="0.11143859455664495"/>
    <x v="0"/>
  </r>
  <r>
    <s v="C470"/>
    <x v="0"/>
    <n v="311"/>
    <n v="2.6"/>
    <n v="1.7"/>
    <n v="2.1"/>
    <x v="0"/>
    <n v="0"/>
    <n v="0.39865782477113854"/>
    <x v="0"/>
  </r>
  <r>
    <s v="C473"/>
    <x v="0"/>
    <n v="209"/>
    <n v="5.0999999999999996"/>
    <n v="3.4"/>
    <n v="1.8"/>
    <x v="1"/>
    <n v="0"/>
    <n v="0.33045134907543794"/>
    <x v="0"/>
  </r>
  <r>
    <s v="C474"/>
    <x v="4"/>
    <n v="247"/>
    <n v="7"/>
    <n v="5.6"/>
    <n v="2.5"/>
    <x v="2"/>
    <n v="0"/>
    <n v="0.10000663611332705"/>
    <x v="0"/>
  </r>
  <r>
    <s v="C475"/>
    <x v="5"/>
    <n v="183"/>
    <n v="6.3"/>
    <n v="5.4"/>
    <n v="0.9"/>
    <x v="2"/>
    <n v="0"/>
    <n v="0.48044052623095879"/>
    <x v="0"/>
  </r>
  <r>
    <s v="C477"/>
    <x v="0"/>
    <n v="84"/>
    <n v="3.9"/>
    <n v="3.3"/>
    <n v="2.7"/>
    <x v="0"/>
    <n v="0"/>
    <n v="0.37106587780291544"/>
    <x v="0"/>
  </r>
  <r>
    <s v="C478"/>
    <x v="4"/>
    <n v="195"/>
    <n v="6.3"/>
    <n v="9.6999999999999993"/>
    <n v="2"/>
    <x v="2"/>
    <n v="0"/>
    <n v="0.52714767263503981"/>
    <x v="0"/>
  </r>
  <r>
    <s v="C479"/>
    <x v="4"/>
    <n v="298"/>
    <n v="1.1000000000000001"/>
    <n v="1"/>
    <n v="0.6"/>
    <x v="3"/>
    <n v="0"/>
    <n v="0.16700950955139415"/>
    <x v="0"/>
  </r>
  <r>
    <s v="C481"/>
    <x v="1"/>
    <n v="477"/>
    <n v="1.9"/>
    <n v="1.2"/>
    <n v="0.9"/>
    <x v="3"/>
    <n v="0"/>
    <n v="0.15331903606707764"/>
    <x v="0"/>
  </r>
  <r>
    <s v="C483"/>
    <x v="0"/>
    <n v="134"/>
    <n v="4.4000000000000004"/>
    <n v="3.6"/>
    <n v="1.2"/>
    <x v="1"/>
    <n v="0"/>
    <n v="0.24859072741520094"/>
    <x v="0"/>
  </r>
  <r>
    <s v="C486"/>
    <x v="4"/>
    <n v="77"/>
    <n v="3.1"/>
    <n v="5.3"/>
    <n v="0.8"/>
    <x v="0"/>
    <n v="0"/>
    <n v="0.13873001150948394"/>
    <x v="0"/>
  </r>
  <r>
    <s v="C487"/>
    <x v="3"/>
    <n v="178"/>
    <n v="1.5"/>
    <n v="5.4"/>
    <n v="1.6"/>
    <x v="3"/>
    <n v="0"/>
    <n v="0.54205013087516263"/>
    <x v="0"/>
  </r>
  <r>
    <s v="C488"/>
    <x v="4"/>
    <n v="147"/>
    <n v="1.4"/>
    <n v="9.1999999999999993"/>
    <n v="0.8"/>
    <x v="3"/>
    <n v="0"/>
    <n v="0.20828753772878417"/>
    <x v="0"/>
  </r>
  <r>
    <s v="C490"/>
    <x v="0"/>
    <n v="190"/>
    <n v="6.3"/>
    <n v="1.9"/>
    <n v="2.4"/>
    <x v="2"/>
    <n v="0"/>
    <n v="0.3544634213661807"/>
    <x v="0"/>
  </r>
  <r>
    <s v="C491"/>
    <x v="4"/>
    <n v="66"/>
    <n v="3.1"/>
    <n v="6.1"/>
    <n v="0.5"/>
    <x v="0"/>
    <n v="0"/>
    <n v="0.48998827728154959"/>
    <x v="0"/>
  </r>
  <r>
    <s v="C493"/>
    <x v="4"/>
    <n v="78"/>
    <n v="3"/>
    <n v="3.4"/>
    <n v="1.2"/>
    <x v="0"/>
    <n v="0"/>
    <n v="2.8791609978868427E-2"/>
    <x v="0"/>
  </r>
  <r>
    <s v="C494"/>
    <x v="4"/>
    <n v="249"/>
    <n v="4.5999999999999996"/>
    <n v="1.7"/>
    <n v="2.5"/>
    <x v="1"/>
    <n v="0"/>
    <n v="0.13798228469935714"/>
    <x v="0"/>
  </r>
  <r>
    <s v="C495"/>
    <x v="5"/>
    <n v="453"/>
    <n v="6.2"/>
    <n v="8"/>
    <n v="1.3"/>
    <x v="2"/>
    <n v="0"/>
    <n v="0.19778048435555617"/>
    <x v="0"/>
  </r>
  <r>
    <s v="C498"/>
    <x v="2"/>
    <n v="165"/>
    <n v="3.2"/>
    <n v="2.5"/>
    <n v="2.6"/>
    <x v="0"/>
    <n v="0"/>
    <n v="0.46107709986623091"/>
    <x v="0"/>
  </r>
  <r>
    <s v="C500"/>
    <x v="1"/>
    <n v="201"/>
    <n v="2.9"/>
    <n v="6.5"/>
    <n v="2.2000000000000002"/>
    <x v="0"/>
    <n v="0"/>
    <n v="0.37483210255057064"/>
    <x v="0"/>
  </r>
  <r>
    <s v="C501"/>
    <x v="4"/>
    <n v="193"/>
    <n v="5.7"/>
    <n v="5.4"/>
    <n v="0.8"/>
    <x v="1"/>
    <n v="0"/>
    <n v="4.9331711062296613E-2"/>
    <x v="0"/>
  </r>
  <r>
    <s v="C502"/>
    <x v="0"/>
    <n v="50"/>
    <n v="1.5"/>
    <n v="2.2999999999999998"/>
    <n v="0.8"/>
    <x v="3"/>
    <n v="0"/>
    <n v="0.5762905056766231"/>
    <x v="0"/>
  </r>
  <r>
    <s v="C503"/>
    <x v="2"/>
    <n v="136"/>
    <n v="4.8"/>
    <n v="8.1"/>
    <n v="1.6"/>
    <x v="1"/>
    <n v="0"/>
    <n v="0.38300454025488218"/>
    <x v="0"/>
  </r>
  <r>
    <s v="C504"/>
    <x v="5"/>
    <n v="471"/>
    <n v="4.9000000000000004"/>
    <n v="8.6999999999999993"/>
    <n v="2.9"/>
    <x v="1"/>
    <n v="0"/>
    <n v="0.2909362539934488"/>
    <x v="0"/>
  </r>
  <r>
    <s v="C505"/>
    <x v="5"/>
    <n v="110"/>
    <n v="4.2"/>
    <n v="2.7"/>
    <n v="2.6"/>
    <x v="1"/>
    <n v="0"/>
    <n v="0.17012838693178334"/>
    <x v="0"/>
  </r>
  <r>
    <s v="C506"/>
    <x v="4"/>
    <n v="439"/>
    <n v="3.7"/>
    <n v="5"/>
    <n v="1.7"/>
    <x v="0"/>
    <n v="0"/>
    <n v="3.1899513436352889E-2"/>
    <x v="0"/>
  </r>
  <r>
    <s v="C507"/>
    <x v="0"/>
    <n v="408"/>
    <n v="7.4"/>
    <n v="1.9"/>
    <n v="1"/>
    <x v="2"/>
    <n v="0"/>
    <n v="0.58022860703933643"/>
    <x v="0"/>
  </r>
  <r>
    <s v="C508"/>
    <x v="4"/>
    <n v="130"/>
    <n v="2.5"/>
    <n v="7.9"/>
    <n v="2.6"/>
    <x v="0"/>
    <n v="0"/>
    <n v="0.59297454014997475"/>
    <x v="0"/>
  </r>
  <r>
    <s v="C511"/>
    <x v="5"/>
    <n v="81"/>
    <n v="3.2"/>
    <n v="8.6999999999999993"/>
    <n v="2.4"/>
    <x v="0"/>
    <n v="0"/>
    <n v="0.22271602678921609"/>
    <x v="0"/>
  </r>
  <r>
    <s v="C512"/>
    <x v="1"/>
    <n v="448"/>
    <n v="8"/>
    <n v="9"/>
    <n v="0.7"/>
    <x v="2"/>
    <n v="0"/>
    <n v="0.69268649954788253"/>
    <x v="0"/>
  </r>
  <r>
    <s v="C513"/>
    <x v="5"/>
    <n v="385"/>
    <n v="5.9"/>
    <n v="1.4"/>
    <n v="1.5"/>
    <x v="1"/>
    <n v="0"/>
    <n v="0.64061447844979902"/>
    <x v="0"/>
  </r>
  <r>
    <s v="C514"/>
    <x v="4"/>
    <n v="332"/>
    <n v="7.3"/>
    <n v="2.9"/>
    <n v="1.6"/>
    <x v="2"/>
    <n v="0"/>
    <n v="0.39407929195950153"/>
    <x v="0"/>
  </r>
  <r>
    <s v="C516"/>
    <x v="4"/>
    <n v="330"/>
    <n v="1.2"/>
    <n v="3.1"/>
    <n v="0.7"/>
    <x v="3"/>
    <n v="0"/>
    <n v="0.11652343948823496"/>
    <x v="0"/>
  </r>
  <r>
    <s v="C518"/>
    <x v="4"/>
    <n v="435"/>
    <n v="7.2"/>
    <n v="5.7"/>
    <n v="0.8"/>
    <x v="2"/>
    <n v="0"/>
    <n v="1.0223492777551968E-2"/>
    <x v="0"/>
  </r>
  <r>
    <s v="C520"/>
    <x v="5"/>
    <n v="132"/>
    <n v="2.4"/>
    <n v="3.2"/>
    <n v="1.1000000000000001"/>
    <x v="0"/>
    <n v="0"/>
    <n v="0.52566783376352244"/>
    <x v="0"/>
  </r>
  <r>
    <s v="C521"/>
    <x v="5"/>
    <n v="432"/>
    <n v="2.5"/>
    <n v="5.3"/>
    <n v="3"/>
    <x v="0"/>
    <n v="0"/>
    <n v="0.32191611217941429"/>
    <x v="0"/>
  </r>
  <r>
    <s v="C522"/>
    <x v="4"/>
    <n v="146"/>
    <n v="6.3"/>
    <n v="2.5"/>
    <n v="1.5"/>
    <x v="2"/>
    <n v="0"/>
    <n v="0.59473881831784781"/>
    <x v="0"/>
  </r>
  <r>
    <s v="C523"/>
    <x v="5"/>
    <n v="305"/>
    <n v="2.5"/>
    <n v="6.9"/>
    <n v="1.3"/>
    <x v="0"/>
    <n v="0"/>
    <n v="0.45650221818087255"/>
    <x v="0"/>
  </r>
  <r>
    <s v="C524"/>
    <x v="5"/>
    <n v="401"/>
    <n v="4.8"/>
    <n v="1.4"/>
    <n v="1.7"/>
    <x v="1"/>
    <n v="0"/>
    <n v="0.50210543028966148"/>
    <x v="0"/>
  </r>
  <r>
    <s v="C525"/>
    <x v="5"/>
    <n v="380"/>
    <n v="4.5"/>
    <n v="3.5"/>
    <n v="1.6"/>
    <x v="1"/>
    <n v="0"/>
    <n v="0.64701836215164732"/>
    <x v="0"/>
  </r>
  <r>
    <s v="C527"/>
    <x v="5"/>
    <n v="377"/>
    <n v="1.4"/>
    <n v="8"/>
    <n v="0.9"/>
    <x v="3"/>
    <n v="0"/>
    <n v="0.2870532298710653"/>
    <x v="0"/>
  </r>
  <r>
    <s v="C531"/>
    <x v="0"/>
    <n v="399"/>
    <n v="0.8"/>
    <n v="3.2"/>
    <n v="1.6"/>
    <x v="3"/>
    <n v="0"/>
    <n v="0.54140033263980725"/>
    <x v="0"/>
  </r>
  <r>
    <s v="C533"/>
    <x v="2"/>
    <n v="166"/>
    <n v="7"/>
    <n v="4.3"/>
    <n v="1.2"/>
    <x v="2"/>
    <n v="0"/>
    <n v="0.36075454695328557"/>
    <x v="0"/>
  </r>
  <r>
    <s v="C534"/>
    <x v="3"/>
    <n v="86"/>
    <n v="6.2"/>
    <n v="6.2"/>
    <n v="1.5"/>
    <x v="2"/>
    <n v="0"/>
    <n v="0.47903996802052295"/>
    <x v="0"/>
  </r>
  <r>
    <s v="C535"/>
    <x v="4"/>
    <n v="254"/>
    <n v="2"/>
    <n v="0.9"/>
    <n v="0.8"/>
    <x v="0"/>
    <n v="0"/>
    <n v="0.56256977055103274"/>
    <x v="0"/>
  </r>
  <r>
    <s v="C536"/>
    <x v="0"/>
    <n v="384"/>
    <n v="4.2"/>
    <n v="1.8"/>
    <n v="2.1"/>
    <x v="1"/>
    <n v="0"/>
    <n v="0.44465193448311813"/>
    <x v="0"/>
  </r>
  <r>
    <s v="C537"/>
    <x v="5"/>
    <n v="404"/>
    <n v="3.7"/>
    <n v="8.9"/>
    <n v="2.2000000000000002"/>
    <x v="0"/>
    <n v="0"/>
    <n v="0.27999287406903595"/>
    <x v="0"/>
  </r>
  <r>
    <s v="C538"/>
    <x v="5"/>
    <n v="443"/>
    <n v="2.7"/>
    <n v="1"/>
    <n v="2.5"/>
    <x v="0"/>
    <n v="0"/>
    <n v="0.44057091151260142"/>
    <x v="0"/>
  </r>
  <r>
    <s v="C540"/>
    <x v="0"/>
    <n v="430"/>
    <n v="3.3"/>
    <n v="9.8000000000000007"/>
    <n v="0.7"/>
    <x v="0"/>
    <n v="0"/>
    <n v="9.525403111964803E-2"/>
    <x v="0"/>
  </r>
  <r>
    <s v="C542"/>
    <x v="3"/>
    <n v="106"/>
    <n v="3.5"/>
    <n v="7.2"/>
    <n v="2.1"/>
    <x v="0"/>
    <n v="0"/>
    <n v="3.5964862055744673E-2"/>
    <x v="0"/>
  </r>
  <r>
    <s v="C543"/>
    <x v="4"/>
    <n v="124"/>
    <n v="3.8"/>
    <n v="4.3"/>
    <n v="1.1000000000000001"/>
    <x v="0"/>
    <n v="0"/>
    <n v="0.52864450094482274"/>
    <x v="0"/>
  </r>
  <r>
    <s v="C547"/>
    <x v="3"/>
    <n v="277"/>
    <n v="5.9"/>
    <n v="7.1"/>
    <n v="1.7"/>
    <x v="1"/>
    <n v="0"/>
    <n v="0.14333930545205165"/>
    <x v="0"/>
  </r>
  <r>
    <s v="C549"/>
    <x v="5"/>
    <n v="247"/>
    <n v="3"/>
    <n v="5.2"/>
    <n v="3"/>
    <x v="0"/>
    <n v="0"/>
    <n v="0.46334708165063765"/>
    <x v="0"/>
  </r>
  <r>
    <s v="C550"/>
    <x v="1"/>
    <n v="201"/>
    <n v="6.2"/>
    <n v="5.4"/>
    <n v="1.7"/>
    <x v="2"/>
    <n v="0"/>
    <n v="0.6444491672004582"/>
    <x v="0"/>
  </r>
  <r>
    <s v="C551"/>
    <x v="5"/>
    <n v="213"/>
    <n v="1.7"/>
    <n v="9.3000000000000007"/>
    <n v="2.6"/>
    <x v="3"/>
    <n v="0"/>
    <n v="0.58808297612810734"/>
    <x v="0"/>
  </r>
  <r>
    <s v="C553"/>
    <x v="4"/>
    <n v="467"/>
    <n v="5.6"/>
    <n v="6.9"/>
    <n v="1.8"/>
    <x v="1"/>
    <n v="0"/>
    <n v="0.30344140293524169"/>
    <x v="0"/>
  </r>
  <r>
    <s v="C554"/>
    <x v="3"/>
    <n v="359"/>
    <n v="1.2"/>
    <n v="8.8000000000000007"/>
    <n v="0.8"/>
    <x v="3"/>
    <n v="0"/>
    <n v="0.38934167290852506"/>
    <x v="0"/>
  </r>
  <r>
    <s v="C555"/>
    <x v="3"/>
    <n v="246"/>
    <n v="1.1000000000000001"/>
    <n v="9.4"/>
    <n v="2.2000000000000002"/>
    <x v="3"/>
    <n v="0"/>
    <n v="0.41627255261216922"/>
    <x v="0"/>
  </r>
  <r>
    <s v="C556"/>
    <x v="0"/>
    <n v="109"/>
    <n v="2.7"/>
    <n v="0.6"/>
    <n v="1.9"/>
    <x v="0"/>
    <n v="0"/>
    <n v="0.11637066397058515"/>
    <x v="0"/>
  </r>
  <r>
    <s v="C557"/>
    <x v="0"/>
    <n v="400"/>
    <n v="3.5"/>
    <n v="7.1"/>
    <n v="2.9"/>
    <x v="0"/>
    <n v="0"/>
    <n v="0.48290455436467272"/>
    <x v="0"/>
  </r>
  <r>
    <s v="C558"/>
    <x v="0"/>
    <n v="160"/>
    <n v="1.8"/>
    <n v="7.8"/>
    <n v="1.9"/>
    <x v="3"/>
    <n v="0"/>
    <n v="0.12605939314948322"/>
    <x v="0"/>
  </r>
  <r>
    <s v="C559"/>
    <x v="4"/>
    <n v="221"/>
    <n v="3.1"/>
    <n v="0.8"/>
    <n v="1.2"/>
    <x v="0"/>
    <n v="0"/>
    <n v="0.41861624255908858"/>
    <x v="0"/>
  </r>
  <r>
    <s v="C560"/>
    <x v="5"/>
    <n v="457"/>
    <n v="2.7"/>
    <n v="1.1000000000000001"/>
    <n v="1.7"/>
    <x v="0"/>
    <n v="0"/>
    <n v="2.4150022241835267E-2"/>
    <x v="0"/>
  </r>
  <r>
    <s v="C561"/>
    <x v="0"/>
    <n v="404"/>
    <n v="2.4"/>
    <n v="8.5"/>
    <n v="0.8"/>
    <x v="0"/>
    <n v="0"/>
    <n v="0.18168918265255807"/>
    <x v="0"/>
  </r>
  <r>
    <s v="C562"/>
    <x v="2"/>
    <n v="302"/>
    <n v="1.6"/>
    <n v="1.1000000000000001"/>
    <n v="2.2000000000000002"/>
    <x v="3"/>
    <n v="0"/>
    <n v="0.62280428542953326"/>
    <x v="0"/>
  </r>
  <r>
    <s v="C563"/>
    <x v="4"/>
    <n v="456"/>
    <n v="3.4"/>
    <n v="9"/>
    <n v="1.9"/>
    <x v="0"/>
    <n v="0"/>
    <n v="0.24279529986405135"/>
    <x v="0"/>
  </r>
  <r>
    <s v="C564"/>
    <x v="3"/>
    <n v="273"/>
    <n v="7.1"/>
    <n v="6.4"/>
    <n v="1.9"/>
    <x v="2"/>
    <n v="0"/>
    <n v="0.337510543664303"/>
    <x v="0"/>
  </r>
  <r>
    <s v="C568"/>
    <x v="3"/>
    <n v="391"/>
    <n v="4.2"/>
    <n v="3.3"/>
    <n v="1.3"/>
    <x v="1"/>
    <n v="0"/>
    <n v="4.5559942669984865E-2"/>
    <x v="0"/>
  </r>
  <r>
    <s v="C569"/>
    <x v="4"/>
    <n v="454"/>
    <n v="4.0999999999999996"/>
    <n v="0.8"/>
    <n v="1.5"/>
    <x v="1"/>
    <n v="0"/>
    <n v="0.12971829309235305"/>
    <x v="0"/>
  </r>
  <r>
    <s v="C570"/>
    <x v="1"/>
    <n v="77"/>
    <n v="3"/>
    <n v="1.4"/>
    <n v="1.4"/>
    <x v="0"/>
    <n v="0"/>
    <n v="0.50764524136175571"/>
    <x v="0"/>
  </r>
  <r>
    <s v="C571"/>
    <x v="2"/>
    <n v="481"/>
    <n v="5.2"/>
    <n v="5.3"/>
    <n v="2.8"/>
    <x v="1"/>
    <n v="0"/>
    <n v="0.68040945761021998"/>
    <x v="0"/>
  </r>
  <r>
    <s v="C573"/>
    <x v="4"/>
    <n v="413"/>
    <n v="0.8"/>
    <n v="5.3"/>
    <n v="2.2999999999999998"/>
    <x v="3"/>
    <n v="0"/>
    <n v="0.18741471783827524"/>
    <x v="0"/>
  </r>
  <r>
    <s v="C574"/>
    <x v="2"/>
    <n v="266"/>
    <n v="3"/>
    <n v="9.3000000000000007"/>
    <n v="1.8"/>
    <x v="0"/>
    <n v="0"/>
    <n v="0.11715690783022614"/>
    <x v="0"/>
  </r>
  <r>
    <s v="C575"/>
    <x v="2"/>
    <n v="101"/>
    <n v="1.9"/>
    <n v="6.2"/>
    <n v="2.6"/>
    <x v="3"/>
    <n v="0"/>
    <n v="0.17610546518778813"/>
    <x v="0"/>
  </r>
  <r>
    <s v="C576"/>
    <x v="2"/>
    <n v="332"/>
    <n v="7.6"/>
    <n v="5.5"/>
    <n v="2.5"/>
    <x v="2"/>
    <n v="0"/>
    <n v="0.51909824176349162"/>
    <x v="0"/>
  </r>
  <r>
    <s v="C577"/>
    <x v="4"/>
    <n v="152"/>
    <n v="6.5"/>
    <n v="4.0999999999999996"/>
    <n v="1.1000000000000001"/>
    <x v="2"/>
    <n v="0"/>
    <n v="6.9097283766549333E-2"/>
    <x v="0"/>
  </r>
  <r>
    <s v="C578"/>
    <x v="5"/>
    <n v="429"/>
    <n v="4.2"/>
    <n v="7"/>
    <n v="2.8"/>
    <x v="1"/>
    <n v="0"/>
    <n v="0.41076408845147305"/>
    <x v="0"/>
  </r>
  <r>
    <s v="C582"/>
    <x v="1"/>
    <n v="500"/>
    <n v="7.5"/>
    <n v="7.8"/>
    <n v="0.7"/>
    <x v="2"/>
    <n v="0"/>
    <n v="5.8426944608423681E-2"/>
    <x v="0"/>
  </r>
  <r>
    <s v="C583"/>
    <x v="4"/>
    <n v="364"/>
    <n v="7.6"/>
    <n v="2.7"/>
    <n v="2.1"/>
    <x v="2"/>
    <n v="0"/>
    <n v="0.24916744738891228"/>
    <x v="0"/>
  </r>
  <r>
    <s v="C584"/>
    <x v="1"/>
    <n v="95"/>
    <n v="7.4"/>
    <n v="8.5"/>
    <n v="0.7"/>
    <x v="2"/>
    <n v="0"/>
    <n v="0.53173265931969793"/>
    <x v="0"/>
  </r>
  <r>
    <s v="C586"/>
    <x v="2"/>
    <n v="201"/>
    <n v="6.3"/>
    <n v="4.3"/>
    <n v="1.5"/>
    <x v="2"/>
    <n v="0"/>
    <n v="0.65274009836946223"/>
    <x v="0"/>
  </r>
  <r>
    <s v="C589"/>
    <x v="1"/>
    <n v="248"/>
    <n v="4.5"/>
    <n v="9.1"/>
    <n v="2"/>
    <x v="1"/>
    <n v="0"/>
    <n v="0.43684374917076441"/>
    <x v="0"/>
  </r>
  <r>
    <s v="C590"/>
    <x v="1"/>
    <n v="64"/>
    <n v="3.2"/>
    <n v="6.7"/>
    <n v="2.5"/>
    <x v="0"/>
    <n v="0"/>
    <n v="6.9427069843407185E-2"/>
    <x v="0"/>
  </r>
  <r>
    <s v="C591"/>
    <x v="0"/>
    <n v="280"/>
    <n v="3.4"/>
    <n v="4.2"/>
    <n v="3"/>
    <x v="0"/>
    <n v="0"/>
    <n v="0.65232773069579442"/>
    <x v="0"/>
  </r>
  <r>
    <s v="C592"/>
    <x v="5"/>
    <n v="177"/>
    <n v="6.2"/>
    <n v="4.4000000000000004"/>
    <n v="1.4"/>
    <x v="2"/>
    <n v="0"/>
    <n v="0.228340355516505"/>
    <x v="0"/>
  </r>
  <r>
    <s v="C593"/>
    <x v="2"/>
    <n v="156"/>
    <n v="7.9"/>
    <n v="6.5"/>
    <n v="1.3"/>
    <x v="2"/>
    <n v="0"/>
    <n v="0.28529658045668393"/>
    <x v="0"/>
  </r>
  <r>
    <s v="C594"/>
    <x v="0"/>
    <n v="113"/>
    <n v="5.3"/>
    <n v="2.2000000000000002"/>
    <n v="1.6"/>
    <x v="1"/>
    <n v="0"/>
    <n v="0.14183449190417252"/>
    <x v="0"/>
  </r>
  <r>
    <s v="C595"/>
    <x v="1"/>
    <n v="216"/>
    <n v="2.2999999999999998"/>
    <n v="5.8"/>
    <n v="1.5"/>
    <x v="0"/>
    <n v="0"/>
    <n v="0.66361635097180394"/>
    <x v="0"/>
  </r>
  <r>
    <s v="C596"/>
    <x v="5"/>
    <n v="172"/>
    <n v="4"/>
    <n v="6.7"/>
    <n v="0.6"/>
    <x v="1"/>
    <n v="0"/>
    <n v="0.49786717738697017"/>
    <x v="0"/>
  </r>
  <r>
    <s v="C597"/>
    <x v="1"/>
    <n v="424"/>
    <n v="3.4"/>
    <n v="6.4"/>
    <n v="2.4"/>
    <x v="0"/>
    <n v="0"/>
    <n v="0.1488386049040713"/>
    <x v="0"/>
  </r>
  <r>
    <s v="C598"/>
    <x v="4"/>
    <n v="431"/>
    <n v="1.5"/>
    <n v="0.6"/>
    <n v="0.6"/>
    <x v="3"/>
    <n v="0"/>
    <n v="0.20162490604783445"/>
    <x v="0"/>
  </r>
  <r>
    <s v="C600"/>
    <x v="3"/>
    <n v="110"/>
    <n v="3"/>
    <n v="6.6"/>
    <n v="0.8"/>
    <x v="0"/>
    <n v="0"/>
    <n v="0.29067715685560047"/>
    <x v="0"/>
  </r>
  <r>
    <s v="C601"/>
    <x v="1"/>
    <n v="272"/>
    <n v="0.7"/>
    <n v="5.3"/>
    <n v="2.2999999999999998"/>
    <x v="3"/>
    <n v="0"/>
    <n v="0.24048903350608275"/>
    <x v="0"/>
  </r>
  <r>
    <s v="C603"/>
    <x v="3"/>
    <n v="344"/>
    <n v="7.8"/>
    <n v="9.1"/>
    <n v="1.9"/>
    <x v="2"/>
    <n v="0"/>
    <n v="0.3962584524515933"/>
    <x v="0"/>
  </r>
  <r>
    <s v="C604"/>
    <x v="1"/>
    <n v="487"/>
    <n v="7.1"/>
    <n v="8.1"/>
    <n v="1.8"/>
    <x v="2"/>
    <n v="0"/>
    <n v="0.57283709798775417"/>
    <x v="0"/>
  </r>
  <r>
    <s v="C608"/>
    <x v="1"/>
    <n v="332"/>
    <n v="7.3"/>
    <n v="3"/>
    <n v="1.3"/>
    <x v="2"/>
    <n v="0"/>
    <n v="0.20380941786565787"/>
    <x v="0"/>
  </r>
  <r>
    <s v="C610"/>
    <x v="2"/>
    <n v="276"/>
    <n v="2.7"/>
    <n v="7.5"/>
    <n v="1.3"/>
    <x v="0"/>
    <n v="0"/>
    <n v="0.51212078425990137"/>
    <x v="0"/>
  </r>
  <r>
    <s v="C611"/>
    <x v="0"/>
    <n v="56"/>
    <n v="3"/>
    <n v="7.5"/>
    <n v="0.7"/>
    <x v="0"/>
    <n v="0"/>
    <n v="0.14680369714917951"/>
    <x v="0"/>
  </r>
  <r>
    <s v="C612"/>
    <x v="3"/>
    <n v="303"/>
    <n v="6.8"/>
    <n v="2.1"/>
    <n v="2.8"/>
    <x v="2"/>
    <n v="0"/>
    <n v="0.43886537719813878"/>
    <x v="0"/>
  </r>
  <r>
    <s v="C614"/>
    <x v="5"/>
    <n v="483"/>
    <n v="4.8"/>
    <n v="5.0999999999999996"/>
    <n v="2.6"/>
    <x v="1"/>
    <n v="0"/>
    <n v="0.68299817382349259"/>
    <x v="0"/>
  </r>
  <r>
    <s v="C616"/>
    <x v="2"/>
    <n v="93"/>
    <n v="3.6"/>
    <n v="9.6999999999999993"/>
    <n v="1"/>
    <x v="0"/>
    <n v="0"/>
    <n v="0.27272808218656208"/>
    <x v="0"/>
  </r>
  <r>
    <s v="C617"/>
    <x v="2"/>
    <n v="90"/>
    <n v="4.5999999999999996"/>
    <n v="8.6"/>
    <n v="1.3"/>
    <x v="1"/>
    <n v="0"/>
    <n v="0.45952351651198575"/>
    <x v="0"/>
  </r>
  <r>
    <s v="C618"/>
    <x v="4"/>
    <n v="398"/>
    <n v="6"/>
    <n v="6"/>
    <n v="2"/>
    <x v="2"/>
    <n v="0"/>
    <n v="0.11289765823687947"/>
    <x v="0"/>
  </r>
  <r>
    <s v="C619"/>
    <x v="2"/>
    <n v="231"/>
    <n v="4.4000000000000004"/>
    <n v="2.6"/>
    <n v="2.5"/>
    <x v="1"/>
    <n v="0"/>
    <n v="0.38215827317702844"/>
    <x v="0"/>
  </r>
  <r>
    <s v="C620"/>
    <x v="2"/>
    <n v="356"/>
    <n v="7"/>
    <n v="9.1"/>
    <n v="1.3"/>
    <x v="2"/>
    <n v="0"/>
    <n v="0.47037278276774941"/>
    <x v="0"/>
  </r>
  <r>
    <s v="C621"/>
    <x v="3"/>
    <n v="379"/>
    <n v="0.9"/>
    <n v="6.2"/>
    <n v="1.4"/>
    <x v="3"/>
    <n v="0"/>
    <n v="7.2630720291439688E-2"/>
    <x v="0"/>
  </r>
  <r>
    <s v="C623"/>
    <x v="3"/>
    <n v="416"/>
    <n v="2.8"/>
    <n v="6.1"/>
    <n v="0.6"/>
    <x v="0"/>
    <n v="0"/>
    <n v="0.45966038191042247"/>
    <x v="0"/>
  </r>
  <r>
    <s v="C624"/>
    <x v="2"/>
    <n v="491"/>
    <n v="2.4"/>
    <n v="9.1"/>
    <n v="1"/>
    <x v="0"/>
    <n v="0"/>
    <n v="0.68539117859200716"/>
    <x v="0"/>
  </r>
  <r>
    <s v="C626"/>
    <x v="3"/>
    <n v="289"/>
    <n v="1.3"/>
    <n v="6.4"/>
    <n v="2.5"/>
    <x v="3"/>
    <n v="0"/>
    <n v="6.5596410057548793E-2"/>
    <x v="0"/>
  </r>
  <r>
    <s v="C627"/>
    <x v="0"/>
    <n v="96"/>
    <n v="3.8"/>
    <n v="5.7"/>
    <n v="0.6"/>
    <x v="0"/>
    <n v="0"/>
    <n v="0.3501875374842135"/>
    <x v="0"/>
  </r>
  <r>
    <s v="C628"/>
    <x v="0"/>
    <n v="358"/>
    <n v="6.4"/>
    <n v="2.2000000000000002"/>
    <n v="3"/>
    <x v="2"/>
    <n v="0"/>
    <n v="0.43857572904712683"/>
    <x v="0"/>
  </r>
  <r>
    <s v="C629"/>
    <x v="2"/>
    <n v="155"/>
    <n v="3.4"/>
    <n v="1.7"/>
    <n v="2.8"/>
    <x v="0"/>
    <n v="0"/>
    <n v="0.41650625062586177"/>
    <x v="0"/>
  </r>
  <r>
    <s v="C630"/>
    <x v="5"/>
    <n v="68"/>
    <n v="1"/>
    <n v="3.8"/>
    <n v="1.1000000000000001"/>
    <x v="3"/>
    <n v="0"/>
    <n v="0.34061475618980774"/>
    <x v="0"/>
  </r>
  <r>
    <s v="C631"/>
    <x v="2"/>
    <n v="495"/>
    <n v="2.8"/>
    <n v="5.2"/>
    <n v="1.9"/>
    <x v="0"/>
    <n v="0"/>
    <n v="0.22165685580910355"/>
    <x v="0"/>
  </r>
  <r>
    <s v="C632"/>
    <x v="2"/>
    <n v="192"/>
    <n v="5.0999999999999996"/>
    <n v="0.6"/>
    <n v="2.8"/>
    <x v="1"/>
    <n v="0"/>
    <n v="0.11747845397242473"/>
    <x v="0"/>
  </r>
  <r>
    <s v="C633"/>
    <x v="1"/>
    <n v="383"/>
    <n v="1.7"/>
    <n v="4.7"/>
    <n v="1.7"/>
    <x v="3"/>
    <n v="0"/>
    <n v="0.38029701759119461"/>
    <x v="0"/>
  </r>
  <r>
    <s v="C634"/>
    <x v="0"/>
    <n v="235"/>
    <n v="2"/>
    <n v="9.1"/>
    <n v="1"/>
    <x v="0"/>
    <n v="0"/>
    <n v="0.13615152731655422"/>
    <x v="0"/>
  </r>
  <r>
    <s v="C635"/>
    <x v="0"/>
    <n v="76"/>
    <n v="1"/>
    <n v="7.3"/>
    <n v="2.4"/>
    <x v="3"/>
    <n v="0"/>
    <n v="0.57345254620492692"/>
    <x v="0"/>
  </r>
  <r>
    <s v="C636"/>
    <x v="5"/>
    <n v="484"/>
    <n v="4.3"/>
    <n v="6.3"/>
    <n v="2.1"/>
    <x v="1"/>
    <n v="0"/>
    <n v="8.7784985862070952E-2"/>
    <x v="0"/>
  </r>
  <r>
    <s v="C637"/>
    <x v="3"/>
    <n v="366"/>
    <n v="7.2"/>
    <n v="8.1"/>
    <n v="2.5"/>
    <x v="2"/>
    <n v="0"/>
    <n v="0.41454288108077308"/>
    <x v="0"/>
  </r>
  <r>
    <s v="C638"/>
    <x v="0"/>
    <n v="489"/>
    <n v="7.9"/>
    <n v="9.9"/>
    <n v="1.9"/>
    <x v="2"/>
    <n v="0"/>
    <n v="0.37261301412345083"/>
    <x v="0"/>
  </r>
  <r>
    <s v="C639"/>
    <x v="0"/>
    <n v="284"/>
    <n v="2.8"/>
    <n v="7.9"/>
    <n v="1.4"/>
    <x v="0"/>
    <n v="0"/>
    <n v="0.10103275145860424"/>
    <x v="0"/>
  </r>
  <r>
    <s v="C640"/>
    <x v="0"/>
    <n v="120"/>
    <n v="0.7"/>
    <n v="3"/>
    <n v="0.9"/>
    <x v="3"/>
    <n v="0"/>
    <n v="0.57095728595445583"/>
    <x v="0"/>
  </r>
  <r>
    <s v="C641"/>
    <x v="4"/>
    <n v="152"/>
    <n v="4.4000000000000004"/>
    <n v="7"/>
    <n v="3"/>
    <x v="1"/>
    <n v="0"/>
    <n v="1.2813941051387223E-2"/>
    <x v="0"/>
  </r>
  <r>
    <s v="C642"/>
    <x v="4"/>
    <n v="274"/>
    <n v="3.8"/>
    <n v="4.4000000000000004"/>
    <n v="1.6"/>
    <x v="0"/>
    <n v="0"/>
    <n v="0.353759115962749"/>
    <x v="0"/>
  </r>
  <r>
    <s v="C643"/>
    <x v="1"/>
    <n v="411"/>
    <n v="2.9"/>
    <n v="3"/>
    <n v="0.6"/>
    <x v="0"/>
    <n v="0"/>
    <n v="0.69205700674827175"/>
    <x v="0"/>
  </r>
  <r>
    <s v="C644"/>
    <x v="1"/>
    <n v="55"/>
    <n v="7"/>
    <n v="6.9"/>
    <n v="1"/>
    <x v="2"/>
    <n v="0"/>
    <n v="0.16203856963577223"/>
    <x v="0"/>
  </r>
  <r>
    <s v="C647"/>
    <x v="1"/>
    <n v="142"/>
    <n v="0.7"/>
    <n v="4.7"/>
    <n v="2.8"/>
    <x v="3"/>
    <n v="0"/>
    <n v="0.63296182690671654"/>
    <x v="0"/>
  </r>
  <r>
    <s v="C648"/>
    <x v="1"/>
    <n v="402"/>
    <n v="7.1"/>
    <n v="5.4"/>
    <n v="0.8"/>
    <x v="2"/>
    <n v="0"/>
    <n v="0.50176093786758058"/>
    <x v="0"/>
  </r>
  <r>
    <s v="C649"/>
    <x v="3"/>
    <n v="134"/>
    <n v="1.6"/>
    <n v="5.0999999999999996"/>
    <n v="1.6"/>
    <x v="3"/>
    <n v="0"/>
    <n v="0.61480312696690542"/>
    <x v="0"/>
  </r>
  <r>
    <s v="C650"/>
    <x v="2"/>
    <n v="485"/>
    <n v="7.7"/>
    <n v="5"/>
    <n v="2.6"/>
    <x v="2"/>
    <n v="0"/>
    <n v="0.40051910601220642"/>
    <x v="0"/>
  </r>
  <r>
    <s v="C651"/>
    <x v="3"/>
    <n v="143"/>
    <n v="7.3"/>
    <n v="6"/>
    <n v="1.9"/>
    <x v="2"/>
    <n v="0"/>
    <n v="0.23186618610859733"/>
    <x v="0"/>
  </r>
  <r>
    <s v="C652"/>
    <x v="2"/>
    <n v="75"/>
    <n v="4"/>
    <n v="3.2"/>
    <n v="2.1"/>
    <x v="1"/>
    <n v="0"/>
    <n v="0.47759633768856846"/>
    <x v="0"/>
  </r>
  <r>
    <s v="C653"/>
    <x v="1"/>
    <n v="215"/>
    <n v="5.3"/>
    <n v="8.6"/>
    <n v="1"/>
    <x v="1"/>
    <n v="0"/>
    <n v="0.3220963410493719"/>
    <x v="0"/>
  </r>
  <r>
    <s v="C654"/>
    <x v="5"/>
    <n v="494"/>
    <n v="1.9"/>
    <n v="5.9"/>
    <n v="0.6"/>
    <x v="3"/>
    <n v="0"/>
    <n v="0.23872784977917771"/>
    <x v="0"/>
  </r>
  <r>
    <s v="C655"/>
    <x v="2"/>
    <n v="246"/>
    <n v="3.4"/>
    <n v="4.2"/>
    <n v="2.1"/>
    <x v="0"/>
    <n v="0"/>
    <n v="0.42625766104314478"/>
    <x v="0"/>
  </r>
  <r>
    <s v="C656"/>
    <x v="1"/>
    <n v="109"/>
    <n v="5.7"/>
    <n v="1.6"/>
    <n v="0.6"/>
    <x v="1"/>
    <n v="1"/>
    <n v="0.48565345606043597"/>
    <x v="0"/>
  </r>
  <r>
    <s v="C657"/>
    <x v="0"/>
    <n v="197"/>
    <n v="5.8"/>
    <n v="6.3"/>
    <n v="2.8"/>
    <x v="1"/>
    <n v="0"/>
    <n v="5.9135402845111207E-2"/>
    <x v="0"/>
  </r>
  <r>
    <s v="C659"/>
    <x v="2"/>
    <n v="155"/>
    <n v="4.5"/>
    <n v="4.0999999999999996"/>
    <n v="1.8"/>
    <x v="1"/>
    <n v="0"/>
    <n v="0.23998459941795147"/>
    <x v="0"/>
  </r>
  <r>
    <s v="C660"/>
    <x v="5"/>
    <n v="179"/>
    <n v="5.5"/>
    <n v="6.6"/>
    <n v="0.6"/>
    <x v="1"/>
    <n v="0"/>
    <n v="0.16850554354036762"/>
    <x v="0"/>
  </r>
  <r>
    <s v="C661"/>
    <x v="3"/>
    <n v="102"/>
    <n v="4.7"/>
    <n v="0.7"/>
    <n v="2.8"/>
    <x v="1"/>
    <n v="0"/>
    <n v="0.411156863746032"/>
    <x v="0"/>
  </r>
  <r>
    <s v="C662"/>
    <x v="1"/>
    <n v="311"/>
    <n v="2.7"/>
    <n v="3"/>
    <n v="2.8"/>
    <x v="0"/>
    <n v="0"/>
    <n v="0.61052760992112842"/>
    <x v="0"/>
  </r>
  <r>
    <s v="C663"/>
    <x v="3"/>
    <n v="360"/>
    <n v="4.2"/>
    <n v="7.9"/>
    <n v="1"/>
    <x v="1"/>
    <n v="0"/>
    <n v="0.57416715404769492"/>
    <x v="0"/>
  </r>
  <r>
    <s v="C664"/>
    <x v="3"/>
    <n v="322"/>
    <n v="5.3"/>
    <n v="2.2999999999999998"/>
    <n v="1.6"/>
    <x v="1"/>
    <n v="0"/>
    <n v="0.16661792970470723"/>
    <x v="0"/>
  </r>
  <r>
    <s v="C665"/>
    <x v="4"/>
    <n v="338"/>
    <n v="3.6"/>
    <n v="3.6"/>
    <n v="0.7"/>
    <x v="0"/>
    <n v="0"/>
    <n v="0.4071354741209755"/>
    <x v="0"/>
  </r>
  <r>
    <s v="C667"/>
    <x v="5"/>
    <n v="218"/>
    <n v="5.4"/>
    <n v="3.4"/>
    <n v="1.9"/>
    <x v="1"/>
    <n v="0"/>
    <n v="0.14111604358449636"/>
    <x v="0"/>
  </r>
  <r>
    <s v="C668"/>
    <x v="2"/>
    <n v="182"/>
    <n v="1.7"/>
    <n v="5.7"/>
    <n v="2.2999999999999998"/>
    <x v="3"/>
    <n v="0"/>
    <n v="7.9467903258782835E-2"/>
    <x v="0"/>
  </r>
  <r>
    <s v="C671"/>
    <x v="1"/>
    <n v="339"/>
    <n v="6"/>
    <n v="3"/>
    <n v="1.9"/>
    <x v="2"/>
    <n v="0"/>
    <n v="6.7568737514538402E-2"/>
    <x v="0"/>
  </r>
  <r>
    <s v="C672"/>
    <x v="5"/>
    <n v="222"/>
    <n v="5.9"/>
    <n v="5.4"/>
    <n v="2.7"/>
    <x v="1"/>
    <n v="0"/>
    <n v="0.59801111670809848"/>
    <x v="0"/>
  </r>
  <r>
    <s v="C674"/>
    <x v="2"/>
    <n v="411"/>
    <n v="2.4"/>
    <n v="7.6"/>
    <n v="2.6"/>
    <x v="0"/>
    <n v="0"/>
    <n v="0.36289673209798523"/>
    <x v="0"/>
  </r>
  <r>
    <s v="C675"/>
    <x v="5"/>
    <n v="113"/>
    <n v="5.3"/>
    <n v="0.9"/>
    <n v="2.7"/>
    <x v="1"/>
    <n v="0"/>
    <n v="0.1352631257117316"/>
    <x v="0"/>
  </r>
  <r>
    <s v="C677"/>
    <x v="5"/>
    <n v="481"/>
    <n v="7.2"/>
    <n v="0.7"/>
    <n v="2.4"/>
    <x v="2"/>
    <n v="0"/>
    <n v="0.37664306361976096"/>
    <x v="0"/>
  </r>
  <r>
    <s v="C678"/>
    <x v="3"/>
    <n v="238"/>
    <n v="1.2"/>
    <n v="6.9"/>
    <n v="0.7"/>
    <x v="3"/>
    <n v="0"/>
    <n v="0.5059063842402709"/>
    <x v="0"/>
  </r>
  <r>
    <s v="C679"/>
    <x v="0"/>
    <n v="153"/>
    <n v="7.7"/>
    <n v="6.8"/>
    <n v="0.6"/>
    <x v="2"/>
    <n v="0"/>
    <n v="3.9641371733555641E-2"/>
    <x v="0"/>
  </r>
  <r>
    <s v="C680"/>
    <x v="5"/>
    <n v="91"/>
    <n v="7.5"/>
    <n v="5.0999999999999996"/>
    <n v="2.2999999999999998"/>
    <x v="2"/>
    <n v="0"/>
    <n v="7.9971771125810553E-2"/>
    <x v="0"/>
  </r>
  <r>
    <s v="C681"/>
    <x v="0"/>
    <n v="319"/>
    <n v="1.4"/>
    <n v="3.7"/>
    <n v="2.6"/>
    <x v="3"/>
    <n v="0"/>
    <n v="0.36371558225222056"/>
    <x v="0"/>
  </r>
  <r>
    <s v="C682"/>
    <x v="3"/>
    <n v="190"/>
    <n v="6.5"/>
    <n v="9.6"/>
    <n v="2.4"/>
    <x v="2"/>
    <n v="0"/>
    <n v="0.38546350039055821"/>
    <x v="0"/>
  </r>
  <r>
    <s v="C683"/>
    <x v="2"/>
    <n v="98"/>
    <n v="2.1"/>
    <n v="1.7"/>
    <n v="1.4"/>
    <x v="0"/>
    <n v="0"/>
    <n v="0.35300229942687378"/>
    <x v="0"/>
  </r>
  <r>
    <s v="C684"/>
    <x v="0"/>
    <n v="434"/>
    <n v="5"/>
    <n v="0.6"/>
    <n v="1.5"/>
    <x v="1"/>
    <n v="0"/>
    <n v="0.67049781098018713"/>
    <x v="0"/>
  </r>
  <r>
    <s v="C686"/>
    <x v="4"/>
    <n v="364"/>
    <n v="7.1"/>
    <n v="4.3"/>
    <n v="2.2999999999999998"/>
    <x v="2"/>
    <n v="0"/>
    <n v="0.38305010027968089"/>
    <x v="0"/>
  </r>
  <r>
    <s v="C688"/>
    <x v="5"/>
    <n v="446"/>
    <n v="5.2"/>
    <n v="3"/>
    <n v="2.1"/>
    <x v="1"/>
    <n v="0"/>
    <n v="0.29212957003954421"/>
    <x v="0"/>
  </r>
  <r>
    <s v="C689"/>
    <x v="5"/>
    <n v="126"/>
    <n v="1.5"/>
    <n v="5.0999999999999996"/>
    <n v="1.9"/>
    <x v="3"/>
    <n v="0"/>
    <n v="0.67657047906873169"/>
    <x v="0"/>
  </r>
  <r>
    <s v="C690"/>
    <x v="3"/>
    <n v="476"/>
    <n v="2.2999999999999998"/>
    <n v="0.9"/>
    <n v="2.5"/>
    <x v="0"/>
    <n v="0"/>
    <n v="0.49771027551601199"/>
    <x v="0"/>
  </r>
  <r>
    <s v="C691"/>
    <x v="1"/>
    <n v="339"/>
    <n v="4.5999999999999996"/>
    <n v="9.4"/>
    <n v="0.7"/>
    <x v="1"/>
    <n v="0"/>
    <n v="3.554732526549409E-2"/>
    <x v="0"/>
  </r>
  <r>
    <s v="C692"/>
    <x v="5"/>
    <n v="457"/>
    <n v="6.8"/>
    <n v="7.8"/>
    <n v="2.5"/>
    <x v="2"/>
    <n v="0"/>
    <n v="0.42273293816350521"/>
    <x v="0"/>
  </r>
  <r>
    <s v="C693"/>
    <x v="0"/>
    <n v="253"/>
    <n v="6.1"/>
    <n v="3.5"/>
    <n v="2.7"/>
    <x v="2"/>
    <n v="0"/>
    <n v="0.56326248688409364"/>
    <x v="0"/>
  </r>
  <r>
    <s v="C695"/>
    <x v="0"/>
    <n v="459"/>
    <n v="0.9"/>
    <n v="9.6"/>
    <n v="2.5"/>
    <x v="3"/>
    <n v="0"/>
    <n v="0.17352609415316544"/>
    <x v="0"/>
  </r>
  <r>
    <s v="C697"/>
    <x v="0"/>
    <n v="257"/>
    <n v="8"/>
    <n v="1.9"/>
    <n v="3"/>
    <x v="2"/>
    <n v="0"/>
    <n v="0.22890921250332108"/>
    <x v="0"/>
  </r>
  <r>
    <s v="C698"/>
    <x v="0"/>
    <n v="288"/>
    <n v="1.5"/>
    <n v="4.8"/>
    <n v="3"/>
    <x v="3"/>
    <n v="0"/>
    <n v="0.67380562956556223"/>
    <x v="0"/>
  </r>
  <r>
    <s v="C699"/>
    <x v="5"/>
    <n v="427"/>
    <n v="6.7"/>
    <n v="7.3"/>
    <n v="1.9"/>
    <x v="2"/>
    <n v="0"/>
    <n v="4.6080292854013716E-2"/>
    <x v="0"/>
  </r>
  <r>
    <s v="C701"/>
    <x v="3"/>
    <n v="256"/>
    <n v="2.2000000000000002"/>
    <n v="3.2"/>
    <n v="0.6"/>
    <x v="0"/>
    <n v="0"/>
    <n v="0.55945086258388399"/>
    <x v="0"/>
  </r>
  <r>
    <s v="C702"/>
    <x v="3"/>
    <n v="487"/>
    <n v="2.2999999999999998"/>
    <n v="3.8"/>
    <n v="1.7"/>
    <x v="0"/>
    <n v="0"/>
    <n v="0.1464844797969217"/>
    <x v="0"/>
  </r>
  <r>
    <s v="C703"/>
    <x v="5"/>
    <n v="226"/>
    <n v="5.8"/>
    <n v="8.6999999999999993"/>
    <n v="2.4"/>
    <x v="1"/>
    <n v="0"/>
    <n v="0.52388384141763367"/>
    <x v="0"/>
  </r>
  <r>
    <s v="C704"/>
    <x v="1"/>
    <n v="122"/>
    <n v="2.7"/>
    <n v="6.9"/>
    <n v="2.9"/>
    <x v="0"/>
    <n v="0"/>
    <n v="0.43498156458690407"/>
    <x v="0"/>
  </r>
  <r>
    <s v="C706"/>
    <x v="5"/>
    <n v="218"/>
    <n v="4.8"/>
    <n v="5.5"/>
    <n v="2.2000000000000002"/>
    <x v="1"/>
    <n v="0"/>
    <n v="0.68900881709160611"/>
    <x v="0"/>
  </r>
  <r>
    <s v="C708"/>
    <x v="5"/>
    <n v="91"/>
    <n v="0.6"/>
    <n v="2.2999999999999998"/>
    <n v="3"/>
    <x v="3"/>
    <n v="0"/>
    <n v="0.14633933939660404"/>
    <x v="0"/>
  </r>
  <r>
    <s v="C710"/>
    <x v="1"/>
    <n v="195"/>
    <n v="6.9"/>
    <n v="5.6"/>
    <n v="2.2000000000000002"/>
    <x v="2"/>
    <n v="0"/>
    <n v="0.12922703879557618"/>
    <x v="0"/>
  </r>
  <r>
    <s v="C711"/>
    <x v="4"/>
    <n v="97"/>
    <n v="2.8"/>
    <n v="7"/>
    <n v="1.4"/>
    <x v="0"/>
    <n v="0"/>
    <n v="0.60469330952542477"/>
    <x v="0"/>
  </r>
  <r>
    <s v="C712"/>
    <x v="1"/>
    <n v="146"/>
    <n v="4.4000000000000004"/>
    <n v="6.4"/>
    <n v="2.2999999999999998"/>
    <x v="1"/>
    <n v="0"/>
    <n v="0.66289541904718896"/>
    <x v="0"/>
  </r>
  <r>
    <s v="C714"/>
    <x v="2"/>
    <n v="112"/>
    <n v="6.3"/>
    <n v="6"/>
    <n v="2.7"/>
    <x v="2"/>
    <n v="0"/>
    <n v="0.20516332816116678"/>
    <x v="0"/>
  </r>
  <r>
    <s v="C715"/>
    <x v="1"/>
    <n v="414"/>
    <n v="2.2999999999999998"/>
    <n v="6.5"/>
    <n v="2.4"/>
    <x v="0"/>
    <n v="0"/>
    <n v="0.63168637821629237"/>
    <x v="0"/>
  </r>
  <r>
    <s v="C716"/>
    <x v="3"/>
    <n v="336"/>
    <n v="5.2"/>
    <n v="7.9"/>
    <n v="1.8"/>
    <x v="1"/>
    <n v="0"/>
    <n v="0.4382444905671028"/>
    <x v="0"/>
  </r>
  <r>
    <s v="C717"/>
    <x v="2"/>
    <n v="216"/>
    <n v="3.3"/>
    <n v="3.8"/>
    <n v="2.6"/>
    <x v="0"/>
    <n v="0"/>
    <n v="0.66040398893905272"/>
    <x v="0"/>
  </r>
  <r>
    <s v="C718"/>
    <x v="4"/>
    <n v="379"/>
    <n v="5.0999999999999996"/>
    <n v="4"/>
    <n v="2.9"/>
    <x v="1"/>
    <n v="0"/>
    <n v="5.1114311766095377E-2"/>
    <x v="0"/>
  </r>
  <r>
    <s v="C719"/>
    <x v="3"/>
    <n v="380"/>
    <n v="5.3"/>
    <n v="3.9"/>
    <n v="2.9"/>
    <x v="1"/>
    <n v="0"/>
    <n v="0.42502894609566855"/>
    <x v="0"/>
  </r>
  <r>
    <s v="C723"/>
    <x v="3"/>
    <n v="356"/>
    <n v="6.5"/>
    <n v="5.9"/>
    <n v="0.6"/>
    <x v="2"/>
    <n v="0"/>
    <n v="0.15656065769895589"/>
    <x v="0"/>
  </r>
  <r>
    <s v="C724"/>
    <x v="3"/>
    <n v="319"/>
    <n v="2"/>
    <n v="2.2999999999999998"/>
    <n v="2.4"/>
    <x v="0"/>
    <n v="0"/>
    <n v="9.566915112551122E-2"/>
    <x v="0"/>
  </r>
  <r>
    <s v="C725"/>
    <x v="3"/>
    <n v="157"/>
    <n v="7"/>
    <n v="6"/>
    <n v="1.6"/>
    <x v="2"/>
    <n v="0"/>
    <n v="0.59128992494103694"/>
    <x v="0"/>
  </r>
  <r>
    <s v="C726"/>
    <x v="0"/>
    <n v="309"/>
    <n v="1.6"/>
    <n v="9.9"/>
    <n v="1.9"/>
    <x v="3"/>
    <n v="0"/>
    <n v="0.47008479310528839"/>
    <x v="0"/>
  </r>
  <r>
    <s v="C727"/>
    <x v="1"/>
    <n v="370"/>
    <n v="2.2000000000000002"/>
    <n v="9.8000000000000007"/>
    <n v="2.7"/>
    <x v="0"/>
    <n v="0"/>
    <n v="0.64067599386472807"/>
    <x v="0"/>
  </r>
  <r>
    <s v="C729"/>
    <x v="0"/>
    <n v="466"/>
    <n v="6.3"/>
    <n v="2.2000000000000002"/>
    <n v="1.3"/>
    <x v="2"/>
    <n v="0"/>
    <n v="0.62259549156401561"/>
    <x v="0"/>
  </r>
  <r>
    <s v="C730"/>
    <x v="3"/>
    <n v="138"/>
    <n v="6.4"/>
    <n v="6.5"/>
    <n v="2.2000000000000002"/>
    <x v="2"/>
    <n v="0"/>
    <n v="0.6580353442318565"/>
    <x v="0"/>
  </r>
  <r>
    <s v="C731"/>
    <x v="0"/>
    <n v="99"/>
    <n v="7.2"/>
    <n v="7.6"/>
    <n v="1"/>
    <x v="2"/>
    <n v="0"/>
    <n v="0.29417913595004996"/>
    <x v="0"/>
  </r>
  <r>
    <s v="C732"/>
    <x v="1"/>
    <n v="265"/>
    <n v="5"/>
    <n v="4.0999999999999996"/>
    <n v="3"/>
    <x v="1"/>
    <n v="0"/>
    <n v="0.57750634004325152"/>
    <x v="0"/>
  </r>
  <r>
    <s v="C733"/>
    <x v="5"/>
    <n v="79"/>
    <n v="6.1"/>
    <n v="1.2"/>
    <n v="2"/>
    <x v="2"/>
    <n v="0"/>
    <n v="0.6875372399642089"/>
    <x v="0"/>
  </r>
  <r>
    <s v="C734"/>
    <x v="4"/>
    <n v="331"/>
    <n v="5.6"/>
    <n v="0.9"/>
    <n v="1.2"/>
    <x v="1"/>
    <n v="0"/>
    <n v="8.8880289610885121E-2"/>
    <x v="0"/>
  </r>
  <r>
    <s v="C736"/>
    <x v="0"/>
    <n v="168"/>
    <n v="7.8"/>
    <n v="3"/>
    <n v="0.8"/>
    <x v="2"/>
    <n v="0"/>
    <n v="0.6050457006247365"/>
    <x v="0"/>
  </r>
  <r>
    <s v="C737"/>
    <x v="3"/>
    <n v="178"/>
    <n v="4.2"/>
    <n v="8.5"/>
    <n v="2"/>
    <x v="1"/>
    <n v="0"/>
    <n v="0.27692305994680233"/>
    <x v="0"/>
  </r>
  <r>
    <s v="C740"/>
    <x v="3"/>
    <n v="402"/>
    <n v="0.5"/>
    <n v="5.3"/>
    <n v="0.7"/>
    <x v="3"/>
    <n v="0"/>
    <n v="5.4094036746007546E-2"/>
    <x v="0"/>
  </r>
  <r>
    <s v="C741"/>
    <x v="5"/>
    <n v="327"/>
    <n v="7.9"/>
    <n v="4.7"/>
    <n v="1.6"/>
    <x v="2"/>
    <n v="0"/>
    <n v="0.44627056534084486"/>
    <x v="0"/>
  </r>
  <r>
    <s v="C742"/>
    <x v="5"/>
    <n v="164"/>
    <n v="2"/>
    <n v="8.4"/>
    <n v="1.1000000000000001"/>
    <x v="0"/>
    <n v="0"/>
    <n v="0.43736478124107037"/>
    <x v="0"/>
  </r>
  <r>
    <s v="C745"/>
    <x v="5"/>
    <n v="52"/>
    <n v="5.9"/>
    <n v="9.1"/>
    <n v="1.9"/>
    <x v="1"/>
    <n v="0"/>
    <n v="8.6602166094884581E-2"/>
    <x v="0"/>
  </r>
  <r>
    <s v="C747"/>
    <x v="4"/>
    <n v="365"/>
    <n v="5.4"/>
    <n v="6.2"/>
    <n v="2.8"/>
    <x v="1"/>
    <n v="0"/>
    <n v="0.19083760230106384"/>
    <x v="0"/>
  </r>
  <r>
    <s v="C748"/>
    <x v="3"/>
    <n v="151"/>
    <n v="7.8"/>
    <n v="2.2000000000000002"/>
    <n v="0.7"/>
    <x v="2"/>
    <n v="0"/>
    <n v="0.15969872824267961"/>
    <x v="0"/>
  </r>
  <r>
    <s v="C749"/>
    <x v="2"/>
    <n v="114"/>
    <n v="4.5999999999999996"/>
    <n v="4.5"/>
    <n v="0.5"/>
    <x v="1"/>
    <n v="0"/>
    <n v="0.5508182454163093"/>
    <x v="0"/>
  </r>
  <r>
    <s v="C750"/>
    <x v="1"/>
    <n v="155"/>
    <n v="7.3"/>
    <n v="1.2"/>
    <n v="2.9"/>
    <x v="2"/>
    <n v="0"/>
    <n v="0.57680289314254141"/>
    <x v="0"/>
  </r>
  <r>
    <s v="C751"/>
    <x v="5"/>
    <n v="270"/>
    <n v="3.2"/>
    <n v="2.5"/>
    <n v="2.5"/>
    <x v="0"/>
    <n v="0"/>
    <n v="0.12060476865087255"/>
    <x v="0"/>
  </r>
  <r>
    <s v="C752"/>
    <x v="1"/>
    <n v="470"/>
    <n v="2.1"/>
    <n v="9.9"/>
    <n v="2"/>
    <x v="0"/>
    <n v="0"/>
    <n v="0.48509770143546049"/>
    <x v="0"/>
  </r>
  <r>
    <s v="C753"/>
    <x v="3"/>
    <n v="419"/>
    <n v="5.3"/>
    <n v="9.1"/>
    <n v="1.8"/>
    <x v="1"/>
    <n v="0"/>
    <n v="0.2339349868632683"/>
    <x v="0"/>
  </r>
  <r>
    <s v="C754"/>
    <x v="2"/>
    <n v="152"/>
    <n v="4.4000000000000004"/>
    <n v="8.5"/>
    <n v="2.2000000000000002"/>
    <x v="1"/>
    <n v="0"/>
    <n v="0.17194311180418287"/>
    <x v="0"/>
  </r>
  <r>
    <s v="C755"/>
    <x v="4"/>
    <n v="232"/>
    <n v="6.4"/>
    <n v="8.1999999999999993"/>
    <n v="1.2"/>
    <x v="2"/>
    <n v="0"/>
    <n v="0.32834652891546823"/>
    <x v="0"/>
  </r>
  <r>
    <s v="C756"/>
    <x v="4"/>
    <n v="113"/>
    <n v="1.9"/>
    <n v="8.4"/>
    <n v="2"/>
    <x v="3"/>
    <n v="0"/>
    <n v="0.40372636289924391"/>
    <x v="0"/>
  </r>
  <r>
    <s v="C759"/>
    <x v="1"/>
    <n v="164"/>
    <n v="7.9"/>
    <n v="5.6"/>
    <n v="2.7"/>
    <x v="2"/>
    <n v="0"/>
    <n v="0.46983680348140644"/>
    <x v="0"/>
  </r>
  <r>
    <s v="C760"/>
    <x v="0"/>
    <n v="188"/>
    <n v="5.8"/>
    <n v="8.6999999999999993"/>
    <n v="1.1000000000000001"/>
    <x v="1"/>
    <n v="0"/>
    <n v="0.60927411338898929"/>
    <x v="0"/>
  </r>
  <r>
    <s v="C761"/>
    <x v="5"/>
    <n v="182"/>
    <n v="6.8"/>
    <n v="2.5"/>
    <n v="0.7"/>
    <x v="2"/>
    <n v="0"/>
    <n v="0.22638307641529498"/>
    <x v="0"/>
  </r>
  <r>
    <s v="C764"/>
    <x v="0"/>
    <n v="324"/>
    <n v="2.4"/>
    <n v="5.9"/>
    <n v="2"/>
    <x v="0"/>
    <n v="0"/>
    <n v="0.42756931792041408"/>
    <x v="0"/>
  </r>
  <r>
    <s v="C767"/>
    <x v="0"/>
    <n v="397"/>
    <n v="2.6"/>
    <n v="4.5"/>
    <n v="1.6"/>
    <x v="0"/>
    <n v="0"/>
    <n v="0.27502531156395349"/>
    <x v="0"/>
  </r>
  <r>
    <s v="C769"/>
    <x v="4"/>
    <n v="275"/>
    <n v="0.5"/>
    <n v="6.7"/>
    <n v="1.8"/>
    <x v="3"/>
    <n v="0"/>
    <n v="0.29355124782905628"/>
    <x v="0"/>
  </r>
  <r>
    <s v="C774"/>
    <x v="4"/>
    <n v="310"/>
    <n v="0.5"/>
    <n v="8.8000000000000007"/>
    <n v="0.8"/>
    <x v="3"/>
    <n v="0"/>
    <n v="0.12562465518321575"/>
    <x v="0"/>
  </r>
  <r>
    <s v="C775"/>
    <x v="5"/>
    <n v="485"/>
    <n v="0.6"/>
    <n v="3.5"/>
    <n v="1.9"/>
    <x v="3"/>
    <n v="0"/>
    <n v="0.13683372832267826"/>
    <x v="0"/>
  </r>
  <r>
    <s v="C776"/>
    <x v="2"/>
    <n v="66"/>
    <n v="7"/>
    <n v="9.5"/>
    <n v="2.4"/>
    <x v="2"/>
    <n v="0"/>
    <n v="0.18571835322590957"/>
    <x v="0"/>
  </r>
  <r>
    <s v="C777"/>
    <x v="0"/>
    <n v="471"/>
    <n v="5.9"/>
    <n v="3.8"/>
    <n v="1.5"/>
    <x v="1"/>
    <n v="0"/>
    <n v="1.8503262276879595E-2"/>
    <x v="0"/>
  </r>
  <r>
    <s v="C778"/>
    <x v="4"/>
    <n v="457"/>
    <n v="5.9"/>
    <n v="6.6"/>
    <n v="0.8"/>
    <x v="1"/>
    <n v="0"/>
    <n v="0.68686895780010571"/>
    <x v="0"/>
  </r>
  <r>
    <s v="C779"/>
    <x v="3"/>
    <n v="144"/>
    <n v="5.4"/>
    <n v="3.1"/>
    <n v="0.7"/>
    <x v="1"/>
    <n v="0"/>
    <n v="0.40928285569316114"/>
    <x v="0"/>
  </r>
  <r>
    <s v="C780"/>
    <x v="0"/>
    <n v="142"/>
    <n v="0.8"/>
    <n v="6.7"/>
    <n v="1.1000000000000001"/>
    <x v="3"/>
    <n v="0"/>
    <n v="0.34064083723033423"/>
    <x v="0"/>
  </r>
  <r>
    <s v="C781"/>
    <x v="2"/>
    <n v="190"/>
    <n v="7.8"/>
    <n v="3.1"/>
    <n v="1.3"/>
    <x v="2"/>
    <n v="0"/>
    <n v="7.4631248102807191E-2"/>
    <x v="0"/>
  </r>
  <r>
    <s v="C783"/>
    <x v="5"/>
    <n v="129"/>
    <n v="5.6"/>
    <n v="9"/>
    <n v="2.6"/>
    <x v="1"/>
    <n v="0"/>
    <n v="0.67615403356380432"/>
    <x v="0"/>
  </r>
  <r>
    <s v="C784"/>
    <x v="0"/>
    <n v="116"/>
    <n v="1.7"/>
    <n v="5.0999999999999996"/>
    <n v="0.8"/>
    <x v="3"/>
    <n v="0"/>
    <n v="1.6620525503390438E-2"/>
    <x v="0"/>
  </r>
  <r>
    <s v="C786"/>
    <x v="2"/>
    <n v="52"/>
    <n v="5"/>
    <n v="4.5999999999999996"/>
    <n v="2.5"/>
    <x v="1"/>
    <n v="0"/>
    <n v="0.124705400400415"/>
    <x v="0"/>
  </r>
  <r>
    <s v="C788"/>
    <x v="3"/>
    <n v="240"/>
    <n v="7.2"/>
    <n v="7.1"/>
    <n v="2.2000000000000002"/>
    <x v="2"/>
    <n v="0"/>
    <n v="0.40892042935171347"/>
    <x v="0"/>
  </r>
  <r>
    <s v="C789"/>
    <x v="4"/>
    <n v="348"/>
    <n v="5.2"/>
    <n v="6"/>
    <n v="1.4"/>
    <x v="1"/>
    <n v="0"/>
    <n v="0.6065708074839562"/>
    <x v="0"/>
  </r>
  <r>
    <s v="C791"/>
    <x v="4"/>
    <n v="380"/>
    <n v="4.8"/>
    <n v="3.6"/>
    <n v="1.7"/>
    <x v="1"/>
    <n v="0"/>
    <n v="0.20099675258872329"/>
    <x v="0"/>
  </r>
  <r>
    <s v="C792"/>
    <x v="0"/>
    <n v="462"/>
    <n v="6.2"/>
    <n v="1.6"/>
    <n v="1.1000000000000001"/>
    <x v="2"/>
    <n v="0"/>
    <n v="0.47767768585448644"/>
    <x v="0"/>
  </r>
  <r>
    <s v="C793"/>
    <x v="5"/>
    <n v="78"/>
    <n v="3.2"/>
    <n v="9.6"/>
    <n v="0.6"/>
    <x v="0"/>
    <n v="0"/>
    <n v="0.11790865720055255"/>
    <x v="0"/>
  </r>
  <r>
    <s v="C794"/>
    <x v="3"/>
    <n v="380"/>
    <n v="3.3"/>
    <n v="1.2"/>
    <n v="2.4"/>
    <x v="0"/>
    <n v="0"/>
    <n v="0.64590104926386305"/>
    <x v="0"/>
  </r>
  <r>
    <s v="C795"/>
    <x v="2"/>
    <n v="239"/>
    <n v="0.7"/>
    <n v="2.2000000000000002"/>
    <n v="2.9"/>
    <x v="3"/>
    <n v="0"/>
    <n v="0.46491627184958162"/>
    <x v="0"/>
  </r>
  <r>
    <s v="C797"/>
    <x v="5"/>
    <n v="491"/>
    <n v="6.2"/>
    <n v="5.9"/>
    <n v="1.8"/>
    <x v="2"/>
    <n v="0"/>
    <n v="0.67331139924332406"/>
    <x v="0"/>
  </r>
  <r>
    <s v="C798"/>
    <x v="0"/>
    <n v="469"/>
    <n v="4.5"/>
    <n v="9.8000000000000007"/>
    <n v="2.4"/>
    <x v="1"/>
    <n v="0"/>
    <n v="0.5021403234259959"/>
    <x v="0"/>
  </r>
  <r>
    <s v="C799"/>
    <x v="0"/>
    <n v="271"/>
    <n v="7.8"/>
    <n v="8"/>
    <n v="2.7"/>
    <x v="2"/>
    <n v="0"/>
    <n v="0.54473423255283193"/>
    <x v="0"/>
  </r>
  <r>
    <s v="C800"/>
    <x v="0"/>
    <n v="311"/>
    <n v="0.7"/>
    <n v="9.8000000000000007"/>
    <n v="0.6"/>
    <x v="3"/>
    <n v="0"/>
    <n v="0.29779903654806239"/>
    <x v="0"/>
  </r>
  <r>
    <s v="C802"/>
    <x v="2"/>
    <n v="310"/>
    <n v="3"/>
    <n v="8.1999999999999993"/>
    <n v="1.1000000000000001"/>
    <x v="2"/>
    <n v="0"/>
    <n v="0.66921108617686653"/>
    <x v="0"/>
  </r>
  <r>
    <s v="C803"/>
    <x v="1"/>
    <n v="339"/>
    <n v="1.1000000000000001"/>
    <n v="7.7"/>
    <n v="2.1"/>
    <x v="1"/>
    <n v="0"/>
    <n v="0.26533436600378169"/>
    <x v="0"/>
  </r>
  <r>
    <s v="C805"/>
    <x v="1"/>
    <n v="407"/>
    <n v="1"/>
    <n v="6.7"/>
    <n v="0.6"/>
    <x v="3"/>
    <n v="0"/>
    <n v="0.15928679805132495"/>
    <x v="0"/>
  </r>
  <r>
    <s v="C806"/>
    <x v="4"/>
    <n v="208"/>
    <n v="3.6"/>
    <n v="4.8"/>
    <n v="2.9"/>
    <x v="0"/>
    <n v="0"/>
    <n v="6.5303024560673717E-2"/>
    <x v="0"/>
  </r>
  <r>
    <s v="C807"/>
    <x v="1"/>
    <n v="484"/>
    <n v="5"/>
    <n v="0.8"/>
    <n v="2.4"/>
    <x v="0"/>
    <n v="0"/>
    <n v="9.4464348516091867E-2"/>
    <x v="0"/>
  </r>
  <r>
    <s v="C808"/>
    <x v="0"/>
    <n v="306"/>
    <n v="1.5"/>
    <n v="1.7"/>
    <n v="2.8"/>
    <x v="0"/>
    <n v="0"/>
    <n v="0.12297444798220081"/>
    <x v="0"/>
  </r>
  <r>
    <s v="C809"/>
    <x v="3"/>
    <n v="328"/>
    <n v="6.9"/>
    <n v="2.7"/>
    <n v="1.8"/>
    <x v="2"/>
    <n v="0"/>
    <n v="2.6944760757707464E-2"/>
    <x v="0"/>
  </r>
  <r>
    <s v="C810"/>
    <x v="0"/>
    <n v="422"/>
    <n v="2.4"/>
    <n v="7.9"/>
    <n v="1.7"/>
    <x v="1"/>
    <n v="0"/>
    <n v="0.17787185849776488"/>
    <x v="0"/>
  </r>
  <r>
    <s v="C812"/>
    <x v="1"/>
    <n v="128"/>
    <n v="4.9000000000000004"/>
    <n v="8.3000000000000007"/>
    <n v="1.6"/>
    <x v="3"/>
    <n v="0"/>
    <n v="6.872282858565737E-2"/>
    <x v="0"/>
  </r>
  <r>
    <s v="C814"/>
    <x v="5"/>
    <n v="182"/>
    <n v="7.9"/>
    <n v="2.1"/>
    <n v="2.1"/>
    <x v="2"/>
    <n v="0"/>
    <n v="0.24234573619799848"/>
    <x v="0"/>
  </r>
  <r>
    <s v="C815"/>
    <x v="2"/>
    <n v="60"/>
    <n v="3.9"/>
    <n v="6.6"/>
    <n v="1.2"/>
    <x v="3"/>
    <n v="0"/>
    <n v="0.43022524673306139"/>
    <x v="0"/>
  </r>
  <r>
    <s v="C817"/>
    <x v="4"/>
    <n v="434"/>
    <n v="6.6"/>
    <n v="3.2"/>
    <n v="1.5"/>
    <x v="3"/>
    <n v="0"/>
    <n v="0.26404350790644515"/>
    <x v="0"/>
  </r>
  <r>
    <s v="C821"/>
    <x v="5"/>
    <n v="101"/>
    <n v="6.7"/>
    <n v="7.5"/>
    <n v="1.4"/>
    <x v="0"/>
    <n v="0"/>
    <n v="0.19756402994711797"/>
    <x v="0"/>
  </r>
  <r>
    <s v="C822"/>
    <x v="4"/>
    <n v="85"/>
    <n v="2.5"/>
    <n v="0.7"/>
    <n v="2"/>
    <x v="3"/>
    <n v="0"/>
    <n v="0.39631542459268998"/>
    <x v="0"/>
  </r>
  <r>
    <s v="C823"/>
    <x v="1"/>
    <n v="261"/>
    <n v="1.3"/>
    <n v="5.8"/>
    <n v="2.2000000000000002"/>
    <x v="2"/>
    <n v="0"/>
    <n v="0.27767792765353472"/>
    <x v="0"/>
  </r>
  <r>
    <s v="C826"/>
    <x v="2"/>
    <n v="80"/>
    <n v="4.4000000000000004"/>
    <n v="4.5999999999999996"/>
    <n v="1.6"/>
    <x v="2"/>
    <n v="0"/>
    <n v="0.20999460004777193"/>
    <x v="0"/>
  </r>
  <r>
    <s v="C827"/>
    <x v="2"/>
    <n v="281"/>
    <n v="6"/>
    <n v="3.1"/>
    <n v="1.3"/>
    <x v="0"/>
    <n v="0"/>
    <n v="0.52002863351208195"/>
    <x v="0"/>
  </r>
  <r>
    <s v="C829"/>
    <x v="4"/>
    <n v="79"/>
    <n v="7.3"/>
    <n v="9.4"/>
    <n v="1.4"/>
    <x v="0"/>
    <n v="0"/>
    <n v="0.34644608919536279"/>
    <x v="0"/>
  </r>
  <r>
    <s v="C830"/>
    <x v="2"/>
    <n v="271"/>
    <n v="7.8"/>
    <n v="7.2"/>
    <n v="1"/>
    <x v="2"/>
    <n v="0"/>
    <n v="0.12056112559886967"/>
    <x v="0"/>
  </r>
  <r>
    <s v="C831"/>
    <x v="1"/>
    <n v="287"/>
    <n v="6.9"/>
    <n v="7.1"/>
    <n v="2.9"/>
    <x v="3"/>
    <n v="0"/>
    <n v="0.50627015223788674"/>
    <x v="0"/>
  </r>
  <r>
    <s v="C832"/>
    <x v="1"/>
    <n v="166"/>
    <n v="1.1000000000000001"/>
    <n v="2.5"/>
    <n v="1.6"/>
    <x v="3"/>
    <n v="0"/>
    <n v="0.15762680396322137"/>
    <x v="0"/>
  </r>
  <r>
    <s v="C834"/>
    <x v="1"/>
    <n v="167"/>
    <n v="4.3"/>
    <n v="8"/>
    <n v="1.8"/>
    <x v="3"/>
    <n v="0"/>
    <n v="0.2467033278720363"/>
    <x v="0"/>
  </r>
  <r>
    <s v="C835"/>
    <x v="1"/>
    <n v="332"/>
    <n v="5.6"/>
    <n v="7.8"/>
    <n v="1"/>
    <x v="2"/>
    <n v="0"/>
    <n v="0.12371380707450252"/>
    <x v="0"/>
  </r>
  <r>
    <s v="C836"/>
    <x v="5"/>
    <n v="159"/>
    <n v="5.7"/>
    <n v="2.5"/>
    <n v="1.2"/>
    <x v="1"/>
    <n v="0"/>
    <n v="0.15257430495266155"/>
    <x v="0"/>
  </r>
  <r>
    <s v="C837"/>
    <x v="4"/>
    <n v="442"/>
    <n v="1.8"/>
    <n v="3.6"/>
    <n v="2.1"/>
    <x v="3"/>
    <n v="0"/>
    <n v="0.58135717074287718"/>
    <x v="0"/>
  </r>
  <r>
    <s v="C838"/>
    <x v="2"/>
    <n v="161"/>
    <n v="7.3"/>
    <n v="8.6999999999999993"/>
    <n v="2.8"/>
    <x v="2"/>
    <n v="0"/>
    <n v="9.3342302685491596E-2"/>
    <x v="0"/>
  </r>
  <r>
    <s v="C839"/>
    <x v="5"/>
    <n v="297"/>
    <n v="6.9"/>
    <n v="3.4"/>
    <n v="1.7"/>
    <x v="1"/>
    <n v="1"/>
    <n v="0.61289726629056074"/>
    <x v="0"/>
  </r>
  <r>
    <s v="C842"/>
    <x v="0"/>
    <n v="175"/>
    <n v="1"/>
    <n v="7.9"/>
    <n v="2.1"/>
    <x v="2"/>
    <n v="0"/>
    <n v="0.45902504192449956"/>
    <x v="0"/>
  </r>
  <r>
    <s v="C843"/>
    <x v="1"/>
    <n v="268"/>
    <n v="6.6"/>
    <n v="4.2"/>
    <n v="2"/>
    <x v="0"/>
    <n v="0"/>
    <n v="0.37210519236235096"/>
    <x v="0"/>
  </r>
  <r>
    <s v="C844"/>
    <x v="1"/>
    <n v="299"/>
    <n v="4.4000000000000004"/>
    <n v="6.9"/>
    <n v="2.8"/>
    <x v="0"/>
    <n v="0"/>
    <n v="0.25954577756621489"/>
    <x v="0"/>
  </r>
  <r>
    <s v="C845"/>
    <x v="0"/>
    <n v="75"/>
    <n v="5.6"/>
    <n v="7.9"/>
    <n v="2.6"/>
    <x v="1"/>
    <n v="0"/>
    <n v="0.34752299044512647"/>
    <x v="0"/>
  </r>
  <r>
    <s v="C846"/>
    <x v="3"/>
    <n v="274"/>
    <n v="7.5"/>
    <n v="5.6"/>
    <n v="0.7"/>
    <x v="0"/>
    <n v="0"/>
    <n v="0.25101183173000619"/>
    <x v="0"/>
  </r>
  <r>
    <s v="C847"/>
    <x v="2"/>
    <n v="172"/>
    <n v="0.8"/>
    <n v="5.5"/>
    <n v="2.1"/>
    <x v="0"/>
    <n v="0"/>
    <n v="0.17373110997608543"/>
    <x v="0"/>
  </r>
  <r>
    <s v="C848"/>
    <x v="5"/>
    <n v="384"/>
    <n v="4.4000000000000004"/>
    <n v="5"/>
    <n v="2.4"/>
    <x v="0"/>
    <n v="0"/>
    <n v="0.3337989072300912"/>
    <x v="0"/>
  </r>
  <r>
    <s v="C850"/>
    <x v="2"/>
    <n v="69"/>
    <n v="7.2"/>
    <n v="5.2"/>
    <n v="0.9"/>
    <x v="1"/>
    <n v="0"/>
    <n v="0.18179054279546414"/>
    <x v="0"/>
  </r>
  <r>
    <s v="C852"/>
    <x v="3"/>
    <n v="72"/>
    <n v="2.7"/>
    <n v="3.1"/>
    <n v="2.7"/>
    <x v="1"/>
    <n v="0"/>
    <n v="0.46646795378737138"/>
    <x v="0"/>
  </r>
  <r>
    <s v="C855"/>
    <x v="2"/>
    <n v="285"/>
    <n v="1.1000000000000001"/>
    <n v="8.6"/>
    <n v="3"/>
    <x v="0"/>
    <n v="0"/>
    <n v="6.4882958321345274E-2"/>
    <x v="0"/>
  </r>
  <r>
    <s v="C857"/>
    <x v="2"/>
    <n v="103"/>
    <n v="6.5"/>
    <n v="1.3"/>
    <n v="1.1000000000000001"/>
    <x v="0"/>
    <n v="0"/>
    <n v="0.58177668664038584"/>
    <x v="0"/>
  </r>
  <r>
    <s v="C858"/>
    <x v="2"/>
    <n v="91"/>
    <n v="4.3"/>
    <n v="3.1"/>
    <n v="0.9"/>
    <x v="3"/>
    <n v="0"/>
    <n v="0.61170184256737425"/>
    <x v="0"/>
  </r>
  <r>
    <s v="C859"/>
    <x v="1"/>
    <n v="411"/>
    <n v="7.9"/>
    <n v="0.9"/>
    <n v="0.5"/>
    <x v="0"/>
    <n v="0"/>
    <n v="0.34715710497371743"/>
    <x v="0"/>
  </r>
  <r>
    <s v="C860"/>
    <x v="4"/>
    <n v="248"/>
    <n v="1"/>
    <n v="4.4000000000000004"/>
    <n v="2"/>
    <x v="2"/>
    <n v="0"/>
    <n v="0.42423839767756077"/>
    <x v="0"/>
  </r>
  <r>
    <s v="C861"/>
    <x v="5"/>
    <n v="83"/>
    <n v="5.6"/>
    <n v="4"/>
    <n v="2.5"/>
    <x v="2"/>
    <n v="0"/>
    <n v="6.6260106076661995E-2"/>
    <x v="0"/>
  </r>
  <r>
    <s v="C862"/>
    <x v="2"/>
    <n v="80"/>
    <n v="7.6"/>
    <n v="9.1999999999999993"/>
    <n v="2.7"/>
    <x v="2"/>
    <n v="0"/>
    <n v="0.69221866458047909"/>
    <x v="0"/>
  </r>
  <r>
    <s v="C864"/>
    <x v="1"/>
    <n v="220"/>
    <n v="6.4"/>
    <n v="0.8"/>
    <n v="0.8"/>
    <x v="1"/>
    <n v="0"/>
    <n v="0.69734930896549718"/>
    <x v="0"/>
  </r>
  <r>
    <s v="C865"/>
    <x v="1"/>
    <n v="160"/>
    <n v="4.4000000000000004"/>
    <n v="6.2"/>
    <n v="1.4"/>
    <x v="1"/>
    <n v="0"/>
    <n v="0.20399412826620478"/>
    <x v="0"/>
  </r>
  <r>
    <s v="C867"/>
    <x v="1"/>
    <n v="112"/>
    <n v="1.8"/>
    <n v="3.3"/>
    <n v="1.2"/>
    <x v="0"/>
    <n v="0"/>
    <n v="0.54087410607019648"/>
    <x v="0"/>
  </r>
  <r>
    <s v="C868"/>
    <x v="0"/>
    <n v="166"/>
    <n v="5.5"/>
    <n v="7.3"/>
    <n v="1.6"/>
    <x v="1"/>
    <n v="0"/>
    <n v="0.51503575200072826"/>
    <x v="0"/>
  </r>
  <r>
    <s v="C870"/>
    <x v="1"/>
    <n v="280"/>
    <n v="3"/>
    <n v="2.1"/>
    <n v="1.2"/>
    <x v="3"/>
    <n v="0"/>
    <n v="5.7269210476037613E-2"/>
    <x v="0"/>
  </r>
  <r>
    <s v="C871"/>
    <x v="5"/>
    <n v="196"/>
    <n v="7"/>
    <n v="5"/>
    <n v="1.4"/>
    <x v="3"/>
    <n v="0"/>
    <n v="0.5286996620081903"/>
    <x v="0"/>
  </r>
  <r>
    <s v="C873"/>
    <x v="0"/>
    <n v="449"/>
    <n v="4"/>
    <n v="6.4"/>
    <n v="1.8"/>
    <x v="2"/>
    <n v="0"/>
    <n v="6.9777717666685057E-2"/>
    <x v="0"/>
  </r>
  <r>
    <s v="C874"/>
    <x v="2"/>
    <n v="209"/>
    <n v="3.7"/>
    <n v="1.1000000000000001"/>
    <n v="1.9"/>
    <x v="1"/>
    <n v="0"/>
    <n v="0.34577699928587335"/>
    <x v="0"/>
  </r>
  <r>
    <s v="C875"/>
    <x v="4"/>
    <n v="186"/>
    <n v="4.5"/>
    <n v="5.2"/>
    <n v="1.7"/>
    <x v="1"/>
    <n v="0"/>
    <n v="0.37105506413736666"/>
    <x v="0"/>
  </r>
  <r>
    <s v="C876"/>
    <x v="4"/>
    <n v="63"/>
    <n v="0.6"/>
    <n v="1.4"/>
    <n v="2.6"/>
    <x v="2"/>
    <n v="0"/>
    <n v="0.30344613305182344"/>
    <x v="0"/>
  </r>
  <r>
    <s v="C877"/>
    <x v="1"/>
    <n v="297"/>
    <n v="4.3"/>
    <n v="0.9"/>
    <n v="0.9"/>
    <x v="3"/>
    <n v="0"/>
    <n v="0.19833176302347166"/>
    <x v="0"/>
  </r>
  <r>
    <s v="C878"/>
    <x v="0"/>
    <n v="312"/>
    <n v="3.4"/>
    <n v="3.2"/>
    <n v="0.6"/>
    <x v="0"/>
    <n v="0"/>
    <n v="3.3312791407073106E-2"/>
    <x v="0"/>
  </r>
  <r>
    <s v="C879"/>
    <x v="1"/>
    <n v="479"/>
    <n v="0.7"/>
    <n v="8.5"/>
    <n v="0.8"/>
    <x v="0"/>
    <n v="0"/>
    <n v="0.62042255507328137"/>
    <x v="0"/>
  </r>
  <r>
    <s v="C880"/>
    <x v="3"/>
    <n v="171"/>
    <n v="2.9"/>
    <n v="7.7"/>
    <n v="2.8"/>
    <x v="3"/>
    <n v="0"/>
    <n v="0.19537502933519901"/>
    <x v="0"/>
  </r>
  <r>
    <s v="C881"/>
    <x v="4"/>
    <n v="305"/>
    <n v="2.9"/>
    <n v="6.4"/>
    <n v="2.4"/>
    <x v="3"/>
    <n v="0"/>
    <n v="0.54871941374507016"/>
    <x v="0"/>
  </r>
  <r>
    <s v="C882"/>
    <x v="3"/>
    <n v="148"/>
    <n v="7.9"/>
    <n v="8.1999999999999993"/>
    <n v="2.9"/>
    <x v="0"/>
    <n v="0"/>
    <n v="0.23776170507202687"/>
    <x v="0"/>
  </r>
  <r>
    <s v="C883"/>
    <x v="5"/>
    <n v="227"/>
    <n v="6.4"/>
    <n v="9.1"/>
    <n v="1.8"/>
    <x v="0"/>
    <n v="0"/>
    <n v="0.4953203741230755"/>
    <x v="0"/>
  </r>
  <r>
    <s v="C886"/>
    <x v="3"/>
    <n v="296"/>
    <n v="5.6"/>
    <n v="7.3"/>
    <n v="2.5"/>
    <x v="1"/>
    <n v="0"/>
    <n v="9.699624368785964E-2"/>
    <x v="0"/>
  </r>
  <r>
    <s v="C888"/>
    <x v="1"/>
    <n v="181"/>
    <n v="2.9"/>
    <n v="1.2"/>
    <n v="0.7"/>
    <x v="3"/>
    <n v="0"/>
    <n v="0.50022506910659958"/>
    <x v="0"/>
  </r>
  <r>
    <s v="C890"/>
    <x v="0"/>
    <n v="331"/>
    <n v="6.2"/>
    <n v="1.7"/>
    <n v="0.8"/>
    <x v="3"/>
    <n v="0"/>
    <n v="0.34445313863862692"/>
    <x v="0"/>
  </r>
  <r>
    <s v="C891"/>
    <x v="0"/>
    <n v="306"/>
    <n v="3.1"/>
    <n v="0.7"/>
    <n v="0.6"/>
    <x v="1"/>
    <n v="0"/>
    <n v="5.4313824215926232E-2"/>
    <x v="0"/>
  </r>
  <r>
    <s v="C892"/>
    <x v="3"/>
    <n v="273"/>
    <n v="6.8"/>
    <n v="7.7"/>
    <n v="2.8"/>
    <x v="3"/>
    <n v="0"/>
    <n v="0.26353835961044192"/>
    <x v="0"/>
  </r>
  <r>
    <s v="C893"/>
    <x v="4"/>
    <n v="349"/>
    <n v="1.5"/>
    <n v="3.2"/>
    <n v="2.2999999999999998"/>
    <x v="1"/>
    <n v="0"/>
    <n v="0.68885110344772682"/>
    <x v="0"/>
  </r>
  <r>
    <s v="C894"/>
    <x v="2"/>
    <n v="461"/>
    <n v="6.8"/>
    <n v="7.7"/>
    <n v="2.2000000000000002"/>
    <x v="1"/>
    <n v="0"/>
    <n v="0.48136709363398944"/>
    <x v="0"/>
  </r>
  <r>
    <s v="C895"/>
    <x v="1"/>
    <n v="368"/>
    <n v="1.2"/>
    <n v="3.7"/>
    <n v="2.8"/>
    <x v="1"/>
    <n v="0"/>
    <n v="0.49896517353440917"/>
    <x v="0"/>
  </r>
  <r>
    <s v="C897"/>
    <x v="4"/>
    <n v="361"/>
    <n v="2.5"/>
    <n v="6"/>
    <n v="2.1"/>
    <x v="2"/>
    <n v="0"/>
    <n v="0.67665520882232222"/>
    <x v="0"/>
  </r>
  <r>
    <s v="C898"/>
    <x v="3"/>
    <n v="464"/>
    <n v="2.5"/>
    <n v="2.2999999999999998"/>
    <n v="1.1000000000000001"/>
    <x v="1"/>
    <n v="0"/>
    <n v="2.7992971327355676E-2"/>
    <x v="0"/>
  </r>
  <r>
    <s v="C899"/>
    <x v="1"/>
    <n v="195"/>
    <n v="5"/>
    <n v="9.5"/>
    <n v="1.3"/>
    <x v="0"/>
    <n v="0"/>
    <n v="1.5594162855812277E-2"/>
    <x v="0"/>
  </r>
  <r>
    <s v="C900"/>
    <x v="0"/>
    <n v="350"/>
    <n v="5.7"/>
    <n v="1"/>
    <n v="2.8"/>
    <x v="1"/>
    <n v="0"/>
    <n v="3.1977229780956851E-2"/>
    <x v="0"/>
  </r>
  <r>
    <s v="C901"/>
    <x v="0"/>
    <n v="152"/>
    <n v="5.3"/>
    <n v="0.6"/>
    <n v="2.2000000000000002"/>
    <x v="2"/>
    <n v="0"/>
    <n v="1.3232466531023168E-2"/>
    <x v="0"/>
  </r>
  <r>
    <s v="C904"/>
    <x v="3"/>
    <n v="204"/>
    <n v="3.2"/>
    <n v="0.7"/>
    <n v="1.9"/>
    <x v="1"/>
    <n v="0"/>
    <n v="0.40840172680234577"/>
    <x v="0"/>
  </r>
  <r>
    <s v="C905"/>
    <x v="2"/>
    <n v="344"/>
    <n v="3.4"/>
    <n v="3.2"/>
    <n v="1.4"/>
    <x v="0"/>
    <n v="0"/>
    <n v="0.41683627945283019"/>
    <x v="0"/>
  </r>
  <r>
    <s v="C906"/>
    <x v="2"/>
    <n v="266"/>
    <n v="5.8"/>
    <n v="3.7"/>
    <n v="1.4"/>
    <x v="1"/>
    <n v="0"/>
    <n v="6.6162199527893817E-3"/>
    <x v="0"/>
  </r>
  <r>
    <s v="C907"/>
    <x v="4"/>
    <n v="449"/>
    <n v="7.2"/>
    <n v="5.9"/>
    <n v="1.9"/>
    <x v="2"/>
    <n v="0"/>
    <n v="0.1988092937387933"/>
    <x v="0"/>
  </r>
  <r>
    <s v="C909"/>
    <x v="2"/>
    <n v="226"/>
    <n v="5.9"/>
    <n v="8.6"/>
    <n v="1"/>
    <x v="0"/>
    <n v="0"/>
    <n v="2.5060486483036271E-2"/>
    <x v="0"/>
  </r>
  <r>
    <s v="C910"/>
    <x v="1"/>
    <n v="254"/>
    <n v="5.5"/>
    <n v="3.2"/>
    <n v="1.4"/>
    <x v="1"/>
    <n v="0"/>
    <n v="4.6653142721778895E-2"/>
    <x v="0"/>
  </r>
  <r>
    <s v="C911"/>
    <x v="1"/>
    <n v="343"/>
    <n v="4"/>
    <n v="8.8000000000000007"/>
    <n v="2.9"/>
    <x v="0"/>
    <n v="0"/>
    <n v="0.63924254797674518"/>
    <x v="0"/>
  </r>
  <r>
    <s v="C912"/>
    <x v="3"/>
    <n v="119"/>
    <n v="2.4"/>
    <n v="7"/>
    <n v="1.1000000000000001"/>
    <x v="1"/>
    <n v="0"/>
    <n v="0.64804149441813008"/>
    <x v="0"/>
  </r>
  <r>
    <s v="C913"/>
    <x v="4"/>
    <n v="312"/>
    <n v="4.4000000000000004"/>
    <n v="8.6"/>
    <n v="2"/>
    <x v="0"/>
    <n v="0"/>
    <n v="0.5060351368111794"/>
    <x v="0"/>
  </r>
  <r>
    <s v="C914"/>
    <x v="2"/>
    <n v="192"/>
    <n v="1.9"/>
    <n v="9.9"/>
    <n v="2.1"/>
    <x v="3"/>
    <n v="0"/>
    <n v="0.61394930874942777"/>
    <x v="0"/>
  </r>
  <r>
    <s v="C915"/>
    <x v="0"/>
    <n v="354"/>
    <n v="5.8"/>
    <n v="3.6"/>
    <n v="1.7"/>
    <x v="3"/>
    <n v="0"/>
    <n v="8.9025892890345681E-2"/>
    <x v="0"/>
  </r>
  <r>
    <s v="C917"/>
    <x v="1"/>
    <n v="372"/>
    <n v="2.4"/>
    <n v="3.6"/>
    <n v="1.4"/>
    <x v="1"/>
    <n v="0"/>
    <n v="0.4540371600369163"/>
    <x v="0"/>
  </r>
  <r>
    <s v="C918"/>
    <x v="1"/>
    <n v="87"/>
    <n v="2.7"/>
    <n v="8.6"/>
    <n v="1.5"/>
    <x v="2"/>
    <n v="0"/>
    <n v="0.12732648511045175"/>
    <x v="0"/>
  </r>
  <r>
    <s v="C919"/>
    <x v="1"/>
    <n v="91"/>
    <n v="3.8"/>
    <n v="2"/>
    <n v="2.9"/>
    <x v="2"/>
    <n v="0"/>
    <n v="0.2902003626124835"/>
    <x v="0"/>
  </r>
  <r>
    <s v="C920"/>
    <x v="1"/>
    <n v="243"/>
    <n v="2.4"/>
    <n v="8.6"/>
    <n v="1.1000000000000001"/>
    <x v="0"/>
    <n v="0"/>
    <n v="0.34486419890309683"/>
    <x v="0"/>
  </r>
  <r>
    <s v="C921"/>
    <x v="5"/>
    <n v="429"/>
    <n v="7.3"/>
    <n v="4.5999999999999996"/>
    <n v="2"/>
    <x v="0"/>
    <n v="0"/>
    <n v="0.2532209692995312"/>
    <x v="0"/>
  </r>
  <r>
    <s v="C922"/>
    <x v="4"/>
    <n v="189"/>
    <n v="5.5"/>
    <n v="2.9"/>
    <n v="1.2"/>
    <x v="2"/>
    <n v="0"/>
    <n v="0.44132693486875507"/>
    <x v="0"/>
  </r>
  <r>
    <s v="C923"/>
    <x v="3"/>
    <n v="447"/>
    <n v="2.1"/>
    <n v="8.1"/>
    <n v="0.8"/>
    <x v="1"/>
    <n v="0"/>
    <n v="0.61369005539588528"/>
    <x v="0"/>
  </r>
  <r>
    <s v="C924"/>
    <x v="3"/>
    <n v="279"/>
    <n v="3.9"/>
    <n v="2.2000000000000002"/>
    <n v="0.8"/>
    <x v="3"/>
    <n v="0"/>
    <n v="0.40472849884409579"/>
    <x v="0"/>
  </r>
  <r>
    <s v="C925"/>
    <x v="5"/>
    <n v="437"/>
    <n v="1.5"/>
    <n v="9.1999999999999993"/>
    <n v="1.3"/>
    <x v="3"/>
    <n v="0"/>
    <n v="0.21984375689182667"/>
    <x v="0"/>
  </r>
  <r>
    <s v="C926"/>
    <x v="3"/>
    <n v="420"/>
    <n v="4.2"/>
    <n v="7.9"/>
    <n v="2.6"/>
    <x v="2"/>
    <n v="0"/>
    <n v="0.42082886267269626"/>
    <x v="0"/>
  </r>
  <r>
    <s v="C927"/>
    <x v="2"/>
    <n v="297"/>
    <n v="3"/>
    <n v="1.4"/>
    <n v="0.8"/>
    <x v="2"/>
    <n v="0"/>
    <n v="0.53191420113496468"/>
    <x v="0"/>
  </r>
  <r>
    <s v="C928"/>
    <x v="5"/>
    <n v="196"/>
    <n v="7.1"/>
    <n v="3.2"/>
    <n v="2.1"/>
    <x v="1"/>
    <n v="0"/>
    <n v="0.14855182656417854"/>
    <x v="0"/>
  </r>
  <r>
    <s v="C930"/>
    <x v="1"/>
    <n v="353"/>
    <n v="3"/>
    <n v="3.7"/>
    <n v="2.5"/>
    <x v="3"/>
    <n v="0"/>
    <n v="0.62438768622628038"/>
    <x v="0"/>
  </r>
  <r>
    <s v="C931"/>
    <x v="2"/>
    <n v="194"/>
    <n v="2.4"/>
    <n v="8.3000000000000007"/>
    <n v="0.9"/>
    <x v="3"/>
    <n v="0"/>
    <n v="0.6757105158845782"/>
    <x v="0"/>
  </r>
  <r>
    <s v="C932"/>
    <x v="3"/>
    <n v="86"/>
    <n v="3.1"/>
    <n v="4"/>
    <n v="1.1000000000000001"/>
    <x v="2"/>
    <n v="0"/>
    <n v="0.61838110078821118"/>
    <x v="0"/>
  </r>
  <r>
    <s v="C933"/>
    <x v="5"/>
    <n v="165"/>
    <n v="2.1"/>
    <n v="4.8"/>
    <n v="1.7"/>
    <x v="0"/>
    <n v="0"/>
    <n v="6.3083255913598424E-2"/>
    <x v="0"/>
  </r>
  <r>
    <s v="C934"/>
    <x v="2"/>
    <n v="452"/>
    <n v="3.6"/>
    <n v="3.2"/>
    <n v="1.5"/>
    <x v="1"/>
    <n v="0"/>
    <n v="0.17283551839401379"/>
    <x v="0"/>
  </r>
  <r>
    <s v="C935"/>
    <x v="1"/>
    <n v="390"/>
    <n v="3.4"/>
    <n v="1.4"/>
    <n v="2.2999999999999998"/>
    <x v="0"/>
    <n v="0"/>
    <n v="0.52186854360848778"/>
    <x v="0"/>
  </r>
  <r>
    <s v="C936"/>
    <x v="1"/>
    <n v="254"/>
    <n v="3.2"/>
    <n v="5.8"/>
    <n v="2.7"/>
    <x v="1"/>
    <n v="0"/>
    <n v="0.16261879600735851"/>
    <x v="0"/>
  </r>
  <r>
    <s v="C939"/>
    <x v="3"/>
    <n v="141"/>
    <n v="5.7"/>
    <n v="3.3"/>
    <n v="2.4"/>
    <x v="0"/>
    <n v="0"/>
    <n v="0.11001840507305183"/>
    <x v="0"/>
  </r>
  <r>
    <s v="C940"/>
    <x v="1"/>
    <n v="394"/>
    <n v="2.2000000000000002"/>
    <n v="6.2"/>
    <n v="1"/>
    <x v="1"/>
    <n v="0"/>
    <n v="0.44471601350648648"/>
    <x v="0"/>
  </r>
  <r>
    <s v="C942"/>
    <x v="2"/>
    <n v="253"/>
    <n v="1.9"/>
    <n v="9.9"/>
    <n v="0.7"/>
    <x v="3"/>
    <n v="0"/>
    <n v="0.31667303328224738"/>
    <x v="0"/>
  </r>
  <r>
    <s v="C943"/>
    <x v="4"/>
    <n v="472"/>
    <n v="6.2"/>
    <n v="4"/>
    <n v="0.8"/>
    <x v="2"/>
    <n v="0"/>
    <n v="0.20972165093811057"/>
    <x v="0"/>
  </r>
  <r>
    <s v="C944"/>
    <x v="3"/>
    <n v="101"/>
    <n v="7.5"/>
    <n v="2.7"/>
    <n v="0.9"/>
    <x v="2"/>
    <n v="0"/>
    <n v="0.1316779133524032"/>
    <x v="0"/>
  </r>
  <r>
    <s v="C945"/>
    <x v="5"/>
    <n v="490"/>
    <n v="4.3"/>
    <n v="6.8"/>
    <n v="2.6"/>
    <x v="2"/>
    <n v="0"/>
    <n v="0.45871774094354645"/>
    <x v="0"/>
  </r>
  <r>
    <s v="C946"/>
    <x v="1"/>
    <n v="93"/>
    <n v="5.9"/>
    <n v="7.2"/>
    <n v="1.4"/>
    <x v="1"/>
    <n v="0"/>
    <n v="0.49880245147598423"/>
    <x v="0"/>
  </r>
  <r>
    <s v="C949"/>
    <x v="3"/>
    <n v="430"/>
    <n v="1.9"/>
    <n v="5.5"/>
    <n v="1"/>
    <x v="1"/>
    <n v="0"/>
    <n v="0.22920310948609601"/>
    <x v="0"/>
  </r>
  <r>
    <s v="C951"/>
    <x v="3"/>
    <n v="88"/>
    <n v="5.9"/>
    <n v="9.8000000000000007"/>
    <n v="2.8"/>
    <x v="3"/>
    <n v="0"/>
    <n v="0.11416741918053108"/>
    <x v="0"/>
  </r>
  <r>
    <s v="C952"/>
    <x v="0"/>
    <n v="488"/>
    <n v="6.8"/>
    <n v="6.6"/>
    <n v="2.2000000000000002"/>
    <x v="2"/>
    <n v="0"/>
    <n v="0.24666538116005565"/>
    <x v="0"/>
  </r>
  <r>
    <s v="C953"/>
    <x v="4"/>
    <n v="146"/>
    <n v="2.5"/>
    <n v="6.7"/>
    <n v="0.9"/>
    <x v="2"/>
    <n v="0"/>
    <n v="3.1572440903633536E-2"/>
    <x v="0"/>
  </r>
  <r>
    <s v="C954"/>
    <x v="1"/>
    <n v="408"/>
    <n v="4.7"/>
    <n v="5.6"/>
    <n v="1.1000000000000001"/>
    <x v="0"/>
    <n v="0"/>
    <n v="0.3746000878455279"/>
    <x v="0"/>
  </r>
  <r>
    <s v="C955"/>
    <x v="3"/>
    <n v="361"/>
    <n v="3.2"/>
    <n v="9.6"/>
    <n v="2"/>
    <x v="2"/>
    <n v="0"/>
    <n v="0.64266024969490876"/>
    <x v="0"/>
  </r>
  <r>
    <s v="C957"/>
    <x v="1"/>
    <n v="83"/>
    <n v="5.7"/>
    <n v="7.7"/>
    <n v="1.2"/>
    <x v="2"/>
    <n v="0"/>
    <n v="0.50093298856198742"/>
    <x v="0"/>
  </r>
  <r>
    <s v="C958"/>
    <x v="5"/>
    <n v="208"/>
    <n v="2.1"/>
    <n v="2"/>
    <n v="1.3"/>
    <x v="2"/>
    <n v="0"/>
    <n v="8.1317407591203317E-2"/>
    <x v="0"/>
  </r>
  <r>
    <s v="C960"/>
    <x v="0"/>
    <n v="485"/>
    <n v="4.5"/>
    <n v="4.9000000000000004"/>
    <n v="2.5"/>
    <x v="2"/>
    <n v="0"/>
    <n v="0.49839455844144076"/>
    <x v="0"/>
  </r>
  <r>
    <s v="C961"/>
    <x v="5"/>
    <n v="79"/>
    <n v="1"/>
    <n v="6.5"/>
    <n v="1.7"/>
    <x v="1"/>
    <n v="0"/>
    <n v="4.7062830993902294E-2"/>
    <x v="0"/>
  </r>
  <r>
    <s v="C962"/>
    <x v="2"/>
    <n v="80"/>
    <n v="3"/>
    <n v="1.6"/>
    <n v="1.8"/>
    <x v="3"/>
    <n v="0"/>
    <n v="0.45703827233561345"/>
    <x v="0"/>
  </r>
  <r>
    <s v="C964"/>
    <x v="1"/>
    <n v="336"/>
    <n v="3.9"/>
    <n v="4.7"/>
    <n v="0.5"/>
    <x v="0"/>
    <n v="0"/>
    <n v="0.23782564355122648"/>
    <x v="0"/>
  </r>
  <r>
    <s v="C965"/>
    <x v="5"/>
    <n v="356"/>
    <n v="6.8"/>
    <n v="0.6"/>
    <n v="1.7"/>
    <x v="1"/>
    <n v="0"/>
    <n v="0.26816691240389101"/>
    <x v="0"/>
  </r>
  <r>
    <s v="C967"/>
    <x v="0"/>
    <n v="386"/>
    <n v="0.9"/>
    <n v="1.5"/>
    <n v="2.8"/>
    <x v="2"/>
    <n v="0"/>
    <n v="0.20523644206526181"/>
    <x v="0"/>
  </r>
  <r>
    <s v="C970"/>
    <x v="4"/>
    <n v="335"/>
    <n v="4.5"/>
    <n v="5.9"/>
    <n v="1.6"/>
    <x v="1"/>
    <n v="0"/>
    <n v="5.3507368537743405E-2"/>
    <x v="0"/>
  </r>
  <r>
    <s v="C972"/>
    <x v="2"/>
    <n v="318"/>
    <n v="1.6"/>
    <n v="4.5"/>
    <n v="1.5"/>
    <x v="1"/>
    <n v="0"/>
    <n v="4.3083147472285588E-2"/>
    <x v="0"/>
  </r>
  <r>
    <s v="C973"/>
    <x v="0"/>
    <n v="191"/>
    <n v="1.3"/>
    <n v="5.9"/>
    <n v="1.8"/>
    <x v="3"/>
    <n v="0"/>
    <n v="0.51909239662406537"/>
    <x v="0"/>
  </r>
  <r>
    <s v="C976"/>
    <x v="2"/>
    <n v="367"/>
    <n v="7.4"/>
    <n v="8.8000000000000007"/>
    <n v="0.8"/>
    <x v="3"/>
    <n v="0"/>
    <n v="0.34654873884802884"/>
    <x v="0"/>
  </r>
  <r>
    <s v="C977"/>
    <x v="5"/>
    <n v="497"/>
    <n v="7.9"/>
    <n v="9.9"/>
    <n v="1.9"/>
    <x v="0"/>
    <n v="0"/>
    <n v="0.14200197279361249"/>
    <x v="0"/>
  </r>
  <r>
    <s v="C979"/>
    <x v="1"/>
    <n v="473"/>
    <n v="5.4"/>
    <n v="5.2"/>
    <n v="0.6"/>
    <x v="2"/>
    <n v="0"/>
    <n v="0.16625938357137349"/>
    <x v="0"/>
  </r>
  <r>
    <s v="C980"/>
    <x v="1"/>
    <n v="407"/>
    <n v="1.7"/>
    <n v="7.4"/>
    <n v="2.9"/>
    <x v="3"/>
    <n v="0"/>
    <n v="0.40412135601070021"/>
    <x v="0"/>
  </r>
  <r>
    <s v="C981"/>
    <x v="2"/>
    <n v="160"/>
    <n v="5.0999999999999996"/>
    <n v="10"/>
    <n v="2.1"/>
    <x v="1"/>
    <n v="0"/>
    <n v="0.16920156442412648"/>
    <x v="0"/>
  </r>
  <r>
    <s v="C983"/>
    <x v="5"/>
    <n v="275"/>
    <n v="2.6"/>
    <n v="7.3"/>
    <n v="0.9"/>
    <x v="0"/>
    <n v="0"/>
    <n v="9.7654202155765701E-2"/>
    <x v="0"/>
  </r>
  <r>
    <s v="C984"/>
    <x v="0"/>
    <n v="106"/>
    <n v="3.9"/>
    <n v="0.9"/>
    <n v="1.9"/>
    <x v="2"/>
    <n v="0"/>
    <n v="0.3283321099572637"/>
    <x v="0"/>
  </r>
  <r>
    <s v="C987"/>
    <x v="3"/>
    <n v="446"/>
    <n v="7.1"/>
    <n v="4.5999999999999996"/>
    <n v="1.9"/>
    <x v="0"/>
    <n v="0"/>
    <n v="0.51026346040110937"/>
    <x v="0"/>
  </r>
  <r>
    <s v="C988"/>
    <x v="0"/>
    <n v="196"/>
    <n v="1.8"/>
    <n v="3.9"/>
    <n v="2.2999999999999998"/>
    <x v="1"/>
    <n v="0"/>
    <n v="0.62973885178283295"/>
    <x v="0"/>
  </r>
  <r>
    <s v="C990"/>
    <x v="2"/>
    <n v="111"/>
    <n v="0.9"/>
    <n v="8.6999999999999993"/>
    <n v="1.6"/>
    <x v="0"/>
    <n v="0"/>
    <n v="0.17799878187087326"/>
    <x v="0"/>
  </r>
  <r>
    <s v="C991"/>
    <x v="5"/>
    <n v="101"/>
    <n v="0.9"/>
    <n v="8.6"/>
    <n v="1.3"/>
    <x v="1"/>
    <n v="0"/>
    <n v="2.2267964110125216E-2"/>
    <x v="0"/>
  </r>
  <r>
    <s v="C992"/>
    <x v="5"/>
    <n v="226"/>
    <n v="7.4"/>
    <n v="2.5"/>
    <n v="0.6"/>
    <x v="0"/>
    <n v="0"/>
    <n v="0.4617968349873337"/>
    <x v="0"/>
  </r>
  <r>
    <s v="C993"/>
    <x v="2"/>
    <n v="420"/>
    <n v="3.5"/>
    <n v="9.3000000000000007"/>
    <n v="1.4"/>
    <x v="0"/>
    <n v="0"/>
    <n v="0.27651339085448834"/>
    <x v="0"/>
  </r>
  <r>
    <s v="C994"/>
    <x v="3"/>
    <n v="314"/>
    <n v="6.6"/>
    <n v="5.8"/>
    <n v="2.9"/>
    <x v="1"/>
    <n v="0"/>
    <n v="0.59042753511523838"/>
    <x v="0"/>
  </r>
  <r>
    <s v="C995"/>
    <x v="5"/>
    <n v="295"/>
    <n v="4.9000000000000004"/>
    <n v="3.9"/>
    <n v="1.3"/>
    <x v="2"/>
    <n v="0"/>
    <n v="0.32128281477876452"/>
    <x v="0"/>
  </r>
  <r>
    <s v="C996"/>
    <x v="2"/>
    <n v="75"/>
    <n v="5.6"/>
    <n v="7.8"/>
    <n v="1.9"/>
    <x v="1"/>
    <n v="0"/>
    <n v="0.56592272530928056"/>
    <x v="0"/>
  </r>
  <r>
    <s v="C997"/>
    <x v="2"/>
    <n v="94"/>
    <n v="3.4"/>
    <n v="0.9"/>
    <n v="0.6"/>
    <x v="2"/>
    <n v="0"/>
    <n v="0.54233026639956927"/>
    <x v="0"/>
  </r>
  <r>
    <s v="C998"/>
    <x v="4"/>
    <n v="314"/>
    <n v="7.7"/>
    <n v="8.1"/>
    <n v="1.1000000000000001"/>
    <x v="0"/>
    <n v="0"/>
    <n v="9.5313009574344854E-2"/>
    <x v="0"/>
  </r>
  <r>
    <s v="C999"/>
    <x v="2"/>
    <n v="459"/>
    <n v="4.5999999999999996"/>
    <n v="8.6"/>
    <n v="1.7"/>
    <x v="2"/>
    <n v="0"/>
    <n v="3.0175664436271621E-3"/>
    <x v="0"/>
  </r>
  <r>
    <s v="C1000"/>
    <x v="5"/>
    <n v="396"/>
    <n v="3.4"/>
    <n v="2.7"/>
    <n v="1"/>
    <x v="3"/>
    <n v="0"/>
    <n v="0.6944815992369304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1">
  <r>
    <s v="C002"/>
    <x v="0"/>
    <n v="229"/>
    <n v="7.4"/>
    <n v="9.9"/>
    <n v="1.5"/>
    <x v="0"/>
    <n v="0"/>
    <n v="0.72318903061572493"/>
    <x v="0"/>
  </r>
  <r>
    <s v="C007"/>
    <x v="1"/>
    <n v="486"/>
    <n v="2.2999999999999998"/>
    <n v="7.7"/>
    <n v="0.7"/>
    <x v="1"/>
    <n v="0"/>
    <n v="0.88885992188347818"/>
    <x v="0"/>
  </r>
  <r>
    <s v="C009"/>
    <x v="2"/>
    <n v="335"/>
    <n v="6.1"/>
    <n v="0.5"/>
    <n v="2"/>
    <x v="0"/>
    <n v="0"/>
    <n v="0.82326536282533991"/>
    <x v="0"/>
  </r>
  <r>
    <s v="C010"/>
    <x v="1"/>
    <n v="312"/>
    <n v="5.9"/>
    <n v="3.2"/>
    <n v="2.4"/>
    <x v="2"/>
    <n v="0"/>
    <n v="0.90742210605935381"/>
    <x v="0"/>
  </r>
  <r>
    <s v="C026"/>
    <x v="2"/>
    <n v="188"/>
    <n v="7.2"/>
    <n v="3.6"/>
    <n v="2.2000000000000002"/>
    <x v="0"/>
    <n v="0"/>
    <n v="0.91158488234083179"/>
    <x v="0"/>
  </r>
  <r>
    <s v="C032"/>
    <x v="3"/>
    <n v="188"/>
    <n v="1.9"/>
    <n v="3.4"/>
    <n v="2.8"/>
    <x v="3"/>
    <n v="0"/>
    <n v="0.78203737208719559"/>
    <x v="0"/>
  </r>
  <r>
    <s v="C034"/>
    <x v="0"/>
    <n v="340"/>
    <n v="1.3"/>
    <n v="1.9"/>
    <n v="2.2999999999999998"/>
    <x v="3"/>
    <n v="0"/>
    <n v="0.91421963340654822"/>
    <x v="0"/>
  </r>
  <r>
    <s v="C039"/>
    <x v="1"/>
    <n v="292"/>
    <n v="5.2"/>
    <n v="0.9"/>
    <n v="0.8"/>
    <x v="2"/>
    <n v="1"/>
    <n v="0.77136342665206126"/>
    <x v="0"/>
  </r>
  <r>
    <s v="C040"/>
    <x v="4"/>
    <n v="306"/>
    <n v="2.2000000000000002"/>
    <n v="1.3"/>
    <n v="1"/>
    <x v="1"/>
    <n v="0"/>
    <n v="0.97954266839935911"/>
    <x v="0"/>
  </r>
  <r>
    <s v="C044"/>
    <x v="5"/>
    <n v="423"/>
    <n v="3.5"/>
    <n v="6.4"/>
    <n v="3"/>
    <x v="1"/>
    <n v="0"/>
    <n v="0.71046326351206357"/>
    <x v="0"/>
  </r>
  <r>
    <s v="C047"/>
    <x v="1"/>
    <n v="459"/>
    <n v="3.5"/>
    <n v="5.0999999999999996"/>
    <n v="1.9"/>
    <x v="1"/>
    <n v="0"/>
    <n v="0.97353002983049308"/>
    <x v="0"/>
  </r>
  <r>
    <s v="C053"/>
    <x v="3"/>
    <n v="166"/>
    <n v="6.9"/>
    <n v="3.1"/>
    <n v="2"/>
    <x v="0"/>
    <n v="0"/>
    <n v="0.76752298997718149"/>
    <x v="0"/>
  </r>
  <r>
    <s v="C058"/>
    <x v="4"/>
    <n v="347"/>
    <n v="1.5"/>
    <n v="9"/>
    <n v="1.8"/>
    <x v="3"/>
    <n v="0"/>
    <n v="0.83066028306980733"/>
    <x v="0"/>
  </r>
  <r>
    <s v="C066"/>
    <x v="5"/>
    <n v="424"/>
    <n v="5.2"/>
    <n v="1.1000000000000001"/>
    <n v="2.5"/>
    <x v="2"/>
    <n v="0"/>
    <n v="0.74319146911229783"/>
    <x v="0"/>
  </r>
  <r>
    <s v="C067"/>
    <x v="5"/>
    <n v="247"/>
    <n v="3.9"/>
    <n v="7.7"/>
    <n v="0.7"/>
    <x v="1"/>
    <n v="0"/>
    <n v="0.71067422011549553"/>
    <x v="0"/>
  </r>
  <r>
    <s v="C070"/>
    <x v="2"/>
    <n v="180"/>
    <n v="1.3"/>
    <n v="5.5"/>
    <n v="1.5"/>
    <x v="3"/>
    <n v="0"/>
    <n v="0.80671041989997827"/>
    <x v="0"/>
  </r>
  <r>
    <s v="C074"/>
    <x v="5"/>
    <n v="272"/>
    <n v="5.2"/>
    <n v="1.5"/>
    <n v="2.6"/>
    <x v="2"/>
    <n v="0"/>
    <n v="0.86906965523539204"/>
    <x v="0"/>
  </r>
  <r>
    <s v="C078"/>
    <x v="4"/>
    <n v="490"/>
    <n v="2.2000000000000002"/>
    <n v="2.6"/>
    <n v="1.3"/>
    <x v="1"/>
    <n v="0"/>
    <n v="0.97088340872412726"/>
    <x v="0"/>
  </r>
  <r>
    <s v="C088"/>
    <x v="2"/>
    <n v="73"/>
    <n v="1.4"/>
    <n v="3.3"/>
    <n v="2.6"/>
    <x v="3"/>
    <n v="0"/>
    <n v="0.73023988945213081"/>
    <x v="0"/>
  </r>
  <r>
    <s v="C089"/>
    <x v="5"/>
    <n v="408"/>
    <n v="5.3"/>
    <n v="2.7"/>
    <n v="1.8"/>
    <x v="2"/>
    <n v="0"/>
    <n v="0.84528320418646963"/>
    <x v="0"/>
  </r>
  <r>
    <s v="C091"/>
    <x v="0"/>
    <n v="286"/>
    <n v="5.0999999999999996"/>
    <n v="8.4"/>
    <n v="1.3"/>
    <x v="2"/>
    <n v="0"/>
    <n v="0.88531427017770825"/>
    <x v="0"/>
  </r>
  <r>
    <s v="C094"/>
    <x v="5"/>
    <n v="393"/>
    <n v="4.8"/>
    <n v="3.1"/>
    <n v="1.9"/>
    <x v="2"/>
    <n v="0"/>
    <n v="0.89177650799419994"/>
    <x v="0"/>
  </r>
  <r>
    <s v="C095"/>
    <x v="3"/>
    <n v="466"/>
    <n v="4.7"/>
    <n v="7.5"/>
    <n v="2.2000000000000002"/>
    <x v="2"/>
    <n v="0"/>
    <n v="0.9948027050035495"/>
    <x v="0"/>
  </r>
  <r>
    <s v="C104"/>
    <x v="4"/>
    <n v="287"/>
    <n v="4.7"/>
    <n v="3.2"/>
    <n v="1.5"/>
    <x v="2"/>
    <n v="0"/>
    <n v="0.88195946592392549"/>
    <x v="0"/>
  </r>
  <r>
    <s v="C106"/>
    <x v="3"/>
    <n v="442"/>
    <n v="5.9"/>
    <n v="4"/>
    <n v="1.1000000000000001"/>
    <x v="2"/>
    <n v="0"/>
    <n v="0.71194838519596315"/>
    <x v="0"/>
  </r>
  <r>
    <s v="C107"/>
    <x v="4"/>
    <n v="221"/>
    <n v="7.1"/>
    <n v="7.5"/>
    <n v="1.8"/>
    <x v="0"/>
    <n v="0"/>
    <n v="0.82938343988909258"/>
    <x v="0"/>
  </r>
  <r>
    <s v="C117"/>
    <x v="1"/>
    <n v="146"/>
    <n v="5.5"/>
    <n v="0.7"/>
    <n v="2.2000000000000002"/>
    <x v="2"/>
    <n v="0"/>
    <n v="0.76431421961298018"/>
    <x v="0"/>
  </r>
  <r>
    <s v="C118"/>
    <x v="3"/>
    <n v="217"/>
    <n v="6.9"/>
    <n v="8.1999999999999993"/>
    <n v="2.5"/>
    <x v="0"/>
    <n v="0"/>
    <n v="0.81711816111505042"/>
    <x v="0"/>
  </r>
  <r>
    <s v="C119"/>
    <x v="3"/>
    <n v="433"/>
    <n v="7.2"/>
    <n v="2.2000000000000002"/>
    <n v="0.7"/>
    <x v="0"/>
    <n v="0"/>
    <n v="0.75044567765233072"/>
    <x v="0"/>
  </r>
  <r>
    <s v="C127"/>
    <x v="5"/>
    <n v="91"/>
    <n v="6.7"/>
    <n v="5.8"/>
    <n v="1.1000000000000001"/>
    <x v="0"/>
    <n v="0"/>
    <n v="0.93769033873524399"/>
    <x v="0"/>
  </r>
  <r>
    <s v="C130"/>
    <x v="4"/>
    <n v="64"/>
    <n v="0.6"/>
    <n v="4.8"/>
    <n v="1.4"/>
    <x v="3"/>
    <n v="0"/>
    <n v="0.98025761550239165"/>
    <x v="0"/>
  </r>
  <r>
    <s v="C131"/>
    <x v="0"/>
    <n v="442"/>
    <n v="1.9"/>
    <n v="3.7"/>
    <n v="2"/>
    <x v="3"/>
    <n v="0"/>
    <n v="0.97304066772545272"/>
    <x v="0"/>
  </r>
  <r>
    <s v="C132"/>
    <x v="2"/>
    <n v="489"/>
    <n v="6.1"/>
    <n v="8.4"/>
    <n v="2.2000000000000002"/>
    <x v="0"/>
    <n v="0"/>
    <n v="0.74331716530782743"/>
    <x v="0"/>
  </r>
  <r>
    <s v="C133"/>
    <x v="1"/>
    <n v="329"/>
    <n v="2.2000000000000002"/>
    <n v="7.1"/>
    <n v="0.8"/>
    <x v="1"/>
    <n v="0"/>
    <n v="0.78638846655013805"/>
    <x v="0"/>
  </r>
  <r>
    <s v="C137"/>
    <x v="0"/>
    <n v="359"/>
    <n v="4.7"/>
    <n v="7.8"/>
    <n v="2.2000000000000002"/>
    <x v="2"/>
    <n v="0"/>
    <n v="0.89104544467666524"/>
    <x v="0"/>
  </r>
  <r>
    <s v="C138"/>
    <x v="3"/>
    <n v="391"/>
    <n v="7.1"/>
    <n v="7.7"/>
    <n v="1.1000000000000001"/>
    <x v="0"/>
    <n v="0"/>
    <n v="0.89811371545266083"/>
    <x v="0"/>
  </r>
  <r>
    <s v="C140"/>
    <x v="0"/>
    <n v="361"/>
    <n v="5.6"/>
    <n v="6.4"/>
    <n v="1.6"/>
    <x v="2"/>
    <n v="0"/>
    <n v="0.70793373765032908"/>
    <x v="0"/>
  </r>
  <r>
    <s v="C141"/>
    <x v="0"/>
    <n v="284"/>
    <n v="2.9"/>
    <n v="8.4"/>
    <n v="1.3"/>
    <x v="1"/>
    <n v="0"/>
    <n v="0.7143800142419624"/>
    <x v="0"/>
  </r>
  <r>
    <s v="C142"/>
    <x v="0"/>
    <n v="206"/>
    <n v="0.5"/>
    <n v="5.0999999999999996"/>
    <n v="0.7"/>
    <x v="3"/>
    <n v="0"/>
    <n v="0.76610751446202241"/>
    <x v="0"/>
  </r>
  <r>
    <s v="C143"/>
    <x v="5"/>
    <n v="155"/>
    <n v="7.9"/>
    <n v="1.4"/>
    <n v="1.9"/>
    <x v="0"/>
    <n v="0"/>
    <n v="0.78852828297805999"/>
    <x v="0"/>
  </r>
  <r>
    <s v="C144"/>
    <x v="1"/>
    <n v="485"/>
    <n v="6.7"/>
    <n v="9.1999999999999993"/>
    <n v="1.3"/>
    <x v="0"/>
    <n v="0"/>
    <n v="0.86811699195460479"/>
    <x v="0"/>
  </r>
  <r>
    <s v="C147"/>
    <x v="3"/>
    <n v="316"/>
    <n v="3.2"/>
    <n v="3.7"/>
    <n v="2.4"/>
    <x v="1"/>
    <n v="0"/>
    <n v="0.9770479227259693"/>
    <x v="0"/>
  </r>
  <r>
    <s v="C148"/>
    <x v="0"/>
    <n v="434"/>
    <n v="2.2999999999999998"/>
    <n v="8.3000000000000007"/>
    <n v="1.7"/>
    <x v="1"/>
    <n v="0"/>
    <n v="0.81065656844694722"/>
    <x v="0"/>
  </r>
  <r>
    <s v="C153"/>
    <x v="4"/>
    <n v="153"/>
    <n v="7.7"/>
    <n v="5.5"/>
    <n v="2.8"/>
    <x v="0"/>
    <n v="0"/>
    <n v="0.94946076652214006"/>
    <x v="0"/>
  </r>
  <r>
    <s v="C155"/>
    <x v="3"/>
    <n v="111"/>
    <n v="7.6"/>
    <n v="2.1"/>
    <n v="2.1"/>
    <x v="0"/>
    <n v="0"/>
    <n v="0.73052997590877689"/>
    <x v="0"/>
  </r>
  <r>
    <s v="C164"/>
    <x v="4"/>
    <n v="206"/>
    <n v="3.8"/>
    <n v="4.3"/>
    <n v="2.5"/>
    <x v="1"/>
    <n v="0"/>
    <n v="0.9009319779311934"/>
    <x v="0"/>
  </r>
  <r>
    <s v="C169"/>
    <x v="0"/>
    <n v="431"/>
    <n v="3.6"/>
    <n v="6.2"/>
    <n v="1"/>
    <x v="1"/>
    <n v="0"/>
    <n v="0.78548913078003946"/>
    <x v="0"/>
  </r>
  <r>
    <s v="C174"/>
    <x v="4"/>
    <n v="260"/>
    <n v="3.4"/>
    <n v="1.7"/>
    <n v="1.6"/>
    <x v="1"/>
    <n v="0"/>
    <n v="0.88344263345458152"/>
    <x v="0"/>
  </r>
  <r>
    <s v="C175"/>
    <x v="1"/>
    <n v="491"/>
    <n v="0.8"/>
    <n v="1.8"/>
    <n v="1.9"/>
    <x v="3"/>
    <n v="0"/>
    <n v="0.8209182011322198"/>
    <x v="0"/>
  </r>
  <r>
    <s v="C176"/>
    <x v="4"/>
    <n v="134"/>
    <n v="1.3"/>
    <n v="2.8"/>
    <n v="2.7"/>
    <x v="3"/>
    <n v="0"/>
    <n v="0.83891803540822385"/>
    <x v="0"/>
  </r>
  <r>
    <s v="C178"/>
    <x v="2"/>
    <n v="297"/>
    <n v="3.6"/>
    <n v="8.8000000000000007"/>
    <n v="0.8"/>
    <x v="1"/>
    <n v="0"/>
    <n v="0.71733888717390903"/>
    <x v="0"/>
  </r>
  <r>
    <s v="C182"/>
    <x v="2"/>
    <n v="270"/>
    <n v="0.8"/>
    <n v="3.1"/>
    <n v="1.6"/>
    <x v="3"/>
    <n v="0"/>
    <n v="0.9451901255924835"/>
    <x v="0"/>
  </r>
  <r>
    <s v="C183"/>
    <x v="2"/>
    <n v="243"/>
    <n v="2.6"/>
    <n v="5.4"/>
    <n v="2.1"/>
    <x v="1"/>
    <n v="0"/>
    <n v="0.92248807133728283"/>
    <x v="0"/>
  </r>
  <r>
    <s v="C185"/>
    <x v="5"/>
    <n v="132"/>
    <n v="1.1000000000000001"/>
    <n v="1.3"/>
    <n v="1.8"/>
    <x v="3"/>
    <n v="0"/>
    <n v="0.81991953612318957"/>
    <x v="0"/>
  </r>
  <r>
    <s v="C187"/>
    <x v="2"/>
    <n v="307"/>
    <n v="2.2000000000000002"/>
    <n v="4.5"/>
    <n v="1"/>
    <x v="1"/>
    <n v="0"/>
    <n v="0.74138761017054999"/>
    <x v="0"/>
  </r>
  <r>
    <s v="C190"/>
    <x v="1"/>
    <n v="168"/>
    <n v="2.2999999999999998"/>
    <n v="1.6"/>
    <n v="2"/>
    <x v="1"/>
    <n v="0"/>
    <n v="0.77493677315562604"/>
    <x v="0"/>
  </r>
  <r>
    <s v="C193"/>
    <x v="4"/>
    <n v="259"/>
    <n v="3.6"/>
    <n v="7.2"/>
    <n v="0.7"/>
    <x v="1"/>
    <n v="0"/>
    <n v="0.96059062415373719"/>
    <x v="0"/>
  </r>
  <r>
    <s v="C194"/>
    <x v="4"/>
    <n v="366"/>
    <n v="5"/>
    <n v="8.9"/>
    <n v="2.1"/>
    <x v="2"/>
    <n v="0"/>
    <n v="0.85259554385564773"/>
    <x v="0"/>
  </r>
  <r>
    <s v="C197"/>
    <x v="0"/>
    <n v="85"/>
    <n v="7.4"/>
    <n v="8.3000000000000007"/>
    <n v="1.9"/>
    <x v="0"/>
    <n v="0"/>
    <n v="0.70347803401625164"/>
    <x v="0"/>
  </r>
  <r>
    <s v="C198"/>
    <x v="4"/>
    <n v="351"/>
    <n v="3.9"/>
    <n v="7.7"/>
    <n v="2.4"/>
    <x v="1"/>
    <n v="0"/>
    <n v="0.7205737155112949"/>
    <x v="0"/>
  </r>
  <r>
    <s v="C199"/>
    <x v="3"/>
    <n v="388"/>
    <n v="8"/>
    <n v="6.4"/>
    <n v="1.4"/>
    <x v="0"/>
    <n v="0"/>
    <n v="0.99774678331883648"/>
    <x v="0"/>
  </r>
  <r>
    <s v="C204"/>
    <x v="3"/>
    <n v="267"/>
    <n v="3.1"/>
    <n v="9.1999999999999993"/>
    <n v="1.2"/>
    <x v="1"/>
    <n v="0"/>
    <n v="0.79313713239086969"/>
    <x v="0"/>
  </r>
  <r>
    <s v="C210"/>
    <x v="3"/>
    <n v="415"/>
    <n v="1.1000000000000001"/>
    <n v="3.4"/>
    <n v="2"/>
    <x v="3"/>
    <n v="0"/>
    <n v="0.90197715733744133"/>
    <x v="0"/>
  </r>
  <r>
    <s v="C211"/>
    <x v="0"/>
    <n v="242"/>
    <n v="3.1"/>
    <n v="8.5"/>
    <n v="1.4"/>
    <x v="1"/>
    <n v="0"/>
    <n v="0.90479119068116598"/>
    <x v="0"/>
  </r>
  <r>
    <s v="C212"/>
    <x v="0"/>
    <n v="373"/>
    <n v="3.4"/>
    <n v="3.1"/>
    <n v="2.7"/>
    <x v="1"/>
    <n v="0"/>
    <n v="0.90244604412452489"/>
    <x v="0"/>
  </r>
  <r>
    <s v="C213"/>
    <x v="2"/>
    <n v="129"/>
    <n v="6.2"/>
    <n v="4.4000000000000004"/>
    <n v="1.4"/>
    <x v="0"/>
    <n v="0"/>
    <n v="0.79248897332431323"/>
    <x v="0"/>
  </r>
  <r>
    <s v="C214"/>
    <x v="0"/>
    <n v="407"/>
    <n v="5.2"/>
    <n v="6.2"/>
    <n v="2.5"/>
    <x v="2"/>
    <n v="0"/>
    <n v="0.8244375064081696"/>
    <x v="0"/>
  </r>
  <r>
    <s v="C215"/>
    <x v="0"/>
    <n v="135"/>
    <n v="1.4"/>
    <n v="6.7"/>
    <n v="1"/>
    <x v="3"/>
    <n v="0"/>
    <n v="0.82202522176401072"/>
    <x v="0"/>
  </r>
  <r>
    <s v="C217"/>
    <x v="3"/>
    <n v="346"/>
    <n v="1"/>
    <n v="8.1999999999999993"/>
    <n v="2"/>
    <x v="3"/>
    <n v="0"/>
    <n v="0.90536843766168962"/>
    <x v="0"/>
  </r>
  <r>
    <s v="C230"/>
    <x v="0"/>
    <n v="202"/>
    <n v="3.7"/>
    <n v="2.5"/>
    <n v="1.9"/>
    <x v="1"/>
    <n v="0"/>
    <n v="0.79139111725921252"/>
    <x v="0"/>
  </r>
  <r>
    <s v="C231"/>
    <x v="0"/>
    <n v="140"/>
    <n v="4.7"/>
    <n v="2.1"/>
    <n v="1.5"/>
    <x v="2"/>
    <n v="0"/>
    <n v="0.86636310930820326"/>
    <x v="0"/>
  </r>
  <r>
    <s v="C235"/>
    <x v="5"/>
    <n v="351"/>
    <n v="0.6"/>
    <n v="6.6"/>
    <n v="2.6"/>
    <x v="3"/>
    <n v="0"/>
    <n v="0.75658968876447596"/>
    <x v="0"/>
  </r>
  <r>
    <s v="C236"/>
    <x v="2"/>
    <n v="268"/>
    <n v="5.4"/>
    <n v="9.8000000000000007"/>
    <n v="2.2000000000000002"/>
    <x v="2"/>
    <n v="0"/>
    <n v="0.75803511347369001"/>
    <x v="0"/>
  </r>
  <r>
    <s v="C239"/>
    <x v="2"/>
    <n v="453"/>
    <n v="4.2"/>
    <n v="9.1"/>
    <n v="1"/>
    <x v="2"/>
    <n v="0"/>
    <n v="0.92839146767066139"/>
    <x v="0"/>
  </r>
  <r>
    <s v="C242"/>
    <x v="4"/>
    <n v="251"/>
    <n v="2.2000000000000002"/>
    <n v="10"/>
    <n v="2.4"/>
    <x v="1"/>
    <n v="0"/>
    <n v="0.89895687386922829"/>
    <x v="0"/>
  </r>
  <r>
    <s v="C246"/>
    <x v="5"/>
    <n v="323"/>
    <n v="5.0999999999999996"/>
    <n v="6.8"/>
    <n v="1.7"/>
    <x v="2"/>
    <n v="0"/>
    <n v="0.85328009010143768"/>
    <x v="0"/>
  </r>
  <r>
    <s v="C248"/>
    <x v="2"/>
    <n v="358"/>
    <n v="1.6"/>
    <n v="7.7"/>
    <n v="2.7"/>
    <x v="3"/>
    <n v="0"/>
    <n v="0.79672744739141654"/>
    <x v="0"/>
  </r>
  <r>
    <s v="C249"/>
    <x v="0"/>
    <n v="351"/>
    <n v="6.3"/>
    <n v="6"/>
    <n v="0.9"/>
    <x v="0"/>
    <n v="0"/>
    <n v="0.9143337758238852"/>
    <x v="0"/>
  </r>
  <r>
    <s v="C250"/>
    <x v="1"/>
    <n v="67"/>
    <n v="0.9"/>
    <n v="8.8000000000000007"/>
    <n v="2.7"/>
    <x v="3"/>
    <n v="0"/>
    <n v="0.79736803996678096"/>
    <x v="0"/>
  </r>
  <r>
    <s v="C258"/>
    <x v="3"/>
    <n v="396"/>
    <n v="6.5"/>
    <n v="6.5"/>
    <n v="1"/>
    <x v="0"/>
    <n v="0"/>
    <n v="0.78428134228382773"/>
    <x v="0"/>
  </r>
  <r>
    <s v="C266"/>
    <x v="3"/>
    <n v="344"/>
    <n v="5.5"/>
    <n v="2.6"/>
    <n v="1.9"/>
    <x v="2"/>
    <n v="0"/>
    <n v="0.75991771932908614"/>
    <x v="0"/>
  </r>
  <r>
    <s v="C276"/>
    <x v="0"/>
    <n v="131"/>
    <n v="1.3"/>
    <n v="0.5"/>
    <n v="0.5"/>
    <x v="3"/>
    <n v="0"/>
    <n v="0.90619597675476316"/>
    <x v="0"/>
  </r>
  <r>
    <s v="C279"/>
    <x v="1"/>
    <n v="219"/>
    <n v="2.1"/>
    <n v="9.1"/>
    <n v="0.5"/>
    <x v="1"/>
    <n v="0"/>
    <n v="0.96421597664438119"/>
    <x v="0"/>
  </r>
  <r>
    <s v="C283"/>
    <x v="0"/>
    <n v="272"/>
    <n v="1.2"/>
    <n v="1.9"/>
    <n v="2"/>
    <x v="3"/>
    <n v="0"/>
    <n v="0.83564979024338693"/>
    <x v="0"/>
  </r>
  <r>
    <s v="C285"/>
    <x v="3"/>
    <n v="199"/>
    <n v="1.5"/>
    <n v="9.3000000000000007"/>
    <n v="1"/>
    <x v="3"/>
    <n v="0"/>
    <n v="0.72895981168582302"/>
    <x v="0"/>
  </r>
  <r>
    <s v="C294"/>
    <x v="3"/>
    <n v="282"/>
    <n v="1.8"/>
    <n v="6.3"/>
    <n v="1.5"/>
    <x v="3"/>
    <n v="0"/>
    <n v="0.70729729148868681"/>
    <x v="0"/>
  </r>
  <r>
    <s v="C296"/>
    <x v="5"/>
    <n v="54"/>
    <n v="4.2"/>
    <n v="6.7"/>
    <n v="2"/>
    <x v="2"/>
    <n v="0"/>
    <n v="0.88233143771454214"/>
    <x v="0"/>
  </r>
  <r>
    <s v="C304"/>
    <x v="1"/>
    <n v="112"/>
    <n v="4.5999999999999996"/>
    <n v="9.3000000000000007"/>
    <n v="0.8"/>
    <x v="2"/>
    <n v="0"/>
    <n v="0.7159494655691846"/>
    <x v="0"/>
  </r>
  <r>
    <s v="C305"/>
    <x v="3"/>
    <n v="331"/>
    <n v="4.3"/>
    <n v="9.1999999999999993"/>
    <n v="1.1000000000000001"/>
    <x v="2"/>
    <n v="0"/>
    <n v="0.74269675188599626"/>
    <x v="0"/>
  </r>
  <r>
    <s v="C306"/>
    <x v="5"/>
    <n v="343"/>
    <n v="1.7"/>
    <n v="2.8"/>
    <n v="1.9"/>
    <x v="3"/>
    <n v="0"/>
    <n v="0.7564048823890166"/>
    <x v="0"/>
  </r>
  <r>
    <s v="C308"/>
    <x v="1"/>
    <n v="318"/>
    <n v="7.9"/>
    <n v="5.0999999999999996"/>
    <n v="0.8"/>
    <x v="0"/>
    <n v="0"/>
    <n v="0.82598442103038161"/>
    <x v="0"/>
  </r>
  <r>
    <s v="C313"/>
    <x v="1"/>
    <n v="381"/>
    <n v="2.4"/>
    <n v="9.4"/>
    <n v="2.4"/>
    <x v="1"/>
    <n v="0"/>
    <n v="0.80150636337329417"/>
    <x v="0"/>
  </r>
  <r>
    <s v="C316"/>
    <x v="5"/>
    <n v="453"/>
    <n v="6.6"/>
    <n v="5.6"/>
    <n v="0.8"/>
    <x v="0"/>
    <n v="0"/>
    <n v="0.73260260390127097"/>
    <x v="0"/>
  </r>
  <r>
    <s v="C318"/>
    <x v="2"/>
    <n v="69"/>
    <n v="7.5"/>
    <n v="3.4"/>
    <n v="1"/>
    <x v="0"/>
    <n v="0"/>
    <n v="0.82318472729975301"/>
    <x v="0"/>
  </r>
  <r>
    <s v="C319"/>
    <x v="5"/>
    <n v="111"/>
    <n v="6.5"/>
    <n v="5.6"/>
    <n v="2.4"/>
    <x v="0"/>
    <n v="0"/>
    <n v="0.78199538439058225"/>
    <x v="0"/>
  </r>
  <r>
    <s v="C321"/>
    <x v="2"/>
    <n v="456"/>
    <n v="7.7"/>
    <n v="2"/>
    <n v="1.8"/>
    <x v="0"/>
    <n v="0"/>
    <n v="0.99345017513206757"/>
    <x v="0"/>
  </r>
  <r>
    <s v="C329"/>
    <x v="2"/>
    <n v="344"/>
    <n v="7.6"/>
    <n v="4"/>
    <n v="2.2000000000000002"/>
    <x v="0"/>
    <n v="0"/>
    <n v="0.98401698534478332"/>
    <x v="0"/>
  </r>
  <r>
    <s v="C331"/>
    <x v="4"/>
    <n v="130"/>
    <n v="6.2"/>
    <n v="3.5"/>
    <n v="2"/>
    <x v="0"/>
    <n v="0"/>
    <n v="0.91596517217088913"/>
    <x v="0"/>
  </r>
  <r>
    <s v="C335"/>
    <x v="1"/>
    <n v="95"/>
    <n v="4"/>
    <n v="5.3"/>
    <n v="2.5"/>
    <x v="2"/>
    <n v="0"/>
    <n v="0.9831894588228931"/>
    <x v="0"/>
  </r>
  <r>
    <s v="C338"/>
    <x v="5"/>
    <n v="312"/>
    <n v="7.7"/>
    <n v="5.0999999999999996"/>
    <n v="2.5"/>
    <x v="0"/>
    <n v="0"/>
    <n v="0.9089415131015971"/>
    <x v="0"/>
  </r>
  <r>
    <s v="C341"/>
    <x v="0"/>
    <n v="418"/>
    <n v="7.9"/>
    <n v="3.8"/>
    <n v="2.5"/>
    <x v="0"/>
    <n v="0"/>
    <n v="0.89170867931200404"/>
    <x v="0"/>
  </r>
  <r>
    <s v="C348"/>
    <x v="1"/>
    <n v="358"/>
    <n v="2.5"/>
    <n v="4.5"/>
    <n v="2.1"/>
    <x v="1"/>
    <n v="0"/>
    <n v="0.84249057353639811"/>
    <x v="0"/>
  </r>
  <r>
    <s v="C352"/>
    <x v="5"/>
    <n v="89"/>
    <n v="4.0999999999999996"/>
    <n v="9.6"/>
    <n v="2.9"/>
    <x v="2"/>
    <n v="0"/>
    <n v="0.70501129893090819"/>
    <x v="0"/>
  </r>
  <r>
    <s v="C355"/>
    <x v="4"/>
    <n v="120"/>
    <n v="4.9000000000000004"/>
    <n v="9.1999999999999993"/>
    <n v="0.7"/>
    <x v="2"/>
    <n v="0"/>
    <n v="0.72679988494483527"/>
    <x v="0"/>
  </r>
  <r>
    <s v="C357"/>
    <x v="0"/>
    <n v="275"/>
    <n v="0.9"/>
    <n v="5.3"/>
    <n v="2.1"/>
    <x v="3"/>
    <n v="0"/>
    <n v="0.7727148767919334"/>
    <x v="0"/>
  </r>
  <r>
    <s v="C359"/>
    <x v="1"/>
    <n v="355"/>
    <n v="6.9"/>
    <n v="3.3"/>
    <n v="1.3"/>
    <x v="0"/>
    <n v="0"/>
    <n v="0.70766050311309026"/>
    <x v="0"/>
  </r>
  <r>
    <s v="C365"/>
    <x v="2"/>
    <n v="54"/>
    <n v="3.1"/>
    <n v="1.9"/>
    <n v="1.3"/>
    <x v="1"/>
    <n v="0"/>
    <n v="0.80774251177192757"/>
    <x v="0"/>
  </r>
  <r>
    <s v="C366"/>
    <x v="5"/>
    <n v="106"/>
    <n v="6.8"/>
    <n v="2"/>
    <n v="2.5"/>
    <x v="0"/>
    <n v="0"/>
    <n v="0.8497709109003112"/>
    <x v="0"/>
  </r>
  <r>
    <s v="C370"/>
    <x v="5"/>
    <n v="267"/>
    <n v="7.3"/>
    <n v="3.8"/>
    <n v="0.8"/>
    <x v="0"/>
    <n v="0"/>
    <n v="0.94906155889397226"/>
    <x v="0"/>
  </r>
  <r>
    <s v="C372"/>
    <x v="5"/>
    <n v="460"/>
    <n v="1.4"/>
    <n v="8.6"/>
    <n v="0.6"/>
    <x v="3"/>
    <n v="0"/>
    <n v="0.86945192974983021"/>
    <x v="0"/>
  </r>
  <r>
    <s v="C373"/>
    <x v="3"/>
    <n v="362"/>
    <n v="4.4000000000000004"/>
    <n v="4.9000000000000004"/>
    <n v="2.8"/>
    <x v="2"/>
    <n v="0"/>
    <n v="0.96147528026794216"/>
    <x v="0"/>
  </r>
  <r>
    <s v="C374"/>
    <x v="2"/>
    <n v="190"/>
    <n v="7"/>
    <n v="5.9"/>
    <n v="2.4"/>
    <x v="0"/>
    <n v="0"/>
    <n v="0.88505496260055883"/>
    <x v="0"/>
  </r>
  <r>
    <s v="C376"/>
    <x v="1"/>
    <n v="73"/>
    <n v="1"/>
    <n v="3.2"/>
    <n v="1.8"/>
    <x v="3"/>
    <n v="0"/>
    <n v="0.84174851670825934"/>
    <x v="0"/>
  </r>
  <r>
    <s v="C382"/>
    <x v="4"/>
    <n v="195"/>
    <n v="6.8"/>
    <n v="2.9"/>
    <n v="2.7"/>
    <x v="0"/>
    <n v="0"/>
    <n v="0.75869435716989919"/>
    <x v="0"/>
  </r>
  <r>
    <s v="C391"/>
    <x v="0"/>
    <n v="479"/>
    <n v="6.6"/>
    <n v="8.1999999999999993"/>
    <n v="1.9"/>
    <x v="0"/>
    <n v="0"/>
    <n v="0.98071892770521174"/>
    <x v="0"/>
  </r>
  <r>
    <s v="C393"/>
    <x v="5"/>
    <n v="382"/>
    <n v="5.2"/>
    <n v="0.5"/>
    <n v="2"/>
    <x v="2"/>
    <n v="0"/>
    <n v="0.92350485888447909"/>
    <x v="0"/>
  </r>
  <r>
    <s v="C394"/>
    <x v="3"/>
    <n v="316"/>
    <n v="1"/>
    <n v="8.5"/>
    <n v="1.9"/>
    <x v="3"/>
    <n v="0"/>
    <n v="0.85443857175248761"/>
    <x v="0"/>
  </r>
  <r>
    <s v="C399"/>
    <x v="3"/>
    <n v="253"/>
    <n v="6.9"/>
    <n v="5.4"/>
    <n v="0.8"/>
    <x v="0"/>
    <n v="0"/>
    <n v="0.87900221848287974"/>
    <x v="0"/>
  </r>
  <r>
    <s v="C401"/>
    <x v="5"/>
    <n v="146"/>
    <n v="7"/>
    <n v="1.9"/>
    <n v="2.8"/>
    <x v="0"/>
    <n v="0"/>
    <n v="0.92575583551748886"/>
    <x v="0"/>
  </r>
  <r>
    <s v="C404"/>
    <x v="0"/>
    <n v="394"/>
    <n v="7.9"/>
    <n v="5.5"/>
    <n v="2.9"/>
    <x v="0"/>
    <n v="0"/>
    <n v="0.83229682739570987"/>
    <x v="0"/>
  </r>
  <r>
    <s v="C405"/>
    <x v="5"/>
    <n v="453"/>
    <n v="6"/>
    <n v="5.7"/>
    <n v="2"/>
    <x v="0"/>
    <n v="0"/>
    <n v="0.72043412651830196"/>
    <x v="0"/>
  </r>
  <r>
    <s v="C408"/>
    <x v="3"/>
    <n v="244"/>
    <n v="7"/>
    <n v="6.6"/>
    <n v="1"/>
    <x v="0"/>
    <n v="0"/>
    <n v="0.7124558573132489"/>
    <x v="0"/>
  </r>
  <r>
    <s v="C413"/>
    <x v="2"/>
    <n v="339"/>
    <n v="6.5"/>
    <n v="7.6"/>
    <n v="2.2999999999999998"/>
    <x v="0"/>
    <n v="0"/>
    <n v="0.72425378246830507"/>
    <x v="0"/>
  </r>
  <r>
    <s v="C418"/>
    <x v="0"/>
    <n v="161"/>
    <n v="7.4"/>
    <n v="4.4000000000000004"/>
    <n v="1.9"/>
    <x v="0"/>
    <n v="0"/>
    <n v="0.73174714531193974"/>
    <x v="0"/>
  </r>
  <r>
    <s v="C424"/>
    <x v="4"/>
    <n v="254"/>
    <n v="3.3"/>
    <n v="1.5"/>
    <n v="0.7"/>
    <x v="1"/>
    <n v="0"/>
    <n v="0.91372488266103746"/>
    <x v="0"/>
  </r>
  <r>
    <s v="C431"/>
    <x v="5"/>
    <n v="469"/>
    <n v="3.4"/>
    <n v="9.4"/>
    <n v="1.8"/>
    <x v="1"/>
    <n v="0"/>
    <n v="0.93591555144778105"/>
    <x v="0"/>
  </r>
  <r>
    <s v="C434"/>
    <x v="5"/>
    <n v="165"/>
    <n v="5.8"/>
    <n v="2.4"/>
    <n v="2.7"/>
    <x v="2"/>
    <n v="0"/>
    <n v="0.89222086279881707"/>
    <x v="0"/>
  </r>
  <r>
    <s v="C443"/>
    <x v="3"/>
    <n v="268"/>
    <n v="6"/>
    <n v="1.4"/>
    <n v="2.8"/>
    <x v="0"/>
    <n v="0"/>
    <n v="0.93373861853478435"/>
    <x v="0"/>
  </r>
  <r>
    <s v="C447"/>
    <x v="3"/>
    <n v="383"/>
    <n v="7.6"/>
    <n v="5.3"/>
    <n v="0.8"/>
    <x v="0"/>
    <n v="0"/>
    <n v="0.77774993914367596"/>
    <x v="0"/>
  </r>
  <r>
    <s v="C448"/>
    <x v="2"/>
    <n v="310"/>
    <n v="7.4"/>
    <n v="5.4"/>
    <n v="2.4"/>
    <x v="0"/>
    <n v="0"/>
    <n v="0.99288571795026093"/>
    <x v="0"/>
  </r>
  <r>
    <s v="C449"/>
    <x v="5"/>
    <n v="66"/>
    <n v="0.5"/>
    <n v="7.1"/>
    <n v="1.5"/>
    <x v="3"/>
    <n v="0"/>
    <n v="0.93769130589552641"/>
    <x v="0"/>
  </r>
  <r>
    <s v="C462"/>
    <x v="2"/>
    <n v="106"/>
    <n v="3.9"/>
    <n v="3.6"/>
    <n v="2.9"/>
    <x v="1"/>
    <n v="0"/>
    <n v="0.98151076496948098"/>
    <x v="0"/>
  </r>
  <r>
    <s v="C463"/>
    <x v="5"/>
    <n v="370"/>
    <n v="8"/>
    <n v="6.2"/>
    <n v="2.2999999999999998"/>
    <x v="0"/>
    <n v="0"/>
    <n v="0.8378086435603751"/>
    <x v="0"/>
  </r>
  <r>
    <s v="C464"/>
    <x v="3"/>
    <n v="151"/>
    <n v="5.2"/>
    <n v="2.7"/>
    <n v="1.4"/>
    <x v="2"/>
    <n v="0"/>
    <n v="0.76087731853929086"/>
    <x v="0"/>
  </r>
  <r>
    <s v="C467"/>
    <x v="0"/>
    <n v="94"/>
    <n v="2.2000000000000002"/>
    <n v="6.4"/>
    <n v="3"/>
    <x v="1"/>
    <n v="0"/>
    <n v="0.86923568694700371"/>
    <x v="0"/>
  </r>
  <r>
    <s v="C469"/>
    <x v="2"/>
    <n v="137"/>
    <n v="2.2000000000000002"/>
    <n v="0.7"/>
    <n v="1.3"/>
    <x v="1"/>
    <n v="0"/>
    <n v="0.761240329941544"/>
    <x v="0"/>
  </r>
  <r>
    <s v="C471"/>
    <x v="3"/>
    <n v="420"/>
    <n v="6.6"/>
    <n v="8.5"/>
    <n v="2.7"/>
    <x v="0"/>
    <n v="0"/>
    <n v="0.99361749961205081"/>
    <x v="0"/>
  </r>
  <r>
    <s v="C472"/>
    <x v="1"/>
    <n v="114"/>
    <n v="6.8"/>
    <n v="3.1"/>
    <n v="1.8"/>
    <x v="0"/>
    <n v="0"/>
    <n v="0.91370623240365745"/>
    <x v="0"/>
  </r>
  <r>
    <s v="C476"/>
    <x v="4"/>
    <n v="82"/>
    <n v="7.3"/>
    <n v="1.4"/>
    <n v="1.1000000000000001"/>
    <x v="0"/>
    <n v="0"/>
    <n v="0.73625208703844036"/>
    <x v="0"/>
  </r>
  <r>
    <s v="C480"/>
    <x v="5"/>
    <n v="157"/>
    <n v="2.4"/>
    <n v="7.7"/>
    <n v="2.5"/>
    <x v="1"/>
    <n v="0"/>
    <n v="0.83209102888637265"/>
    <x v="0"/>
  </r>
  <r>
    <s v="C482"/>
    <x v="3"/>
    <n v="335"/>
    <n v="7.4"/>
    <n v="2.9"/>
    <n v="1.5"/>
    <x v="0"/>
    <n v="0"/>
    <n v="0.87008631478238396"/>
    <x v="0"/>
  </r>
  <r>
    <s v="C484"/>
    <x v="4"/>
    <n v="179"/>
    <n v="2.9"/>
    <n v="6.2"/>
    <n v="1.1000000000000001"/>
    <x v="1"/>
    <n v="0"/>
    <n v="0.99812054408584527"/>
    <x v="0"/>
  </r>
  <r>
    <s v="C485"/>
    <x v="1"/>
    <n v="200"/>
    <n v="6.9"/>
    <n v="3.5"/>
    <n v="1.9"/>
    <x v="0"/>
    <n v="0"/>
    <n v="0.95075940835713335"/>
    <x v="0"/>
  </r>
  <r>
    <s v="C489"/>
    <x v="1"/>
    <n v="196"/>
    <n v="7.5"/>
    <n v="4.4000000000000004"/>
    <n v="2.9"/>
    <x v="0"/>
    <n v="0"/>
    <n v="0.80603151450449084"/>
    <x v="0"/>
  </r>
  <r>
    <s v="C492"/>
    <x v="4"/>
    <n v="401"/>
    <n v="1.5"/>
    <n v="6.1"/>
    <n v="1.8"/>
    <x v="3"/>
    <n v="0"/>
    <n v="0.89652351717313572"/>
    <x v="0"/>
  </r>
  <r>
    <s v="C496"/>
    <x v="5"/>
    <n v="247"/>
    <n v="5.7"/>
    <n v="4.3"/>
    <n v="2.2999999999999998"/>
    <x v="2"/>
    <n v="0"/>
    <n v="0.94818218032765011"/>
    <x v="0"/>
  </r>
  <r>
    <s v="C497"/>
    <x v="5"/>
    <n v="206"/>
    <n v="3.4"/>
    <n v="7.6"/>
    <n v="2.4"/>
    <x v="1"/>
    <n v="0"/>
    <n v="0.88145026621657951"/>
    <x v="0"/>
  </r>
  <r>
    <s v="C499"/>
    <x v="3"/>
    <n v="407"/>
    <n v="7.3"/>
    <n v="7"/>
    <n v="1"/>
    <x v="0"/>
    <n v="0"/>
    <n v="0.7517236528843384"/>
    <x v="0"/>
  </r>
  <r>
    <s v="C509"/>
    <x v="5"/>
    <n v="350"/>
    <n v="1"/>
    <n v="7.5"/>
    <n v="2.2000000000000002"/>
    <x v="3"/>
    <n v="0"/>
    <n v="0.89716633759881881"/>
    <x v="0"/>
  </r>
  <r>
    <s v="C510"/>
    <x v="3"/>
    <n v="227"/>
    <n v="5.9"/>
    <n v="3.1"/>
    <n v="1.2"/>
    <x v="2"/>
    <n v="0"/>
    <n v="0.87332073356063455"/>
    <x v="0"/>
  </r>
  <r>
    <s v="C515"/>
    <x v="4"/>
    <n v="430"/>
    <n v="0.6"/>
    <n v="8.3000000000000007"/>
    <n v="1.2"/>
    <x v="3"/>
    <n v="0"/>
    <n v="0.90484928368949702"/>
    <x v="0"/>
  </r>
  <r>
    <s v="C517"/>
    <x v="1"/>
    <n v="222"/>
    <n v="2.1"/>
    <n v="7.1"/>
    <n v="1.6"/>
    <x v="1"/>
    <n v="0"/>
    <n v="0.84061001301476768"/>
    <x v="0"/>
  </r>
  <r>
    <s v="C519"/>
    <x v="4"/>
    <n v="226"/>
    <n v="4.8"/>
    <n v="1.4"/>
    <n v="2"/>
    <x v="2"/>
    <n v="0"/>
    <n v="0.91750500790147105"/>
    <x v="0"/>
  </r>
  <r>
    <s v="C526"/>
    <x v="3"/>
    <n v="236"/>
    <n v="7.3"/>
    <n v="9.8000000000000007"/>
    <n v="2"/>
    <x v="0"/>
    <n v="0"/>
    <n v="0.88680156441397939"/>
    <x v="0"/>
  </r>
  <r>
    <s v="C528"/>
    <x v="3"/>
    <n v="291"/>
    <n v="5.6"/>
    <n v="8"/>
    <n v="0.7"/>
    <x v="2"/>
    <n v="0"/>
    <n v="0.80525666850321753"/>
    <x v="0"/>
  </r>
  <r>
    <s v="C529"/>
    <x v="2"/>
    <n v="388"/>
    <n v="1.8"/>
    <n v="5.9"/>
    <n v="1"/>
    <x v="3"/>
    <n v="0"/>
    <n v="0.98527673945094985"/>
    <x v="0"/>
  </r>
  <r>
    <s v="C530"/>
    <x v="5"/>
    <n v="146"/>
    <n v="7.4"/>
    <n v="7.5"/>
    <n v="1.3"/>
    <x v="0"/>
    <n v="0"/>
    <n v="0.98169750363118069"/>
    <x v="0"/>
  </r>
  <r>
    <s v="C532"/>
    <x v="5"/>
    <n v="233"/>
    <n v="3.7"/>
    <n v="0.6"/>
    <n v="1.2"/>
    <x v="1"/>
    <n v="0"/>
    <n v="0.94056174862764741"/>
    <x v="0"/>
  </r>
  <r>
    <s v="C539"/>
    <x v="5"/>
    <n v="418"/>
    <n v="2"/>
    <n v="0.7"/>
    <n v="0.9"/>
    <x v="1"/>
    <n v="0"/>
    <n v="0.75936405532852347"/>
    <x v="0"/>
  </r>
  <r>
    <s v="C541"/>
    <x v="0"/>
    <n v="60"/>
    <n v="3.1"/>
    <n v="3.7"/>
    <n v="2.2999999999999998"/>
    <x v="1"/>
    <n v="0"/>
    <n v="0.70984935753973011"/>
    <x v="0"/>
  </r>
  <r>
    <s v="C544"/>
    <x v="3"/>
    <n v="388"/>
    <n v="2.5"/>
    <n v="1.9"/>
    <n v="1.6"/>
    <x v="1"/>
    <n v="0"/>
    <n v="0.96928820463790566"/>
    <x v="0"/>
  </r>
  <r>
    <s v="C545"/>
    <x v="3"/>
    <n v="464"/>
    <n v="0.7"/>
    <n v="6.4"/>
    <n v="1.9"/>
    <x v="3"/>
    <n v="0"/>
    <n v="0.77685174544091007"/>
    <x v="0"/>
  </r>
  <r>
    <s v="C546"/>
    <x v="2"/>
    <n v="376"/>
    <n v="0.9"/>
    <n v="5.2"/>
    <n v="1.1000000000000001"/>
    <x v="3"/>
    <n v="0"/>
    <n v="0.81781983372004485"/>
    <x v="0"/>
  </r>
  <r>
    <s v="C548"/>
    <x v="4"/>
    <n v="436"/>
    <n v="6.8"/>
    <n v="1.2"/>
    <n v="0.8"/>
    <x v="0"/>
    <n v="1"/>
    <n v="0.90660922315989656"/>
    <x v="0"/>
  </r>
  <r>
    <s v="C552"/>
    <x v="5"/>
    <n v="378"/>
    <n v="3.6"/>
    <n v="1.4"/>
    <n v="2.7"/>
    <x v="1"/>
    <n v="0"/>
    <n v="0.81095423315238646"/>
    <x v="0"/>
  </r>
  <r>
    <s v="C565"/>
    <x v="0"/>
    <n v="72"/>
    <n v="6"/>
    <n v="7.4"/>
    <n v="2.5"/>
    <x v="0"/>
    <n v="0"/>
    <n v="0.79590579485863322"/>
    <x v="0"/>
  </r>
  <r>
    <s v="C566"/>
    <x v="0"/>
    <n v="110"/>
    <n v="2.6"/>
    <n v="8.1999999999999993"/>
    <n v="2.1"/>
    <x v="1"/>
    <n v="0"/>
    <n v="0.77145276807597107"/>
    <x v="0"/>
  </r>
  <r>
    <s v="C567"/>
    <x v="3"/>
    <n v="97"/>
    <n v="6.3"/>
    <n v="9.6"/>
    <n v="1.4"/>
    <x v="0"/>
    <n v="0"/>
    <n v="0.80523804994274961"/>
    <x v="0"/>
  </r>
  <r>
    <s v="C572"/>
    <x v="5"/>
    <n v="116"/>
    <n v="1.7"/>
    <n v="5.4"/>
    <n v="2.9"/>
    <x v="3"/>
    <n v="0"/>
    <n v="0.88438692449575795"/>
    <x v="0"/>
  </r>
  <r>
    <s v="C579"/>
    <x v="5"/>
    <n v="70"/>
    <n v="1.3"/>
    <n v="9.1999999999999993"/>
    <n v="2.2000000000000002"/>
    <x v="3"/>
    <n v="0"/>
    <n v="0.85404650543884142"/>
    <x v="0"/>
  </r>
  <r>
    <s v="C580"/>
    <x v="0"/>
    <n v="64"/>
    <n v="6.3"/>
    <n v="6.3"/>
    <n v="1"/>
    <x v="0"/>
    <n v="0"/>
    <n v="0.89705123958145838"/>
    <x v="0"/>
  </r>
  <r>
    <s v="C581"/>
    <x v="4"/>
    <n v="108"/>
    <n v="2.2999999999999998"/>
    <n v="7.5"/>
    <n v="2.8"/>
    <x v="1"/>
    <n v="0"/>
    <n v="0.90487143168549511"/>
    <x v="0"/>
  </r>
  <r>
    <s v="C585"/>
    <x v="2"/>
    <n v="328"/>
    <n v="1.4"/>
    <n v="0.8"/>
    <n v="1.6"/>
    <x v="3"/>
    <n v="0"/>
    <n v="0.74985144403841608"/>
    <x v="0"/>
  </r>
  <r>
    <s v="C587"/>
    <x v="2"/>
    <n v="465"/>
    <n v="6.1"/>
    <n v="0.7"/>
    <n v="1.8"/>
    <x v="0"/>
    <n v="0"/>
    <n v="0.84770658120176057"/>
    <x v="0"/>
  </r>
  <r>
    <s v="C588"/>
    <x v="3"/>
    <n v="380"/>
    <n v="7"/>
    <n v="5"/>
    <n v="1.5"/>
    <x v="0"/>
    <n v="0"/>
    <n v="0.83407566575596293"/>
    <x v="0"/>
  </r>
  <r>
    <s v="C599"/>
    <x v="1"/>
    <n v="419"/>
    <n v="7.4"/>
    <n v="9.4"/>
    <n v="2.5"/>
    <x v="0"/>
    <n v="0"/>
    <n v="0.82532752658937636"/>
    <x v="0"/>
  </r>
  <r>
    <s v="C602"/>
    <x v="4"/>
    <n v="427"/>
    <n v="7.2"/>
    <n v="2.7"/>
    <n v="1.8"/>
    <x v="0"/>
    <n v="0"/>
    <n v="0.71421537046291961"/>
    <x v="0"/>
  </r>
  <r>
    <s v="C605"/>
    <x v="1"/>
    <n v="331"/>
    <n v="4"/>
    <n v="1.2"/>
    <n v="1.2"/>
    <x v="2"/>
    <n v="0"/>
    <n v="0.93840801566147281"/>
    <x v="0"/>
  </r>
  <r>
    <s v="C606"/>
    <x v="5"/>
    <n v="293"/>
    <n v="6"/>
    <n v="3"/>
    <n v="2.2999999999999998"/>
    <x v="0"/>
    <n v="0"/>
    <n v="0.74877635553842925"/>
    <x v="0"/>
  </r>
  <r>
    <s v="C607"/>
    <x v="4"/>
    <n v="380"/>
    <n v="6.6"/>
    <n v="5.2"/>
    <n v="2.9"/>
    <x v="0"/>
    <n v="0"/>
    <n v="0.97631775918150387"/>
    <x v="0"/>
  </r>
  <r>
    <s v="C609"/>
    <x v="1"/>
    <n v="180"/>
    <n v="3.2"/>
    <n v="8.6999999999999993"/>
    <n v="1.9"/>
    <x v="1"/>
    <n v="0"/>
    <n v="0.82318213688782815"/>
    <x v="0"/>
  </r>
  <r>
    <s v="C613"/>
    <x v="1"/>
    <n v="344"/>
    <n v="6.5"/>
    <n v="3.2"/>
    <n v="2.4"/>
    <x v="0"/>
    <n v="0"/>
    <n v="0.87108612250545825"/>
    <x v="0"/>
  </r>
  <r>
    <s v="C615"/>
    <x v="3"/>
    <n v="132"/>
    <n v="3.1"/>
    <n v="6.7"/>
    <n v="1.6"/>
    <x v="1"/>
    <n v="0"/>
    <n v="0.73557006075472675"/>
    <x v="0"/>
  </r>
  <r>
    <s v="C622"/>
    <x v="0"/>
    <n v="386"/>
    <n v="4.2"/>
    <n v="4.3"/>
    <n v="1.4"/>
    <x v="2"/>
    <n v="0"/>
    <n v="0.80921955841782944"/>
    <x v="0"/>
  </r>
  <r>
    <s v="C625"/>
    <x v="1"/>
    <n v="439"/>
    <n v="4.5999999999999996"/>
    <n v="1.3"/>
    <n v="1.1000000000000001"/>
    <x v="2"/>
    <n v="0"/>
    <n v="0.85817814141348414"/>
    <x v="0"/>
  </r>
  <r>
    <s v="C645"/>
    <x v="5"/>
    <n v="293"/>
    <n v="1.9"/>
    <n v="1.4"/>
    <n v="0.6"/>
    <x v="3"/>
    <n v="0"/>
    <n v="0.74943620077330042"/>
    <x v="0"/>
  </r>
  <r>
    <s v="C646"/>
    <x v="2"/>
    <n v="471"/>
    <n v="5.3"/>
    <n v="4.2"/>
    <n v="1.3"/>
    <x v="2"/>
    <n v="0"/>
    <n v="0.86289194225803301"/>
    <x v="0"/>
  </r>
  <r>
    <s v="C658"/>
    <x v="5"/>
    <n v="92"/>
    <n v="2.2000000000000002"/>
    <n v="2.2999999999999998"/>
    <n v="1.8"/>
    <x v="1"/>
    <n v="0"/>
    <n v="0.77141730059859537"/>
    <x v="0"/>
  </r>
  <r>
    <s v="C666"/>
    <x v="0"/>
    <n v="225"/>
    <n v="1.4"/>
    <n v="5.7"/>
    <n v="1.8"/>
    <x v="3"/>
    <n v="0"/>
    <n v="0.7666667187485634"/>
    <x v="0"/>
  </r>
  <r>
    <s v="C669"/>
    <x v="0"/>
    <n v="335"/>
    <n v="1.9"/>
    <n v="1.5"/>
    <n v="1.2"/>
    <x v="3"/>
    <n v="0"/>
    <n v="0.90316520898787567"/>
    <x v="0"/>
  </r>
  <r>
    <s v="C670"/>
    <x v="1"/>
    <n v="307"/>
    <n v="3.9"/>
    <n v="3.7"/>
    <n v="0.6"/>
    <x v="1"/>
    <n v="0"/>
    <n v="0.9113236486763715"/>
    <x v="0"/>
  </r>
  <r>
    <s v="C673"/>
    <x v="1"/>
    <n v="368"/>
    <n v="1.7"/>
    <n v="9.6999999999999993"/>
    <n v="0.8"/>
    <x v="3"/>
    <n v="0"/>
    <n v="0.9564357739662277"/>
    <x v="0"/>
  </r>
  <r>
    <s v="C676"/>
    <x v="1"/>
    <n v="102"/>
    <n v="3.5"/>
    <n v="4.5999999999999996"/>
    <n v="1.1000000000000001"/>
    <x v="1"/>
    <n v="0"/>
    <n v="0.99489311173850081"/>
    <x v="0"/>
  </r>
  <r>
    <s v="C685"/>
    <x v="4"/>
    <n v="436"/>
    <n v="4.3"/>
    <n v="9.3000000000000007"/>
    <n v="2.2000000000000002"/>
    <x v="2"/>
    <n v="0"/>
    <n v="0.94688784200210563"/>
    <x v="0"/>
  </r>
  <r>
    <s v="C687"/>
    <x v="0"/>
    <n v="354"/>
    <n v="3.3"/>
    <n v="3.6"/>
    <n v="2.9"/>
    <x v="1"/>
    <n v="0"/>
    <n v="0.88980341536839025"/>
    <x v="0"/>
  </r>
  <r>
    <s v="C694"/>
    <x v="5"/>
    <n v="81"/>
    <n v="5.6"/>
    <n v="1.4"/>
    <n v="2.7"/>
    <x v="2"/>
    <n v="0"/>
    <n v="0.75834127276374652"/>
    <x v="0"/>
  </r>
  <r>
    <s v="C696"/>
    <x v="2"/>
    <n v="145"/>
    <n v="5.3"/>
    <n v="8.8000000000000007"/>
    <n v="2.8"/>
    <x v="2"/>
    <n v="0"/>
    <n v="0.84189134180494418"/>
    <x v="0"/>
  </r>
  <r>
    <s v="C700"/>
    <x v="5"/>
    <n v="185"/>
    <n v="1.6"/>
    <n v="4.5999999999999996"/>
    <n v="1.8"/>
    <x v="3"/>
    <n v="0"/>
    <n v="0.94403421986661906"/>
    <x v="0"/>
  </r>
  <r>
    <s v="C705"/>
    <x v="5"/>
    <n v="107"/>
    <n v="5.4"/>
    <n v="2.4"/>
    <n v="0.7"/>
    <x v="2"/>
    <n v="0"/>
    <n v="0.73876236916281735"/>
    <x v="0"/>
  </r>
  <r>
    <s v="C707"/>
    <x v="1"/>
    <n v="293"/>
    <n v="3.8"/>
    <n v="4"/>
    <n v="2.7"/>
    <x v="1"/>
    <n v="0"/>
    <n v="0.8681308107701855"/>
    <x v="0"/>
  </r>
  <r>
    <s v="C709"/>
    <x v="0"/>
    <n v="173"/>
    <n v="2.5"/>
    <n v="6.3"/>
    <n v="1.4"/>
    <x v="1"/>
    <n v="0"/>
    <n v="0.87355526589899846"/>
    <x v="0"/>
  </r>
  <r>
    <s v="C713"/>
    <x v="2"/>
    <n v="328"/>
    <n v="3.5"/>
    <n v="5.3"/>
    <n v="1.1000000000000001"/>
    <x v="1"/>
    <n v="0"/>
    <n v="0.98318010123509736"/>
    <x v="0"/>
  </r>
  <r>
    <s v="C720"/>
    <x v="0"/>
    <n v="172"/>
    <n v="3.6"/>
    <n v="3.2"/>
    <n v="2.2999999999999998"/>
    <x v="1"/>
    <n v="0"/>
    <n v="0.84233960988664569"/>
    <x v="0"/>
  </r>
  <r>
    <s v="C721"/>
    <x v="5"/>
    <n v="337"/>
    <n v="2.6"/>
    <n v="3.5"/>
    <n v="2.2999999999999998"/>
    <x v="1"/>
    <n v="0"/>
    <n v="0.86311376234949266"/>
    <x v="0"/>
  </r>
  <r>
    <s v="C722"/>
    <x v="2"/>
    <n v="196"/>
    <n v="7.9"/>
    <n v="2.1"/>
    <n v="0.7"/>
    <x v="0"/>
    <n v="0"/>
    <n v="0.75383522977140593"/>
    <x v="0"/>
  </r>
  <r>
    <s v="C728"/>
    <x v="5"/>
    <n v="135"/>
    <n v="7.3"/>
    <n v="8.1999999999999993"/>
    <n v="1.4"/>
    <x v="0"/>
    <n v="0"/>
    <n v="0.75739062650043165"/>
    <x v="0"/>
  </r>
  <r>
    <s v="C735"/>
    <x v="5"/>
    <n v="182"/>
    <n v="1.4"/>
    <n v="9.3000000000000007"/>
    <n v="2.4"/>
    <x v="3"/>
    <n v="0"/>
    <n v="0.76304873733137113"/>
    <x v="0"/>
  </r>
  <r>
    <s v="C738"/>
    <x v="3"/>
    <n v="233"/>
    <n v="6.2"/>
    <n v="5.3"/>
    <n v="1.9"/>
    <x v="0"/>
    <n v="0"/>
    <n v="0.91955086754706983"/>
    <x v="0"/>
  </r>
  <r>
    <s v="C739"/>
    <x v="2"/>
    <n v="251"/>
    <n v="3.4"/>
    <n v="4.2"/>
    <n v="2.9"/>
    <x v="1"/>
    <n v="0"/>
    <n v="0.82480549278582749"/>
    <x v="0"/>
  </r>
  <r>
    <s v="C743"/>
    <x v="1"/>
    <n v="336"/>
    <n v="5"/>
    <n v="5.4"/>
    <n v="2.6"/>
    <x v="2"/>
    <n v="0"/>
    <n v="0.72066950200550095"/>
    <x v="0"/>
  </r>
  <r>
    <s v="C744"/>
    <x v="3"/>
    <n v="329"/>
    <n v="7.4"/>
    <n v="8.8000000000000007"/>
    <n v="1.3"/>
    <x v="0"/>
    <n v="0"/>
    <n v="0.82581357434902647"/>
    <x v="0"/>
  </r>
  <r>
    <s v="C746"/>
    <x v="5"/>
    <n v="451"/>
    <n v="2.1"/>
    <n v="9.6"/>
    <n v="0.5"/>
    <x v="1"/>
    <n v="0"/>
    <n v="0.73583121774398241"/>
    <x v="0"/>
  </r>
  <r>
    <s v="C757"/>
    <x v="3"/>
    <n v="406"/>
    <n v="7.7"/>
    <n v="1.4"/>
    <n v="1.9"/>
    <x v="0"/>
    <n v="0"/>
    <n v="0.8956026060001171"/>
    <x v="0"/>
  </r>
  <r>
    <s v="C758"/>
    <x v="5"/>
    <n v="213"/>
    <n v="0.5"/>
    <n v="8.6"/>
    <n v="2.8"/>
    <x v="3"/>
    <n v="0"/>
    <n v="0.75455577775190197"/>
    <x v="0"/>
  </r>
  <r>
    <s v="C762"/>
    <x v="3"/>
    <n v="91"/>
    <n v="4.9000000000000004"/>
    <n v="6.7"/>
    <n v="2.7"/>
    <x v="2"/>
    <n v="0"/>
    <n v="0.84053521150525046"/>
    <x v="0"/>
  </r>
  <r>
    <s v="C763"/>
    <x v="0"/>
    <n v="440"/>
    <n v="1.1000000000000001"/>
    <n v="8"/>
    <n v="2.6"/>
    <x v="3"/>
    <n v="0"/>
    <n v="0.7786417300031182"/>
    <x v="0"/>
  </r>
  <r>
    <s v="C765"/>
    <x v="0"/>
    <n v="208"/>
    <n v="2.4"/>
    <n v="3.8"/>
    <n v="1"/>
    <x v="1"/>
    <n v="0"/>
    <n v="0.8598628375443943"/>
    <x v="0"/>
  </r>
  <r>
    <s v="C766"/>
    <x v="5"/>
    <n v="253"/>
    <n v="7.8"/>
    <n v="8.1"/>
    <n v="0.8"/>
    <x v="0"/>
    <n v="0"/>
    <n v="0.94879157227368083"/>
    <x v="0"/>
  </r>
  <r>
    <s v="C768"/>
    <x v="4"/>
    <n v="198"/>
    <n v="2.1"/>
    <n v="4.5999999999999996"/>
    <n v="2"/>
    <x v="1"/>
    <n v="0"/>
    <n v="0.92528352573771044"/>
    <x v="0"/>
  </r>
  <r>
    <s v="C770"/>
    <x v="5"/>
    <n v="101"/>
    <n v="6.5"/>
    <n v="8.1"/>
    <n v="2.2000000000000002"/>
    <x v="0"/>
    <n v="0"/>
    <n v="0.82724779324013531"/>
    <x v="0"/>
  </r>
  <r>
    <s v="C771"/>
    <x v="1"/>
    <n v="270"/>
    <n v="5.3"/>
    <n v="5.8"/>
    <n v="1"/>
    <x v="2"/>
    <n v="0"/>
    <n v="0.84713666506668706"/>
    <x v="0"/>
  </r>
  <r>
    <s v="C772"/>
    <x v="1"/>
    <n v="114"/>
    <n v="3.5"/>
    <n v="3"/>
    <n v="1.6"/>
    <x v="1"/>
    <n v="0"/>
    <n v="0.75175378113662794"/>
    <x v="0"/>
  </r>
  <r>
    <s v="C773"/>
    <x v="1"/>
    <n v="227"/>
    <n v="5.8"/>
    <n v="8.6"/>
    <n v="2.9"/>
    <x v="2"/>
    <n v="0"/>
    <n v="0.86507792727571087"/>
    <x v="0"/>
  </r>
  <r>
    <s v="C782"/>
    <x v="5"/>
    <n v="99"/>
    <n v="6.7"/>
    <n v="0.6"/>
    <n v="1.5"/>
    <x v="0"/>
    <n v="0"/>
    <n v="0.93496500362304436"/>
    <x v="0"/>
  </r>
  <r>
    <s v="C785"/>
    <x v="1"/>
    <n v="202"/>
    <n v="0.6"/>
    <n v="5.8"/>
    <n v="0.7"/>
    <x v="3"/>
    <n v="0"/>
    <n v="0.79955736346241024"/>
    <x v="0"/>
  </r>
  <r>
    <s v="C787"/>
    <x v="4"/>
    <n v="456"/>
    <n v="2.2000000000000002"/>
    <n v="6.4"/>
    <n v="1.6"/>
    <x v="1"/>
    <n v="0"/>
    <n v="0.8488509315788304"/>
    <x v="0"/>
  </r>
  <r>
    <s v="C790"/>
    <x v="0"/>
    <n v="210"/>
    <n v="2.2999999999999998"/>
    <n v="0.8"/>
    <n v="1.7"/>
    <x v="1"/>
    <n v="0"/>
    <n v="0.78385204083168891"/>
    <x v="0"/>
  </r>
  <r>
    <s v="C796"/>
    <x v="0"/>
    <n v="196"/>
    <n v="0.7"/>
    <n v="6.8"/>
    <n v="1.2"/>
    <x v="3"/>
    <n v="0"/>
    <n v="0.99285324672299846"/>
    <x v="0"/>
  </r>
  <r>
    <s v="C801"/>
    <x v="0"/>
    <n v="170"/>
    <n v="1"/>
    <n v="4.4000000000000004"/>
    <n v="1.5"/>
    <x v="1"/>
    <n v="0"/>
    <n v="0.86348060577562569"/>
    <x v="0"/>
  </r>
  <r>
    <s v="C804"/>
    <x v="2"/>
    <n v="233"/>
    <n v="3.8"/>
    <n v="2.4"/>
    <n v="2.4"/>
    <x v="0"/>
    <n v="0"/>
    <n v="0.80454697562713318"/>
    <x v="0"/>
  </r>
  <r>
    <s v="C811"/>
    <x v="1"/>
    <n v="474"/>
    <n v="3.5"/>
    <n v="5.0999999999999996"/>
    <n v="1.8"/>
    <x v="0"/>
    <n v="0"/>
    <n v="0.76730927780231895"/>
    <x v="0"/>
  </r>
  <r>
    <s v="C813"/>
    <x v="4"/>
    <n v="495"/>
    <n v="2.9"/>
    <n v="5.6"/>
    <n v="2.4"/>
    <x v="0"/>
    <n v="0"/>
    <n v="0.99906734363487559"/>
    <x v="0"/>
  </r>
  <r>
    <s v="C816"/>
    <x v="1"/>
    <n v="369"/>
    <n v="5.8"/>
    <n v="9.5"/>
    <n v="1.6"/>
    <x v="1"/>
    <n v="0"/>
    <n v="0.83342287380467717"/>
    <x v="0"/>
  </r>
  <r>
    <s v="C818"/>
    <x v="3"/>
    <n v="114"/>
    <n v="5.2"/>
    <n v="6.5"/>
    <n v="1.8"/>
    <x v="2"/>
    <n v="0"/>
    <n v="0.72829107307816709"/>
    <x v="0"/>
  </r>
  <r>
    <s v="C819"/>
    <x v="0"/>
    <n v="84"/>
    <n v="4.7"/>
    <n v="4.7"/>
    <n v="1"/>
    <x v="3"/>
    <n v="0"/>
    <n v="0.75903173677157376"/>
    <x v="0"/>
  </r>
  <r>
    <s v="C820"/>
    <x v="4"/>
    <n v="466"/>
    <n v="1.6"/>
    <n v="2.8"/>
    <n v="0.6"/>
    <x v="1"/>
    <n v="0"/>
    <n v="0.85935996193058439"/>
    <x v="0"/>
  </r>
  <r>
    <s v="C824"/>
    <x v="3"/>
    <n v="213"/>
    <n v="4.2"/>
    <n v="9"/>
    <n v="3"/>
    <x v="2"/>
    <n v="0"/>
    <n v="0.70239101330483988"/>
    <x v="0"/>
  </r>
  <r>
    <s v="C825"/>
    <x v="1"/>
    <n v="200"/>
    <n v="3"/>
    <n v="6.5"/>
    <n v="2.5"/>
    <x v="2"/>
    <n v="0"/>
    <n v="0.8812376959184538"/>
    <x v="0"/>
  </r>
  <r>
    <s v="C828"/>
    <x v="3"/>
    <n v="311"/>
    <n v="1.5"/>
    <n v="0.9"/>
    <n v="1.4"/>
    <x v="3"/>
    <n v="0"/>
    <n v="0.92013524466259222"/>
    <x v="0"/>
  </r>
  <r>
    <s v="C833"/>
    <x v="2"/>
    <n v="82"/>
    <n v="4.0999999999999996"/>
    <n v="9"/>
    <n v="1.7"/>
    <x v="2"/>
    <n v="0"/>
    <n v="0.75984990812937458"/>
    <x v="0"/>
  </r>
  <r>
    <s v="C840"/>
    <x v="5"/>
    <n v="230"/>
    <n v="1.8"/>
    <n v="3.8"/>
    <n v="2.7"/>
    <x v="1"/>
    <n v="0"/>
    <n v="0.86154073111997009"/>
    <x v="0"/>
  </r>
  <r>
    <s v="C841"/>
    <x v="2"/>
    <n v="401"/>
    <n v="1.9"/>
    <n v="2.8"/>
    <n v="1"/>
    <x v="3"/>
    <n v="0"/>
    <n v="0.93537297557081167"/>
    <x v="0"/>
  </r>
  <r>
    <s v="C849"/>
    <x v="1"/>
    <n v="236"/>
    <n v="7.3"/>
    <n v="7.8"/>
    <n v="1.6"/>
    <x v="3"/>
    <n v="0"/>
    <n v="0.77779464160661516"/>
    <x v="0"/>
  </r>
  <r>
    <s v="C851"/>
    <x v="0"/>
    <n v="63"/>
    <n v="3.1"/>
    <n v="0.9"/>
    <n v="2.6"/>
    <x v="1"/>
    <n v="0"/>
    <n v="0.86399504762788515"/>
    <x v="0"/>
  </r>
  <r>
    <s v="C853"/>
    <x v="2"/>
    <n v="281"/>
    <n v="4.8"/>
    <n v="6.9"/>
    <n v="1.4"/>
    <x v="0"/>
    <n v="0"/>
    <n v="0.75131260738518602"/>
    <x v="0"/>
  </r>
  <r>
    <s v="C854"/>
    <x v="5"/>
    <n v="79"/>
    <n v="5.2"/>
    <n v="5.4"/>
    <n v="1.9"/>
    <x v="3"/>
    <n v="0"/>
    <n v="0.73902144287144567"/>
    <x v="0"/>
  </r>
  <r>
    <s v="C856"/>
    <x v="4"/>
    <n v="415"/>
    <n v="3.2"/>
    <n v="7.3"/>
    <n v="1.5"/>
    <x v="0"/>
    <n v="0"/>
    <n v="0.8280588739153204"/>
    <x v="0"/>
  </r>
  <r>
    <s v="C863"/>
    <x v="1"/>
    <n v="226"/>
    <n v="3.9"/>
    <n v="9.6999999999999993"/>
    <n v="2"/>
    <x v="1"/>
    <n v="0"/>
    <n v="0.80652733893812567"/>
    <x v="0"/>
  </r>
  <r>
    <s v="C866"/>
    <x v="4"/>
    <n v="499"/>
    <n v="0.6"/>
    <n v="2.7"/>
    <n v="0.9"/>
    <x v="2"/>
    <n v="0"/>
    <n v="0.7187437237830846"/>
    <x v="0"/>
  </r>
  <r>
    <s v="C869"/>
    <x v="3"/>
    <n v="256"/>
    <n v="2.2000000000000002"/>
    <n v="8.4"/>
    <n v="1.6"/>
    <x v="0"/>
    <n v="0"/>
    <n v="0.80586071000809745"/>
    <x v="0"/>
  </r>
  <r>
    <s v="C872"/>
    <x v="5"/>
    <n v="262"/>
    <n v="1.2"/>
    <n v="0.9"/>
    <n v="2.1"/>
    <x v="0"/>
    <n v="0"/>
    <n v="0.75573682827771693"/>
    <x v="0"/>
  </r>
  <r>
    <s v="C884"/>
    <x v="5"/>
    <n v="233"/>
    <n v="1.5"/>
    <n v="0.6"/>
    <n v="2"/>
    <x v="3"/>
    <n v="0"/>
    <n v="0.90158788401105894"/>
    <x v="0"/>
  </r>
  <r>
    <s v="C885"/>
    <x v="2"/>
    <n v="63"/>
    <n v="7.3"/>
    <n v="6.7"/>
    <n v="2.6"/>
    <x v="0"/>
    <n v="0"/>
    <n v="0.8290889169973733"/>
    <x v="0"/>
  </r>
  <r>
    <s v="C887"/>
    <x v="1"/>
    <n v="141"/>
    <n v="4.3"/>
    <n v="6.5"/>
    <n v="2.2000000000000002"/>
    <x v="1"/>
    <n v="0"/>
    <n v="0.78859035382051657"/>
    <x v="0"/>
  </r>
  <r>
    <s v="C889"/>
    <x v="4"/>
    <n v="500"/>
    <n v="6.8"/>
    <n v="2.2000000000000002"/>
    <n v="1.3"/>
    <x v="2"/>
    <n v="0"/>
    <n v="0.71836991329658895"/>
    <x v="0"/>
  </r>
  <r>
    <s v="C896"/>
    <x v="0"/>
    <n v="115"/>
    <n v="1.6"/>
    <n v="4"/>
    <n v="1.3"/>
    <x v="1"/>
    <n v="0"/>
    <n v="0.79410608250512427"/>
    <x v="0"/>
  </r>
  <r>
    <s v="C902"/>
    <x v="2"/>
    <n v="411"/>
    <n v="6.1"/>
    <n v="9.8000000000000007"/>
    <n v="1"/>
    <x v="0"/>
    <n v="0"/>
    <n v="0.71620650627978077"/>
    <x v="0"/>
  </r>
  <r>
    <s v="C903"/>
    <x v="5"/>
    <n v="166"/>
    <n v="2"/>
    <n v="8.6"/>
    <n v="2.7"/>
    <x v="1"/>
    <n v="0"/>
    <n v="0.84444073888125526"/>
    <x v="0"/>
  </r>
  <r>
    <s v="C908"/>
    <x v="0"/>
    <n v="489"/>
    <n v="5.5"/>
    <n v="2"/>
    <n v="1.5"/>
    <x v="2"/>
    <n v="0"/>
    <n v="0.95753377675140539"/>
    <x v="0"/>
  </r>
  <r>
    <s v="C916"/>
    <x v="5"/>
    <n v="96"/>
    <n v="6.2"/>
    <n v="5.4"/>
    <n v="0.7"/>
    <x v="0"/>
    <n v="0"/>
    <n v="0.97194448196621885"/>
    <x v="0"/>
  </r>
  <r>
    <s v="C929"/>
    <x v="3"/>
    <n v="400"/>
    <n v="4.3"/>
    <n v="9"/>
    <n v="1.2"/>
    <x v="0"/>
    <n v="0"/>
    <n v="0.87895529652895055"/>
    <x v="0"/>
  </r>
  <r>
    <s v="C937"/>
    <x v="3"/>
    <n v="100"/>
    <n v="7.4"/>
    <n v="0.8"/>
    <n v="1.7"/>
    <x v="2"/>
    <n v="0"/>
    <n v="0.87241394919943704"/>
    <x v="0"/>
  </r>
  <r>
    <s v="C938"/>
    <x v="0"/>
    <n v="353"/>
    <n v="6"/>
    <n v="1.9"/>
    <n v="1.9"/>
    <x v="0"/>
    <n v="0"/>
    <n v="0.70349727960157238"/>
    <x v="0"/>
  </r>
  <r>
    <s v="C941"/>
    <x v="5"/>
    <n v="183"/>
    <n v="0.6"/>
    <n v="5.0999999999999996"/>
    <n v="2.5"/>
    <x v="1"/>
    <n v="0"/>
    <n v="0.97326027550406347"/>
    <x v="0"/>
  </r>
  <r>
    <s v="C947"/>
    <x v="5"/>
    <n v="276"/>
    <n v="6.6"/>
    <n v="10"/>
    <n v="1.6"/>
    <x v="1"/>
    <n v="0"/>
    <n v="0.9850228027677681"/>
    <x v="0"/>
  </r>
  <r>
    <s v="C948"/>
    <x v="4"/>
    <n v="159"/>
    <n v="3.6"/>
    <n v="9.3000000000000007"/>
    <n v="2.2999999999999998"/>
    <x v="1"/>
    <n v="0"/>
    <n v="0.87501788971019823"/>
    <x v="0"/>
  </r>
  <r>
    <s v="C950"/>
    <x v="5"/>
    <n v="186"/>
    <n v="7.7"/>
    <n v="1.5"/>
    <n v="2.8"/>
    <x v="2"/>
    <n v="0"/>
    <n v="0.98758284279635211"/>
    <x v="0"/>
  </r>
  <r>
    <s v="C956"/>
    <x v="4"/>
    <n v="450"/>
    <n v="5.9"/>
    <n v="5"/>
    <n v="1.2"/>
    <x v="2"/>
    <n v="0"/>
    <n v="0.76531079510049904"/>
    <x v="0"/>
  </r>
  <r>
    <s v="C959"/>
    <x v="3"/>
    <n v="160"/>
    <n v="2.4"/>
    <n v="1.7"/>
    <n v="1.2"/>
    <x v="0"/>
    <n v="0"/>
    <n v="0.89009406017963322"/>
    <x v="0"/>
  </r>
  <r>
    <s v="C963"/>
    <x v="5"/>
    <n v="448"/>
    <n v="5.4"/>
    <n v="0.6"/>
    <n v="2.9"/>
    <x v="3"/>
    <n v="0"/>
    <n v="0.95245405334270383"/>
    <x v="0"/>
  </r>
  <r>
    <s v="C966"/>
    <x v="3"/>
    <n v="389"/>
    <n v="4.8"/>
    <n v="6.7"/>
    <n v="2.6"/>
    <x v="2"/>
    <n v="0"/>
    <n v="0.90716681849645875"/>
    <x v="0"/>
  </r>
  <r>
    <s v="C968"/>
    <x v="5"/>
    <n v="303"/>
    <n v="5.6"/>
    <n v="6.4"/>
    <n v="1.9"/>
    <x v="3"/>
    <n v="0"/>
    <n v="0.70041308217111575"/>
    <x v="0"/>
  </r>
  <r>
    <s v="C969"/>
    <x v="1"/>
    <n v="142"/>
    <n v="2.5"/>
    <n v="3.3"/>
    <n v="1.6"/>
    <x v="1"/>
    <n v="0"/>
    <n v="0.93508823326905099"/>
    <x v="0"/>
  </r>
  <r>
    <s v="C971"/>
    <x v="1"/>
    <n v="261"/>
    <n v="0.9"/>
    <n v="4.9000000000000004"/>
    <n v="2"/>
    <x v="1"/>
    <n v="0"/>
    <n v="0.95153072100589431"/>
    <x v="0"/>
  </r>
  <r>
    <s v="C974"/>
    <x v="2"/>
    <n v="158"/>
    <n v="2.4"/>
    <n v="3.9"/>
    <n v="1.6"/>
    <x v="1"/>
    <n v="0"/>
    <n v="0.84589035883575792"/>
    <x v="0"/>
  </r>
  <r>
    <s v="C975"/>
    <x v="2"/>
    <n v="457"/>
    <n v="4.2"/>
    <n v="4.7"/>
    <n v="0.7"/>
    <x v="3"/>
    <n v="0"/>
    <n v="0.94783670578617274"/>
    <x v="0"/>
  </r>
  <r>
    <s v="C978"/>
    <x v="0"/>
    <n v="267"/>
    <n v="3.5"/>
    <n v="9.4"/>
    <n v="0.7"/>
    <x v="1"/>
    <n v="0"/>
    <n v="0.73322368330830601"/>
    <x v="0"/>
  </r>
  <r>
    <s v="C982"/>
    <x v="0"/>
    <n v="196"/>
    <n v="7.7"/>
    <n v="8.1999999999999993"/>
    <n v="0.5"/>
    <x v="3"/>
    <n v="0"/>
    <n v="0.97832851691016309"/>
    <x v="0"/>
  </r>
  <r>
    <s v="C985"/>
    <x v="5"/>
    <n v="432"/>
    <n v="5.0999999999999996"/>
    <n v="2.4"/>
    <n v="3"/>
    <x v="3"/>
    <n v="0"/>
    <n v="0.85487837839271408"/>
    <x v="0"/>
  </r>
  <r>
    <s v="C986"/>
    <x v="4"/>
    <n v="407"/>
    <n v="7.3"/>
    <n v="7.7"/>
    <n v="1.9"/>
    <x v="0"/>
    <n v="0"/>
    <n v="0.95928933417592599"/>
    <x v="0"/>
  </r>
  <r>
    <s v="C989"/>
    <x v="1"/>
    <n v="228"/>
    <n v="4.0999999999999996"/>
    <n v="2"/>
    <n v="2.4"/>
    <x v="2"/>
    <n v="0"/>
    <n v="0.7650090753533169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0D976B-68EA-43E6-B609-D89636B99CC6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17:S23" firstHeaderRow="1" firstDataRow="2" firstDataCol="1"/>
  <pivotFields count="10"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numFmtId="168" showAll="0"/>
    <pivotField axis="axisCol" showAll="0">
      <items count="2">
        <item x="0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2">
    <i>
      <x/>
    </i>
    <i t="grand">
      <x/>
    </i>
  </colItems>
  <dataFields count="1">
    <dataField name="Count of Borrow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BB77BE-04D6-4219-84E1-010A04F81AEB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5:S13" firstHeaderRow="1" firstDataRow="2" firstDataCol="1"/>
  <pivotFields count="10">
    <pivotField dataField="1" showAll="0"/>
    <pivotField axis="axisRow" showAll="0">
      <items count="7">
        <item x="2"/>
        <item x="5"/>
        <item x="0"/>
        <item x="3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68" showAll="0"/>
    <pivotField axis="axisCol" showAll="0">
      <items count="2">
        <item x="0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9"/>
  </colFields>
  <colItems count="2">
    <i>
      <x/>
    </i>
    <i t="grand">
      <x/>
    </i>
  </colItems>
  <dataFields count="1">
    <dataField name="Count of Borrow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7834F7-EE08-4B3B-BC6A-46EA1845302F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8:Q24" firstHeaderRow="1" firstDataRow="2" firstDataCol="1"/>
  <pivotFields count="10"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numFmtId="168" showAll="0"/>
    <pivotField axis="axisCol" showAll="0">
      <items count="2">
        <item x="0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2">
    <i>
      <x/>
    </i>
    <i t="grand">
      <x/>
    </i>
  </colItems>
  <dataFields count="1">
    <dataField name="Count of Borrow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F66A56-C1A7-4914-907A-2E10B59E72EE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5:Q13" firstHeaderRow="1" firstDataRow="2" firstDataCol="1"/>
  <pivotFields count="10">
    <pivotField dataField="1" showAll="0"/>
    <pivotField axis="axisRow" showAll="0">
      <items count="7">
        <item x="3"/>
        <item x="2"/>
        <item x="5"/>
        <item x="4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168" showAll="0"/>
    <pivotField axis="axisCol" showAll="0">
      <items count="2">
        <item x="0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9"/>
  </colFields>
  <colItems count="2">
    <i>
      <x/>
    </i>
    <i t="grand">
      <x/>
    </i>
  </colItems>
  <dataFields count="1">
    <dataField name="Count of Borrow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workbookViewId="0">
      <selection activeCell="H1008" sqref="H1008"/>
    </sheetView>
  </sheetViews>
  <sheetFormatPr defaultRowHeight="14.4" x14ac:dyDescent="0.3"/>
  <cols>
    <col min="2" max="2" width="13.77734375" customWidth="1"/>
    <col min="3" max="3" width="12.33203125" customWidth="1"/>
    <col min="4" max="4" width="13" customWidth="1"/>
    <col min="5" max="5" width="12" customWidth="1"/>
    <col min="6" max="6" width="14" customWidth="1"/>
    <col min="7" max="7" width="13.109375" customWidth="1"/>
    <col min="8" max="10" width="13" customWidth="1"/>
    <col min="11" max="11" width="14.109375" customWidth="1"/>
  </cols>
  <sheetData>
    <row r="1" spans="1:16" ht="28.8" x14ac:dyDescent="0.3">
      <c r="A1" s="8" t="s">
        <v>0</v>
      </c>
      <c r="B1" s="8" t="s">
        <v>1</v>
      </c>
      <c r="C1" s="8" t="s">
        <v>15</v>
      </c>
      <c r="D1" s="8" t="s">
        <v>2</v>
      </c>
      <c r="E1" s="8" t="s">
        <v>3</v>
      </c>
      <c r="F1" s="8" t="s">
        <v>4</v>
      </c>
      <c r="G1" s="8" t="s">
        <v>16</v>
      </c>
      <c r="H1" s="10" t="s">
        <v>5</v>
      </c>
      <c r="I1" s="11" t="s">
        <v>818</v>
      </c>
      <c r="J1" s="11" t="s">
        <v>819</v>
      </c>
      <c r="K1" s="1"/>
    </row>
    <row r="2" spans="1:16" x14ac:dyDescent="0.3">
      <c r="A2" s="3" t="str">
        <f>"C"&amp;TEXT(ROW()-1,"000")</f>
        <v>C001</v>
      </c>
      <c r="B2" s="3" t="str">
        <f ca="1">CHOOSE(RANDBETWEEN(1,6),
"Manufacturing",
"Retail",
"Pharma",
"Construction",
"Transportation",
"IT Services")</f>
        <v>Retail</v>
      </c>
      <c r="C2" s="3">
        <v>495</v>
      </c>
      <c r="D2" s="3">
        <v>2.9</v>
      </c>
      <c r="E2" s="3">
        <v>5.6</v>
      </c>
      <c r="F2" s="3">
        <v>2.2000000000000002</v>
      </c>
      <c r="G2" s="3" t="s">
        <v>7</v>
      </c>
      <c r="H2" s="12">
        <v>0</v>
      </c>
      <c r="I2" s="14">
        <v>0.49527598923784077</v>
      </c>
      <c r="J2" s="9" t="str">
        <f>IF(I2&lt;=0.7,"Train","Test")</f>
        <v>Train</v>
      </c>
      <c r="K2" s="4"/>
      <c r="N2" t="s">
        <v>820</v>
      </c>
      <c r="O2">
        <f>COUNTIF(J:J,"Train")</f>
        <v>719</v>
      </c>
      <c r="P2">
        <f>(COUNTIF(J2:J1001,"Train")/1000)*100</f>
        <v>71.899999999999991</v>
      </c>
    </row>
    <row r="3" spans="1:16" x14ac:dyDescent="0.3">
      <c r="A3" s="3" t="str">
        <f t="shared" ref="A3:A66" si="0">"C"&amp;TEXT(ROW()-1,"000")</f>
        <v>C002</v>
      </c>
      <c r="B3" s="3" t="str">
        <f t="shared" ref="B3:B66" ca="1" si="1">CHOOSE(RANDBETWEEN(1,6),
"Manufacturing",
"Retail",
"Pharma",
"Construction",
"Transportation",
"IT Services")</f>
        <v>Manufacturing</v>
      </c>
      <c r="C3" s="3">
        <v>229</v>
      </c>
      <c r="D3" s="3">
        <v>7.4</v>
      </c>
      <c r="E3" s="3">
        <v>9.9</v>
      </c>
      <c r="F3" s="3">
        <v>1.5</v>
      </c>
      <c r="G3" s="3" t="s">
        <v>9</v>
      </c>
      <c r="H3" s="12">
        <v>0</v>
      </c>
      <c r="I3" s="14">
        <v>0.72318903061572493</v>
      </c>
      <c r="J3" s="9" t="str">
        <f t="shared" ref="J3:J66" si="2">IF(I3&lt;=0.7,"Train","Test")</f>
        <v>Test</v>
      </c>
      <c r="K3" s="4"/>
      <c r="N3" t="s">
        <v>821</v>
      </c>
      <c r="O3">
        <f>COUNTIF(J:J,"Test")</f>
        <v>281</v>
      </c>
      <c r="P3">
        <f>(COUNTIF(J2:J1001,"Test")/1000)*100</f>
        <v>28.1</v>
      </c>
    </row>
    <row r="4" spans="1:16" x14ac:dyDescent="0.3">
      <c r="A4" s="3" t="str">
        <f t="shared" si="0"/>
        <v>C003</v>
      </c>
      <c r="B4" s="3" t="str">
        <f t="shared" ca="1" si="1"/>
        <v>Retail</v>
      </c>
      <c r="C4" s="3">
        <v>57</v>
      </c>
      <c r="D4" s="3">
        <v>4.8</v>
      </c>
      <c r="E4" s="3">
        <v>9.3000000000000007</v>
      </c>
      <c r="F4" s="3">
        <v>1.1000000000000001</v>
      </c>
      <c r="G4" s="3" t="s">
        <v>13</v>
      </c>
      <c r="H4" s="12">
        <v>0</v>
      </c>
      <c r="I4" s="14">
        <v>0.21806798038781738</v>
      </c>
      <c r="J4" s="9" t="str">
        <f t="shared" si="2"/>
        <v>Train</v>
      </c>
    </row>
    <row r="5" spans="1:16" x14ac:dyDescent="0.3">
      <c r="A5" s="3" t="str">
        <f t="shared" si="0"/>
        <v>C004</v>
      </c>
      <c r="B5" s="3" t="str">
        <f t="shared" ca="1" si="1"/>
        <v>Retail</v>
      </c>
      <c r="C5" s="3">
        <v>441</v>
      </c>
      <c r="D5" s="3">
        <v>6.4</v>
      </c>
      <c r="E5" s="3">
        <v>4.8</v>
      </c>
      <c r="F5" s="3">
        <v>2</v>
      </c>
      <c r="G5" s="3" t="s">
        <v>9</v>
      </c>
      <c r="H5" s="12">
        <v>0</v>
      </c>
      <c r="I5" s="14">
        <v>0.55658265498754445</v>
      </c>
      <c r="J5" s="9" t="str">
        <f t="shared" si="2"/>
        <v>Train</v>
      </c>
    </row>
    <row r="6" spans="1:16" x14ac:dyDescent="0.3">
      <c r="A6" s="3" t="str">
        <f t="shared" si="0"/>
        <v>C005</v>
      </c>
      <c r="B6" s="3" t="str">
        <f t="shared" ca="1" si="1"/>
        <v>IT Services</v>
      </c>
      <c r="C6" s="3">
        <v>147</v>
      </c>
      <c r="D6" s="3">
        <v>1.7</v>
      </c>
      <c r="E6" s="3">
        <v>7.6</v>
      </c>
      <c r="F6" s="3">
        <v>1.3</v>
      </c>
      <c r="G6" s="3" t="s">
        <v>11</v>
      </c>
      <c r="H6" s="12">
        <v>0</v>
      </c>
      <c r="I6" s="14">
        <v>0.42458791556365982</v>
      </c>
      <c r="J6" s="9" t="str">
        <f t="shared" si="2"/>
        <v>Train</v>
      </c>
      <c r="K6" s="1"/>
    </row>
    <row r="7" spans="1:16" x14ac:dyDescent="0.3">
      <c r="A7" s="3" t="str">
        <f t="shared" si="0"/>
        <v>C006</v>
      </c>
      <c r="B7" s="3" t="str">
        <f t="shared" ca="1" si="1"/>
        <v>IT Services</v>
      </c>
      <c r="C7" s="3">
        <v>166</v>
      </c>
      <c r="D7" s="3">
        <v>3.4</v>
      </c>
      <c r="E7" s="3">
        <v>1.4</v>
      </c>
      <c r="F7" s="3">
        <v>2.8</v>
      </c>
      <c r="G7" s="3" t="s">
        <v>7</v>
      </c>
      <c r="H7" s="12">
        <v>0</v>
      </c>
      <c r="I7" s="14">
        <v>0.23905027758091535</v>
      </c>
      <c r="J7" s="9" t="str">
        <f t="shared" si="2"/>
        <v>Train</v>
      </c>
      <c r="K7" s="2"/>
    </row>
    <row r="8" spans="1:16" x14ac:dyDescent="0.3">
      <c r="A8" s="3" t="str">
        <f t="shared" si="0"/>
        <v>C007</v>
      </c>
      <c r="B8" s="3" t="str">
        <f t="shared" ca="1" si="1"/>
        <v>Retail</v>
      </c>
      <c r="C8" s="3">
        <v>486</v>
      </c>
      <c r="D8" s="3">
        <v>2.2999999999999998</v>
      </c>
      <c r="E8" s="3">
        <v>7.7</v>
      </c>
      <c r="F8" s="3">
        <v>0.7</v>
      </c>
      <c r="G8" s="3" t="s">
        <v>7</v>
      </c>
      <c r="H8" s="12">
        <v>0</v>
      </c>
      <c r="I8" s="14">
        <v>0.88885992188347818</v>
      </c>
      <c r="J8" s="9" t="str">
        <f t="shared" si="2"/>
        <v>Test</v>
      </c>
      <c r="K8" s="2"/>
    </row>
    <row r="9" spans="1:16" x14ac:dyDescent="0.3">
      <c r="A9" s="3" t="str">
        <f t="shared" si="0"/>
        <v>C008</v>
      </c>
      <c r="B9" s="3" t="str">
        <f t="shared" ca="1" si="1"/>
        <v>Transportation</v>
      </c>
      <c r="C9" s="3">
        <v>204</v>
      </c>
      <c r="D9" s="3">
        <v>2.2000000000000002</v>
      </c>
      <c r="E9" s="3">
        <v>5.4</v>
      </c>
      <c r="F9" s="3">
        <v>2.5</v>
      </c>
      <c r="G9" s="3" t="s">
        <v>7</v>
      </c>
      <c r="H9" s="12">
        <v>0</v>
      </c>
      <c r="I9" s="14">
        <v>0.28543801350183484</v>
      </c>
      <c r="J9" s="9" t="str">
        <f t="shared" si="2"/>
        <v>Train</v>
      </c>
      <c r="K9" s="2"/>
    </row>
    <row r="10" spans="1:16" x14ac:dyDescent="0.3">
      <c r="A10" s="3" t="str">
        <f t="shared" si="0"/>
        <v>C009</v>
      </c>
      <c r="B10" s="3" t="str">
        <f t="shared" ca="1" si="1"/>
        <v>IT Services</v>
      </c>
      <c r="C10" s="3">
        <v>335</v>
      </c>
      <c r="D10" s="3">
        <v>6.1</v>
      </c>
      <c r="E10" s="3">
        <v>0.5</v>
      </c>
      <c r="F10" s="3">
        <v>2</v>
      </c>
      <c r="G10" s="3" t="s">
        <v>9</v>
      </c>
      <c r="H10" s="12">
        <v>0</v>
      </c>
      <c r="I10" s="14">
        <v>0.82326536282533991</v>
      </c>
      <c r="J10" s="9" t="str">
        <f t="shared" si="2"/>
        <v>Test</v>
      </c>
    </row>
    <row r="11" spans="1:16" x14ac:dyDescent="0.3">
      <c r="A11" s="3" t="str">
        <f t="shared" si="0"/>
        <v>C010</v>
      </c>
      <c r="B11" s="3" t="str">
        <f t="shared" ca="1" si="1"/>
        <v>Transportation</v>
      </c>
      <c r="C11" s="3">
        <v>312</v>
      </c>
      <c r="D11" s="3">
        <v>5.9</v>
      </c>
      <c r="E11" s="3">
        <v>3.2</v>
      </c>
      <c r="F11" s="3">
        <v>2.4</v>
      </c>
      <c r="G11" s="3" t="s">
        <v>13</v>
      </c>
      <c r="H11" s="12">
        <v>0</v>
      </c>
      <c r="I11" s="14">
        <v>0.90742210605935381</v>
      </c>
      <c r="J11" s="9" t="str">
        <f t="shared" si="2"/>
        <v>Test</v>
      </c>
    </row>
    <row r="12" spans="1:16" x14ac:dyDescent="0.3">
      <c r="A12" s="3" t="str">
        <f t="shared" si="0"/>
        <v>C011</v>
      </c>
      <c r="B12" s="3" t="str">
        <f t="shared" ca="1" si="1"/>
        <v>IT Services</v>
      </c>
      <c r="C12" s="3">
        <v>463</v>
      </c>
      <c r="D12" s="3">
        <v>6</v>
      </c>
      <c r="E12" s="3">
        <v>1.8</v>
      </c>
      <c r="F12" s="3">
        <v>1.2</v>
      </c>
      <c r="G12" s="3" t="s">
        <v>9</v>
      </c>
      <c r="H12" s="12">
        <v>0</v>
      </c>
      <c r="I12" s="14">
        <v>0.6865439949901313</v>
      </c>
      <c r="J12" s="9" t="str">
        <f t="shared" si="2"/>
        <v>Train</v>
      </c>
    </row>
    <row r="13" spans="1:16" x14ac:dyDescent="0.3">
      <c r="A13" s="3" t="str">
        <f t="shared" si="0"/>
        <v>C012</v>
      </c>
      <c r="B13" s="3" t="str">
        <f t="shared" ca="1" si="1"/>
        <v>Transportation</v>
      </c>
      <c r="C13" s="3">
        <v>112</v>
      </c>
      <c r="D13" s="3">
        <v>0.8</v>
      </c>
      <c r="E13" s="3">
        <v>1.5</v>
      </c>
      <c r="F13" s="3">
        <v>2.7</v>
      </c>
      <c r="G13" s="3" t="s">
        <v>11</v>
      </c>
      <c r="H13" s="12">
        <v>0</v>
      </c>
      <c r="I13" s="14">
        <v>0.29793880174148601</v>
      </c>
      <c r="J13" s="9" t="str">
        <f t="shared" si="2"/>
        <v>Train</v>
      </c>
      <c r="K13" s="1"/>
    </row>
    <row r="14" spans="1:16" x14ac:dyDescent="0.3">
      <c r="A14" s="3" t="str">
        <f t="shared" si="0"/>
        <v>C013</v>
      </c>
      <c r="B14" s="3" t="str">
        <f t="shared" ca="1" si="1"/>
        <v>Retail</v>
      </c>
      <c r="C14" s="3">
        <v>232</v>
      </c>
      <c r="D14" s="3">
        <v>6.6</v>
      </c>
      <c r="E14" s="3">
        <v>9.3000000000000007</v>
      </c>
      <c r="F14" s="3">
        <v>2.8</v>
      </c>
      <c r="G14" s="3" t="s">
        <v>9</v>
      </c>
      <c r="H14" s="12">
        <v>0</v>
      </c>
      <c r="I14" s="14">
        <v>0.2562874108379386</v>
      </c>
      <c r="J14" s="9" t="str">
        <f t="shared" si="2"/>
        <v>Train</v>
      </c>
      <c r="K14" s="2"/>
    </row>
    <row r="15" spans="1:16" x14ac:dyDescent="0.3">
      <c r="A15" s="3" t="str">
        <f t="shared" si="0"/>
        <v>C014</v>
      </c>
      <c r="B15" s="3" t="str">
        <f t="shared" ca="1" si="1"/>
        <v>Retail</v>
      </c>
      <c r="C15" s="3">
        <v>188</v>
      </c>
      <c r="D15" s="3">
        <v>6</v>
      </c>
      <c r="E15" s="3">
        <v>8.6</v>
      </c>
      <c r="F15" s="3">
        <v>2.1</v>
      </c>
      <c r="G15" s="3" t="s">
        <v>9</v>
      </c>
      <c r="H15" s="12">
        <v>0</v>
      </c>
      <c r="I15" s="14">
        <v>0.13678795729161031</v>
      </c>
      <c r="J15" s="9" t="str">
        <f t="shared" si="2"/>
        <v>Train</v>
      </c>
      <c r="K15" s="2"/>
    </row>
    <row r="16" spans="1:16" x14ac:dyDescent="0.3">
      <c r="A16" s="3" t="str">
        <f t="shared" si="0"/>
        <v>C015</v>
      </c>
      <c r="B16" s="3" t="str">
        <f t="shared" ca="1" si="1"/>
        <v>Manufacturing</v>
      </c>
      <c r="C16" s="3">
        <v>276</v>
      </c>
      <c r="D16" s="3">
        <v>1.3</v>
      </c>
      <c r="E16" s="3">
        <v>7.7</v>
      </c>
      <c r="F16" s="3">
        <v>2.2999999999999998</v>
      </c>
      <c r="G16" s="3" t="s">
        <v>11</v>
      </c>
      <c r="H16" s="12">
        <v>0</v>
      </c>
      <c r="I16" s="14">
        <v>0.56682798606506601</v>
      </c>
      <c r="J16" s="9" t="str">
        <f t="shared" si="2"/>
        <v>Train</v>
      </c>
      <c r="K16" s="2"/>
    </row>
    <row r="17" spans="1:11" x14ac:dyDescent="0.3">
      <c r="A17" s="3" t="str">
        <f t="shared" si="0"/>
        <v>C016</v>
      </c>
      <c r="B17" s="3" t="str">
        <f t="shared" ca="1" si="1"/>
        <v>IT Services</v>
      </c>
      <c r="C17" s="3">
        <v>87</v>
      </c>
      <c r="D17" s="3">
        <v>3.8</v>
      </c>
      <c r="E17" s="3">
        <v>3.6</v>
      </c>
      <c r="F17" s="3">
        <v>0.8</v>
      </c>
      <c r="G17" s="3" t="s">
        <v>7</v>
      </c>
      <c r="H17" s="12">
        <v>0</v>
      </c>
      <c r="I17" s="14">
        <v>0.54864673829540633</v>
      </c>
      <c r="J17" s="9" t="str">
        <f t="shared" si="2"/>
        <v>Train</v>
      </c>
    </row>
    <row r="18" spans="1:11" x14ac:dyDescent="0.3">
      <c r="A18" s="3" t="str">
        <f t="shared" si="0"/>
        <v>C017</v>
      </c>
      <c r="B18" s="3" t="str">
        <f t="shared" ca="1" si="1"/>
        <v>IT Services</v>
      </c>
      <c r="C18" s="3">
        <v>399</v>
      </c>
      <c r="D18" s="3">
        <v>1.7</v>
      </c>
      <c r="E18" s="3">
        <v>9</v>
      </c>
      <c r="F18" s="3">
        <v>0.7</v>
      </c>
      <c r="G18" s="3" t="s">
        <v>11</v>
      </c>
      <c r="H18" s="12">
        <v>0</v>
      </c>
      <c r="I18" s="14">
        <v>0.54022559697516015</v>
      </c>
      <c r="J18" s="9" t="str">
        <f t="shared" si="2"/>
        <v>Train</v>
      </c>
    </row>
    <row r="19" spans="1:11" x14ac:dyDescent="0.3">
      <c r="A19" s="3" t="str">
        <f t="shared" si="0"/>
        <v>C018</v>
      </c>
      <c r="B19" s="3" t="str">
        <f t="shared" ca="1" si="1"/>
        <v>Transportation</v>
      </c>
      <c r="C19" s="3">
        <v>376</v>
      </c>
      <c r="D19" s="3">
        <v>5</v>
      </c>
      <c r="E19" s="3">
        <v>6.1</v>
      </c>
      <c r="F19" s="3">
        <v>2</v>
      </c>
      <c r="G19" s="3" t="s">
        <v>13</v>
      </c>
      <c r="H19" s="12">
        <v>0</v>
      </c>
      <c r="I19" s="14">
        <v>0.67120944135495197</v>
      </c>
      <c r="J19" s="9" t="str">
        <f t="shared" si="2"/>
        <v>Train</v>
      </c>
    </row>
    <row r="20" spans="1:11" x14ac:dyDescent="0.3">
      <c r="A20" s="3" t="str">
        <f t="shared" si="0"/>
        <v>C019</v>
      </c>
      <c r="B20" s="3" t="str">
        <f t="shared" ca="1" si="1"/>
        <v>Construction</v>
      </c>
      <c r="C20" s="3">
        <v>442</v>
      </c>
      <c r="D20" s="3">
        <v>1.8</v>
      </c>
      <c r="E20" s="3">
        <v>9.6999999999999993</v>
      </c>
      <c r="F20" s="3">
        <v>1.4</v>
      </c>
      <c r="G20" s="3" t="s">
        <v>11</v>
      </c>
      <c r="H20" s="12">
        <v>0</v>
      </c>
      <c r="I20" s="14">
        <v>0.15652730808893511</v>
      </c>
      <c r="J20" s="9" t="str">
        <f t="shared" si="2"/>
        <v>Train</v>
      </c>
      <c r="K20" s="1"/>
    </row>
    <row r="21" spans="1:11" x14ac:dyDescent="0.3">
      <c r="A21" s="3" t="str">
        <f t="shared" si="0"/>
        <v>C020</v>
      </c>
      <c r="B21" s="3" t="str">
        <f t="shared" ca="1" si="1"/>
        <v>Manufacturing</v>
      </c>
      <c r="C21" s="3">
        <v>451</v>
      </c>
      <c r="D21" s="3">
        <v>2.2999999999999998</v>
      </c>
      <c r="E21" s="3">
        <v>5.9</v>
      </c>
      <c r="F21" s="3">
        <v>1.8</v>
      </c>
      <c r="G21" s="3" t="s">
        <v>7</v>
      </c>
      <c r="H21" s="12">
        <v>0</v>
      </c>
      <c r="I21" s="14">
        <v>0.34025853648496363</v>
      </c>
      <c r="J21" s="9" t="str">
        <f t="shared" si="2"/>
        <v>Train</v>
      </c>
      <c r="K21" s="2"/>
    </row>
    <row r="22" spans="1:11" x14ac:dyDescent="0.3">
      <c r="A22" s="3" t="str">
        <f t="shared" si="0"/>
        <v>C021</v>
      </c>
      <c r="B22" s="3" t="str">
        <f t="shared" ca="1" si="1"/>
        <v>Retail</v>
      </c>
      <c r="C22" s="3">
        <v>451</v>
      </c>
      <c r="D22" s="3">
        <v>2.8</v>
      </c>
      <c r="E22" s="3">
        <v>2.4</v>
      </c>
      <c r="F22" s="3">
        <v>2</v>
      </c>
      <c r="G22" s="3" t="s">
        <v>7</v>
      </c>
      <c r="H22" s="12">
        <v>0</v>
      </c>
      <c r="I22" s="14">
        <v>0.15743363423404055</v>
      </c>
      <c r="J22" s="9" t="str">
        <f t="shared" si="2"/>
        <v>Train</v>
      </c>
      <c r="K22" s="2"/>
    </row>
    <row r="23" spans="1:11" x14ac:dyDescent="0.3">
      <c r="A23" s="3" t="str">
        <f t="shared" si="0"/>
        <v>C022</v>
      </c>
      <c r="B23" s="3" t="str">
        <f t="shared" ca="1" si="1"/>
        <v>Retail</v>
      </c>
      <c r="C23" s="3">
        <v>491</v>
      </c>
      <c r="D23" s="3">
        <v>1.8</v>
      </c>
      <c r="E23" s="3">
        <v>6.5</v>
      </c>
      <c r="F23" s="3">
        <v>0.6</v>
      </c>
      <c r="G23" s="3" t="s">
        <v>11</v>
      </c>
      <c r="H23" s="12">
        <v>0</v>
      </c>
      <c r="I23" s="14">
        <v>0.53248923755584743</v>
      </c>
      <c r="J23" s="9" t="str">
        <f t="shared" si="2"/>
        <v>Train</v>
      </c>
      <c r="K23" s="2"/>
    </row>
    <row r="24" spans="1:11" x14ac:dyDescent="0.3">
      <c r="A24" s="3" t="str">
        <f t="shared" si="0"/>
        <v>C023</v>
      </c>
      <c r="B24" s="3" t="str">
        <f t="shared" ca="1" si="1"/>
        <v>Manufacturing</v>
      </c>
      <c r="C24" s="3">
        <v>187</v>
      </c>
      <c r="D24" s="3">
        <v>6.4</v>
      </c>
      <c r="E24" s="3">
        <v>0.9</v>
      </c>
      <c r="F24" s="3">
        <v>2.7</v>
      </c>
      <c r="G24" s="3" t="s">
        <v>9</v>
      </c>
      <c r="H24" s="12">
        <v>0</v>
      </c>
      <c r="I24" s="14">
        <v>6.2596724723578467E-2</v>
      </c>
      <c r="J24" s="9" t="str">
        <f t="shared" si="2"/>
        <v>Train</v>
      </c>
    </row>
    <row r="25" spans="1:11" x14ac:dyDescent="0.3">
      <c r="A25" s="3" t="str">
        <f t="shared" si="0"/>
        <v>C024</v>
      </c>
      <c r="B25" s="3" t="str">
        <f t="shared" ca="1" si="1"/>
        <v>Manufacturing</v>
      </c>
      <c r="C25" s="3">
        <v>382</v>
      </c>
      <c r="D25" s="3">
        <v>4.9000000000000004</v>
      </c>
      <c r="E25" s="3">
        <v>5.0999999999999996</v>
      </c>
      <c r="F25" s="3">
        <v>0.5</v>
      </c>
      <c r="G25" s="3" t="s">
        <v>13</v>
      </c>
      <c r="H25" s="12">
        <v>0</v>
      </c>
      <c r="I25" s="14">
        <v>0.33297727597636273</v>
      </c>
      <c r="J25" s="9" t="str">
        <f t="shared" si="2"/>
        <v>Train</v>
      </c>
    </row>
    <row r="26" spans="1:11" x14ac:dyDescent="0.3">
      <c r="A26" s="3" t="str">
        <f t="shared" si="0"/>
        <v>C025</v>
      </c>
      <c r="B26" s="3" t="str">
        <f t="shared" ca="1" si="1"/>
        <v>Retail</v>
      </c>
      <c r="C26" s="3">
        <v>450</v>
      </c>
      <c r="D26" s="3">
        <v>4.4000000000000004</v>
      </c>
      <c r="E26" s="3">
        <v>1.8</v>
      </c>
      <c r="F26" s="3">
        <v>0.8</v>
      </c>
      <c r="G26" s="3" t="s">
        <v>13</v>
      </c>
      <c r="H26" s="12">
        <v>0</v>
      </c>
      <c r="I26" s="14">
        <v>1.428437875828259E-2</v>
      </c>
      <c r="J26" s="9" t="str">
        <f t="shared" si="2"/>
        <v>Train</v>
      </c>
    </row>
    <row r="27" spans="1:11" x14ac:dyDescent="0.3">
      <c r="A27" s="3" t="str">
        <f t="shared" si="0"/>
        <v>C026</v>
      </c>
      <c r="B27" s="3" t="str">
        <f t="shared" ca="1" si="1"/>
        <v>Pharma</v>
      </c>
      <c r="C27" s="3">
        <v>188</v>
      </c>
      <c r="D27" s="3">
        <v>7.2</v>
      </c>
      <c r="E27" s="3">
        <v>3.6</v>
      </c>
      <c r="F27" s="3">
        <v>2.2000000000000002</v>
      </c>
      <c r="G27" s="3" t="s">
        <v>9</v>
      </c>
      <c r="H27" s="12">
        <v>0</v>
      </c>
      <c r="I27" s="14">
        <v>0.91158488234083179</v>
      </c>
      <c r="J27" s="9" t="str">
        <f t="shared" si="2"/>
        <v>Test</v>
      </c>
      <c r="K27" s="1"/>
    </row>
    <row r="28" spans="1:11" x14ac:dyDescent="0.3">
      <c r="A28" s="3" t="str">
        <f t="shared" si="0"/>
        <v>C027</v>
      </c>
      <c r="B28" s="3" t="str">
        <f t="shared" ca="1" si="1"/>
        <v>Pharma</v>
      </c>
      <c r="C28" s="3">
        <v>82</v>
      </c>
      <c r="D28" s="3">
        <v>2.9</v>
      </c>
      <c r="E28" s="3">
        <v>9.6999999999999993</v>
      </c>
      <c r="F28" s="3">
        <v>2.1</v>
      </c>
      <c r="G28" s="3" t="s">
        <v>7</v>
      </c>
      <c r="H28" s="12">
        <v>0</v>
      </c>
      <c r="I28" s="14">
        <v>0.25108914876231869</v>
      </c>
      <c r="J28" s="9" t="str">
        <f t="shared" si="2"/>
        <v>Train</v>
      </c>
      <c r="K28" s="2"/>
    </row>
    <row r="29" spans="1:11" x14ac:dyDescent="0.3">
      <c r="A29" s="3" t="str">
        <f t="shared" si="0"/>
        <v>C028</v>
      </c>
      <c r="B29" s="3" t="str">
        <f t="shared" ca="1" si="1"/>
        <v>Construction</v>
      </c>
      <c r="C29" s="3">
        <v>123</v>
      </c>
      <c r="D29" s="3">
        <v>1.1000000000000001</v>
      </c>
      <c r="E29" s="3">
        <v>5.5</v>
      </c>
      <c r="F29" s="3">
        <v>2</v>
      </c>
      <c r="G29" s="3" t="s">
        <v>11</v>
      </c>
      <c r="H29" s="12">
        <v>0</v>
      </c>
      <c r="I29" s="14">
        <v>0.21267755844826719</v>
      </c>
      <c r="J29" s="9" t="str">
        <f t="shared" si="2"/>
        <v>Train</v>
      </c>
      <c r="K29" s="2"/>
    </row>
    <row r="30" spans="1:11" x14ac:dyDescent="0.3">
      <c r="A30" s="3" t="str">
        <f t="shared" si="0"/>
        <v>C029</v>
      </c>
      <c r="B30" s="3" t="str">
        <f t="shared" ca="1" si="1"/>
        <v>Transportation</v>
      </c>
      <c r="C30" s="3">
        <v>297</v>
      </c>
      <c r="D30" s="3">
        <v>3.6</v>
      </c>
      <c r="E30" s="3">
        <v>8.8000000000000007</v>
      </c>
      <c r="F30" s="3">
        <v>2</v>
      </c>
      <c r="G30" s="3" t="s">
        <v>7</v>
      </c>
      <c r="H30" s="12">
        <v>0</v>
      </c>
      <c r="I30" s="14">
        <v>0.69419947434331941</v>
      </c>
      <c r="J30" s="9" t="str">
        <f t="shared" si="2"/>
        <v>Train</v>
      </c>
      <c r="K30" s="2"/>
    </row>
    <row r="31" spans="1:11" x14ac:dyDescent="0.3">
      <c r="A31" s="3" t="str">
        <f t="shared" si="0"/>
        <v>C030</v>
      </c>
      <c r="B31" s="3" t="str">
        <f t="shared" ca="1" si="1"/>
        <v>Manufacturing</v>
      </c>
      <c r="C31" s="3">
        <v>152</v>
      </c>
      <c r="D31" s="3">
        <v>7.6</v>
      </c>
      <c r="E31" s="3">
        <v>4.2</v>
      </c>
      <c r="F31" s="3">
        <v>2.9</v>
      </c>
      <c r="G31" s="3" t="s">
        <v>9</v>
      </c>
      <c r="H31" s="12">
        <v>0</v>
      </c>
      <c r="I31" s="14">
        <v>0.46691081768165377</v>
      </c>
      <c r="J31" s="9" t="str">
        <f t="shared" si="2"/>
        <v>Train</v>
      </c>
      <c r="K31" s="2"/>
    </row>
    <row r="32" spans="1:11" x14ac:dyDescent="0.3">
      <c r="A32" s="3" t="str">
        <f t="shared" si="0"/>
        <v>C031</v>
      </c>
      <c r="B32" s="3" t="str">
        <f t="shared" ca="1" si="1"/>
        <v>Retail</v>
      </c>
      <c r="C32" s="3">
        <v>282</v>
      </c>
      <c r="D32" s="3">
        <v>1.6</v>
      </c>
      <c r="E32" s="3">
        <v>9.9</v>
      </c>
      <c r="F32" s="3">
        <v>2.2999999999999998</v>
      </c>
      <c r="G32" s="3" t="s">
        <v>11</v>
      </c>
      <c r="H32" s="12">
        <v>0</v>
      </c>
      <c r="I32" s="14">
        <v>9.5367187563797029E-2</v>
      </c>
      <c r="J32" s="9" t="str">
        <f t="shared" si="2"/>
        <v>Train</v>
      </c>
    </row>
    <row r="33" spans="1:10" x14ac:dyDescent="0.3">
      <c r="A33" s="3" t="str">
        <f t="shared" si="0"/>
        <v>C032</v>
      </c>
      <c r="B33" s="3" t="str">
        <f t="shared" ca="1" si="1"/>
        <v>Pharma</v>
      </c>
      <c r="C33" s="3">
        <v>188</v>
      </c>
      <c r="D33" s="3">
        <v>1.9</v>
      </c>
      <c r="E33" s="3">
        <v>3.4</v>
      </c>
      <c r="F33" s="3">
        <v>2.8</v>
      </c>
      <c r="G33" s="3" t="s">
        <v>11</v>
      </c>
      <c r="H33" s="12">
        <v>0</v>
      </c>
      <c r="I33" s="14">
        <v>0.78203737208719559</v>
      </c>
      <c r="J33" s="9" t="str">
        <f t="shared" si="2"/>
        <v>Test</v>
      </c>
    </row>
    <row r="34" spans="1:10" x14ac:dyDescent="0.3">
      <c r="A34" s="3" t="str">
        <f t="shared" si="0"/>
        <v>C033</v>
      </c>
      <c r="B34" s="3" t="str">
        <f t="shared" ca="1" si="1"/>
        <v>Pharma</v>
      </c>
      <c r="C34" s="3">
        <v>215</v>
      </c>
      <c r="D34" s="3">
        <v>4.4000000000000004</v>
      </c>
      <c r="E34" s="3">
        <v>2.9</v>
      </c>
      <c r="F34" s="3">
        <v>2</v>
      </c>
      <c r="G34" s="3" t="s">
        <v>13</v>
      </c>
      <c r="H34" s="12">
        <v>0</v>
      </c>
      <c r="I34" s="14">
        <v>6.2307706256110262E-2</v>
      </c>
      <c r="J34" s="9" t="str">
        <f t="shared" si="2"/>
        <v>Train</v>
      </c>
    </row>
    <row r="35" spans="1:10" x14ac:dyDescent="0.3">
      <c r="A35" s="3" t="str">
        <f t="shared" si="0"/>
        <v>C034</v>
      </c>
      <c r="B35" s="3" t="str">
        <f t="shared" ca="1" si="1"/>
        <v>IT Services</v>
      </c>
      <c r="C35" s="3">
        <v>340</v>
      </c>
      <c r="D35" s="3">
        <v>1.3</v>
      </c>
      <c r="E35" s="3">
        <v>1.9</v>
      </c>
      <c r="F35" s="3">
        <v>2.2999999999999998</v>
      </c>
      <c r="G35" s="3" t="s">
        <v>11</v>
      </c>
      <c r="H35" s="12">
        <v>0</v>
      </c>
      <c r="I35" s="14">
        <v>0.91421963340654822</v>
      </c>
      <c r="J35" s="9" t="str">
        <f t="shared" si="2"/>
        <v>Test</v>
      </c>
    </row>
    <row r="36" spans="1:10" x14ac:dyDescent="0.3">
      <c r="A36" s="3" t="str">
        <f t="shared" si="0"/>
        <v>C035</v>
      </c>
      <c r="B36" s="3" t="str">
        <f t="shared" ca="1" si="1"/>
        <v>Construction</v>
      </c>
      <c r="C36" s="3">
        <v>308</v>
      </c>
      <c r="D36" s="3">
        <v>7.8</v>
      </c>
      <c r="E36" s="3">
        <v>2.7</v>
      </c>
      <c r="F36" s="3">
        <v>2.2000000000000002</v>
      </c>
      <c r="G36" s="3" t="s">
        <v>9</v>
      </c>
      <c r="H36" s="12">
        <v>0</v>
      </c>
      <c r="I36" s="14">
        <v>0.43675380015538223</v>
      </c>
      <c r="J36" s="9" t="str">
        <f t="shared" si="2"/>
        <v>Train</v>
      </c>
    </row>
    <row r="37" spans="1:10" x14ac:dyDescent="0.3">
      <c r="A37" s="3" t="str">
        <f t="shared" si="0"/>
        <v>C036</v>
      </c>
      <c r="B37" s="3" t="str">
        <f t="shared" ca="1" si="1"/>
        <v>Construction</v>
      </c>
      <c r="C37" s="3">
        <v>308</v>
      </c>
      <c r="D37" s="3">
        <v>5.6</v>
      </c>
      <c r="E37" s="3">
        <v>8.8000000000000007</v>
      </c>
      <c r="F37" s="3">
        <v>1</v>
      </c>
      <c r="G37" s="3" t="s">
        <v>13</v>
      </c>
      <c r="H37" s="12">
        <v>0</v>
      </c>
      <c r="I37" s="14">
        <v>0.60035381417733513</v>
      </c>
      <c r="J37" s="9" t="str">
        <f t="shared" si="2"/>
        <v>Train</v>
      </c>
    </row>
    <row r="38" spans="1:10" x14ac:dyDescent="0.3">
      <c r="A38" s="3" t="str">
        <f t="shared" si="0"/>
        <v>C037</v>
      </c>
      <c r="B38" s="3" t="str">
        <f t="shared" ca="1" si="1"/>
        <v>Construction</v>
      </c>
      <c r="C38" s="3">
        <v>239</v>
      </c>
      <c r="D38" s="3">
        <v>0.9</v>
      </c>
      <c r="E38" s="3">
        <v>5.3</v>
      </c>
      <c r="F38" s="3">
        <v>2.6</v>
      </c>
      <c r="G38" s="3" t="s">
        <v>11</v>
      </c>
      <c r="H38" s="12">
        <v>0</v>
      </c>
      <c r="I38" s="14">
        <v>0.51128886993358502</v>
      </c>
      <c r="J38" s="9" t="str">
        <f t="shared" si="2"/>
        <v>Train</v>
      </c>
    </row>
    <row r="39" spans="1:10" x14ac:dyDescent="0.3">
      <c r="A39" s="3" t="str">
        <f t="shared" si="0"/>
        <v>C038</v>
      </c>
      <c r="B39" s="3" t="str">
        <f t="shared" ca="1" si="1"/>
        <v>Construction</v>
      </c>
      <c r="C39" s="3">
        <v>384</v>
      </c>
      <c r="D39" s="3">
        <v>7.1</v>
      </c>
      <c r="E39" s="3">
        <v>5.6</v>
      </c>
      <c r="F39" s="3">
        <v>2.5</v>
      </c>
      <c r="G39" s="3" t="s">
        <v>9</v>
      </c>
      <c r="H39" s="12">
        <v>0</v>
      </c>
      <c r="I39" s="14">
        <v>0.63128593603191374</v>
      </c>
      <c r="J39" s="9" t="str">
        <f t="shared" si="2"/>
        <v>Train</v>
      </c>
    </row>
    <row r="40" spans="1:10" x14ac:dyDescent="0.3">
      <c r="A40" s="3" t="str">
        <f t="shared" si="0"/>
        <v>C039</v>
      </c>
      <c r="B40" s="3" t="str">
        <f t="shared" ca="1" si="1"/>
        <v>Manufacturing</v>
      </c>
      <c r="C40" s="3">
        <v>292</v>
      </c>
      <c r="D40" s="3">
        <v>5.2</v>
      </c>
      <c r="E40" s="3">
        <v>0.9</v>
      </c>
      <c r="F40" s="3">
        <v>0.8</v>
      </c>
      <c r="G40" s="3" t="s">
        <v>13</v>
      </c>
      <c r="H40" s="12">
        <v>1</v>
      </c>
      <c r="I40" s="14">
        <v>0.77136342665206126</v>
      </c>
      <c r="J40" s="9" t="str">
        <f t="shared" si="2"/>
        <v>Test</v>
      </c>
    </row>
    <row r="41" spans="1:10" x14ac:dyDescent="0.3">
      <c r="A41" s="3" t="str">
        <f t="shared" si="0"/>
        <v>C040</v>
      </c>
      <c r="B41" s="3" t="str">
        <f t="shared" ca="1" si="1"/>
        <v>Pharma</v>
      </c>
      <c r="C41" s="3">
        <v>306</v>
      </c>
      <c r="D41" s="3">
        <v>2.2000000000000002</v>
      </c>
      <c r="E41" s="3">
        <v>1.3</v>
      </c>
      <c r="F41" s="3">
        <v>1</v>
      </c>
      <c r="G41" s="3" t="s">
        <v>7</v>
      </c>
      <c r="H41" s="12">
        <v>0</v>
      </c>
      <c r="I41" s="14">
        <v>0.97954266839935911</v>
      </c>
      <c r="J41" s="9" t="str">
        <f t="shared" si="2"/>
        <v>Test</v>
      </c>
    </row>
    <row r="42" spans="1:10" x14ac:dyDescent="0.3">
      <c r="A42" s="3" t="str">
        <f t="shared" si="0"/>
        <v>C041</v>
      </c>
      <c r="B42" s="3" t="str">
        <f t="shared" ca="1" si="1"/>
        <v>Transportation</v>
      </c>
      <c r="C42" s="3">
        <v>82</v>
      </c>
      <c r="D42" s="3">
        <v>1</v>
      </c>
      <c r="E42" s="3">
        <v>9</v>
      </c>
      <c r="F42" s="3">
        <v>1.8</v>
      </c>
      <c r="G42" s="3" t="s">
        <v>11</v>
      </c>
      <c r="H42" s="12">
        <v>0</v>
      </c>
      <c r="I42" s="14">
        <v>0.36488171503122346</v>
      </c>
      <c r="J42" s="9" t="str">
        <f t="shared" si="2"/>
        <v>Train</v>
      </c>
    </row>
    <row r="43" spans="1:10" x14ac:dyDescent="0.3">
      <c r="A43" s="3" t="str">
        <f t="shared" si="0"/>
        <v>C042</v>
      </c>
      <c r="B43" s="3" t="str">
        <f t="shared" ca="1" si="1"/>
        <v>Manufacturing</v>
      </c>
      <c r="C43" s="3">
        <v>282</v>
      </c>
      <c r="D43" s="3">
        <v>7.9</v>
      </c>
      <c r="E43" s="3">
        <v>7.2</v>
      </c>
      <c r="F43" s="3">
        <v>1.4</v>
      </c>
      <c r="G43" s="3" t="s">
        <v>9</v>
      </c>
      <c r="H43" s="12">
        <v>0</v>
      </c>
      <c r="I43" s="14">
        <v>0.50576626931250745</v>
      </c>
      <c r="J43" s="9" t="str">
        <f t="shared" si="2"/>
        <v>Train</v>
      </c>
    </row>
    <row r="44" spans="1:10" x14ac:dyDescent="0.3">
      <c r="A44" s="3" t="str">
        <f t="shared" si="0"/>
        <v>C043</v>
      </c>
      <c r="B44" s="3" t="str">
        <f t="shared" ca="1" si="1"/>
        <v>Transportation</v>
      </c>
      <c r="C44" s="3">
        <v>466</v>
      </c>
      <c r="D44" s="3">
        <v>3.1</v>
      </c>
      <c r="E44" s="3">
        <v>4.2</v>
      </c>
      <c r="F44" s="3">
        <v>1.6</v>
      </c>
      <c r="G44" s="3" t="s">
        <v>7</v>
      </c>
      <c r="H44" s="12">
        <v>0</v>
      </c>
      <c r="I44" s="14">
        <v>0.46083834781212607</v>
      </c>
      <c r="J44" s="9" t="str">
        <f t="shared" si="2"/>
        <v>Train</v>
      </c>
    </row>
    <row r="45" spans="1:10" x14ac:dyDescent="0.3">
      <c r="A45" s="3" t="str">
        <f t="shared" si="0"/>
        <v>C044</v>
      </c>
      <c r="B45" s="3" t="str">
        <f t="shared" ca="1" si="1"/>
        <v>Manufacturing</v>
      </c>
      <c r="C45" s="3">
        <v>423</v>
      </c>
      <c r="D45" s="3">
        <v>3.5</v>
      </c>
      <c r="E45" s="3">
        <v>6.4</v>
      </c>
      <c r="F45" s="3">
        <v>3</v>
      </c>
      <c r="G45" s="3" t="s">
        <v>7</v>
      </c>
      <c r="H45" s="12">
        <v>0</v>
      </c>
      <c r="I45" s="14">
        <v>0.71046326351206357</v>
      </c>
      <c r="J45" s="9" t="str">
        <f t="shared" si="2"/>
        <v>Test</v>
      </c>
    </row>
    <row r="46" spans="1:10" x14ac:dyDescent="0.3">
      <c r="A46" s="3" t="str">
        <f t="shared" si="0"/>
        <v>C045</v>
      </c>
      <c r="B46" s="3" t="str">
        <f t="shared" ca="1" si="1"/>
        <v>Retail</v>
      </c>
      <c r="C46" s="3">
        <v>212</v>
      </c>
      <c r="D46" s="3">
        <v>4</v>
      </c>
      <c r="E46" s="3">
        <v>7</v>
      </c>
      <c r="F46" s="3">
        <v>2.1</v>
      </c>
      <c r="G46" s="3" t="s">
        <v>13</v>
      </c>
      <c r="H46" s="12">
        <v>0</v>
      </c>
      <c r="I46" s="14">
        <v>0.69127340451315289</v>
      </c>
      <c r="J46" s="9" t="str">
        <f t="shared" si="2"/>
        <v>Train</v>
      </c>
    </row>
    <row r="47" spans="1:10" x14ac:dyDescent="0.3">
      <c r="A47" s="3" t="str">
        <f t="shared" si="0"/>
        <v>C046</v>
      </c>
      <c r="B47" s="3" t="str">
        <f t="shared" ca="1" si="1"/>
        <v>Transportation</v>
      </c>
      <c r="C47" s="3">
        <v>478</v>
      </c>
      <c r="D47" s="3">
        <v>2.1</v>
      </c>
      <c r="E47" s="3">
        <v>3.7</v>
      </c>
      <c r="F47" s="3">
        <v>2.5</v>
      </c>
      <c r="G47" s="3" t="s">
        <v>7</v>
      </c>
      <c r="H47" s="12">
        <v>0</v>
      </c>
      <c r="I47" s="14">
        <v>0.21521692154022531</v>
      </c>
      <c r="J47" s="9" t="str">
        <f t="shared" si="2"/>
        <v>Train</v>
      </c>
    </row>
    <row r="48" spans="1:10" x14ac:dyDescent="0.3">
      <c r="A48" s="3" t="str">
        <f t="shared" si="0"/>
        <v>C047</v>
      </c>
      <c r="B48" s="3" t="str">
        <f t="shared" ca="1" si="1"/>
        <v>Retail</v>
      </c>
      <c r="C48" s="3">
        <v>459</v>
      </c>
      <c r="D48" s="3">
        <v>3.5</v>
      </c>
      <c r="E48" s="3">
        <v>5.0999999999999996</v>
      </c>
      <c r="F48" s="3">
        <v>1.9</v>
      </c>
      <c r="G48" s="3" t="s">
        <v>7</v>
      </c>
      <c r="H48" s="12">
        <v>0</v>
      </c>
      <c r="I48" s="14">
        <v>0.97353002983049308</v>
      </c>
      <c r="J48" s="9" t="str">
        <f t="shared" si="2"/>
        <v>Test</v>
      </c>
    </row>
    <row r="49" spans="1:10" x14ac:dyDescent="0.3">
      <c r="A49" s="3" t="str">
        <f t="shared" si="0"/>
        <v>C048</v>
      </c>
      <c r="B49" s="3" t="str">
        <f t="shared" ca="1" si="1"/>
        <v>Pharma</v>
      </c>
      <c r="C49" s="3">
        <v>181</v>
      </c>
      <c r="D49" s="3">
        <v>2</v>
      </c>
      <c r="E49" s="3">
        <v>9</v>
      </c>
      <c r="F49" s="3">
        <v>0.6</v>
      </c>
      <c r="G49" s="3" t="s">
        <v>7</v>
      </c>
      <c r="H49" s="12">
        <v>0</v>
      </c>
      <c r="I49" s="14">
        <v>0.1263789418147252</v>
      </c>
      <c r="J49" s="9" t="str">
        <f t="shared" si="2"/>
        <v>Train</v>
      </c>
    </row>
    <row r="50" spans="1:10" x14ac:dyDescent="0.3">
      <c r="A50" s="3" t="str">
        <f t="shared" si="0"/>
        <v>C049</v>
      </c>
      <c r="B50" s="3" t="str">
        <f t="shared" ca="1" si="1"/>
        <v>Construction</v>
      </c>
      <c r="C50" s="3">
        <v>284</v>
      </c>
      <c r="D50" s="3">
        <v>0.9</v>
      </c>
      <c r="E50" s="3">
        <v>8.8000000000000007</v>
      </c>
      <c r="F50" s="3">
        <v>0.6</v>
      </c>
      <c r="G50" s="3" t="s">
        <v>11</v>
      </c>
      <c r="H50" s="12">
        <v>0</v>
      </c>
      <c r="I50" s="14">
        <v>0.20801183625756259</v>
      </c>
      <c r="J50" s="9" t="str">
        <f t="shared" si="2"/>
        <v>Train</v>
      </c>
    </row>
    <row r="51" spans="1:10" x14ac:dyDescent="0.3">
      <c r="A51" s="3" t="str">
        <f t="shared" si="0"/>
        <v>C050</v>
      </c>
      <c r="B51" s="3" t="str">
        <f t="shared" ca="1" si="1"/>
        <v>Manufacturing</v>
      </c>
      <c r="C51" s="3">
        <v>347</v>
      </c>
      <c r="D51" s="3">
        <v>5.6</v>
      </c>
      <c r="E51" s="3">
        <v>7.5</v>
      </c>
      <c r="F51" s="3">
        <v>2.2000000000000002</v>
      </c>
      <c r="G51" s="3" t="s">
        <v>13</v>
      </c>
      <c r="H51" s="12">
        <v>0</v>
      </c>
      <c r="I51" s="14">
        <v>0.67003059651130037</v>
      </c>
      <c r="J51" s="9" t="str">
        <f t="shared" si="2"/>
        <v>Train</v>
      </c>
    </row>
    <row r="52" spans="1:10" x14ac:dyDescent="0.3">
      <c r="A52" s="3" t="str">
        <f t="shared" si="0"/>
        <v>C051</v>
      </c>
      <c r="B52" s="3" t="str">
        <f t="shared" ca="1" si="1"/>
        <v>Pharma</v>
      </c>
      <c r="C52" s="3">
        <v>329</v>
      </c>
      <c r="D52" s="3">
        <v>2</v>
      </c>
      <c r="E52" s="3">
        <v>7.5</v>
      </c>
      <c r="F52" s="3">
        <v>0.8</v>
      </c>
      <c r="G52" s="3" t="s">
        <v>7</v>
      </c>
      <c r="H52" s="12">
        <v>0</v>
      </c>
      <c r="I52" s="14">
        <v>0.25230060599266868</v>
      </c>
      <c r="J52" s="9" t="str">
        <f t="shared" si="2"/>
        <v>Train</v>
      </c>
    </row>
    <row r="53" spans="1:10" x14ac:dyDescent="0.3">
      <c r="A53" s="3" t="str">
        <f t="shared" si="0"/>
        <v>C052</v>
      </c>
      <c r="B53" s="3" t="str">
        <f t="shared" ca="1" si="1"/>
        <v>Retail</v>
      </c>
      <c r="C53" s="3">
        <v>223</v>
      </c>
      <c r="D53" s="3">
        <v>5.3</v>
      </c>
      <c r="E53" s="3">
        <v>3.7</v>
      </c>
      <c r="F53" s="3">
        <v>2.2000000000000002</v>
      </c>
      <c r="G53" s="3" t="s">
        <v>13</v>
      </c>
      <c r="H53" s="12">
        <v>0</v>
      </c>
      <c r="I53" s="14">
        <v>0.33530307492576317</v>
      </c>
      <c r="J53" s="9" t="str">
        <f t="shared" si="2"/>
        <v>Train</v>
      </c>
    </row>
    <row r="54" spans="1:10" x14ac:dyDescent="0.3">
      <c r="A54" s="3" t="str">
        <f t="shared" si="0"/>
        <v>C053</v>
      </c>
      <c r="B54" s="3" t="str">
        <f t="shared" ca="1" si="1"/>
        <v>Retail</v>
      </c>
      <c r="C54" s="3">
        <v>166</v>
      </c>
      <c r="D54" s="3">
        <v>6.9</v>
      </c>
      <c r="E54" s="3">
        <v>3.1</v>
      </c>
      <c r="F54" s="3">
        <v>2</v>
      </c>
      <c r="G54" s="3" t="s">
        <v>9</v>
      </c>
      <c r="H54" s="12">
        <v>0</v>
      </c>
      <c r="I54" s="14">
        <v>0.76752298997718149</v>
      </c>
      <c r="J54" s="9" t="str">
        <f t="shared" si="2"/>
        <v>Test</v>
      </c>
    </row>
    <row r="55" spans="1:10" x14ac:dyDescent="0.3">
      <c r="A55" s="3" t="str">
        <f t="shared" si="0"/>
        <v>C054</v>
      </c>
      <c r="B55" s="3" t="str">
        <f t="shared" ca="1" si="1"/>
        <v>Pharma</v>
      </c>
      <c r="C55" s="3">
        <v>136</v>
      </c>
      <c r="D55" s="3">
        <v>0.6</v>
      </c>
      <c r="E55" s="3">
        <v>7.2</v>
      </c>
      <c r="F55" s="3">
        <v>1.8</v>
      </c>
      <c r="G55" s="3" t="s">
        <v>11</v>
      </c>
      <c r="H55" s="12">
        <v>0</v>
      </c>
      <c r="I55" s="14">
        <v>5.7940355418192313E-3</v>
      </c>
      <c r="J55" s="9" t="str">
        <f t="shared" si="2"/>
        <v>Train</v>
      </c>
    </row>
    <row r="56" spans="1:10" x14ac:dyDescent="0.3">
      <c r="A56" s="3" t="str">
        <f t="shared" si="0"/>
        <v>C055</v>
      </c>
      <c r="B56" s="3" t="str">
        <f t="shared" ca="1" si="1"/>
        <v>Pharma</v>
      </c>
      <c r="C56" s="3">
        <v>359</v>
      </c>
      <c r="D56" s="3">
        <v>2</v>
      </c>
      <c r="E56" s="3">
        <v>3.7</v>
      </c>
      <c r="F56" s="3">
        <v>2.9</v>
      </c>
      <c r="G56" s="3" t="s">
        <v>7</v>
      </c>
      <c r="H56" s="12">
        <v>0</v>
      </c>
      <c r="I56" s="14">
        <v>0.37550776195226221</v>
      </c>
      <c r="J56" s="9" t="str">
        <f t="shared" si="2"/>
        <v>Train</v>
      </c>
    </row>
    <row r="57" spans="1:10" x14ac:dyDescent="0.3">
      <c r="A57" s="3" t="str">
        <f t="shared" si="0"/>
        <v>C056</v>
      </c>
      <c r="B57" s="3" t="str">
        <f t="shared" ca="1" si="1"/>
        <v>Transportation</v>
      </c>
      <c r="C57" s="3">
        <v>456</v>
      </c>
      <c r="D57" s="3">
        <v>6.5</v>
      </c>
      <c r="E57" s="3">
        <v>5.7</v>
      </c>
      <c r="F57" s="3">
        <v>0.9</v>
      </c>
      <c r="G57" s="3" t="s">
        <v>9</v>
      </c>
      <c r="H57" s="12">
        <v>0</v>
      </c>
      <c r="I57" s="14">
        <v>9.3894544817863856E-2</v>
      </c>
      <c r="J57" s="9" t="str">
        <f t="shared" si="2"/>
        <v>Train</v>
      </c>
    </row>
    <row r="58" spans="1:10" x14ac:dyDescent="0.3">
      <c r="A58" s="3" t="str">
        <f t="shared" si="0"/>
        <v>C057</v>
      </c>
      <c r="B58" s="3" t="str">
        <f t="shared" ca="1" si="1"/>
        <v>Transportation</v>
      </c>
      <c r="C58" s="3">
        <v>499</v>
      </c>
      <c r="D58" s="3">
        <v>3.9</v>
      </c>
      <c r="E58" s="3">
        <v>3.1</v>
      </c>
      <c r="F58" s="3">
        <v>1.4</v>
      </c>
      <c r="G58" s="3" t="s">
        <v>7</v>
      </c>
      <c r="H58" s="12">
        <v>0</v>
      </c>
      <c r="I58" s="14">
        <v>0.36717839109035688</v>
      </c>
      <c r="J58" s="9" t="str">
        <f t="shared" si="2"/>
        <v>Train</v>
      </c>
    </row>
    <row r="59" spans="1:10" x14ac:dyDescent="0.3">
      <c r="A59" s="3" t="str">
        <f t="shared" si="0"/>
        <v>C058</v>
      </c>
      <c r="B59" s="3" t="str">
        <f t="shared" ca="1" si="1"/>
        <v>Transportation</v>
      </c>
      <c r="C59" s="3">
        <v>347</v>
      </c>
      <c r="D59" s="3">
        <v>1.5</v>
      </c>
      <c r="E59" s="3">
        <v>9</v>
      </c>
      <c r="F59" s="3">
        <v>1.8</v>
      </c>
      <c r="G59" s="3" t="s">
        <v>11</v>
      </c>
      <c r="H59" s="12">
        <v>0</v>
      </c>
      <c r="I59" s="14">
        <v>0.83066028306980733</v>
      </c>
      <c r="J59" s="9" t="str">
        <f t="shared" si="2"/>
        <v>Test</v>
      </c>
    </row>
    <row r="60" spans="1:10" x14ac:dyDescent="0.3">
      <c r="A60" s="3" t="str">
        <f t="shared" si="0"/>
        <v>C059</v>
      </c>
      <c r="B60" s="3" t="str">
        <f t="shared" ca="1" si="1"/>
        <v>Retail</v>
      </c>
      <c r="C60" s="3">
        <v>242</v>
      </c>
      <c r="D60" s="3">
        <v>2.8</v>
      </c>
      <c r="E60" s="3">
        <v>1.9</v>
      </c>
      <c r="F60" s="3">
        <v>2.8</v>
      </c>
      <c r="G60" s="3" t="s">
        <v>7</v>
      </c>
      <c r="H60" s="12">
        <v>0</v>
      </c>
      <c r="I60" s="14">
        <v>0.10621223789653245</v>
      </c>
      <c r="J60" s="9" t="str">
        <f t="shared" si="2"/>
        <v>Train</v>
      </c>
    </row>
    <row r="61" spans="1:10" x14ac:dyDescent="0.3">
      <c r="A61" s="3" t="str">
        <f t="shared" si="0"/>
        <v>C060</v>
      </c>
      <c r="B61" s="3" t="str">
        <f t="shared" ca="1" si="1"/>
        <v>Construction</v>
      </c>
      <c r="C61" s="3">
        <v>127</v>
      </c>
      <c r="D61" s="3">
        <v>7.1</v>
      </c>
      <c r="E61" s="3">
        <v>3</v>
      </c>
      <c r="F61" s="3">
        <v>2.8</v>
      </c>
      <c r="G61" s="3" t="s">
        <v>9</v>
      </c>
      <c r="H61" s="12">
        <v>0</v>
      </c>
      <c r="I61" s="14">
        <v>0.69437017673231749</v>
      </c>
      <c r="J61" s="9" t="str">
        <f t="shared" si="2"/>
        <v>Train</v>
      </c>
    </row>
    <row r="62" spans="1:10" x14ac:dyDescent="0.3">
      <c r="A62" s="3" t="str">
        <f t="shared" si="0"/>
        <v>C061</v>
      </c>
      <c r="B62" s="3" t="str">
        <f t="shared" ca="1" si="1"/>
        <v>IT Services</v>
      </c>
      <c r="C62" s="3">
        <v>146</v>
      </c>
      <c r="D62" s="3">
        <v>7.8</v>
      </c>
      <c r="E62" s="3">
        <v>5.3</v>
      </c>
      <c r="F62" s="3">
        <v>1.9</v>
      </c>
      <c r="G62" s="3" t="s">
        <v>9</v>
      </c>
      <c r="H62" s="12">
        <v>0</v>
      </c>
      <c r="I62" s="14">
        <v>0.38932820259957635</v>
      </c>
      <c r="J62" s="9" t="str">
        <f t="shared" si="2"/>
        <v>Train</v>
      </c>
    </row>
    <row r="63" spans="1:10" x14ac:dyDescent="0.3">
      <c r="A63" s="3" t="str">
        <f t="shared" si="0"/>
        <v>C062</v>
      </c>
      <c r="B63" s="3" t="str">
        <f t="shared" ca="1" si="1"/>
        <v>Transportation</v>
      </c>
      <c r="C63" s="3">
        <v>281</v>
      </c>
      <c r="D63" s="3">
        <v>7.2</v>
      </c>
      <c r="E63" s="3">
        <v>1</v>
      </c>
      <c r="F63" s="3">
        <v>2.5</v>
      </c>
      <c r="G63" s="3" t="s">
        <v>9</v>
      </c>
      <c r="H63" s="12">
        <v>0</v>
      </c>
      <c r="I63" s="14">
        <v>0.15743707230396031</v>
      </c>
      <c r="J63" s="9" t="str">
        <f t="shared" si="2"/>
        <v>Train</v>
      </c>
    </row>
    <row r="64" spans="1:10" x14ac:dyDescent="0.3">
      <c r="A64" s="3" t="str">
        <f t="shared" si="0"/>
        <v>C063</v>
      </c>
      <c r="B64" s="3" t="str">
        <f t="shared" ca="1" si="1"/>
        <v>Transportation</v>
      </c>
      <c r="C64" s="3">
        <v>167</v>
      </c>
      <c r="D64" s="3">
        <v>3</v>
      </c>
      <c r="E64" s="3">
        <v>2.1</v>
      </c>
      <c r="F64" s="3">
        <v>2.7</v>
      </c>
      <c r="G64" s="3" t="s">
        <v>7</v>
      </c>
      <c r="H64" s="12">
        <v>0</v>
      </c>
      <c r="I64" s="14">
        <v>0.60575543907367169</v>
      </c>
      <c r="J64" s="9" t="str">
        <f t="shared" si="2"/>
        <v>Train</v>
      </c>
    </row>
    <row r="65" spans="1:10" x14ac:dyDescent="0.3">
      <c r="A65" s="3" t="str">
        <f t="shared" si="0"/>
        <v>C064</v>
      </c>
      <c r="B65" s="3" t="str">
        <f t="shared" ca="1" si="1"/>
        <v>Retail</v>
      </c>
      <c r="C65" s="3">
        <v>114</v>
      </c>
      <c r="D65" s="3">
        <v>5.4</v>
      </c>
      <c r="E65" s="3">
        <v>4.3</v>
      </c>
      <c r="F65" s="3">
        <v>1.9</v>
      </c>
      <c r="G65" s="3" t="s">
        <v>13</v>
      </c>
      <c r="H65" s="12">
        <v>0</v>
      </c>
      <c r="I65" s="14">
        <v>0.48435244436368452</v>
      </c>
      <c r="J65" s="9" t="str">
        <f t="shared" si="2"/>
        <v>Train</v>
      </c>
    </row>
    <row r="66" spans="1:10" x14ac:dyDescent="0.3">
      <c r="A66" s="3" t="str">
        <f t="shared" si="0"/>
        <v>C065</v>
      </c>
      <c r="B66" s="3" t="str">
        <f t="shared" ca="1" si="1"/>
        <v>Manufacturing</v>
      </c>
      <c r="C66" s="3">
        <v>394</v>
      </c>
      <c r="D66" s="3">
        <v>5.0999999999999996</v>
      </c>
      <c r="E66" s="3">
        <v>5.3</v>
      </c>
      <c r="F66" s="3">
        <v>1.3</v>
      </c>
      <c r="G66" s="3" t="s">
        <v>13</v>
      </c>
      <c r="H66" s="12">
        <v>0</v>
      </c>
      <c r="I66" s="14">
        <v>0.55573152327775144</v>
      </c>
      <c r="J66" s="9" t="str">
        <f t="shared" si="2"/>
        <v>Train</v>
      </c>
    </row>
    <row r="67" spans="1:10" x14ac:dyDescent="0.3">
      <c r="A67" s="3" t="str">
        <f t="shared" ref="A67:A130" si="3">"C"&amp;TEXT(ROW()-1,"000")</f>
        <v>C066</v>
      </c>
      <c r="B67" s="3" t="str">
        <f t="shared" ref="B67:B130" ca="1" si="4">CHOOSE(RANDBETWEEN(1,6),
"Manufacturing",
"Retail",
"Pharma",
"Construction",
"Transportation",
"IT Services")</f>
        <v>Construction</v>
      </c>
      <c r="C67" s="3">
        <v>424</v>
      </c>
      <c r="D67" s="3">
        <v>5.2</v>
      </c>
      <c r="E67" s="3">
        <v>1.1000000000000001</v>
      </c>
      <c r="F67" s="3">
        <v>2.5</v>
      </c>
      <c r="G67" s="3" t="s">
        <v>13</v>
      </c>
      <c r="H67" s="12">
        <v>0</v>
      </c>
      <c r="I67" s="14">
        <v>0.74319146911229783</v>
      </c>
      <c r="J67" s="9" t="str">
        <f t="shared" ref="J67:J130" si="5">IF(I67&lt;=0.7,"Train","Test")</f>
        <v>Test</v>
      </c>
    </row>
    <row r="68" spans="1:10" x14ac:dyDescent="0.3">
      <c r="A68" s="3" t="str">
        <f t="shared" si="3"/>
        <v>C067</v>
      </c>
      <c r="B68" s="3" t="str">
        <f t="shared" ca="1" si="4"/>
        <v>Construction</v>
      </c>
      <c r="C68" s="3">
        <v>247</v>
      </c>
      <c r="D68" s="3">
        <v>3.9</v>
      </c>
      <c r="E68" s="3">
        <v>7.7</v>
      </c>
      <c r="F68" s="3">
        <v>0.7</v>
      </c>
      <c r="G68" s="3" t="s">
        <v>7</v>
      </c>
      <c r="H68" s="12">
        <v>0</v>
      </c>
      <c r="I68" s="14">
        <v>0.71067422011549553</v>
      </c>
      <c r="J68" s="9" t="str">
        <f t="shared" si="5"/>
        <v>Test</v>
      </c>
    </row>
    <row r="69" spans="1:10" x14ac:dyDescent="0.3">
      <c r="A69" s="3" t="str">
        <f t="shared" si="3"/>
        <v>C068</v>
      </c>
      <c r="B69" s="3" t="str">
        <f t="shared" ca="1" si="4"/>
        <v>Retail</v>
      </c>
      <c r="C69" s="3">
        <v>352</v>
      </c>
      <c r="D69" s="3">
        <v>4.0999999999999996</v>
      </c>
      <c r="E69" s="3">
        <v>3.7</v>
      </c>
      <c r="F69" s="3">
        <v>0.6</v>
      </c>
      <c r="G69" s="3" t="s">
        <v>13</v>
      </c>
      <c r="H69" s="12">
        <v>0</v>
      </c>
      <c r="I69" s="14">
        <v>0.59198154830081473</v>
      </c>
      <c r="J69" s="9" t="str">
        <f t="shared" si="5"/>
        <v>Train</v>
      </c>
    </row>
    <row r="70" spans="1:10" x14ac:dyDescent="0.3">
      <c r="A70" s="3" t="str">
        <f t="shared" si="3"/>
        <v>C069</v>
      </c>
      <c r="B70" s="3" t="str">
        <f t="shared" ca="1" si="4"/>
        <v>Construction</v>
      </c>
      <c r="C70" s="3">
        <v>60</v>
      </c>
      <c r="D70" s="3">
        <v>6.5</v>
      </c>
      <c r="E70" s="3">
        <v>4.7</v>
      </c>
      <c r="F70" s="3">
        <v>2.2999999999999998</v>
      </c>
      <c r="G70" s="3" t="s">
        <v>9</v>
      </c>
      <c r="H70" s="12">
        <v>0</v>
      </c>
      <c r="I70" s="14">
        <v>4.7559764942437521E-3</v>
      </c>
      <c r="J70" s="9" t="str">
        <f t="shared" si="5"/>
        <v>Train</v>
      </c>
    </row>
    <row r="71" spans="1:10" x14ac:dyDescent="0.3">
      <c r="A71" s="3" t="str">
        <f t="shared" si="3"/>
        <v>C070</v>
      </c>
      <c r="B71" s="3" t="str">
        <f t="shared" ca="1" si="4"/>
        <v>Manufacturing</v>
      </c>
      <c r="C71" s="3">
        <v>180</v>
      </c>
      <c r="D71" s="3">
        <v>1.3</v>
      </c>
      <c r="E71" s="3">
        <v>5.5</v>
      </c>
      <c r="F71" s="3">
        <v>1.5</v>
      </c>
      <c r="G71" s="3" t="s">
        <v>11</v>
      </c>
      <c r="H71" s="12">
        <v>0</v>
      </c>
      <c r="I71" s="14">
        <v>0.80671041989997827</v>
      </c>
      <c r="J71" s="9" t="str">
        <f t="shared" si="5"/>
        <v>Test</v>
      </c>
    </row>
    <row r="72" spans="1:10" x14ac:dyDescent="0.3">
      <c r="A72" s="3" t="str">
        <f t="shared" si="3"/>
        <v>C071</v>
      </c>
      <c r="B72" s="3" t="str">
        <f t="shared" ca="1" si="4"/>
        <v>Pharma</v>
      </c>
      <c r="C72" s="3">
        <v>473</v>
      </c>
      <c r="D72" s="3">
        <v>1</v>
      </c>
      <c r="E72" s="3">
        <v>4</v>
      </c>
      <c r="F72" s="3">
        <v>3</v>
      </c>
      <c r="G72" s="3" t="s">
        <v>11</v>
      </c>
      <c r="H72" s="12">
        <v>0</v>
      </c>
      <c r="I72" s="14">
        <v>0.47454737609497777</v>
      </c>
      <c r="J72" s="9" t="str">
        <f t="shared" si="5"/>
        <v>Train</v>
      </c>
    </row>
    <row r="73" spans="1:10" x14ac:dyDescent="0.3">
      <c r="A73" s="3" t="str">
        <f t="shared" si="3"/>
        <v>C072</v>
      </c>
      <c r="B73" s="3" t="str">
        <f t="shared" ca="1" si="4"/>
        <v>Transportation</v>
      </c>
      <c r="C73" s="3">
        <v>449</v>
      </c>
      <c r="D73" s="3">
        <v>7.7</v>
      </c>
      <c r="E73" s="3">
        <v>2.2000000000000002</v>
      </c>
      <c r="F73" s="3">
        <v>1.9</v>
      </c>
      <c r="G73" s="3" t="s">
        <v>9</v>
      </c>
      <c r="H73" s="12">
        <v>0</v>
      </c>
      <c r="I73" s="14">
        <v>0.4415907972282852</v>
      </c>
      <c r="J73" s="9" t="str">
        <f t="shared" si="5"/>
        <v>Train</v>
      </c>
    </row>
    <row r="74" spans="1:10" x14ac:dyDescent="0.3">
      <c r="A74" s="3" t="str">
        <f t="shared" si="3"/>
        <v>C073</v>
      </c>
      <c r="B74" s="3" t="str">
        <f t="shared" ca="1" si="4"/>
        <v>Pharma</v>
      </c>
      <c r="C74" s="3">
        <v>326</v>
      </c>
      <c r="D74" s="3">
        <v>6.3</v>
      </c>
      <c r="E74" s="3">
        <v>3.4</v>
      </c>
      <c r="F74" s="3">
        <v>2.2999999999999998</v>
      </c>
      <c r="G74" s="3" t="s">
        <v>9</v>
      </c>
      <c r="H74" s="12">
        <v>0</v>
      </c>
      <c r="I74" s="14">
        <v>0.38852544777315001</v>
      </c>
      <c r="J74" s="9" t="str">
        <f t="shared" si="5"/>
        <v>Train</v>
      </c>
    </row>
    <row r="75" spans="1:10" x14ac:dyDescent="0.3">
      <c r="A75" s="3" t="str">
        <f t="shared" si="3"/>
        <v>C074</v>
      </c>
      <c r="B75" s="3" t="str">
        <f t="shared" ca="1" si="4"/>
        <v>Manufacturing</v>
      </c>
      <c r="C75" s="3">
        <v>272</v>
      </c>
      <c r="D75" s="3">
        <v>5.2</v>
      </c>
      <c r="E75" s="3">
        <v>1.5</v>
      </c>
      <c r="F75" s="3">
        <v>2.6</v>
      </c>
      <c r="G75" s="3" t="s">
        <v>13</v>
      </c>
      <c r="H75" s="12">
        <v>0</v>
      </c>
      <c r="I75" s="14">
        <v>0.86906965523539204</v>
      </c>
      <c r="J75" s="9" t="str">
        <f t="shared" si="5"/>
        <v>Test</v>
      </c>
    </row>
    <row r="76" spans="1:10" x14ac:dyDescent="0.3">
      <c r="A76" s="3" t="str">
        <f t="shared" si="3"/>
        <v>C075</v>
      </c>
      <c r="B76" s="3" t="str">
        <f t="shared" ca="1" si="4"/>
        <v>Retail</v>
      </c>
      <c r="C76" s="3">
        <v>354</v>
      </c>
      <c r="D76" s="3">
        <v>4</v>
      </c>
      <c r="E76" s="3">
        <v>8.1</v>
      </c>
      <c r="F76" s="3">
        <v>1.7</v>
      </c>
      <c r="G76" s="3" t="s">
        <v>13</v>
      </c>
      <c r="H76" s="12">
        <v>0</v>
      </c>
      <c r="I76" s="14">
        <v>0.2470843295765156</v>
      </c>
      <c r="J76" s="9" t="str">
        <f t="shared" si="5"/>
        <v>Train</v>
      </c>
    </row>
    <row r="77" spans="1:10" x14ac:dyDescent="0.3">
      <c r="A77" s="3" t="str">
        <f t="shared" si="3"/>
        <v>C076</v>
      </c>
      <c r="B77" s="3" t="str">
        <f t="shared" ca="1" si="4"/>
        <v>Retail</v>
      </c>
      <c r="C77" s="3">
        <v>295</v>
      </c>
      <c r="D77" s="3">
        <v>7</v>
      </c>
      <c r="E77" s="3">
        <v>6.1</v>
      </c>
      <c r="F77" s="3">
        <v>2</v>
      </c>
      <c r="G77" s="3" t="s">
        <v>9</v>
      </c>
      <c r="H77" s="12">
        <v>0</v>
      </c>
      <c r="I77" s="14">
        <v>0.44992426803011709</v>
      </c>
      <c r="J77" s="9" t="str">
        <f t="shared" si="5"/>
        <v>Train</v>
      </c>
    </row>
    <row r="78" spans="1:10" x14ac:dyDescent="0.3">
      <c r="A78" s="3" t="str">
        <f t="shared" si="3"/>
        <v>C077</v>
      </c>
      <c r="B78" s="3" t="str">
        <f t="shared" ca="1" si="4"/>
        <v>Construction</v>
      </c>
      <c r="C78" s="3">
        <v>52</v>
      </c>
      <c r="D78" s="3">
        <v>1.1000000000000001</v>
      </c>
      <c r="E78" s="3">
        <v>7</v>
      </c>
      <c r="F78" s="3">
        <v>1.5</v>
      </c>
      <c r="G78" s="3" t="s">
        <v>11</v>
      </c>
      <c r="H78" s="12">
        <v>0</v>
      </c>
      <c r="I78" s="14">
        <v>0.1962614924262569</v>
      </c>
      <c r="J78" s="9" t="str">
        <f t="shared" si="5"/>
        <v>Train</v>
      </c>
    </row>
    <row r="79" spans="1:10" x14ac:dyDescent="0.3">
      <c r="A79" s="3" t="str">
        <f t="shared" si="3"/>
        <v>C078</v>
      </c>
      <c r="B79" s="3" t="str">
        <f t="shared" ca="1" si="4"/>
        <v>IT Services</v>
      </c>
      <c r="C79" s="3">
        <v>490</v>
      </c>
      <c r="D79" s="3">
        <v>2.2000000000000002</v>
      </c>
      <c r="E79" s="3">
        <v>2.6</v>
      </c>
      <c r="F79" s="3">
        <v>1.3</v>
      </c>
      <c r="G79" s="3" t="s">
        <v>7</v>
      </c>
      <c r="H79" s="12">
        <v>0</v>
      </c>
      <c r="I79" s="14">
        <v>0.97088340872412726</v>
      </c>
      <c r="J79" s="9" t="str">
        <f t="shared" si="5"/>
        <v>Test</v>
      </c>
    </row>
    <row r="80" spans="1:10" x14ac:dyDescent="0.3">
      <c r="A80" s="3" t="str">
        <f t="shared" si="3"/>
        <v>C079</v>
      </c>
      <c r="B80" s="3" t="str">
        <f t="shared" ca="1" si="4"/>
        <v>IT Services</v>
      </c>
      <c r="C80" s="3">
        <v>316</v>
      </c>
      <c r="D80" s="3">
        <v>2.7</v>
      </c>
      <c r="E80" s="3">
        <v>4.5999999999999996</v>
      </c>
      <c r="F80" s="3">
        <v>1.8</v>
      </c>
      <c r="G80" s="3" t="s">
        <v>7</v>
      </c>
      <c r="H80" s="12">
        <v>0</v>
      </c>
      <c r="I80" s="14">
        <v>0.18261741748741844</v>
      </c>
      <c r="J80" s="9" t="str">
        <f t="shared" si="5"/>
        <v>Train</v>
      </c>
    </row>
    <row r="81" spans="1:10" x14ac:dyDescent="0.3">
      <c r="A81" s="3" t="str">
        <f t="shared" si="3"/>
        <v>C080</v>
      </c>
      <c r="B81" s="3" t="str">
        <f t="shared" ca="1" si="4"/>
        <v>Manufacturing</v>
      </c>
      <c r="C81" s="3">
        <v>372</v>
      </c>
      <c r="D81" s="3">
        <v>0.8</v>
      </c>
      <c r="E81" s="3">
        <v>6.8</v>
      </c>
      <c r="F81" s="3">
        <v>1.5</v>
      </c>
      <c r="G81" s="3" t="s">
        <v>11</v>
      </c>
      <c r="H81" s="12">
        <v>0</v>
      </c>
      <c r="I81" s="14">
        <v>0.12398831394554666</v>
      </c>
      <c r="J81" s="9" t="str">
        <f t="shared" si="5"/>
        <v>Train</v>
      </c>
    </row>
    <row r="82" spans="1:10" x14ac:dyDescent="0.3">
      <c r="A82" s="3" t="str">
        <f t="shared" si="3"/>
        <v>C081</v>
      </c>
      <c r="B82" s="3" t="str">
        <f t="shared" ca="1" si="4"/>
        <v>Construction</v>
      </c>
      <c r="C82" s="3">
        <v>465</v>
      </c>
      <c r="D82" s="3">
        <v>1.8</v>
      </c>
      <c r="E82" s="3">
        <v>0.9</v>
      </c>
      <c r="F82" s="3">
        <v>0.7</v>
      </c>
      <c r="G82" s="3" t="s">
        <v>11</v>
      </c>
      <c r="H82" s="12">
        <v>0</v>
      </c>
      <c r="I82" s="14">
        <v>0.17149153789863469</v>
      </c>
      <c r="J82" s="9" t="str">
        <f t="shared" si="5"/>
        <v>Train</v>
      </c>
    </row>
    <row r="83" spans="1:10" x14ac:dyDescent="0.3">
      <c r="A83" s="3" t="str">
        <f t="shared" si="3"/>
        <v>C082</v>
      </c>
      <c r="B83" s="3" t="str">
        <f t="shared" ca="1" si="4"/>
        <v>Construction</v>
      </c>
      <c r="C83" s="3">
        <v>491</v>
      </c>
      <c r="D83" s="3">
        <v>3.4</v>
      </c>
      <c r="E83" s="3">
        <v>5.7</v>
      </c>
      <c r="F83" s="3">
        <v>1.8</v>
      </c>
      <c r="G83" s="3" t="s">
        <v>7</v>
      </c>
      <c r="H83" s="12">
        <v>0</v>
      </c>
      <c r="I83" s="14">
        <v>0.44215738777626701</v>
      </c>
      <c r="J83" s="9" t="str">
        <f t="shared" si="5"/>
        <v>Train</v>
      </c>
    </row>
    <row r="84" spans="1:10" x14ac:dyDescent="0.3">
      <c r="A84" s="3" t="str">
        <f t="shared" si="3"/>
        <v>C083</v>
      </c>
      <c r="B84" s="3" t="str">
        <f t="shared" ca="1" si="4"/>
        <v>Transportation</v>
      </c>
      <c r="C84" s="3">
        <v>127</v>
      </c>
      <c r="D84" s="3">
        <v>3.5</v>
      </c>
      <c r="E84" s="3">
        <v>4.5999999999999996</v>
      </c>
      <c r="F84" s="3">
        <v>1.6</v>
      </c>
      <c r="G84" s="3" t="s">
        <v>7</v>
      </c>
      <c r="H84" s="12">
        <v>0</v>
      </c>
      <c r="I84" s="14">
        <v>0.24425081630609935</v>
      </c>
      <c r="J84" s="9" t="str">
        <f t="shared" si="5"/>
        <v>Train</v>
      </c>
    </row>
    <row r="85" spans="1:10" x14ac:dyDescent="0.3">
      <c r="A85" s="3" t="str">
        <f t="shared" si="3"/>
        <v>C084</v>
      </c>
      <c r="B85" s="3" t="str">
        <f t="shared" ca="1" si="4"/>
        <v>Manufacturing</v>
      </c>
      <c r="C85" s="3">
        <v>149</v>
      </c>
      <c r="D85" s="3">
        <v>1.4</v>
      </c>
      <c r="E85" s="3">
        <v>5.5</v>
      </c>
      <c r="F85" s="3">
        <v>1.6</v>
      </c>
      <c r="G85" s="3" t="s">
        <v>11</v>
      </c>
      <c r="H85" s="12">
        <v>0</v>
      </c>
      <c r="I85" s="14">
        <v>0.26255565194676234</v>
      </c>
      <c r="J85" s="9" t="str">
        <f t="shared" si="5"/>
        <v>Train</v>
      </c>
    </row>
    <row r="86" spans="1:10" x14ac:dyDescent="0.3">
      <c r="A86" s="3" t="str">
        <f t="shared" si="3"/>
        <v>C085</v>
      </c>
      <c r="B86" s="3" t="str">
        <f t="shared" ca="1" si="4"/>
        <v>Pharma</v>
      </c>
      <c r="C86" s="3">
        <v>162</v>
      </c>
      <c r="D86" s="3">
        <v>7.2</v>
      </c>
      <c r="E86" s="3">
        <v>9.6</v>
      </c>
      <c r="F86" s="3">
        <v>2.2999999999999998</v>
      </c>
      <c r="G86" s="3" t="s">
        <v>9</v>
      </c>
      <c r="H86" s="12">
        <v>0</v>
      </c>
      <c r="I86" s="14">
        <v>0.45119416727809414</v>
      </c>
      <c r="J86" s="9" t="str">
        <f t="shared" si="5"/>
        <v>Train</v>
      </c>
    </row>
    <row r="87" spans="1:10" x14ac:dyDescent="0.3">
      <c r="A87" s="3" t="str">
        <f t="shared" si="3"/>
        <v>C086</v>
      </c>
      <c r="B87" s="3" t="str">
        <f t="shared" ca="1" si="4"/>
        <v>IT Services</v>
      </c>
      <c r="C87" s="3">
        <v>325</v>
      </c>
      <c r="D87" s="3">
        <v>5.7</v>
      </c>
      <c r="E87" s="3">
        <v>2.9</v>
      </c>
      <c r="F87" s="3">
        <v>1.3</v>
      </c>
      <c r="G87" s="3" t="s">
        <v>13</v>
      </c>
      <c r="H87" s="12">
        <v>0</v>
      </c>
      <c r="I87" s="14">
        <v>0.68418418944440662</v>
      </c>
      <c r="J87" s="9" t="str">
        <f t="shared" si="5"/>
        <v>Train</v>
      </c>
    </row>
    <row r="88" spans="1:10" x14ac:dyDescent="0.3">
      <c r="A88" s="3" t="str">
        <f t="shared" si="3"/>
        <v>C087</v>
      </c>
      <c r="B88" s="3" t="str">
        <f t="shared" ca="1" si="4"/>
        <v>IT Services</v>
      </c>
      <c r="C88" s="3">
        <v>202</v>
      </c>
      <c r="D88" s="3">
        <v>3</v>
      </c>
      <c r="E88" s="3">
        <v>5.7</v>
      </c>
      <c r="F88" s="3">
        <v>2.2000000000000002</v>
      </c>
      <c r="G88" s="3" t="s">
        <v>7</v>
      </c>
      <c r="H88" s="12">
        <v>0</v>
      </c>
      <c r="I88" s="14">
        <v>0.48477465814271414</v>
      </c>
      <c r="J88" s="9" t="str">
        <f t="shared" si="5"/>
        <v>Train</v>
      </c>
    </row>
    <row r="89" spans="1:10" x14ac:dyDescent="0.3">
      <c r="A89" s="3" t="str">
        <f t="shared" si="3"/>
        <v>C088</v>
      </c>
      <c r="B89" s="3" t="str">
        <f t="shared" ca="1" si="4"/>
        <v>Manufacturing</v>
      </c>
      <c r="C89" s="3">
        <v>73</v>
      </c>
      <c r="D89" s="3">
        <v>1.4</v>
      </c>
      <c r="E89" s="3">
        <v>3.3</v>
      </c>
      <c r="F89" s="3">
        <v>2.6</v>
      </c>
      <c r="G89" s="3" t="s">
        <v>11</v>
      </c>
      <c r="H89" s="12">
        <v>0</v>
      </c>
      <c r="I89" s="14">
        <v>0.73023988945213081</v>
      </c>
      <c r="J89" s="9" t="str">
        <f t="shared" si="5"/>
        <v>Test</v>
      </c>
    </row>
    <row r="90" spans="1:10" x14ac:dyDescent="0.3">
      <c r="A90" s="3" t="str">
        <f t="shared" si="3"/>
        <v>C089</v>
      </c>
      <c r="B90" s="3" t="str">
        <f t="shared" ca="1" si="4"/>
        <v>Transportation</v>
      </c>
      <c r="C90" s="3">
        <v>408</v>
      </c>
      <c r="D90" s="3">
        <v>5.3</v>
      </c>
      <c r="E90" s="3">
        <v>2.7</v>
      </c>
      <c r="F90" s="3">
        <v>1.8</v>
      </c>
      <c r="G90" s="3" t="s">
        <v>13</v>
      </c>
      <c r="H90" s="12">
        <v>0</v>
      </c>
      <c r="I90" s="14">
        <v>0.84528320418646963</v>
      </c>
      <c r="J90" s="9" t="str">
        <f t="shared" si="5"/>
        <v>Test</v>
      </c>
    </row>
    <row r="91" spans="1:10" x14ac:dyDescent="0.3">
      <c r="A91" s="3" t="str">
        <f t="shared" si="3"/>
        <v>C090</v>
      </c>
      <c r="B91" s="3" t="str">
        <f t="shared" ca="1" si="4"/>
        <v>Transportation</v>
      </c>
      <c r="C91" s="3">
        <v>178</v>
      </c>
      <c r="D91" s="3">
        <v>1.6</v>
      </c>
      <c r="E91" s="3">
        <v>1.3</v>
      </c>
      <c r="F91" s="3">
        <v>2.7</v>
      </c>
      <c r="G91" s="3" t="s">
        <v>11</v>
      </c>
      <c r="H91" s="12">
        <v>0</v>
      </c>
      <c r="I91" s="14">
        <v>0.40522153653462667</v>
      </c>
      <c r="J91" s="9" t="str">
        <f t="shared" si="5"/>
        <v>Train</v>
      </c>
    </row>
    <row r="92" spans="1:10" x14ac:dyDescent="0.3">
      <c r="A92" s="3" t="str">
        <f t="shared" si="3"/>
        <v>C091</v>
      </c>
      <c r="B92" s="3" t="str">
        <f t="shared" ca="1" si="4"/>
        <v>Manufacturing</v>
      </c>
      <c r="C92" s="3">
        <v>286</v>
      </c>
      <c r="D92" s="3">
        <v>5.0999999999999996</v>
      </c>
      <c r="E92" s="3">
        <v>8.4</v>
      </c>
      <c r="F92" s="3">
        <v>1.3</v>
      </c>
      <c r="G92" s="3" t="s">
        <v>13</v>
      </c>
      <c r="H92" s="12">
        <v>0</v>
      </c>
      <c r="I92" s="14">
        <v>0.88531427017770825</v>
      </c>
      <c r="J92" s="9" t="str">
        <f t="shared" si="5"/>
        <v>Test</v>
      </c>
    </row>
    <row r="93" spans="1:10" x14ac:dyDescent="0.3">
      <c r="A93" s="3" t="str">
        <f t="shared" si="3"/>
        <v>C092</v>
      </c>
      <c r="B93" s="3" t="str">
        <f t="shared" ca="1" si="4"/>
        <v>Retail</v>
      </c>
      <c r="C93" s="3">
        <v>273</v>
      </c>
      <c r="D93" s="3">
        <v>1.3</v>
      </c>
      <c r="E93" s="3">
        <v>6.9</v>
      </c>
      <c r="F93" s="3">
        <v>0.6</v>
      </c>
      <c r="G93" s="3" t="s">
        <v>11</v>
      </c>
      <c r="H93" s="12">
        <v>0</v>
      </c>
      <c r="I93" s="14">
        <v>0.15737555743587639</v>
      </c>
      <c r="J93" s="9" t="str">
        <f t="shared" si="5"/>
        <v>Train</v>
      </c>
    </row>
    <row r="94" spans="1:10" x14ac:dyDescent="0.3">
      <c r="A94" s="3" t="str">
        <f t="shared" si="3"/>
        <v>C093</v>
      </c>
      <c r="B94" s="3" t="str">
        <f t="shared" ca="1" si="4"/>
        <v>Pharma</v>
      </c>
      <c r="C94" s="3">
        <v>488</v>
      </c>
      <c r="D94" s="3">
        <v>5.2</v>
      </c>
      <c r="E94" s="3">
        <v>3.9</v>
      </c>
      <c r="F94" s="3">
        <v>2.7</v>
      </c>
      <c r="G94" s="3" t="s">
        <v>13</v>
      </c>
      <c r="H94" s="12">
        <v>0</v>
      </c>
      <c r="I94" s="14">
        <v>0.11860251194809102</v>
      </c>
      <c r="J94" s="9" t="str">
        <f t="shared" si="5"/>
        <v>Train</v>
      </c>
    </row>
    <row r="95" spans="1:10" x14ac:dyDescent="0.3">
      <c r="A95" s="3" t="str">
        <f t="shared" si="3"/>
        <v>C094</v>
      </c>
      <c r="B95" s="3" t="str">
        <f t="shared" ca="1" si="4"/>
        <v>IT Services</v>
      </c>
      <c r="C95" s="3">
        <v>393</v>
      </c>
      <c r="D95" s="3">
        <v>4.8</v>
      </c>
      <c r="E95" s="3">
        <v>3.1</v>
      </c>
      <c r="F95" s="3">
        <v>1.9</v>
      </c>
      <c r="G95" s="3" t="s">
        <v>13</v>
      </c>
      <c r="H95" s="12">
        <v>0</v>
      </c>
      <c r="I95" s="14">
        <v>0.89177650799419994</v>
      </c>
      <c r="J95" s="9" t="str">
        <f t="shared" si="5"/>
        <v>Test</v>
      </c>
    </row>
    <row r="96" spans="1:10" x14ac:dyDescent="0.3">
      <c r="A96" s="3" t="str">
        <f t="shared" si="3"/>
        <v>C095</v>
      </c>
      <c r="B96" s="3" t="str">
        <f t="shared" ca="1" si="4"/>
        <v>Transportation</v>
      </c>
      <c r="C96" s="3">
        <v>466</v>
      </c>
      <c r="D96" s="3">
        <v>4.7</v>
      </c>
      <c r="E96" s="3">
        <v>7.5</v>
      </c>
      <c r="F96" s="3">
        <v>2.2000000000000002</v>
      </c>
      <c r="G96" s="3" t="s">
        <v>13</v>
      </c>
      <c r="H96" s="12">
        <v>0</v>
      </c>
      <c r="I96" s="14">
        <v>0.9948027050035495</v>
      </c>
      <c r="J96" s="9" t="str">
        <f t="shared" si="5"/>
        <v>Test</v>
      </c>
    </row>
    <row r="97" spans="1:10" x14ac:dyDescent="0.3">
      <c r="A97" s="3" t="str">
        <f t="shared" si="3"/>
        <v>C096</v>
      </c>
      <c r="B97" s="3" t="str">
        <f t="shared" ca="1" si="4"/>
        <v>Pharma</v>
      </c>
      <c r="C97" s="3">
        <v>140</v>
      </c>
      <c r="D97" s="3">
        <v>2</v>
      </c>
      <c r="E97" s="3">
        <v>4.5</v>
      </c>
      <c r="F97" s="3">
        <v>1.9</v>
      </c>
      <c r="G97" s="3" t="s">
        <v>7</v>
      </c>
      <c r="H97" s="12">
        <v>0</v>
      </c>
      <c r="I97" s="14">
        <v>6.8605653570962266E-2</v>
      </c>
      <c r="J97" s="9" t="str">
        <f t="shared" si="5"/>
        <v>Train</v>
      </c>
    </row>
    <row r="98" spans="1:10" x14ac:dyDescent="0.3">
      <c r="A98" s="3" t="str">
        <f t="shared" si="3"/>
        <v>C097</v>
      </c>
      <c r="B98" s="3" t="str">
        <f t="shared" ca="1" si="4"/>
        <v>IT Services</v>
      </c>
      <c r="C98" s="3">
        <v>133</v>
      </c>
      <c r="D98" s="3">
        <v>7.1</v>
      </c>
      <c r="E98" s="3">
        <v>5.8</v>
      </c>
      <c r="F98" s="3">
        <v>0.9</v>
      </c>
      <c r="G98" s="3" t="s">
        <v>9</v>
      </c>
      <c r="H98" s="12">
        <v>0</v>
      </c>
      <c r="I98" s="14">
        <v>0.67154844766660005</v>
      </c>
      <c r="J98" s="9" t="str">
        <f t="shared" si="5"/>
        <v>Train</v>
      </c>
    </row>
    <row r="99" spans="1:10" x14ac:dyDescent="0.3">
      <c r="A99" s="3" t="str">
        <f t="shared" si="3"/>
        <v>C098</v>
      </c>
      <c r="B99" s="3" t="str">
        <f t="shared" ca="1" si="4"/>
        <v>Retail</v>
      </c>
      <c r="C99" s="3">
        <v>245</v>
      </c>
      <c r="D99" s="3">
        <v>5.4</v>
      </c>
      <c r="E99" s="3">
        <v>2.6</v>
      </c>
      <c r="F99" s="3">
        <v>0.6</v>
      </c>
      <c r="G99" s="3" t="s">
        <v>13</v>
      </c>
      <c r="H99" s="12">
        <v>0</v>
      </c>
      <c r="I99" s="14">
        <v>0.30507200073533813</v>
      </c>
      <c r="J99" s="9" t="str">
        <f t="shared" si="5"/>
        <v>Train</v>
      </c>
    </row>
    <row r="100" spans="1:10" x14ac:dyDescent="0.3">
      <c r="A100" s="3" t="str">
        <f t="shared" si="3"/>
        <v>C099</v>
      </c>
      <c r="B100" s="3" t="str">
        <f t="shared" ca="1" si="4"/>
        <v>Construction</v>
      </c>
      <c r="C100" s="3">
        <v>449</v>
      </c>
      <c r="D100" s="3">
        <v>2</v>
      </c>
      <c r="E100" s="3">
        <v>2.2999999999999998</v>
      </c>
      <c r="F100" s="3">
        <v>0.7</v>
      </c>
      <c r="G100" s="3" t="s">
        <v>7</v>
      </c>
      <c r="H100" s="12">
        <v>0</v>
      </c>
      <c r="I100" s="14">
        <v>0.28239317241638651</v>
      </c>
      <c r="J100" s="9" t="str">
        <f t="shared" si="5"/>
        <v>Train</v>
      </c>
    </row>
    <row r="101" spans="1:10" x14ac:dyDescent="0.3">
      <c r="A101" s="3" t="str">
        <f t="shared" si="3"/>
        <v>C100</v>
      </c>
      <c r="B101" s="3" t="str">
        <f t="shared" ca="1" si="4"/>
        <v>Transportation</v>
      </c>
      <c r="C101" s="3">
        <v>297</v>
      </c>
      <c r="D101" s="3">
        <v>4.3</v>
      </c>
      <c r="E101" s="3">
        <v>1.2</v>
      </c>
      <c r="F101" s="3">
        <v>1.1000000000000001</v>
      </c>
      <c r="G101" s="3" t="s">
        <v>13</v>
      </c>
      <c r="H101" s="12">
        <v>0</v>
      </c>
      <c r="I101" s="14">
        <v>0.11094817572580684</v>
      </c>
      <c r="J101" s="9" t="str">
        <f t="shared" si="5"/>
        <v>Train</v>
      </c>
    </row>
    <row r="102" spans="1:10" x14ac:dyDescent="0.3">
      <c r="A102" s="3" t="str">
        <f t="shared" si="3"/>
        <v>C101</v>
      </c>
      <c r="B102" s="3" t="str">
        <f t="shared" ca="1" si="4"/>
        <v>Manufacturing</v>
      </c>
      <c r="C102" s="3">
        <v>249</v>
      </c>
      <c r="D102" s="3">
        <v>6.7</v>
      </c>
      <c r="E102" s="3">
        <v>7.5</v>
      </c>
      <c r="F102" s="3">
        <v>1.1000000000000001</v>
      </c>
      <c r="G102" s="3" t="s">
        <v>9</v>
      </c>
      <c r="H102" s="12">
        <v>0</v>
      </c>
      <c r="I102" s="14">
        <v>0.64886258693444776</v>
      </c>
      <c r="J102" s="9" t="str">
        <f t="shared" si="5"/>
        <v>Train</v>
      </c>
    </row>
    <row r="103" spans="1:10" x14ac:dyDescent="0.3">
      <c r="A103" s="3" t="str">
        <f t="shared" si="3"/>
        <v>C102</v>
      </c>
      <c r="B103" s="3" t="str">
        <f t="shared" ca="1" si="4"/>
        <v>Pharma</v>
      </c>
      <c r="C103" s="3">
        <v>358</v>
      </c>
      <c r="D103" s="3">
        <v>7.8</v>
      </c>
      <c r="E103" s="3">
        <v>0.9</v>
      </c>
      <c r="F103" s="3">
        <v>1.2</v>
      </c>
      <c r="G103" s="3" t="s">
        <v>9</v>
      </c>
      <c r="H103" s="12">
        <v>0</v>
      </c>
      <c r="I103" s="14">
        <v>0.5030408665685181</v>
      </c>
      <c r="J103" s="9" t="str">
        <f t="shared" si="5"/>
        <v>Train</v>
      </c>
    </row>
    <row r="104" spans="1:10" x14ac:dyDescent="0.3">
      <c r="A104" s="3" t="str">
        <f t="shared" si="3"/>
        <v>C103</v>
      </c>
      <c r="B104" s="3" t="str">
        <f t="shared" ca="1" si="4"/>
        <v>Retail</v>
      </c>
      <c r="C104" s="3">
        <v>363</v>
      </c>
      <c r="D104" s="3">
        <v>3.6</v>
      </c>
      <c r="E104" s="3">
        <v>3.9</v>
      </c>
      <c r="F104" s="3">
        <v>1.4</v>
      </c>
      <c r="G104" s="3" t="s">
        <v>7</v>
      </c>
      <c r="H104" s="12">
        <v>0</v>
      </c>
      <c r="I104" s="14">
        <v>0.40988896197206171</v>
      </c>
      <c r="J104" s="9" t="str">
        <f t="shared" si="5"/>
        <v>Train</v>
      </c>
    </row>
    <row r="105" spans="1:10" x14ac:dyDescent="0.3">
      <c r="A105" s="3" t="str">
        <f t="shared" si="3"/>
        <v>C104</v>
      </c>
      <c r="B105" s="3" t="str">
        <f t="shared" ca="1" si="4"/>
        <v>Pharma</v>
      </c>
      <c r="C105" s="3">
        <v>287</v>
      </c>
      <c r="D105" s="3">
        <v>4.7</v>
      </c>
      <c r="E105" s="3">
        <v>3.2</v>
      </c>
      <c r="F105" s="3">
        <v>1.5</v>
      </c>
      <c r="G105" s="3" t="s">
        <v>13</v>
      </c>
      <c r="H105" s="12">
        <v>0</v>
      </c>
      <c r="I105" s="14">
        <v>0.88195946592392549</v>
      </c>
      <c r="J105" s="9" t="str">
        <f t="shared" si="5"/>
        <v>Test</v>
      </c>
    </row>
    <row r="106" spans="1:10" x14ac:dyDescent="0.3">
      <c r="A106" s="3" t="str">
        <f t="shared" si="3"/>
        <v>C105</v>
      </c>
      <c r="B106" s="3" t="str">
        <f t="shared" ca="1" si="4"/>
        <v>Pharma</v>
      </c>
      <c r="C106" s="3">
        <v>213</v>
      </c>
      <c r="D106" s="3">
        <v>2.4</v>
      </c>
      <c r="E106" s="3">
        <v>1.8</v>
      </c>
      <c r="F106" s="3">
        <v>2.7</v>
      </c>
      <c r="G106" s="3" t="s">
        <v>7</v>
      </c>
      <c r="H106" s="12">
        <v>0</v>
      </c>
      <c r="I106" s="14">
        <v>1.8762027267431591E-3</v>
      </c>
      <c r="J106" s="9" t="str">
        <f t="shared" si="5"/>
        <v>Train</v>
      </c>
    </row>
    <row r="107" spans="1:10" x14ac:dyDescent="0.3">
      <c r="A107" s="3" t="str">
        <f t="shared" si="3"/>
        <v>C106</v>
      </c>
      <c r="B107" s="3" t="str">
        <f t="shared" ca="1" si="4"/>
        <v>Construction</v>
      </c>
      <c r="C107" s="3">
        <v>442</v>
      </c>
      <c r="D107" s="3">
        <v>5.9</v>
      </c>
      <c r="E107" s="3">
        <v>4</v>
      </c>
      <c r="F107" s="3">
        <v>1.1000000000000001</v>
      </c>
      <c r="G107" s="3" t="s">
        <v>13</v>
      </c>
      <c r="H107" s="12">
        <v>0</v>
      </c>
      <c r="I107" s="14">
        <v>0.71194838519596315</v>
      </c>
      <c r="J107" s="9" t="str">
        <f t="shared" si="5"/>
        <v>Test</v>
      </c>
    </row>
    <row r="108" spans="1:10" x14ac:dyDescent="0.3">
      <c r="A108" s="3" t="str">
        <f t="shared" si="3"/>
        <v>C107</v>
      </c>
      <c r="B108" s="3" t="str">
        <f t="shared" ca="1" si="4"/>
        <v>Pharma</v>
      </c>
      <c r="C108" s="3">
        <v>221</v>
      </c>
      <c r="D108" s="3">
        <v>7.1</v>
      </c>
      <c r="E108" s="3">
        <v>7.5</v>
      </c>
      <c r="F108" s="3">
        <v>1.8</v>
      </c>
      <c r="G108" s="3" t="s">
        <v>9</v>
      </c>
      <c r="H108" s="12">
        <v>0</v>
      </c>
      <c r="I108" s="14">
        <v>0.82938343988909258</v>
      </c>
      <c r="J108" s="9" t="str">
        <f t="shared" si="5"/>
        <v>Test</v>
      </c>
    </row>
    <row r="109" spans="1:10" x14ac:dyDescent="0.3">
      <c r="A109" s="3" t="str">
        <f t="shared" si="3"/>
        <v>C108</v>
      </c>
      <c r="B109" s="3" t="str">
        <f t="shared" ca="1" si="4"/>
        <v>Transportation</v>
      </c>
      <c r="C109" s="3">
        <v>107</v>
      </c>
      <c r="D109" s="3">
        <v>4.2</v>
      </c>
      <c r="E109" s="3">
        <v>1.2</v>
      </c>
      <c r="F109" s="3">
        <v>0.9</v>
      </c>
      <c r="G109" s="3" t="s">
        <v>13</v>
      </c>
      <c r="H109" s="12">
        <v>0</v>
      </c>
      <c r="I109" s="14">
        <v>0.64369752467702901</v>
      </c>
      <c r="J109" s="9" t="str">
        <f t="shared" si="5"/>
        <v>Train</v>
      </c>
    </row>
    <row r="110" spans="1:10" x14ac:dyDescent="0.3">
      <c r="A110" s="3" t="str">
        <f t="shared" si="3"/>
        <v>C109</v>
      </c>
      <c r="B110" s="3" t="str">
        <f t="shared" ca="1" si="4"/>
        <v>IT Services</v>
      </c>
      <c r="C110" s="3">
        <v>260</v>
      </c>
      <c r="D110" s="3">
        <v>3.8</v>
      </c>
      <c r="E110" s="3">
        <v>6.3</v>
      </c>
      <c r="F110" s="3">
        <v>2.9</v>
      </c>
      <c r="G110" s="3" t="s">
        <v>7</v>
      </c>
      <c r="H110" s="12">
        <v>0</v>
      </c>
      <c r="I110" s="14">
        <v>0.36539548803090727</v>
      </c>
      <c r="J110" s="9" t="str">
        <f t="shared" si="5"/>
        <v>Train</v>
      </c>
    </row>
    <row r="111" spans="1:10" x14ac:dyDescent="0.3">
      <c r="A111" s="3" t="str">
        <f t="shared" si="3"/>
        <v>C110</v>
      </c>
      <c r="B111" s="3" t="str">
        <f t="shared" ca="1" si="4"/>
        <v>Transportation</v>
      </c>
      <c r="C111" s="3">
        <v>465</v>
      </c>
      <c r="D111" s="3">
        <v>4.5</v>
      </c>
      <c r="E111" s="3">
        <v>1.2</v>
      </c>
      <c r="F111" s="3">
        <v>2.2999999999999998</v>
      </c>
      <c r="G111" s="3" t="s">
        <v>13</v>
      </c>
      <c r="H111" s="12">
        <v>0</v>
      </c>
      <c r="I111" s="14">
        <v>0.38388908800855792</v>
      </c>
      <c r="J111" s="9" t="str">
        <f t="shared" si="5"/>
        <v>Train</v>
      </c>
    </row>
    <row r="112" spans="1:10" x14ac:dyDescent="0.3">
      <c r="A112" s="3" t="str">
        <f t="shared" si="3"/>
        <v>C111</v>
      </c>
      <c r="B112" s="3" t="str">
        <f t="shared" ca="1" si="4"/>
        <v>Construction</v>
      </c>
      <c r="C112" s="3">
        <v>391</v>
      </c>
      <c r="D112" s="3">
        <v>3.7</v>
      </c>
      <c r="E112" s="3">
        <v>7.7</v>
      </c>
      <c r="F112" s="3">
        <v>2.9</v>
      </c>
      <c r="G112" s="3" t="s">
        <v>7</v>
      </c>
      <c r="H112" s="12">
        <v>0</v>
      </c>
      <c r="I112" s="14">
        <v>0.65814030220377928</v>
      </c>
      <c r="J112" s="9" t="str">
        <f t="shared" si="5"/>
        <v>Train</v>
      </c>
    </row>
    <row r="113" spans="1:10" x14ac:dyDescent="0.3">
      <c r="A113" s="3" t="str">
        <f t="shared" si="3"/>
        <v>C112</v>
      </c>
      <c r="B113" s="3" t="str">
        <f t="shared" ca="1" si="4"/>
        <v>IT Services</v>
      </c>
      <c r="C113" s="3">
        <v>272</v>
      </c>
      <c r="D113" s="3">
        <v>4.3</v>
      </c>
      <c r="E113" s="3">
        <v>4.3</v>
      </c>
      <c r="F113" s="3">
        <v>2.9</v>
      </c>
      <c r="G113" s="3" t="s">
        <v>13</v>
      </c>
      <c r="H113" s="12">
        <v>0</v>
      </c>
      <c r="I113" s="14">
        <v>1.0465712053437159E-2</v>
      </c>
      <c r="J113" s="9" t="str">
        <f t="shared" si="5"/>
        <v>Train</v>
      </c>
    </row>
    <row r="114" spans="1:10" x14ac:dyDescent="0.3">
      <c r="A114" s="3" t="str">
        <f t="shared" si="3"/>
        <v>C113</v>
      </c>
      <c r="B114" s="3" t="str">
        <f t="shared" ca="1" si="4"/>
        <v>IT Services</v>
      </c>
      <c r="C114" s="3">
        <v>265</v>
      </c>
      <c r="D114" s="3">
        <v>2.1</v>
      </c>
      <c r="E114" s="3">
        <v>5.0999999999999996</v>
      </c>
      <c r="F114" s="3">
        <v>1.3</v>
      </c>
      <c r="G114" s="3" t="s">
        <v>7</v>
      </c>
      <c r="H114" s="12">
        <v>0</v>
      </c>
      <c r="I114" s="14">
        <v>6.568400983478595E-2</v>
      </c>
      <c r="J114" s="9" t="str">
        <f t="shared" si="5"/>
        <v>Train</v>
      </c>
    </row>
    <row r="115" spans="1:10" x14ac:dyDescent="0.3">
      <c r="A115" s="3" t="str">
        <f t="shared" si="3"/>
        <v>C114</v>
      </c>
      <c r="B115" s="3" t="str">
        <f t="shared" ca="1" si="4"/>
        <v>IT Services</v>
      </c>
      <c r="C115" s="3">
        <v>263</v>
      </c>
      <c r="D115" s="3">
        <v>1.3</v>
      </c>
      <c r="E115" s="3">
        <v>7.7</v>
      </c>
      <c r="F115" s="3">
        <v>1.3</v>
      </c>
      <c r="G115" s="3" t="s">
        <v>11</v>
      </c>
      <c r="H115" s="12">
        <v>0</v>
      </c>
      <c r="I115" s="14">
        <v>0.14077241325406409</v>
      </c>
      <c r="J115" s="9" t="str">
        <f t="shared" si="5"/>
        <v>Train</v>
      </c>
    </row>
    <row r="116" spans="1:10" x14ac:dyDescent="0.3">
      <c r="A116" s="3" t="str">
        <f t="shared" si="3"/>
        <v>C115</v>
      </c>
      <c r="B116" s="3" t="str">
        <f t="shared" ca="1" si="4"/>
        <v>Pharma</v>
      </c>
      <c r="C116" s="3">
        <v>89</v>
      </c>
      <c r="D116" s="3">
        <v>1.7</v>
      </c>
      <c r="E116" s="3">
        <v>2.8</v>
      </c>
      <c r="F116" s="3">
        <v>1.6</v>
      </c>
      <c r="G116" s="3" t="s">
        <v>11</v>
      </c>
      <c r="H116" s="12">
        <v>0</v>
      </c>
      <c r="I116" s="14">
        <v>0.39258231847486424</v>
      </c>
      <c r="J116" s="9" t="str">
        <f t="shared" si="5"/>
        <v>Train</v>
      </c>
    </row>
    <row r="117" spans="1:10" x14ac:dyDescent="0.3">
      <c r="A117" s="3" t="str">
        <f t="shared" si="3"/>
        <v>C116</v>
      </c>
      <c r="B117" s="3" t="str">
        <f t="shared" ca="1" si="4"/>
        <v>Pharma</v>
      </c>
      <c r="C117" s="3">
        <v>411</v>
      </c>
      <c r="D117" s="3">
        <v>6</v>
      </c>
      <c r="E117" s="3">
        <v>4.7</v>
      </c>
      <c r="F117" s="3">
        <v>2.8</v>
      </c>
      <c r="G117" s="3" t="s">
        <v>9</v>
      </c>
      <c r="H117" s="12">
        <v>0</v>
      </c>
      <c r="I117" s="14">
        <v>0.28078141746004015</v>
      </c>
      <c r="J117" s="9" t="str">
        <f t="shared" si="5"/>
        <v>Train</v>
      </c>
    </row>
    <row r="118" spans="1:10" x14ac:dyDescent="0.3">
      <c r="A118" s="3" t="str">
        <f t="shared" si="3"/>
        <v>C117</v>
      </c>
      <c r="B118" s="3" t="str">
        <f t="shared" ca="1" si="4"/>
        <v>Construction</v>
      </c>
      <c r="C118" s="3">
        <v>146</v>
      </c>
      <c r="D118" s="3">
        <v>5.5</v>
      </c>
      <c r="E118" s="3">
        <v>0.7</v>
      </c>
      <c r="F118" s="3">
        <v>2.2000000000000002</v>
      </c>
      <c r="G118" s="3" t="s">
        <v>13</v>
      </c>
      <c r="H118" s="12">
        <v>0</v>
      </c>
      <c r="I118" s="14">
        <v>0.76431421961298018</v>
      </c>
      <c r="J118" s="9" t="str">
        <f t="shared" si="5"/>
        <v>Test</v>
      </c>
    </row>
    <row r="119" spans="1:10" x14ac:dyDescent="0.3">
      <c r="A119" s="3" t="str">
        <f t="shared" si="3"/>
        <v>C118</v>
      </c>
      <c r="B119" s="3" t="str">
        <f t="shared" ca="1" si="4"/>
        <v>Transportation</v>
      </c>
      <c r="C119" s="3">
        <v>217</v>
      </c>
      <c r="D119" s="3">
        <v>6.9</v>
      </c>
      <c r="E119" s="3">
        <v>8.1999999999999993</v>
      </c>
      <c r="F119" s="3">
        <v>2.5</v>
      </c>
      <c r="G119" s="3" t="s">
        <v>9</v>
      </c>
      <c r="H119" s="12">
        <v>0</v>
      </c>
      <c r="I119" s="14">
        <v>0.81711816111505042</v>
      </c>
      <c r="J119" s="9" t="str">
        <f t="shared" si="5"/>
        <v>Test</v>
      </c>
    </row>
    <row r="120" spans="1:10" x14ac:dyDescent="0.3">
      <c r="A120" s="3" t="str">
        <f t="shared" si="3"/>
        <v>C119</v>
      </c>
      <c r="B120" s="3" t="str">
        <f t="shared" ca="1" si="4"/>
        <v>IT Services</v>
      </c>
      <c r="C120" s="3">
        <v>433</v>
      </c>
      <c r="D120" s="3">
        <v>7.2</v>
      </c>
      <c r="E120" s="3">
        <v>2.2000000000000002</v>
      </c>
      <c r="F120" s="3">
        <v>0.7</v>
      </c>
      <c r="G120" s="3" t="s">
        <v>9</v>
      </c>
      <c r="H120" s="12">
        <v>0</v>
      </c>
      <c r="I120" s="14">
        <v>0.75044567765233072</v>
      </c>
      <c r="J120" s="9" t="str">
        <f t="shared" si="5"/>
        <v>Test</v>
      </c>
    </row>
    <row r="121" spans="1:10" x14ac:dyDescent="0.3">
      <c r="A121" s="3" t="str">
        <f t="shared" si="3"/>
        <v>C120</v>
      </c>
      <c r="B121" s="3" t="str">
        <f t="shared" ca="1" si="4"/>
        <v>Transportation</v>
      </c>
      <c r="C121" s="3">
        <v>264</v>
      </c>
      <c r="D121" s="3">
        <v>2</v>
      </c>
      <c r="E121" s="3">
        <v>0.6</v>
      </c>
      <c r="F121" s="3">
        <v>1.2</v>
      </c>
      <c r="G121" s="3" t="s">
        <v>7</v>
      </c>
      <c r="H121" s="12">
        <v>0</v>
      </c>
      <c r="I121" s="14">
        <v>0.37061796339865993</v>
      </c>
      <c r="J121" s="9" t="str">
        <f t="shared" si="5"/>
        <v>Train</v>
      </c>
    </row>
    <row r="122" spans="1:10" x14ac:dyDescent="0.3">
      <c r="A122" s="3" t="str">
        <f t="shared" si="3"/>
        <v>C121</v>
      </c>
      <c r="B122" s="3" t="str">
        <f t="shared" ca="1" si="4"/>
        <v>Transportation</v>
      </c>
      <c r="C122" s="3">
        <v>494</v>
      </c>
      <c r="D122" s="3">
        <v>3</v>
      </c>
      <c r="E122" s="3">
        <v>6</v>
      </c>
      <c r="F122" s="3">
        <v>1</v>
      </c>
      <c r="G122" s="3" t="s">
        <v>7</v>
      </c>
      <c r="H122" s="12">
        <v>0</v>
      </c>
      <c r="I122" s="14">
        <v>0.5386491678615255</v>
      </c>
      <c r="J122" s="9" t="str">
        <f t="shared" si="5"/>
        <v>Train</v>
      </c>
    </row>
    <row r="123" spans="1:10" x14ac:dyDescent="0.3">
      <c r="A123" s="3" t="str">
        <f t="shared" si="3"/>
        <v>C122</v>
      </c>
      <c r="B123" s="3" t="str">
        <f t="shared" ca="1" si="4"/>
        <v>Retail</v>
      </c>
      <c r="C123" s="3">
        <v>149</v>
      </c>
      <c r="D123" s="3">
        <v>7.6</v>
      </c>
      <c r="E123" s="3">
        <v>8.1999999999999993</v>
      </c>
      <c r="F123" s="3">
        <v>1.6</v>
      </c>
      <c r="G123" s="3" t="s">
        <v>9</v>
      </c>
      <c r="H123" s="12">
        <v>0</v>
      </c>
      <c r="I123" s="14">
        <v>0.49105321786292733</v>
      </c>
      <c r="J123" s="9" t="str">
        <f t="shared" si="5"/>
        <v>Train</v>
      </c>
    </row>
    <row r="124" spans="1:10" x14ac:dyDescent="0.3">
      <c r="A124" s="3" t="str">
        <f t="shared" si="3"/>
        <v>C123</v>
      </c>
      <c r="B124" s="3" t="str">
        <f t="shared" ca="1" si="4"/>
        <v>Retail</v>
      </c>
      <c r="C124" s="3">
        <v>395</v>
      </c>
      <c r="D124" s="3">
        <v>5.6</v>
      </c>
      <c r="E124" s="3">
        <v>6.1</v>
      </c>
      <c r="F124" s="3">
        <v>2.9</v>
      </c>
      <c r="G124" s="3" t="s">
        <v>13</v>
      </c>
      <c r="H124" s="12">
        <v>0</v>
      </c>
      <c r="I124" s="14">
        <v>0.63047763754659436</v>
      </c>
      <c r="J124" s="9" t="str">
        <f t="shared" si="5"/>
        <v>Train</v>
      </c>
    </row>
    <row r="125" spans="1:10" x14ac:dyDescent="0.3">
      <c r="A125" s="3" t="str">
        <f t="shared" si="3"/>
        <v>C124</v>
      </c>
      <c r="B125" s="3" t="str">
        <f t="shared" ca="1" si="4"/>
        <v>Transportation</v>
      </c>
      <c r="C125" s="3">
        <v>404</v>
      </c>
      <c r="D125" s="3">
        <v>0.8</v>
      </c>
      <c r="E125" s="3">
        <v>2.8</v>
      </c>
      <c r="F125" s="3">
        <v>0.5</v>
      </c>
      <c r="G125" s="3" t="s">
        <v>11</v>
      </c>
      <c r="H125" s="12">
        <v>0</v>
      </c>
      <c r="I125" s="14">
        <v>0.47754809384515218</v>
      </c>
      <c r="J125" s="9" t="str">
        <f t="shared" si="5"/>
        <v>Train</v>
      </c>
    </row>
    <row r="126" spans="1:10" x14ac:dyDescent="0.3">
      <c r="A126" s="3" t="str">
        <f t="shared" si="3"/>
        <v>C125</v>
      </c>
      <c r="B126" s="3" t="str">
        <f t="shared" ca="1" si="4"/>
        <v>Retail</v>
      </c>
      <c r="C126" s="3">
        <v>72</v>
      </c>
      <c r="D126" s="3">
        <v>0.9</v>
      </c>
      <c r="E126" s="3">
        <v>3</v>
      </c>
      <c r="F126" s="3">
        <v>2.6</v>
      </c>
      <c r="G126" s="3" t="s">
        <v>11</v>
      </c>
      <c r="H126" s="12">
        <v>0</v>
      </c>
      <c r="I126" s="14">
        <v>0.30811137651096865</v>
      </c>
      <c r="J126" s="9" t="str">
        <f t="shared" si="5"/>
        <v>Train</v>
      </c>
    </row>
    <row r="127" spans="1:10" x14ac:dyDescent="0.3">
      <c r="A127" s="3" t="str">
        <f t="shared" si="3"/>
        <v>C126</v>
      </c>
      <c r="B127" s="3" t="str">
        <f t="shared" ca="1" si="4"/>
        <v>Retail</v>
      </c>
      <c r="C127" s="3">
        <v>497</v>
      </c>
      <c r="D127" s="3">
        <v>7.3</v>
      </c>
      <c r="E127" s="3">
        <v>1.8</v>
      </c>
      <c r="F127" s="3">
        <v>2</v>
      </c>
      <c r="G127" s="3" t="s">
        <v>9</v>
      </c>
      <c r="H127" s="12">
        <v>0</v>
      </c>
      <c r="I127" s="14">
        <v>0.58315049160593269</v>
      </c>
      <c r="J127" s="9" t="str">
        <f t="shared" si="5"/>
        <v>Train</v>
      </c>
    </row>
    <row r="128" spans="1:10" x14ac:dyDescent="0.3">
      <c r="A128" s="3" t="str">
        <f t="shared" si="3"/>
        <v>C127</v>
      </c>
      <c r="B128" s="3" t="str">
        <f t="shared" ca="1" si="4"/>
        <v>Transportation</v>
      </c>
      <c r="C128" s="3">
        <v>91</v>
      </c>
      <c r="D128" s="3">
        <v>6.7</v>
      </c>
      <c r="E128" s="3">
        <v>5.8</v>
      </c>
      <c r="F128" s="3">
        <v>1.1000000000000001</v>
      </c>
      <c r="G128" s="3" t="s">
        <v>9</v>
      </c>
      <c r="H128" s="12">
        <v>0</v>
      </c>
      <c r="I128" s="14">
        <v>0.93769033873524399</v>
      </c>
      <c r="J128" s="9" t="str">
        <f t="shared" si="5"/>
        <v>Test</v>
      </c>
    </row>
    <row r="129" spans="1:10" x14ac:dyDescent="0.3">
      <c r="A129" s="3" t="str">
        <f t="shared" si="3"/>
        <v>C128</v>
      </c>
      <c r="B129" s="3" t="str">
        <f t="shared" ca="1" si="4"/>
        <v>Pharma</v>
      </c>
      <c r="C129" s="3">
        <v>245</v>
      </c>
      <c r="D129" s="3">
        <v>4.5999999999999996</v>
      </c>
      <c r="E129" s="3">
        <v>8.9</v>
      </c>
      <c r="F129" s="3">
        <v>1</v>
      </c>
      <c r="G129" s="3" t="s">
        <v>13</v>
      </c>
      <c r="H129" s="12">
        <v>0</v>
      </c>
      <c r="I129" s="14">
        <v>0.53453278698247186</v>
      </c>
      <c r="J129" s="9" t="str">
        <f t="shared" si="5"/>
        <v>Train</v>
      </c>
    </row>
    <row r="130" spans="1:10" x14ac:dyDescent="0.3">
      <c r="A130" s="3" t="str">
        <f t="shared" si="3"/>
        <v>C129</v>
      </c>
      <c r="B130" s="3" t="str">
        <f t="shared" ca="1" si="4"/>
        <v>Pharma</v>
      </c>
      <c r="C130" s="3">
        <v>156</v>
      </c>
      <c r="D130" s="3">
        <v>7.7</v>
      </c>
      <c r="E130" s="3">
        <v>2.9</v>
      </c>
      <c r="F130" s="3">
        <v>1.5</v>
      </c>
      <c r="G130" s="3" t="s">
        <v>9</v>
      </c>
      <c r="H130" s="12">
        <v>0</v>
      </c>
      <c r="I130" s="14">
        <v>0.62771624381955737</v>
      </c>
      <c r="J130" s="9" t="str">
        <f t="shared" si="5"/>
        <v>Train</v>
      </c>
    </row>
    <row r="131" spans="1:10" x14ac:dyDescent="0.3">
      <c r="A131" s="3" t="str">
        <f t="shared" ref="A131:A194" si="6">"C"&amp;TEXT(ROW()-1,"000")</f>
        <v>C130</v>
      </c>
      <c r="B131" s="3" t="str">
        <f t="shared" ref="B131:B194" ca="1" si="7">CHOOSE(RANDBETWEEN(1,6),
"Manufacturing",
"Retail",
"Pharma",
"Construction",
"Transportation",
"IT Services")</f>
        <v>IT Services</v>
      </c>
      <c r="C131" s="3">
        <v>64</v>
      </c>
      <c r="D131" s="3">
        <v>0.6</v>
      </c>
      <c r="E131" s="3">
        <v>4.8</v>
      </c>
      <c r="F131" s="3">
        <v>1.4</v>
      </c>
      <c r="G131" s="3" t="s">
        <v>11</v>
      </c>
      <c r="H131" s="12">
        <v>0</v>
      </c>
      <c r="I131" s="14">
        <v>0.98025761550239165</v>
      </c>
      <c r="J131" s="9" t="str">
        <f t="shared" ref="J131:J194" si="8">IF(I131&lt;=0.7,"Train","Test")</f>
        <v>Test</v>
      </c>
    </row>
    <row r="132" spans="1:10" x14ac:dyDescent="0.3">
      <c r="A132" s="3" t="str">
        <f t="shared" si="6"/>
        <v>C131</v>
      </c>
      <c r="B132" s="3" t="str">
        <f t="shared" ca="1" si="7"/>
        <v>IT Services</v>
      </c>
      <c r="C132" s="3">
        <v>442</v>
      </c>
      <c r="D132" s="3">
        <v>1.9</v>
      </c>
      <c r="E132" s="3">
        <v>3.7</v>
      </c>
      <c r="F132" s="3">
        <v>2</v>
      </c>
      <c r="G132" s="3" t="s">
        <v>11</v>
      </c>
      <c r="H132" s="12">
        <v>0</v>
      </c>
      <c r="I132" s="14">
        <v>0.97304066772545272</v>
      </c>
      <c r="J132" s="9" t="str">
        <f t="shared" si="8"/>
        <v>Test</v>
      </c>
    </row>
    <row r="133" spans="1:10" x14ac:dyDescent="0.3">
      <c r="A133" s="3" t="str">
        <f t="shared" si="6"/>
        <v>C132</v>
      </c>
      <c r="B133" s="3" t="str">
        <f t="shared" ca="1" si="7"/>
        <v>Pharma</v>
      </c>
      <c r="C133" s="3">
        <v>489</v>
      </c>
      <c r="D133" s="3">
        <v>6.1</v>
      </c>
      <c r="E133" s="3">
        <v>8.4</v>
      </c>
      <c r="F133" s="3">
        <v>2.2000000000000002</v>
      </c>
      <c r="G133" s="3" t="s">
        <v>9</v>
      </c>
      <c r="H133" s="12">
        <v>0</v>
      </c>
      <c r="I133" s="14">
        <v>0.74331716530782743</v>
      </c>
      <c r="J133" s="9" t="str">
        <f t="shared" si="8"/>
        <v>Test</v>
      </c>
    </row>
    <row r="134" spans="1:10" x14ac:dyDescent="0.3">
      <c r="A134" s="3" t="str">
        <f t="shared" si="6"/>
        <v>C133</v>
      </c>
      <c r="B134" s="3" t="str">
        <f t="shared" ca="1" si="7"/>
        <v>Pharma</v>
      </c>
      <c r="C134" s="3">
        <v>329</v>
      </c>
      <c r="D134" s="3">
        <v>2.2000000000000002</v>
      </c>
      <c r="E134" s="3">
        <v>7.1</v>
      </c>
      <c r="F134" s="3">
        <v>0.8</v>
      </c>
      <c r="G134" s="3" t="s">
        <v>7</v>
      </c>
      <c r="H134" s="12">
        <v>0</v>
      </c>
      <c r="I134" s="14">
        <v>0.78638846655013805</v>
      </c>
      <c r="J134" s="9" t="str">
        <f t="shared" si="8"/>
        <v>Test</v>
      </c>
    </row>
    <row r="135" spans="1:10" x14ac:dyDescent="0.3">
      <c r="A135" s="3" t="str">
        <f t="shared" si="6"/>
        <v>C134</v>
      </c>
      <c r="B135" s="3" t="str">
        <f t="shared" ca="1" si="7"/>
        <v>Pharma</v>
      </c>
      <c r="C135" s="3">
        <v>446</v>
      </c>
      <c r="D135" s="3">
        <v>4.2</v>
      </c>
      <c r="E135" s="3">
        <v>9.3000000000000007</v>
      </c>
      <c r="F135" s="3">
        <v>1.5</v>
      </c>
      <c r="G135" s="3" t="s">
        <v>13</v>
      </c>
      <c r="H135" s="12">
        <v>0</v>
      </c>
      <c r="I135" s="14">
        <v>0.58894790437803524</v>
      </c>
      <c r="J135" s="9" t="str">
        <f t="shared" si="8"/>
        <v>Train</v>
      </c>
    </row>
    <row r="136" spans="1:10" x14ac:dyDescent="0.3">
      <c r="A136" s="3" t="str">
        <f t="shared" si="6"/>
        <v>C135</v>
      </c>
      <c r="B136" s="3" t="str">
        <f t="shared" ca="1" si="7"/>
        <v>Manufacturing</v>
      </c>
      <c r="C136" s="3">
        <v>305</v>
      </c>
      <c r="D136" s="3">
        <v>2.9</v>
      </c>
      <c r="E136" s="3">
        <v>3.8</v>
      </c>
      <c r="F136" s="3">
        <v>2.8</v>
      </c>
      <c r="G136" s="3" t="s">
        <v>7</v>
      </c>
      <c r="H136" s="12">
        <v>0</v>
      </c>
      <c r="I136" s="14">
        <v>0.35738445521630935</v>
      </c>
      <c r="J136" s="9" t="str">
        <f t="shared" si="8"/>
        <v>Train</v>
      </c>
    </row>
    <row r="137" spans="1:10" x14ac:dyDescent="0.3">
      <c r="A137" s="3" t="str">
        <f t="shared" si="6"/>
        <v>C136</v>
      </c>
      <c r="B137" s="3" t="str">
        <f t="shared" ca="1" si="7"/>
        <v>Pharma</v>
      </c>
      <c r="C137" s="3">
        <v>108</v>
      </c>
      <c r="D137" s="3">
        <v>5.6</v>
      </c>
      <c r="E137" s="3">
        <v>7.8</v>
      </c>
      <c r="F137" s="3">
        <v>2.4</v>
      </c>
      <c r="G137" s="3" t="s">
        <v>13</v>
      </c>
      <c r="H137" s="12">
        <v>0</v>
      </c>
      <c r="I137" s="14">
        <v>0.57973929433826554</v>
      </c>
      <c r="J137" s="9" t="str">
        <f t="shared" si="8"/>
        <v>Train</v>
      </c>
    </row>
    <row r="138" spans="1:10" x14ac:dyDescent="0.3">
      <c r="A138" s="3" t="str">
        <f t="shared" si="6"/>
        <v>C137</v>
      </c>
      <c r="B138" s="3" t="str">
        <f t="shared" ca="1" si="7"/>
        <v>Manufacturing</v>
      </c>
      <c r="C138" s="3">
        <v>359</v>
      </c>
      <c r="D138" s="3">
        <v>4.7</v>
      </c>
      <c r="E138" s="3">
        <v>7.8</v>
      </c>
      <c r="F138" s="3">
        <v>2.2000000000000002</v>
      </c>
      <c r="G138" s="3" t="s">
        <v>13</v>
      </c>
      <c r="H138" s="12">
        <v>0</v>
      </c>
      <c r="I138" s="14">
        <v>0.89104544467666524</v>
      </c>
      <c r="J138" s="9" t="str">
        <f t="shared" si="8"/>
        <v>Test</v>
      </c>
    </row>
    <row r="139" spans="1:10" x14ac:dyDescent="0.3">
      <c r="A139" s="3" t="str">
        <f t="shared" si="6"/>
        <v>C138</v>
      </c>
      <c r="B139" s="3" t="str">
        <f t="shared" ca="1" si="7"/>
        <v>Retail</v>
      </c>
      <c r="C139" s="3">
        <v>391</v>
      </c>
      <c r="D139" s="3">
        <v>7.1</v>
      </c>
      <c r="E139" s="3">
        <v>7.7</v>
      </c>
      <c r="F139" s="3">
        <v>1.1000000000000001</v>
      </c>
      <c r="G139" s="3" t="s">
        <v>9</v>
      </c>
      <c r="H139" s="12">
        <v>0</v>
      </c>
      <c r="I139" s="14">
        <v>0.89811371545266083</v>
      </c>
      <c r="J139" s="9" t="str">
        <f t="shared" si="8"/>
        <v>Test</v>
      </c>
    </row>
    <row r="140" spans="1:10" x14ac:dyDescent="0.3">
      <c r="A140" s="3" t="str">
        <f t="shared" si="6"/>
        <v>C139</v>
      </c>
      <c r="B140" s="3" t="str">
        <f t="shared" ca="1" si="7"/>
        <v>Retail</v>
      </c>
      <c r="C140" s="3">
        <v>169</v>
      </c>
      <c r="D140" s="3">
        <v>3.3</v>
      </c>
      <c r="E140" s="3">
        <v>6.9</v>
      </c>
      <c r="F140" s="3">
        <v>0.9</v>
      </c>
      <c r="G140" s="3" t="s">
        <v>7</v>
      </c>
      <c r="H140" s="12">
        <v>0</v>
      </c>
      <c r="I140" s="14">
        <v>0.61119486248868116</v>
      </c>
      <c r="J140" s="9" t="str">
        <f t="shared" si="8"/>
        <v>Train</v>
      </c>
    </row>
    <row r="141" spans="1:10" x14ac:dyDescent="0.3">
      <c r="A141" s="3" t="str">
        <f t="shared" si="6"/>
        <v>C140</v>
      </c>
      <c r="B141" s="3" t="str">
        <f t="shared" ca="1" si="7"/>
        <v>Pharma</v>
      </c>
      <c r="C141" s="3">
        <v>361</v>
      </c>
      <c r="D141" s="3">
        <v>5.6</v>
      </c>
      <c r="E141" s="3">
        <v>6.4</v>
      </c>
      <c r="F141" s="3">
        <v>1.6</v>
      </c>
      <c r="G141" s="3" t="s">
        <v>13</v>
      </c>
      <c r="H141" s="12">
        <v>0</v>
      </c>
      <c r="I141" s="14">
        <v>0.70793373765032908</v>
      </c>
      <c r="J141" s="9" t="str">
        <f t="shared" si="8"/>
        <v>Test</v>
      </c>
    </row>
    <row r="142" spans="1:10" x14ac:dyDescent="0.3">
      <c r="A142" s="3" t="str">
        <f t="shared" si="6"/>
        <v>C141</v>
      </c>
      <c r="B142" s="3" t="str">
        <f t="shared" ca="1" si="7"/>
        <v>IT Services</v>
      </c>
      <c r="C142" s="3">
        <v>284</v>
      </c>
      <c r="D142" s="3">
        <v>2.9</v>
      </c>
      <c r="E142" s="3">
        <v>8.4</v>
      </c>
      <c r="F142" s="3">
        <v>1.3</v>
      </c>
      <c r="G142" s="3" t="s">
        <v>7</v>
      </c>
      <c r="H142" s="12">
        <v>0</v>
      </c>
      <c r="I142" s="14">
        <v>0.7143800142419624</v>
      </c>
      <c r="J142" s="9" t="str">
        <f t="shared" si="8"/>
        <v>Test</v>
      </c>
    </row>
    <row r="143" spans="1:10" x14ac:dyDescent="0.3">
      <c r="A143" s="3" t="str">
        <f t="shared" si="6"/>
        <v>C142</v>
      </c>
      <c r="B143" s="3" t="str">
        <f t="shared" ca="1" si="7"/>
        <v>Transportation</v>
      </c>
      <c r="C143" s="3">
        <v>206</v>
      </c>
      <c r="D143" s="3">
        <v>0.5</v>
      </c>
      <c r="E143" s="3">
        <v>5.0999999999999996</v>
      </c>
      <c r="F143" s="3">
        <v>0.7</v>
      </c>
      <c r="G143" s="3" t="s">
        <v>11</v>
      </c>
      <c r="H143" s="12">
        <v>0</v>
      </c>
      <c r="I143" s="14">
        <v>0.76610751446202241</v>
      </c>
      <c r="J143" s="9" t="str">
        <f t="shared" si="8"/>
        <v>Test</v>
      </c>
    </row>
    <row r="144" spans="1:10" x14ac:dyDescent="0.3">
      <c r="A144" s="3" t="str">
        <f t="shared" si="6"/>
        <v>C143</v>
      </c>
      <c r="B144" s="3" t="str">
        <f t="shared" ca="1" si="7"/>
        <v>Construction</v>
      </c>
      <c r="C144" s="3">
        <v>155</v>
      </c>
      <c r="D144" s="3">
        <v>7.9</v>
      </c>
      <c r="E144" s="3">
        <v>1.4</v>
      </c>
      <c r="F144" s="3">
        <v>1.9</v>
      </c>
      <c r="G144" s="3" t="s">
        <v>9</v>
      </c>
      <c r="H144" s="12">
        <v>0</v>
      </c>
      <c r="I144" s="14">
        <v>0.78852828297805999</v>
      </c>
      <c r="J144" s="9" t="str">
        <f t="shared" si="8"/>
        <v>Test</v>
      </c>
    </row>
    <row r="145" spans="1:10" x14ac:dyDescent="0.3">
      <c r="A145" s="3" t="str">
        <f t="shared" si="6"/>
        <v>C144</v>
      </c>
      <c r="B145" s="3" t="str">
        <f t="shared" ca="1" si="7"/>
        <v>IT Services</v>
      </c>
      <c r="C145" s="3">
        <v>485</v>
      </c>
      <c r="D145" s="3">
        <v>6.7</v>
      </c>
      <c r="E145" s="3">
        <v>9.1999999999999993</v>
      </c>
      <c r="F145" s="3">
        <v>1.3</v>
      </c>
      <c r="G145" s="3" t="s">
        <v>9</v>
      </c>
      <c r="H145" s="12">
        <v>0</v>
      </c>
      <c r="I145" s="14">
        <v>0.86811699195460479</v>
      </c>
      <c r="J145" s="9" t="str">
        <f t="shared" si="8"/>
        <v>Test</v>
      </c>
    </row>
    <row r="146" spans="1:10" x14ac:dyDescent="0.3">
      <c r="A146" s="3" t="str">
        <f t="shared" si="6"/>
        <v>C145</v>
      </c>
      <c r="B146" s="3" t="str">
        <f t="shared" ca="1" si="7"/>
        <v>Pharma</v>
      </c>
      <c r="C146" s="3">
        <v>199</v>
      </c>
      <c r="D146" s="3">
        <v>6.1</v>
      </c>
      <c r="E146" s="3">
        <v>4.0999999999999996</v>
      </c>
      <c r="F146" s="3">
        <v>2.1</v>
      </c>
      <c r="G146" s="3" t="s">
        <v>9</v>
      </c>
      <c r="H146" s="12">
        <v>0</v>
      </c>
      <c r="I146" s="14">
        <v>0.11907392471402278</v>
      </c>
      <c r="J146" s="9" t="str">
        <f t="shared" si="8"/>
        <v>Train</v>
      </c>
    </row>
    <row r="147" spans="1:10" x14ac:dyDescent="0.3">
      <c r="A147" s="3" t="str">
        <f t="shared" si="6"/>
        <v>C146</v>
      </c>
      <c r="B147" s="3" t="str">
        <f t="shared" ca="1" si="7"/>
        <v>Construction</v>
      </c>
      <c r="C147" s="3">
        <v>337</v>
      </c>
      <c r="D147" s="3">
        <v>5.5</v>
      </c>
      <c r="E147" s="3">
        <v>5.4</v>
      </c>
      <c r="F147" s="3">
        <v>2.2999999999999998</v>
      </c>
      <c r="G147" s="3" t="s">
        <v>13</v>
      </c>
      <c r="H147" s="12">
        <v>0</v>
      </c>
      <c r="I147" s="14">
        <v>0.65966314004272208</v>
      </c>
      <c r="J147" s="9" t="str">
        <f t="shared" si="8"/>
        <v>Train</v>
      </c>
    </row>
    <row r="148" spans="1:10" x14ac:dyDescent="0.3">
      <c r="A148" s="3" t="str">
        <f t="shared" si="6"/>
        <v>C147</v>
      </c>
      <c r="B148" s="3" t="str">
        <f t="shared" ca="1" si="7"/>
        <v>Construction</v>
      </c>
      <c r="C148" s="3">
        <v>316</v>
      </c>
      <c r="D148" s="3">
        <v>3.2</v>
      </c>
      <c r="E148" s="3">
        <v>3.7</v>
      </c>
      <c r="F148" s="3">
        <v>2.4</v>
      </c>
      <c r="G148" s="3" t="s">
        <v>7</v>
      </c>
      <c r="H148" s="12">
        <v>0</v>
      </c>
      <c r="I148" s="14">
        <v>0.9770479227259693</v>
      </c>
      <c r="J148" s="9" t="str">
        <f t="shared" si="8"/>
        <v>Test</v>
      </c>
    </row>
    <row r="149" spans="1:10" x14ac:dyDescent="0.3">
      <c r="A149" s="3" t="str">
        <f t="shared" si="6"/>
        <v>C148</v>
      </c>
      <c r="B149" s="3" t="str">
        <f t="shared" ca="1" si="7"/>
        <v>IT Services</v>
      </c>
      <c r="C149" s="3">
        <v>434</v>
      </c>
      <c r="D149" s="3">
        <v>2.2999999999999998</v>
      </c>
      <c r="E149" s="3">
        <v>8.3000000000000007</v>
      </c>
      <c r="F149" s="3">
        <v>1.7</v>
      </c>
      <c r="G149" s="3" t="s">
        <v>7</v>
      </c>
      <c r="H149" s="12">
        <v>0</v>
      </c>
      <c r="I149" s="14">
        <v>0.81065656844694722</v>
      </c>
      <c r="J149" s="9" t="str">
        <f t="shared" si="8"/>
        <v>Test</v>
      </c>
    </row>
    <row r="150" spans="1:10" x14ac:dyDescent="0.3">
      <c r="A150" s="3" t="str">
        <f t="shared" si="6"/>
        <v>C149</v>
      </c>
      <c r="B150" s="3" t="str">
        <f t="shared" ca="1" si="7"/>
        <v>IT Services</v>
      </c>
      <c r="C150" s="3">
        <v>207</v>
      </c>
      <c r="D150" s="3">
        <v>4.3</v>
      </c>
      <c r="E150" s="3">
        <v>2.8</v>
      </c>
      <c r="F150" s="3">
        <v>2.7</v>
      </c>
      <c r="G150" s="3" t="s">
        <v>13</v>
      </c>
      <c r="H150" s="12">
        <v>0</v>
      </c>
      <c r="I150" s="14">
        <v>3.4121257429478913E-2</v>
      </c>
      <c r="J150" s="9" t="str">
        <f t="shared" si="8"/>
        <v>Train</v>
      </c>
    </row>
    <row r="151" spans="1:10" x14ac:dyDescent="0.3">
      <c r="A151" s="3" t="str">
        <f t="shared" si="6"/>
        <v>C150</v>
      </c>
      <c r="B151" s="3" t="str">
        <f t="shared" ca="1" si="7"/>
        <v>IT Services</v>
      </c>
      <c r="C151" s="3">
        <v>348</v>
      </c>
      <c r="D151" s="3">
        <v>4.7</v>
      </c>
      <c r="E151" s="3">
        <v>5</v>
      </c>
      <c r="F151" s="3">
        <v>2.5</v>
      </c>
      <c r="G151" s="3" t="s">
        <v>13</v>
      </c>
      <c r="H151" s="12">
        <v>0</v>
      </c>
      <c r="I151" s="14">
        <v>3.6102294148436131E-2</v>
      </c>
      <c r="J151" s="9" t="str">
        <f t="shared" si="8"/>
        <v>Train</v>
      </c>
    </row>
    <row r="152" spans="1:10" x14ac:dyDescent="0.3">
      <c r="A152" s="3" t="str">
        <f t="shared" si="6"/>
        <v>C151</v>
      </c>
      <c r="B152" s="3" t="str">
        <f t="shared" ca="1" si="7"/>
        <v>Transportation</v>
      </c>
      <c r="C152" s="3">
        <v>499</v>
      </c>
      <c r="D152" s="3">
        <v>1.9</v>
      </c>
      <c r="E152" s="3">
        <v>9.6999999999999993</v>
      </c>
      <c r="F152" s="3">
        <v>1.1000000000000001</v>
      </c>
      <c r="G152" s="3" t="s">
        <v>11</v>
      </c>
      <c r="H152" s="12">
        <v>0</v>
      </c>
      <c r="I152" s="14">
        <v>0.48123457424759841</v>
      </c>
      <c r="J152" s="9" t="str">
        <f t="shared" si="8"/>
        <v>Train</v>
      </c>
    </row>
    <row r="153" spans="1:10" x14ac:dyDescent="0.3">
      <c r="A153" s="3" t="str">
        <f t="shared" si="6"/>
        <v>C152</v>
      </c>
      <c r="B153" s="3" t="str">
        <f t="shared" ca="1" si="7"/>
        <v>Construction</v>
      </c>
      <c r="C153" s="3">
        <v>166</v>
      </c>
      <c r="D153" s="3">
        <v>6.5</v>
      </c>
      <c r="E153" s="3">
        <v>4.5999999999999996</v>
      </c>
      <c r="F153" s="3">
        <v>0.9</v>
      </c>
      <c r="G153" s="3" t="s">
        <v>9</v>
      </c>
      <c r="H153" s="12">
        <v>0</v>
      </c>
      <c r="I153" s="14">
        <v>0.1885536817377701</v>
      </c>
      <c r="J153" s="9" t="str">
        <f t="shared" si="8"/>
        <v>Train</v>
      </c>
    </row>
    <row r="154" spans="1:10" x14ac:dyDescent="0.3">
      <c r="A154" s="3" t="str">
        <f t="shared" si="6"/>
        <v>C153</v>
      </c>
      <c r="B154" s="3" t="str">
        <f t="shared" ca="1" si="7"/>
        <v>Pharma</v>
      </c>
      <c r="C154" s="3">
        <v>153</v>
      </c>
      <c r="D154" s="3">
        <v>7.7</v>
      </c>
      <c r="E154" s="3">
        <v>5.5</v>
      </c>
      <c r="F154" s="3">
        <v>2.8</v>
      </c>
      <c r="G154" s="3" t="s">
        <v>9</v>
      </c>
      <c r="H154" s="12">
        <v>0</v>
      </c>
      <c r="I154" s="14">
        <v>0.94946076652214006</v>
      </c>
      <c r="J154" s="9" t="str">
        <f t="shared" si="8"/>
        <v>Test</v>
      </c>
    </row>
    <row r="155" spans="1:10" x14ac:dyDescent="0.3">
      <c r="A155" s="3" t="str">
        <f t="shared" si="6"/>
        <v>C154</v>
      </c>
      <c r="B155" s="3" t="str">
        <f t="shared" ca="1" si="7"/>
        <v>Transportation</v>
      </c>
      <c r="C155" s="3">
        <v>186</v>
      </c>
      <c r="D155" s="3">
        <v>3</v>
      </c>
      <c r="E155" s="3">
        <v>1.9</v>
      </c>
      <c r="F155" s="3">
        <v>1.3</v>
      </c>
      <c r="G155" s="3" t="s">
        <v>7</v>
      </c>
      <c r="H155" s="12">
        <v>0</v>
      </c>
      <c r="I155" s="14">
        <v>0.55008315537689756</v>
      </c>
      <c r="J155" s="9" t="str">
        <f t="shared" si="8"/>
        <v>Train</v>
      </c>
    </row>
    <row r="156" spans="1:10" x14ac:dyDescent="0.3">
      <c r="A156" s="3" t="str">
        <f t="shared" si="6"/>
        <v>C155</v>
      </c>
      <c r="B156" s="3" t="str">
        <f t="shared" ca="1" si="7"/>
        <v>Retail</v>
      </c>
      <c r="C156" s="3">
        <v>111</v>
      </c>
      <c r="D156" s="3">
        <v>7.6</v>
      </c>
      <c r="E156" s="3">
        <v>2.1</v>
      </c>
      <c r="F156" s="3">
        <v>2.1</v>
      </c>
      <c r="G156" s="3" t="s">
        <v>9</v>
      </c>
      <c r="H156" s="12">
        <v>0</v>
      </c>
      <c r="I156" s="14">
        <v>0.73052997590877689</v>
      </c>
      <c r="J156" s="9" t="str">
        <f t="shared" si="8"/>
        <v>Test</v>
      </c>
    </row>
    <row r="157" spans="1:10" x14ac:dyDescent="0.3">
      <c r="A157" s="3" t="str">
        <f t="shared" si="6"/>
        <v>C156</v>
      </c>
      <c r="B157" s="3" t="str">
        <f t="shared" ca="1" si="7"/>
        <v>Retail</v>
      </c>
      <c r="C157" s="3">
        <v>386</v>
      </c>
      <c r="D157" s="3">
        <v>5.9</v>
      </c>
      <c r="E157" s="3">
        <v>8.5</v>
      </c>
      <c r="F157" s="3">
        <v>0.6</v>
      </c>
      <c r="G157" s="3" t="s">
        <v>13</v>
      </c>
      <c r="H157" s="12">
        <v>0</v>
      </c>
      <c r="I157" s="14">
        <v>0.27655670721782444</v>
      </c>
      <c r="J157" s="9" t="str">
        <f t="shared" si="8"/>
        <v>Train</v>
      </c>
    </row>
    <row r="158" spans="1:10" x14ac:dyDescent="0.3">
      <c r="A158" s="3" t="str">
        <f t="shared" si="6"/>
        <v>C157</v>
      </c>
      <c r="B158" s="3" t="str">
        <f t="shared" ca="1" si="7"/>
        <v>Transportation</v>
      </c>
      <c r="C158" s="3">
        <v>238</v>
      </c>
      <c r="D158" s="3">
        <v>6.2</v>
      </c>
      <c r="E158" s="3">
        <v>7.8</v>
      </c>
      <c r="F158" s="3">
        <v>1.7</v>
      </c>
      <c r="G158" s="3" t="s">
        <v>9</v>
      </c>
      <c r="H158" s="12">
        <v>0</v>
      </c>
      <c r="I158" s="14">
        <v>0.65268472470813677</v>
      </c>
      <c r="J158" s="9" t="str">
        <f t="shared" si="8"/>
        <v>Train</v>
      </c>
    </row>
    <row r="159" spans="1:10" x14ac:dyDescent="0.3">
      <c r="A159" s="3" t="str">
        <f t="shared" si="6"/>
        <v>C158</v>
      </c>
      <c r="B159" s="3" t="str">
        <f t="shared" ca="1" si="7"/>
        <v>IT Services</v>
      </c>
      <c r="C159" s="3">
        <v>199</v>
      </c>
      <c r="D159" s="3">
        <v>7.3</v>
      </c>
      <c r="E159" s="3">
        <v>7.3</v>
      </c>
      <c r="F159" s="3">
        <v>1.8</v>
      </c>
      <c r="G159" s="3" t="s">
        <v>9</v>
      </c>
      <c r="H159" s="12">
        <v>0</v>
      </c>
      <c r="I159" s="14">
        <v>0.57164285579342489</v>
      </c>
      <c r="J159" s="9" t="str">
        <f t="shared" si="8"/>
        <v>Train</v>
      </c>
    </row>
    <row r="160" spans="1:10" x14ac:dyDescent="0.3">
      <c r="A160" s="3" t="str">
        <f t="shared" si="6"/>
        <v>C159</v>
      </c>
      <c r="B160" s="3" t="str">
        <f t="shared" ca="1" si="7"/>
        <v>Manufacturing</v>
      </c>
      <c r="C160" s="3">
        <v>57</v>
      </c>
      <c r="D160" s="3">
        <v>7.4</v>
      </c>
      <c r="E160" s="3">
        <v>7.8</v>
      </c>
      <c r="F160" s="3">
        <v>0.7</v>
      </c>
      <c r="G160" s="3" t="s">
        <v>9</v>
      </c>
      <c r="H160" s="12">
        <v>0</v>
      </c>
      <c r="I160" s="14">
        <v>4.9115802636889527E-2</v>
      </c>
      <c r="J160" s="9" t="str">
        <f t="shared" si="8"/>
        <v>Train</v>
      </c>
    </row>
    <row r="161" spans="1:10" x14ac:dyDescent="0.3">
      <c r="A161" s="3" t="str">
        <f t="shared" si="6"/>
        <v>C160</v>
      </c>
      <c r="B161" s="3" t="str">
        <f t="shared" ca="1" si="7"/>
        <v>Manufacturing</v>
      </c>
      <c r="C161" s="3">
        <v>140</v>
      </c>
      <c r="D161" s="3">
        <v>7.1</v>
      </c>
      <c r="E161" s="3">
        <v>8.1999999999999993</v>
      </c>
      <c r="F161" s="3">
        <v>3</v>
      </c>
      <c r="G161" s="3" t="s">
        <v>9</v>
      </c>
      <c r="H161" s="12">
        <v>0</v>
      </c>
      <c r="I161" s="14">
        <v>0.20525974537773306</v>
      </c>
      <c r="J161" s="9" t="str">
        <f t="shared" si="8"/>
        <v>Train</v>
      </c>
    </row>
    <row r="162" spans="1:10" x14ac:dyDescent="0.3">
      <c r="A162" s="3" t="str">
        <f t="shared" si="6"/>
        <v>C161</v>
      </c>
      <c r="B162" s="3" t="str">
        <f t="shared" ca="1" si="7"/>
        <v>Retail</v>
      </c>
      <c r="C162" s="3">
        <v>205</v>
      </c>
      <c r="D162" s="3">
        <v>5.7</v>
      </c>
      <c r="E162" s="3">
        <v>3.4</v>
      </c>
      <c r="F162" s="3">
        <v>1.5</v>
      </c>
      <c r="G162" s="3" t="s">
        <v>13</v>
      </c>
      <c r="H162" s="12">
        <v>0</v>
      </c>
      <c r="I162" s="14">
        <v>0.49134481787295081</v>
      </c>
      <c r="J162" s="9" t="str">
        <f t="shared" si="8"/>
        <v>Train</v>
      </c>
    </row>
    <row r="163" spans="1:10" x14ac:dyDescent="0.3">
      <c r="A163" s="3" t="str">
        <f t="shared" si="6"/>
        <v>C162</v>
      </c>
      <c r="B163" s="3" t="str">
        <f t="shared" ca="1" si="7"/>
        <v>Retail</v>
      </c>
      <c r="C163" s="3">
        <v>240</v>
      </c>
      <c r="D163" s="3">
        <v>0.7</v>
      </c>
      <c r="E163" s="3">
        <v>8.1999999999999993</v>
      </c>
      <c r="F163" s="3">
        <v>2.6</v>
      </c>
      <c r="G163" s="3" t="s">
        <v>11</v>
      </c>
      <c r="H163" s="12">
        <v>0</v>
      </c>
      <c r="I163" s="14">
        <v>9.3609786804807915E-2</v>
      </c>
      <c r="J163" s="9" t="str">
        <f t="shared" si="8"/>
        <v>Train</v>
      </c>
    </row>
    <row r="164" spans="1:10" x14ac:dyDescent="0.3">
      <c r="A164" s="3" t="str">
        <f t="shared" si="6"/>
        <v>C163</v>
      </c>
      <c r="B164" s="3" t="str">
        <f t="shared" ca="1" si="7"/>
        <v>Transportation</v>
      </c>
      <c r="C164" s="3">
        <v>331</v>
      </c>
      <c r="D164" s="3">
        <v>0.9</v>
      </c>
      <c r="E164" s="3">
        <v>3</v>
      </c>
      <c r="F164" s="3">
        <v>0.7</v>
      </c>
      <c r="G164" s="3" t="s">
        <v>11</v>
      </c>
      <c r="H164" s="12">
        <v>0</v>
      </c>
      <c r="I164" s="14">
        <v>0.57403871147477292</v>
      </c>
      <c r="J164" s="9" t="str">
        <f t="shared" si="8"/>
        <v>Train</v>
      </c>
    </row>
    <row r="165" spans="1:10" x14ac:dyDescent="0.3">
      <c r="A165" s="3" t="str">
        <f t="shared" si="6"/>
        <v>C164</v>
      </c>
      <c r="B165" s="3" t="str">
        <f t="shared" ca="1" si="7"/>
        <v>IT Services</v>
      </c>
      <c r="C165" s="3">
        <v>206</v>
      </c>
      <c r="D165" s="3">
        <v>3.8</v>
      </c>
      <c r="E165" s="3">
        <v>4.3</v>
      </c>
      <c r="F165" s="3">
        <v>2.5</v>
      </c>
      <c r="G165" s="3" t="s">
        <v>7</v>
      </c>
      <c r="H165" s="12">
        <v>0</v>
      </c>
      <c r="I165" s="14">
        <v>0.9009319779311934</v>
      </c>
      <c r="J165" s="9" t="str">
        <f t="shared" si="8"/>
        <v>Test</v>
      </c>
    </row>
    <row r="166" spans="1:10" x14ac:dyDescent="0.3">
      <c r="A166" s="3" t="str">
        <f t="shared" si="6"/>
        <v>C165</v>
      </c>
      <c r="B166" s="3" t="str">
        <f t="shared" ca="1" si="7"/>
        <v>Pharma</v>
      </c>
      <c r="C166" s="3">
        <v>156</v>
      </c>
      <c r="D166" s="3">
        <v>4</v>
      </c>
      <c r="E166" s="3">
        <v>3.3</v>
      </c>
      <c r="F166" s="3">
        <v>2.4</v>
      </c>
      <c r="G166" s="3" t="s">
        <v>13</v>
      </c>
      <c r="H166" s="12">
        <v>0</v>
      </c>
      <c r="I166" s="14">
        <v>0.10478301599754458</v>
      </c>
      <c r="J166" s="9" t="str">
        <f t="shared" si="8"/>
        <v>Train</v>
      </c>
    </row>
    <row r="167" spans="1:10" x14ac:dyDescent="0.3">
      <c r="A167" s="3" t="str">
        <f t="shared" si="6"/>
        <v>C166</v>
      </c>
      <c r="B167" s="3" t="str">
        <f t="shared" ca="1" si="7"/>
        <v>Retail</v>
      </c>
      <c r="C167" s="3">
        <v>155</v>
      </c>
      <c r="D167" s="3">
        <v>4.8</v>
      </c>
      <c r="E167" s="3">
        <v>7</v>
      </c>
      <c r="F167" s="3">
        <v>2.7</v>
      </c>
      <c r="G167" s="3" t="s">
        <v>13</v>
      </c>
      <c r="H167" s="12">
        <v>0</v>
      </c>
      <c r="I167" s="14">
        <v>0.4760081318461965</v>
      </c>
      <c r="J167" s="9" t="str">
        <f t="shared" si="8"/>
        <v>Train</v>
      </c>
    </row>
    <row r="168" spans="1:10" x14ac:dyDescent="0.3">
      <c r="A168" s="3" t="str">
        <f t="shared" si="6"/>
        <v>C167</v>
      </c>
      <c r="B168" s="3" t="str">
        <f t="shared" ca="1" si="7"/>
        <v>IT Services</v>
      </c>
      <c r="C168" s="3">
        <v>90</v>
      </c>
      <c r="D168" s="3">
        <v>7.4</v>
      </c>
      <c r="E168" s="3">
        <v>6.6</v>
      </c>
      <c r="F168" s="3">
        <v>0.7</v>
      </c>
      <c r="G168" s="3" t="s">
        <v>9</v>
      </c>
      <c r="H168" s="12">
        <v>0</v>
      </c>
      <c r="I168" s="14">
        <v>0.32530604324253343</v>
      </c>
      <c r="J168" s="9" t="str">
        <f t="shared" si="8"/>
        <v>Train</v>
      </c>
    </row>
    <row r="169" spans="1:10" x14ac:dyDescent="0.3">
      <c r="A169" s="3" t="str">
        <f t="shared" si="6"/>
        <v>C168</v>
      </c>
      <c r="B169" s="3" t="str">
        <f t="shared" ca="1" si="7"/>
        <v>Construction</v>
      </c>
      <c r="C169" s="3">
        <v>116</v>
      </c>
      <c r="D169" s="3">
        <v>0.6</v>
      </c>
      <c r="E169" s="3">
        <v>1.9</v>
      </c>
      <c r="F169" s="3">
        <v>1.7</v>
      </c>
      <c r="G169" s="3" t="s">
        <v>11</v>
      </c>
      <c r="H169" s="12">
        <v>0</v>
      </c>
      <c r="I169" s="14">
        <v>0.2428443146786935</v>
      </c>
      <c r="J169" s="9" t="str">
        <f t="shared" si="8"/>
        <v>Train</v>
      </c>
    </row>
    <row r="170" spans="1:10" x14ac:dyDescent="0.3">
      <c r="A170" s="3" t="str">
        <f t="shared" si="6"/>
        <v>C169</v>
      </c>
      <c r="B170" s="3" t="str">
        <f t="shared" ca="1" si="7"/>
        <v>Transportation</v>
      </c>
      <c r="C170" s="3">
        <v>431</v>
      </c>
      <c r="D170" s="3">
        <v>3.6</v>
      </c>
      <c r="E170" s="3">
        <v>6.2</v>
      </c>
      <c r="F170" s="3">
        <v>1</v>
      </c>
      <c r="G170" s="3" t="s">
        <v>7</v>
      </c>
      <c r="H170" s="12">
        <v>0</v>
      </c>
      <c r="I170" s="14">
        <v>0.78548913078003946</v>
      </c>
      <c r="J170" s="9" t="str">
        <f t="shared" si="8"/>
        <v>Test</v>
      </c>
    </row>
    <row r="171" spans="1:10" x14ac:dyDescent="0.3">
      <c r="A171" s="3" t="str">
        <f t="shared" si="6"/>
        <v>C170</v>
      </c>
      <c r="B171" s="3" t="str">
        <f t="shared" ca="1" si="7"/>
        <v>IT Services</v>
      </c>
      <c r="C171" s="3">
        <v>392</v>
      </c>
      <c r="D171" s="3">
        <v>5.8</v>
      </c>
      <c r="E171" s="3">
        <v>6.6</v>
      </c>
      <c r="F171" s="3">
        <v>1.7</v>
      </c>
      <c r="G171" s="3" t="s">
        <v>13</v>
      </c>
      <c r="H171" s="12">
        <v>0</v>
      </c>
      <c r="I171" s="14">
        <v>0.42699947907633851</v>
      </c>
      <c r="J171" s="9" t="str">
        <f t="shared" si="8"/>
        <v>Train</v>
      </c>
    </row>
    <row r="172" spans="1:10" x14ac:dyDescent="0.3">
      <c r="A172" s="3" t="str">
        <f t="shared" si="6"/>
        <v>C171</v>
      </c>
      <c r="B172" s="3" t="str">
        <f t="shared" ca="1" si="7"/>
        <v>Manufacturing</v>
      </c>
      <c r="C172" s="3">
        <v>476</v>
      </c>
      <c r="D172" s="3">
        <v>3.6</v>
      </c>
      <c r="E172" s="3">
        <v>6</v>
      </c>
      <c r="F172" s="3">
        <v>1.8</v>
      </c>
      <c r="G172" s="3" t="s">
        <v>7</v>
      </c>
      <c r="H172" s="12">
        <v>0</v>
      </c>
      <c r="I172" s="14">
        <v>0.58466094849983774</v>
      </c>
      <c r="J172" s="9" t="str">
        <f t="shared" si="8"/>
        <v>Train</v>
      </c>
    </row>
    <row r="173" spans="1:10" x14ac:dyDescent="0.3">
      <c r="A173" s="3" t="str">
        <f t="shared" si="6"/>
        <v>C172</v>
      </c>
      <c r="B173" s="3" t="str">
        <f t="shared" ca="1" si="7"/>
        <v>Transportation</v>
      </c>
      <c r="C173" s="3">
        <v>337</v>
      </c>
      <c r="D173" s="3">
        <v>5.6</v>
      </c>
      <c r="E173" s="3">
        <v>7.9</v>
      </c>
      <c r="F173" s="3">
        <v>1</v>
      </c>
      <c r="G173" s="3" t="s">
        <v>13</v>
      </c>
      <c r="H173" s="12">
        <v>0</v>
      </c>
      <c r="I173" s="14">
        <v>0.65023292879378836</v>
      </c>
      <c r="J173" s="9" t="str">
        <f t="shared" si="8"/>
        <v>Train</v>
      </c>
    </row>
    <row r="174" spans="1:10" x14ac:dyDescent="0.3">
      <c r="A174" s="3" t="str">
        <f t="shared" si="6"/>
        <v>C173</v>
      </c>
      <c r="B174" s="3" t="str">
        <f t="shared" ca="1" si="7"/>
        <v>Retail</v>
      </c>
      <c r="C174" s="3">
        <v>248</v>
      </c>
      <c r="D174" s="3">
        <v>0.8</v>
      </c>
      <c r="E174" s="3">
        <v>2.4</v>
      </c>
      <c r="F174" s="3">
        <v>1.3</v>
      </c>
      <c r="G174" s="3" t="s">
        <v>11</v>
      </c>
      <c r="H174" s="12">
        <v>0</v>
      </c>
      <c r="I174" s="14">
        <v>0.38195324372427997</v>
      </c>
      <c r="J174" s="9" t="str">
        <f t="shared" si="8"/>
        <v>Train</v>
      </c>
    </row>
    <row r="175" spans="1:10" x14ac:dyDescent="0.3">
      <c r="A175" s="3" t="str">
        <f t="shared" si="6"/>
        <v>C174</v>
      </c>
      <c r="B175" s="3" t="str">
        <f t="shared" ca="1" si="7"/>
        <v>Retail</v>
      </c>
      <c r="C175" s="3">
        <v>260</v>
      </c>
      <c r="D175" s="3">
        <v>3.4</v>
      </c>
      <c r="E175" s="3">
        <v>1.7</v>
      </c>
      <c r="F175" s="3">
        <v>1.6</v>
      </c>
      <c r="G175" s="3" t="s">
        <v>7</v>
      </c>
      <c r="H175" s="12">
        <v>0</v>
      </c>
      <c r="I175" s="14">
        <v>0.88344263345458152</v>
      </c>
      <c r="J175" s="9" t="str">
        <f t="shared" si="8"/>
        <v>Test</v>
      </c>
    </row>
    <row r="176" spans="1:10" x14ac:dyDescent="0.3">
      <c r="A176" s="3" t="str">
        <f t="shared" si="6"/>
        <v>C175</v>
      </c>
      <c r="B176" s="3" t="str">
        <f t="shared" ca="1" si="7"/>
        <v>IT Services</v>
      </c>
      <c r="C176" s="3">
        <v>491</v>
      </c>
      <c r="D176" s="3">
        <v>0.8</v>
      </c>
      <c r="E176" s="3">
        <v>1.8</v>
      </c>
      <c r="F176" s="3">
        <v>1.9</v>
      </c>
      <c r="G176" s="3" t="s">
        <v>11</v>
      </c>
      <c r="H176" s="12">
        <v>0</v>
      </c>
      <c r="I176" s="14">
        <v>0.8209182011322198</v>
      </c>
      <c r="J176" s="9" t="str">
        <f t="shared" si="8"/>
        <v>Test</v>
      </c>
    </row>
    <row r="177" spans="1:10" x14ac:dyDescent="0.3">
      <c r="A177" s="3" t="str">
        <f t="shared" si="6"/>
        <v>C176</v>
      </c>
      <c r="B177" s="3" t="str">
        <f t="shared" ca="1" si="7"/>
        <v>Retail</v>
      </c>
      <c r="C177" s="3">
        <v>134</v>
      </c>
      <c r="D177" s="3">
        <v>1.3</v>
      </c>
      <c r="E177" s="3">
        <v>2.8</v>
      </c>
      <c r="F177" s="3">
        <v>2.7</v>
      </c>
      <c r="G177" s="3" t="s">
        <v>11</v>
      </c>
      <c r="H177" s="12">
        <v>0</v>
      </c>
      <c r="I177" s="14">
        <v>0.83891803540822385</v>
      </c>
      <c r="J177" s="9" t="str">
        <f t="shared" si="8"/>
        <v>Test</v>
      </c>
    </row>
    <row r="178" spans="1:10" x14ac:dyDescent="0.3">
      <c r="A178" s="3" t="str">
        <f t="shared" si="6"/>
        <v>C177</v>
      </c>
      <c r="B178" s="3" t="str">
        <f t="shared" ca="1" si="7"/>
        <v>Manufacturing</v>
      </c>
      <c r="C178" s="3">
        <v>269</v>
      </c>
      <c r="D178" s="3">
        <v>3.3</v>
      </c>
      <c r="E178" s="3">
        <v>9.8000000000000007</v>
      </c>
      <c r="F178" s="3">
        <v>1.1000000000000001</v>
      </c>
      <c r="G178" s="3" t="s">
        <v>7</v>
      </c>
      <c r="H178" s="12">
        <v>0</v>
      </c>
      <c r="I178" s="14">
        <v>0.64996412089345257</v>
      </c>
      <c r="J178" s="9" t="str">
        <f t="shared" si="8"/>
        <v>Train</v>
      </c>
    </row>
    <row r="179" spans="1:10" x14ac:dyDescent="0.3">
      <c r="A179" s="3" t="str">
        <f t="shared" si="6"/>
        <v>C178</v>
      </c>
      <c r="B179" s="3" t="str">
        <f t="shared" ca="1" si="7"/>
        <v>Manufacturing</v>
      </c>
      <c r="C179" s="3">
        <v>297</v>
      </c>
      <c r="D179" s="3">
        <v>3.6</v>
      </c>
      <c r="E179" s="3">
        <v>8.8000000000000007</v>
      </c>
      <c r="F179" s="3">
        <v>0.8</v>
      </c>
      <c r="G179" s="3" t="s">
        <v>7</v>
      </c>
      <c r="H179" s="12">
        <v>0</v>
      </c>
      <c r="I179" s="14">
        <v>0.71733888717390903</v>
      </c>
      <c r="J179" s="9" t="str">
        <f t="shared" si="8"/>
        <v>Test</v>
      </c>
    </row>
    <row r="180" spans="1:10" x14ac:dyDescent="0.3">
      <c r="A180" s="3" t="str">
        <f t="shared" si="6"/>
        <v>C179</v>
      </c>
      <c r="B180" s="3" t="str">
        <f t="shared" ca="1" si="7"/>
        <v>IT Services</v>
      </c>
      <c r="C180" s="3">
        <v>224</v>
      </c>
      <c r="D180" s="3">
        <v>7.4</v>
      </c>
      <c r="E180" s="3">
        <v>3.7</v>
      </c>
      <c r="F180" s="3">
        <v>1.6</v>
      </c>
      <c r="G180" s="3" t="s">
        <v>9</v>
      </c>
      <c r="H180" s="12">
        <v>0</v>
      </c>
      <c r="I180" s="14">
        <v>0.13812698361176123</v>
      </c>
      <c r="J180" s="9" t="str">
        <f t="shared" si="8"/>
        <v>Train</v>
      </c>
    </row>
    <row r="181" spans="1:10" x14ac:dyDescent="0.3">
      <c r="A181" s="3" t="str">
        <f t="shared" si="6"/>
        <v>C180</v>
      </c>
      <c r="B181" s="3" t="str">
        <f t="shared" ca="1" si="7"/>
        <v>Transportation</v>
      </c>
      <c r="C181" s="3">
        <v>319</v>
      </c>
      <c r="D181" s="3">
        <v>1.3</v>
      </c>
      <c r="E181" s="3">
        <v>6.7</v>
      </c>
      <c r="F181" s="3">
        <v>2.4</v>
      </c>
      <c r="G181" s="3" t="s">
        <v>11</v>
      </c>
      <c r="H181" s="12">
        <v>0</v>
      </c>
      <c r="I181" s="14">
        <v>0.29101199531434452</v>
      </c>
      <c r="J181" s="9" t="str">
        <f t="shared" si="8"/>
        <v>Train</v>
      </c>
    </row>
    <row r="182" spans="1:10" x14ac:dyDescent="0.3">
      <c r="A182" s="3" t="str">
        <f t="shared" si="6"/>
        <v>C181</v>
      </c>
      <c r="B182" s="3" t="str">
        <f t="shared" ca="1" si="7"/>
        <v>Retail</v>
      </c>
      <c r="C182" s="3">
        <v>139</v>
      </c>
      <c r="D182" s="3">
        <v>5.2</v>
      </c>
      <c r="E182" s="3">
        <v>5.9</v>
      </c>
      <c r="F182" s="3">
        <v>2.4</v>
      </c>
      <c r="G182" s="3" t="s">
        <v>13</v>
      </c>
      <c r="H182" s="12">
        <v>0</v>
      </c>
      <c r="I182" s="14">
        <v>0.39310491836906036</v>
      </c>
      <c r="J182" s="9" t="str">
        <f t="shared" si="8"/>
        <v>Train</v>
      </c>
    </row>
    <row r="183" spans="1:10" x14ac:dyDescent="0.3">
      <c r="A183" s="3" t="str">
        <f t="shared" si="6"/>
        <v>C182</v>
      </c>
      <c r="B183" s="3" t="str">
        <f t="shared" ca="1" si="7"/>
        <v>Manufacturing</v>
      </c>
      <c r="C183" s="3">
        <v>270</v>
      </c>
      <c r="D183" s="3">
        <v>0.8</v>
      </c>
      <c r="E183" s="3">
        <v>3.1</v>
      </c>
      <c r="F183" s="3">
        <v>1.6</v>
      </c>
      <c r="G183" s="3" t="s">
        <v>11</v>
      </c>
      <c r="H183" s="12">
        <v>0</v>
      </c>
      <c r="I183" s="14">
        <v>0.9451901255924835</v>
      </c>
      <c r="J183" s="9" t="str">
        <f t="shared" si="8"/>
        <v>Test</v>
      </c>
    </row>
    <row r="184" spans="1:10" x14ac:dyDescent="0.3">
      <c r="A184" s="3" t="str">
        <f t="shared" si="6"/>
        <v>C183</v>
      </c>
      <c r="B184" s="3" t="str">
        <f t="shared" ca="1" si="7"/>
        <v>Construction</v>
      </c>
      <c r="C184" s="3">
        <v>243</v>
      </c>
      <c r="D184" s="3">
        <v>2.6</v>
      </c>
      <c r="E184" s="3">
        <v>5.4</v>
      </c>
      <c r="F184" s="3">
        <v>2.1</v>
      </c>
      <c r="G184" s="3" t="s">
        <v>7</v>
      </c>
      <c r="H184" s="12">
        <v>0</v>
      </c>
      <c r="I184" s="14">
        <v>0.92248807133728283</v>
      </c>
      <c r="J184" s="9" t="str">
        <f t="shared" si="8"/>
        <v>Test</v>
      </c>
    </row>
    <row r="185" spans="1:10" x14ac:dyDescent="0.3">
      <c r="A185" s="3" t="str">
        <f t="shared" si="6"/>
        <v>C184</v>
      </c>
      <c r="B185" s="3" t="str">
        <f t="shared" ca="1" si="7"/>
        <v>Construction</v>
      </c>
      <c r="C185" s="3">
        <v>330</v>
      </c>
      <c r="D185" s="3">
        <v>7.7</v>
      </c>
      <c r="E185" s="3">
        <v>8.9</v>
      </c>
      <c r="F185" s="3">
        <v>2</v>
      </c>
      <c r="G185" s="3" t="s">
        <v>9</v>
      </c>
      <c r="H185" s="12">
        <v>0</v>
      </c>
      <c r="I185" s="14">
        <v>0.15013846625581229</v>
      </c>
      <c r="J185" s="9" t="str">
        <f t="shared" si="8"/>
        <v>Train</v>
      </c>
    </row>
    <row r="186" spans="1:10" x14ac:dyDescent="0.3">
      <c r="A186" s="3" t="str">
        <f t="shared" si="6"/>
        <v>C185</v>
      </c>
      <c r="B186" s="3" t="str">
        <f t="shared" ca="1" si="7"/>
        <v>Manufacturing</v>
      </c>
      <c r="C186" s="3">
        <v>132</v>
      </c>
      <c r="D186" s="3">
        <v>1.1000000000000001</v>
      </c>
      <c r="E186" s="3">
        <v>1.3</v>
      </c>
      <c r="F186" s="3">
        <v>1.8</v>
      </c>
      <c r="G186" s="3" t="s">
        <v>11</v>
      </c>
      <c r="H186" s="12">
        <v>0</v>
      </c>
      <c r="I186" s="14">
        <v>0.81991953612318957</v>
      </c>
      <c r="J186" s="9" t="str">
        <f t="shared" si="8"/>
        <v>Test</v>
      </c>
    </row>
    <row r="187" spans="1:10" x14ac:dyDescent="0.3">
      <c r="A187" s="3" t="str">
        <f t="shared" si="6"/>
        <v>C186</v>
      </c>
      <c r="B187" s="3" t="str">
        <f t="shared" ca="1" si="7"/>
        <v>Retail</v>
      </c>
      <c r="C187" s="3">
        <v>326</v>
      </c>
      <c r="D187" s="3">
        <v>7.3</v>
      </c>
      <c r="E187" s="3">
        <v>6</v>
      </c>
      <c r="F187" s="3">
        <v>2.6</v>
      </c>
      <c r="G187" s="3" t="s">
        <v>9</v>
      </c>
      <c r="H187" s="12">
        <v>0</v>
      </c>
      <c r="I187" s="14">
        <v>0.19258404610780833</v>
      </c>
      <c r="J187" s="9" t="str">
        <f t="shared" si="8"/>
        <v>Train</v>
      </c>
    </row>
    <row r="188" spans="1:10" x14ac:dyDescent="0.3">
      <c r="A188" s="3" t="str">
        <f t="shared" si="6"/>
        <v>C187</v>
      </c>
      <c r="B188" s="3" t="str">
        <f t="shared" ca="1" si="7"/>
        <v>Retail</v>
      </c>
      <c r="C188" s="3">
        <v>307</v>
      </c>
      <c r="D188" s="3">
        <v>2.2000000000000002</v>
      </c>
      <c r="E188" s="3">
        <v>4.5</v>
      </c>
      <c r="F188" s="3">
        <v>1</v>
      </c>
      <c r="G188" s="3" t="s">
        <v>7</v>
      </c>
      <c r="H188" s="12">
        <v>0</v>
      </c>
      <c r="I188" s="14">
        <v>0.74138761017054999</v>
      </c>
      <c r="J188" s="9" t="str">
        <f t="shared" si="8"/>
        <v>Test</v>
      </c>
    </row>
    <row r="189" spans="1:10" x14ac:dyDescent="0.3">
      <c r="A189" s="3" t="str">
        <f t="shared" si="6"/>
        <v>C188</v>
      </c>
      <c r="B189" s="3" t="str">
        <f t="shared" ca="1" si="7"/>
        <v>Construction</v>
      </c>
      <c r="C189" s="3">
        <v>469</v>
      </c>
      <c r="D189" s="3">
        <v>4.7</v>
      </c>
      <c r="E189" s="3">
        <v>9.6999999999999993</v>
      </c>
      <c r="F189" s="3">
        <v>1.2</v>
      </c>
      <c r="G189" s="3" t="s">
        <v>13</v>
      </c>
      <c r="H189" s="12">
        <v>0</v>
      </c>
      <c r="I189" s="14">
        <v>0.45641504620928897</v>
      </c>
      <c r="J189" s="9" t="str">
        <f t="shared" si="8"/>
        <v>Train</v>
      </c>
    </row>
    <row r="190" spans="1:10" x14ac:dyDescent="0.3">
      <c r="A190" s="3" t="str">
        <f t="shared" si="6"/>
        <v>C189</v>
      </c>
      <c r="B190" s="3" t="str">
        <f t="shared" ca="1" si="7"/>
        <v>IT Services</v>
      </c>
      <c r="C190" s="3">
        <v>197</v>
      </c>
      <c r="D190" s="3">
        <v>4.9000000000000004</v>
      </c>
      <c r="E190" s="3">
        <v>0.8</v>
      </c>
      <c r="F190" s="3">
        <v>1.2</v>
      </c>
      <c r="G190" s="3" t="s">
        <v>13</v>
      </c>
      <c r="H190" s="12">
        <v>0</v>
      </c>
      <c r="I190" s="14">
        <v>0.13015002828551436</v>
      </c>
      <c r="J190" s="9" t="str">
        <f t="shared" si="8"/>
        <v>Train</v>
      </c>
    </row>
    <row r="191" spans="1:10" x14ac:dyDescent="0.3">
      <c r="A191" s="3" t="str">
        <f t="shared" si="6"/>
        <v>C190</v>
      </c>
      <c r="B191" s="3" t="str">
        <f t="shared" ca="1" si="7"/>
        <v>Retail</v>
      </c>
      <c r="C191" s="3">
        <v>168</v>
      </c>
      <c r="D191" s="3">
        <v>2.2999999999999998</v>
      </c>
      <c r="E191" s="3">
        <v>1.6</v>
      </c>
      <c r="F191" s="3">
        <v>2</v>
      </c>
      <c r="G191" s="3" t="s">
        <v>7</v>
      </c>
      <c r="H191" s="12">
        <v>0</v>
      </c>
      <c r="I191" s="14">
        <v>0.77493677315562604</v>
      </c>
      <c r="J191" s="9" t="str">
        <f t="shared" si="8"/>
        <v>Test</v>
      </c>
    </row>
    <row r="192" spans="1:10" x14ac:dyDescent="0.3">
      <c r="A192" s="3" t="str">
        <f t="shared" si="6"/>
        <v>C191</v>
      </c>
      <c r="B192" s="3" t="str">
        <f t="shared" ca="1" si="7"/>
        <v>Manufacturing</v>
      </c>
      <c r="C192" s="3">
        <v>468</v>
      </c>
      <c r="D192" s="3">
        <v>4.7</v>
      </c>
      <c r="E192" s="3">
        <v>0.9</v>
      </c>
      <c r="F192" s="3">
        <v>2</v>
      </c>
      <c r="G192" s="3" t="s">
        <v>13</v>
      </c>
      <c r="H192" s="12">
        <v>0</v>
      </c>
      <c r="I192" s="14">
        <v>0.21362244842508449</v>
      </c>
      <c r="J192" s="9" t="str">
        <f t="shared" si="8"/>
        <v>Train</v>
      </c>
    </row>
    <row r="193" spans="1:10" x14ac:dyDescent="0.3">
      <c r="A193" s="3" t="str">
        <f t="shared" si="6"/>
        <v>C192</v>
      </c>
      <c r="B193" s="3" t="str">
        <f t="shared" ca="1" si="7"/>
        <v>Construction</v>
      </c>
      <c r="C193" s="3">
        <v>435</v>
      </c>
      <c r="D193" s="3">
        <v>3.2</v>
      </c>
      <c r="E193" s="3">
        <v>2.7</v>
      </c>
      <c r="F193" s="3">
        <v>0.7</v>
      </c>
      <c r="G193" s="3" t="s">
        <v>7</v>
      </c>
      <c r="H193" s="12">
        <v>0</v>
      </c>
      <c r="I193" s="14">
        <v>0.65911802169368461</v>
      </c>
      <c r="J193" s="9" t="str">
        <f t="shared" si="8"/>
        <v>Train</v>
      </c>
    </row>
    <row r="194" spans="1:10" x14ac:dyDescent="0.3">
      <c r="A194" s="3" t="str">
        <f t="shared" si="6"/>
        <v>C193</v>
      </c>
      <c r="B194" s="3" t="str">
        <f t="shared" ca="1" si="7"/>
        <v>Pharma</v>
      </c>
      <c r="C194" s="3">
        <v>259</v>
      </c>
      <c r="D194" s="3">
        <v>3.6</v>
      </c>
      <c r="E194" s="3">
        <v>7.2</v>
      </c>
      <c r="F194" s="3">
        <v>0.7</v>
      </c>
      <c r="G194" s="3" t="s">
        <v>7</v>
      </c>
      <c r="H194" s="12">
        <v>0</v>
      </c>
      <c r="I194" s="14">
        <v>0.96059062415373719</v>
      </c>
      <c r="J194" s="9" t="str">
        <f t="shared" si="8"/>
        <v>Test</v>
      </c>
    </row>
    <row r="195" spans="1:10" x14ac:dyDescent="0.3">
      <c r="A195" s="3" t="str">
        <f t="shared" ref="A195:A258" si="9">"C"&amp;TEXT(ROW()-1,"000")</f>
        <v>C194</v>
      </c>
      <c r="B195" s="3" t="str">
        <f t="shared" ref="B195:B258" ca="1" si="10">CHOOSE(RANDBETWEEN(1,6),
"Manufacturing",
"Retail",
"Pharma",
"Construction",
"Transportation",
"IT Services")</f>
        <v>Manufacturing</v>
      </c>
      <c r="C195" s="3">
        <v>366</v>
      </c>
      <c r="D195" s="3">
        <v>5</v>
      </c>
      <c r="E195" s="3">
        <v>8.9</v>
      </c>
      <c r="F195" s="3">
        <v>2.1</v>
      </c>
      <c r="G195" s="3" t="s">
        <v>13</v>
      </c>
      <c r="H195" s="12">
        <v>0</v>
      </c>
      <c r="I195" s="14">
        <v>0.85259554385564773</v>
      </c>
      <c r="J195" s="9" t="str">
        <f t="shared" ref="J195:J258" si="11">IF(I195&lt;=0.7,"Train","Test")</f>
        <v>Test</v>
      </c>
    </row>
    <row r="196" spans="1:10" x14ac:dyDescent="0.3">
      <c r="A196" s="3" t="str">
        <f t="shared" si="9"/>
        <v>C195</v>
      </c>
      <c r="B196" s="3" t="str">
        <f t="shared" ca="1" si="10"/>
        <v>Pharma</v>
      </c>
      <c r="C196" s="3">
        <v>102</v>
      </c>
      <c r="D196" s="3">
        <v>6.3</v>
      </c>
      <c r="E196" s="3">
        <v>8.1999999999999993</v>
      </c>
      <c r="F196" s="3">
        <v>2.7</v>
      </c>
      <c r="G196" s="3" t="s">
        <v>9</v>
      </c>
      <c r="H196" s="12">
        <v>0</v>
      </c>
      <c r="I196" s="14">
        <v>0.61106590447832532</v>
      </c>
      <c r="J196" s="9" t="str">
        <f t="shared" si="11"/>
        <v>Train</v>
      </c>
    </row>
    <row r="197" spans="1:10" x14ac:dyDescent="0.3">
      <c r="A197" s="3" t="str">
        <f t="shared" si="9"/>
        <v>C196</v>
      </c>
      <c r="B197" s="3" t="str">
        <f t="shared" ca="1" si="10"/>
        <v>Transportation</v>
      </c>
      <c r="C197" s="3">
        <v>62</v>
      </c>
      <c r="D197" s="3">
        <v>5.4</v>
      </c>
      <c r="E197" s="3">
        <v>7.7</v>
      </c>
      <c r="F197" s="3">
        <v>2.9</v>
      </c>
      <c r="G197" s="3" t="s">
        <v>13</v>
      </c>
      <c r="H197" s="12">
        <v>0</v>
      </c>
      <c r="I197" s="14">
        <v>0.57535266036605393</v>
      </c>
      <c r="J197" s="9" t="str">
        <f t="shared" si="11"/>
        <v>Train</v>
      </c>
    </row>
    <row r="198" spans="1:10" x14ac:dyDescent="0.3">
      <c r="A198" s="3" t="str">
        <f t="shared" si="9"/>
        <v>C197</v>
      </c>
      <c r="B198" s="3" t="str">
        <f t="shared" ca="1" si="10"/>
        <v>Manufacturing</v>
      </c>
      <c r="C198" s="3">
        <v>85</v>
      </c>
      <c r="D198" s="3">
        <v>7.4</v>
      </c>
      <c r="E198" s="3">
        <v>8.3000000000000007</v>
      </c>
      <c r="F198" s="3">
        <v>1.9</v>
      </c>
      <c r="G198" s="3" t="s">
        <v>9</v>
      </c>
      <c r="H198" s="12">
        <v>0</v>
      </c>
      <c r="I198" s="14">
        <v>0.70347803401625164</v>
      </c>
      <c r="J198" s="9" t="str">
        <f t="shared" si="11"/>
        <v>Test</v>
      </c>
    </row>
    <row r="199" spans="1:10" x14ac:dyDescent="0.3">
      <c r="A199" s="3" t="str">
        <f t="shared" si="9"/>
        <v>C198</v>
      </c>
      <c r="B199" s="3" t="str">
        <f t="shared" ca="1" si="10"/>
        <v>Transportation</v>
      </c>
      <c r="C199" s="3">
        <v>351</v>
      </c>
      <c r="D199" s="3">
        <v>3.9</v>
      </c>
      <c r="E199" s="3">
        <v>7.7</v>
      </c>
      <c r="F199" s="3">
        <v>2.4</v>
      </c>
      <c r="G199" s="3" t="s">
        <v>7</v>
      </c>
      <c r="H199" s="12">
        <v>0</v>
      </c>
      <c r="I199" s="14">
        <v>0.7205737155112949</v>
      </c>
      <c r="J199" s="9" t="str">
        <f t="shared" si="11"/>
        <v>Test</v>
      </c>
    </row>
    <row r="200" spans="1:10" x14ac:dyDescent="0.3">
      <c r="A200" s="3" t="str">
        <f t="shared" si="9"/>
        <v>C199</v>
      </c>
      <c r="B200" s="3" t="str">
        <f t="shared" ca="1" si="10"/>
        <v>Construction</v>
      </c>
      <c r="C200" s="3">
        <v>388</v>
      </c>
      <c r="D200" s="3">
        <v>8</v>
      </c>
      <c r="E200" s="3">
        <v>6.4</v>
      </c>
      <c r="F200" s="3">
        <v>1.4</v>
      </c>
      <c r="G200" s="3" t="s">
        <v>9</v>
      </c>
      <c r="H200" s="12">
        <v>0</v>
      </c>
      <c r="I200" s="14">
        <v>0.99774678331883648</v>
      </c>
      <c r="J200" s="9" t="str">
        <f t="shared" si="11"/>
        <v>Test</v>
      </c>
    </row>
    <row r="201" spans="1:10" x14ac:dyDescent="0.3">
      <c r="A201" s="3" t="str">
        <f t="shared" si="9"/>
        <v>C200</v>
      </c>
      <c r="B201" s="3" t="str">
        <f t="shared" ca="1" si="10"/>
        <v>Retail</v>
      </c>
      <c r="C201" s="3">
        <v>199</v>
      </c>
      <c r="D201" s="3">
        <v>1.1000000000000001</v>
      </c>
      <c r="E201" s="3">
        <v>2.1</v>
      </c>
      <c r="F201" s="3">
        <v>1.5</v>
      </c>
      <c r="G201" s="3" t="s">
        <v>11</v>
      </c>
      <c r="H201" s="12">
        <v>0</v>
      </c>
      <c r="I201" s="14">
        <v>0.35762445800039722</v>
      </c>
      <c r="J201" s="9" t="str">
        <f t="shared" si="11"/>
        <v>Train</v>
      </c>
    </row>
    <row r="202" spans="1:10" x14ac:dyDescent="0.3">
      <c r="A202" s="3" t="str">
        <f t="shared" si="9"/>
        <v>C201</v>
      </c>
      <c r="B202" s="3" t="str">
        <f t="shared" ca="1" si="10"/>
        <v>Construction</v>
      </c>
      <c r="C202" s="3">
        <v>422</v>
      </c>
      <c r="D202" s="3">
        <v>4.5999999999999996</v>
      </c>
      <c r="E202" s="3">
        <v>4.4000000000000004</v>
      </c>
      <c r="F202" s="3">
        <v>0.6</v>
      </c>
      <c r="G202" s="3" t="s">
        <v>13</v>
      </c>
      <c r="H202" s="12">
        <v>0</v>
      </c>
      <c r="I202" s="14">
        <v>0.60379894236193732</v>
      </c>
      <c r="J202" s="9" t="str">
        <f t="shared" si="11"/>
        <v>Train</v>
      </c>
    </row>
    <row r="203" spans="1:10" x14ac:dyDescent="0.3">
      <c r="A203" s="3" t="str">
        <f t="shared" si="9"/>
        <v>C202</v>
      </c>
      <c r="B203" s="3" t="str">
        <f t="shared" ca="1" si="10"/>
        <v>Manufacturing</v>
      </c>
      <c r="C203" s="3">
        <v>93</v>
      </c>
      <c r="D203" s="3">
        <v>7</v>
      </c>
      <c r="E203" s="3">
        <v>8.9</v>
      </c>
      <c r="F203" s="3">
        <v>1.9</v>
      </c>
      <c r="G203" s="3" t="s">
        <v>9</v>
      </c>
      <c r="H203" s="12">
        <v>0</v>
      </c>
      <c r="I203" s="14">
        <v>2.6481326416889717E-2</v>
      </c>
      <c r="J203" s="9" t="str">
        <f t="shared" si="11"/>
        <v>Train</v>
      </c>
    </row>
    <row r="204" spans="1:10" x14ac:dyDescent="0.3">
      <c r="A204" s="3" t="str">
        <f t="shared" si="9"/>
        <v>C203</v>
      </c>
      <c r="B204" s="3" t="str">
        <f t="shared" ca="1" si="10"/>
        <v>Transportation</v>
      </c>
      <c r="C204" s="3">
        <v>109</v>
      </c>
      <c r="D204" s="3">
        <v>4.2</v>
      </c>
      <c r="E204" s="3">
        <v>6.3</v>
      </c>
      <c r="F204" s="3">
        <v>1.8</v>
      </c>
      <c r="G204" s="3" t="s">
        <v>13</v>
      </c>
      <c r="H204" s="12">
        <v>0</v>
      </c>
      <c r="I204" s="14">
        <v>0.32362141806804379</v>
      </c>
      <c r="J204" s="9" t="str">
        <f t="shared" si="11"/>
        <v>Train</v>
      </c>
    </row>
    <row r="205" spans="1:10" x14ac:dyDescent="0.3">
      <c r="A205" s="3" t="str">
        <f t="shared" si="9"/>
        <v>C204</v>
      </c>
      <c r="B205" s="3" t="str">
        <f t="shared" ca="1" si="10"/>
        <v>Pharma</v>
      </c>
      <c r="C205" s="3">
        <v>267</v>
      </c>
      <c r="D205" s="3">
        <v>3.1</v>
      </c>
      <c r="E205" s="3">
        <v>9.1999999999999993</v>
      </c>
      <c r="F205" s="3">
        <v>1.2</v>
      </c>
      <c r="G205" s="3" t="s">
        <v>7</v>
      </c>
      <c r="H205" s="12">
        <v>0</v>
      </c>
      <c r="I205" s="14">
        <v>0.79313713239086969</v>
      </c>
      <c r="J205" s="9" t="str">
        <f t="shared" si="11"/>
        <v>Test</v>
      </c>
    </row>
    <row r="206" spans="1:10" x14ac:dyDescent="0.3">
      <c r="A206" s="3" t="str">
        <f t="shared" si="9"/>
        <v>C205</v>
      </c>
      <c r="B206" s="3" t="str">
        <f t="shared" ca="1" si="10"/>
        <v>IT Services</v>
      </c>
      <c r="C206" s="3">
        <v>380</v>
      </c>
      <c r="D206" s="3">
        <v>4.2</v>
      </c>
      <c r="E206" s="3">
        <v>6.8</v>
      </c>
      <c r="F206" s="3">
        <v>0.9</v>
      </c>
      <c r="G206" s="3" t="s">
        <v>13</v>
      </c>
      <c r="H206" s="12">
        <v>0</v>
      </c>
      <c r="I206" s="14">
        <v>0.59240848061656859</v>
      </c>
      <c r="J206" s="9" t="str">
        <f t="shared" si="11"/>
        <v>Train</v>
      </c>
    </row>
    <row r="207" spans="1:10" x14ac:dyDescent="0.3">
      <c r="A207" s="3" t="str">
        <f t="shared" si="9"/>
        <v>C206</v>
      </c>
      <c r="B207" s="3" t="str">
        <f t="shared" ca="1" si="10"/>
        <v>Transportation</v>
      </c>
      <c r="C207" s="3">
        <v>370</v>
      </c>
      <c r="D207" s="3">
        <v>6.6</v>
      </c>
      <c r="E207" s="3">
        <v>0.7</v>
      </c>
      <c r="F207" s="3">
        <v>1.4</v>
      </c>
      <c r="G207" s="3" t="s">
        <v>9</v>
      </c>
      <c r="H207" s="12">
        <v>0</v>
      </c>
      <c r="I207" s="14">
        <v>0.13661790411469299</v>
      </c>
      <c r="J207" s="9" t="str">
        <f t="shared" si="11"/>
        <v>Train</v>
      </c>
    </row>
    <row r="208" spans="1:10" x14ac:dyDescent="0.3">
      <c r="A208" s="3" t="str">
        <f t="shared" si="9"/>
        <v>C207</v>
      </c>
      <c r="B208" s="3" t="str">
        <f t="shared" ca="1" si="10"/>
        <v>IT Services</v>
      </c>
      <c r="C208" s="3">
        <v>285</v>
      </c>
      <c r="D208" s="3">
        <v>2.9</v>
      </c>
      <c r="E208" s="3">
        <v>3.6</v>
      </c>
      <c r="F208" s="3">
        <v>2.2999999999999998</v>
      </c>
      <c r="G208" s="3" t="s">
        <v>7</v>
      </c>
      <c r="H208" s="12">
        <v>0</v>
      </c>
      <c r="I208" s="14">
        <v>0.62024616967313828</v>
      </c>
      <c r="J208" s="9" t="str">
        <f t="shared" si="11"/>
        <v>Train</v>
      </c>
    </row>
    <row r="209" spans="1:10" x14ac:dyDescent="0.3">
      <c r="A209" s="3" t="str">
        <f t="shared" si="9"/>
        <v>C208</v>
      </c>
      <c r="B209" s="3" t="str">
        <f t="shared" ca="1" si="10"/>
        <v>IT Services</v>
      </c>
      <c r="C209" s="3">
        <v>53</v>
      </c>
      <c r="D209" s="3">
        <v>5.8</v>
      </c>
      <c r="E209" s="3">
        <v>1.6</v>
      </c>
      <c r="F209" s="3">
        <v>1.3</v>
      </c>
      <c r="G209" s="3" t="s">
        <v>13</v>
      </c>
      <c r="H209" s="12">
        <v>0</v>
      </c>
      <c r="I209" s="14">
        <v>0.10229964814591463</v>
      </c>
      <c r="J209" s="9" t="str">
        <f t="shared" si="11"/>
        <v>Train</v>
      </c>
    </row>
    <row r="210" spans="1:10" x14ac:dyDescent="0.3">
      <c r="A210" s="3" t="str">
        <f t="shared" si="9"/>
        <v>C209</v>
      </c>
      <c r="B210" s="3" t="str">
        <f t="shared" ca="1" si="10"/>
        <v>Construction</v>
      </c>
      <c r="C210" s="3">
        <v>430</v>
      </c>
      <c r="D210" s="3">
        <v>6.7</v>
      </c>
      <c r="E210" s="3">
        <v>6.1</v>
      </c>
      <c r="F210" s="3">
        <v>2.8</v>
      </c>
      <c r="G210" s="3" t="s">
        <v>9</v>
      </c>
      <c r="H210" s="12">
        <v>0</v>
      </c>
      <c r="I210" s="14">
        <v>0.59849889696366965</v>
      </c>
      <c r="J210" s="9" t="str">
        <f t="shared" si="11"/>
        <v>Train</v>
      </c>
    </row>
    <row r="211" spans="1:10" x14ac:dyDescent="0.3">
      <c r="A211" s="3" t="str">
        <f t="shared" si="9"/>
        <v>C210</v>
      </c>
      <c r="B211" s="3" t="str">
        <f t="shared" ca="1" si="10"/>
        <v>Transportation</v>
      </c>
      <c r="C211" s="3">
        <v>415</v>
      </c>
      <c r="D211" s="3">
        <v>1.1000000000000001</v>
      </c>
      <c r="E211" s="3">
        <v>3.4</v>
      </c>
      <c r="F211" s="3">
        <v>2</v>
      </c>
      <c r="G211" s="3" t="s">
        <v>11</v>
      </c>
      <c r="H211" s="12">
        <v>0</v>
      </c>
      <c r="I211" s="14">
        <v>0.90197715733744133</v>
      </c>
      <c r="J211" s="9" t="str">
        <f t="shared" si="11"/>
        <v>Test</v>
      </c>
    </row>
    <row r="212" spans="1:10" x14ac:dyDescent="0.3">
      <c r="A212" s="3" t="str">
        <f t="shared" si="9"/>
        <v>C211</v>
      </c>
      <c r="B212" s="3" t="str">
        <f t="shared" ca="1" si="10"/>
        <v>Manufacturing</v>
      </c>
      <c r="C212" s="3">
        <v>242</v>
      </c>
      <c r="D212" s="3">
        <v>3.1</v>
      </c>
      <c r="E212" s="3">
        <v>8.5</v>
      </c>
      <c r="F212" s="3">
        <v>1.4</v>
      </c>
      <c r="G212" s="3" t="s">
        <v>7</v>
      </c>
      <c r="H212" s="12">
        <v>0</v>
      </c>
      <c r="I212" s="14">
        <v>0.90479119068116598</v>
      </c>
      <c r="J212" s="9" t="str">
        <f t="shared" si="11"/>
        <v>Test</v>
      </c>
    </row>
    <row r="213" spans="1:10" x14ac:dyDescent="0.3">
      <c r="A213" s="3" t="str">
        <f t="shared" si="9"/>
        <v>C212</v>
      </c>
      <c r="B213" s="3" t="str">
        <f t="shared" ca="1" si="10"/>
        <v>Construction</v>
      </c>
      <c r="C213" s="3">
        <v>373</v>
      </c>
      <c r="D213" s="3">
        <v>3.4</v>
      </c>
      <c r="E213" s="3">
        <v>3.1</v>
      </c>
      <c r="F213" s="3">
        <v>2.7</v>
      </c>
      <c r="G213" s="3" t="s">
        <v>7</v>
      </c>
      <c r="H213" s="12">
        <v>0</v>
      </c>
      <c r="I213" s="14">
        <v>0.90244604412452489</v>
      </c>
      <c r="J213" s="9" t="str">
        <f t="shared" si="11"/>
        <v>Test</v>
      </c>
    </row>
    <row r="214" spans="1:10" x14ac:dyDescent="0.3">
      <c r="A214" s="3" t="str">
        <f t="shared" si="9"/>
        <v>C213</v>
      </c>
      <c r="B214" s="3" t="str">
        <f t="shared" ca="1" si="10"/>
        <v>Retail</v>
      </c>
      <c r="C214" s="3">
        <v>129</v>
      </c>
      <c r="D214" s="3">
        <v>6.2</v>
      </c>
      <c r="E214" s="3">
        <v>4.4000000000000004</v>
      </c>
      <c r="F214" s="3">
        <v>1.4</v>
      </c>
      <c r="G214" s="3" t="s">
        <v>9</v>
      </c>
      <c r="H214" s="12">
        <v>0</v>
      </c>
      <c r="I214" s="14">
        <v>0.79248897332431323</v>
      </c>
      <c r="J214" s="9" t="str">
        <f t="shared" si="11"/>
        <v>Test</v>
      </c>
    </row>
    <row r="215" spans="1:10" x14ac:dyDescent="0.3">
      <c r="A215" s="3" t="str">
        <f t="shared" si="9"/>
        <v>C214</v>
      </c>
      <c r="B215" s="3" t="str">
        <f t="shared" ca="1" si="10"/>
        <v>Transportation</v>
      </c>
      <c r="C215" s="3">
        <v>407</v>
      </c>
      <c r="D215" s="3">
        <v>5.2</v>
      </c>
      <c r="E215" s="3">
        <v>6.2</v>
      </c>
      <c r="F215" s="3">
        <v>2.5</v>
      </c>
      <c r="G215" s="3" t="s">
        <v>13</v>
      </c>
      <c r="H215" s="12">
        <v>0</v>
      </c>
      <c r="I215" s="14">
        <v>0.8244375064081696</v>
      </c>
      <c r="J215" s="9" t="str">
        <f t="shared" si="11"/>
        <v>Test</v>
      </c>
    </row>
    <row r="216" spans="1:10" x14ac:dyDescent="0.3">
      <c r="A216" s="3" t="str">
        <f t="shared" si="9"/>
        <v>C215</v>
      </c>
      <c r="B216" s="3" t="str">
        <f t="shared" ca="1" si="10"/>
        <v>IT Services</v>
      </c>
      <c r="C216" s="3">
        <v>135</v>
      </c>
      <c r="D216" s="3">
        <v>1.4</v>
      </c>
      <c r="E216" s="3">
        <v>6.7</v>
      </c>
      <c r="F216" s="3">
        <v>1</v>
      </c>
      <c r="G216" s="3" t="s">
        <v>11</v>
      </c>
      <c r="H216" s="12">
        <v>0</v>
      </c>
      <c r="I216" s="14">
        <v>0.82202522176401072</v>
      </c>
      <c r="J216" s="9" t="str">
        <f t="shared" si="11"/>
        <v>Test</v>
      </c>
    </row>
    <row r="217" spans="1:10" x14ac:dyDescent="0.3">
      <c r="A217" s="3" t="str">
        <f t="shared" si="9"/>
        <v>C216</v>
      </c>
      <c r="B217" s="3" t="str">
        <f t="shared" ca="1" si="10"/>
        <v>Pharma</v>
      </c>
      <c r="C217" s="3">
        <v>50</v>
      </c>
      <c r="D217" s="3">
        <v>3.6</v>
      </c>
      <c r="E217" s="3">
        <v>5.9</v>
      </c>
      <c r="F217" s="3">
        <v>2.8</v>
      </c>
      <c r="G217" s="3" t="s">
        <v>7</v>
      </c>
      <c r="H217" s="12">
        <v>0</v>
      </c>
      <c r="I217" s="14">
        <v>0.5981236819435668</v>
      </c>
      <c r="J217" s="9" t="str">
        <f t="shared" si="11"/>
        <v>Train</v>
      </c>
    </row>
    <row r="218" spans="1:10" x14ac:dyDescent="0.3">
      <c r="A218" s="3" t="str">
        <f t="shared" si="9"/>
        <v>C217</v>
      </c>
      <c r="B218" s="3" t="str">
        <f t="shared" ca="1" si="10"/>
        <v>IT Services</v>
      </c>
      <c r="C218" s="3">
        <v>346</v>
      </c>
      <c r="D218" s="3">
        <v>1</v>
      </c>
      <c r="E218" s="3">
        <v>8.1999999999999993</v>
      </c>
      <c r="F218" s="3">
        <v>2</v>
      </c>
      <c r="G218" s="3" t="s">
        <v>11</v>
      </c>
      <c r="H218" s="12">
        <v>0</v>
      </c>
      <c r="I218" s="14">
        <v>0.90536843766168962</v>
      </c>
      <c r="J218" s="9" t="str">
        <f t="shared" si="11"/>
        <v>Test</v>
      </c>
    </row>
    <row r="219" spans="1:10" x14ac:dyDescent="0.3">
      <c r="A219" s="3" t="str">
        <f t="shared" si="9"/>
        <v>C218</v>
      </c>
      <c r="B219" s="3" t="str">
        <f t="shared" ca="1" si="10"/>
        <v>IT Services</v>
      </c>
      <c r="C219" s="3">
        <v>419</v>
      </c>
      <c r="D219" s="3">
        <v>7.3</v>
      </c>
      <c r="E219" s="3">
        <v>4.7</v>
      </c>
      <c r="F219" s="3">
        <v>0.7</v>
      </c>
      <c r="G219" s="3" t="s">
        <v>9</v>
      </c>
      <c r="H219" s="12">
        <v>0</v>
      </c>
      <c r="I219" s="14">
        <v>0.41888301450314291</v>
      </c>
      <c r="J219" s="9" t="str">
        <f t="shared" si="11"/>
        <v>Train</v>
      </c>
    </row>
    <row r="220" spans="1:10" x14ac:dyDescent="0.3">
      <c r="A220" s="3" t="str">
        <f t="shared" si="9"/>
        <v>C219</v>
      </c>
      <c r="B220" s="3" t="str">
        <f t="shared" ca="1" si="10"/>
        <v>Construction</v>
      </c>
      <c r="C220" s="3">
        <v>330</v>
      </c>
      <c r="D220" s="3">
        <v>6.7</v>
      </c>
      <c r="E220" s="3">
        <v>1.6</v>
      </c>
      <c r="F220" s="3">
        <v>1.7</v>
      </c>
      <c r="G220" s="3" t="s">
        <v>9</v>
      </c>
      <c r="H220" s="12">
        <v>0</v>
      </c>
      <c r="I220" s="14">
        <v>0.58119153724305272</v>
      </c>
      <c r="J220" s="9" t="str">
        <f t="shared" si="11"/>
        <v>Train</v>
      </c>
    </row>
    <row r="221" spans="1:10" x14ac:dyDescent="0.3">
      <c r="A221" s="3" t="str">
        <f t="shared" si="9"/>
        <v>C220</v>
      </c>
      <c r="B221" s="3" t="str">
        <f t="shared" ca="1" si="10"/>
        <v>Construction</v>
      </c>
      <c r="C221" s="3">
        <v>147</v>
      </c>
      <c r="D221" s="3">
        <v>6.1</v>
      </c>
      <c r="E221" s="3">
        <v>4.5999999999999996</v>
      </c>
      <c r="F221" s="3">
        <v>2.5</v>
      </c>
      <c r="G221" s="3" t="s">
        <v>9</v>
      </c>
      <c r="H221" s="12">
        <v>0</v>
      </c>
      <c r="I221" s="14">
        <v>0.65128035137895923</v>
      </c>
      <c r="J221" s="9" t="str">
        <f t="shared" si="11"/>
        <v>Train</v>
      </c>
    </row>
    <row r="222" spans="1:10" x14ac:dyDescent="0.3">
      <c r="A222" s="3" t="str">
        <f t="shared" si="9"/>
        <v>C221</v>
      </c>
      <c r="B222" s="3" t="str">
        <f t="shared" ca="1" si="10"/>
        <v>Retail</v>
      </c>
      <c r="C222" s="3">
        <v>60</v>
      </c>
      <c r="D222" s="3">
        <v>4.5999999999999996</v>
      </c>
      <c r="E222" s="3">
        <v>4.0999999999999996</v>
      </c>
      <c r="F222" s="3">
        <v>2.9</v>
      </c>
      <c r="G222" s="3" t="s">
        <v>13</v>
      </c>
      <c r="H222" s="12">
        <v>0</v>
      </c>
      <c r="I222" s="14">
        <v>0.50669631722860142</v>
      </c>
      <c r="J222" s="9" t="str">
        <f t="shared" si="11"/>
        <v>Train</v>
      </c>
    </row>
    <row r="223" spans="1:10" x14ac:dyDescent="0.3">
      <c r="A223" s="3" t="str">
        <f t="shared" si="9"/>
        <v>C222</v>
      </c>
      <c r="B223" s="3" t="str">
        <f t="shared" ca="1" si="10"/>
        <v>Construction</v>
      </c>
      <c r="C223" s="3">
        <v>482</v>
      </c>
      <c r="D223" s="3">
        <v>3.8</v>
      </c>
      <c r="E223" s="3">
        <v>6.8</v>
      </c>
      <c r="F223" s="3">
        <v>3</v>
      </c>
      <c r="G223" s="3" t="s">
        <v>7</v>
      </c>
      <c r="H223" s="12">
        <v>0</v>
      </c>
      <c r="I223" s="14">
        <v>0.49834995868371346</v>
      </c>
      <c r="J223" s="9" t="str">
        <f t="shared" si="11"/>
        <v>Train</v>
      </c>
    </row>
    <row r="224" spans="1:10" x14ac:dyDescent="0.3">
      <c r="A224" s="3" t="str">
        <f t="shared" si="9"/>
        <v>C223</v>
      </c>
      <c r="B224" s="3" t="str">
        <f t="shared" ca="1" si="10"/>
        <v>Transportation</v>
      </c>
      <c r="C224" s="3">
        <v>273</v>
      </c>
      <c r="D224" s="3">
        <v>4.4000000000000004</v>
      </c>
      <c r="E224" s="3">
        <v>6.5</v>
      </c>
      <c r="F224" s="3">
        <v>2</v>
      </c>
      <c r="G224" s="3" t="s">
        <v>13</v>
      </c>
      <c r="H224" s="12">
        <v>0</v>
      </c>
      <c r="I224" s="14">
        <v>0.19545234988326754</v>
      </c>
      <c r="J224" s="9" t="str">
        <f t="shared" si="11"/>
        <v>Train</v>
      </c>
    </row>
    <row r="225" spans="1:10" x14ac:dyDescent="0.3">
      <c r="A225" s="3" t="str">
        <f t="shared" si="9"/>
        <v>C224</v>
      </c>
      <c r="B225" s="3" t="str">
        <f t="shared" ca="1" si="10"/>
        <v>Pharma</v>
      </c>
      <c r="C225" s="3">
        <v>475</v>
      </c>
      <c r="D225" s="3">
        <v>0.5</v>
      </c>
      <c r="E225" s="3">
        <v>2.8</v>
      </c>
      <c r="F225" s="3">
        <v>0.6</v>
      </c>
      <c r="G225" s="3" t="s">
        <v>11</v>
      </c>
      <c r="H225" s="12">
        <v>0</v>
      </c>
      <c r="I225" s="14">
        <v>0.66105880165665765</v>
      </c>
      <c r="J225" s="9" t="str">
        <f t="shared" si="11"/>
        <v>Train</v>
      </c>
    </row>
    <row r="226" spans="1:10" x14ac:dyDescent="0.3">
      <c r="A226" s="3" t="str">
        <f t="shared" si="9"/>
        <v>C225</v>
      </c>
      <c r="B226" s="3" t="str">
        <f t="shared" ca="1" si="10"/>
        <v>Transportation</v>
      </c>
      <c r="C226" s="3">
        <v>310</v>
      </c>
      <c r="D226" s="3">
        <v>7.8</v>
      </c>
      <c r="E226" s="3">
        <v>5.3</v>
      </c>
      <c r="F226" s="3">
        <v>1</v>
      </c>
      <c r="G226" s="3" t="s">
        <v>9</v>
      </c>
      <c r="H226" s="12">
        <v>0</v>
      </c>
      <c r="I226" s="14">
        <v>0.59144318784281891</v>
      </c>
      <c r="J226" s="9" t="str">
        <f t="shared" si="11"/>
        <v>Train</v>
      </c>
    </row>
    <row r="227" spans="1:10" x14ac:dyDescent="0.3">
      <c r="A227" s="3" t="str">
        <f t="shared" si="9"/>
        <v>C226</v>
      </c>
      <c r="B227" s="3" t="str">
        <f t="shared" ca="1" si="10"/>
        <v>Construction</v>
      </c>
      <c r="C227" s="3">
        <v>444</v>
      </c>
      <c r="D227" s="3">
        <v>6.9</v>
      </c>
      <c r="E227" s="3">
        <v>9</v>
      </c>
      <c r="F227" s="3">
        <v>1</v>
      </c>
      <c r="G227" s="3" t="s">
        <v>9</v>
      </c>
      <c r="H227" s="12">
        <v>0</v>
      </c>
      <c r="I227" s="14">
        <v>0.17785074249544863</v>
      </c>
      <c r="J227" s="9" t="str">
        <f t="shared" si="11"/>
        <v>Train</v>
      </c>
    </row>
    <row r="228" spans="1:10" x14ac:dyDescent="0.3">
      <c r="A228" s="3" t="str">
        <f t="shared" si="9"/>
        <v>C227</v>
      </c>
      <c r="B228" s="3" t="str">
        <f t="shared" ca="1" si="10"/>
        <v>Construction</v>
      </c>
      <c r="C228" s="3">
        <v>151</v>
      </c>
      <c r="D228" s="3">
        <v>2.7</v>
      </c>
      <c r="E228" s="3">
        <v>3.6</v>
      </c>
      <c r="F228" s="3">
        <v>1.5</v>
      </c>
      <c r="G228" s="3" t="s">
        <v>7</v>
      </c>
      <c r="H228" s="12">
        <v>0</v>
      </c>
      <c r="I228" s="14">
        <v>0.1682870927303225</v>
      </c>
      <c r="J228" s="9" t="str">
        <f t="shared" si="11"/>
        <v>Train</v>
      </c>
    </row>
    <row r="229" spans="1:10" x14ac:dyDescent="0.3">
      <c r="A229" s="3" t="str">
        <f t="shared" si="9"/>
        <v>C228</v>
      </c>
      <c r="B229" s="3" t="str">
        <f t="shared" ca="1" si="10"/>
        <v>Pharma</v>
      </c>
      <c r="C229" s="3">
        <v>370</v>
      </c>
      <c r="D229" s="3">
        <v>4.2</v>
      </c>
      <c r="E229" s="3">
        <v>2.1</v>
      </c>
      <c r="F229" s="3">
        <v>1.5</v>
      </c>
      <c r="G229" s="3" t="s">
        <v>13</v>
      </c>
      <c r="H229" s="12">
        <v>0</v>
      </c>
      <c r="I229" s="14">
        <v>0.18640815435499869</v>
      </c>
      <c r="J229" s="9" t="str">
        <f t="shared" si="11"/>
        <v>Train</v>
      </c>
    </row>
    <row r="230" spans="1:10" x14ac:dyDescent="0.3">
      <c r="A230" s="3" t="str">
        <f t="shared" si="9"/>
        <v>C229</v>
      </c>
      <c r="B230" s="3" t="str">
        <f t="shared" ca="1" si="10"/>
        <v>Retail</v>
      </c>
      <c r="C230" s="3">
        <v>206</v>
      </c>
      <c r="D230" s="3">
        <v>4.4000000000000004</v>
      </c>
      <c r="E230" s="3">
        <v>0.8</v>
      </c>
      <c r="F230" s="3">
        <v>1.6</v>
      </c>
      <c r="G230" s="3" t="s">
        <v>13</v>
      </c>
      <c r="H230" s="12">
        <v>0</v>
      </c>
      <c r="I230" s="14">
        <v>0.38123937035890598</v>
      </c>
      <c r="J230" s="9" t="str">
        <f t="shared" si="11"/>
        <v>Train</v>
      </c>
    </row>
    <row r="231" spans="1:10" x14ac:dyDescent="0.3">
      <c r="A231" s="3" t="str">
        <f t="shared" si="9"/>
        <v>C230</v>
      </c>
      <c r="B231" s="3" t="str">
        <f t="shared" ca="1" si="10"/>
        <v>Retail</v>
      </c>
      <c r="C231" s="3">
        <v>202</v>
      </c>
      <c r="D231" s="3">
        <v>3.7</v>
      </c>
      <c r="E231" s="3">
        <v>2.5</v>
      </c>
      <c r="F231" s="3">
        <v>1.9</v>
      </c>
      <c r="G231" s="3" t="s">
        <v>7</v>
      </c>
      <c r="H231" s="12">
        <v>0</v>
      </c>
      <c r="I231" s="14">
        <v>0.79139111725921252</v>
      </c>
      <c r="J231" s="9" t="str">
        <f t="shared" si="11"/>
        <v>Test</v>
      </c>
    </row>
    <row r="232" spans="1:10" x14ac:dyDescent="0.3">
      <c r="A232" s="3" t="str">
        <f t="shared" si="9"/>
        <v>C231</v>
      </c>
      <c r="B232" s="3" t="str">
        <f t="shared" ca="1" si="10"/>
        <v>Manufacturing</v>
      </c>
      <c r="C232" s="3">
        <v>140</v>
      </c>
      <c r="D232" s="3">
        <v>4.7</v>
      </c>
      <c r="E232" s="3">
        <v>2.1</v>
      </c>
      <c r="F232" s="3">
        <v>1.5</v>
      </c>
      <c r="G232" s="3" t="s">
        <v>13</v>
      </c>
      <c r="H232" s="12">
        <v>0</v>
      </c>
      <c r="I232" s="14">
        <v>0.86636310930820326</v>
      </c>
      <c r="J232" s="9" t="str">
        <f t="shared" si="11"/>
        <v>Test</v>
      </c>
    </row>
    <row r="233" spans="1:10" x14ac:dyDescent="0.3">
      <c r="A233" s="3" t="str">
        <f t="shared" si="9"/>
        <v>C232</v>
      </c>
      <c r="B233" s="3" t="str">
        <f t="shared" ca="1" si="10"/>
        <v>Manufacturing</v>
      </c>
      <c r="C233" s="3">
        <v>204</v>
      </c>
      <c r="D233" s="3">
        <v>6.2</v>
      </c>
      <c r="E233" s="3">
        <v>1.2</v>
      </c>
      <c r="F233" s="3">
        <v>0.9</v>
      </c>
      <c r="G233" s="3" t="s">
        <v>9</v>
      </c>
      <c r="H233" s="12">
        <v>1</v>
      </c>
      <c r="I233" s="14">
        <v>0.17822856482622551</v>
      </c>
      <c r="J233" s="9" t="str">
        <f t="shared" si="11"/>
        <v>Train</v>
      </c>
    </row>
    <row r="234" spans="1:10" x14ac:dyDescent="0.3">
      <c r="A234" s="3" t="str">
        <f t="shared" si="9"/>
        <v>C233</v>
      </c>
      <c r="B234" s="3" t="str">
        <f t="shared" ca="1" si="10"/>
        <v>Retail</v>
      </c>
      <c r="C234" s="3">
        <v>215</v>
      </c>
      <c r="D234" s="3">
        <v>6.8</v>
      </c>
      <c r="E234" s="3">
        <v>4.0999999999999996</v>
      </c>
      <c r="F234" s="3">
        <v>1.3</v>
      </c>
      <c r="G234" s="3" t="s">
        <v>9</v>
      </c>
      <c r="H234" s="12">
        <v>0</v>
      </c>
      <c r="I234" s="14">
        <v>0.66040921723356083</v>
      </c>
      <c r="J234" s="9" t="str">
        <f t="shared" si="11"/>
        <v>Train</v>
      </c>
    </row>
    <row r="235" spans="1:10" x14ac:dyDescent="0.3">
      <c r="A235" s="3" t="str">
        <f t="shared" si="9"/>
        <v>C234</v>
      </c>
      <c r="B235" s="3" t="str">
        <f t="shared" ca="1" si="10"/>
        <v>Construction</v>
      </c>
      <c r="C235" s="3">
        <v>371</v>
      </c>
      <c r="D235" s="3">
        <v>6.7</v>
      </c>
      <c r="E235" s="3">
        <v>3.6</v>
      </c>
      <c r="F235" s="3">
        <v>2.7</v>
      </c>
      <c r="G235" s="3" t="s">
        <v>9</v>
      </c>
      <c r="H235" s="12">
        <v>0</v>
      </c>
      <c r="I235" s="14">
        <v>0.17105611899921269</v>
      </c>
      <c r="J235" s="9" t="str">
        <f t="shared" si="11"/>
        <v>Train</v>
      </c>
    </row>
    <row r="236" spans="1:10" x14ac:dyDescent="0.3">
      <c r="A236" s="3" t="str">
        <f t="shared" si="9"/>
        <v>C235</v>
      </c>
      <c r="B236" s="3" t="str">
        <f t="shared" ca="1" si="10"/>
        <v>Retail</v>
      </c>
      <c r="C236" s="3">
        <v>351</v>
      </c>
      <c r="D236" s="3">
        <v>0.6</v>
      </c>
      <c r="E236" s="3">
        <v>6.6</v>
      </c>
      <c r="F236" s="3">
        <v>2.6</v>
      </c>
      <c r="G236" s="3" t="s">
        <v>11</v>
      </c>
      <c r="H236" s="12">
        <v>0</v>
      </c>
      <c r="I236" s="14">
        <v>0.75658968876447596</v>
      </c>
      <c r="J236" s="9" t="str">
        <f t="shared" si="11"/>
        <v>Test</v>
      </c>
    </row>
    <row r="237" spans="1:10" x14ac:dyDescent="0.3">
      <c r="A237" s="3" t="str">
        <f t="shared" si="9"/>
        <v>C236</v>
      </c>
      <c r="B237" s="3" t="str">
        <f t="shared" ca="1" si="10"/>
        <v>Transportation</v>
      </c>
      <c r="C237" s="3">
        <v>268</v>
      </c>
      <c r="D237" s="3">
        <v>5.4</v>
      </c>
      <c r="E237" s="3">
        <v>9.8000000000000007</v>
      </c>
      <c r="F237" s="3">
        <v>2.2000000000000002</v>
      </c>
      <c r="G237" s="3" t="s">
        <v>13</v>
      </c>
      <c r="H237" s="12">
        <v>0</v>
      </c>
      <c r="I237" s="14">
        <v>0.75803511347369001</v>
      </c>
      <c r="J237" s="9" t="str">
        <f t="shared" si="11"/>
        <v>Test</v>
      </c>
    </row>
    <row r="238" spans="1:10" x14ac:dyDescent="0.3">
      <c r="A238" s="3" t="str">
        <f t="shared" si="9"/>
        <v>C237</v>
      </c>
      <c r="B238" s="3" t="str">
        <f t="shared" ca="1" si="10"/>
        <v>Retail</v>
      </c>
      <c r="C238" s="3">
        <v>130</v>
      </c>
      <c r="D238" s="3">
        <v>6</v>
      </c>
      <c r="E238" s="3">
        <v>3.8</v>
      </c>
      <c r="F238" s="3">
        <v>1.1000000000000001</v>
      </c>
      <c r="G238" s="3" t="s">
        <v>9</v>
      </c>
      <c r="H238" s="12">
        <v>0</v>
      </c>
      <c r="I238" s="14">
        <v>9.0065861639041955E-2</v>
      </c>
      <c r="J238" s="9" t="str">
        <f t="shared" si="11"/>
        <v>Train</v>
      </c>
    </row>
    <row r="239" spans="1:10" x14ac:dyDescent="0.3">
      <c r="A239" s="3" t="str">
        <f t="shared" si="9"/>
        <v>C238</v>
      </c>
      <c r="B239" s="3" t="str">
        <f t="shared" ca="1" si="10"/>
        <v>Manufacturing</v>
      </c>
      <c r="C239" s="3">
        <v>91</v>
      </c>
      <c r="D239" s="3">
        <v>3</v>
      </c>
      <c r="E239" s="3">
        <v>8.1</v>
      </c>
      <c r="F239" s="3">
        <v>1.6</v>
      </c>
      <c r="G239" s="3" t="s">
        <v>7</v>
      </c>
      <c r="H239" s="12">
        <v>0</v>
      </c>
      <c r="I239" s="14">
        <v>0.44187618025037523</v>
      </c>
      <c r="J239" s="9" t="str">
        <f t="shared" si="11"/>
        <v>Train</v>
      </c>
    </row>
    <row r="240" spans="1:10" x14ac:dyDescent="0.3">
      <c r="A240" s="3" t="str">
        <f t="shared" si="9"/>
        <v>C239</v>
      </c>
      <c r="B240" s="3" t="str">
        <f t="shared" ca="1" si="10"/>
        <v>Construction</v>
      </c>
      <c r="C240" s="3">
        <v>453</v>
      </c>
      <c r="D240" s="3">
        <v>4.2</v>
      </c>
      <c r="E240" s="3">
        <v>9.1</v>
      </c>
      <c r="F240" s="3">
        <v>1</v>
      </c>
      <c r="G240" s="3" t="s">
        <v>13</v>
      </c>
      <c r="H240" s="12">
        <v>0</v>
      </c>
      <c r="I240" s="14">
        <v>0.92839146767066139</v>
      </c>
      <c r="J240" s="9" t="str">
        <f t="shared" si="11"/>
        <v>Test</v>
      </c>
    </row>
    <row r="241" spans="1:10" x14ac:dyDescent="0.3">
      <c r="A241" s="3" t="str">
        <f t="shared" si="9"/>
        <v>C240</v>
      </c>
      <c r="B241" s="3" t="str">
        <f t="shared" ca="1" si="10"/>
        <v>Pharma</v>
      </c>
      <c r="C241" s="3">
        <v>347</v>
      </c>
      <c r="D241" s="3">
        <v>3</v>
      </c>
      <c r="E241" s="3">
        <v>5</v>
      </c>
      <c r="F241" s="3">
        <v>0.6</v>
      </c>
      <c r="G241" s="3" t="s">
        <v>7</v>
      </c>
      <c r="H241" s="12">
        <v>0</v>
      </c>
      <c r="I241" s="14">
        <v>0.2810081001166187</v>
      </c>
      <c r="J241" s="9" t="str">
        <f t="shared" si="11"/>
        <v>Train</v>
      </c>
    </row>
    <row r="242" spans="1:10" x14ac:dyDescent="0.3">
      <c r="A242" s="3" t="str">
        <f t="shared" si="9"/>
        <v>C241</v>
      </c>
      <c r="B242" s="3" t="str">
        <f t="shared" ca="1" si="10"/>
        <v>Pharma</v>
      </c>
      <c r="C242" s="3">
        <v>429</v>
      </c>
      <c r="D242" s="3">
        <v>1.1000000000000001</v>
      </c>
      <c r="E242" s="3">
        <v>3.9</v>
      </c>
      <c r="F242" s="3">
        <v>2.5</v>
      </c>
      <c r="G242" s="3" t="s">
        <v>11</v>
      </c>
      <c r="H242" s="12">
        <v>0</v>
      </c>
      <c r="I242" s="14">
        <v>0.27108516118671189</v>
      </c>
      <c r="J242" s="9" t="str">
        <f t="shared" si="11"/>
        <v>Train</v>
      </c>
    </row>
    <row r="243" spans="1:10" x14ac:dyDescent="0.3">
      <c r="A243" s="3" t="str">
        <f t="shared" si="9"/>
        <v>C242</v>
      </c>
      <c r="B243" s="3" t="str">
        <f t="shared" ca="1" si="10"/>
        <v>Construction</v>
      </c>
      <c r="C243" s="3">
        <v>251</v>
      </c>
      <c r="D243" s="3">
        <v>2.2000000000000002</v>
      </c>
      <c r="E243" s="3">
        <v>10</v>
      </c>
      <c r="F243" s="3">
        <v>2.4</v>
      </c>
      <c r="G243" s="3" t="s">
        <v>7</v>
      </c>
      <c r="H243" s="12">
        <v>0</v>
      </c>
      <c r="I243" s="14">
        <v>0.89895687386922829</v>
      </c>
      <c r="J243" s="9" t="str">
        <f t="shared" si="11"/>
        <v>Test</v>
      </c>
    </row>
    <row r="244" spans="1:10" x14ac:dyDescent="0.3">
      <c r="A244" s="3" t="str">
        <f t="shared" si="9"/>
        <v>C243</v>
      </c>
      <c r="B244" s="3" t="str">
        <f t="shared" ca="1" si="10"/>
        <v>Transportation</v>
      </c>
      <c r="C244" s="3">
        <v>476</v>
      </c>
      <c r="D244" s="3">
        <v>5.6</v>
      </c>
      <c r="E244" s="3">
        <v>9.4</v>
      </c>
      <c r="F244" s="3">
        <v>0.8</v>
      </c>
      <c r="G244" s="3" t="s">
        <v>13</v>
      </c>
      <c r="H244" s="12">
        <v>0</v>
      </c>
      <c r="I244" s="14">
        <v>0.38297739088180693</v>
      </c>
      <c r="J244" s="9" t="str">
        <f t="shared" si="11"/>
        <v>Train</v>
      </c>
    </row>
    <row r="245" spans="1:10" x14ac:dyDescent="0.3">
      <c r="A245" s="3" t="str">
        <f t="shared" si="9"/>
        <v>C244</v>
      </c>
      <c r="B245" s="3" t="str">
        <f t="shared" ca="1" si="10"/>
        <v>Manufacturing</v>
      </c>
      <c r="C245" s="3">
        <v>94</v>
      </c>
      <c r="D245" s="3">
        <v>3.1</v>
      </c>
      <c r="E245" s="3">
        <v>6.4</v>
      </c>
      <c r="F245" s="3">
        <v>1.2</v>
      </c>
      <c r="G245" s="3" t="s">
        <v>7</v>
      </c>
      <c r="H245" s="12">
        <v>0</v>
      </c>
      <c r="I245" s="14">
        <v>0.48015400218847559</v>
      </c>
      <c r="J245" s="9" t="str">
        <f t="shared" si="11"/>
        <v>Train</v>
      </c>
    </row>
    <row r="246" spans="1:10" x14ac:dyDescent="0.3">
      <c r="A246" s="3" t="str">
        <f t="shared" si="9"/>
        <v>C245</v>
      </c>
      <c r="B246" s="3" t="str">
        <f t="shared" ca="1" si="10"/>
        <v>Manufacturing</v>
      </c>
      <c r="C246" s="3">
        <v>64</v>
      </c>
      <c r="D246" s="3">
        <v>1.7</v>
      </c>
      <c r="E246" s="3">
        <v>6</v>
      </c>
      <c r="F246" s="3">
        <v>1.8</v>
      </c>
      <c r="G246" s="3" t="s">
        <v>11</v>
      </c>
      <c r="H246" s="12">
        <v>0</v>
      </c>
      <c r="I246" s="14">
        <v>0.3480326617684566</v>
      </c>
      <c r="J246" s="9" t="str">
        <f t="shared" si="11"/>
        <v>Train</v>
      </c>
    </row>
    <row r="247" spans="1:10" x14ac:dyDescent="0.3">
      <c r="A247" s="3" t="str">
        <f t="shared" si="9"/>
        <v>C246</v>
      </c>
      <c r="B247" s="3" t="str">
        <f t="shared" ca="1" si="10"/>
        <v>Transportation</v>
      </c>
      <c r="C247" s="3">
        <v>323</v>
      </c>
      <c r="D247" s="3">
        <v>5.0999999999999996</v>
      </c>
      <c r="E247" s="3">
        <v>6.8</v>
      </c>
      <c r="F247" s="3">
        <v>1.7</v>
      </c>
      <c r="G247" s="3" t="s">
        <v>13</v>
      </c>
      <c r="H247" s="12">
        <v>0</v>
      </c>
      <c r="I247" s="14">
        <v>0.85328009010143768</v>
      </c>
      <c r="J247" s="9" t="str">
        <f t="shared" si="11"/>
        <v>Test</v>
      </c>
    </row>
    <row r="248" spans="1:10" x14ac:dyDescent="0.3">
      <c r="A248" s="3" t="str">
        <f t="shared" si="9"/>
        <v>C247</v>
      </c>
      <c r="B248" s="3" t="str">
        <f t="shared" ca="1" si="10"/>
        <v>IT Services</v>
      </c>
      <c r="C248" s="3">
        <v>485</v>
      </c>
      <c r="D248" s="3">
        <v>6.3</v>
      </c>
      <c r="E248" s="3">
        <v>4.9000000000000004</v>
      </c>
      <c r="F248" s="3">
        <v>0.9</v>
      </c>
      <c r="G248" s="3" t="s">
        <v>9</v>
      </c>
      <c r="H248" s="12">
        <v>0</v>
      </c>
      <c r="I248" s="14">
        <v>0.42652208939581748</v>
      </c>
      <c r="J248" s="9" t="str">
        <f t="shared" si="11"/>
        <v>Train</v>
      </c>
    </row>
    <row r="249" spans="1:10" x14ac:dyDescent="0.3">
      <c r="A249" s="3" t="str">
        <f t="shared" si="9"/>
        <v>C248</v>
      </c>
      <c r="B249" s="3" t="str">
        <f t="shared" ca="1" si="10"/>
        <v>Construction</v>
      </c>
      <c r="C249" s="3">
        <v>358</v>
      </c>
      <c r="D249" s="3">
        <v>1.6</v>
      </c>
      <c r="E249" s="3">
        <v>7.7</v>
      </c>
      <c r="F249" s="3">
        <v>2.7</v>
      </c>
      <c r="G249" s="3" t="s">
        <v>11</v>
      </c>
      <c r="H249" s="12">
        <v>0</v>
      </c>
      <c r="I249" s="14">
        <v>0.79672744739141654</v>
      </c>
      <c r="J249" s="9" t="str">
        <f t="shared" si="11"/>
        <v>Test</v>
      </c>
    </row>
    <row r="250" spans="1:10" x14ac:dyDescent="0.3">
      <c r="A250" s="3" t="str">
        <f t="shared" si="9"/>
        <v>C249</v>
      </c>
      <c r="B250" s="3" t="str">
        <f t="shared" ca="1" si="10"/>
        <v>Pharma</v>
      </c>
      <c r="C250" s="3">
        <v>351</v>
      </c>
      <c r="D250" s="3">
        <v>6.3</v>
      </c>
      <c r="E250" s="3">
        <v>6</v>
      </c>
      <c r="F250" s="3">
        <v>0.9</v>
      </c>
      <c r="G250" s="3" t="s">
        <v>9</v>
      </c>
      <c r="H250" s="12">
        <v>0</v>
      </c>
      <c r="I250" s="14">
        <v>0.9143337758238852</v>
      </c>
      <c r="J250" s="9" t="str">
        <f t="shared" si="11"/>
        <v>Test</v>
      </c>
    </row>
    <row r="251" spans="1:10" x14ac:dyDescent="0.3">
      <c r="A251" s="3" t="str">
        <f t="shared" si="9"/>
        <v>C250</v>
      </c>
      <c r="B251" s="3" t="str">
        <f t="shared" ca="1" si="10"/>
        <v>Manufacturing</v>
      </c>
      <c r="C251" s="3">
        <v>67</v>
      </c>
      <c r="D251" s="3">
        <v>0.9</v>
      </c>
      <c r="E251" s="3">
        <v>8.8000000000000007</v>
      </c>
      <c r="F251" s="3">
        <v>2.7</v>
      </c>
      <c r="G251" s="3" t="s">
        <v>11</v>
      </c>
      <c r="H251" s="12">
        <v>0</v>
      </c>
      <c r="I251" s="14">
        <v>0.79736803996678096</v>
      </c>
      <c r="J251" s="9" t="str">
        <f t="shared" si="11"/>
        <v>Test</v>
      </c>
    </row>
    <row r="252" spans="1:10" x14ac:dyDescent="0.3">
      <c r="A252" s="3" t="str">
        <f t="shared" si="9"/>
        <v>C251</v>
      </c>
      <c r="B252" s="3" t="str">
        <f t="shared" ca="1" si="10"/>
        <v>Pharma</v>
      </c>
      <c r="C252" s="3">
        <v>152</v>
      </c>
      <c r="D252" s="3">
        <v>5.7</v>
      </c>
      <c r="E252" s="3">
        <v>9.6999999999999993</v>
      </c>
      <c r="F252" s="3">
        <v>2.4</v>
      </c>
      <c r="G252" s="3" t="s">
        <v>13</v>
      </c>
      <c r="H252" s="12">
        <v>0</v>
      </c>
      <c r="I252" s="14">
        <v>0.58255491673088444</v>
      </c>
      <c r="J252" s="9" t="str">
        <f t="shared" si="11"/>
        <v>Train</v>
      </c>
    </row>
    <row r="253" spans="1:10" x14ac:dyDescent="0.3">
      <c r="A253" s="3" t="str">
        <f t="shared" si="9"/>
        <v>C252</v>
      </c>
      <c r="B253" s="3" t="str">
        <f t="shared" ca="1" si="10"/>
        <v>IT Services</v>
      </c>
      <c r="C253" s="3">
        <v>331</v>
      </c>
      <c r="D253" s="3">
        <v>2.6</v>
      </c>
      <c r="E253" s="3">
        <v>9</v>
      </c>
      <c r="F253" s="3">
        <v>2.8</v>
      </c>
      <c r="G253" s="3" t="s">
        <v>7</v>
      </c>
      <c r="H253" s="12">
        <v>0</v>
      </c>
      <c r="I253" s="14">
        <v>9.5562892284533074E-3</v>
      </c>
      <c r="J253" s="9" t="str">
        <f t="shared" si="11"/>
        <v>Train</v>
      </c>
    </row>
    <row r="254" spans="1:10" x14ac:dyDescent="0.3">
      <c r="A254" s="3" t="str">
        <f t="shared" si="9"/>
        <v>C253</v>
      </c>
      <c r="B254" s="3" t="str">
        <f t="shared" ca="1" si="10"/>
        <v>Construction</v>
      </c>
      <c r="C254" s="3">
        <v>187</v>
      </c>
      <c r="D254" s="3">
        <v>5.0999999999999996</v>
      </c>
      <c r="E254" s="3">
        <v>5.3</v>
      </c>
      <c r="F254" s="3">
        <v>1.6</v>
      </c>
      <c r="G254" s="3" t="s">
        <v>13</v>
      </c>
      <c r="H254" s="12">
        <v>0</v>
      </c>
      <c r="I254" s="14">
        <v>0.22607524135426116</v>
      </c>
      <c r="J254" s="9" t="str">
        <f t="shared" si="11"/>
        <v>Train</v>
      </c>
    </row>
    <row r="255" spans="1:10" x14ac:dyDescent="0.3">
      <c r="A255" s="3" t="str">
        <f t="shared" si="9"/>
        <v>C254</v>
      </c>
      <c r="B255" s="3" t="str">
        <f t="shared" ca="1" si="10"/>
        <v>IT Services</v>
      </c>
      <c r="C255" s="3">
        <v>373</v>
      </c>
      <c r="D255" s="3">
        <v>1.6</v>
      </c>
      <c r="E255" s="3">
        <v>9.9</v>
      </c>
      <c r="F255" s="3">
        <v>1.5</v>
      </c>
      <c r="G255" s="3" t="s">
        <v>11</v>
      </c>
      <c r="H255" s="12">
        <v>0</v>
      </c>
      <c r="I255" s="14">
        <v>0.5838400898135514</v>
      </c>
      <c r="J255" s="9" t="str">
        <f t="shared" si="11"/>
        <v>Train</v>
      </c>
    </row>
    <row r="256" spans="1:10" x14ac:dyDescent="0.3">
      <c r="A256" s="3" t="str">
        <f t="shared" si="9"/>
        <v>C255</v>
      </c>
      <c r="B256" s="3" t="str">
        <f t="shared" ca="1" si="10"/>
        <v>Manufacturing</v>
      </c>
      <c r="C256" s="3">
        <v>239</v>
      </c>
      <c r="D256" s="3">
        <v>4.3</v>
      </c>
      <c r="E256" s="3">
        <v>9.6</v>
      </c>
      <c r="F256" s="3">
        <v>2.1</v>
      </c>
      <c r="G256" s="3" t="s">
        <v>13</v>
      </c>
      <c r="H256" s="12">
        <v>0</v>
      </c>
      <c r="I256" s="14">
        <v>0.41224067769225214</v>
      </c>
      <c r="J256" s="9" t="str">
        <f t="shared" si="11"/>
        <v>Train</v>
      </c>
    </row>
    <row r="257" spans="1:10" x14ac:dyDescent="0.3">
      <c r="A257" s="3" t="str">
        <f t="shared" si="9"/>
        <v>C256</v>
      </c>
      <c r="B257" s="3" t="str">
        <f t="shared" ca="1" si="10"/>
        <v>Construction</v>
      </c>
      <c r="C257" s="3">
        <v>404</v>
      </c>
      <c r="D257" s="3">
        <v>5.0999999999999996</v>
      </c>
      <c r="E257" s="3">
        <v>7</v>
      </c>
      <c r="F257" s="3">
        <v>2.7</v>
      </c>
      <c r="G257" s="3" t="s">
        <v>13</v>
      </c>
      <c r="H257" s="12">
        <v>0</v>
      </c>
      <c r="I257" s="14">
        <v>0.11600436059271768</v>
      </c>
      <c r="J257" s="9" t="str">
        <f t="shared" si="11"/>
        <v>Train</v>
      </c>
    </row>
    <row r="258" spans="1:10" x14ac:dyDescent="0.3">
      <c r="A258" s="3" t="str">
        <f t="shared" si="9"/>
        <v>C257</v>
      </c>
      <c r="B258" s="3" t="str">
        <f t="shared" ca="1" si="10"/>
        <v>IT Services</v>
      </c>
      <c r="C258" s="3">
        <v>427</v>
      </c>
      <c r="D258" s="3">
        <v>7</v>
      </c>
      <c r="E258" s="3">
        <v>5.0999999999999996</v>
      </c>
      <c r="F258" s="3">
        <v>2.9</v>
      </c>
      <c r="G258" s="3" t="s">
        <v>9</v>
      </c>
      <c r="H258" s="12">
        <v>0</v>
      </c>
      <c r="I258" s="14">
        <v>0.36495395788853402</v>
      </c>
      <c r="J258" s="9" t="str">
        <f t="shared" si="11"/>
        <v>Train</v>
      </c>
    </row>
    <row r="259" spans="1:10" x14ac:dyDescent="0.3">
      <c r="A259" s="3" t="str">
        <f t="shared" ref="A259:A322" si="12">"C"&amp;TEXT(ROW()-1,"000")</f>
        <v>C258</v>
      </c>
      <c r="B259" s="3" t="str">
        <f t="shared" ref="B259:B322" ca="1" si="13">CHOOSE(RANDBETWEEN(1,6),
"Manufacturing",
"Retail",
"Pharma",
"Construction",
"Transportation",
"IT Services")</f>
        <v>Pharma</v>
      </c>
      <c r="C259" s="3">
        <v>396</v>
      </c>
      <c r="D259" s="3">
        <v>6.5</v>
      </c>
      <c r="E259" s="3">
        <v>6.5</v>
      </c>
      <c r="F259" s="3">
        <v>1</v>
      </c>
      <c r="G259" s="3" t="s">
        <v>9</v>
      </c>
      <c r="H259" s="12">
        <v>0</v>
      </c>
      <c r="I259" s="14">
        <v>0.78428134228382773</v>
      </c>
      <c r="J259" s="9" t="str">
        <f t="shared" ref="J259:J322" si="14">IF(I259&lt;=0.7,"Train","Test")</f>
        <v>Test</v>
      </c>
    </row>
    <row r="260" spans="1:10" x14ac:dyDescent="0.3">
      <c r="A260" s="3" t="str">
        <f t="shared" si="12"/>
        <v>C259</v>
      </c>
      <c r="B260" s="3" t="str">
        <f t="shared" ca="1" si="13"/>
        <v>Manufacturing</v>
      </c>
      <c r="C260" s="3">
        <v>147</v>
      </c>
      <c r="D260" s="3">
        <v>7.9</v>
      </c>
      <c r="E260" s="3">
        <v>9.8000000000000007</v>
      </c>
      <c r="F260" s="3">
        <v>1.1000000000000001</v>
      </c>
      <c r="G260" s="3" t="s">
        <v>9</v>
      </c>
      <c r="H260" s="12">
        <v>0</v>
      </c>
      <c r="I260" s="14">
        <v>0.25624799328480874</v>
      </c>
      <c r="J260" s="9" t="str">
        <f t="shared" si="14"/>
        <v>Train</v>
      </c>
    </row>
    <row r="261" spans="1:10" x14ac:dyDescent="0.3">
      <c r="A261" s="3" t="str">
        <f t="shared" si="12"/>
        <v>C260</v>
      </c>
      <c r="B261" s="3" t="str">
        <f t="shared" ca="1" si="13"/>
        <v>Construction</v>
      </c>
      <c r="C261" s="3">
        <v>267</v>
      </c>
      <c r="D261" s="3">
        <v>8</v>
      </c>
      <c r="E261" s="3">
        <v>9.8000000000000007</v>
      </c>
      <c r="F261" s="3">
        <v>2.4</v>
      </c>
      <c r="G261" s="3" t="s">
        <v>9</v>
      </c>
      <c r="H261" s="12">
        <v>0</v>
      </c>
      <c r="I261" s="14">
        <v>0.58916664129573748</v>
      </c>
      <c r="J261" s="9" t="str">
        <f t="shared" si="14"/>
        <v>Train</v>
      </c>
    </row>
    <row r="262" spans="1:10" x14ac:dyDescent="0.3">
      <c r="A262" s="3" t="str">
        <f t="shared" si="12"/>
        <v>C261</v>
      </c>
      <c r="B262" s="3" t="str">
        <f t="shared" ca="1" si="13"/>
        <v>Retail</v>
      </c>
      <c r="C262" s="3">
        <v>307</v>
      </c>
      <c r="D262" s="3">
        <v>6.5</v>
      </c>
      <c r="E262" s="3">
        <v>10</v>
      </c>
      <c r="F262" s="3">
        <v>2.2999999999999998</v>
      </c>
      <c r="G262" s="3" t="s">
        <v>9</v>
      </c>
      <c r="H262" s="12">
        <v>0</v>
      </c>
      <c r="I262" s="14">
        <v>0.48759313967066309</v>
      </c>
      <c r="J262" s="9" t="str">
        <f t="shared" si="14"/>
        <v>Train</v>
      </c>
    </row>
    <row r="263" spans="1:10" x14ac:dyDescent="0.3">
      <c r="A263" s="3" t="str">
        <f t="shared" si="12"/>
        <v>C262</v>
      </c>
      <c r="B263" s="3" t="str">
        <f t="shared" ca="1" si="13"/>
        <v>Construction</v>
      </c>
      <c r="C263" s="3">
        <v>500</v>
      </c>
      <c r="D263" s="3">
        <v>3.1</v>
      </c>
      <c r="E263" s="3">
        <v>4.0999999999999996</v>
      </c>
      <c r="F263" s="3">
        <v>1.8</v>
      </c>
      <c r="G263" s="3" t="s">
        <v>7</v>
      </c>
      <c r="H263" s="12">
        <v>0</v>
      </c>
      <c r="I263" s="14">
        <v>9.3920025379538807E-2</v>
      </c>
      <c r="J263" s="9" t="str">
        <f t="shared" si="14"/>
        <v>Train</v>
      </c>
    </row>
    <row r="264" spans="1:10" x14ac:dyDescent="0.3">
      <c r="A264" s="3" t="str">
        <f t="shared" si="12"/>
        <v>C263</v>
      </c>
      <c r="B264" s="3" t="str">
        <f t="shared" ca="1" si="13"/>
        <v>Pharma</v>
      </c>
      <c r="C264" s="3">
        <v>439</v>
      </c>
      <c r="D264" s="3">
        <v>4.7</v>
      </c>
      <c r="E264" s="3">
        <v>2</v>
      </c>
      <c r="F264" s="3">
        <v>2.2999999999999998</v>
      </c>
      <c r="G264" s="3" t="s">
        <v>13</v>
      </c>
      <c r="H264" s="12">
        <v>0</v>
      </c>
      <c r="I264" s="14">
        <v>0.37929582283025898</v>
      </c>
      <c r="J264" s="9" t="str">
        <f t="shared" si="14"/>
        <v>Train</v>
      </c>
    </row>
    <row r="265" spans="1:10" x14ac:dyDescent="0.3">
      <c r="A265" s="3" t="str">
        <f t="shared" si="12"/>
        <v>C264</v>
      </c>
      <c r="B265" s="3" t="str">
        <f t="shared" ca="1" si="13"/>
        <v>Construction</v>
      </c>
      <c r="C265" s="3">
        <v>171</v>
      </c>
      <c r="D265" s="3">
        <v>0.7</v>
      </c>
      <c r="E265" s="3">
        <v>0.6</v>
      </c>
      <c r="F265" s="3">
        <v>2.1</v>
      </c>
      <c r="G265" s="3" t="s">
        <v>11</v>
      </c>
      <c r="H265" s="12">
        <v>0</v>
      </c>
      <c r="I265" s="14">
        <v>3.3471646024864077E-3</v>
      </c>
      <c r="J265" s="9" t="str">
        <f t="shared" si="14"/>
        <v>Train</v>
      </c>
    </row>
    <row r="266" spans="1:10" x14ac:dyDescent="0.3">
      <c r="A266" s="3" t="str">
        <f t="shared" si="12"/>
        <v>C265</v>
      </c>
      <c r="B266" s="3" t="str">
        <f t="shared" ca="1" si="13"/>
        <v>IT Services</v>
      </c>
      <c r="C266" s="3">
        <v>349</v>
      </c>
      <c r="D266" s="3">
        <v>5.0999999999999996</v>
      </c>
      <c r="E266" s="3">
        <v>7.8</v>
      </c>
      <c r="F266" s="3">
        <v>1.2</v>
      </c>
      <c r="G266" s="3" t="s">
        <v>13</v>
      </c>
      <c r="H266" s="12">
        <v>0</v>
      </c>
      <c r="I266" s="14">
        <v>0.39191138394162095</v>
      </c>
      <c r="J266" s="9" t="str">
        <f t="shared" si="14"/>
        <v>Train</v>
      </c>
    </row>
    <row r="267" spans="1:10" x14ac:dyDescent="0.3">
      <c r="A267" s="3" t="str">
        <f t="shared" si="12"/>
        <v>C266</v>
      </c>
      <c r="B267" s="3" t="str">
        <f t="shared" ca="1" si="13"/>
        <v>Construction</v>
      </c>
      <c r="C267" s="3">
        <v>344</v>
      </c>
      <c r="D267" s="3">
        <v>5.5</v>
      </c>
      <c r="E267" s="3">
        <v>2.6</v>
      </c>
      <c r="F267" s="3">
        <v>1.9</v>
      </c>
      <c r="G267" s="3" t="s">
        <v>13</v>
      </c>
      <c r="H267" s="12">
        <v>0</v>
      </c>
      <c r="I267" s="14">
        <v>0.75991771932908614</v>
      </c>
      <c r="J267" s="9" t="str">
        <f t="shared" si="14"/>
        <v>Test</v>
      </c>
    </row>
    <row r="268" spans="1:10" x14ac:dyDescent="0.3">
      <c r="A268" s="3" t="str">
        <f t="shared" si="12"/>
        <v>C267</v>
      </c>
      <c r="B268" s="3" t="str">
        <f t="shared" ca="1" si="13"/>
        <v>IT Services</v>
      </c>
      <c r="C268" s="3">
        <v>268</v>
      </c>
      <c r="D268" s="3">
        <v>0.9</v>
      </c>
      <c r="E268" s="3">
        <v>5.8</v>
      </c>
      <c r="F268" s="3">
        <v>0.7</v>
      </c>
      <c r="G268" s="3" t="s">
        <v>11</v>
      </c>
      <c r="H268" s="12">
        <v>0</v>
      </c>
      <c r="I268" s="14">
        <v>0.11519607521541331</v>
      </c>
      <c r="J268" s="9" t="str">
        <f t="shared" si="14"/>
        <v>Train</v>
      </c>
    </row>
    <row r="269" spans="1:10" x14ac:dyDescent="0.3">
      <c r="A269" s="3" t="str">
        <f t="shared" si="12"/>
        <v>C268</v>
      </c>
      <c r="B269" s="3" t="str">
        <f t="shared" ca="1" si="13"/>
        <v>Transportation</v>
      </c>
      <c r="C269" s="3">
        <v>332</v>
      </c>
      <c r="D269" s="3">
        <v>3.5</v>
      </c>
      <c r="E269" s="3">
        <v>7.1</v>
      </c>
      <c r="F269" s="3">
        <v>1.3</v>
      </c>
      <c r="G269" s="3" t="s">
        <v>7</v>
      </c>
      <c r="H269" s="12">
        <v>0</v>
      </c>
      <c r="I269" s="14">
        <v>4.8584391029713347E-2</v>
      </c>
      <c r="J269" s="9" t="str">
        <f t="shared" si="14"/>
        <v>Train</v>
      </c>
    </row>
    <row r="270" spans="1:10" x14ac:dyDescent="0.3">
      <c r="A270" s="3" t="str">
        <f t="shared" si="12"/>
        <v>C269</v>
      </c>
      <c r="B270" s="3" t="str">
        <f t="shared" ca="1" si="13"/>
        <v>IT Services</v>
      </c>
      <c r="C270" s="3">
        <v>213</v>
      </c>
      <c r="D270" s="3">
        <v>7.2</v>
      </c>
      <c r="E270" s="3">
        <v>5.6</v>
      </c>
      <c r="F270" s="3">
        <v>0.9</v>
      </c>
      <c r="G270" s="3" t="s">
        <v>9</v>
      </c>
      <c r="H270" s="12">
        <v>0</v>
      </c>
      <c r="I270" s="14">
        <v>0.30913046092707108</v>
      </c>
      <c r="J270" s="9" t="str">
        <f t="shared" si="14"/>
        <v>Train</v>
      </c>
    </row>
    <row r="271" spans="1:10" x14ac:dyDescent="0.3">
      <c r="A271" s="3" t="str">
        <f t="shared" si="12"/>
        <v>C270</v>
      </c>
      <c r="B271" s="3" t="str">
        <f t="shared" ca="1" si="13"/>
        <v>Construction</v>
      </c>
      <c r="C271" s="3">
        <v>244</v>
      </c>
      <c r="D271" s="3">
        <v>5.5</v>
      </c>
      <c r="E271" s="3">
        <v>3.3</v>
      </c>
      <c r="F271" s="3">
        <v>0.6</v>
      </c>
      <c r="G271" s="3" t="s">
        <v>13</v>
      </c>
      <c r="H271" s="12">
        <v>0</v>
      </c>
      <c r="I271" s="14">
        <v>0.46853309939406695</v>
      </c>
      <c r="J271" s="9" t="str">
        <f t="shared" si="14"/>
        <v>Train</v>
      </c>
    </row>
    <row r="272" spans="1:10" x14ac:dyDescent="0.3">
      <c r="A272" s="3" t="str">
        <f t="shared" si="12"/>
        <v>C271</v>
      </c>
      <c r="B272" s="3" t="str">
        <f t="shared" ca="1" si="13"/>
        <v>Construction</v>
      </c>
      <c r="C272" s="3">
        <v>260</v>
      </c>
      <c r="D272" s="3">
        <v>2.1</v>
      </c>
      <c r="E272" s="3">
        <v>2</v>
      </c>
      <c r="F272" s="3">
        <v>0.7</v>
      </c>
      <c r="G272" s="3" t="s">
        <v>7</v>
      </c>
      <c r="H272" s="12">
        <v>0</v>
      </c>
      <c r="I272" s="14">
        <v>0.43476113453495069</v>
      </c>
      <c r="J272" s="9" t="str">
        <f t="shared" si="14"/>
        <v>Train</v>
      </c>
    </row>
    <row r="273" spans="1:10" x14ac:dyDescent="0.3">
      <c r="A273" s="3" t="str">
        <f t="shared" si="12"/>
        <v>C272</v>
      </c>
      <c r="B273" s="3" t="str">
        <f t="shared" ca="1" si="13"/>
        <v>Construction</v>
      </c>
      <c r="C273" s="3">
        <v>126</v>
      </c>
      <c r="D273" s="3">
        <v>4.5999999999999996</v>
      </c>
      <c r="E273" s="3">
        <v>4.5</v>
      </c>
      <c r="F273" s="3">
        <v>0.9</v>
      </c>
      <c r="G273" s="3" t="s">
        <v>13</v>
      </c>
      <c r="H273" s="12">
        <v>0</v>
      </c>
      <c r="I273" s="14">
        <v>0.63892891992344913</v>
      </c>
      <c r="J273" s="9" t="str">
        <f t="shared" si="14"/>
        <v>Train</v>
      </c>
    </row>
    <row r="274" spans="1:10" x14ac:dyDescent="0.3">
      <c r="A274" s="3" t="str">
        <f t="shared" si="12"/>
        <v>C273</v>
      </c>
      <c r="B274" s="3" t="str">
        <f t="shared" ca="1" si="13"/>
        <v>Pharma</v>
      </c>
      <c r="C274" s="3">
        <v>82</v>
      </c>
      <c r="D274" s="3">
        <v>5</v>
      </c>
      <c r="E274" s="3">
        <v>5.5</v>
      </c>
      <c r="F274" s="3">
        <v>1.2</v>
      </c>
      <c r="G274" s="3" t="s">
        <v>13</v>
      </c>
      <c r="H274" s="12">
        <v>0</v>
      </c>
      <c r="I274" s="14">
        <v>0.1216440245288366</v>
      </c>
      <c r="J274" s="9" t="str">
        <f t="shared" si="14"/>
        <v>Train</v>
      </c>
    </row>
    <row r="275" spans="1:10" x14ac:dyDescent="0.3">
      <c r="A275" s="3" t="str">
        <f t="shared" si="12"/>
        <v>C274</v>
      </c>
      <c r="B275" s="3" t="str">
        <f t="shared" ca="1" si="13"/>
        <v>Pharma</v>
      </c>
      <c r="C275" s="3">
        <v>331</v>
      </c>
      <c r="D275" s="3">
        <v>0.7</v>
      </c>
      <c r="E275" s="3">
        <v>3.9</v>
      </c>
      <c r="F275" s="3">
        <v>2.1</v>
      </c>
      <c r="G275" s="3" t="s">
        <v>11</v>
      </c>
      <c r="H275" s="12">
        <v>0</v>
      </c>
      <c r="I275" s="14">
        <v>0.28722907075533211</v>
      </c>
      <c r="J275" s="9" t="str">
        <f t="shared" si="14"/>
        <v>Train</v>
      </c>
    </row>
    <row r="276" spans="1:10" x14ac:dyDescent="0.3">
      <c r="A276" s="3" t="str">
        <f t="shared" si="12"/>
        <v>C275</v>
      </c>
      <c r="B276" s="3" t="str">
        <f t="shared" ca="1" si="13"/>
        <v>Retail</v>
      </c>
      <c r="C276" s="3">
        <v>125</v>
      </c>
      <c r="D276" s="3">
        <v>2.9</v>
      </c>
      <c r="E276" s="3">
        <v>6.5</v>
      </c>
      <c r="F276" s="3">
        <v>1.3</v>
      </c>
      <c r="G276" s="3" t="s">
        <v>7</v>
      </c>
      <c r="H276" s="12">
        <v>0</v>
      </c>
      <c r="I276" s="14">
        <v>0.47627618132290561</v>
      </c>
      <c r="J276" s="9" t="str">
        <f t="shared" si="14"/>
        <v>Train</v>
      </c>
    </row>
    <row r="277" spans="1:10" x14ac:dyDescent="0.3">
      <c r="A277" s="3" t="str">
        <f t="shared" si="12"/>
        <v>C276</v>
      </c>
      <c r="B277" s="3" t="str">
        <f t="shared" ca="1" si="13"/>
        <v>Pharma</v>
      </c>
      <c r="C277" s="3">
        <v>131</v>
      </c>
      <c r="D277" s="3">
        <v>1.3</v>
      </c>
      <c r="E277" s="3">
        <v>0.5</v>
      </c>
      <c r="F277" s="3">
        <v>0.5</v>
      </c>
      <c r="G277" s="3" t="s">
        <v>11</v>
      </c>
      <c r="H277" s="12">
        <v>0</v>
      </c>
      <c r="I277" s="14">
        <v>0.90619597675476316</v>
      </c>
      <c r="J277" s="9" t="str">
        <f t="shared" si="14"/>
        <v>Test</v>
      </c>
    </row>
    <row r="278" spans="1:10" x14ac:dyDescent="0.3">
      <c r="A278" s="3" t="str">
        <f t="shared" si="12"/>
        <v>C277</v>
      </c>
      <c r="B278" s="3" t="str">
        <f t="shared" ca="1" si="13"/>
        <v>Retail</v>
      </c>
      <c r="C278" s="3">
        <v>372</v>
      </c>
      <c r="D278" s="3">
        <v>0.5</v>
      </c>
      <c r="E278" s="3">
        <v>8.5</v>
      </c>
      <c r="F278" s="3">
        <v>1.2</v>
      </c>
      <c r="G278" s="3" t="s">
        <v>11</v>
      </c>
      <c r="H278" s="12">
        <v>0</v>
      </c>
      <c r="I278" s="14">
        <v>4.0540728146843508E-2</v>
      </c>
      <c r="J278" s="9" t="str">
        <f t="shared" si="14"/>
        <v>Train</v>
      </c>
    </row>
    <row r="279" spans="1:10" x14ac:dyDescent="0.3">
      <c r="A279" s="3" t="str">
        <f t="shared" si="12"/>
        <v>C278</v>
      </c>
      <c r="B279" s="3" t="str">
        <f t="shared" ca="1" si="13"/>
        <v>Construction</v>
      </c>
      <c r="C279" s="3">
        <v>498</v>
      </c>
      <c r="D279" s="3">
        <v>3.6</v>
      </c>
      <c r="E279" s="3">
        <v>4.5</v>
      </c>
      <c r="F279" s="3">
        <v>1.7</v>
      </c>
      <c r="G279" s="3" t="s">
        <v>7</v>
      </c>
      <c r="H279" s="12">
        <v>0</v>
      </c>
      <c r="I279" s="14">
        <v>0.26764447420919113</v>
      </c>
      <c r="J279" s="9" t="str">
        <f t="shared" si="14"/>
        <v>Train</v>
      </c>
    </row>
    <row r="280" spans="1:10" x14ac:dyDescent="0.3">
      <c r="A280" s="3" t="str">
        <f t="shared" si="12"/>
        <v>C279</v>
      </c>
      <c r="B280" s="3" t="str">
        <f t="shared" ca="1" si="13"/>
        <v>Retail</v>
      </c>
      <c r="C280" s="3">
        <v>219</v>
      </c>
      <c r="D280" s="3">
        <v>2.1</v>
      </c>
      <c r="E280" s="3">
        <v>9.1</v>
      </c>
      <c r="F280" s="3">
        <v>0.5</v>
      </c>
      <c r="G280" s="3" t="s">
        <v>7</v>
      </c>
      <c r="H280" s="12">
        <v>0</v>
      </c>
      <c r="I280" s="14">
        <v>0.96421597664438119</v>
      </c>
      <c r="J280" s="9" t="str">
        <f t="shared" si="14"/>
        <v>Test</v>
      </c>
    </row>
    <row r="281" spans="1:10" x14ac:dyDescent="0.3">
      <c r="A281" s="3" t="str">
        <f t="shared" si="12"/>
        <v>C280</v>
      </c>
      <c r="B281" s="3" t="str">
        <f t="shared" ca="1" si="13"/>
        <v>Manufacturing</v>
      </c>
      <c r="C281" s="3">
        <v>456</v>
      </c>
      <c r="D281" s="3">
        <v>6.7</v>
      </c>
      <c r="E281" s="3">
        <v>5.7</v>
      </c>
      <c r="F281" s="3">
        <v>0.8</v>
      </c>
      <c r="G281" s="3" t="s">
        <v>9</v>
      </c>
      <c r="H281" s="12">
        <v>0</v>
      </c>
      <c r="I281" s="14">
        <v>0.51633817901263812</v>
      </c>
      <c r="J281" s="9" t="str">
        <f t="shared" si="14"/>
        <v>Train</v>
      </c>
    </row>
    <row r="282" spans="1:10" x14ac:dyDescent="0.3">
      <c r="A282" s="3" t="str">
        <f t="shared" si="12"/>
        <v>C281</v>
      </c>
      <c r="B282" s="3" t="str">
        <f t="shared" ca="1" si="13"/>
        <v>Transportation</v>
      </c>
      <c r="C282" s="3">
        <v>156</v>
      </c>
      <c r="D282" s="3">
        <v>7.8</v>
      </c>
      <c r="E282" s="3">
        <v>6.8</v>
      </c>
      <c r="F282" s="3">
        <v>2.7</v>
      </c>
      <c r="G282" s="3" t="s">
        <v>9</v>
      </c>
      <c r="H282" s="12">
        <v>0</v>
      </c>
      <c r="I282" s="14">
        <v>0.14796903068224643</v>
      </c>
      <c r="J282" s="9" t="str">
        <f t="shared" si="14"/>
        <v>Train</v>
      </c>
    </row>
    <row r="283" spans="1:10" x14ac:dyDescent="0.3">
      <c r="A283" s="3" t="str">
        <f t="shared" si="12"/>
        <v>C282</v>
      </c>
      <c r="B283" s="3" t="str">
        <f t="shared" ca="1" si="13"/>
        <v>Transportation</v>
      </c>
      <c r="C283" s="3">
        <v>413</v>
      </c>
      <c r="D283" s="3">
        <v>1.6</v>
      </c>
      <c r="E283" s="3">
        <v>0.7</v>
      </c>
      <c r="F283" s="3">
        <v>2.1</v>
      </c>
      <c r="G283" s="3" t="s">
        <v>11</v>
      </c>
      <c r="H283" s="12">
        <v>0</v>
      </c>
      <c r="I283" s="14">
        <v>0.45813584482979164</v>
      </c>
      <c r="J283" s="9" t="str">
        <f t="shared" si="14"/>
        <v>Train</v>
      </c>
    </row>
    <row r="284" spans="1:10" x14ac:dyDescent="0.3">
      <c r="A284" s="3" t="str">
        <f t="shared" si="12"/>
        <v>C283</v>
      </c>
      <c r="B284" s="3" t="str">
        <f t="shared" ca="1" si="13"/>
        <v>IT Services</v>
      </c>
      <c r="C284" s="3">
        <v>272</v>
      </c>
      <c r="D284" s="3">
        <v>1.2</v>
      </c>
      <c r="E284" s="3">
        <v>1.9</v>
      </c>
      <c r="F284" s="3">
        <v>2</v>
      </c>
      <c r="G284" s="3" t="s">
        <v>11</v>
      </c>
      <c r="H284" s="12">
        <v>0</v>
      </c>
      <c r="I284" s="14">
        <v>0.83564979024338693</v>
      </c>
      <c r="J284" s="9" t="str">
        <f t="shared" si="14"/>
        <v>Test</v>
      </c>
    </row>
    <row r="285" spans="1:10" x14ac:dyDescent="0.3">
      <c r="A285" s="3" t="str">
        <f t="shared" si="12"/>
        <v>C284</v>
      </c>
      <c r="B285" s="3" t="str">
        <f t="shared" ca="1" si="13"/>
        <v>Retail</v>
      </c>
      <c r="C285" s="3">
        <v>320</v>
      </c>
      <c r="D285" s="3">
        <v>7.2</v>
      </c>
      <c r="E285" s="3">
        <v>2.8</v>
      </c>
      <c r="F285" s="3">
        <v>2.2000000000000002</v>
      </c>
      <c r="G285" s="3" t="s">
        <v>9</v>
      </c>
      <c r="H285" s="12">
        <v>0</v>
      </c>
      <c r="I285" s="14">
        <v>4.4394734061333874E-2</v>
      </c>
      <c r="J285" s="9" t="str">
        <f t="shared" si="14"/>
        <v>Train</v>
      </c>
    </row>
    <row r="286" spans="1:10" x14ac:dyDescent="0.3">
      <c r="A286" s="3" t="str">
        <f t="shared" si="12"/>
        <v>C285</v>
      </c>
      <c r="B286" s="3" t="str">
        <f t="shared" ca="1" si="13"/>
        <v>IT Services</v>
      </c>
      <c r="C286" s="3">
        <v>199</v>
      </c>
      <c r="D286" s="3">
        <v>1.5</v>
      </c>
      <c r="E286" s="3">
        <v>9.3000000000000007</v>
      </c>
      <c r="F286" s="3">
        <v>1</v>
      </c>
      <c r="G286" s="3" t="s">
        <v>11</v>
      </c>
      <c r="H286" s="12">
        <v>0</v>
      </c>
      <c r="I286" s="14">
        <v>0.72895981168582302</v>
      </c>
      <c r="J286" s="9" t="str">
        <f t="shared" si="14"/>
        <v>Test</v>
      </c>
    </row>
    <row r="287" spans="1:10" x14ac:dyDescent="0.3">
      <c r="A287" s="3" t="str">
        <f t="shared" si="12"/>
        <v>C286</v>
      </c>
      <c r="B287" s="3" t="str">
        <f t="shared" ca="1" si="13"/>
        <v>Retail</v>
      </c>
      <c r="C287" s="3">
        <v>407</v>
      </c>
      <c r="D287" s="3">
        <v>1.4</v>
      </c>
      <c r="E287" s="3">
        <v>9.1</v>
      </c>
      <c r="F287" s="3">
        <v>1</v>
      </c>
      <c r="G287" s="3" t="s">
        <v>11</v>
      </c>
      <c r="H287" s="12">
        <v>0</v>
      </c>
      <c r="I287" s="14">
        <v>0.69586333134718303</v>
      </c>
      <c r="J287" s="9" t="str">
        <f t="shared" si="14"/>
        <v>Train</v>
      </c>
    </row>
    <row r="288" spans="1:10" x14ac:dyDescent="0.3">
      <c r="A288" s="3" t="str">
        <f t="shared" si="12"/>
        <v>C287</v>
      </c>
      <c r="B288" s="3" t="str">
        <f t="shared" ca="1" si="13"/>
        <v>Retail</v>
      </c>
      <c r="C288" s="3">
        <v>177</v>
      </c>
      <c r="D288" s="3">
        <v>6.8</v>
      </c>
      <c r="E288" s="3">
        <v>6.6</v>
      </c>
      <c r="F288" s="3">
        <v>1.6</v>
      </c>
      <c r="G288" s="3" t="s">
        <v>9</v>
      </c>
      <c r="H288" s="12">
        <v>0</v>
      </c>
      <c r="I288" s="14">
        <v>0.61659709453652756</v>
      </c>
      <c r="J288" s="9" t="str">
        <f t="shared" si="14"/>
        <v>Train</v>
      </c>
    </row>
    <row r="289" spans="1:10" x14ac:dyDescent="0.3">
      <c r="A289" s="3" t="str">
        <f t="shared" si="12"/>
        <v>C288</v>
      </c>
      <c r="B289" s="3" t="str">
        <f t="shared" ca="1" si="13"/>
        <v>Retail</v>
      </c>
      <c r="C289" s="3">
        <v>367</v>
      </c>
      <c r="D289" s="3">
        <v>6.3</v>
      </c>
      <c r="E289" s="3">
        <v>3.8</v>
      </c>
      <c r="F289" s="3">
        <v>1.7</v>
      </c>
      <c r="G289" s="3" t="s">
        <v>9</v>
      </c>
      <c r="H289" s="12">
        <v>0</v>
      </c>
      <c r="I289" s="14">
        <v>0.33478397705785945</v>
      </c>
      <c r="J289" s="9" t="str">
        <f t="shared" si="14"/>
        <v>Train</v>
      </c>
    </row>
    <row r="290" spans="1:10" x14ac:dyDescent="0.3">
      <c r="A290" s="3" t="str">
        <f t="shared" si="12"/>
        <v>C289</v>
      </c>
      <c r="B290" s="3" t="str">
        <f t="shared" ca="1" si="13"/>
        <v>Pharma</v>
      </c>
      <c r="C290" s="3">
        <v>348</v>
      </c>
      <c r="D290" s="3">
        <v>4.5</v>
      </c>
      <c r="E290" s="3">
        <v>7.1</v>
      </c>
      <c r="F290" s="3">
        <v>2.2999999999999998</v>
      </c>
      <c r="G290" s="3" t="s">
        <v>13</v>
      </c>
      <c r="H290" s="12">
        <v>0</v>
      </c>
      <c r="I290" s="14">
        <v>0.64785085659392583</v>
      </c>
      <c r="J290" s="9" t="str">
        <f t="shared" si="14"/>
        <v>Train</v>
      </c>
    </row>
    <row r="291" spans="1:10" x14ac:dyDescent="0.3">
      <c r="A291" s="3" t="str">
        <f t="shared" si="12"/>
        <v>C290</v>
      </c>
      <c r="B291" s="3" t="str">
        <f t="shared" ca="1" si="13"/>
        <v>IT Services</v>
      </c>
      <c r="C291" s="3">
        <v>435</v>
      </c>
      <c r="D291" s="3">
        <v>2.4</v>
      </c>
      <c r="E291" s="3">
        <v>4</v>
      </c>
      <c r="F291" s="3">
        <v>1.4</v>
      </c>
      <c r="G291" s="3" t="s">
        <v>7</v>
      </c>
      <c r="H291" s="12">
        <v>0</v>
      </c>
      <c r="I291" s="14">
        <v>0.26596981673267772</v>
      </c>
      <c r="J291" s="9" t="str">
        <f t="shared" si="14"/>
        <v>Train</v>
      </c>
    </row>
    <row r="292" spans="1:10" x14ac:dyDescent="0.3">
      <c r="A292" s="3" t="str">
        <f t="shared" si="12"/>
        <v>C291</v>
      </c>
      <c r="B292" s="3" t="str">
        <f t="shared" ca="1" si="13"/>
        <v>Manufacturing</v>
      </c>
      <c r="C292" s="3">
        <v>122</v>
      </c>
      <c r="D292" s="3">
        <v>5.4</v>
      </c>
      <c r="E292" s="3">
        <v>2.4</v>
      </c>
      <c r="F292" s="3">
        <v>1.2</v>
      </c>
      <c r="G292" s="3" t="s">
        <v>13</v>
      </c>
      <c r="H292" s="12">
        <v>0</v>
      </c>
      <c r="I292" s="14">
        <v>0.52281041935999395</v>
      </c>
      <c r="J292" s="9" t="str">
        <f t="shared" si="14"/>
        <v>Train</v>
      </c>
    </row>
    <row r="293" spans="1:10" x14ac:dyDescent="0.3">
      <c r="A293" s="3" t="str">
        <f t="shared" si="12"/>
        <v>C292</v>
      </c>
      <c r="B293" s="3" t="str">
        <f t="shared" ca="1" si="13"/>
        <v>Manufacturing</v>
      </c>
      <c r="C293" s="3">
        <v>500</v>
      </c>
      <c r="D293" s="3">
        <v>4.0999999999999996</v>
      </c>
      <c r="E293" s="3">
        <v>2</v>
      </c>
      <c r="F293" s="3">
        <v>1.5</v>
      </c>
      <c r="G293" s="3" t="s">
        <v>13</v>
      </c>
      <c r="H293" s="12">
        <v>0</v>
      </c>
      <c r="I293" s="14">
        <v>0.22842237393745524</v>
      </c>
      <c r="J293" s="9" t="str">
        <f t="shared" si="14"/>
        <v>Train</v>
      </c>
    </row>
    <row r="294" spans="1:10" x14ac:dyDescent="0.3">
      <c r="A294" s="3" t="str">
        <f t="shared" si="12"/>
        <v>C293</v>
      </c>
      <c r="B294" s="3" t="str">
        <f t="shared" ca="1" si="13"/>
        <v>Pharma</v>
      </c>
      <c r="C294" s="3">
        <v>283</v>
      </c>
      <c r="D294" s="3">
        <v>3.2</v>
      </c>
      <c r="E294" s="3">
        <v>6.4</v>
      </c>
      <c r="F294" s="3">
        <v>2.6</v>
      </c>
      <c r="G294" s="3" t="s">
        <v>7</v>
      </c>
      <c r="H294" s="12">
        <v>0</v>
      </c>
      <c r="I294" s="14">
        <v>0.34390207740793699</v>
      </c>
      <c r="J294" s="9" t="str">
        <f t="shared" si="14"/>
        <v>Train</v>
      </c>
    </row>
    <row r="295" spans="1:10" x14ac:dyDescent="0.3">
      <c r="A295" s="3" t="str">
        <f t="shared" si="12"/>
        <v>C294</v>
      </c>
      <c r="B295" s="3" t="str">
        <f t="shared" ca="1" si="13"/>
        <v>Retail</v>
      </c>
      <c r="C295" s="3">
        <v>282</v>
      </c>
      <c r="D295" s="3">
        <v>1.8</v>
      </c>
      <c r="E295" s="3">
        <v>6.3</v>
      </c>
      <c r="F295" s="3">
        <v>1.5</v>
      </c>
      <c r="G295" s="3" t="s">
        <v>11</v>
      </c>
      <c r="H295" s="12">
        <v>0</v>
      </c>
      <c r="I295" s="14">
        <v>0.70729729148868681</v>
      </c>
      <c r="J295" s="9" t="str">
        <f t="shared" si="14"/>
        <v>Test</v>
      </c>
    </row>
    <row r="296" spans="1:10" x14ac:dyDescent="0.3">
      <c r="A296" s="3" t="str">
        <f t="shared" si="12"/>
        <v>C295</v>
      </c>
      <c r="B296" s="3" t="str">
        <f t="shared" ca="1" si="13"/>
        <v>Transportation</v>
      </c>
      <c r="C296" s="3">
        <v>207</v>
      </c>
      <c r="D296" s="3">
        <v>1</v>
      </c>
      <c r="E296" s="3">
        <v>7.7</v>
      </c>
      <c r="F296" s="3">
        <v>1.4</v>
      </c>
      <c r="G296" s="3" t="s">
        <v>11</v>
      </c>
      <c r="H296" s="12">
        <v>0</v>
      </c>
      <c r="I296" s="14">
        <v>0.18787101529194039</v>
      </c>
      <c r="J296" s="9" t="str">
        <f t="shared" si="14"/>
        <v>Train</v>
      </c>
    </row>
    <row r="297" spans="1:10" x14ac:dyDescent="0.3">
      <c r="A297" s="3" t="str">
        <f t="shared" si="12"/>
        <v>C296</v>
      </c>
      <c r="B297" s="3" t="str">
        <f t="shared" ca="1" si="13"/>
        <v>Transportation</v>
      </c>
      <c r="C297" s="3">
        <v>54</v>
      </c>
      <c r="D297" s="3">
        <v>4.2</v>
      </c>
      <c r="E297" s="3">
        <v>6.7</v>
      </c>
      <c r="F297" s="3">
        <v>2</v>
      </c>
      <c r="G297" s="3" t="s">
        <v>13</v>
      </c>
      <c r="H297" s="12">
        <v>0</v>
      </c>
      <c r="I297" s="14">
        <v>0.88233143771454214</v>
      </c>
      <c r="J297" s="9" t="str">
        <f t="shared" si="14"/>
        <v>Test</v>
      </c>
    </row>
    <row r="298" spans="1:10" x14ac:dyDescent="0.3">
      <c r="A298" s="3" t="str">
        <f t="shared" si="12"/>
        <v>C297</v>
      </c>
      <c r="B298" s="3" t="str">
        <f t="shared" ca="1" si="13"/>
        <v>Transportation</v>
      </c>
      <c r="C298" s="3">
        <v>118</v>
      </c>
      <c r="D298" s="3">
        <v>1.1000000000000001</v>
      </c>
      <c r="E298" s="3">
        <v>8.6999999999999993</v>
      </c>
      <c r="F298" s="3">
        <v>1.1000000000000001</v>
      </c>
      <c r="G298" s="3" t="s">
        <v>11</v>
      </c>
      <c r="H298" s="12">
        <v>0</v>
      </c>
      <c r="I298" s="14">
        <v>0.28428644619052912</v>
      </c>
      <c r="J298" s="9" t="str">
        <f t="shared" si="14"/>
        <v>Train</v>
      </c>
    </row>
    <row r="299" spans="1:10" x14ac:dyDescent="0.3">
      <c r="A299" s="3" t="str">
        <f t="shared" si="12"/>
        <v>C298</v>
      </c>
      <c r="B299" s="3" t="str">
        <f t="shared" ca="1" si="13"/>
        <v>IT Services</v>
      </c>
      <c r="C299" s="3">
        <v>88</v>
      </c>
      <c r="D299" s="3">
        <v>6.8</v>
      </c>
      <c r="E299" s="3">
        <v>4</v>
      </c>
      <c r="F299" s="3">
        <v>0.6</v>
      </c>
      <c r="G299" s="3" t="s">
        <v>9</v>
      </c>
      <c r="H299" s="12">
        <v>0</v>
      </c>
      <c r="I299" s="14">
        <v>0.45499048580317913</v>
      </c>
      <c r="J299" s="9" t="str">
        <f t="shared" si="14"/>
        <v>Train</v>
      </c>
    </row>
    <row r="300" spans="1:10" x14ac:dyDescent="0.3">
      <c r="A300" s="3" t="str">
        <f t="shared" si="12"/>
        <v>C299</v>
      </c>
      <c r="B300" s="3" t="str">
        <f t="shared" ca="1" si="13"/>
        <v>Manufacturing</v>
      </c>
      <c r="C300" s="3">
        <v>461</v>
      </c>
      <c r="D300" s="3">
        <v>3.1</v>
      </c>
      <c r="E300" s="3">
        <v>5.4</v>
      </c>
      <c r="F300" s="3">
        <v>1.1000000000000001</v>
      </c>
      <c r="G300" s="3" t="s">
        <v>7</v>
      </c>
      <c r="H300" s="12">
        <v>0</v>
      </c>
      <c r="I300" s="14">
        <v>0.21284870580513071</v>
      </c>
      <c r="J300" s="9" t="str">
        <f t="shared" si="14"/>
        <v>Train</v>
      </c>
    </row>
    <row r="301" spans="1:10" x14ac:dyDescent="0.3">
      <c r="A301" s="3" t="str">
        <f t="shared" si="12"/>
        <v>C300</v>
      </c>
      <c r="B301" s="3" t="str">
        <f t="shared" ca="1" si="13"/>
        <v>Transportation</v>
      </c>
      <c r="C301" s="3">
        <v>390</v>
      </c>
      <c r="D301" s="3">
        <v>4.8</v>
      </c>
      <c r="E301" s="3">
        <v>5.8</v>
      </c>
      <c r="F301" s="3">
        <v>2.6</v>
      </c>
      <c r="G301" s="3" t="s">
        <v>13</v>
      </c>
      <c r="H301" s="12">
        <v>0</v>
      </c>
      <c r="I301" s="14">
        <v>0.15940857665883745</v>
      </c>
      <c r="J301" s="9" t="str">
        <f t="shared" si="14"/>
        <v>Train</v>
      </c>
    </row>
    <row r="302" spans="1:10" x14ac:dyDescent="0.3">
      <c r="A302" s="3" t="str">
        <f t="shared" si="12"/>
        <v>C301</v>
      </c>
      <c r="B302" s="3" t="str">
        <f t="shared" ca="1" si="13"/>
        <v>Construction</v>
      </c>
      <c r="C302" s="3">
        <v>139</v>
      </c>
      <c r="D302" s="3">
        <v>6.6</v>
      </c>
      <c r="E302" s="3">
        <v>2.6</v>
      </c>
      <c r="F302" s="3">
        <v>1.4</v>
      </c>
      <c r="G302" s="3" t="s">
        <v>9</v>
      </c>
      <c r="H302" s="12">
        <v>0</v>
      </c>
      <c r="I302" s="14">
        <v>0.6877269364251859</v>
      </c>
      <c r="J302" s="9" t="str">
        <f t="shared" si="14"/>
        <v>Train</v>
      </c>
    </row>
    <row r="303" spans="1:10" x14ac:dyDescent="0.3">
      <c r="A303" s="3" t="str">
        <f t="shared" si="12"/>
        <v>C302</v>
      </c>
      <c r="B303" s="3" t="str">
        <f t="shared" ca="1" si="13"/>
        <v>Retail</v>
      </c>
      <c r="C303" s="3">
        <v>107</v>
      </c>
      <c r="D303" s="3">
        <v>3.7</v>
      </c>
      <c r="E303" s="3">
        <v>2</v>
      </c>
      <c r="F303" s="3">
        <v>0.7</v>
      </c>
      <c r="G303" s="3" t="s">
        <v>7</v>
      </c>
      <c r="H303" s="12">
        <v>0</v>
      </c>
      <c r="I303" s="14">
        <v>0.53358242142304624</v>
      </c>
      <c r="J303" s="9" t="str">
        <f t="shared" si="14"/>
        <v>Train</v>
      </c>
    </row>
    <row r="304" spans="1:10" x14ac:dyDescent="0.3">
      <c r="A304" s="3" t="str">
        <f t="shared" si="12"/>
        <v>C303</v>
      </c>
      <c r="B304" s="3" t="str">
        <f t="shared" ca="1" si="13"/>
        <v>Construction</v>
      </c>
      <c r="C304" s="3">
        <v>451</v>
      </c>
      <c r="D304" s="3">
        <v>3.2</v>
      </c>
      <c r="E304" s="3">
        <v>4.5</v>
      </c>
      <c r="F304" s="3">
        <v>0.8</v>
      </c>
      <c r="G304" s="3" t="s">
        <v>7</v>
      </c>
      <c r="H304" s="12">
        <v>0</v>
      </c>
      <c r="I304" s="14">
        <v>0.31397521828562114</v>
      </c>
      <c r="J304" s="9" t="str">
        <f t="shared" si="14"/>
        <v>Train</v>
      </c>
    </row>
    <row r="305" spans="1:10" x14ac:dyDescent="0.3">
      <c r="A305" s="3" t="str">
        <f t="shared" si="12"/>
        <v>C304</v>
      </c>
      <c r="B305" s="3" t="str">
        <f t="shared" ca="1" si="13"/>
        <v>Retail</v>
      </c>
      <c r="C305" s="3">
        <v>112</v>
      </c>
      <c r="D305" s="3">
        <v>4.5999999999999996</v>
      </c>
      <c r="E305" s="3">
        <v>9.3000000000000007</v>
      </c>
      <c r="F305" s="3">
        <v>0.8</v>
      </c>
      <c r="G305" s="3" t="s">
        <v>13</v>
      </c>
      <c r="H305" s="12">
        <v>0</v>
      </c>
      <c r="I305" s="14">
        <v>0.7159494655691846</v>
      </c>
      <c r="J305" s="9" t="str">
        <f t="shared" si="14"/>
        <v>Test</v>
      </c>
    </row>
    <row r="306" spans="1:10" x14ac:dyDescent="0.3">
      <c r="A306" s="3" t="str">
        <f t="shared" si="12"/>
        <v>C305</v>
      </c>
      <c r="B306" s="3" t="str">
        <f t="shared" ca="1" si="13"/>
        <v>IT Services</v>
      </c>
      <c r="C306" s="3">
        <v>331</v>
      </c>
      <c r="D306" s="3">
        <v>4.3</v>
      </c>
      <c r="E306" s="3">
        <v>9.1999999999999993</v>
      </c>
      <c r="F306" s="3">
        <v>1.1000000000000001</v>
      </c>
      <c r="G306" s="3" t="s">
        <v>13</v>
      </c>
      <c r="H306" s="12">
        <v>0</v>
      </c>
      <c r="I306" s="14">
        <v>0.74269675188599626</v>
      </c>
      <c r="J306" s="9" t="str">
        <f t="shared" si="14"/>
        <v>Test</v>
      </c>
    </row>
    <row r="307" spans="1:10" x14ac:dyDescent="0.3">
      <c r="A307" s="3" t="str">
        <f t="shared" si="12"/>
        <v>C306</v>
      </c>
      <c r="B307" s="3" t="str">
        <f t="shared" ca="1" si="13"/>
        <v>Construction</v>
      </c>
      <c r="C307" s="3">
        <v>343</v>
      </c>
      <c r="D307" s="3">
        <v>1.7</v>
      </c>
      <c r="E307" s="3">
        <v>2.8</v>
      </c>
      <c r="F307" s="3">
        <v>1.9</v>
      </c>
      <c r="G307" s="3" t="s">
        <v>11</v>
      </c>
      <c r="H307" s="12">
        <v>0</v>
      </c>
      <c r="I307" s="14">
        <v>0.7564048823890166</v>
      </c>
      <c r="J307" s="9" t="str">
        <f t="shared" si="14"/>
        <v>Test</v>
      </c>
    </row>
    <row r="308" spans="1:10" x14ac:dyDescent="0.3">
      <c r="A308" s="3" t="str">
        <f t="shared" si="12"/>
        <v>C307</v>
      </c>
      <c r="B308" s="3" t="str">
        <f t="shared" ca="1" si="13"/>
        <v>Transportation</v>
      </c>
      <c r="C308" s="3">
        <v>311</v>
      </c>
      <c r="D308" s="3">
        <v>3.7</v>
      </c>
      <c r="E308" s="3">
        <v>7.9</v>
      </c>
      <c r="F308" s="3">
        <v>1.2</v>
      </c>
      <c r="G308" s="3" t="s">
        <v>7</v>
      </c>
      <c r="H308" s="12">
        <v>0</v>
      </c>
      <c r="I308" s="14">
        <v>0.56397203813477925</v>
      </c>
      <c r="J308" s="9" t="str">
        <f t="shared" si="14"/>
        <v>Train</v>
      </c>
    </row>
    <row r="309" spans="1:10" x14ac:dyDescent="0.3">
      <c r="A309" s="3" t="str">
        <f t="shared" si="12"/>
        <v>C308</v>
      </c>
      <c r="B309" s="3" t="str">
        <f t="shared" ca="1" si="13"/>
        <v>Construction</v>
      </c>
      <c r="C309" s="3">
        <v>318</v>
      </c>
      <c r="D309" s="3">
        <v>7.9</v>
      </c>
      <c r="E309" s="3">
        <v>5.0999999999999996</v>
      </c>
      <c r="F309" s="3">
        <v>0.8</v>
      </c>
      <c r="G309" s="3" t="s">
        <v>9</v>
      </c>
      <c r="H309" s="12">
        <v>0</v>
      </c>
      <c r="I309" s="14">
        <v>0.82598442103038161</v>
      </c>
      <c r="J309" s="9" t="str">
        <f t="shared" si="14"/>
        <v>Test</v>
      </c>
    </row>
    <row r="310" spans="1:10" x14ac:dyDescent="0.3">
      <c r="A310" s="3" t="str">
        <f t="shared" si="12"/>
        <v>C309</v>
      </c>
      <c r="B310" s="3" t="str">
        <f t="shared" ca="1" si="13"/>
        <v>Construction</v>
      </c>
      <c r="C310" s="3">
        <v>236</v>
      </c>
      <c r="D310" s="3">
        <v>2.7</v>
      </c>
      <c r="E310" s="3">
        <v>8.1</v>
      </c>
      <c r="F310" s="3">
        <v>0.8</v>
      </c>
      <c r="G310" s="3" t="s">
        <v>7</v>
      </c>
      <c r="H310" s="12">
        <v>0</v>
      </c>
      <c r="I310" s="14">
        <v>0.60946872177696554</v>
      </c>
      <c r="J310" s="9" t="str">
        <f t="shared" si="14"/>
        <v>Train</v>
      </c>
    </row>
    <row r="311" spans="1:10" x14ac:dyDescent="0.3">
      <c r="A311" s="3" t="str">
        <f t="shared" si="12"/>
        <v>C310</v>
      </c>
      <c r="B311" s="3" t="str">
        <f t="shared" ca="1" si="13"/>
        <v>Construction</v>
      </c>
      <c r="C311" s="3">
        <v>421</v>
      </c>
      <c r="D311" s="3">
        <v>1.4</v>
      </c>
      <c r="E311" s="3">
        <v>1.2</v>
      </c>
      <c r="F311" s="3">
        <v>2.2000000000000002</v>
      </c>
      <c r="G311" s="3" t="s">
        <v>11</v>
      </c>
      <c r="H311" s="12">
        <v>0</v>
      </c>
      <c r="I311" s="14">
        <v>0.60647618366136224</v>
      </c>
      <c r="J311" s="9" t="str">
        <f t="shared" si="14"/>
        <v>Train</v>
      </c>
    </row>
    <row r="312" spans="1:10" x14ac:dyDescent="0.3">
      <c r="A312" s="3" t="str">
        <f t="shared" si="12"/>
        <v>C311</v>
      </c>
      <c r="B312" s="3" t="str">
        <f t="shared" ca="1" si="13"/>
        <v>Construction</v>
      </c>
      <c r="C312" s="3">
        <v>427</v>
      </c>
      <c r="D312" s="3">
        <v>1.3</v>
      </c>
      <c r="E312" s="3">
        <v>7.7</v>
      </c>
      <c r="F312" s="3">
        <v>2.5</v>
      </c>
      <c r="G312" s="3" t="s">
        <v>11</v>
      </c>
      <c r="H312" s="12">
        <v>0</v>
      </c>
      <c r="I312" s="14">
        <v>6.1648179357902122E-2</v>
      </c>
      <c r="J312" s="9" t="str">
        <f t="shared" si="14"/>
        <v>Train</v>
      </c>
    </row>
    <row r="313" spans="1:10" x14ac:dyDescent="0.3">
      <c r="A313" s="3" t="str">
        <f t="shared" si="12"/>
        <v>C312</v>
      </c>
      <c r="B313" s="3" t="str">
        <f t="shared" ca="1" si="13"/>
        <v>Pharma</v>
      </c>
      <c r="C313" s="3">
        <v>288</v>
      </c>
      <c r="D313" s="3">
        <v>0.5</v>
      </c>
      <c r="E313" s="3">
        <v>9.1</v>
      </c>
      <c r="F313" s="3">
        <v>1.8</v>
      </c>
      <c r="G313" s="3" t="s">
        <v>11</v>
      </c>
      <c r="H313" s="12">
        <v>0</v>
      </c>
      <c r="I313" s="14">
        <v>0.52004965386741375</v>
      </c>
      <c r="J313" s="9" t="str">
        <f t="shared" si="14"/>
        <v>Train</v>
      </c>
    </row>
    <row r="314" spans="1:10" x14ac:dyDescent="0.3">
      <c r="A314" s="3" t="str">
        <f t="shared" si="12"/>
        <v>C313</v>
      </c>
      <c r="B314" s="3" t="str">
        <f t="shared" ca="1" si="13"/>
        <v>Manufacturing</v>
      </c>
      <c r="C314" s="3">
        <v>381</v>
      </c>
      <c r="D314" s="3">
        <v>2.4</v>
      </c>
      <c r="E314" s="3">
        <v>9.4</v>
      </c>
      <c r="F314" s="3">
        <v>2.4</v>
      </c>
      <c r="G314" s="3" t="s">
        <v>7</v>
      </c>
      <c r="H314" s="12">
        <v>0</v>
      </c>
      <c r="I314" s="14">
        <v>0.80150636337329417</v>
      </c>
      <c r="J314" s="9" t="str">
        <f t="shared" si="14"/>
        <v>Test</v>
      </c>
    </row>
    <row r="315" spans="1:10" x14ac:dyDescent="0.3">
      <c r="A315" s="3" t="str">
        <f t="shared" si="12"/>
        <v>C314</v>
      </c>
      <c r="B315" s="3" t="str">
        <f t="shared" ca="1" si="13"/>
        <v>Retail</v>
      </c>
      <c r="C315" s="3">
        <v>210</v>
      </c>
      <c r="D315" s="3">
        <v>7.3</v>
      </c>
      <c r="E315" s="3">
        <v>6.9</v>
      </c>
      <c r="F315" s="3">
        <v>2.7</v>
      </c>
      <c r="G315" s="3" t="s">
        <v>9</v>
      </c>
      <c r="H315" s="12">
        <v>0</v>
      </c>
      <c r="I315" s="14">
        <v>0.43129852245273526</v>
      </c>
      <c r="J315" s="9" t="str">
        <f t="shared" si="14"/>
        <v>Train</v>
      </c>
    </row>
    <row r="316" spans="1:10" x14ac:dyDescent="0.3">
      <c r="A316" s="3" t="str">
        <f t="shared" si="12"/>
        <v>C315</v>
      </c>
      <c r="B316" s="3" t="str">
        <f t="shared" ca="1" si="13"/>
        <v>Retail</v>
      </c>
      <c r="C316" s="3">
        <v>296</v>
      </c>
      <c r="D316" s="3">
        <v>6.9</v>
      </c>
      <c r="E316" s="3">
        <v>2.5</v>
      </c>
      <c r="F316" s="3">
        <v>0.9</v>
      </c>
      <c r="G316" s="3" t="s">
        <v>9</v>
      </c>
      <c r="H316" s="12">
        <v>0</v>
      </c>
      <c r="I316" s="14">
        <v>1.9515423086967187E-2</v>
      </c>
      <c r="J316" s="9" t="str">
        <f t="shared" si="14"/>
        <v>Train</v>
      </c>
    </row>
    <row r="317" spans="1:10" x14ac:dyDescent="0.3">
      <c r="A317" s="3" t="str">
        <f t="shared" si="12"/>
        <v>C316</v>
      </c>
      <c r="B317" s="3" t="str">
        <f t="shared" ca="1" si="13"/>
        <v>Construction</v>
      </c>
      <c r="C317" s="3">
        <v>453</v>
      </c>
      <c r="D317" s="3">
        <v>6.6</v>
      </c>
      <c r="E317" s="3">
        <v>5.6</v>
      </c>
      <c r="F317" s="3">
        <v>0.8</v>
      </c>
      <c r="G317" s="3" t="s">
        <v>9</v>
      </c>
      <c r="H317" s="12">
        <v>0</v>
      </c>
      <c r="I317" s="14">
        <v>0.73260260390127097</v>
      </c>
      <c r="J317" s="9" t="str">
        <f t="shared" si="14"/>
        <v>Test</v>
      </c>
    </row>
    <row r="318" spans="1:10" x14ac:dyDescent="0.3">
      <c r="A318" s="3" t="str">
        <f t="shared" si="12"/>
        <v>C317</v>
      </c>
      <c r="B318" s="3" t="str">
        <f t="shared" ca="1" si="13"/>
        <v>Transportation</v>
      </c>
      <c r="C318" s="3">
        <v>467</v>
      </c>
      <c r="D318" s="3">
        <v>8</v>
      </c>
      <c r="E318" s="3">
        <v>4.8</v>
      </c>
      <c r="F318" s="3">
        <v>1.8</v>
      </c>
      <c r="G318" s="3" t="s">
        <v>9</v>
      </c>
      <c r="H318" s="12">
        <v>0</v>
      </c>
      <c r="I318" s="14">
        <v>5.116601951061206E-2</v>
      </c>
      <c r="J318" s="9" t="str">
        <f t="shared" si="14"/>
        <v>Train</v>
      </c>
    </row>
    <row r="319" spans="1:10" x14ac:dyDescent="0.3">
      <c r="A319" s="3" t="str">
        <f t="shared" si="12"/>
        <v>C318</v>
      </c>
      <c r="B319" s="3" t="str">
        <f t="shared" ca="1" si="13"/>
        <v>IT Services</v>
      </c>
      <c r="C319" s="3">
        <v>69</v>
      </c>
      <c r="D319" s="3">
        <v>7.5</v>
      </c>
      <c r="E319" s="3">
        <v>3.4</v>
      </c>
      <c r="F319" s="3">
        <v>1</v>
      </c>
      <c r="G319" s="3" t="s">
        <v>9</v>
      </c>
      <c r="H319" s="12">
        <v>0</v>
      </c>
      <c r="I319" s="14">
        <v>0.82318472729975301</v>
      </c>
      <c r="J319" s="9" t="str">
        <f t="shared" si="14"/>
        <v>Test</v>
      </c>
    </row>
    <row r="320" spans="1:10" x14ac:dyDescent="0.3">
      <c r="A320" s="3" t="str">
        <f t="shared" si="12"/>
        <v>C319</v>
      </c>
      <c r="B320" s="3" t="str">
        <f t="shared" ca="1" si="13"/>
        <v>Pharma</v>
      </c>
      <c r="C320" s="3">
        <v>111</v>
      </c>
      <c r="D320" s="3">
        <v>6.5</v>
      </c>
      <c r="E320" s="3">
        <v>5.6</v>
      </c>
      <c r="F320" s="3">
        <v>2.4</v>
      </c>
      <c r="G320" s="3" t="s">
        <v>9</v>
      </c>
      <c r="H320" s="12">
        <v>0</v>
      </c>
      <c r="I320" s="14">
        <v>0.78199538439058225</v>
      </c>
      <c r="J320" s="9" t="str">
        <f t="shared" si="14"/>
        <v>Test</v>
      </c>
    </row>
    <row r="321" spans="1:10" x14ac:dyDescent="0.3">
      <c r="A321" s="3" t="str">
        <f t="shared" si="12"/>
        <v>C320</v>
      </c>
      <c r="B321" s="3" t="str">
        <f t="shared" ca="1" si="13"/>
        <v>Transportation</v>
      </c>
      <c r="C321" s="3">
        <v>399</v>
      </c>
      <c r="D321" s="3">
        <v>7.8</v>
      </c>
      <c r="E321" s="3">
        <v>2.1</v>
      </c>
      <c r="F321" s="3">
        <v>2.5</v>
      </c>
      <c r="G321" s="3" t="s">
        <v>9</v>
      </c>
      <c r="H321" s="12">
        <v>0</v>
      </c>
      <c r="I321" s="14">
        <v>0.13525230940517785</v>
      </c>
      <c r="J321" s="9" t="str">
        <f t="shared" si="14"/>
        <v>Train</v>
      </c>
    </row>
    <row r="322" spans="1:10" x14ac:dyDescent="0.3">
      <c r="A322" s="3" t="str">
        <f t="shared" si="12"/>
        <v>C321</v>
      </c>
      <c r="B322" s="3" t="str">
        <f t="shared" ca="1" si="13"/>
        <v>Manufacturing</v>
      </c>
      <c r="C322" s="3">
        <v>456</v>
      </c>
      <c r="D322" s="3">
        <v>7.7</v>
      </c>
      <c r="E322" s="3">
        <v>2</v>
      </c>
      <c r="F322" s="3">
        <v>1.8</v>
      </c>
      <c r="G322" s="3" t="s">
        <v>9</v>
      </c>
      <c r="H322" s="12">
        <v>0</v>
      </c>
      <c r="I322" s="14">
        <v>0.99345017513206757</v>
      </c>
      <c r="J322" s="9" t="str">
        <f t="shared" si="14"/>
        <v>Test</v>
      </c>
    </row>
    <row r="323" spans="1:10" x14ac:dyDescent="0.3">
      <c r="A323" s="3" t="str">
        <f t="shared" ref="A323:A386" si="15">"C"&amp;TEXT(ROW()-1,"000")</f>
        <v>C322</v>
      </c>
      <c r="B323" s="3" t="str">
        <f t="shared" ref="B323:B386" ca="1" si="16">CHOOSE(RANDBETWEEN(1,6),
"Manufacturing",
"Retail",
"Pharma",
"Construction",
"Transportation",
"IT Services")</f>
        <v>Pharma</v>
      </c>
      <c r="C323" s="3">
        <v>210</v>
      </c>
      <c r="D323" s="3">
        <v>3.3</v>
      </c>
      <c r="E323" s="3">
        <v>3.8</v>
      </c>
      <c r="F323" s="3">
        <v>2.5</v>
      </c>
      <c r="G323" s="3" t="s">
        <v>7</v>
      </c>
      <c r="H323" s="12">
        <v>0</v>
      </c>
      <c r="I323" s="14">
        <v>0.399244885740202</v>
      </c>
      <c r="J323" s="9" t="str">
        <f t="shared" ref="J323:J386" si="17">IF(I323&lt;=0.7,"Train","Test")</f>
        <v>Train</v>
      </c>
    </row>
    <row r="324" spans="1:10" x14ac:dyDescent="0.3">
      <c r="A324" s="3" t="str">
        <f t="shared" si="15"/>
        <v>C323</v>
      </c>
      <c r="B324" s="3" t="str">
        <f t="shared" ca="1" si="16"/>
        <v>Pharma</v>
      </c>
      <c r="C324" s="3">
        <v>278</v>
      </c>
      <c r="D324" s="3">
        <v>5</v>
      </c>
      <c r="E324" s="3">
        <v>4.0999999999999996</v>
      </c>
      <c r="F324" s="3">
        <v>1.5</v>
      </c>
      <c r="G324" s="3" t="s">
        <v>13</v>
      </c>
      <c r="H324" s="12">
        <v>0</v>
      </c>
      <c r="I324" s="14">
        <v>0.69663951097306254</v>
      </c>
      <c r="J324" s="9" t="str">
        <f t="shared" si="17"/>
        <v>Train</v>
      </c>
    </row>
    <row r="325" spans="1:10" x14ac:dyDescent="0.3">
      <c r="A325" s="3" t="str">
        <f t="shared" si="15"/>
        <v>C324</v>
      </c>
      <c r="B325" s="3" t="str">
        <f t="shared" ca="1" si="16"/>
        <v>Transportation</v>
      </c>
      <c r="C325" s="3">
        <v>154</v>
      </c>
      <c r="D325" s="3">
        <v>0.9</v>
      </c>
      <c r="E325" s="3">
        <v>6.6</v>
      </c>
      <c r="F325" s="3">
        <v>0.7</v>
      </c>
      <c r="G325" s="3" t="s">
        <v>11</v>
      </c>
      <c r="H325" s="12">
        <v>0</v>
      </c>
      <c r="I325" s="14">
        <v>0.26477099329904641</v>
      </c>
      <c r="J325" s="9" t="str">
        <f t="shared" si="17"/>
        <v>Train</v>
      </c>
    </row>
    <row r="326" spans="1:10" x14ac:dyDescent="0.3">
      <c r="A326" s="3" t="str">
        <f t="shared" si="15"/>
        <v>C325</v>
      </c>
      <c r="B326" s="3" t="str">
        <f t="shared" ca="1" si="16"/>
        <v>Retail</v>
      </c>
      <c r="C326" s="3">
        <v>352</v>
      </c>
      <c r="D326" s="3">
        <v>5.8</v>
      </c>
      <c r="E326" s="3">
        <v>6.4</v>
      </c>
      <c r="F326" s="3">
        <v>0.9</v>
      </c>
      <c r="G326" s="3" t="s">
        <v>13</v>
      </c>
      <c r="H326" s="12">
        <v>0</v>
      </c>
      <c r="I326" s="14">
        <v>0.10473029384231081</v>
      </c>
      <c r="J326" s="9" t="str">
        <f t="shared" si="17"/>
        <v>Train</v>
      </c>
    </row>
    <row r="327" spans="1:10" x14ac:dyDescent="0.3">
      <c r="A327" s="3" t="str">
        <f t="shared" si="15"/>
        <v>C326</v>
      </c>
      <c r="B327" s="3" t="str">
        <f t="shared" ca="1" si="16"/>
        <v>Manufacturing</v>
      </c>
      <c r="C327" s="3">
        <v>193</v>
      </c>
      <c r="D327" s="3">
        <v>4.5999999999999996</v>
      </c>
      <c r="E327" s="3">
        <v>9.8000000000000007</v>
      </c>
      <c r="F327" s="3">
        <v>2.1</v>
      </c>
      <c r="G327" s="3" t="s">
        <v>13</v>
      </c>
      <c r="H327" s="12">
        <v>0</v>
      </c>
      <c r="I327" s="14">
        <v>0.64669902147123703</v>
      </c>
      <c r="J327" s="9" t="str">
        <f t="shared" si="17"/>
        <v>Train</v>
      </c>
    </row>
    <row r="328" spans="1:10" x14ac:dyDescent="0.3">
      <c r="A328" s="3" t="str">
        <f t="shared" si="15"/>
        <v>C327</v>
      </c>
      <c r="B328" s="3" t="str">
        <f t="shared" ca="1" si="16"/>
        <v>Manufacturing</v>
      </c>
      <c r="C328" s="3">
        <v>122</v>
      </c>
      <c r="D328" s="3">
        <v>2.4</v>
      </c>
      <c r="E328" s="3">
        <v>6.8</v>
      </c>
      <c r="F328" s="3">
        <v>2.9</v>
      </c>
      <c r="G328" s="3" t="s">
        <v>7</v>
      </c>
      <c r="H328" s="12">
        <v>0</v>
      </c>
      <c r="I328" s="14">
        <v>2.7971956181466306E-2</v>
      </c>
      <c r="J328" s="9" t="str">
        <f t="shared" si="17"/>
        <v>Train</v>
      </c>
    </row>
    <row r="329" spans="1:10" x14ac:dyDescent="0.3">
      <c r="A329" s="3" t="str">
        <f t="shared" si="15"/>
        <v>C328</v>
      </c>
      <c r="B329" s="3" t="str">
        <f t="shared" ca="1" si="16"/>
        <v>Manufacturing</v>
      </c>
      <c r="C329" s="3">
        <v>244</v>
      </c>
      <c r="D329" s="3">
        <v>2.7</v>
      </c>
      <c r="E329" s="3">
        <v>6.8</v>
      </c>
      <c r="F329" s="3">
        <v>1.6</v>
      </c>
      <c r="G329" s="3" t="s">
        <v>7</v>
      </c>
      <c r="H329" s="12">
        <v>0</v>
      </c>
      <c r="I329" s="14">
        <v>0.59260869994098808</v>
      </c>
      <c r="J329" s="9" t="str">
        <f t="shared" si="17"/>
        <v>Train</v>
      </c>
    </row>
    <row r="330" spans="1:10" x14ac:dyDescent="0.3">
      <c r="A330" s="3" t="str">
        <f t="shared" si="15"/>
        <v>C329</v>
      </c>
      <c r="B330" s="3" t="str">
        <f t="shared" ca="1" si="16"/>
        <v>Manufacturing</v>
      </c>
      <c r="C330" s="3">
        <v>344</v>
      </c>
      <c r="D330" s="3">
        <v>7.6</v>
      </c>
      <c r="E330" s="3">
        <v>4</v>
      </c>
      <c r="F330" s="3">
        <v>2.2000000000000002</v>
      </c>
      <c r="G330" s="3" t="s">
        <v>9</v>
      </c>
      <c r="H330" s="12">
        <v>0</v>
      </c>
      <c r="I330" s="14">
        <v>0.98401698534478332</v>
      </c>
      <c r="J330" s="9" t="str">
        <f t="shared" si="17"/>
        <v>Test</v>
      </c>
    </row>
    <row r="331" spans="1:10" x14ac:dyDescent="0.3">
      <c r="A331" s="3" t="str">
        <f t="shared" si="15"/>
        <v>C330</v>
      </c>
      <c r="B331" s="3" t="str">
        <f t="shared" ca="1" si="16"/>
        <v>IT Services</v>
      </c>
      <c r="C331" s="3">
        <v>244</v>
      </c>
      <c r="D331" s="3">
        <v>7.7</v>
      </c>
      <c r="E331" s="3">
        <v>8.1999999999999993</v>
      </c>
      <c r="F331" s="3">
        <v>1.7</v>
      </c>
      <c r="G331" s="3" t="s">
        <v>9</v>
      </c>
      <c r="H331" s="12">
        <v>0</v>
      </c>
      <c r="I331" s="14">
        <v>0.20868615173084515</v>
      </c>
      <c r="J331" s="9" t="str">
        <f t="shared" si="17"/>
        <v>Train</v>
      </c>
    </row>
    <row r="332" spans="1:10" x14ac:dyDescent="0.3">
      <c r="A332" s="3" t="str">
        <f t="shared" si="15"/>
        <v>C331</v>
      </c>
      <c r="B332" s="3" t="str">
        <f t="shared" ca="1" si="16"/>
        <v>Retail</v>
      </c>
      <c r="C332" s="3">
        <v>130</v>
      </c>
      <c r="D332" s="3">
        <v>6.2</v>
      </c>
      <c r="E332" s="3">
        <v>3.5</v>
      </c>
      <c r="F332" s="3">
        <v>2</v>
      </c>
      <c r="G332" s="3" t="s">
        <v>9</v>
      </c>
      <c r="H332" s="12">
        <v>0</v>
      </c>
      <c r="I332" s="14">
        <v>0.91596517217088913</v>
      </c>
      <c r="J332" s="9" t="str">
        <f t="shared" si="17"/>
        <v>Test</v>
      </c>
    </row>
    <row r="333" spans="1:10" x14ac:dyDescent="0.3">
      <c r="A333" s="3" t="str">
        <f t="shared" si="15"/>
        <v>C332</v>
      </c>
      <c r="B333" s="3" t="str">
        <f t="shared" ca="1" si="16"/>
        <v>Retail</v>
      </c>
      <c r="C333" s="3">
        <v>83</v>
      </c>
      <c r="D333" s="3">
        <v>6.3</v>
      </c>
      <c r="E333" s="3">
        <v>4.9000000000000004</v>
      </c>
      <c r="F333" s="3">
        <v>2.9</v>
      </c>
      <c r="G333" s="3" t="s">
        <v>9</v>
      </c>
      <c r="H333" s="12">
        <v>0</v>
      </c>
      <c r="I333" s="14">
        <v>0.55098658070258577</v>
      </c>
      <c r="J333" s="9" t="str">
        <f t="shared" si="17"/>
        <v>Train</v>
      </c>
    </row>
    <row r="334" spans="1:10" x14ac:dyDescent="0.3">
      <c r="A334" s="3" t="str">
        <f t="shared" si="15"/>
        <v>C333</v>
      </c>
      <c r="B334" s="3" t="str">
        <f t="shared" ca="1" si="16"/>
        <v>Construction</v>
      </c>
      <c r="C334" s="3">
        <v>449</v>
      </c>
      <c r="D334" s="3">
        <v>2.8</v>
      </c>
      <c r="E334" s="3">
        <v>6</v>
      </c>
      <c r="F334" s="3">
        <v>2.2000000000000002</v>
      </c>
      <c r="G334" s="3" t="s">
        <v>7</v>
      </c>
      <c r="H334" s="12">
        <v>0</v>
      </c>
      <c r="I334" s="14">
        <v>0.49980472397498754</v>
      </c>
      <c r="J334" s="9" t="str">
        <f t="shared" si="17"/>
        <v>Train</v>
      </c>
    </row>
    <row r="335" spans="1:10" x14ac:dyDescent="0.3">
      <c r="A335" s="3" t="str">
        <f t="shared" si="15"/>
        <v>C334</v>
      </c>
      <c r="B335" s="3" t="str">
        <f t="shared" ca="1" si="16"/>
        <v>Manufacturing</v>
      </c>
      <c r="C335" s="3">
        <v>203</v>
      </c>
      <c r="D335" s="3">
        <v>6.7</v>
      </c>
      <c r="E335" s="3">
        <v>4.4000000000000004</v>
      </c>
      <c r="F335" s="3">
        <v>1.6</v>
      </c>
      <c r="G335" s="3" t="s">
        <v>9</v>
      </c>
      <c r="H335" s="12">
        <v>0</v>
      </c>
      <c r="I335" s="14">
        <v>0.28278125542107602</v>
      </c>
      <c r="J335" s="9" t="str">
        <f t="shared" si="17"/>
        <v>Train</v>
      </c>
    </row>
    <row r="336" spans="1:10" x14ac:dyDescent="0.3">
      <c r="A336" s="3" t="str">
        <f t="shared" si="15"/>
        <v>C335</v>
      </c>
      <c r="B336" s="3" t="str">
        <f t="shared" ca="1" si="16"/>
        <v>Manufacturing</v>
      </c>
      <c r="C336" s="3">
        <v>95</v>
      </c>
      <c r="D336" s="3">
        <v>4</v>
      </c>
      <c r="E336" s="3">
        <v>5.3</v>
      </c>
      <c r="F336" s="3">
        <v>2.5</v>
      </c>
      <c r="G336" s="3" t="s">
        <v>13</v>
      </c>
      <c r="H336" s="12">
        <v>0</v>
      </c>
      <c r="I336" s="14">
        <v>0.9831894588228931</v>
      </c>
      <c r="J336" s="9" t="str">
        <f t="shared" si="17"/>
        <v>Test</v>
      </c>
    </row>
    <row r="337" spans="1:10" x14ac:dyDescent="0.3">
      <c r="A337" s="3" t="str">
        <f t="shared" si="15"/>
        <v>C336</v>
      </c>
      <c r="B337" s="3" t="str">
        <f t="shared" ca="1" si="16"/>
        <v>Manufacturing</v>
      </c>
      <c r="C337" s="3">
        <v>297</v>
      </c>
      <c r="D337" s="3">
        <v>4.9000000000000004</v>
      </c>
      <c r="E337" s="3">
        <v>2.7</v>
      </c>
      <c r="F337" s="3">
        <v>1</v>
      </c>
      <c r="G337" s="3" t="s">
        <v>13</v>
      </c>
      <c r="H337" s="12">
        <v>0</v>
      </c>
      <c r="I337" s="14">
        <v>0.48379530978172369</v>
      </c>
      <c r="J337" s="9" t="str">
        <f t="shared" si="17"/>
        <v>Train</v>
      </c>
    </row>
    <row r="338" spans="1:10" x14ac:dyDescent="0.3">
      <c r="A338" s="3" t="str">
        <f t="shared" si="15"/>
        <v>C337</v>
      </c>
      <c r="B338" s="3" t="str">
        <f t="shared" ca="1" si="16"/>
        <v>Pharma</v>
      </c>
      <c r="C338" s="3">
        <v>193</v>
      </c>
      <c r="D338" s="3">
        <v>1.2</v>
      </c>
      <c r="E338" s="3">
        <v>4.7</v>
      </c>
      <c r="F338" s="3">
        <v>2</v>
      </c>
      <c r="G338" s="3" t="s">
        <v>11</v>
      </c>
      <c r="H338" s="12">
        <v>0</v>
      </c>
      <c r="I338" s="14">
        <v>0.5578443003354332</v>
      </c>
      <c r="J338" s="9" t="str">
        <f t="shared" si="17"/>
        <v>Train</v>
      </c>
    </row>
    <row r="339" spans="1:10" x14ac:dyDescent="0.3">
      <c r="A339" s="3" t="str">
        <f t="shared" si="15"/>
        <v>C338</v>
      </c>
      <c r="B339" s="3" t="str">
        <f t="shared" ca="1" si="16"/>
        <v>Pharma</v>
      </c>
      <c r="C339" s="3">
        <v>312</v>
      </c>
      <c r="D339" s="3">
        <v>7.7</v>
      </c>
      <c r="E339" s="3">
        <v>5.0999999999999996</v>
      </c>
      <c r="F339" s="3">
        <v>2.5</v>
      </c>
      <c r="G339" s="3" t="s">
        <v>9</v>
      </c>
      <c r="H339" s="12">
        <v>0</v>
      </c>
      <c r="I339" s="14">
        <v>0.9089415131015971</v>
      </c>
      <c r="J339" s="9" t="str">
        <f t="shared" si="17"/>
        <v>Test</v>
      </c>
    </row>
    <row r="340" spans="1:10" x14ac:dyDescent="0.3">
      <c r="A340" s="3" t="str">
        <f t="shared" si="15"/>
        <v>C339</v>
      </c>
      <c r="B340" s="3" t="str">
        <f t="shared" ca="1" si="16"/>
        <v>IT Services</v>
      </c>
      <c r="C340" s="3">
        <v>438</v>
      </c>
      <c r="D340" s="3">
        <v>2.9</v>
      </c>
      <c r="E340" s="3">
        <v>9.5</v>
      </c>
      <c r="F340" s="3">
        <v>1.3</v>
      </c>
      <c r="G340" s="3" t="s">
        <v>7</v>
      </c>
      <c r="H340" s="12">
        <v>0</v>
      </c>
      <c r="I340" s="14">
        <v>0.4086230050292915</v>
      </c>
      <c r="J340" s="9" t="str">
        <f t="shared" si="17"/>
        <v>Train</v>
      </c>
    </row>
    <row r="341" spans="1:10" x14ac:dyDescent="0.3">
      <c r="A341" s="3" t="str">
        <f t="shared" si="15"/>
        <v>C340</v>
      </c>
      <c r="B341" s="3" t="str">
        <f t="shared" ca="1" si="16"/>
        <v>Manufacturing</v>
      </c>
      <c r="C341" s="3">
        <v>490</v>
      </c>
      <c r="D341" s="3">
        <v>3.4</v>
      </c>
      <c r="E341" s="3">
        <v>1.5</v>
      </c>
      <c r="F341" s="3">
        <v>2.7</v>
      </c>
      <c r="G341" s="3" t="s">
        <v>7</v>
      </c>
      <c r="H341" s="12">
        <v>0</v>
      </c>
      <c r="I341" s="14">
        <v>0.4697653274886594</v>
      </c>
      <c r="J341" s="9" t="str">
        <f t="shared" si="17"/>
        <v>Train</v>
      </c>
    </row>
    <row r="342" spans="1:10" x14ac:dyDescent="0.3">
      <c r="A342" s="3" t="str">
        <f t="shared" si="15"/>
        <v>C341</v>
      </c>
      <c r="B342" s="3" t="str">
        <f t="shared" ca="1" si="16"/>
        <v>IT Services</v>
      </c>
      <c r="C342" s="3">
        <v>418</v>
      </c>
      <c r="D342" s="3">
        <v>7.9</v>
      </c>
      <c r="E342" s="3">
        <v>3.8</v>
      </c>
      <c r="F342" s="3">
        <v>2.5</v>
      </c>
      <c r="G342" s="3" t="s">
        <v>9</v>
      </c>
      <c r="H342" s="12">
        <v>0</v>
      </c>
      <c r="I342" s="14">
        <v>0.89170867931200404</v>
      </c>
      <c r="J342" s="9" t="str">
        <f t="shared" si="17"/>
        <v>Test</v>
      </c>
    </row>
    <row r="343" spans="1:10" x14ac:dyDescent="0.3">
      <c r="A343" s="3" t="str">
        <f t="shared" si="15"/>
        <v>C342</v>
      </c>
      <c r="B343" s="3" t="str">
        <f t="shared" ca="1" si="16"/>
        <v>Pharma</v>
      </c>
      <c r="C343" s="3">
        <v>467</v>
      </c>
      <c r="D343" s="3">
        <v>2.6</v>
      </c>
      <c r="E343" s="3">
        <v>9.6999999999999993</v>
      </c>
      <c r="F343" s="3">
        <v>2.8</v>
      </c>
      <c r="G343" s="3" t="s">
        <v>7</v>
      </c>
      <c r="H343" s="12">
        <v>0</v>
      </c>
      <c r="I343" s="14">
        <v>2.6623991202180841E-2</v>
      </c>
      <c r="J343" s="9" t="str">
        <f t="shared" si="17"/>
        <v>Train</v>
      </c>
    </row>
    <row r="344" spans="1:10" x14ac:dyDescent="0.3">
      <c r="A344" s="3" t="str">
        <f t="shared" si="15"/>
        <v>C343</v>
      </c>
      <c r="B344" s="3" t="str">
        <f t="shared" ca="1" si="16"/>
        <v>Transportation</v>
      </c>
      <c r="C344" s="3">
        <v>481</v>
      </c>
      <c r="D344" s="3">
        <v>5.0999999999999996</v>
      </c>
      <c r="E344" s="3">
        <v>8.1999999999999993</v>
      </c>
      <c r="F344" s="3">
        <v>2.6</v>
      </c>
      <c r="G344" s="3" t="s">
        <v>13</v>
      </c>
      <c r="H344" s="12">
        <v>0</v>
      </c>
      <c r="I344" s="14">
        <v>0.67400080954582531</v>
      </c>
      <c r="J344" s="9" t="str">
        <f t="shared" si="17"/>
        <v>Train</v>
      </c>
    </row>
    <row r="345" spans="1:10" x14ac:dyDescent="0.3">
      <c r="A345" s="3" t="str">
        <f t="shared" si="15"/>
        <v>C344</v>
      </c>
      <c r="B345" s="3" t="str">
        <f t="shared" ca="1" si="16"/>
        <v>Transportation</v>
      </c>
      <c r="C345" s="3">
        <v>204</v>
      </c>
      <c r="D345" s="3">
        <v>5.3</v>
      </c>
      <c r="E345" s="3">
        <v>2.5</v>
      </c>
      <c r="F345" s="3">
        <v>3</v>
      </c>
      <c r="G345" s="3" t="s">
        <v>13</v>
      </c>
      <c r="H345" s="12">
        <v>0</v>
      </c>
      <c r="I345" s="14">
        <v>1.7028202307093343E-2</v>
      </c>
      <c r="J345" s="9" t="str">
        <f t="shared" si="17"/>
        <v>Train</v>
      </c>
    </row>
    <row r="346" spans="1:10" x14ac:dyDescent="0.3">
      <c r="A346" s="3" t="str">
        <f t="shared" si="15"/>
        <v>C345</v>
      </c>
      <c r="B346" s="3" t="str">
        <f t="shared" ca="1" si="16"/>
        <v>IT Services</v>
      </c>
      <c r="C346" s="3">
        <v>307</v>
      </c>
      <c r="D346" s="3">
        <v>6.4</v>
      </c>
      <c r="E346" s="3">
        <v>4.8</v>
      </c>
      <c r="F346" s="3">
        <v>0.9</v>
      </c>
      <c r="G346" s="3" t="s">
        <v>9</v>
      </c>
      <c r="H346" s="12">
        <v>0</v>
      </c>
      <c r="I346" s="14">
        <v>0.36677528834311424</v>
      </c>
      <c r="J346" s="9" t="str">
        <f t="shared" si="17"/>
        <v>Train</v>
      </c>
    </row>
    <row r="347" spans="1:10" x14ac:dyDescent="0.3">
      <c r="A347" s="3" t="str">
        <f t="shared" si="15"/>
        <v>C346</v>
      </c>
      <c r="B347" s="3" t="str">
        <f t="shared" ca="1" si="16"/>
        <v>IT Services</v>
      </c>
      <c r="C347" s="3">
        <v>252</v>
      </c>
      <c r="D347" s="3">
        <v>5.0999999999999996</v>
      </c>
      <c r="E347" s="3">
        <v>1.4</v>
      </c>
      <c r="F347" s="3">
        <v>1.8</v>
      </c>
      <c r="G347" s="3" t="s">
        <v>13</v>
      </c>
      <c r="H347" s="12">
        <v>0</v>
      </c>
      <c r="I347" s="14">
        <v>0.28348659551228161</v>
      </c>
      <c r="J347" s="9" t="str">
        <f t="shared" si="17"/>
        <v>Train</v>
      </c>
    </row>
    <row r="348" spans="1:10" x14ac:dyDescent="0.3">
      <c r="A348" s="3" t="str">
        <f t="shared" si="15"/>
        <v>C347</v>
      </c>
      <c r="B348" s="3" t="str">
        <f t="shared" ca="1" si="16"/>
        <v>Pharma</v>
      </c>
      <c r="C348" s="3">
        <v>276</v>
      </c>
      <c r="D348" s="3">
        <v>4.2</v>
      </c>
      <c r="E348" s="3">
        <v>10</v>
      </c>
      <c r="F348" s="3">
        <v>1.9</v>
      </c>
      <c r="G348" s="3" t="s">
        <v>13</v>
      </c>
      <c r="H348" s="12">
        <v>0</v>
      </c>
      <c r="I348" s="14">
        <v>0.54897640963980188</v>
      </c>
      <c r="J348" s="9" t="str">
        <f t="shared" si="17"/>
        <v>Train</v>
      </c>
    </row>
    <row r="349" spans="1:10" x14ac:dyDescent="0.3">
      <c r="A349" s="3" t="str">
        <f t="shared" si="15"/>
        <v>C348</v>
      </c>
      <c r="B349" s="3" t="str">
        <f t="shared" ca="1" si="16"/>
        <v>Retail</v>
      </c>
      <c r="C349" s="3">
        <v>358</v>
      </c>
      <c r="D349" s="3">
        <v>2.5</v>
      </c>
      <c r="E349" s="3">
        <v>4.5</v>
      </c>
      <c r="F349" s="3">
        <v>2.1</v>
      </c>
      <c r="G349" s="3" t="s">
        <v>7</v>
      </c>
      <c r="H349" s="12">
        <v>0</v>
      </c>
      <c r="I349" s="14">
        <v>0.84249057353639811</v>
      </c>
      <c r="J349" s="9" t="str">
        <f t="shared" si="17"/>
        <v>Test</v>
      </c>
    </row>
    <row r="350" spans="1:10" x14ac:dyDescent="0.3">
      <c r="A350" s="3" t="str">
        <f t="shared" si="15"/>
        <v>C349</v>
      </c>
      <c r="B350" s="3" t="str">
        <f t="shared" ca="1" si="16"/>
        <v>Retail</v>
      </c>
      <c r="C350" s="3">
        <v>132</v>
      </c>
      <c r="D350" s="3">
        <v>0.9</v>
      </c>
      <c r="E350" s="3">
        <v>2.2000000000000002</v>
      </c>
      <c r="F350" s="3">
        <v>2.9</v>
      </c>
      <c r="G350" s="3" t="s">
        <v>11</v>
      </c>
      <c r="H350" s="12">
        <v>0</v>
      </c>
      <c r="I350" s="14">
        <v>0.21051037972492359</v>
      </c>
      <c r="J350" s="9" t="str">
        <f t="shared" si="17"/>
        <v>Train</v>
      </c>
    </row>
    <row r="351" spans="1:10" x14ac:dyDescent="0.3">
      <c r="A351" s="3" t="str">
        <f t="shared" si="15"/>
        <v>C350</v>
      </c>
      <c r="B351" s="3" t="str">
        <f t="shared" ca="1" si="16"/>
        <v>IT Services</v>
      </c>
      <c r="C351" s="3">
        <v>78</v>
      </c>
      <c r="D351" s="3">
        <v>7.5</v>
      </c>
      <c r="E351" s="3">
        <v>8.6999999999999993</v>
      </c>
      <c r="F351" s="3">
        <v>1.8</v>
      </c>
      <c r="G351" s="3" t="s">
        <v>9</v>
      </c>
      <c r="H351" s="12">
        <v>0</v>
      </c>
      <c r="I351" s="14">
        <v>0.4144314042789341</v>
      </c>
      <c r="J351" s="9" t="str">
        <f t="shared" si="17"/>
        <v>Train</v>
      </c>
    </row>
    <row r="352" spans="1:10" x14ac:dyDescent="0.3">
      <c r="A352" s="3" t="str">
        <f t="shared" si="15"/>
        <v>C351</v>
      </c>
      <c r="B352" s="3" t="str">
        <f t="shared" ca="1" si="16"/>
        <v>IT Services</v>
      </c>
      <c r="C352" s="3">
        <v>223</v>
      </c>
      <c r="D352" s="3">
        <v>2.2000000000000002</v>
      </c>
      <c r="E352" s="3">
        <v>4.2</v>
      </c>
      <c r="F352" s="3">
        <v>2.8</v>
      </c>
      <c r="G352" s="3" t="s">
        <v>7</v>
      </c>
      <c r="H352" s="12">
        <v>0</v>
      </c>
      <c r="I352" s="14">
        <v>9.2109797594434939E-2</v>
      </c>
      <c r="J352" s="9" t="str">
        <f t="shared" si="17"/>
        <v>Train</v>
      </c>
    </row>
    <row r="353" spans="1:10" x14ac:dyDescent="0.3">
      <c r="A353" s="3" t="str">
        <f t="shared" si="15"/>
        <v>C352</v>
      </c>
      <c r="B353" s="3" t="str">
        <f t="shared" ca="1" si="16"/>
        <v>IT Services</v>
      </c>
      <c r="C353" s="3">
        <v>89</v>
      </c>
      <c r="D353" s="3">
        <v>4.0999999999999996</v>
      </c>
      <c r="E353" s="3">
        <v>9.6</v>
      </c>
      <c r="F353" s="3">
        <v>2.9</v>
      </c>
      <c r="G353" s="3" t="s">
        <v>13</v>
      </c>
      <c r="H353" s="12">
        <v>0</v>
      </c>
      <c r="I353" s="14">
        <v>0.70501129893090819</v>
      </c>
      <c r="J353" s="9" t="str">
        <f t="shared" si="17"/>
        <v>Test</v>
      </c>
    </row>
    <row r="354" spans="1:10" x14ac:dyDescent="0.3">
      <c r="A354" s="3" t="str">
        <f t="shared" si="15"/>
        <v>C353</v>
      </c>
      <c r="B354" s="3" t="str">
        <f t="shared" ca="1" si="16"/>
        <v>Transportation</v>
      </c>
      <c r="C354" s="3">
        <v>335</v>
      </c>
      <c r="D354" s="3">
        <v>6.3</v>
      </c>
      <c r="E354" s="3">
        <v>5.3</v>
      </c>
      <c r="F354" s="3">
        <v>1.2</v>
      </c>
      <c r="G354" s="3" t="s">
        <v>9</v>
      </c>
      <c r="H354" s="12">
        <v>0</v>
      </c>
      <c r="I354" s="14">
        <v>0.54322020125102277</v>
      </c>
      <c r="J354" s="9" t="str">
        <f t="shared" si="17"/>
        <v>Train</v>
      </c>
    </row>
    <row r="355" spans="1:10" x14ac:dyDescent="0.3">
      <c r="A355" s="3" t="str">
        <f t="shared" si="15"/>
        <v>C354</v>
      </c>
      <c r="B355" s="3" t="str">
        <f t="shared" ca="1" si="16"/>
        <v>IT Services</v>
      </c>
      <c r="C355" s="3">
        <v>79</v>
      </c>
      <c r="D355" s="3">
        <v>2.8</v>
      </c>
      <c r="E355" s="3">
        <v>5.0999999999999996</v>
      </c>
      <c r="F355" s="3">
        <v>2.9</v>
      </c>
      <c r="G355" s="3" t="s">
        <v>7</v>
      </c>
      <c r="H355" s="12">
        <v>0</v>
      </c>
      <c r="I355" s="14">
        <v>5.0638978950962366E-2</v>
      </c>
      <c r="J355" s="9" t="str">
        <f t="shared" si="17"/>
        <v>Train</v>
      </c>
    </row>
    <row r="356" spans="1:10" x14ac:dyDescent="0.3">
      <c r="A356" s="3" t="str">
        <f t="shared" si="15"/>
        <v>C355</v>
      </c>
      <c r="B356" s="3" t="str">
        <f t="shared" ca="1" si="16"/>
        <v>Pharma</v>
      </c>
      <c r="C356" s="3">
        <v>120</v>
      </c>
      <c r="D356" s="3">
        <v>4.9000000000000004</v>
      </c>
      <c r="E356" s="3">
        <v>9.1999999999999993</v>
      </c>
      <c r="F356" s="3">
        <v>0.7</v>
      </c>
      <c r="G356" s="3" t="s">
        <v>13</v>
      </c>
      <c r="H356" s="12">
        <v>0</v>
      </c>
      <c r="I356" s="14">
        <v>0.72679988494483527</v>
      </c>
      <c r="J356" s="9" t="str">
        <f t="shared" si="17"/>
        <v>Test</v>
      </c>
    </row>
    <row r="357" spans="1:10" x14ac:dyDescent="0.3">
      <c r="A357" s="3" t="str">
        <f t="shared" si="15"/>
        <v>C356</v>
      </c>
      <c r="B357" s="3" t="str">
        <f t="shared" ca="1" si="16"/>
        <v>Manufacturing</v>
      </c>
      <c r="C357" s="3">
        <v>323</v>
      </c>
      <c r="D357" s="3">
        <v>0.6</v>
      </c>
      <c r="E357" s="3">
        <v>3.3</v>
      </c>
      <c r="F357" s="3">
        <v>1</v>
      </c>
      <c r="G357" s="3" t="s">
        <v>11</v>
      </c>
      <c r="H357" s="12">
        <v>0</v>
      </c>
      <c r="I357" s="14">
        <v>0.48619209348600279</v>
      </c>
      <c r="J357" s="9" t="str">
        <f t="shared" si="17"/>
        <v>Train</v>
      </c>
    </row>
    <row r="358" spans="1:10" x14ac:dyDescent="0.3">
      <c r="A358" s="3" t="str">
        <f t="shared" si="15"/>
        <v>C357</v>
      </c>
      <c r="B358" s="3" t="str">
        <f t="shared" ca="1" si="16"/>
        <v>Manufacturing</v>
      </c>
      <c r="C358" s="3">
        <v>275</v>
      </c>
      <c r="D358" s="3">
        <v>0.9</v>
      </c>
      <c r="E358" s="3">
        <v>5.3</v>
      </c>
      <c r="F358" s="3">
        <v>2.1</v>
      </c>
      <c r="G358" s="3" t="s">
        <v>11</v>
      </c>
      <c r="H358" s="12">
        <v>0</v>
      </c>
      <c r="I358" s="14">
        <v>0.7727148767919334</v>
      </c>
      <c r="J358" s="9" t="str">
        <f t="shared" si="17"/>
        <v>Test</v>
      </c>
    </row>
    <row r="359" spans="1:10" x14ac:dyDescent="0.3">
      <c r="A359" s="3" t="str">
        <f t="shared" si="15"/>
        <v>C358</v>
      </c>
      <c r="B359" s="3" t="str">
        <f t="shared" ca="1" si="16"/>
        <v>Pharma</v>
      </c>
      <c r="C359" s="3">
        <v>367</v>
      </c>
      <c r="D359" s="3">
        <v>7.3</v>
      </c>
      <c r="E359" s="3">
        <v>4.9000000000000004</v>
      </c>
      <c r="F359" s="3">
        <v>2.6</v>
      </c>
      <c r="G359" s="3" t="s">
        <v>9</v>
      </c>
      <c r="H359" s="12">
        <v>0</v>
      </c>
      <c r="I359" s="14">
        <v>0.28015327270847556</v>
      </c>
      <c r="J359" s="9" t="str">
        <f t="shared" si="17"/>
        <v>Train</v>
      </c>
    </row>
    <row r="360" spans="1:10" x14ac:dyDescent="0.3">
      <c r="A360" s="3" t="str">
        <f t="shared" si="15"/>
        <v>C359</v>
      </c>
      <c r="B360" s="3" t="str">
        <f t="shared" ca="1" si="16"/>
        <v>Pharma</v>
      </c>
      <c r="C360" s="3">
        <v>355</v>
      </c>
      <c r="D360" s="3">
        <v>6.9</v>
      </c>
      <c r="E360" s="3">
        <v>3.3</v>
      </c>
      <c r="F360" s="3">
        <v>1.3</v>
      </c>
      <c r="G360" s="3" t="s">
        <v>9</v>
      </c>
      <c r="H360" s="12">
        <v>0</v>
      </c>
      <c r="I360" s="14">
        <v>0.70766050311309026</v>
      </c>
      <c r="J360" s="9" t="str">
        <f t="shared" si="17"/>
        <v>Test</v>
      </c>
    </row>
    <row r="361" spans="1:10" x14ac:dyDescent="0.3">
      <c r="A361" s="3" t="str">
        <f t="shared" si="15"/>
        <v>C360</v>
      </c>
      <c r="B361" s="3" t="str">
        <f t="shared" ca="1" si="16"/>
        <v>IT Services</v>
      </c>
      <c r="C361" s="3">
        <v>51</v>
      </c>
      <c r="D361" s="3">
        <v>7.8</v>
      </c>
      <c r="E361" s="3">
        <v>0.6</v>
      </c>
      <c r="F361" s="3">
        <v>2.7</v>
      </c>
      <c r="G361" s="3" t="s">
        <v>9</v>
      </c>
      <c r="H361" s="12">
        <v>0</v>
      </c>
      <c r="I361" s="14">
        <v>0.62233456077985383</v>
      </c>
      <c r="J361" s="9" t="str">
        <f t="shared" si="17"/>
        <v>Train</v>
      </c>
    </row>
    <row r="362" spans="1:10" x14ac:dyDescent="0.3">
      <c r="A362" s="3" t="str">
        <f t="shared" si="15"/>
        <v>C361</v>
      </c>
      <c r="B362" s="3" t="str">
        <f t="shared" ca="1" si="16"/>
        <v>Pharma</v>
      </c>
      <c r="C362" s="3">
        <v>487</v>
      </c>
      <c r="D362" s="3">
        <v>3</v>
      </c>
      <c r="E362" s="3">
        <v>1.5</v>
      </c>
      <c r="F362" s="3">
        <v>2.6</v>
      </c>
      <c r="G362" s="3" t="s">
        <v>7</v>
      </c>
      <c r="H362" s="12">
        <v>0</v>
      </c>
      <c r="I362" s="14">
        <v>0.17377717004165083</v>
      </c>
      <c r="J362" s="9" t="str">
        <f t="shared" si="17"/>
        <v>Train</v>
      </c>
    </row>
    <row r="363" spans="1:10" x14ac:dyDescent="0.3">
      <c r="A363" s="3" t="str">
        <f t="shared" si="15"/>
        <v>C362</v>
      </c>
      <c r="B363" s="3" t="str">
        <f t="shared" ca="1" si="16"/>
        <v>IT Services</v>
      </c>
      <c r="C363" s="3">
        <v>200</v>
      </c>
      <c r="D363" s="3">
        <v>2.7</v>
      </c>
      <c r="E363" s="3">
        <v>5.3</v>
      </c>
      <c r="F363" s="3">
        <v>2.5</v>
      </c>
      <c r="G363" s="3" t="s">
        <v>7</v>
      </c>
      <c r="H363" s="12">
        <v>0</v>
      </c>
      <c r="I363" s="14">
        <v>0.10030921352958078</v>
      </c>
      <c r="J363" s="9" t="str">
        <f t="shared" si="17"/>
        <v>Train</v>
      </c>
    </row>
    <row r="364" spans="1:10" x14ac:dyDescent="0.3">
      <c r="A364" s="3" t="str">
        <f t="shared" si="15"/>
        <v>C363</v>
      </c>
      <c r="B364" s="3" t="str">
        <f t="shared" ca="1" si="16"/>
        <v>Retail</v>
      </c>
      <c r="C364" s="3">
        <v>155</v>
      </c>
      <c r="D364" s="3">
        <v>7.4</v>
      </c>
      <c r="E364" s="3">
        <v>3.5</v>
      </c>
      <c r="F364" s="3">
        <v>2.7</v>
      </c>
      <c r="G364" s="3" t="s">
        <v>9</v>
      </c>
      <c r="H364" s="12">
        <v>0</v>
      </c>
      <c r="I364" s="14">
        <v>0.13638857309973129</v>
      </c>
      <c r="J364" s="9" t="str">
        <f t="shared" si="17"/>
        <v>Train</v>
      </c>
    </row>
    <row r="365" spans="1:10" x14ac:dyDescent="0.3">
      <c r="A365" s="3" t="str">
        <f t="shared" si="15"/>
        <v>C364</v>
      </c>
      <c r="B365" s="3" t="str">
        <f t="shared" ca="1" si="16"/>
        <v>Construction</v>
      </c>
      <c r="C365" s="3">
        <v>178</v>
      </c>
      <c r="D365" s="3">
        <v>2.1</v>
      </c>
      <c r="E365" s="3">
        <v>6.6</v>
      </c>
      <c r="F365" s="3">
        <v>0.6</v>
      </c>
      <c r="G365" s="3" t="s">
        <v>7</v>
      </c>
      <c r="H365" s="12">
        <v>0</v>
      </c>
      <c r="I365" s="14">
        <v>0.57725377738242956</v>
      </c>
      <c r="J365" s="9" t="str">
        <f t="shared" si="17"/>
        <v>Train</v>
      </c>
    </row>
    <row r="366" spans="1:10" x14ac:dyDescent="0.3">
      <c r="A366" s="3" t="str">
        <f t="shared" si="15"/>
        <v>C365</v>
      </c>
      <c r="B366" s="3" t="str">
        <f t="shared" ca="1" si="16"/>
        <v>IT Services</v>
      </c>
      <c r="C366" s="3">
        <v>54</v>
      </c>
      <c r="D366" s="3">
        <v>3.1</v>
      </c>
      <c r="E366" s="3">
        <v>1.9</v>
      </c>
      <c r="F366" s="3">
        <v>1.3</v>
      </c>
      <c r="G366" s="3" t="s">
        <v>7</v>
      </c>
      <c r="H366" s="12">
        <v>0</v>
      </c>
      <c r="I366" s="14">
        <v>0.80774251177192757</v>
      </c>
      <c r="J366" s="9" t="str">
        <f t="shared" si="17"/>
        <v>Test</v>
      </c>
    </row>
    <row r="367" spans="1:10" x14ac:dyDescent="0.3">
      <c r="A367" s="3" t="str">
        <f t="shared" si="15"/>
        <v>C366</v>
      </c>
      <c r="B367" s="3" t="str">
        <f t="shared" ca="1" si="16"/>
        <v>Construction</v>
      </c>
      <c r="C367" s="3">
        <v>106</v>
      </c>
      <c r="D367" s="3">
        <v>6.8</v>
      </c>
      <c r="E367" s="3">
        <v>2</v>
      </c>
      <c r="F367" s="3">
        <v>2.5</v>
      </c>
      <c r="G367" s="3" t="s">
        <v>9</v>
      </c>
      <c r="H367" s="12">
        <v>0</v>
      </c>
      <c r="I367" s="14">
        <v>0.8497709109003112</v>
      </c>
      <c r="J367" s="9" t="str">
        <f t="shared" si="17"/>
        <v>Test</v>
      </c>
    </row>
    <row r="368" spans="1:10" x14ac:dyDescent="0.3">
      <c r="A368" s="3" t="str">
        <f t="shared" si="15"/>
        <v>C367</v>
      </c>
      <c r="B368" s="3" t="str">
        <f t="shared" ca="1" si="16"/>
        <v>Retail</v>
      </c>
      <c r="C368" s="3">
        <v>487</v>
      </c>
      <c r="D368" s="3">
        <v>7.2</v>
      </c>
      <c r="E368" s="3">
        <v>8.1999999999999993</v>
      </c>
      <c r="F368" s="3">
        <v>2.5</v>
      </c>
      <c r="G368" s="3" t="s">
        <v>9</v>
      </c>
      <c r="H368" s="12">
        <v>0</v>
      </c>
      <c r="I368" s="14">
        <v>8.3458124435891512E-2</v>
      </c>
      <c r="J368" s="9" t="str">
        <f t="shared" si="17"/>
        <v>Train</v>
      </c>
    </row>
    <row r="369" spans="1:10" x14ac:dyDescent="0.3">
      <c r="A369" s="3" t="str">
        <f t="shared" si="15"/>
        <v>C368</v>
      </c>
      <c r="B369" s="3" t="str">
        <f t="shared" ca="1" si="16"/>
        <v>Manufacturing</v>
      </c>
      <c r="C369" s="3">
        <v>404</v>
      </c>
      <c r="D369" s="3">
        <v>1.8</v>
      </c>
      <c r="E369" s="3">
        <v>6.6</v>
      </c>
      <c r="F369" s="3">
        <v>0.6</v>
      </c>
      <c r="G369" s="3" t="s">
        <v>11</v>
      </c>
      <c r="H369" s="12">
        <v>0</v>
      </c>
      <c r="I369" s="14">
        <v>0.29912222816636902</v>
      </c>
      <c r="J369" s="9" t="str">
        <f t="shared" si="17"/>
        <v>Train</v>
      </c>
    </row>
    <row r="370" spans="1:10" x14ac:dyDescent="0.3">
      <c r="A370" s="3" t="str">
        <f t="shared" si="15"/>
        <v>C369</v>
      </c>
      <c r="B370" s="3" t="str">
        <f t="shared" ca="1" si="16"/>
        <v>Retail</v>
      </c>
      <c r="C370" s="3">
        <v>458</v>
      </c>
      <c r="D370" s="3">
        <v>6</v>
      </c>
      <c r="E370" s="3">
        <v>5.8</v>
      </c>
      <c r="F370" s="3">
        <v>2.4</v>
      </c>
      <c r="G370" s="3" t="s">
        <v>9</v>
      </c>
      <c r="H370" s="12">
        <v>0</v>
      </c>
      <c r="I370" s="14">
        <v>0.52136571528142717</v>
      </c>
      <c r="J370" s="9" t="str">
        <f t="shared" si="17"/>
        <v>Train</v>
      </c>
    </row>
    <row r="371" spans="1:10" x14ac:dyDescent="0.3">
      <c r="A371" s="3" t="str">
        <f t="shared" si="15"/>
        <v>C370</v>
      </c>
      <c r="B371" s="3" t="str">
        <f t="shared" ca="1" si="16"/>
        <v>Manufacturing</v>
      </c>
      <c r="C371" s="3">
        <v>267</v>
      </c>
      <c r="D371" s="3">
        <v>7.3</v>
      </c>
      <c r="E371" s="3">
        <v>3.8</v>
      </c>
      <c r="F371" s="3">
        <v>0.8</v>
      </c>
      <c r="G371" s="3" t="s">
        <v>9</v>
      </c>
      <c r="H371" s="12">
        <v>0</v>
      </c>
      <c r="I371" s="14">
        <v>0.94906155889397226</v>
      </c>
      <c r="J371" s="9" t="str">
        <f t="shared" si="17"/>
        <v>Test</v>
      </c>
    </row>
    <row r="372" spans="1:10" x14ac:dyDescent="0.3">
      <c r="A372" s="3" t="str">
        <f t="shared" si="15"/>
        <v>C371</v>
      </c>
      <c r="B372" s="3" t="str">
        <f t="shared" ca="1" si="16"/>
        <v>Pharma</v>
      </c>
      <c r="C372" s="3">
        <v>269</v>
      </c>
      <c r="D372" s="3">
        <v>7</v>
      </c>
      <c r="E372" s="3">
        <v>7.9</v>
      </c>
      <c r="F372" s="3">
        <v>0.7</v>
      </c>
      <c r="G372" s="3" t="s">
        <v>9</v>
      </c>
      <c r="H372" s="12">
        <v>0</v>
      </c>
      <c r="I372" s="14">
        <v>3.5718760660009674E-2</v>
      </c>
      <c r="J372" s="9" t="str">
        <f t="shared" si="17"/>
        <v>Train</v>
      </c>
    </row>
    <row r="373" spans="1:10" x14ac:dyDescent="0.3">
      <c r="A373" s="3" t="str">
        <f t="shared" si="15"/>
        <v>C372</v>
      </c>
      <c r="B373" s="3" t="str">
        <f t="shared" ca="1" si="16"/>
        <v>Construction</v>
      </c>
      <c r="C373" s="3">
        <v>460</v>
      </c>
      <c r="D373" s="3">
        <v>1.4</v>
      </c>
      <c r="E373" s="3">
        <v>8.6</v>
      </c>
      <c r="F373" s="3">
        <v>0.6</v>
      </c>
      <c r="G373" s="3" t="s">
        <v>11</v>
      </c>
      <c r="H373" s="12">
        <v>0</v>
      </c>
      <c r="I373" s="14">
        <v>0.86945192974983021</v>
      </c>
      <c r="J373" s="9" t="str">
        <f t="shared" si="17"/>
        <v>Test</v>
      </c>
    </row>
    <row r="374" spans="1:10" x14ac:dyDescent="0.3">
      <c r="A374" s="3" t="str">
        <f t="shared" si="15"/>
        <v>C373</v>
      </c>
      <c r="B374" s="3" t="str">
        <f t="shared" ca="1" si="16"/>
        <v>Transportation</v>
      </c>
      <c r="C374" s="3">
        <v>362</v>
      </c>
      <c r="D374" s="3">
        <v>4.4000000000000004</v>
      </c>
      <c r="E374" s="3">
        <v>4.9000000000000004</v>
      </c>
      <c r="F374" s="3">
        <v>2.8</v>
      </c>
      <c r="G374" s="3" t="s">
        <v>13</v>
      </c>
      <c r="H374" s="12">
        <v>0</v>
      </c>
      <c r="I374" s="14">
        <v>0.96147528026794216</v>
      </c>
      <c r="J374" s="9" t="str">
        <f t="shared" si="17"/>
        <v>Test</v>
      </c>
    </row>
    <row r="375" spans="1:10" x14ac:dyDescent="0.3">
      <c r="A375" s="3" t="str">
        <f t="shared" si="15"/>
        <v>C374</v>
      </c>
      <c r="B375" s="3" t="str">
        <f t="shared" ca="1" si="16"/>
        <v>IT Services</v>
      </c>
      <c r="C375" s="3">
        <v>190</v>
      </c>
      <c r="D375" s="3">
        <v>7</v>
      </c>
      <c r="E375" s="3">
        <v>5.9</v>
      </c>
      <c r="F375" s="3">
        <v>2.4</v>
      </c>
      <c r="G375" s="3" t="s">
        <v>9</v>
      </c>
      <c r="H375" s="12">
        <v>0</v>
      </c>
      <c r="I375" s="14">
        <v>0.88505496260055883</v>
      </c>
      <c r="J375" s="9" t="str">
        <f t="shared" si="17"/>
        <v>Test</v>
      </c>
    </row>
    <row r="376" spans="1:10" x14ac:dyDescent="0.3">
      <c r="A376" s="3" t="str">
        <f t="shared" si="15"/>
        <v>C375</v>
      </c>
      <c r="B376" s="3" t="str">
        <f t="shared" ca="1" si="16"/>
        <v>Manufacturing</v>
      </c>
      <c r="C376" s="3">
        <v>467</v>
      </c>
      <c r="D376" s="3">
        <v>5.4</v>
      </c>
      <c r="E376" s="3">
        <v>9.4</v>
      </c>
      <c r="F376" s="3">
        <v>0.6</v>
      </c>
      <c r="G376" s="3" t="s">
        <v>13</v>
      </c>
      <c r="H376" s="12">
        <v>0</v>
      </c>
      <c r="I376" s="14">
        <v>0.69760265008070899</v>
      </c>
      <c r="J376" s="9" t="str">
        <f t="shared" si="17"/>
        <v>Train</v>
      </c>
    </row>
    <row r="377" spans="1:10" x14ac:dyDescent="0.3">
      <c r="A377" s="3" t="str">
        <f t="shared" si="15"/>
        <v>C376</v>
      </c>
      <c r="B377" s="3" t="str">
        <f t="shared" ca="1" si="16"/>
        <v>Transportation</v>
      </c>
      <c r="C377" s="3">
        <v>73</v>
      </c>
      <c r="D377" s="3">
        <v>1</v>
      </c>
      <c r="E377" s="3">
        <v>3.2</v>
      </c>
      <c r="F377" s="3">
        <v>1.8</v>
      </c>
      <c r="G377" s="3" t="s">
        <v>11</v>
      </c>
      <c r="H377" s="12">
        <v>0</v>
      </c>
      <c r="I377" s="14">
        <v>0.84174851670825934</v>
      </c>
      <c r="J377" s="9" t="str">
        <f t="shared" si="17"/>
        <v>Test</v>
      </c>
    </row>
    <row r="378" spans="1:10" x14ac:dyDescent="0.3">
      <c r="A378" s="3" t="str">
        <f t="shared" si="15"/>
        <v>C377</v>
      </c>
      <c r="B378" s="3" t="str">
        <f t="shared" ca="1" si="16"/>
        <v>Manufacturing</v>
      </c>
      <c r="C378" s="3">
        <v>363</v>
      </c>
      <c r="D378" s="3">
        <v>6.5</v>
      </c>
      <c r="E378" s="3">
        <v>0.9</v>
      </c>
      <c r="F378" s="3">
        <v>1.6</v>
      </c>
      <c r="G378" s="3" t="s">
        <v>9</v>
      </c>
      <c r="H378" s="12">
        <v>0</v>
      </c>
      <c r="I378" s="14">
        <v>0.32429082979871537</v>
      </c>
      <c r="J378" s="9" t="str">
        <f t="shared" si="17"/>
        <v>Train</v>
      </c>
    </row>
    <row r="379" spans="1:10" x14ac:dyDescent="0.3">
      <c r="A379" s="3" t="str">
        <f t="shared" si="15"/>
        <v>C378</v>
      </c>
      <c r="B379" s="3" t="str">
        <f t="shared" ca="1" si="16"/>
        <v>Construction</v>
      </c>
      <c r="C379" s="3">
        <v>234</v>
      </c>
      <c r="D379" s="3">
        <v>5.4</v>
      </c>
      <c r="E379" s="3">
        <v>5.8</v>
      </c>
      <c r="F379" s="3">
        <v>1.9</v>
      </c>
      <c r="G379" s="3" t="s">
        <v>13</v>
      </c>
      <c r="H379" s="12">
        <v>0</v>
      </c>
      <c r="I379" s="14">
        <v>0.19764008673264388</v>
      </c>
      <c r="J379" s="9" t="str">
        <f t="shared" si="17"/>
        <v>Train</v>
      </c>
    </row>
    <row r="380" spans="1:10" x14ac:dyDescent="0.3">
      <c r="A380" s="3" t="str">
        <f t="shared" si="15"/>
        <v>C379</v>
      </c>
      <c r="B380" s="3" t="str">
        <f t="shared" ca="1" si="16"/>
        <v>Pharma</v>
      </c>
      <c r="C380" s="3">
        <v>377</v>
      </c>
      <c r="D380" s="3">
        <v>3.4</v>
      </c>
      <c r="E380" s="3">
        <v>4.0999999999999996</v>
      </c>
      <c r="F380" s="3">
        <v>2.4</v>
      </c>
      <c r="G380" s="3" t="s">
        <v>7</v>
      </c>
      <c r="H380" s="12">
        <v>0</v>
      </c>
      <c r="I380" s="14">
        <v>0.12085315270689589</v>
      </c>
      <c r="J380" s="9" t="str">
        <f t="shared" si="17"/>
        <v>Train</v>
      </c>
    </row>
    <row r="381" spans="1:10" x14ac:dyDescent="0.3">
      <c r="A381" s="3" t="str">
        <f t="shared" si="15"/>
        <v>C380</v>
      </c>
      <c r="B381" s="3" t="str">
        <f t="shared" ca="1" si="16"/>
        <v>IT Services</v>
      </c>
      <c r="C381" s="3">
        <v>411</v>
      </c>
      <c r="D381" s="3">
        <v>3</v>
      </c>
      <c r="E381" s="3">
        <v>9.8000000000000007</v>
      </c>
      <c r="F381" s="3">
        <v>1.3</v>
      </c>
      <c r="G381" s="3" t="s">
        <v>7</v>
      </c>
      <c r="H381" s="12">
        <v>0</v>
      </c>
      <c r="I381" s="14">
        <v>0.21904509563930463</v>
      </c>
      <c r="J381" s="9" t="str">
        <f t="shared" si="17"/>
        <v>Train</v>
      </c>
    </row>
    <row r="382" spans="1:10" x14ac:dyDescent="0.3">
      <c r="A382" s="3" t="str">
        <f t="shared" si="15"/>
        <v>C381</v>
      </c>
      <c r="B382" s="3" t="str">
        <f t="shared" ca="1" si="16"/>
        <v>Construction</v>
      </c>
      <c r="C382" s="3">
        <v>178</v>
      </c>
      <c r="D382" s="3">
        <v>6.1</v>
      </c>
      <c r="E382" s="3">
        <v>5.0999999999999996</v>
      </c>
      <c r="F382" s="3">
        <v>1.3</v>
      </c>
      <c r="G382" s="3" t="s">
        <v>9</v>
      </c>
      <c r="H382" s="12">
        <v>0</v>
      </c>
      <c r="I382" s="14">
        <v>5.4471622809246778E-3</v>
      </c>
      <c r="J382" s="9" t="str">
        <f t="shared" si="17"/>
        <v>Train</v>
      </c>
    </row>
    <row r="383" spans="1:10" x14ac:dyDescent="0.3">
      <c r="A383" s="3" t="str">
        <f t="shared" si="15"/>
        <v>C382</v>
      </c>
      <c r="B383" s="3" t="str">
        <f t="shared" ca="1" si="16"/>
        <v>Transportation</v>
      </c>
      <c r="C383" s="3">
        <v>195</v>
      </c>
      <c r="D383" s="3">
        <v>6.8</v>
      </c>
      <c r="E383" s="3">
        <v>2.9</v>
      </c>
      <c r="F383" s="3">
        <v>2.7</v>
      </c>
      <c r="G383" s="3" t="s">
        <v>9</v>
      </c>
      <c r="H383" s="12">
        <v>0</v>
      </c>
      <c r="I383" s="14">
        <v>0.75869435716989919</v>
      </c>
      <c r="J383" s="9" t="str">
        <f t="shared" si="17"/>
        <v>Test</v>
      </c>
    </row>
    <row r="384" spans="1:10" x14ac:dyDescent="0.3">
      <c r="A384" s="3" t="str">
        <f t="shared" si="15"/>
        <v>C383</v>
      </c>
      <c r="B384" s="3" t="str">
        <f t="shared" ca="1" si="16"/>
        <v>Retail</v>
      </c>
      <c r="C384" s="3">
        <v>348</v>
      </c>
      <c r="D384" s="3">
        <v>2</v>
      </c>
      <c r="E384" s="3">
        <v>6.1</v>
      </c>
      <c r="F384" s="3">
        <v>1.8</v>
      </c>
      <c r="G384" s="3" t="s">
        <v>7</v>
      </c>
      <c r="H384" s="12">
        <v>0</v>
      </c>
      <c r="I384" s="14">
        <v>8.0068698732515764E-2</v>
      </c>
      <c r="J384" s="9" t="str">
        <f t="shared" si="17"/>
        <v>Train</v>
      </c>
    </row>
    <row r="385" spans="1:10" x14ac:dyDescent="0.3">
      <c r="A385" s="3" t="str">
        <f t="shared" si="15"/>
        <v>C384</v>
      </c>
      <c r="B385" s="3" t="str">
        <f t="shared" ca="1" si="16"/>
        <v>IT Services</v>
      </c>
      <c r="C385" s="3">
        <v>221</v>
      </c>
      <c r="D385" s="3">
        <v>2.2000000000000002</v>
      </c>
      <c r="E385" s="3">
        <v>4.2</v>
      </c>
      <c r="F385" s="3">
        <v>1.3</v>
      </c>
      <c r="G385" s="3" t="s">
        <v>7</v>
      </c>
      <c r="H385" s="12">
        <v>0</v>
      </c>
      <c r="I385" s="14">
        <v>5.0901844703004073E-3</v>
      </c>
      <c r="J385" s="9" t="str">
        <f t="shared" si="17"/>
        <v>Train</v>
      </c>
    </row>
    <row r="386" spans="1:10" x14ac:dyDescent="0.3">
      <c r="A386" s="3" t="str">
        <f t="shared" si="15"/>
        <v>C385</v>
      </c>
      <c r="B386" s="3" t="str">
        <f t="shared" ca="1" si="16"/>
        <v>Manufacturing</v>
      </c>
      <c r="C386" s="3">
        <v>257</v>
      </c>
      <c r="D386" s="3">
        <v>1.8</v>
      </c>
      <c r="E386" s="3">
        <v>0.6</v>
      </c>
      <c r="F386" s="3">
        <v>2.4</v>
      </c>
      <c r="G386" s="3" t="s">
        <v>11</v>
      </c>
      <c r="H386" s="12">
        <v>0</v>
      </c>
      <c r="I386" s="14">
        <v>0.66987813689495035</v>
      </c>
      <c r="J386" s="9" t="str">
        <f t="shared" si="17"/>
        <v>Train</v>
      </c>
    </row>
    <row r="387" spans="1:10" x14ac:dyDescent="0.3">
      <c r="A387" s="3" t="str">
        <f t="shared" ref="A387:A450" si="18">"C"&amp;TEXT(ROW()-1,"000")</f>
        <v>C386</v>
      </c>
      <c r="B387" s="3" t="str">
        <f t="shared" ref="B387:B450" ca="1" si="19">CHOOSE(RANDBETWEEN(1,6),
"Manufacturing",
"Retail",
"Pharma",
"Construction",
"Transportation",
"IT Services")</f>
        <v>Pharma</v>
      </c>
      <c r="C387" s="3">
        <v>426</v>
      </c>
      <c r="D387" s="3">
        <v>2</v>
      </c>
      <c r="E387" s="3">
        <v>1.8</v>
      </c>
      <c r="F387" s="3">
        <v>1.4</v>
      </c>
      <c r="G387" s="3" t="s">
        <v>7</v>
      </c>
      <c r="H387" s="12">
        <v>0</v>
      </c>
      <c r="I387" s="14">
        <v>8.122647533833538E-2</v>
      </c>
      <c r="J387" s="9" t="str">
        <f t="shared" ref="J387:J450" si="20">IF(I387&lt;=0.7,"Train","Test")</f>
        <v>Train</v>
      </c>
    </row>
    <row r="388" spans="1:10" x14ac:dyDescent="0.3">
      <c r="A388" s="3" t="str">
        <f t="shared" si="18"/>
        <v>C387</v>
      </c>
      <c r="B388" s="3" t="str">
        <f t="shared" ca="1" si="19"/>
        <v>Retail</v>
      </c>
      <c r="C388" s="3">
        <v>402</v>
      </c>
      <c r="D388" s="3">
        <v>1.4</v>
      </c>
      <c r="E388" s="3">
        <v>6.3</v>
      </c>
      <c r="F388" s="3">
        <v>2.8</v>
      </c>
      <c r="G388" s="3" t="s">
        <v>11</v>
      </c>
      <c r="H388" s="12">
        <v>0</v>
      </c>
      <c r="I388" s="14">
        <v>9.1693026570462743E-2</v>
      </c>
      <c r="J388" s="9" t="str">
        <f t="shared" si="20"/>
        <v>Train</v>
      </c>
    </row>
    <row r="389" spans="1:10" x14ac:dyDescent="0.3">
      <c r="A389" s="3" t="str">
        <f t="shared" si="18"/>
        <v>C388</v>
      </c>
      <c r="B389" s="3" t="str">
        <f t="shared" ca="1" si="19"/>
        <v>Transportation</v>
      </c>
      <c r="C389" s="3">
        <v>328</v>
      </c>
      <c r="D389" s="3">
        <v>4</v>
      </c>
      <c r="E389" s="3">
        <v>4.8</v>
      </c>
      <c r="F389" s="3">
        <v>1.8</v>
      </c>
      <c r="G389" s="3" t="s">
        <v>13</v>
      </c>
      <c r="H389" s="12">
        <v>0</v>
      </c>
      <c r="I389" s="14">
        <v>0.10167201185828556</v>
      </c>
      <c r="J389" s="9" t="str">
        <f t="shared" si="20"/>
        <v>Train</v>
      </c>
    </row>
    <row r="390" spans="1:10" x14ac:dyDescent="0.3">
      <c r="A390" s="3" t="str">
        <f t="shared" si="18"/>
        <v>C389</v>
      </c>
      <c r="B390" s="3" t="str">
        <f t="shared" ca="1" si="19"/>
        <v>IT Services</v>
      </c>
      <c r="C390" s="3">
        <v>395</v>
      </c>
      <c r="D390" s="3">
        <v>1.5</v>
      </c>
      <c r="E390" s="3">
        <v>8.1999999999999993</v>
      </c>
      <c r="F390" s="3">
        <v>2.8</v>
      </c>
      <c r="G390" s="3" t="s">
        <v>11</v>
      </c>
      <c r="H390" s="12">
        <v>0</v>
      </c>
      <c r="I390" s="14">
        <v>0.18645224825981488</v>
      </c>
      <c r="J390" s="9" t="str">
        <f t="shared" si="20"/>
        <v>Train</v>
      </c>
    </row>
    <row r="391" spans="1:10" x14ac:dyDescent="0.3">
      <c r="A391" s="3" t="str">
        <f t="shared" si="18"/>
        <v>C390</v>
      </c>
      <c r="B391" s="3" t="str">
        <f t="shared" ca="1" si="19"/>
        <v>Construction</v>
      </c>
      <c r="C391" s="3">
        <v>456</v>
      </c>
      <c r="D391" s="3">
        <v>2.2999999999999998</v>
      </c>
      <c r="E391" s="3">
        <v>0.6</v>
      </c>
      <c r="F391" s="3">
        <v>1.5</v>
      </c>
      <c r="G391" s="3" t="s">
        <v>7</v>
      </c>
      <c r="H391" s="12">
        <v>0</v>
      </c>
      <c r="I391" s="14">
        <v>0.15779065678304638</v>
      </c>
      <c r="J391" s="9" t="str">
        <f t="shared" si="20"/>
        <v>Train</v>
      </c>
    </row>
    <row r="392" spans="1:10" x14ac:dyDescent="0.3">
      <c r="A392" s="3" t="str">
        <f t="shared" si="18"/>
        <v>C391</v>
      </c>
      <c r="B392" s="3" t="str">
        <f t="shared" ca="1" si="19"/>
        <v>Manufacturing</v>
      </c>
      <c r="C392" s="3">
        <v>479</v>
      </c>
      <c r="D392" s="3">
        <v>6.6</v>
      </c>
      <c r="E392" s="3">
        <v>8.1999999999999993</v>
      </c>
      <c r="F392" s="3">
        <v>1.9</v>
      </c>
      <c r="G392" s="3" t="s">
        <v>9</v>
      </c>
      <c r="H392" s="12">
        <v>0</v>
      </c>
      <c r="I392" s="14">
        <v>0.98071892770521174</v>
      </c>
      <c r="J392" s="9" t="str">
        <f t="shared" si="20"/>
        <v>Test</v>
      </c>
    </row>
    <row r="393" spans="1:10" x14ac:dyDescent="0.3">
      <c r="A393" s="3" t="str">
        <f t="shared" si="18"/>
        <v>C392</v>
      </c>
      <c r="B393" s="3" t="str">
        <f t="shared" ca="1" si="19"/>
        <v>Manufacturing</v>
      </c>
      <c r="C393" s="3">
        <v>104</v>
      </c>
      <c r="D393" s="3">
        <v>3.7</v>
      </c>
      <c r="E393" s="3">
        <v>8</v>
      </c>
      <c r="F393" s="3">
        <v>1.7</v>
      </c>
      <c r="G393" s="3" t="s">
        <v>7</v>
      </c>
      <c r="H393" s="12">
        <v>0</v>
      </c>
      <c r="I393" s="14">
        <v>0.17950651784402372</v>
      </c>
      <c r="J393" s="9" t="str">
        <f t="shared" si="20"/>
        <v>Train</v>
      </c>
    </row>
    <row r="394" spans="1:10" x14ac:dyDescent="0.3">
      <c r="A394" s="3" t="str">
        <f t="shared" si="18"/>
        <v>C393</v>
      </c>
      <c r="B394" s="3" t="str">
        <f t="shared" ca="1" si="19"/>
        <v>Construction</v>
      </c>
      <c r="C394" s="3">
        <v>382</v>
      </c>
      <c r="D394" s="3">
        <v>5.2</v>
      </c>
      <c r="E394" s="3">
        <v>0.5</v>
      </c>
      <c r="F394" s="3">
        <v>2</v>
      </c>
      <c r="G394" s="3" t="s">
        <v>13</v>
      </c>
      <c r="H394" s="12">
        <v>0</v>
      </c>
      <c r="I394" s="14">
        <v>0.92350485888447909</v>
      </c>
      <c r="J394" s="9" t="str">
        <f t="shared" si="20"/>
        <v>Test</v>
      </c>
    </row>
    <row r="395" spans="1:10" x14ac:dyDescent="0.3">
      <c r="A395" s="3" t="str">
        <f t="shared" si="18"/>
        <v>C394</v>
      </c>
      <c r="B395" s="3" t="str">
        <f t="shared" ca="1" si="19"/>
        <v>Retail</v>
      </c>
      <c r="C395" s="3">
        <v>316</v>
      </c>
      <c r="D395" s="3">
        <v>1</v>
      </c>
      <c r="E395" s="3">
        <v>8.5</v>
      </c>
      <c r="F395" s="3">
        <v>1.9</v>
      </c>
      <c r="G395" s="3" t="s">
        <v>11</v>
      </c>
      <c r="H395" s="12">
        <v>0</v>
      </c>
      <c r="I395" s="14">
        <v>0.85443857175248761</v>
      </c>
      <c r="J395" s="9" t="str">
        <f t="shared" si="20"/>
        <v>Test</v>
      </c>
    </row>
    <row r="396" spans="1:10" x14ac:dyDescent="0.3">
      <c r="A396" s="3" t="str">
        <f t="shared" si="18"/>
        <v>C395</v>
      </c>
      <c r="B396" s="3" t="str">
        <f t="shared" ca="1" si="19"/>
        <v>Manufacturing</v>
      </c>
      <c r="C396" s="3">
        <v>104</v>
      </c>
      <c r="D396" s="3">
        <v>4.3</v>
      </c>
      <c r="E396" s="3">
        <v>7.2</v>
      </c>
      <c r="F396" s="3">
        <v>2.1</v>
      </c>
      <c r="G396" s="3" t="s">
        <v>13</v>
      </c>
      <c r="H396" s="12">
        <v>0</v>
      </c>
      <c r="I396" s="14">
        <v>0.29077064101629135</v>
      </c>
      <c r="J396" s="9" t="str">
        <f t="shared" si="20"/>
        <v>Train</v>
      </c>
    </row>
    <row r="397" spans="1:10" x14ac:dyDescent="0.3">
      <c r="A397" s="3" t="str">
        <f t="shared" si="18"/>
        <v>C396</v>
      </c>
      <c r="B397" s="3" t="str">
        <f t="shared" ca="1" si="19"/>
        <v>Pharma</v>
      </c>
      <c r="C397" s="3">
        <v>288</v>
      </c>
      <c r="D397" s="3">
        <v>2.8</v>
      </c>
      <c r="E397" s="3">
        <v>1</v>
      </c>
      <c r="F397" s="3">
        <v>1.4</v>
      </c>
      <c r="G397" s="3" t="s">
        <v>7</v>
      </c>
      <c r="H397" s="12">
        <v>0</v>
      </c>
      <c r="I397" s="14">
        <v>0.50829961030025905</v>
      </c>
      <c r="J397" s="9" t="str">
        <f t="shared" si="20"/>
        <v>Train</v>
      </c>
    </row>
    <row r="398" spans="1:10" x14ac:dyDescent="0.3">
      <c r="A398" s="3" t="str">
        <f t="shared" si="18"/>
        <v>C397</v>
      </c>
      <c r="B398" s="3" t="str">
        <f t="shared" ca="1" si="19"/>
        <v>Construction</v>
      </c>
      <c r="C398" s="3">
        <v>270</v>
      </c>
      <c r="D398" s="3">
        <v>2.5</v>
      </c>
      <c r="E398" s="3">
        <v>9.5</v>
      </c>
      <c r="F398" s="3">
        <v>1.8</v>
      </c>
      <c r="G398" s="3" t="s">
        <v>7</v>
      </c>
      <c r="H398" s="12">
        <v>0</v>
      </c>
      <c r="I398" s="14">
        <v>0.39172549306280213</v>
      </c>
      <c r="J398" s="9" t="str">
        <f t="shared" si="20"/>
        <v>Train</v>
      </c>
    </row>
    <row r="399" spans="1:10" x14ac:dyDescent="0.3">
      <c r="A399" s="3" t="str">
        <f t="shared" si="18"/>
        <v>C398</v>
      </c>
      <c r="B399" s="3" t="str">
        <f t="shared" ca="1" si="19"/>
        <v>Manufacturing</v>
      </c>
      <c r="C399" s="3">
        <v>379</v>
      </c>
      <c r="D399" s="3">
        <v>2.2000000000000002</v>
      </c>
      <c r="E399" s="3">
        <v>9.1999999999999993</v>
      </c>
      <c r="F399" s="3">
        <v>0.9</v>
      </c>
      <c r="G399" s="3" t="s">
        <v>7</v>
      </c>
      <c r="H399" s="12">
        <v>0</v>
      </c>
      <c r="I399" s="14">
        <v>0.19025246362584114</v>
      </c>
      <c r="J399" s="9" t="str">
        <f t="shared" si="20"/>
        <v>Train</v>
      </c>
    </row>
    <row r="400" spans="1:10" x14ac:dyDescent="0.3">
      <c r="A400" s="3" t="str">
        <f t="shared" si="18"/>
        <v>C399</v>
      </c>
      <c r="B400" s="3" t="str">
        <f t="shared" ca="1" si="19"/>
        <v>IT Services</v>
      </c>
      <c r="C400" s="3">
        <v>253</v>
      </c>
      <c r="D400" s="3">
        <v>6.9</v>
      </c>
      <c r="E400" s="3">
        <v>5.4</v>
      </c>
      <c r="F400" s="3">
        <v>0.8</v>
      </c>
      <c r="G400" s="3" t="s">
        <v>9</v>
      </c>
      <c r="H400" s="12">
        <v>0</v>
      </c>
      <c r="I400" s="14">
        <v>0.87900221848287974</v>
      </c>
      <c r="J400" s="9" t="str">
        <f t="shared" si="20"/>
        <v>Test</v>
      </c>
    </row>
    <row r="401" spans="1:10" x14ac:dyDescent="0.3">
      <c r="A401" s="3" t="str">
        <f t="shared" si="18"/>
        <v>C400</v>
      </c>
      <c r="B401" s="3" t="str">
        <f t="shared" ca="1" si="19"/>
        <v>Pharma</v>
      </c>
      <c r="C401" s="3">
        <v>486</v>
      </c>
      <c r="D401" s="3">
        <v>4.5999999999999996</v>
      </c>
      <c r="E401" s="3">
        <v>1.5</v>
      </c>
      <c r="F401" s="3">
        <v>1.2</v>
      </c>
      <c r="G401" s="3" t="s">
        <v>13</v>
      </c>
      <c r="H401" s="12">
        <v>0</v>
      </c>
      <c r="I401" s="14">
        <v>0.45748723136662695</v>
      </c>
      <c r="J401" s="9" t="str">
        <f t="shared" si="20"/>
        <v>Train</v>
      </c>
    </row>
    <row r="402" spans="1:10" x14ac:dyDescent="0.3">
      <c r="A402" s="3" t="str">
        <f t="shared" si="18"/>
        <v>C401</v>
      </c>
      <c r="B402" s="3" t="str">
        <f t="shared" ca="1" si="19"/>
        <v>Construction</v>
      </c>
      <c r="C402" s="3">
        <v>146</v>
      </c>
      <c r="D402" s="3">
        <v>7</v>
      </c>
      <c r="E402" s="3">
        <v>1.9</v>
      </c>
      <c r="F402" s="3">
        <v>2.8</v>
      </c>
      <c r="G402" s="3" t="s">
        <v>9</v>
      </c>
      <c r="H402" s="12">
        <v>0</v>
      </c>
      <c r="I402" s="14">
        <v>0.92575583551748886</v>
      </c>
      <c r="J402" s="9" t="str">
        <f t="shared" si="20"/>
        <v>Test</v>
      </c>
    </row>
    <row r="403" spans="1:10" x14ac:dyDescent="0.3">
      <c r="A403" s="3" t="str">
        <f t="shared" si="18"/>
        <v>C402</v>
      </c>
      <c r="B403" s="3" t="str">
        <f t="shared" ca="1" si="19"/>
        <v>Construction</v>
      </c>
      <c r="C403" s="3">
        <v>148</v>
      </c>
      <c r="D403" s="3">
        <v>3.4</v>
      </c>
      <c r="E403" s="3">
        <v>5.2</v>
      </c>
      <c r="F403" s="3">
        <v>2.5</v>
      </c>
      <c r="G403" s="3" t="s">
        <v>7</v>
      </c>
      <c r="H403" s="12">
        <v>0</v>
      </c>
      <c r="I403" s="14">
        <v>9.8828042846681674E-2</v>
      </c>
      <c r="J403" s="9" t="str">
        <f t="shared" si="20"/>
        <v>Train</v>
      </c>
    </row>
    <row r="404" spans="1:10" x14ac:dyDescent="0.3">
      <c r="A404" s="3" t="str">
        <f t="shared" si="18"/>
        <v>C403</v>
      </c>
      <c r="B404" s="3" t="str">
        <f t="shared" ca="1" si="19"/>
        <v>IT Services</v>
      </c>
      <c r="C404" s="3">
        <v>311</v>
      </c>
      <c r="D404" s="3">
        <v>1.7</v>
      </c>
      <c r="E404" s="3">
        <v>5.7</v>
      </c>
      <c r="F404" s="3">
        <v>0.9</v>
      </c>
      <c r="G404" s="3" t="s">
        <v>11</v>
      </c>
      <c r="H404" s="12">
        <v>0</v>
      </c>
      <c r="I404" s="14">
        <v>0.25043322227402298</v>
      </c>
      <c r="J404" s="9" t="str">
        <f t="shared" si="20"/>
        <v>Train</v>
      </c>
    </row>
    <row r="405" spans="1:10" x14ac:dyDescent="0.3">
      <c r="A405" s="3" t="str">
        <f t="shared" si="18"/>
        <v>C404</v>
      </c>
      <c r="B405" s="3" t="str">
        <f t="shared" ca="1" si="19"/>
        <v>Transportation</v>
      </c>
      <c r="C405" s="3">
        <v>394</v>
      </c>
      <c r="D405" s="3">
        <v>7.9</v>
      </c>
      <c r="E405" s="3">
        <v>5.5</v>
      </c>
      <c r="F405" s="3">
        <v>2.9</v>
      </c>
      <c r="G405" s="3" t="s">
        <v>9</v>
      </c>
      <c r="H405" s="12">
        <v>0</v>
      </c>
      <c r="I405" s="14">
        <v>0.83229682739570987</v>
      </c>
      <c r="J405" s="9" t="str">
        <f t="shared" si="20"/>
        <v>Test</v>
      </c>
    </row>
    <row r="406" spans="1:10" x14ac:dyDescent="0.3">
      <c r="A406" s="3" t="str">
        <f t="shared" si="18"/>
        <v>C405</v>
      </c>
      <c r="B406" s="3" t="str">
        <f t="shared" ca="1" si="19"/>
        <v>Manufacturing</v>
      </c>
      <c r="C406" s="3">
        <v>453</v>
      </c>
      <c r="D406" s="3">
        <v>6</v>
      </c>
      <c r="E406" s="3">
        <v>5.7</v>
      </c>
      <c r="F406" s="3">
        <v>2</v>
      </c>
      <c r="G406" s="3" t="s">
        <v>9</v>
      </c>
      <c r="H406" s="12">
        <v>0</v>
      </c>
      <c r="I406" s="14">
        <v>0.72043412651830196</v>
      </c>
      <c r="J406" s="9" t="str">
        <f t="shared" si="20"/>
        <v>Test</v>
      </c>
    </row>
    <row r="407" spans="1:10" x14ac:dyDescent="0.3">
      <c r="A407" s="3" t="str">
        <f t="shared" si="18"/>
        <v>C406</v>
      </c>
      <c r="B407" s="3" t="str">
        <f t="shared" ca="1" si="19"/>
        <v>Retail</v>
      </c>
      <c r="C407" s="3">
        <v>67</v>
      </c>
      <c r="D407" s="3">
        <v>1.8</v>
      </c>
      <c r="E407" s="3">
        <v>7.2</v>
      </c>
      <c r="F407" s="3">
        <v>1</v>
      </c>
      <c r="G407" s="3" t="s">
        <v>11</v>
      </c>
      <c r="H407" s="12">
        <v>0</v>
      </c>
      <c r="I407" s="14">
        <v>7.2622839554206675E-2</v>
      </c>
      <c r="J407" s="9" t="str">
        <f t="shared" si="20"/>
        <v>Train</v>
      </c>
    </row>
    <row r="408" spans="1:10" x14ac:dyDescent="0.3">
      <c r="A408" s="3" t="str">
        <f t="shared" si="18"/>
        <v>C407</v>
      </c>
      <c r="B408" s="3" t="str">
        <f t="shared" ca="1" si="19"/>
        <v>Transportation</v>
      </c>
      <c r="C408" s="3">
        <v>116</v>
      </c>
      <c r="D408" s="3">
        <v>2.8</v>
      </c>
      <c r="E408" s="3">
        <v>8.6</v>
      </c>
      <c r="F408" s="3">
        <v>1.6</v>
      </c>
      <c r="G408" s="3" t="s">
        <v>7</v>
      </c>
      <c r="H408" s="12">
        <v>0</v>
      </c>
      <c r="I408" s="14">
        <v>0.26647647681068354</v>
      </c>
      <c r="J408" s="9" t="str">
        <f t="shared" si="20"/>
        <v>Train</v>
      </c>
    </row>
    <row r="409" spans="1:10" x14ac:dyDescent="0.3">
      <c r="A409" s="3" t="str">
        <f t="shared" si="18"/>
        <v>C408</v>
      </c>
      <c r="B409" s="3" t="str">
        <f t="shared" ca="1" si="19"/>
        <v>Construction</v>
      </c>
      <c r="C409" s="3">
        <v>244</v>
      </c>
      <c r="D409" s="3">
        <v>7</v>
      </c>
      <c r="E409" s="3">
        <v>6.6</v>
      </c>
      <c r="F409" s="3">
        <v>1</v>
      </c>
      <c r="G409" s="3" t="s">
        <v>9</v>
      </c>
      <c r="H409" s="12">
        <v>0</v>
      </c>
      <c r="I409" s="14">
        <v>0.7124558573132489</v>
      </c>
      <c r="J409" s="9" t="str">
        <f t="shared" si="20"/>
        <v>Test</v>
      </c>
    </row>
    <row r="410" spans="1:10" x14ac:dyDescent="0.3">
      <c r="A410" s="3" t="str">
        <f t="shared" si="18"/>
        <v>C409</v>
      </c>
      <c r="B410" s="3" t="str">
        <f t="shared" ca="1" si="19"/>
        <v>Retail</v>
      </c>
      <c r="C410" s="3">
        <v>408</v>
      </c>
      <c r="D410" s="3">
        <v>7.1</v>
      </c>
      <c r="E410" s="3">
        <v>5.4</v>
      </c>
      <c r="F410" s="3">
        <v>1</v>
      </c>
      <c r="G410" s="3" t="s">
        <v>9</v>
      </c>
      <c r="H410" s="12">
        <v>0</v>
      </c>
      <c r="I410" s="14">
        <v>0.43982630214278218</v>
      </c>
      <c r="J410" s="9" t="str">
        <f t="shared" si="20"/>
        <v>Train</v>
      </c>
    </row>
    <row r="411" spans="1:10" x14ac:dyDescent="0.3">
      <c r="A411" s="3" t="str">
        <f t="shared" si="18"/>
        <v>C410</v>
      </c>
      <c r="B411" s="3" t="str">
        <f t="shared" ca="1" si="19"/>
        <v>Retail</v>
      </c>
      <c r="C411" s="3">
        <v>133</v>
      </c>
      <c r="D411" s="3">
        <v>5</v>
      </c>
      <c r="E411" s="3">
        <v>6.7</v>
      </c>
      <c r="F411" s="3">
        <v>1.2</v>
      </c>
      <c r="G411" s="3" t="s">
        <v>13</v>
      </c>
      <c r="H411" s="12">
        <v>0</v>
      </c>
      <c r="I411" s="14">
        <v>0.64688295541799123</v>
      </c>
      <c r="J411" s="9" t="str">
        <f t="shared" si="20"/>
        <v>Train</v>
      </c>
    </row>
    <row r="412" spans="1:10" x14ac:dyDescent="0.3">
      <c r="A412" s="3" t="str">
        <f t="shared" si="18"/>
        <v>C411</v>
      </c>
      <c r="B412" s="3" t="str">
        <f t="shared" ca="1" si="19"/>
        <v>Transportation</v>
      </c>
      <c r="C412" s="3">
        <v>294</v>
      </c>
      <c r="D412" s="3">
        <v>4.3</v>
      </c>
      <c r="E412" s="3">
        <v>2.1</v>
      </c>
      <c r="F412" s="3">
        <v>1.9</v>
      </c>
      <c r="G412" s="3" t="s">
        <v>13</v>
      </c>
      <c r="H412" s="12">
        <v>0</v>
      </c>
      <c r="I412" s="14">
        <v>0.28250234517742678</v>
      </c>
      <c r="J412" s="9" t="str">
        <f t="shared" si="20"/>
        <v>Train</v>
      </c>
    </row>
    <row r="413" spans="1:10" x14ac:dyDescent="0.3">
      <c r="A413" s="3" t="str">
        <f t="shared" si="18"/>
        <v>C412</v>
      </c>
      <c r="B413" s="3" t="str">
        <f t="shared" ca="1" si="19"/>
        <v>Transportation</v>
      </c>
      <c r="C413" s="3">
        <v>222</v>
      </c>
      <c r="D413" s="3">
        <v>7.6</v>
      </c>
      <c r="E413" s="3">
        <v>4.3</v>
      </c>
      <c r="F413" s="3">
        <v>2.2000000000000002</v>
      </c>
      <c r="G413" s="3" t="s">
        <v>9</v>
      </c>
      <c r="H413" s="12">
        <v>0</v>
      </c>
      <c r="I413" s="14">
        <v>0.56491660941905941</v>
      </c>
      <c r="J413" s="9" t="str">
        <f t="shared" si="20"/>
        <v>Train</v>
      </c>
    </row>
    <row r="414" spans="1:10" x14ac:dyDescent="0.3">
      <c r="A414" s="3" t="str">
        <f t="shared" si="18"/>
        <v>C413</v>
      </c>
      <c r="B414" s="3" t="str">
        <f t="shared" ca="1" si="19"/>
        <v>IT Services</v>
      </c>
      <c r="C414" s="3">
        <v>339</v>
      </c>
      <c r="D414" s="3">
        <v>6.5</v>
      </c>
      <c r="E414" s="3">
        <v>7.6</v>
      </c>
      <c r="F414" s="3">
        <v>2.2999999999999998</v>
      </c>
      <c r="G414" s="3" t="s">
        <v>9</v>
      </c>
      <c r="H414" s="12">
        <v>0</v>
      </c>
      <c r="I414" s="14">
        <v>0.72425378246830507</v>
      </c>
      <c r="J414" s="9" t="str">
        <f t="shared" si="20"/>
        <v>Test</v>
      </c>
    </row>
    <row r="415" spans="1:10" x14ac:dyDescent="0.3">
      <c r="A415" s="3" t="str">
        <f t="shared" si="18"/>
        <v>C414</v>
      </c>
      <c r="B415" s="3" t="str">
        <f t="shared" ca="1" si="19"/>
        <v>Manufacturing</v>
      </c>
      <c r="C415" s="3">
        <v>54</v>
      </c>
      <c r="D415" s="3">
        <v>2.6</v>
      </c>
      <c r="E415" s="3">
        <v>4.5999999999999996</v>
      </c>
      <c r="F415" s="3">
        <v>0.7</v>
      </c>
      <c r="G415" s="3" t="s">
        <v>7</v>
      </c>
      <c r="H415" s="12">
        <v>0</v>
      </c>
      <c r="I415" s="14">
        <v>0.44773860255507736</v>
      </c>
      <c r="J415" s="9" t="str">
        <f t="shared" si="20"/>
        <v>Train</v>
      </c>
    </row>
    <row r="416" spans="1:10" x14ac:dyDescent="0.3">
      <c r="A416" s="3" t="str">
        <f t="shared" si="18"/>
        <v>C415</v>
      </c>
      <c r="B416" s="3" t="str">
        <f t="shared" ca="1" si="19"/>
        <v>Construction</v>
      </c>
      <c r="C416" s="3">
        <v>418</v>
      </c>
      <c r="D416" s="3">
        <v>6</v>
      </c>
      <c r="E416" s="3">
        <v>4.9000000000000004</v>
      </c>
      <c r="F416" s="3">
        <v>2.2000000000000002</v>
      </c>
      <c r="G416" s="3" t="s">
        <v>9</v>
      </c>
      <c r="H416" s="12">
        <v>0</v>
      </c>
      <c r="I416" s="14">
        <v>0.15590728948791011</v>
      </c>
      <c r="J416" s="9" t="str">
        <f t="shared" si="20"/>
        <v>Train</v>
      </c>
    </row>
    <row r="417" spans="1:10" x14ac:dyDescent="0.3">
      <c r="A417" s="3" t="str">
        <f t="shared" si="18"/>
        <v>C416</v>
      </c>
      <c r="B417" s="3" t="str">
        <f t="shared" ca="1" si="19"/>
        <v>Manufacturing</v>
      </c>
      <c r="C417" s="3">
        <v>67</v>
      </c>
      <c r="D417" s="3">
        <v>3.4</v>
      </c>
      <c r="E417" s="3">
        <v>1.5</v>
      </c>
      <c r="F417" s="3">
        <v>2.5</v>
      </c>
      <c r="G417" s="3" t="s">
        <v>7</v>
      </c>
      <c r="H417" s="12">
        <v>0</v>
      </c>
      <c r="I417" s="14">
        <v>0.51501674281330412</v>
      </c>
      <c r="J417" s="9" t="str">
        <f t="shared" si="20"/>
        <v>Train</v>
      </c>
    </row>
    <row r="418" spans="1:10" x14ac:dyDescent="0.3">
      <c r="A418" s="3" t="str">
        <f t="shared" si="18"/>
        <v>C417</v>
      </c>
      <c r="B418" s="3" t="str">
        <f t="shared" ca="1" si="19"/>
        <v>Pharma</v>
      </c>
      <c r="C418" s="3">
        <v>296</v>
      </c>
      <c r="D418" s="3">
        <v>2.1</v>
      </c>
      <c r="E418" s="3">
        <v>8.6999999999999993</v>
      </c>
      <c r="F418" s="3">
        <v>2.6</v>
      </c>
      <c r="G418" s="3" t="s">
        <v>7</v>
      </c>
      <c r="H418" s="12">
        <v>0</v>
      </c>
      <c r="I418" s="14">
        <v>0.49344994110086349</v>
      </c>
      <c r="J418" s="9" t="str">
        <f t="shared" si="20"/>
        <v>Train</v>
      </c>
    </row>
    <row r="419" spans="1:10" x14ac:dyDescent="0.3">
      <c r="A419" s="3" t="str">
        <f t="shared" si="18"/>
        <v>C418</v>
      </c>
      <c r="B419" s="3" t="str">
        <f t="shared" ca="1" si="19"/>
        <v>IT Services</v>
      </c>
      <c r="C419" s="3">
        <v>161</v>
      </c>
      <c r="D419" s="3">
        <v>7.4</v>
      </c>
      <c r="E419" s="3">
        <v>4.4000000000000004</v>
      </c>
      <c r="F419" s="3">
        <v>1.9</v>
      </c>
      <c r="G419" s="3" t="s">
        <v>9</v>
      </c>
      <c r="H419" s="12">
        <v>0</v>
      </c>
      <c r="I419" s="14">
        <v>0.73174714531193974</v>
      </c>
      <c r="J419" s="9" t="str">
        <f t="shared" si="20"/>
        <v>Test</v>
      </c>
    </row>
    <row r="420" spans="1:10" x14ac:dyDescent="0.3">
      <c r="A420" s="3" t="str">
        <f t="shared" si="18"/>
        <v>C419</v>
      </c>
      <c r="B420" s="3" t="str">
        <f t="shared" ca="1" si="19"/>
        <v>Manufacturing</v>
      </c>
      <c r="C420" s="3">
        <v>114</v>
      </c>
      <c r="D420" s="3">
        <v>5.3</v>
      </c>
      <c r="E420" s="3">
        <v>2.8</v>
      </c>
      <c r="F420" s="3">
        <v>2.8</v>
      </c>
      <c r="G420" s="3" t="s">
        <v>13</v>
      </c>
      <c r="H420" s="12">
        <v>0</v>
      </c>
      <c r="I420" s="14">
        <v>0.28825256808836552</v>
      </c>
      <c r="J420" s="9" t="str">
        <f t="shared" si="20"/>
        <v>Train</v>
      </c>
    </row>
    <row r="421" spans="1:10" x14ac:dyDescent="0.3">
      <c r="A421" s="3" t="str">
        <f t="shared" si="18"/>
        <v>C420</v>
      </c>
      <c r="B421" s="3" t="str">
        <f t="shared" ca="1" si="19"/>
        <v>Pharma</v>
      </c>
      <c r="C421" s="3">
        <v>210</v>
      </c>
      <c r="D421" s="3">
        <v>5.8</v>
      </c>
      <c r="E421" s="3">
        <v>3</v>
      </c>
      <c r="F421" s="3">
        <v>2.4</v>
      </c>
      <c r="G421" s="3" t="s">
        <v>13</v>
      </c>
      <c r="H421" s="12">
        <v>0</v>
      </c>
      <c r="I421" s="14">
        <v>0.13207830600563297</v>
      </c>
      <c r="J421" s="9" t="str">
        <f t="shared" si="20"/>
        <v>Train</v>
      </c>
    </row>
    <row r="422" spans="1:10" x14ac:dyDescent="0.3">
      <c r="A422" s="3" t="str">
        <f t="shared" si="18"/>
        <v>C421</v>
      </c>
      <c r="B422" s="3" t="str">
        <f t="shared" ca="1" si="19"/>
        <v>IT Services</v>
      </c>
      <c r="C422" s="3">
        <v>398</v>
      </c>
      <c r="D422" s="3">
        <v>5.9</v>
      </c>
      <c r="E422" s="3">
        <v>4.0999999999999996</v>
      </c>
      <c r="F422" s="3">
        <v>1.6</v>
      </c>
      <c r="G422" s="3" t="s">
        <v>13</v>
      </c>
      <c r="H422" s="12">
        <v>0</v>
      </c>
      <c r="I422" s="14">
        <v>0.53705083245640117</v>
      </c>
      <c r="J422" s="9" t="str">
        <f t="shared" si="20"/>
        <v>Train</v>
      </c>
    </row>
    <row r="423" spans="1:10" x14ac:dyDescent="0.3">
      <c r="A423" s="3" t="str">
        <f t="shared" si="18"/>
        <v>C422</v>
      </c>
      <c r="B423" s="3" t="str">
        <f t="shared" ca="1" si="19"/>
        <v>Transportation</v>
      </c>
      <c r="C423" s="3">
        <v>275</v>
      </c>
      <c r="D423" s="3">
        <v>5.5</v>
      </c>
      <c r="E423" s="3">
        <v>2.7</v>
      </c>
      <c r="F423" s="3">
        <v>1.2</v>
      </c>
      <c r="G423" s="3" t="s">
        <v>13</v>
      </c>
      <c r="H423" s="12">
        <v>0</v>
      </c>
      <c r="I423" s="14">
        <v>8.355489079644618E-2</v>
      </c>
      <c r="J423" s="9" t="str">
        <f t="shared" si="20"/>
        <v>Train</v>
      </c>
    </row>
    <row r="424" spans="1:10" x14ac:dyDescent="0.3">
      <c r="A424" s="3" t="str">
        <f t="shared" si="18"/>
        <v>C423</v>
      </c>
      <c r="B424" s="3" t="str">
        <f t="shared" ca="1" si="19"/>
        <v>Pharma</v>
      </c>
      <c r="C424" s="3">
        <v>391</v>
      </c>
      <c r="D424" s="3">
        <v>0.9</v>
      </c>
      <c r="E424" s="3">
        <v>0.8</v>
      </c>
      <c r="F424" s="3">
        <v>1.8</v>
      </c>
      <c r="G424" s="3" t="s">
        <v>11</v>
      </c>
      <c r="H424" s="12">
        <v>0</v>
      </c>
      <c r="I424" s="14">
        <v>0.18621120221180987</v>
      </c>
      <c r="J424" s="9" t="str">
        <f t="shared" si="20"/>
        <v>Train</v>
      </c>
    </row>
    <row r="425" spans="1:10" x14ac:dyDescent="0.3">
      <c r="A425" s="3" t="str">
        <f t="shared" si="18"/>
        <v>C424</v>
      </c>
      <c r="B425" s="3" t="str">
        <f t="shared" ca="1" si="19"/>
        <v>Pharma</v>
      </c>
      <c r="C425" s="3">
        <v>254</v>
      </c>
      <c r="D425" s="3">
        <v>3.3</v>
      </c>
      <c r="E425" s="3">
        <v>1.5</v>
      </c>
      <c r="F425" s="3">
        <v>0.7</v>
      </c>
      <c r="G425" s="3" t="s">
        <v>7</v>
      </c>
      <c r="H425" s="12">
        <v>0</v>
      </c>
      <c r="I425" s="14">
        <v>0.91372488266103746</v>
      </c>
      <c r="J425" s="9" t="str">
        <f t="shared" si="20"/>
        <v>Test</v>
      </c>
    </row>
    <row r="426" spans="1:10" x14ac:dyDescent="0.3">
      <c r="A426" s="3" t="str">
        <f t="shared" si="18"/>
        <v>C425</v>
      </c>
      <c r="B426" s="3" t="str">
        <f t="shared" ca="1" si="19"/>
        <v>Manufacturing</v>
      </c>
      <c r="C426" s="3">
        <v>398</v>
      </c>
      <c r="D426" s="3">
        <v>3.4</v>
      </c>
      <c r="E426" s="3">
        <v>8</v>
      </c>
      <c r="F426" s="3">
        <v>0.7</v>
      </c>
      <c r="G426" s="3" t="s">
        <v>7</v>
      </c>
      <c r="H426" s="12">
        <v>0</v>
      </c>
      <c r="I426" s="14">
        <v>0.58927830262053049</v>
      </c>
      <c r="J426" s="9" t="str">
        <f t="shared" si="20"/>
        <v>Train</v>
      </c>
    </row>
    <row r="427" spans="1:10" x14ac:dyDescent="0.3">
      <c r="A427" s="3" t="str">
        <f t="shared" si="18"/>
        <v>C426</v>
      </c>
      <c r="B427" s="3" t="str">
        <f t="shared" ca="1" si="19"/>
        <v>Manufacturing</v>
      </c>
      <c r="C427" s="3">
        <v>244</v>
      </c>
      <c r="D427" s="3">
        <v>5.8</v>
      </c>
      <c r="E427" s="3">
        <v>9.6</v>
      </c>
      <c r="F427" s="3">
        <v>1.5</v>
      </c>
      <c r="G427" s="3" t="s">
        <v>13</v>
      </c>
      <c r="H427" s="12">
        <v>0</v>
      </c>
      <c r="I427" s="14">
        <v>0.36846554118747554</v>
      </c>
      <c r="J427" s="9" t="str">
        <f t="shared" si="20"/>
        <v>Train</v>
      </c>
    </row>
    <row r="428" spans="1:10" x14ac:dyDescent="0.3">
      <c r="A428" s="3" t="str">
        <f t="shared" si="18"/>
        <v>C427</v>
      </c>
      <c r="B428" s="3" t="str">
        <f t="shared" ca="1" si="19"/>
        <v>Construction</v>
      </c>
      <c r="C428" s="3">
        <v>90</v>
      </c>
      <c r="D428" s="3">
        <v>4</v>
      </c>
      <c r="E428" s="3">
        <v>8.1999999999999993</v>
      </c>
      <c r="F428" s="3">
        <v>2.4</v>
      </c>
      <c r="G428" s="3" t="s">
        <v>13</v>
      </c>
      <c r="H428" s="12">
        <v>0</v>
      </c>
      <c r="I428" s="14">
        <v>0.68219694472078474</v>
      </c>
      <c r="J428" s="9" t="str">
        <f t="shared" si="20"/>
        <v>Train</v>
      </c>
    </row>
    <row r="429" spans="1:10" x14ac:dyDescent="0.3">
      <c r="A429" s="3" t="str">
        <f t="shared" si="18"/>
        <v>C428</v>
      </c>
      <c r="B429" s="3" t="str">
        <f t="shared" ca="1" si="19"/>
        <v>Construction</v>
      </c>
      <c r="C429" s="3">
        <v>434</v>
      </c>
      <c r="D429" s="3">
        <v>5.3</v>
      </c>
      <c r="E429" s="3">
        <v>5.0999999999999996</v>
      </c>
      <c r="F429" s="3">
        <v>1.4</v>
      </c>
      <c r="G429" s="3" t="s">
        <v>13</v>
      </c>
      <c r="H429" s="12">
        <v>0</v>
      </c>
      <c r="I429" s="14">
        <v>0.17749444058367747</v>
      </c>
      <c r="J429" s="9" t="str">
        <f t="shared" si="20"/>
        <v>Train</v>
      </c>
    </row>
    <row r="430" spans="1:10" x14ac:dyDescent="0.3">
      <c r="A430" s="3" t="str">
        <f t="shared" si="18"/>
        <v>C429</v>
      </c>
      <c r="B430" s="3" t="str">
        <f t="shared" ca="1" si="19"/>
        <v>Manufacturing</v>
      </c>
      <c r="C430" s="3">
        <v>120</v>
      </c>
      <c r="D430" s="3">
        <v>4.0999999999999996</v>
      </c>
      <c r="E430" s="3">
        <v>4.8</v>
      </c>
      <c r="F430" s="3">
        <v>1.6</v>
      </c>
      <c r="G430" s="3" t="s">
        <v>13</v>
      </c>
      <c r="H430" s="12">
        <v>0</v>
      </c>
      <c r="I430" s="14">
        <v>0.56213371593478012</v>
      </c>
      <c r="J430" s="9" t="str">
        <f t="shared" si="20"/>
        <v>Train</v>
      </c>
    </row>
    <row r="431" spans="1:10" x14ac:dyDescent="0.3">
      <c r="A431" s="3" t="str">
        <f t="shared" si="18"/>
        <v>C430</v>
      </c>
      <c r="B431" s="3" t="str">
        <f t="shared" ca="1" si="19"/>
        <v>Transportation</v>
      </c>
      <c r="C431" s="3">
        <v>213</v>
      </c>
      <c r="D431" s="3">
        <v>2.1</v>
      </c>
      <c r="E431" s="3">
        <v>9.1</v>
      </c>
      <c r="F431" s="3">
        <v>2.1</v>
      </c>
      <c r="G431" s="3" t="s">
        <v>7</v>
      </c>
      <c r="H431" s="12">
        <v>0</v>
      </c>
      <c r="I431" s="14">
        <v>0.20008739936536712</v>
      </c>
      <c r="J431" s="9" t="str">
        <f t="shared" si="20"/>
        <v>Train</v>
      </c>
    </row>
    <row r="432" spans="1:10" x14ac:dyDescent="0.3">
      <c r="A432" s="3" t="str">
        <f t="shared" si="18"/>
        <v>C431</v>
      </c>
      <c r="B432" s="3" t="str">
        <f t="shared" ca="1" si="19"/>
        <v>Pharma</v>
      </c>
      <c r="C432" s="3">
        <v>469</v>
      </c>
      <c r="D432" s="3">
        <v>3.4</v>
      </c>
      <c r="E432" s="3">
        <v>9.4</v>
      </c>
      <c r="F432" s="3">
        <v>1.8</v>
      </c>
      <c r="G432" s="3" t="s">
        <v>7</v>
      </c>
      <c r="H432" s="12">
        <v>0</v>
      </c>
      <c r="I432" s="14">
        <v>0.93591555144778105</v>
      </c>
      <c r="J432" s="9" t="str">
        <f t="shared" si="20"/>
        <v>Test</v>
      </c>
    </row>
    <row r="433" spans="1:10" x14ac:dyDescent="0.3">
      <c r="A433" s="3" t="str">
        <f t="shared" si="18"/>
        <v>C432</v>
      </c>
      <c r="B433" s="3" t="str">
        <f t="shared" ca="1" si="19"/>
        <v>Retail</v>
      </c>
      <c r="C433" s="3">
        <v>410</v>
      </c>
      <c r="D433" s="3">
        <v>6.6</v>
      </c>
      <c r="E433" s="3">
        <v>5.4</v>
      </c>
      <c r="F433" s="3">
        <v>1.5</v>
      </c>
      <c r="G433" s="3" t="s">
        <v>9</v>
      </c>
      <c r="H433" s="12">
        <v>0</v>
      </c>
      <c r="I433" s="14">
        <v>0.14266977396746305</v>
      </c>
      <c r="J433" s="9" t="str">
        <f t="shared" si="20"/>
        <v>Train</v>
      </c>
    </row>
    <row r="434" spans="1:10" x14ac:dyDescent="0.3">
      <c r="A434" s="3" t="str">
        <f t="shared" si="18"/>
        <v>C433</v>
      </c>
      <c r="B434" s="3" t="str">
        <f t="shared" ca="1" si="19"/>
        <v>Transportation</v>
      </c>
      <c r="C434" s="3">
        <v>216</v>
      </c>
      <c r="D434" s="3">
        <v>2.4</v>
      </c>
      <c r="E434" s="3">
        <v>7.3</v>
      </c>
      <c r="F434" s="3">
        <v>2.9</v>
      </c>
      <c r="G434" s="3" t="s">
        <v>7</v>
      </c>
      <c r="H434" s="12">
        <v>0</v>
      </c>
      <c r="I434" s="14">
        <v>0.51349766437009869</v>
      </c>
      <c r="J434" s="9" t="str">
        <f t="shared" si="20"/>
        <v>Train</v>
      </c>
    </row>
    <row r="435" spans="1:10" x14ac:dyDescent="0.3">
      <c r="A435" s="3" t="str">
        <f t="shared" si="18"/>
        <v>C434</v>
      </c>
      <c r="B435" s="3" t="str">
        <f t="shared" ca="1" si="19"/>
        <v>Pharma</v>
      </c>
      <c r="C435" s="3">
        <v>165</v>
      </c>
      <c r="D435" s="3">
        <v>5.8</v>
      </c>
      <c r="E435" s="3">
        <v>2.4</v>
      </c>
      <c r="F435" s="3">
        <v>2.7</v>
      </c>
      <c r="G435" s="3" t="s">
        <v>13</v>
      </c>
      <c r="H435" s="12">
        <v>0</v>
      </c>
      <c r="I435" s="14">
        <v>0.89222086279881707</v>
      </c>
      <c r="J435" s="9" t="str">
        <f t="shared" si="20"/>
        <v>Test</v>
      </c>
    </row>
    <row r="436" spans="1:10" x14ac:dyDescent="0.3">
      <c r="A436" s="3" t="str">
        <f t="shared" si="18"/>
        <v>C435</v>
      </c>
      <c r="B436" s="3" t="str">
        <f t="shared" ca="1" si="19"/>
        <v>Pharma</v>
      </c>
      <c r="C436" s="3">
        <v>427</v>
      </c>
      <c r="D436" s="3">
        <v>3.8</v>
      </c>
      <c r="E436" s="3">
        <v>1.1000000000000001</v>
      </c>
      <c r="F436" s="3">
        <v>1.9</v>
      </c>
      <c r="G436" s="3" t="s">
        <v>7</v>
      </c>
      <c r="H436" s="12">
        <v>0</v>
      </c>
      <c r="I436" s="14">
        <v>1.4678307980326988E-3</v>
      </c>
      <c r="J436" s="9" t="str">
        <f t="shared" si="20"/>
        <v>Train</v>
      </c>
    </row>
    <row r="437" spans="1:10" x14ac:dyDescent="0.3">
      <c r="A437" s="3" t="str">
        <f t="shared" si="18"/>
        <v>C436</v>
      </c>
      <c r="B437" s="3" t="str">
        <f t="shared" ca="1" si="19"/>
        <v>Retail</v>
      </c>
      <c r="C437" s="3">
        <v>471</v>
      </c>
      <c r="D437" s="3">
        <v>6</v>
      </c>
      <c r="E437" s="3">
        <v>5.7</v>
      </c>
      <c r="F437" s="3">
        <v>2.7</v>
      </c>
      <c r="G437" s="3" t="s">
        <v>9</v>
      </c>
      <c r="H437" s="12">
        <v>0</v>
      </c>
      <c r="I437" s="14">
        <v>0.19212637993413373</v>
      </c>
      <c r="J437" s="9" t="str">
        <f t="shared" si="20"/>
        <v>Train</v>
      </c>
    </row>
    <row r="438" spans="1:10" x14ac:dyDescent="0.3">
      <c r="A438" s="3" t="str">
        <f t="shared" si="18"/>
        <v>C437</v>
      </c>
      <c r="B438" s="3" t="str">
        <f t="shared" ca="1" si="19"/>
        <v>Transportation</v>
      </c>
      <c r="C438" s="3">
        <v>199</v>
      </c>
      <c r="D438" s="3">
        <v>1.2</v>
      </c>
      <c r="E438" s="3">
        <v>7.5</v>
      </c>
      <c r="F438" s="3">
        <v>1.2</v>
      </c>
      <c r="G438" s="3" t="s">
        <v>11</v>
      </c>
      <c r="H438" s="12">
        <v>0</v>
      </c>
      <c r="I438" s="14">
        <v>0.29574227014021381</v>
      </c>
      <c r="J438" s="9" t="str">
        <f t="shared" si="20"/>
        <v>Train</v>
      </c>
    </row>
    <row r="439" spans="1:10" x14ac:dyDescent="0.3">
      <c r="A439" s="3" t="str">
        <f t="shared" si="18"/>
        <v>C438</v>
      </c>
      <c r="B439" s="3" t="str">
        <f t="shared" ca="1" si="19"/>
        <v>Construction</v>
      </c>
      <c r="C439" s="3">
        <v>425</v>
      </c>
      <c r="D439" s="3">
        <v>6.8</v>
      </c>
      <c r="E439" s="3">
        <v>9.4</v>
      </c>
      <c r="F439" s="3">
        <v>2.6</v>
      </c>
      <c r="G439" s="3" t="s">
        <v>9</v>
      </c>
      <c r="H439" s="12">
        <v>0</v>
      </c>
      <c r="I439" s="14">
        <v>0.13752309233466209</v>
      </c>
      <c r="J439" s="9" t="str">
        <f t="shared" si="20"/>
        <v>Train</v>
      </c>
    </row>
    <row r="440" spans="1:10" x14ac:dyDescent="0.3">
      <c r="A440" s="3" t="str">
        <f t="shared" si="18"/>
        <v>C439</v>
      </c>
      <c r="B440" s="3" t="str">
        <f t="shared" ca="1" si="19"/>
        <v>Transportation</v>
      </c>
      <c r="C440" s="3">
        <v>191</v>
      </c>
      <c r="D440" s="3">
        <v>5.8</v>
      </c>
      <c r="E440" s="3">
        <v>7</v>
      </c>
      <c r="F440" s="3">
        <v>1.6</v>
      </c>
      <c r="G440" s="3" t="s">
        <v>13</v>
      </c>
      <c r="H440" s="12">
        <v>0</v>
      </c>
      <c r="I440" s="14">
        <v>0.6049763280954884</v>
      </c>
      <c r="J440" s="9" t="str">
        <f t="shared" si="20"/>
        <v>Train</v>
      </c>
    </row>
    <row r="441" spans="1:10" x14ac:dyDescent="0.3">
      <c r="A441" s="3" t="str">
        <f t="shared" si="18"/>
        <v>C440</v>
      </c>
      <c r="B441" s="3" t="str">
        <f t="shared" ca="1" si="19"/>
        <v>Manufacturing</v>
      </c>
      <c r="C441" s="3">
        <v>183</v>
      </c>
      <c r="D441" s="3">
        <v>1.8</v>
      </c>
      <c r="E441" s="3">
        <v>1.8</v>
      </c>
      <c r="F441" s="3">
        <v>1.8</v>
      </c>
      <c r="G441" s="3" t="s">
        <v>11</v>
      </c>
      <c r="H441" s="12">
        <v>0</v>
      </c>
      <c r="I441" s="14">
        <v>7.5196956082394517E-2</v>
      </c>
      <c r="J441" s="9" t="str">
        <f t="shared" si="20"/>
        <v>Train</v>
      </c>
    </row>
    <row r="442" spans="1:10" x14ac:dyDescent="0.3">
      <c r="A442" s="3" t="str">
        <f t="shared" si="18"/>
        <v>C441</v>
      </c>
      <c r="B442" s="3" t="str">
        <f t="shared" ca="1" si="19"/>
        <v>Construction</v>
      </c>
      <c r="C442" s="3">
        <v>89</v>
      </c>
      <c r="D442" s="3">
        <v>0.7</v>
      </c>
      <c r="E442" s="3">
        <v>5.6</v>
      </c>
      <c r="F442" s="3">
        <v>1.2</v>
      </c>
      <c r="G442" s="3" t="s">
        <v>11</v>
      </c>
      <c r="H442" s="12">
        <v>0</v>
      </c>
      <c r="I442" s="14">
        <v>2.617005861328292E-3</v>
      </c>
      <c r="J442" s="9" t="str">
        <f t="shared" si="20"/>
        <v>Train</v>
      </c>
    </row>
    <row r="443" spans="1:10" x14ac:dyDescent="0.3">
      <c r="A443" s="3" t="str">
        <f t="shared" si="18"/>
        <v>C442</v>
      </c>
      <c r="B443" s="3" t="str">
        <f t="shared" ca="1" si="19"/>
        <v>Transportation</v>
      </c>
      <c r="C443" s="3">
        <v>59</v>
      </c>
      <c r="D443" s="3">
        <v>3.4</v>
      </c>
      <c r="E443" s="3">
        <v>4</v>
      </c>
      <c r="F443" s="3">
        <v>2.2999999999999998</v>
      </c>
      <c r="G443" s="3" t="s">
        <v>7</v>
      </c>
      <c r="H443" s="12">
        <v>0</v>
      </c>
      <c r="I443" s="14">
        <v>0.36250360051406993</v>
      </c>
      <c r="J443" s="9" t="str">
        <f t="shared" si="20"/>
        <v>Train</v>
      </c>
    </row>
    <row r="444" spans="1:10" x14ac:dyDescent="0.3">
      <c r="A444" s="3" t="str">
        <f t="shared" si="18"/>
        <v>C443</v>
      </c>
      <c r="B444" s="3" t="str">
        <f t="shared" ca="1" si="19"/>
        <v>Manufacturing</v>
      </c>
      <c r="C444" s="3">
        <v>268</v>
      </c>
      <c r="D444" s="3">
        <v>6</v>
      </c>
      <c r="E444" s="3">
        <v>1.4</v>
      </c>
      <c r="F444" s="3">
        <v>2.8</v>
      </c>
      <c r="G444" s="3" t="s">
        <v>9</v>
      </c>
      <c r="H444" s="12">
        <v>0</v>
      </c>
      <c r="I444" s="14">
        <v>0.93373861853478435</v>
      </c>
      <c r="J444" s="9" t="str">
        <f t="shared" si="20"/>
        <v>Test</v>
      </c>
    </row>
    <row r="445" spans="1:10" x14ac:dyDescent="0.3">
      <c r="A445" s="3" t="str">
        <f t="shared" si="18"/>
        <v>C444</v>
      </c>
      <c r="B445" s="3" t="str">
        <f t="shared" ca="1" si="19"/>
        <v>Construction</v>
      </c>
      <c r="C445" s="3">
        <v>313</v>
      </c>
      <c r="D445" s="3">
        <v>5.7</v>
      </c>
      <c r="E445" s="3">
        <v>1.1000000000000001</v>
      </c>
      <c r="F445" s="3">
        <v>2.7</v>
      </c>
      <c r="G445" s="3" t="s">
        <v>13</v>
      </c>
      <c r="H445" s="12">
        <v>0</v>
      </c>
      <c r="I445" s="14">
        <v>0.58122313269572345</v>
      </c>
      <c r="J445" s="9" t="str">
        <f t="shared" si="20"/>
        <v>Train</v>
      </c>
    </row>
    <row r="446" spans="1:10" x14ac:dyDescent="0.3">
      <c r="A446" s="3" t="str">
        <f t="shared" si="18"/>
        <v>C445</v>
      </c>
      <c r="B446" s="3" t="str">
        <f t="shared" ca="1" si="19"/>
        <v>Manufacturing</v>
      </c>
      <c r="C446" s="3">
        <v>95</v>
      </c>
      <c r="D446" s="3">
        <v>1.3</v>
      </c>
      <c r="E446" s="3">
        <v>1.8</v>
      </c>
      <c r="F446" s="3">
        <v>2</v>
      </c>
      <c r="G446" s="3" t="s">
        <v>11</v>
      </c>
      <c r="H446" s="12">
        <v>0</v>
      </c>
      <c r="I446" s="14">
        <v>0.41171661783986879</v>
      </c>
      <c r="J446" s="9" t="str">
        <f t="shared" si="20"/>
        <v>Train</v>
      </c>
    </row>
    <row r="447" spans="1:10" x14ac:dyDescent="0.3">
      <c r="A447" s="3" t="str">
        <f t="shared" si="18"/>
        <v>C446</v>
      </c>
      <c r="B447" s="3" t="str">
        <f t="shared" ca="1" si="19"/>
        <v>Construction</v>
      </c>
      <c r="C447" s="3">
        <v>433</v>
      </c>
      <c r="D447" s="3">
        <v>5.4</v>
      </c>
      <c r="E447" s="3">
        <v>0.7</v>
      </c>
      <c r="F447" s="3">
        <v>1.2</v>
      </c>
      <c r="G447" s="3" t="s">
        <v>13</v>
      </c>
      <c r="H447" s="12">
        <v>0</v>
      </c>
      <c r="I447" s="14">
        <v>0.6757138263124568</v>
      </c>
      <c r="J447" s="9" t="str">
        <f t="shared" si="20"/>
        <v>Train</v>
      </c>
    </row>
    <row r="448" spans="1:10" x14ac:dyDescent="0.3">
      <c r="A448" s="3" t="str">
        <f t="shared" si="18"/>
        <v>C447</v>
      </c>
      <c r="B448" s="3" t="str">
        <f t="shared" ca="1" si="19"/>
        <v>Manufacturing</v>
      </c>
      <c r="C448" s="3">
        <v>383</v>
      </c>
      <c r="D448" s="3">
        <v>7.6</v>
      </c>
      <c r="E448" s="3">
        <v>5.3</v>
      </c>
      <c r="F448" s="3">
        <v>0.8</v>
      </c>
      <c r="G448" s="3" t="s">
        <v>9</v>
      </c>
      <c r="H448" s="12">
        <v>0</v>
      </c>
      <c r="I448" s="14">
        <v>0.77774993914367596</v>
      </c>
      <c r="J448" s="9" t="str">
        <f t="shared" si="20"/>
        <v>Test</v>
      </c>
    </row>
    <row r="449" spans="1:10" x14ac:dyDescent="0.3">
      <c r="A449" s="3" t="str">
        <f t="shared" si="18"/>
        <v>C448</v>
      </c>
      <c r="B449" s="3" t="str">
        <f t="shared" ca="1" si="19"/>
        <v>Transportation</v>
      </c>
      <c r="C449" s="3">
        <v>310</v>
      </c>
      <c r="D449" s="3">
        <v>7.4</v>
      </c>
      <c r="E449" s="3">
        <v>5.4</v>
      </c>
      <c r="F449" s="3">
        <v>2.4</v>
      </c>
      <c r="G449" s="3" t="s">
        <v>9</v>
      </c>
      <c r="H449" s="12">
        <v>0</v>
      </c>
      <c r="I449" s="14">
        <v>0.99288571795026093</v>
      </c>
      <c r="J449" s="9" t="str">
        <f t="shared" si="20"/>
        <v>Test</v>
      </c>
    </row>
    <row r="450" spans="1:10" x14ac:dyDescent="0.3">
      <c r="A450" s="3" t="str">
        <f t="shared" si="18"/>
        <v>C449</v>
      </c>
      <c r="B450" s="3" t="str">
        <f t="shared" ca="1" si="19"/>
        <v>Manufacturing</v>
      </c>
      <c r="C450" s="3">
        <v>66</v>
      </c>
      <c r="D450" s="3">
        <v>0.5</v>
      </c>
      <c r="E450" s="3">
        <v>7.1</v>
      </c>
      <c r="F450" s="3">
        <v>1.5</v>
      </c>
      <c r="G450" s="3" t="s">
        <v>11</v>
      </c>
      <c r="H450" s="12">
        <v>0</v>
      </c>
      <c r="I450" s="14">
        <v>0.93769130589552641</v>
      </c>
      <c r="J450" s="9" t="str">
        <f t="shared" si="20"/>
        <v>Test</v>
      </c>
    </row>
    <row r="451" spans="1:10" x14ac:dyDescent="0.3">
      <c r="A451" s="3" t="str">
        <f t="shared" ref="A451:A514" si="21">"C"&amp;TEXT(ROW()-1,"000")</f>
        <v>C450</v>
      </c>
      <c r="B451" s="3" t="str">
        <f t="shared" ref="B451:B514" ca="1" si="22">CHOOSE(RANDBETWEEN(1,6),
"Manufacturing",
"Retail",
"Pharma",
"Construction",
"Transportation",
"IT Services")</f>
        <v>Pharma</v>
      </c>
      <c r="C451" s="3">
        <v>424</v>
      </c>
      <c r="D451" s="3">
        <v>6.9</v>
      </c>
      <c r="E451" s="3">
        <v>1.7</v>
      </c>
      <c r="F451" s="3">
        <v>1.6</v>
      </c>
      <c r="G451" s="3" t="s">
        <v>9</v>
      </c>
      <c r="H451" s="12">
        <v>0</v>
      </c>
      <c r="I451" s="14">
        <v>0.67315993367301408</v>
      </c>
      <c r="J451" s="9" t="str">
        <f t="shared" ref="J451:J514" si="23">IF(I451&lt;=0.7,"Train","Test")</f>
        <v>Train</v>
      </c>
    </row>
    <row r="452" spans="1:10" x14ac:dyDescent="0.3">
      <c r="A452" s="3" t="str">
        <f t="shared" si="21"/>
        <v>C451</v>
      </c>
      <c r="B452" s="3" t="str">
        <f t="shared" ca="1" si="22"/>
        <v>IT Services</v>
      </c>
      <c r="C452" s="3">
        <v>203</v>
      </c>
      <c r="D452" s="3">
        <v>3.7</v>
      </c>
      <c r="E452" s="3">
        <v>5.8</v>
      </c>
      <c r="F452" s="3">
        <v>1.7</v>
      </c>
      <c r="G452" s="3" t="s">
        <v>7</v>
      </c>
      <c r="H452" s="12">
        <v>0</v>
      </c>
      <c r="I452" s="14">
        <v>0.38266973736760213</v>
      </c>
      <c r="J452" s="9" t="str">
        <f t="shared" si="23"/>
        <v>Train</v>
      </c>
    </row>
    <row r="453" spans="1:10" x14ac:dyDescent="0.3">
      <c r="A453" s="3" t="str">
        <f t="shared" si="21"/>
        <v>C452</v>
      </c>
      <c r="B453" s="3" t="str">
        <f t="shared" ca="1" si="22"/>
        <v>Transportation</v>
      </c>
      <c r="C453" s="3">
        <v>169</v>
      </c>
      <c r="D453" s="3">
        <v>1.3</v>
      </c>
      <c r="E453" s="3">
        <v>9</v>
      </c>
      <c r="F453" s="3">
        <v>1.6</v>
      </c>
      <c r="G453" s="3" t="s">
        <v>11</v>
      </c>
      <c r="H453" s="12">
        <v>0</v>
      </c>
      <c r="I453" s="14">
        <v>0.13034966723901054</v>
      </c>
      <c r="J453" s="9" t="str">
        <f t="shared" si="23"/>
        <v>Train</v>
      </c>
    </row>
    <row r="454" spans="1:10" x14ac:dyDescent="0.3">
      <c r="A454" s="3" t="str">
        <f t="shared" si="21"/>
        <v>C453</v>
      </c>
      <c r="B454" s="3" t="str">
        <f t="shared" ca="1" si="22"/>
        <v>Construction</v>
      </c>
      <c r="C454" s="3">
        <v>327</v>
      </c>
      <c r="D454" s="3">
        <v>4.0999999999999996</v>
      </c>
      <c r="E454" s="3">
        <v>4.5</v>
      </c>
      <c r="F454" s="3">
        <v>0.5</v>
      </c>
      <c r="G454" s="3" t="s">
        <v>13</v>
      </c>
      <c r="H454" s="12">
        <v>0</v>
      </c>
      <c r="I454" s="14">
        <v>0.56654138093434958</v>
      </c>
      <c r="J454" s="9" t="str">
        <f t="shared" si="23"/>
        <v>Train</v>
      </c>
    </row>
    <row r="455" spans="1:10" x14ac:dyDescent="0.3">
      <c r="A455" s="3" t="str">
        <f t="shared" si="21"/>
        <v>C454</v>
      </c>
      <c r="B455" s="3" t="str">
        <f t="shared" ca="1" si="22"/>
        <v>Construction</v>
      </c>
      <c r="C455" s="3">
        <v>448</v>
      </c>
      <c r="D455" s="3">
        <v>3</v>
      </c>
      <c r="E455" s="3">
        <v>3.8</v>
      </c>
      <c r="F455" s="3">
        <v>1.4</v>
      </c>
      <c r="G455" s="3" t="s">
        <v>7</v>
      </c>
      <c r="H455" s="12">
        <v>0</v>
      </c>
      <c r="I455" s="14">
        <v>0.30104096664678326</v>
      </c>
      <c r="J455" s="9" t="str">
        <f t="shared" si="23"/>
        <v>Train</v>
      </c>
    </row>
    <row r="456" spans="1:10" x14ac:dyDescent="0.3">
      <c r="A456" s="3" t="str">
        <f t="shared" si="21"/>
        <v>C455</v>
      </c>
      <c r="B456" s="3" t="str">
        <f t="shared" ca="1" si="22"/>
        <v>Retail</v>
      </c>
      <c r="C456" s="3">
        <v>479</v>
      </c>
      <c r="D456" s="3">
        <v>4.4000000000000004</v>
      </c>
      <c r="E456" s="3">
        <v>3.4</v>
      </c>
      <c r="F456" s="3">
        <v>0.5</v>
      </c>
      <c r="G456" s="3" t="s">
        <v>13</v>
      </c>
      <c r="H456" s="12">
        <v>0</v>
      </c>
      <c r="I456" s="14">
        <v>0.65733100404183065</v>
      </c>
      <c r="J456" s="9" t="str">
        <f t="shared" si="23"/>
        <v>Train</v>
      </c>
    </row>
    <row r="457" spans="1:10" x14ac:dyDescent="0.3">
      <c r="A457" s="3" t="str">
        <f t="shared" si="21"/>
        <v>C456</v>
      </c>
      <c r="B457" s="3" t="str">
        <f t="shared" ca="1" si="22"/>
        <v>Manufacturing</v>
      </c>
      <c r="C457" s="3">
        <v>104</v>
      </c>
      <c r="D457" s="3">
        <v>2.7</v>
      </c>
      <c r="E457" s="3">
        <v>0.7</v>
      </c>
      <c r="F457" s="3">
        <v>0.6</v>
      </c>
      <c r="G457" s="3" t="s">
        <v>7</v>
      </c>
      <c r="H457" s="12">
        <v>0</v>
      </c>
      <c r="I457" s="14">
        <v>0.50548355742727868</v>
      </c>
      <c r="J457" s="9" t="str">
        <f t="shared" si="23"/>
        <v>Train</v>
      </c>
    </row>
    <row r="458" spans="1:10" x14ac:dyDescent="0.3">
      <c r="A458" s="3" t="str">
        <f t="shared" si="21"/>
        <v>C457</v>
      </c>
      <c r="B458" s="3" t="str">
        <f t="shared" ca="1" si="22"/>
        <v>Pharma</v>
      </c>
      <c r="C458" s="3">
        <v>130</v>
      </c>
      <c r="D458" s="3">
        <v>7.6</v>
      </c>
      <c r="E458" s="3">
        <v>2.7</v>
      </c>
      <c r="F458" s="3">
        <v>2.2000000000000002</v>
      </c>
      <c r="G458" s="3" t="s">
        <v>9</v>
      </c>
      <c r="H458" s="12">
        <v>0</v>
      </c>
      <c r="I458" s="14">
        <v>2.2055958222988781E-2</v>
      </c>
      <c r="J458" s="9" t="str">
        <f t="shared" si="23"/>
        <v>Train</v>
      </c>
    </row>
    <row r="459" spans="1:10" x14ac:dyDescent="0.3">
      <c r="A459" s="3" t="str">
        <f t="shared" si="21"/>
        <v>C458</v>
      </c>
      <c r="B459" s="3" t="str">
        <f t="shared" ca="1" si="22"/>
        <v>Pharma</v>
      </c>
      <c r="C459" s="3">
        <v>280</v>
      </c>
      <c r="D459" s="3">
        <v>3.9</v>
      </c>
      <c r="E459" s="3">
        <v>2.8</v>
      </c>
      <c r="F459" s="3">
        <v>1.9</v>
      </c>
      <c r="G459" s="3" t="s">
        <v>7</v>
      </c>
      <c r="H459" s="12">
        <v>0</v>
      </c>
      <c r="I459" s="14">
        <v>0.33889862842759888</v>
      </c>
      <c r="J459" s="9" t="str">
        <f t="shared" si="23"/>
        <v>Train</v>
      </c>
    </row>
    <row r="460" spans="1:10" x14ac:dyDescent="0.3">
      <c r="A460" s="3" t="str">
        <f t="shared" si="21"/>
        <v>C459</v>
      </c>
      <c r="B460" s="3" t="str">
        <f t="shared" ca="1" si="22"/>
        <v>Construction</v>
      </c>
      <c r="C460" s="3">
        <v>279</v>
      </c>
      <c r="D460" s="3">
        <v>1.8</v>
      </c>
      <c r="E460" s="3">
        <v>9.8000000000000007</v>
      </c>
      <c r="F460" s="3">
        <v>2.1</v>
      </c>
      <c r="G460" s="3" t="s">
        <v>11</v>
      </c>
      <c r="H460" s="12">
        <v>0</v>
      </c>
      <c r="I460" s="14">
        <v>0.31177928107025898</v>
      </c>
      <c r="J460" s="9" t="str">
        <f t="shared" si="23"/>
        <v>Train</v>
      </c>
    </row>
    <row r="461" spans="1:10" x14ac:dyDescent="0.3">
      <c r="A461" s="3" t="str">
        <f t="shared" si="21"/>
        <v>C460</v>
      </c>
      <c r="B461" s="3" t="str">
        <f t="shared" ca="1" si="22"/>
        <v>IT Services</v>
      </c>
      <c r="C461" s="3">
        <v>411</v>
      </c>
      <c r="D461" s="3">
        <v>5.4</v>
      </c>
      <c r="E461" s="3">
        <v>0.9</v>
      </c>
      <c r="F461" s="3">
        <v>2.7</v>
      </c>
      <c r="G461" s="3" t="s">
        <v>13</v>
      </c>
      <c r="H461" s="12">
        <v>0</v>
      </c>
      <c r="I461" s="14">
        <v>0.44148047908019483</v>
      </c>
      <c r="J461" s="9" t="str">
        <f t="shared" si="23"/>
        <v>Train</v>
      </c>
    </row>
    <row r="462" spans="1:10" x14ac:dyDescent="0.3">
      <c r="A462" s="3" t="str">
        <f t="shared" si="21"/>
        <v>C461</v>
      </c>
      <c r="B462" s="3" t="str">
        <f t="shared" ca="1" si="22"/>
        <v>Retail</v>
      </c>
      <c r="C462" s="3">
        <v>185</v>
      </c>
      <c r="D462" s="3">
        <v>2</v>
      </c>
      <c r="E462" s="3">
        <v>9.8000000000000007</v>
      </c>
      <c r="F462" s="3">
        <v>2.8</v>
      </c>
      <c r="G462" s="3" t="s">
        <v>7</v>
      </c>
      <c r="H462" s="12">
        <v>0</v>
      </c>
      <c r="I462" s="14">
        <v>1.5801334237802944E-2</v>
      </c>
      <c r="J462" s="9" t="str">
        <f t="shared" si="23"/>
        <v>Train</v>
      </c>
    </row>
    <row r="463" spans="1:10" x14ac:dyDescent="0.3">
      <c r="A463" s="3" t="str">
        <f t="shared" si="21"/>
        <v>C462</v>
      </c>
      <c r="B463" s="3" t="str">
        <f t="shared" ca="1" si="22"/>
        <v>Construction</v>
      </c>
      <c r="C463" s="3">
        <v>106</v>
      </c>
      <c r="D463" s="3">
        <v>3.9</v>
      </c>
      <c r="E463" s="3">
        <v>3.6</v>
      </c>
      <c r="F463" s="3">
        <v>2.9</v>
      </c>
      <c r="G463" s="3" t="s">
        <v>7</v>
      </c>
      <c r="H463" s="12">
        <v>0</v>
      </c>
      <c r="I463" s="14">
        <v>0.98151076496948098</v>
      </c>
      <c r="J463" s="9" t="str">
        <f t="shared" si="23"/>
        <v>Test</v>
      </c>
    </row>
    <row r="464" spans="1:10" x14ac:dyDescent="0.3">
      <c r="A464" s="3" t="str">
        <f t="shared" si="21"/>
        <v>C463</v>
      </c>
      <c r="B464" s="3" t="str">
        <f t="shared" ca="1" si="22"/>
        <v>Retail</v>
      </c>
      <c r="C464" s="3">
        <v>370</v>
      </c>
      <c r="D464" s="3">
        <v>8</v>
      </c>
      <c r="E464" s="3">
        <v>6.2</v>
      </c>
      <c r="F464" s="3">
        <v>2.2999999999999998</v>
      </c>
      <c r="G464" s="3" t="s">
        <v>9</v>
      </c>
      <c r="H464" s="12">
        <v>0</v>
      </c>
      <c r="I464" s="14">
        <v>0.8378086435603751</v>
      </c>
      <c r="J464" s="9" t="str">
        <f t="shared" si="23"/>
        <v>Test</v>
      </c>
    </row>
    <row r="465" spans="1:10" x14ac:dyDescent="0.3">
      <c r="A465" s="3" t="str">
        <f t="shared" si="21"/>
        <v>C464</v>
      </c>
      <c r="B465" s="3" t="str">
        <f t="shared" ca="1" si="22"/>
        <v>Transportation</v>
      </c>
      <c r="C465" s="3">
        <v>151</v>
      </c>
      <c r="D465" s="3">
        <v>5.2</v>
      </c>
      <c r="E465" s="3">
        <v>2.7</v>
      </c>
      <c r="F465" s="3">
        <v>1.4</v>
      </c>
      <c r="G465" s="3" t="s">
        <v>13</v>
      </c>
      <c r="H465" s="12">
        <v>0</v>
      </c>
      <c r="I465" s="14">
        <v>0.76087731853929086</v>
      </c>
      <c r="J465" s="9" t="str">
        <f t="shared" si="23"/>
        <v>Test</v>
      </c>
    </row>
    <row r="466" spans="1:10" x14ac:dyDescent="0.3">
      <c r="A466" s="3" t="str">
        <f t="shared" si="21"/>
        <v>C465</v>
      </c>
      <c r="B466" s="3" t="str">
        <f t="shared" ca="1" si="22"/>
        <v>Pharma</v>
      </c>
      <c r="C466" s="3">
        <v>395</v>
      </c>
      <c r="D466" s="3">
        <v>2.9</v>
      </c>
      <c r="E466" s="3">
        <v>2.2999999999999998</v>
      </c>
      <c r="F466" s="3">
        <v>2</v>
      </c>
      <c r="G466" s="3" t="s">
        <v>7</v>
      </c>
      <c r="H466" s="12">
        <v>0</v>
      </c>
      <c r="I466" s="14">
        <v>0.17951551681195654</v>
      </c>
      <c r="J466" s="9" t="str">
        <f t="shared" si="23"/>
        <v>Train</v>
      </c>
    </row>
    <row r="467" spans="1:10" x14ac:dyDescent="0.3">
      <c r="A467" s="3" t="str">
        <f t="shared" si="21"/>
        <v>C466</v>
      </c>
      <c r="B467" s="3" t="str">
        <f t="shared" ca="1" si="22"/>
        <v>Manufacturing</v>
      </c>
      <c r="C467" s="3">
        <v>53</v>
      </c>
      <c r="D467" s="3">
        <v>7.2</v>
      </c>
      <c r="E467" s="3">
        <v>7.8</v>
      </c>
      <c r="F467" s="3">
        <v>1.9</v>
      </c>
      <c r="G467" s="3" t="s">
        <v>9</v>
      </c>
      <c r="H467" s="12">
        <v>0</v>
      </c>
      <c r="I467" s="14">
        <v>0.47130967497083143</v>
      </c>
      <c r="J467" s="9" t="str">
        <f t="shared" si="23"/>
        <v>Train</v>
      </c>
    </row>
    <row r="468" spans="1:10" x14ac:dyDescent="0.3">
      <c r="A468" s="3" t="str">
        <f t="shared" si="21"/>
        <v>C467</v>
      </c>
      <c r="B468" s="3" t="str">
        <f t="shared" ca="1" si="22"/>
        <v>Manufacturing</v>
      </c>
      <c r="C468" s="3">
        <v>94</v>
      </c>
      <c r="D468" s="3">
        <v>2.2000000000000002</v>
      </c>
      <c r="E468" s="3">
        <v>6.4</v>
      </c>
      <c r="F468" s="3">
        <v>3</v>
      </c>
      <c r="G468" s="3" t="s">
        <v>7</v>
      </c>
      <c r="H468" s="12">
        <v>0</v>
      </c>
      <c r="I468" s="14">
        <v>0.86923568694700371</v>
      </c>
      <c r="J468" s="9" t="str">
        <f t="shared" si="23"/>
        <v>Test</v>
      </c>
    </row>
    <row r="469" spans="1:10" x14ac:dyDescent="0.3">
      <c r="A469" s="3" t="str">
        <f t="shared" si="21"/>
        <v>C468</v>
      </c>
      <c r="B469" s="3" t="str">
        <f t="shared" ca="1" si="22"/>
        <v>Pharma</v>
      </c>
      <c r="C469" s="3">
        <v>234</v>
      </c>
      <c r="D469" s="3">
        <v>0.6</v>
      </c>
      <c r="E469" s="3">
        <v>4</v>
      </c>
      <c r="F469" s="3">
        <v>3</v>
      </c>
      <c r="G469" s="3" t="s">
        <v>11</v>
      </c>
      <c r="H469" s="12">
        <v>0</v>
      </c>
      <c r="I469" s="14">
        <v>0.11143859455664495</v>
      </c>
      <c r="J469" s="9" t="str">
        <f t="shared" si="23"/>
        <v>Train</v>
      </c>
    </row>
    <row r="470" spans="1:10" x14ac:dyDescent="0.3">
      <c r="A470" s="3" t="str">
        <f t="shared" si="21"/>
        <v>C469</v>
      </c>
      <c r="B470" s="3" t="str">
        <f t="shared" ca="1" si="22"/>
        <v>Pharma</v>
      </c>
      <c r="C470" s="3">
        <v>137</v>
      </c>
      <c r="D470" s="3">
        <v>2.2000000000000002</v>
      </c>
      <c r="E470" s="3">
        <v>0.7</v>
      </c>
      <c r="F470" s="3">
        <v>1.3</v>
      </c>
      <c r="G470" s="3" t="s">
        <v>7</v>
      </c>
      <c r="H470" s="12">
        <v>0</v>
      </c>
      <c r="I470" s="14">
        <v>0.761240329941544</v>
      </c>
      <c r="J470" s="9" t="str">
        <f t="shared" si="23"/>
        <v>Test</v>
      </c>
    </row>
    <row r="471" spans="1:10" x14ac:dyDescent="0.3">
      <c r="A471" s="3" t="str">
        <f t="shared" si="21"/>
        <v>C470</v>
      </c>
      <c r="B471" s="3" t="str">
        <f t="shared" ca="1" si="22"/>
        <v>Retail</v>
      </c>
      <c r="C471" s="3">
        <v>311</v>
      </c>
      <c r="D471" s="3">
        <v>2.6</v>
      </c>
      <c r="E471" s="3">
        <v>1.7</v>
      </c>
      <c r="F471" s="3">
        <v>2.1</v>
      </c>
      <c r="G471" s="3" t="s">
        <v>7</v>
      </c>
      <c r="H471" s="12">
        <v>0</v>
      </c>
      <c r="I471" s="14">
        <v>0.39865782477113854</v>
      </c>
      <c r="J471" s="9" t="str">
        <f t="shared" si="23"/>
        <v>Train</v>
      </c>
    </row>
    <row r="472" spans="1:10" x14ac:dyDescent="0.3">
      <c r="A472" s="3" t="str">
        <f t="shared" si="21"/>
        <v>C471</v>
      </c>
      <c r="B472" s="3" t="str">
        <f t="shared" ca="1" si="22"/>
        <v>Manufacturing</v>
      </c>
      <c r="C472" s="3">
        <v>420</v>
      </c>
      <c r="D472" s="3">
        <v>6.6</v>
      </c>
      <c r="E472" s="3">
        <v>8.5</v>
      </c>
      <c r="F472" s="3">
        <v>2.7</v>
      </c>
      <c r="G472" s="3" t="s">
        <v>9</v>
      </c>
      <c r="H472" s="12">
        <v>0</v>
      </c>
      <c r="I472" s="14">
        <v>0.99361749961205081</v>
      </c>
      <c r="J472" s="9" t="str">
        <f t="shared" si="23"/>
        <v>Test</v>
      </c>
    </row>
    <row r="473" spans="1:10" x14ac:dyDescent="0.3">
      <c r="A473" s="3" t="str">
        <f t="shared" si="21"/>
        <v>C472</v>
      </c>
      <c r="B473" s="3" t="str">
        <f t="shared" ca="1" si="22"/>
        <v>IT Services</v>
      </c>
      <c r="C473" s="3">
        <v>114</v>
      </c>
      <c r="D473" s="3">
        <v>6.8</v>
      </c>
      <c r="E473" s="3">
        <v>3.1</v>
      </c>
      <c r="F473" s="3">
        <v>1.8</v>
      </c>
      <c r="G473" s="3" t="s">
        <v>9</v>
      </c>
      <c r="H473" s="12">
        <v>0</v>
      </c>
      <c r="I473" s="14">
        <v>0.91370623240365745</v>
      </c>
      <c r="J473" s="9" t="str">
        <f t="shared" si="23"/>
        <v>Test</v>
      </c>
    </row>
    <row r="474" spans="1:10" x14ac:dyDescent="0.3">
      <c r="A474" s="3" t="str">
        <f t="shared" si="21"/>
        <v>C473</v>
      </c>
      <c r="B474" s="3" t="str">
        <f t="shared" ca="1" si="22"/>
        <v>Pharma</v>
      </c>
      <c r="C474" s="3">
        <v>209</v>
      </c>
      <c r="D474" s="3">
        <v>5.0999999999999996</v>
      </c>
      <c r="E474" s="3">
        <v>3.4</v>
      </c>
      <c r="F474" s="3">
        <v>1.8</v>
      </c>
      <c r="G474" s="3" t="s">
        <v>13</v>
      </c>
      <c r="H474" s="12">
        <v>0</v>
      </c>
      <c r="I474" s="14">
        <v>0.33045134907543794</v>
      </c>
      <c r="J474" s="9" t="str">
        <f t="shared" si="23"/>
        <v>Train</v>
      </c>
    </row>
    <row r="475" spans="1:10" x14ac:dyDescent="0.3">
      <c r="A475" s="3" t="str">
        <f t="shared" si="21"/>
        <v>C474</v>
      </c>
      <c r="B475" s="3" t="str">
        <f t="shared" ca="1" si="22"/>
        <v>IT Services</v>
      </c>
      <c r="C475" s="3">
        <v>247</v>
      </c>
      <c r="D475" s="3">
        <v>7</v>
      </c>
      <c r="E475" s="3">
        <v>5.6</v>
      </c>
      <c r="F475" s="3">
        <v>2.5</v>
      </c>
      <c r="G475" s="3" t="s">
        <v>9</v>
      </c>
      <c r="H475" s="12">
        <v>0</v>
      </c>
      <c r="I475" s="14">
        <v>0.10000663611332705</v>
      </c>
      <c r="J475" s="9" t="str">
        <f t="shared" si="23"/>
        <v>Train</v>
      </c>
    </row>
    <row r="476" spans="1:10" x14ac:dyDescent="0.3">
      <c r="A476" s="3" t="str">
        <f t="shared" si="21"/>
        <v>C475</v>
      </c>
      <c r="B476" s="3" t="str">
        <f t="shared" ca="1" si="22"/>
        <v>Transportation</v>
      </c>
      <c r="C476" s="3">
        <v>183</v>
      </c>
      <c r="D476" s="3">
        <v>6.3</v>
      </c>
      <c r="E476" s="3">
        <v>5.4</v>
      </c>
      <c r="F476" s="3">
        <v>0.9</v>
      </c>
      <c r="G476" s="3" t="s">
        <v>9</v>
      </c>
      <c r="H476" s="12">
        <v>0</v>
      </c>
      <c r="I476" s="14">
        <v>0.48044052623095879</v>
      </c>
      <c r="J476" s="9" t="str">
        <f t="shared" si="23"/>
        <v>Train</v>
      </c>
    </row>
    <row r="477" spans="1:10" x14ac:dyDescent="0.3">
      <c r="A477" s="3" t="str">
        <f t="shared" si="21"/>
        <v>C476</v>
      </c>
      <c r="B477" s="3" t="str">
        <f t="shared" ca="1" si="22"/>
        <v>Transportation</v>
      </c>
      <c r="C477" s="3">
        <v>82</v>
      </c>
      <c r="D477" s="3">
        <v>7.3</v>
      </c>
      <c r="E477" s="3">
        <v>1.4</v>
      </c>
      <c r="F477" s="3">
        <v>1.1000000000000001</v>
      </c>
      <c r="G477" s="3" t="s">
        <v>9</v>
      </c>
      <c r="H477" s="12">
        <v>0</v>
      </c>
      <c r="I477" s="14">
        <v>0.73625208703844036</v>
      </c>
      <c r="J477" s="9" t="str">
        <f t="shared" si="23"/>
        <v>Test</v>
      </c>
    </row>
    <row r="478" spans="1:10" x14ac:dyDescent="0.3">
      <c r="A478" s="3" t="str">
        <f t="shared" si="21"/>
        <v>C477</v>
      </c>
      <c r="B478" s="3" t="str">
        <f t="shared" ca="1" si="22"/>
        <v>Manufacturing</v>
      </c>
      <c r="C478" s="3">
        <v>84</v>
      </c>
      <c r="D478" s="3">
        <v>3.9</v>
      </c>
      <c r="E478" s="3">
        <v>3.3</v>
      </c>
      <c r="F478" s="3">
        <v>2.7</v>
      </c>
      <c r="G478" s="3" t="s">
        <v>7</v>
      </c>
      <c r="H478" s="12">
        <v>0</v>
      </c>
      <c r="I478" s="14">
        <v>0.37106587780291544</v>
      </c>
      <c r="J478" s="9" t="str">
        <f t="shared" si="23"/>
        <v>Train</v>
      </c>
    </row>
    <row r="479" spans="1:10" x14ac:dyDescent="0.3">
      <c r="A479" s="3" t="str">
        <f t="shared" si="21"/>
        <v>C478</v>
      </c>
      <c r="B479" s="3" t="str">
        <f t="shared" ca="1" si="22"/>
        <v>Retail</v>
      </c>
      <c r="C479" s="3">
        <v>195</v>
      </c>
      <c r="D479" s="3">
        <v>6.3</v>
      </c>
      <c r="E479" s="3">
        <v>9.6999999999999993</v>
      </c>
      <c r="F479" s="3">
        <v>2</v>
      </c>
      <c r="G479" s="3" t="s">
        <v>9</v>
      </c>
      <c r="H479" s="12">
        <v>0</v>
      </c>
      <c r="I479" s="14">
        <v>0.52714767263503981</v>
      </c>
      <c r="J479" s="9" t="str">
        <f t="shared" si="23"/>
        <v>Train</v>
      </c>
    </row>
    <row r="480" spans="1:10" x14ac:dyDescent="0.3">
      <c r="A480" s="3" t="str">
        <f t="shared" si="21"/>
        <v>C479</v>
      </c>
      <c r="B480" s="3" t="str">
        <f t="shared" ca="1" si="22"/>
        <v>IT Services</v>
      </c>
      <c r="C480" s="3">
        <v>298</v>
      </c>
      <c r="D480" s="3">
        <v>1.1000000000000001</v>
      </c>
      <c r="E480" s="3">
        <v>1</v>
      </c>
      <c r="F480" s="3">
        <v>0.6</v>
      </c>
      <c r="G480" s="3" t="s">
        <v>11</v>
      </c>
      <c r="H480" s="12">
        <v>0</v>
      </c>
      <c r="I480" s="14">
        <v>0.16700950955139415</v>
      </c>
      <c r="J480" s="9" t="str">
        <f t="shared" si="23"/>
        <v>Train</v>
      </c>
    </row>
    <row r="481" spans="1:10" x14ac:dyDescent="0.3">
      <c r="A481" s="3" t="str">
        <f t="shared" si="21"/>
        <v>C480</v>
      </c>
      <c r="B481" s="3" t="str">
        <f t="shared" ca="1" si="22"/>
        <v>Manufacturing</v>
      </c>
      <c r="C481" s="3">
        <v>157</v>
      </c>
      <c r="D481" s="3">
        <v>2.4</v>
      </c>
      <c r="E481" s="3">
        <v>7.7</v>
      </c>
      <c r="F481" s="3">
        <v>2.5</v>
      </c>
      <c r="G481" s="3" t="s">
        <v>7</v>
      </c>
      <c r="H481" s="12">
        <v>0</v>
      </c>
      <c r="I481" s="14">
        <v>0.83209102888637265</v>
      </c>
      <c r="J481" s="9" t="str">
        <f t="shared" si="23"/>
        <v>Test</v>
      </c>
    </row>
    <row r="482" spans="1:10" x14ac:dyDescent="0.3">
      <c r="A482" s="3" t="str">
        <f t="shared" si="21"/>
        <v>C481</v>
      </c>
      <c r="B482" s="3" t="str">
        <f t="shared" ca="1" si="22"/>
        <v>IT Services</v>
      </c>
      <c r="C482" s="3">
        <v>477</v>
      </c>
      <c r="D482" s="3">
        <v>1.9</v>
      </c>
      <c r="E482" s="3">
        <v>1.2</v>
      </c>
      <c r="F482" s="3">
        <v>0.9</v>
      </c>
      <c r="G482" s="3" t="s">
        <v>11</v>
      </c>
      <c r="H482" s="12">
        <v>0</v>
      </c>
      <c r="I482" s="14">
        <v>0.15331903606707764</v>
      </c>
      <c r="J482" s="9" t="str">
        <f t="shared" si="23"/>
        <v>Train</v>
      </c>
    </row>
    <row r="483" spans="1:10" x14ac:dyDescent="0.3">
      <c r="A483" s="3" t="str">
        <f t="shared" si="21"/>
        <v>C482</v>
      </c>
      <c r="B483" s="3" t="str">
        <f t="shared" ca="1" si="22"/>
        <v>Construction</v>
      </c>
      <c r="C483" s="3">
        <v>335</v>
      </c>
      <c r="D483" s="3">
        <v>7.4</v>
      </c>
      <c r="E483" s="3">
        <v>2.9</v>
      </c>
      <c r="F483" s="3">
        <v>1.5</v>
      </c>
      <c r="G483" s="3" t="s">
        <v>9</v>
      </c>
      <c r="H483" s="12">
        <v>0</v>
      </c>
      <c r="I483" s="14">
        <v>0.87008631478238396</v>
      </c>
      <c r="J483" s="9" t="str">
        <f t="shared" si="23"/>
        <v>Test</v>
      </c>
    </row>
    <row r="484" spans="1:10" x14ac:dyDescent="0.3">
      <c r="A484" s="3" t="str">
        <f t="shared" si="21"/>
        <v>C483</v>
      </c>
      <c r="B484" s="3" t="str">
        <f t="shared" ca="1" si="22"/>
        <v>Transportation</v>
      </c>
      <c r="C484" s="3">
        <v>134</v>
      </c>
      <c r="D484" s="3">
        <v>4.4000000000000004</v>
      </c>
      <c r="E484" s="3">
        <v>3.6</v>
      </c>
      <c r="F484" s="3">
        <v>1.2</v>
      </c>
      <c r="G484" s="3" t="s">
        <v>13</v>
      </c>
      <c r="H484" s="12">
        <v>0</v>
      </c>
      <c r="I484" s="14">
        <v>0.24859072741520094</v>
      </c>
      <c r="J484" s="9" t="str">
        <f t="shared" si="23"/>
        <v>Train</v>
      </c>
    </row>
    <row r="485" spans="1:10" x14ac:dyDescent="0.3">
      <c r="A485" s="3" t="str">
        <f t="shared" si="21"/>
        <v>C484</v>
      </c>
      <c r="B485" s="3" t="str">
        <f t="shared" ca="1" si="22"/>
        <v>Manufacturing</v>
      </c>
      <c r="C485" s="3">
        <v>179</v>
      </c>
      <c r="D485" s="3">
        <v>2.9</v>
      </c>
      <c r="E485" s="3">
        <v>6.2</v>
      </c>
      <c r="F485" s="3">
        <v>1.1000000000000001</v>
      </c>
      <c r="G485" s="3" t="s">
        <v>7</v>
      </c>
      <c r="H485" s="12">
        <v>0</v>
      </c>
      <c r="I485" s="14">
        <v>0.99812054408584527</v>
      </c>
      <c r="J485" s="9" t="str">
        <f t="shared" si="23"/>
        <v>Test</v>
      </c>
    </row>
    <row r="486" spans="1:10" x14ac:dyDescent="0.3">
      <c r="A486" s="3" t="str">
        <f t="shared" si="21"/>
        <v>C485</v>
      </c>
      <c r="B486" s="3" t="str">
        <f t="shared" ca="1" si="22"/>
        <v>Transportation</v>
      </c>
      <c r="C486" s="3">
        <v>200</v>
      </c>
      <c r="D486" s="3">
        <v>6.9</v>
      </c>
      <c r="E486" s="3">
        <v>3.5</v>
      </c>
      <c r="F486" s="3">
        <v>1.9</v>
      </c>
      <c r="G486" s="3" t="s">
        <v>9</v>
      </c>
      <c r="H486" s="12">
        <v>0</v>
      </c>
      <c r="I486" s="14">
        <v>0.95075940835713335</v>
      </c>
      <c r="J486" s="9" t="str">
        <f t="shared" si="23"/>
        <v>Test</v>
      </c>
    </row>
    <row r="487" spans="1:10" x14ac:dyDescent="0.3">
      <c r="A487" s="3" t="str">
        <f t="shared" si="21"/>
        <v>C486</v>
      </c>
      <c r="B487" s="3" t="str">
        <f t="shared" ca="1" si="22"/>
        <v>Construction</v>
      </c>
      <c r="C487" s="3">
        <v>77</v>
      </c>
      <c r="D487" s="3">
        <v>3.1</v>
      </c>
      <c r="E487" s="3">
        <v>5.3</v>
      </c>
      <c r="F487" s="3">
        <v>0.8</v>
      </c>
      <c r="G487" s="3" t="s">
        <v>7</v>
      </c>
      <c r="H487" s="12">
        <v>0</v>
      </c>
      <c r="I487" s="14">
        <v>0.13873001150948394</v>
      </c>
      <c r="J487" s="9" t="str">
        <f t="shared" si="23"/>
        <v>Train</v>
      </c>
    </row>
    <row r="488" spans="1:10" x14ac:dyDescent="0.3">
      <c r="A488" s="3" t="str">
        <f t="shared" si="21"/>
        <v>C487</v>
      </c>
      <c r="B488" s="3" t="str">
        <f t="shared" ca="1" si="22"/>
        <v>Retail</v>
      </c>
      <c r="C488" s="3">
        <v>178</v>
      </c>
      <c r="D488" s="3">
        <v>1.5</v>
      </c>
      <c r="E488" s="3">
        <v>5.4</v>
      </c>
      <c r="F488" s="3">
        <v>1.6</v>
      </c>
      <c r="G488" s="3" t="s">
        <v>11</v>
      </c>
      <c r="H488" s="12">
        <v>0</v>
      </c>
      <c r="I488" s="14">
        <v>0.54205013087516263</v>
      </c>
      <c r="J488" s="9" t="str">
        <f t="shared" si="23"/>
        <v>Train</v>
      </c>
    </row>
    <row r="489" spans="1:10" x14ac:dyDescent="0.3">
      <c r="A489" s="3" t="str">
        <f t="shared" si="21"/>
        <v>C488</v>
      </c>
      <c r="B489" s="3" t="str">
        <f t="shared" ca="1" si="22"/>
        <v>IT Services</v>
      </c>
      <c r="C489" s="3">
        <v>147</v>
      </c>
      <c r="D489" s="3">
        <v>1.4</v>
      </c>
      <c r="E489" s="3">
        <v>9.1999999999999993</v>
      </c>
      <c r="F489" s="3">
        <v>0.8</v>
      </c>
      <c r="G489" s="3" t="s">
        <v>11</v>
      </c>
      <c r="H489" s="12">
        <v>0</v>
      </c>
      <c r="I489" s="14">
        <v>0.20828753772878417</v>
      </c>
      <c r="J489" s="9" t="str">
        <f t="shared" si="23"/>
        <v>Train</v>
      </c>
    </row>
    <row r="490" spans="1:10" x14ac:dyDescent="0.3">
      <c r="A490" s="3" t="str">
        <f t="shared" si="21"/>
        <v>C489</v>
      </c>
      <c r="B490" s="3" t="str">
        <f t="shared" ca="1" si="22"/>
        <v>Construction</v>
      </c>
      <c r="C490" s="3">
        <v>196</v>
      </c>
      <c r="D490" s="3">
        <v>7.5</v>
      </c>
      <c r="E490" s="3">
        <v>4.4000000000000004</v>
      </c>
      <c r="F490" s="3">
        <v>2.9</v>
      </c>
      <c r="G490" s="3" t="s">
        <v>9</v>
      </c>
      <c r="H490" s="12">
        <v>0</v>
      </c>
      <c r="I490" s="14">
        <v>0.80603151450449084</v>
      </c>
      <c r="J490" s="9" t="str">
        <f t="shared" si="23"/>
        <v>Test</v>
      </c>
    </row>
    <row r="491" spans="1:10" x14ac:dyDescent="0.3">
      <c r="A491" s="3" t="str">
        <f t="shared" si="21"/>
        <v>C490</v>
      </c>
      <c r="B491" s="3" t="str">
        <f t="shared" ca="1" si="22"/>
        <v>Manufacturing</v>
      </c>
      <c r="C491" s="3">
        <v>190</v>
      </c>
      <c r="D491" s="3">
        <v>6.3</v>
      </c>
      <c r="E491" s="3">
        <v>1.9</v>
      </c>
      <c r="F491" s="3">
        <v>2.4</v>
      </c>
      <c r="G491" s="3" t="s">
        <v>9</v>
      </c>
      <c r="H491" s="12">
        <v>0</v>
      </c>
      <c r="I491" s="14">
        <v>0.3544634213661807</v>
      </c>
      <c r="J491" s="9" t="str">
        <f t="shared" si="23"/>
        <v>Train</v>
      </c>
    </row>
    <row r="492" spans="1:10" x14ac:dyDescent="0.3">
      <c r="A492" s="3" t="str">
        <f t="shared" si="21"/>
        <v>C491</v>
      </c>
      <c r="B492" s="3" t="str">
        <f t="shared" ca="1" si="22"/>
        <v>Manufacturing</v>
      </c>
      <c r="C492" s="3">
        <v>66</v>
      </c>
      <c r="D492" s="3">
        <v>3.1</v>
      </c>
      <c r="E492" s="3">
        <v>6.1</v>
      </c>
      <c r="F492" s="3">
        <v>0.5</v>
      </c>
      <c r="G492" s="3" t="s">
        <v>7</v>
      </c>
      <c r="H492" s="12">
        <v>0</v>
      </c>
      <c r="I492" s="14">
        <v>0.48998827728154959</v>
      </c>
      <c r="J492" s="9" t="str">
        <f t="shared" si="23"/>
        <v>Train</v>
      </c>
    </row>
    <row r="493" spans="1:10" x14ac:dyDescent="0.3">
      <c r="A493" s="3" t="str">
        <f t="shared" si="21"/>
        <v>C492</v>
      </c>
      <c r="B493" s="3" t="str">
        <f t="shared" ca="1" si="22"/>
        <v>Transportation</v>
      </c>
      <c r="C493" s="3">
        <v>401</v>
      </c>
      <c r="D493" s="3">
        <v>1.5</v>
      </c>
      <c r="E493" s="3">
        <v>6.1</v>
      </c>
      <c r="F493" s="3">
        <v>1.8</v>
      </c>
      <c r="G493" s="3" t="s">
        <v>11</v>
      </c>
      <c r="H493" s="12">
        <v>0</v>
      </c>
      <c r="I493" s="14">
        <v>0.89652351717313572</v>
      </c>
      <c r="J493" s="9" t="str">
        <f t="shared" si="23"/>
        <v>Test</v>
      </c>
    </row>
    <row r="494" spans="1:10" x14ac:dyDescent="0.3">
      <c r="A494" s="3" t="str">
        <f t="shared" si="21"/>
        <v>C493</v>
      </c>
      <c r="B494" s="3" t="str">
        <f t="shared" ca="1" si="22"/>
        <v>Manufacturing</v>
      </c>
      <c r="C494" s="3">
        <v>78</v>
      </c>
      <c r="D494" s="3">
        <v>3</v>
      </c>
      <c r="E494" s="3">
        <v>3.4</v>
      </c>
      <c r="F494" s="3">
        <v>1.2</v>
      </c>
      <c r="G494" s="3" t="s">
        <v>7</v>
      </c>
      <c r="H494" s="12">
        <v>0</v>
      </c>
      <c r="I494" s="14">
        <v>2.8791609978868427E-2</v>
      </c>
      <c r="J494" s="9" t="str">
        <f t="shared" si="23"/>
        <v>Train</v>
      </c>
    </row>
    <row r="495" spans="1:10" x14ac:dyDescent="0.3">
      <c r="A495" s="3" t="str">
        <f t="shared" si="21"/>
        <v>C494</v>
      </c>
      <c r="B495" s="3" t="str">
        <f t="shared" ca="1" si="22"/>
        <v>Manufacturing</v>
      </c>
      <c r="C495" s="3">
        <v>249</v>
      </c>
      <c r="D495" s="3">
        <v>4.5999999999999996</v>
      </c>
      <c r="E495" s="3">
        <v>1.7</v>
      </c>
      <c r="F495" s="3">
        <v>2.5</v>
      </c>
      <c r="G495" s="3" t="s">
        <v>13</v>
      </c>
      <c r="H495" s="12">
        <v>0</v>
      </c>
      <c r="I495" s="14">
        <v>0.13798228469935714</v>
      </c>
      <c r="J495" s="9" t="str">
        <f t="shared" si="23"/>
        <v>Train</v>
      </c>
    </row>
    <row r="496" spans="1:10" x14ac:dyDescent="0.3">
      <c r="A496" s="3" t="str">
        <f t="shared" si="21"/>
        <v>C495</v>
      </c>
      <c r="B496" s="3" t="str">
        <f t="shared" ca="1" si="22"/>
        <v>Pharma</v>
      </c>
      <c r="C496" s="3">
        <v>453</v>
      </c>
      <c r="D496" s="3">
        <v>6.2</v>
      </c>
      <c r="E496" s="3">
        <v>8</v>
      </c>
      <c r="F496" s="3">
        <v>1.3</v>
      </c>
      <c r="G496" s="3" t="s">
        <v>9</v>
      </c>
      <c r="H496" s="12">
        <v>0</v>
      </c>
      <c r="I496" s="14">
        <v>0.19778048435555617</v>
      </c>
      <c r="J496" s="9" t="str">
        <f t="shared" si="23"/>
        <v>Train</v>
      </c>
    </row>
    <row r="497" spans="1:10" x14ac:dyDescent="0.3">
      <c r="A497" s="3" t="str">
        <f t="shared" si="21"/>
        <v>C496</v>
      </c>
      <c r="B497" s="3" t="str">
        <f t="shared" ca="1" si="22"/>
        <v>Construction</v>
      </c>
      <c r="C497" s="3">
        <v>247</v>
      </c>
      <c r="D497" s="3">
        <v>5.7</v>
      </c>
      <c r="E497" s="3">
        <v>4.3</v>
      </c>
      <c r="F497" s="3">
        <v>2.2999999999999998</v>
      </c>
      <c r="G497" s="3" t="s">
        <v>13</v>
      </c>
      <c r="H497" s="12">
        <v>0</v>
      </c>
      <c r="I497" s="14">
        <v>0.94818218032765011</v>
      </c>
      <c r="J497" s="9" t="str">
        <f t="shared" si="23"/>
        <v>Test</v>
      </c>
    </row>
    <row r="498" spans="1:10" x14ac:dyDescent="0.3">
      <c r="A498" s="3" t="str">
        <f t="shared" si="21"/>
        <v>C497</v>
      </c>
      <c r="B498" s="3" t="str">
        <f t="shared" ca="1" si="22"/>
        <v>Pharma</v>
      </c>
      <c r="C498" s="3">
        <v>206</v>
      </c>
      <c r="D498" s="3">
        <v>3.4</v>
      </c>
      <c r="E498" s="3">
        <v>7.6</v>
      </c>
      <c r="F498" s="3">
        <v>2.4</v>
      </c>
      <c r="G498" s="3" t="s">
        <v>7</v>
      </c>
      <c r="H498" s="12">
        <v>0</v>
      </c>
      <c r="I498" s="14">
        <v>0.88145026621657951</v>
      </c>
      <c r="J498" s="9" t="str">
        <f t="shared" si="23"/>
        <v>Test</v>
      </c>
    </row>
    <row r="499" spans="1:10" x14ac:dyDescent="0.3">
      <c r="A499" s="3" t="str">
        <f t="shared" si="21"/>
        <v>C498</v>
      </c>
      <c r="B499" s="3" t="str">
        <f t="shared" ca="1" si="22"/>
        <v>Construction</v>
      </c>
      <c r="C499" s="3">
        <v>165</v>
      </c>
      <c r="D499" s="3">
        <v>3.2</v>
      </c>
      <c r="E499" s="3">
        <v>2.5</v>
      </c>
      <c r="F499" s="3">
        <v>2.6</v>
      </c>
      <c r="G499" s="3" t="s">
        <v>7</v>
      </c>
      <c r="H499" s="12">
        <v>0</v>
      </c>
      <c r="I499" s="14">
        <v>0.46107709986623091</v>
      </c>
      <c r="J499" s="9" t="str">
        <f t="shared" si="23"/>
        <v>Train</v>
      </c>
    </row>
    <row r="500" spans="1:10" x14ac:dyDescent="0.3">
      <c r="A500" s="3" t="str">
        <f t="shared" si="21"/>
        <v>C499</v>
      </c>
      <c r="B500" s="3" t="str">
        <f t="shared" ca="1" si="22"/>
        <v>Manufacturing</v>
      </c>
      <c r="C500" s="3">
        <v>407</v>
      </c>
      <c r="D500" s="3">
        <v>7.3</v>
      </c>
      <c r="E500" s="3">
        <v>7</v>
      </c>
      <c r="F500" s="3">
        <v>1</v>
      </c>
      <c r="G500" s="3" t="s">
        <v>9</v>
      </c>
      <c r="H500" s="12">
        <v>0</v>
      </c>
      <c r="I500" s="14">
        <v>0.7517236528843384</v>
      </c>
      <c r="J500" s="9" t="str">
        <f t="shared" si="23"/>
        <v>Test</v>
      </c>
    </row>
    <row r="501" spans="1:10" x14ac:dyDescent="0.3">
      <c r="A501" s="3" t="str">
        <f t="shared" si="21"/>
        <v>C500</v>
      </c>
      <c r="B501" s="3" t="str">
        <f t="shared" ca="1" si="22"/>
        <v>IT Services</v>
      </c>
      <c r="C501" s="3">
        <v>201</v>
      </c>
      <c r="D501" s="3">
        <v>2.9</v>
      </c>
      <c r="E501" s="3">
        <v>6.5</v>
      </c>
      <c r="F501" s="3">
        <v>2.2000000000000002</v>
      </c>
      <c r="G501" s="3" t="s">
        <v>7</v>
      </c>
      <c r="H501" s="12">
        <v>0</v>
      </c>
      <c r="I501" s="14">
        <v>0.37483210255057064</v>
      </c>
      <c r="J501" s="9" t="str">
        <f t="shared" si="23"/>
        <v>Train</v>
      </c>
    </row>
    <row r="502" spans="1:10" x14ac:dyDescent="0.3">
      <c r="A502" s="3" t="str">
        <f t="shared" si="21"/>
        <v>C501</v>
      </c>
      <c r="B502" s="3" t="str">
        <f t="shared" ca="1" si="22"/>
        <v>Pharma</v>
      </c>
      <c r="C502" s="3">
        <v>193</v>
      </c>
      <c r="D502" s="3">
        <v>5.7</v>
      </c>
      <c r="E502" s="3">
        <v>5.4</v>
      </c>
      <c r="F502" s="3">
        <v>0.8</v>
      </c>
      <c r="G502" s="3" t="s">
        <v>13</v>
      </c>
      <c r="H502" s="12">
        <v>0</v>
      </c>
      <c r="I502" s="14">
        <v>4.9331711062296613E-2</v>
      </c>
      <c r="J502" s="9" t="str">
        <f t="shared" si="23"/>
        <v>Train</v>
      </c>
    </row>
    <row r="503" spans="1:10" x14ac:dyDescent="0.3">
      <c r="A503" s="3" t="str">
        <f t="shared" si="21"/>
        <v>C502</v>
      </c>
      <c r="B503" s="3" t="str">
        <f t="shared" ca="1" si="22"/>
        <v>Retail</v>
      </c>
      <c r="C503" s="3">
        <v>50</v>
      </c>
      <c r="D503" s="3">
        <v>1.5</v>
      </c>
      <c r="E503" s="3">
        <v>2.2999999999999998</v>
      </c>
      <c r="F503" s="3">
        <v>0.8</v>
      </c>
      <c r="G503" s="3" t="s">
        <v>11</v>
      </c>
      <c r="H503" s="12">
        <v>0</v>
      </c>
      <c r="I503" s="14">
        <v>0.5762905056766231</v>
      </c>
      <c r="J503" s="9" t="str">
        <f t="shared" si="23"/>
        <v>Train</v>
      </c>
    </row>
    <row r="504" spans="1:10" x14ac:dyDescent="0.3">
      <c r="A504" s="3" t="str">
        <f t="shared" si="21"/>
        <v>C503</v>
      </c>
      <c r="B504" s="3" t="str">
        <f t="shared" ca="1" si="22"/>
        <v>Retail</v>
      </c>
      <c r="C504" s="3">
        <v>136</v>
      </c>
      <c r="D504" s="3">
        <v>4.8</v>
      </c>
      <c r="E504" s="3">
        <v>8.1</v>
      </c>
      <c r="F504" s="3">
        <v>1.6</v>
      </c>
      <c r="G504" s="3" t="s">
        <v>13</v>
      </c>
      <c r="H504" s="12">
        <v>0</v>
      </c>
      <c r="I504" s="14">
        <v>0.38300454025488218</v>
      </c>
      <c r="J504" s="9" t="str">
        <f t="shared" si="23"/>
        <v>Train</v>
      </c>
    </row>
    <row r="505" spans="1:10" x14ac:dyDescent="0.3">
      <c r="A505" s="3" t="str">
        <f t="shared" si="21"/>
        <v>C504</v>
      </c>
      <c r="B505" s="3" t="str">
        <f t="shared" ca="1" si="22"/>
        <v>Pharma</v>
      </c>
      <c r="C505" s="3">
        <v>471</v>
      </c>
      <c r="D505" s="3">
        <v>4.9000000000000004</v>
      </c>
      <c r="E505" s="3">
        <v>8.6999999999999993</v>
      </c>
      <c r="F505" s="3">
        <v>2.9</v>
      </c>
      <c r="G505" s="3" t="s">
        <v>13</v>
      </c>
      <c r="H505" s="12">
        <v>0</v>
      </c>
      <c r="I505" s="14">
        <v>0.2909362539934488</v>
      </c>
      <c r="J505" s="9" t="str">
        <f t="shared" si="23"/>
        <v>Train</v>
      </c>
    </row>
    <row r="506" spans="1:10" x14ac:dyDescent="0.3">
      <c r="A506" s="3" t="str">
        <f t="shared" si="21"/>
        <v>C505</v>
      </c>
      <c r="B506" s="3" t="str">
        <f t="shared" ca="1" si="22"/>
        <v>Pharma</v>
      </c>
      <c r="C506" s="3">
        <v>110</v>
      </c>
      <c r="D506" s="3">
        <v>4.2</v>
      </c>
      <c r="E506" s="3">
        <v>2.7</v>
      </c>
      <c r="F506" s="3">
        <v>2.6</v>
      </c>
      <c r="G506" s="3" t="s">
        <v>13</v>
      </c>
      <c r="H506" s="12">
        <v>0</v>
      </c>
      <c r="I506" s="14">
        <v>0.17012838693178334</v>
      </c>
      <c r="J506" s="9" t="str">
        <f t="shared" si="23"/>
        <v>Train</v>
      </c>
    </row>
    <row r="507" spans="1:10" x14ac:dyDescent="0.3">
      <c r="A507" s="3" t="str">
        <f t="shared" si="21"/>
        <v>C506</v>
      </c>
      <c r="B507" s="3" t="str">
        <f t="shared" ca="1" si="22"/>
        <v>Construction</v>
      </c>
      <c r="C507" s="3">
        <v>439</v>
      </c>
      <c r="D507" s="3">
        <v>3.7</v>
      </c>
      <c r="E507" s="3">
        <v>5</v>
      </c>
      <c r="F507" s="3">
        <v>1.7</v>
      </c>
      <c r="G507" s="3" t="s">
        <v>7</v>
      </c>
      <c r="H507" s="12">
        <v>0</v>
      </c>
      <c r="I507" s="14">
        <v>3.1899513436352889E-2</v>
      </c>
      <c r="J507" s="9" t="str">
        <f t="shared" si="23"/>
        <v>Train</v>
      </c>
    </row>
    <row r="508" spans="1:10" x14ac:dyDescent="0.3">
      <c r="A508" s="3" t="str">
        <f t="shared" si="21"/>
        <v>C507</v>
      </c>
      <c r="B508" s="3" t="str">
        <f t="shared" ca="1" si="22"/>
        <v>Construction</v>
      </c>
      <c r="C508" s="3">
        <v>408</v>
      </c>
      <c r="D508" s="3">
        <v>7.4</v>
      </c>
      <c r="E508" s="3">
        <v>1.9</v>
      </c>
      <c r="F508" s="3">
        <v>1</v>
      </c>
      <c r="G508" s="3" t="s">
        <v>9</v>
      </c>
      <c r="H508" s="12">
        <v>0</v>
      </c>
      <c r="I508" s="14">
        <v>0.58022860703933643</v>
      </c>
      <c r="J508" s="9" t="str">
        <f t="shared" si="23"/>
        <v>Train</v>
      </c>
    </row>
    <row r="509" spans="1:10" x14ac:dyDescent="0.3">
      <c r="A509" s="3" t="str">
        <f t="shared" si="21"/>
        <v>C508</v>
      </c>
      <c r="B509" s="3" t="str">
        <f t="shared" ca="1" si="22"/>
        <v>IT Services</v>
      </c>
      <c r="C509" s="3">
        <v>130</v>
      </c>
      <c r="D509" s="3">
        <v>2.5</v>
      </c>
      <c r="E509" s="3">
        <v>7.9</v>
      </c>
      <c r="F509" s="3">
        <v>2.6</v>
      </c>
      <c r="G509" s="3" t="s">
        <v>7</v>
      </c>
      <c r="H509" s="12">
        <v>0</v>
      </c>
      <c r="I509" s="14">
        <v>0.59297454014997475</v>
      </c>
      <c r="J509" s="9" t="str">
        <f t="shared" si="23"/>
        <v>Train</v>
      </c>
    </row>
    <row r="510" spans="1:10" x14ac:dyDescent="0.3">
      <c r="A510" s="3" t="str">
        <f t="shared" si="21"/>
        <v>C509</v>
      </c>
      <c r="B510" s="3" t="str">
        <f t="shared" ca="1" si="22"/>
        <v>Pharma</v>
      </c>
      <c r="C510" s="3">
        <v>350</v>
      </c>
      <c r="D510" s="3">
        <v>1</v>
      </c>
      <c r="E510" s="3">
        <v>7.5</v>
      </c>
      <c r="F510" s="3">
        <v>2.2000000000000002</v>
      </c>
      <c r="G510" s="3" t="s">
        <v>11</v>
      </c>
      <c r="H510" s="12">
        <v>0</v>
      </c>
      <c r="I510" s="14">
        <v>0.89716633759881881</v>
      </c>
      <c r="J510" s="9" t="str">
        <f t="shared" si="23"/>
        <v>Test</v>
      </c>
    </row>
    <row r="511" spans="1:10" x14ac:dyDescent="0.3">
      <c r="A511" s="3" t="str">
        <f t="shared" si="21"/>
        <v>C510</v>
      </c>
      <c r="B511" s="3" t="str">
        <f t="shared" ca="1" si="22"/>
        <v>Transportation</v>
      </c>
      <c r="C511" s="3">
        <v>227</v>
      </c>
      <c r="D511" s="3">
        <v>5.9</v>
      </c>
      <c r="E511" s="3">
        <v>3.1</v>
      </c>
      <c r="F511" s="3">
        <v>1.2</v>
      </c>
      <c r="G511" s="3" t="s">
        <v>13</v>
      </c>
      <c r="H511" s="12">
        <v>0</v>
      </c>
      <c r="I511" s="14">
        <v>0.87332073356063455</v>
      </c>
      <c r="J511" s="9" t="str">
        <f t="shared" si="23"/>
        <v>Test</v>
      </c>
    </row>
    <row r="512" spans="1:10" x14ac:dyDescent="0.3">
      <c r="A512" s="3" t="str">
        <f t="shared" si="21"/>
        <v>C511</v>
      </c>
      <c r="B512" s="3" t="str">
        <f t="shared" ca="1" si="22"/>
        <v>IT Services</v>
      </c>
      <c r="C512" s="3">
        <v>81</v>
      </c>
      <c r="D512" s="3">
        <v>3.2</v>
      </c>
      <c r="E512" s="3">
        <v>8.6999999999999993</v>
      </c>
      <c r="F512" s="3">
        <v>2.4</v>
      </c>
      <c r="G512" s="3" t="s">
        <v>7</v>
      </c>
      <c r="H512" s="12">
        <v>0</v>
      </c>
      <c r="I512" s="14">
        <v>0.22271602678921609</v>
      </c>
      <c r="J512" s="9" t="str">
        <f t="shared" si="23"/>
        <v>Train</v>
      </c>
    </row>
    <row r="513" spans="1:10" x14ac:dyDescent="0.3">
      <c r="A513" s="3" t="str">
        <f t="shared" si="21"/>
        <v>C512</v>
      </c>
      <c r="B513" s="3" t="str">
        <f t="shared" ca="1" si="22"/>
        <v>IT Services</v>
      </c>
      <c r="C513" s="3">
        <v>448</v>
      </c>
      <c r="D513" s="3">
        <v>8</v>
      </c>
      <c r="E513" s="3">
        <v>9</v>
      </c>
      <c r="F513" s="3">
        <v>0.7</v>
      </c>
      <c r="G513" s="3" t="s">
        <v>9</v>
      </c>
      <c r="H513" s="12">
        <v>0</v>
      </c>
      <c r="I513" s="14">
        <v>0.69268649954788253</v>
      </c>
      <c r="J513" s="9" t="str">
        <f t="shared" si="23"/>
        <v>Train</v>
      </c>
    </row>
    <row r="514" spans="1:10" x14ac:dyDescent="0.3">
      <c r="A514" s="3" t="str">
        <f t="shared" si="21"/>
        <v>C513</v>
      </c>
      <c r="B514" s="3" t="str">
        <f t="shared" ca="1" si="22"/>
        <v>Pharma</v>
      </c>
      <c r="C514" s="3">
        <v>385</v>
      </c>
      <c r="D514" s="3">
        <v>5.9</v>
      </c>
      <c r="E514" s="3">
        <v>1.4</v>
      </c>
      <c r="F514" s="3">
        <v>1.5</v>
      </c>
      <c r="G514" s="3" t="s">
        <v>13</v>
      </c>
      <c r="H514" s="12">
        <v>0</v>
      </c>
      <c r="I514" s="14">
        <v>0.64061447844979902</v>
      </c>
      <c r="J514" s="9" t="str">
        <f t="shared" si="23"/>
        <v>Train</v>
      </c>
    </row>
    <row r="515" spans="1:10" x14ac:dyDescent="0.3">
      <c r="A515" s="3" t="str">
        <f t="shared" ref="A515:A578" si="24">"C"&amp;TEXT(ROW()-1,"000")</f>
        <v>C514</v>
      </c>
      <c r="B515" s="3" t="str">
        <f t="shared" ref="B515:B578" ca="1" si="25">CHOOSE(RANDBETWEEN(1,6),
"Manufacturing",
"Retail",
"Pharma",
"Construction",
"Transportation",
"IT Services")</f>
        <v>Retail</v>
      </c>
      <c r="C515" s="3">
        <v>332</v>
      </c>
      <c r="D515" s="3">
        <v>7.3</v>
      </c>
      <c r="E515" s="3">
        <v>2.9</v>
      </c>
      <c r="F515" s="3">
        <v>1.6</v>
      </c>
      <c r="G515" s="3" t="s">
        <v>9</v>
      </c>
      <c r="H515" s="12">
        <v>0</v>
      </c>
      <c r="I515" s="14">
        <v>0.39407929195950153</v>
      </c>
      <c r="J515" s="9" t="str">
        <f t="shared" ref="J515:J578" si="26">IF(I515&lt;=0.7,"Train","Test")</f>
        <v>Train</v>
      </c>
    </row>
    <row r="516" spans="1:10" x14ac:dyDescent="0.3">
      <c r="A516" s="3" t="str">
        <f t="shared" si="24"/>
        <v>C515</v>
      </c>
      <c r="B516" s="3" t="str">
        <f t="shared" ca="1" si="25"/>
        <v>Transportation</v>
      </c>
      <c r="C516" s="3">
        <v>430</v>
      </c>
      <c r="D516" s="3">
        <v>0.6</v>
      </c>
      <c r="E516" s="3">
        <v>8.3000000000000007</v>
      </c>
      <c r="F516" s="3">
        <v>1.2</v>
      </c>
      <c r="G516" s="3" t="s">
        <v>11</v>
      </c>
      <c r="H516" s="12">
        <v>0</v>
      </c>
      <c r="I516" s="14">
        <v>0.90484928368949702</v>
      </c>
      <c r="J516" s="9" t="str">
        <f t="shared" si="26"/>
        <v>Test</v>
      </c>
    </row>
    <row r="517" spans="1:10" x14ac:dyDescent="0.3">
      <c r="A517" s="3" t="str">
        <f t="shared" si="24"/>
        <v>C516</v>
      </c>
      <c r="B517" s="3" t="str">
        <f t="shared" ca="1" si="25"/>
        <v>Pharma</v>
      </c>
      <c r="C517" s="3">
        <v>330</v>
      </c>
      <c r="D517" s="3">
        <v>1.2</v>
      </c>
      <c r="E517" s="3">
        <v>3.1</v>
      </c>
      <c r="F517" s="3">
        <v>0.7</v>
      </c>
      <c r="G517" s="3" t="s">
        <v>11</v>
      </c>
      <c r="H517" s="12">
        <v>0</v>
      </c>
      <c r="I517" s="14">
        <v>0.11652343948823496</v>
      </c>
      <c r="J517" s="9" t="str">
        <f t="shared" si="26"/>
        <v>Train</v>
      </c>
    </row>
    <row r="518" spans="1:10" x14ac:dyDescent="0.3">
      <c r="A518" s="3" t="str">
        <f t="shared" si="24"/>
        <v>C517</v>
      </c>
      <c r="B518" s="3" t="str">
        <f t="shared" ca="1" si="25"/>
        <v>IT Services</v>
      </c>
      <c r="C518" s="3">
        <v>222</v>
      </c>
      <c r="D518" s="3">
        <v>2.1</v>
      </c>
      <c r="E518" s="3">
        <v>7.1</v>
      </c>
      <c r="F518" s="3">
        <v>1.6</v>
      </c>
      <c r="G518" s="3" t="s">
        <v>7</v>
      </c>
      <c r="H518" s="12">
        <v>0</v>
      </c>
      <c r="I518" s="14">
        <v>0.84061001301476768</v>
      </c>
      <c r="J518" s="9" t="str">
        <f t="shared" si="26"/>
        <v>Test</v>
      </c>
    </row>
    <row r="519" spans="1:10" x14ac:dyDescent="0.3">
      <c r="A519" s="3" t="str">
        <f t="shared" si="24"/>
        <v>C518</v>
      </c>
      <c r="B519" s="3" t="str">
        <f t="shared" ca="1" si="25"/>
        <v>Transportation</v>
      </c>
      <c r="C519" s="3">
        <v>435</v>
      </c>
      <c r="D519" s="3">
        <v>7.2</v>
      </c>
      <c r="E519" s="3">
        <v>5.7</v>
      </c>
      <c r="F519" s="3">
        <v>0.8</v>
      </c>
      <c r="G519" s="3" t="s">
        <v>9</v>
      </c>
      <c r="H519" s="12">
        <v>0</v>
      </c>
      <c r="I519" s="14">
        <v>1.0223492777551968E-2</v>
      </c>
      <c r="J519" s="9" t="str">
        <f t="shared" si="26"/>
        <v>Train</v>
      </c>
    </row>
    <row r="520" spans="1:10" x14ac:dyDescent="0.3">
      <c r="A520" s="3" t="str">
        <f t="shared" si="24"/>
        <v>C519</v>
      </c>
      <c r="B520" s="3" t="str">
        <f t="shared" ca="1" si="25"/>
        <v>Retail</v>
      </c>
      <c r="C520" s="3">
        <v>226</v>
      </c>
      <c r="D520" s="3">
        <v>4.8</v>
      </c>
      <c r="E520" s="3">
        <v>1.4</v>
      </c>
      <c r="F520" s="3">
        <v>2</v>
      </c>
      <c r="G520" s="3" t="s">
        <v>13</v>
      </c>
      <c r="H520" s="12">
        <v>0</v>
      </c>
      <c r="I520" s="14">
        <v>0.91750500790147105</v>
      </c>
      <c r="J520" s="9" t="str">
        <f t="shared" si="26"/>
        <v>Test</v>
      </c>
    </row>
    <row r="521" spans="1:10" x14ac:dyDescent="0.3">
      <c r="A521" s="3" t="str">
        <f t="shared" si="24"/>
        <v>C520</v>
      </c>
      <c r="B521" s="3" t="str">
        <f t="shared" ca="1" si="25"/>
        <v>Pharma</v>
      </c>
      <c r="C521" s="3">
        <v>132</v>
      </c>
      <c r="D521" s="3">
        <v>2.4</v>
      </c>
      <c r="E521" s="3">
        <v>3.2</v>
      </c>
      <c r="F521" s="3">
        <v>1.1000000000000001</v>
      </c>
      <c r="G521" s="3" t="s">
        <v>7</v>
      </c>
      <c r="H521" s="12">
        <v>0</v>
      </c>
      <c r="I521" s="14">
        <v>0.52566783376352244</v>
      </c>
      <c r="J521" s="9" t="str">
        <f t="shared" si="26"/>
        <v>Train</v>
      </c>
    </row>
    <row r="522" spans="1:10" x14ac:dyDescent="0.3">
      <c r="A522" s="3" t="str">
        <f t="shared" si="24"/>
        <v>C521</v>
      </c>
      <c r="B522" s="3" t="str">
        <f t="shared" ca="1" si="25"/>
        <v>Construction</v>
      </c>
      <c r="C522" s="3">
        <v>432</v>
      </c>
      <c r="D522" s="3">
        <v>2.5</v>
      </c>
      <c r="E522" s="3">
        <v>5.3</v>
      </c>
      <c r="F522" s="3">
        <v>3</v>
      </c>
      <c r="G522" s="3" t="s">
        <v>7</v>
      </c>
      <c r="H522" s="12">
        <v>0</v>
      </c>
      <c r="I522" s="14">
        <v>0.32191611217941429</v>
      </c>
      <c r="J522" s="9" t="str">
        <f t="shared" si="26"/>
        <v>Train</v>
      </c>
    </row>
    <row r="523" spans="1:10" x14ac:dyDescent="0.3">
      <c r="A523" s="3" t="str">
        <f t="shared" si="24"/>
        <v>C522</v>
      </c>
      <c r="B523" s="3" t="str">
        <f t="shared" ca="1" si="25"/>
        <v>Construction</v>
      </c>
      <c r="C523" s="3">
        <v>146</v>
      </c>
      <c r="D523" s="3">
        <v>6.3</v>
      </c>
      <c r="E523" s="3">
        <v>2.5</v>
      </c>
      <c r="F523" s="3">
        <v>1.5</v>
      </c>
      <c r="G523" s="3" t="s">
        <v>9</v>
      </c>
      <c r="H523" s="12">
        <v>0</v>
      </c>
      <c r="I523" s="14">
        <v>0.59473881831784781</v>
      </c>
      <c r="J523" s="9" t="str">
        <f t="shared" si="26"/>
        <v>Train</v>
      </c>
    </row>
    <row r="524" spans="1:10" x14ac:dyDescent="0.3">
      <c r="A524" s="3" t="str">
        <f t="shared" si="24"/>
        <v>C523</v>
      </c>
      <c r="B524" s="3" t="str">
        <f t="shared" ca="1" si="25"/>
        <v>Retail</v>
      </c>
      <c r="C524" s="3">
        <v>305</v>
      </c>
      <c r="D524" s="3">
        <v>2.5</v>
      </c>
      <c r="E524" s="3">
        <v>6.9</v>
      </c>
      <c r="F524" s="3">
        <v>1.3</v>
      </c>
      <c r="G524" s="3" t="s">
        <v>7</v>
      </c>
      <c r="H524" s="12">
        <v>0</v>
      </c>
      <c r="I524" s="14">
        <v>0.45650221818087255</v>
      </c>
      <c r="J524" s="9" t="str">
        <f t="shared" si="26"/>
        <v>Train</v>
      </c>
    </row>
    <row r="525" spans="1:10" x14ac:dyDescent="0.3">
      <c r="A525" s="3" t="str">
        <f t="shared" si="24"/>
        <v>C524</v>
      </c>
      <c r="B525" s="3" t="str">
        <f t="shared" ca="1" si="25"/>
        <v>Manufacturing</v>
      </c>
      <c r="C525" s="3">
        <v>401</v>
      </c>
      <c r="D525" s="3">
        <v>4.8</v>
      </c>
      <c r="E525" s="3">
        <v>1.4</v>
      </c>
      <c r="F525" s="3">
        <v>1.7</v>
      </c>
      <c r="G525" s="3" t="s">
        <v>13</v>
      </c>
      <c r="H525" s="12">
        <v>0</v>
      </c>
      <c r="I525" s="14">
        <v>0.50210543028966148</v>
      </c>
      <c r="J525" s="9" t="str">
        <f t="shared" si="26"/>
        <v>Train</v>
      </c>
    </row>
    <row r="526" spans="1:10" x14ac:dyDescent="0.3">
      <c r="A526" s="3" t="str">
        <f t="shared" si="24"/>
        <v>C525</v>
      </c>
      <c r="B526" s="3" t="str">
        <f t="shared" ca="1" si="25"/>
        <v>Retail</v>
      </c>
      <c r="C526" s="3">
        <v>380</v>
      </c>
      <c r="D526" s="3">
        <v>4.5</v>
      </c>
      <c r="E526" s="3">
        <v>3.5</v>
      </c>
      <c r="F526" s="3">
        <v>1.6</v>
      </c>
      <c r="G526" s="3" t="s">
        <v>13</v>
      </c>
      <c r="H526" s="12">
        <v>0</v>
      </c>
      <c r="I526" s="14">
        <v>0.64701836215164732</v>
      </c>
      <c r="J526" s="9" t="str">
        <f t="shared" si="26"/>
        <v>Train</v>
      </c>
    </row>
    <row r="527" spans="1:10" x14ac:dyDescent="0.3">
      <c r="A527" s="3" t="str">
        <f t="shared" si="24"/>
        <v>C526</v>
      </c>
      <c r="B527" s="3" t="str">
        <f t="shared" ca="1" si="25"/>
        <v>IT Services</v>
      </c>
      <c r="C527" s="3">
        <v>236</v>
      </c>
      <c r="D527" s="3">
        <v>7.3</v>
      </c>
      <c r="E527" s="3">
        <v>9.8000000000000007</v>
      </c>
      <c r="F527" s="3">
        <v>2</v>
      </c>
      <c r="G527" s="3" t="s">
        <v>9</v>
      </c>
      <c r="H527" s="12">
        <v>0</v>
      </c>
      <c r="I527" s="14">
        <v>0.88680156441397939</v>
      </c>
      <c r="J527" s="9" t="str">
        <f t="shared" si="26"/>
        <v>Test</v>
      </c>
    </row>
    <row r="528" spans="1:10" x14ac:dyDescent="0.3">
      <c r="A528" s="3" t="str">
        <f t="shared" si="24"/>
        <v>C527</v>
      </c>
      <c r="B528" s="3" t="str">
        <f t="shared" ca="1" si="25"/>
        <v>Retail</v>
      </c>
      <c r="C528" s="3">
        <v>377</v>
      </c>
      <c r="D528" s="3">
        <v>1.4</v>
      </c>
      <c r="E528" s="3">
        <v>8</v>
      </c>
      <c r="F528" s="3">
        <v>0.9</v>
      </c>
      <c r="G528" s="3" t="s">
        <v>11</v>
      </c>
      <c r="H528" s="12">
        <v>0</v>
      </c>
      <c r="I528" s="14">
        <v>0.2870532298710653</v>
      </c>
      <c r="J528" s="9" t="str">
        <f t="shared" si="26"/>
        <v>Train</v>
      </c>
    </row>
    <row r="529" spans="1:10" x14ac:dyDescent="0.3">
      <c r="A529" s="3" t="str">
        <f t="shared" si="24"/>
        <v>C528</v>
      </c>
      <c r="B529" s="3" t="str">
        <f t="shared" ca="1" si="25"/>
        <v>Retail</v>
      </c>
      <c r="C529" s="3">
        <v>291</v>
      </c>
      <c r="D529" s="3">
        <v>5.6</v>
      </c>
      <c r="E529" s="3">
        <v>8</v>
      </c>
      <c r="F529" s="3">
        <v>0.7</v>
      </c>
      <c r="G529" s="3" t="s">
        <v>13</v>
      </c>
      <c r="H529" s="12">
        <v>0</v>
      </c>
      <c r="I529" s="14">
        <v>0.80525666850321753</v>
      </c>
      <c r="J529" s="9" t="str">
        <f t="shared" si="26"/>
        <v>Test</v>
      </c>
    </row>
    <row r="530" spans="1:10" x14ac:dyDescent="0.3">
      <c r="A530" s="3" t="str">
        <f t="shared" si="24"/>
        <v>C529</v>
      </c>
      <c r="B530" s="3" t="str">
        <f t="shared" ca="1" si="25"/>
        <v>Retail</v>
      </c>
      <c r="C530" s="3">
        <v>388</v>
      </c>
      <c r="D530" s="3">
        <v>1.8</v>
      </c>
      <c r="E530" s="3">
        <v>5.9</v>
      </c>
      <c r="F530" s="3">
        <v>1</v>
      </c>
      <c r="G530" s="3" t="s">
        <v>11</v>
      </c>
      <c r="H530" s="12">
        <v>0</v>
      </c>
      <c r="I530" s="14">
        <v>0.98527673945094985</v>
      </c>
      <c r="J530" s="9" t="str">
        <f t="shared" si="26"/>
        <v>Test</v>
      </c>
    </row>
    <row r="531" spans="1:10" x14ac:dyDescent="0.3">
      <c r="A531" s="3" t="str">
        <f t="shared" si="24"/>
        <v>C530</v>
      </c>
      <c r="B531" s="3" t="str">
        <f t="shared" ca="1" si="25"/>
        <v>Pharma</v>
      </c>
      <c r="C531" s="3">
        <v>146</v>
      </c>
      <c r="D531" s="3">
        <v>7.4</v>
      </c>
      <c r="E531" s="3">
        <v>7.5</v>
      </c>
      <c r="F531" s="3">
        <v>1.3</v>
      </c>
      <c r="G531" s="3" t="s">
        <v>9</v>
      </c>
      <c r="H531" s="12">
        <v>0</v>
      </c>
      <c r="I531" s="14">
        <v>0.98169750363118069</v>
      </c>
      <c r="J531" s="9" t="str">
        <f t="shared" si="26"/>
        <v>Test</v>
      </c>
    </row>
    <row r="532" spans="1:10" x14ac:dyDescent="0.3">
      <c r="A532" s="3" t="str">
        <f t="shared" si="24"/>
        <v>C531</v>
      </c>
      <c r="B532" s="3" t="str">
        <f t="shared" ca="1" si="25"/>
        <v>Manufacturing</v>
      </c>
      <c r="C532" s="3">
        <v>399</v>
      </c>
      <c r="D532" s="3">
        <v>0.8</v>
      </c>
      <c r="E532" s="3">
        <v>3.2</v>
      </c>
      <c r="F532" s="3">
        <v>1.6</v>
      </c>
      <c r="G532" s="3" t="s">
        <v>11</v>
      </c>
      <c r="H532" s="12">
        <v>0</v>
      </c>
      <c r="I532" s="14">
        <v>0.54140033263980725</v>
      </c>
      <c r="J532" s="9" t="str">
        <f t="shared" si="26"/>
        <v>Train</v>
      </c>
    </row>
    <row r="533" spans="1:10" x14ac:dyDescent="0.3">
      <c r="A533" s="3" t="str">
        <f t="shared" si="24"/>
        <v>C532</v>
      </c>
      <c r="B533" s="3" t="str">
        <f t="shared" ca="1" si="25"/>
        <v>Pharma</v>
      </c>
      <c r="C533" s="3">
        <v>233</v>
      </c>
      <c r="D533" s="3">
        <v>3.7</v>
      </c>
      <c r="E533" s="3">
        <v>0.6</v>
      </c>
      <c r="F533" s="3">
        <v>1.2</v>
      </c>
      <c r="G533" s="3" t="s">
        <v>7</v>
      </c>
      <c r="H533" s="12">
        <v>0</v>
      </c>
      <c r="I533" s="14">
        <v>0.94056174862764741</v>
      </c>
      <c r="J533" s="9" t="str">
        <f t="shared" si="26"/>
        <v>Test</v>
      </c>
    </row>
    <row r="534" spans="1:10" x14ac:dyDescent="0.3">
      <c r="A534" s="3" t="str">
        <f t="shared" si="24"/>
        <v>C533</v>
      </c>
      <c r="B534" s="3" t="str">
        <f t="shared" ca="1" si="25"/>
        <v>IT Services</v>
      </c>
      <c r="C534" s="3">
        <v>166</v>
      </c>
      <c r="D534" s="3">
        <v>7</v>
      </c>
      <c r="E534" s="3">
        <v>4.3</v>
      </c>
      <c r="F534" s="3">
        <v>1.2</v>
      </c>
      <c r="G534" s="3" t="s">
        <v>9</v>
      </c>
      <c r="H534" s="12">
        <v>0</v>
      </c>
      <c r="I534" s="14">
        <v>0.36075454695328557</v>
      </c>
      <c r="J534" s="9" t="str">
        <f t="shared" si="26"/>
        <v>Train</v>
      </c>
    </row>
    <row r="535" spans="1:10" x14ac:dyDescent="0.3">
      <c r="A535" s="3" t="str">
        <f t="shared" si="24"/>
        <v>C534</v>
      </c>
      <c r="B535" s="3" t="str">
        <f t="shared" ca="1" si="25"/>
        <v>Pharma</v>
      </c>
      <c r="C535" s="3">
        <v>86</v>
      </c>
      <c r="D535" s="3">
        <v>6.2</v>
      </c>
      <c r="E535" s="3">
        <v>6.2</v>
      </c>
      <c r="F535" s="3">
        <v>1.5</v>
      </c>
      <c r="G535" s="3" t="s">
        <v>9</v>
      </c>
      <c r="H535" s="12">
        <v>0</v>
      </c>
      <c r="I535" s="14">
        <v>0.47903996802052295</v>
      </c>
      <c r="J535" s="9" t="str">
        <f t="shared" si="26"/>
        <v>Train</v>
      </c>
    </row>
    <row r="536" spans="1:10" x14ac:dyDescent="0.3">
      <c r="A536" s="3" t="str">
        <f t="shared" si="24"/>
        <v>C535</v>
      </c>
      <c r="B536" s="3" t="str">
        <f t="shared" ca="1" si="25"/>
        <v>IT Services</v>
      </c>
      <c r="C536" s="3">
        <v>254</v>
      </c>
      <c r="D536" s="3">
        <v>2</v>
      </c>
      <c r="E536" s="3">
        <v>0.9</v>
      </c>
      <c r="F536" s="3">
        <v>0.8</v>
      </c>
      <c r="G536" s="3" t="s">
        <v>7</v>
      </c>
      <c r="H536" s="12">
        <v>0</v>
      </c>
      <c r="I536" s="14">
        <v>0.56256977055103274</v>
      </c>
      <c r="J536" s="9" t="str">
        <f t="shared" si="26"/>
        <v>Train</v>
      </c>
    </row>
    <row r="537" spans="1:10" x14ac:dyDescent="0.3">
      <c r="A537" s="3" t="str">
        <f t="shared" si="24"/>
        <v>C536</v>
      </c>
      <c r="B537" s="3" t="str">
        <f t="shared" ca="1" si="25"/>
        <v>Pharma</v>
      </c>
      <c r="C537" s="3">
        <v>384</v>
      </c>
      <c r="D537" s="3">
        <v>4.2</v>
      </c>
      <c r="E537" s="3">
        <v>1.8</v>
      </c>
      <c r="F537" s="3">
        <v>2.1</v>
      </c>
      <c r="G537" s="3" t="s">
        <v>13</v>
      </c>
      <c r="H537" s="12">
        <v>0</v>
      </c>
      <c r="I537" s="14">
        <v>0.44465193448311813</v>
      </c>
      <c r="J537" s="9" t="str">
        <f t="shared" si="26"/>
        <v>Train</v>
      </c>
    </row>
    <row r="538" spans="1:10" x14ac:dyDescent="0.3">
      <c r="A538" s="3" t="str">
        <f t="shared" si="24"/>
        <v>C537</v>
      </c>
      <c r="B538" s="3" t="str">
        <f t="shared" ca="1" si="25"/>
        <v>IT Services</v>
      </c>
      <c r="C538" s="3">
        <v>404</v>
      </c>
      <c r="D538" s="3">
        <v>3.7</v>
      </c>
      <c r="E538" s="3">
        <v>8.9</v>
      </c>
      <c r="F538" s="3">
        <v>2.2000000000000002</v>
      </c>
      <c r="G538" s="3" t="s">
        <v>7</v>
      </c>
      <c r="H538" s="12">
        <v>0</v>
      </c>
      <c r="I538" s="14">
        <v>0.27999287406903595</v>
      </c>
      <c r="J538" s="9" t="str">
        <f t="shared" si="26"/>
        <v>Train</v>
      </c>
    </row>
    <row r="539" spans="1:10" x14ac:dyDescent="0.3">
      <c r="A539" s="3" t="str">
        <f t="shared" si="24"/>
        <v>C538</v>
      </c>
      <c r="B539" s="3" t="str">
        <f t="shared" ca="1" si="25"/>
        <v>IT Services</v>
      </c>
      <c r="C539" s="3">
        <v>443</v>
      </c>
      <c r="D539" s="3">
        <v>2.7</v>
      </c>
      <c r="E539" s="3">
        <v>1</v>
      </c>
      <c r="F539" s="3">
        <v>2.5</v>
      </c>
      <c r="G539" s="3" t="s">
        <v>7</v>
      </c>
      <c r="H539" s="12">
        <v>0</v>
      </c>
      <c r="I539" s="14">
        <v>0.44057091151260142</v>
      </c>
      <c r="J539" s="9" t="str">
        <f t="shared" si="26"/>
        <v>Train</v>
      </c>
    </row>
    <row r="540" spans="1:10" x14ac:dyDescent="0.3">
      <c r="A540" s="3" t="str">
        <f t="shared" si="24"/>
        <v>C539</v>
      </c>
      <c r="B540" s="3" t="str">
        <f t="shared" ca="1" si="25"/>
        <v>IT Services</v>
      </c>
      <c r="C540" s="3">
        <v>418</v>
      </c>
      <c r="D540" s="3">
        <v>2</v>
      </c>
      <c r="E540" s="3">
        <v>0.7</v>
      </c>
      <c r="F540" s="3">
        <v>0.9</v>
      </c>
      <c r="G540" s="3" t="s">
        <v>7</v>
      </c>
      <c r="H540" s="12">
        <v>0</v>
      </c>
      <c r="I540" s="14">
        <v>0.75936405532852347</v>
      </c>
      <c r="J540" s="9" t="str">
        <f t="shared" si="26"/>
        <v>Test</v>
      </c>
    </row>
    <row r="541" spans="1:10" x14ac:dyDescent="0.3">
      <c r="A541" s="3" t="str">
        <f t="shared" si="24"/>
        <v>C540</v>
      </c>
      <c r="B541" s="3" t="str">
        <f t="shared" ca="1" si="25"/>
        <v>Retail</v>
      </c>
      <c r="C541" s="3">
        <v>430</v>
      </c>
      <c r="D541" s="3">
        <v>3.3</v>
      </c>
      <c r="E541" s="3">
        <v>9.8000000000000007</v>
      </c>
      <c r="F541" s="3">
        <v>0.7</v>
      </c>
      <c r="G541" s="3" t="s">
        <v>7</v>
      </c>
      <c r="H541" s="12">
        <v>0</v>
      </c>
      <c r="I541" s="14">
        <v>9.525403111964803E-2</v>
      </c>
      <c r="J541" s="9" t="str">
        <f t="shared" si="26"/>
        <v>Train</v>
      </c>
    </row>
    <row r="542" spans="1:10" x14ac:dyDescent="0.3">
      <c r="A542" s="3" t="str">
        <f t="shared" si="24"/>
        <v>C541</v>
      </c>
      <c r="B542" s="3" t="str">
        <f t="shared" ca="1" si="25"/>
        <v>Pharma</v>
      </c>
      <c r="C542" s="3">
        <v>60</v>
      </c>
      <c r="D542" s="3">
        <v>3.1</v>
      </c>
      <c r="E542" s="3">
        <v>3.7</v>
      </c>
      <c r="F542" s="3">
        <v>2.2999999999999998</v>
      </c>
      <c r="G542" s="3" t="s">
        <v>7</v>
      </c>
      <c r="H542" s="12">
        <v>0</v>
      </c>
      <c r="I542" s="14">
        <v>0.70984935753973011</v>
      </c>
      <c r="J542" s="9" t="str">
        <f t="shared" si="26"/>
        <v>Test</v>
      </c>
    </row>
    <row r="543" spans="1:10" x14ac:dyDescent="0.3">
      <c r="A543" s="3" t="str">
        <f t="shared" si="24"/>
        <v>C542</v>
      </c>
      <c r="B543" s="3" t="str">
        <f t="shared" ca="1" si="25"/>
        <v>IT Services</v>
      </c>
      <c r="C543" s="3">
        <v>106</v>
      </c>
      <c r="D543" s="3">
        <v>3.5</v>
      </c>
      <c r="E543" s="3">
        <v>7.2</v>
      </c>
      <c r="F543" s="3">
        <v>2.1</v>
      </c>
      <c r="G543" s="3" t="s">
        <v>7</v>
      </c>
      <c r="H543" s="12">
        <v>0</v>
      </c>
      <c r="I543" s="14">
        <v>3.5964862055744673E-2</v>
      </c>
      <c r="J543" s="9" t="str">
        <f t="shared" si="26"/>
        <v>Train</v>
      </c>
    </row>
    <row r="544" spans="1:10" x14ac:dyDescent="0.3">
      <c r="A544" s="3" t="str">
        <f t="shared" si="24"/>
        <v>C543</v>
      </c>
      <c r="B544" s="3" t="str">
        <f t="shared" ca="1" si="25"/>
        <v>Manufacturing</v>
      </c>
      <c r="C544" s="3">
        <v>124</v>
      </c>
      <c r="D544" s="3">
        <v>3.8</v>
      </c>
      <c r="E544" s="3">
        <v>4.3</v>
      </c>
      <c r="F544" s="3">
        <v>1.1000000000000001</v>
      </c>
      <c r="G544" s="3" t="s">
        <v>7</v>
      </c>
      <c r="H544" s="12">
        <v>0</v>
      </c>
      <c r="I544" s="14">
        <v>0.52864450094482274</v>
      </c>
      <c r="J544" s="9" t="str">
        <f t="shared" si="26"/>
        <v>Train</v>
      </c>
    </row>
    <row r="545" spans="1:10" x14ac:dyDescent="0.3">
      <c r="A545" s="3" t="str">
        <f t="shared" si="24"/>
        <v>C544</v>
      </c>
      <c r="B545" s="3" t="str">
        <f t="shared" ca="1" si="25"/>
        <v>Transportation</v>
      </c>
      <c r="C545" s="3">
        <v>388</v>
      </c>
      <c r="D545" s="3">
        <v>2.5</v>
      </c>
      <c r="E545" s="3">
        <v>1.9</v>
      </c>
      <c r="F545" s="3">
        <v>1.6</v>
      </c>
      <c r="G545" s="3" t="s">
        <v>7</v>
      </c>
      <c r="H545" s="12">
        <v>0</v>
      </c>
      <c r="I545" s="14">
        <v>0.96928820463790566</v>
      </c>
      <c r="J545" s="9" t="str">
        <f t="shared" si="26"/>
        <v>Test</v>
      </c>
    </row>
    <row r="546" spans="1:10" x14ac:dyDescent="0.3">
      <c r="A546" s="3" t="str">
        <f t="shared" si="24"/>
        <v>C545</v>
      </c>
      <c r="B546" s="3" t="str">
        <f t="shared" ca="1" si="25"/>
        <v>Pharma</v>
      </c>
      <c r="C546" s="3">
        <v>464</v>
      </c>
      <c r="D546" s="3">
        <v>0.7</v>
      </c>
      <c r="E546" s="3">
        <v>6.4</v>
      </c>
      <c r="F546" s="3">
        <v>1.9</v>
      </c>
      <c r="G546" s="3" t="s">
        <v>11</v>
      </c>
      <c r="H546" s="12">
        <v>0</v>
      </c>
      <c r="I546" s="14">
        <v>0.77685174544091007</v>
      </c>
      <c r="J546" s="9" t="str">
        <f t="shared" si="26"/>
        <v>Test</v>
      </c>
    </row>
    <row r="547" spans="1:10" x14ac:dyDescent="0.3">
      <c r="A547" s="3" t="str">
        <f t="shared" si="24"/>
        <v>C546</v>
      </c>
      <c r="B547" s="3" t="str">
        <f t="shared" ca="1" si="25"/>
        <v>Manufacturing</v>
      </c>
      <c r="C547" s="3">
        <v>376</v>
      </c>
      <c r="D547" s="3">
        <v>0.9</v>
      </c>
      <c r="E547" s="3">
        <v>5.2</v>
      </c>
      <c r="F547" s="3">
        <v>1.1000000000000001</v>
      </c>
      <c r="G547" s="3" t="s">
        <v>11</v>
      </c>
      <c r="H547" s="12">
        <v>0</v>
      </c>
      <c r="I547" s="14">
        <v>0.81781983372004485</v>
      </c>
      <c r="J547" s="9" t="str">
        <f t="shared" si="26"/>
        <v>Test</v>
      </c>
    </row>
    <row r="548" spans="1:10" x14ac:dyDescent="0.3">
      <c r="A548" s="3" t="str">
        <f t="shared" si="24"/>
        <v>C547</v>
      </c>
      <c r="B548" s="3" t="str">
        <f t="shared" ca="1" si="25"/>
        <v>Transportation</v>
      </c>
      <c r="C548" s="3">
        <v>277</v>
      </c>
      <c r="D548" s="3">
        <v>5.9</v>
      </c>
      <c r="E548" s="3">
        <v>7.1</v>
      </c>
      <c r="F548" s="3">
        <v>1.7</v>
      </c>
      <c r="G548" s="3" t="s">
        <v>13</v>
      </c>
      <c r="H548" s="12">
        <v>0</v>
      </c>
      <c r="I548" s="14">
        <v>0.14333930545205165</v>
      </c>
      <c r="J548" s="9" t="str">
        <f t="shared" si="26"/>
        <v>Train</v>
      </c>
    </row>
    <row r="549" spans="1:10" x14ac:dyDescent="0.3">
      <c r="A549" s="3" t="str">
        <f t="shared" si="24"/>
        <v>C548</v>
      </c>
      <c r="B549" s="3" t="str">
        <f t="shared" ca="1" si="25"/>
        <v>Construction</v>
      </c>
      <c r="C549" s="3">
        <v>436</v>
      </c>
      <c r="D549" s="3">
        <v>6.8</v>
      </c>
      <c r="E549" s="3">
        <v>1.2</v>
      </c>
      <c r="F549" s="3">
        <v>0.8</v>
      </c>
      <c r="G549" s="3" t="s">
        <v>9</v>
      </c>
      <c r="H549" s="12">
        <v>1</v>
      </c>
      <c r="I549" s="14">
        <v>0.90660922315989656</v>
      </c>
      <c r="J549" s="9" t="str">
        <f t="shared" si="26"/>
        <v>Test</v>
      </c>
    </row>
    <row r="550" spans="1:10" x14ac:dyDescent="0.3">
      <c r="A550" s="3" t="str">
        <f t="shared" si="24"/>
        <v>C549</v>
      </c>
      <c r="B550" s="3" t="str">
        <f t="shared" ca="1" si="25"/>
        <v>Retail</v>
      </c>
      <c r="C550" s="3">
        <v>247</v>
      </c>
      <c r="D550" s="3">
        <v>3</v>
      </c>
      <c r="E550" s="3">
        <v>5.2</v>
      </c>
      <c r="F550" s="3">
        <v>3</v>
      </c>
      <c r="G550" s="3" t="s">
        <v>7</v>
      </c>
      <c r="H550" s="12">
        <v>0</v>
      </c>
      <c r="I550" s="14">
        <v>0.46334708165063765</v>
      </c>
      <c r="J550" s="9" t="str">
        <f t="shared" si="26"/>
        <v>Train</v>
      </c>
    </row>
    <row r="551" spans="1:10" x14ac:dyDescent="0.3">
      <c r="A551" s="3" t="str">
        <f t="shared" si="24"/>
        <v>C550</v>
      </c>
      <c r="B551" s="3" t="str">
        <f t="shared" ca="1" si="25"/>
        <v>Retail</v>
      </c>
      <c r="C551" s="3">
        <v>201</v>
      </c>
      <c r="D551" s="3">
        <v>6.2</v>
      </c>
      <c r="E551" s="3">
        <v>5.4</v>
      </c>
      <c r="F551" s="3">
        <v>1.7</v>
      </c>
      <c r="G551" s="3" t="s">
        <v>9</v>
      </c>
      <c r="H551" s="12">
        <v>0</v>
      </c>
      <c r="I551" s="14">
        <v>0.6444491672004582</v>
      </c>
      <c r="J551" s="9" t="str">
        <f t="shared" si="26"/>
        <v>Train</v>
      </c>
    </row>
    <row r="552" spans="1:10" x14ac:dyDescent="0.3">
      <c r="A552" s="3" t="str">
        <f t="shared" si="24"/>
        <v>C551</v>
      </c>
      <c r="B552" s="3" t="str">
        <f t="shared" ca="1" si="25"/>
        <v>Pharma</v>
      </c>
      <c r="C552" s="3">
        <v>213</v>
      </c>
      <c r="D552" s="3">
        <v>1.7</v>
      </c>
      <c r="E552" s="3">
        <v>9.3000000000000007</v>
      </c>
      <c r="F552" s="3">
        <v>2.6</v>
      </c>
      <c r="G552" s="3" t="s">
        <v>11</v>
      </c>
      <c r="H552" s="12">
        <v>0</v>
      </c>
      <c r="I552" s="14">
        <v>0.58808297612810734</v>
      </c>
      <c r="J552" s="9" t="str">
        <f t="shared" si="26"/>
        <v>Train</v>
      </c>
    </row>
    <row r="553" spans="1:10" x14ac:dyDescent="0.3">
      <c r="A553" s="3" t="str">
        <f t="shared" si="24"/>
        <v>C552</v>
      </c>
      <c r="B553" s="3" t="str">
        <f t="shared" ca="1" si="25"/>
        <v>Retail</v>
      </c>
      <c r="C553" s="3">
        <v>378</v>
      </c>
      <c r="D553" s="3">
        <v>3.6</v>
      </c>
      <c r="E553" s="3">
        <v>1.4</v>
      </c>
      <c r="F553" s="3">
        <v>2.7</v>
      </c>
      <c r="G553" s="3" t="s">
        <v>7</v>
      </c>
      <c r="H553" s="12">
        <v>0</v>
      </c>
      <c r="I553" s="14">
        <v>0.81095423315238646</v>
      </c>
      <c r="J553" s="9" t="str">
        <f t="shared" si="26"/>
        <v>Test</v>
      </c>
    </row>
    <row r="554" spans="1:10" x14ac:dyDescent="0.3">
      <c r="A554" s="3" t="str">
        <f t="shared" si="24"/>
        <v>C553</v>
      </c>
      <c r="B554" s="3" t="str">
        <f t="shared" ca="1" si="25"/>
        <v>Transportation</v>
      </c>
      <c r="C554" s="3">
        <v>467</v>
      </c>
      <c r="D554" s="3">
        <v>5.6</v>
      </c>
      <c r="E554" s="3">
        <v>6.9</v>
      </c>
      <c r="F554" s="3">
        <v>1.8</v>
      </c>
      <c r="G554" s="3" t="s">
        <v>13</v>
      </c>
      <c r="H554" s="12">
        <v>0</v>
      </c>
      <c r="I554" s="14">
        <v>0.30344140293524169</v>
      </c>
      <c r="J554" s="9" t="str">
        <f t="shared" si="26"/>
        <v>Train</v>
      </c>
    </row>
    <row r="555" spans="1:10" x14ac:dyDescent="0.3">
      <c r="A555" s="3" t="str">
        <f t="shared" si="24"/>
        <v>C554</v>
      </c>
      <c r="B555" s="3" t="str">
        <f t="shared" ca="1" si="25"/>
        <v>Manufacturing</v>
      </c>
      <c r="C555" s="3">
        <v>359</v>
      </c>
      <c r="D555" s="3">
        <v>1.2</v>
      </c>
      <c r="E555" s="3">
        <v>8.8000000000000007</v>
      </c>
      <c r="F555" s="3">
        <v>0.8</v>
      </c>
      <c r="G555" s="3" t="s">
        <v>11</v>
      </c>
      <c r="H555" s="12">
        <v>0</v>
      </c>
      <c r="I555" s="14">
        <v>0.38934167290852506</v>
      </c>
      <c r="J555" s="9" t="str">
        <f t="shared" si="26"/>
        <v>Train</v>
      </c>
    </row>
    <row r="556" spans="1:10" x14ac:dyDescent="0.3">
      <c r="A556" s="3" t="str">
        <f t="shared" si="24"/>
        <v>C555</v>
      </c>
      <c r="B556" s="3" t="str">
        <f t="shared" ca="1" si="25"/>
        <v>Pharma</v>
      </c>
      <c r="C556" s="3">
        <v>246</v>
      </c>
      <c r="D556" s="3">
        <v>1.1000000000000001</v>
      </c>
      <c r="E556" s="3">
        <v>9.4</v>
      </c>
      <c r="F556" s="3">
        <v>2.2000000000000002</v>
      </c>
      <c r="G556" s="3" t="s">
        <v>11</v>
      </c>
      <c r="H556" s="12">
        <v>0</v>
      </c>
      <c r="I556" s="14">
        <v>0.41627255261216922</v>
      </c>
      <c r="J556" s="9" t="str">
        <f t="shared" si="26"/>
        <v>Train</v>
      </c>
    </row>
    <row r="557" spans="1:10" x14ac:dyDescent="0.3">
      <c r="A557" s="3" t="str">
        <f t="shared" si="24"/>
        <v>C556</v>
      </c>
      <c r="B557" s="3" t="str">
        <f t="shared" ca="1" si="25"/>
        <v>Transportation</v>
      </c>
      <c r="C557" s="3">
        <v>109</v>
      </c>
      <c r="D557" s="3">
        <v>2.7</v>
      </c>
      <c r="E557" s="3">
        <v>0.6</v>
      </c>
      <c r="F557" s="3">
        <v>1.9</v>
      </c>
      <c r="G557" s="3" t="s">
        <v>7</v>
      </c>
      <c r="H557" s="12">
        <v>0</v>
      </c>
      <c r="I557" s="14">
        <v>0.11637066397058515</v>
      </c>
      <c r="J557" s="9" t="str">
        <f t="shared" si="26"/>
        <v>Train</v>
      </c>
    </row>
    <row r="558" spans="1:10" x14ac:dyDescent="0.3">
      <c r="A558" s="3" t="str">
        <f t="shared" si="24"/>
        <v>C557</v>
      </c>
      <c r="B558" s="3" t="str">
        <f t="shared" ca="1" si="25"/>
        <v>Transportation</v>
      </c>
      <c r="C558" s="3">
        <v>400</v>
      </c>
      <c r="D558" s="3">
        <v>3.5</v>
      </c>
      <c r="E558" s="3">
        <v>7.1</v>
      </c>
      <c r="F558" s="3">
        <v>2.9</v>
      </c>
      <c r="G558" s="3" t="s">
        <v>7</v>
      </c>
      <c r="H558" s="12">
        <v>0</v>
      </c>
      <c r="I558" s="14">
        <v>0.48290455436467272</v>
      </c>
      <c r="J558" s="9" t="str">
        <f t="shared" si="26"/>
        <v>Train</v>
      </c>
    </row>
    <row r="559" spans="1:10" x14ac:dyDescent="0.3">
      <c r="A559" s="3" t="str">
        <f t="shared" si="24"/>
        <v>C558</v>
      </c>
      <c r="B559" s="3" t="str">
        <f t="shared" ca="1" si="25"/>
        <v>Transportation</v>
      </c>
      <c r="C559" s="3">
        <v>160</v>
      </c>
      <c r="D559" s="3">
        <v>1.8</v>
      </c>
      <c r="E559" s="3">
        <v>7.8</v>
      </c>
      <c r="F559" s="3">
        <v>1.9</v>
      </c>
      <c r="G559" s="3" t="s">
        <v>11</v>
      </c>
      <c r="H559" s="12">
        <v>0</v>
      </c>
      <c r="I559" s="14">
        <v>0.12605939314948322</v>
      </c>
      <c r="J559" s="9" t="str">
        <f t="shared" si="26"/>
        <v>Train</v>
      </c>
    </row>
    <row r="560" spans="1:10" x14ac:dyDescent="0.3">
      <c r="A560" s="3" t="str">
        <f t="shared" si="24"/>
        <v>C559</v>
      </c>
      <c r="B560" s="3" t="str">
        <f t="shared" ca="1" si="25"/>
        <v>Retail</v>
      </c>
      <c r="C560" s="3">
        <v>221</v>
      </c>
      <c r="D560" s="3">
        <v>3.1</v>
      </c>
      <c r="E560" s="3">
        <v>0.8</v>
      </c>
      <c r="F560" s="3">
        <v>1.2</v>
      </c>
      <c r="G560" s="3" t="s">
        <v>7</v>
      </c>
      <c r="H560" s="12">
        <v>0</v>
      </c>
      <c r="I560" s="14">
        <v>0.41861624255908858</v>
      </c>
      <c r="J560" s="9" t="str">
        <f t="shared" si="26"/>
        <v>Train</v>
      </c>
    </row>
    <row r="561" spans="1:10" x14ac:dyDescent="0.3">
      <c r="A561" s="3" t="str">
        <f t="shared" si="24"/>
        <v>C560</v>
      </c>
      <c r="B561" s="3" t="str">
        <f t="shared" ca="1" si="25"/>
        <v>Manufacturing</v>
      </c>
      <c r="C561" s="3">
        <v>457</v>
      </c>
      <c r="D561" s="3">
        <v>2.7</v>
      </c>
      <c r="E561" s="3">
        <v>1.1000000000000001</v>
      </c>
      <c r="F561" s="3">
        <v>1.7</v>
      </c>
      <c r="G561" s="3" t="s">
        <v>7</v>
      </c>
      <c r="H561" s="12">
        <v>0</v>
      </c>
      <c r="I561" s="14">
        <v>2.4150022241835267E-2</v>
      </c>
      <c r="J561" s="9" t="str">
        <f t="shared" si="26"/>
        <v>Train</v>
      </c>
    </row>
    <row r="562" spans="1:10" x14ac:dyDescent="0.3">
      <c r="A562" s="3" t="str">
        <f t="shared" si="24"/>
        <v>C561</v>
      </c>
      <c r="B562" s="3" t="str">
        <f t="shared" ca="1" si="25"/>
        <v>Retail</v>
      </c>
      <c r="C562" s="3">
        <v>404</v>
      </c>
      <c r="D562" s="3">
        <v>2.4</v>
      </c>
      <c r="E562" s="3">
        <v>8.5</v>
      </c>
      <c r="F562" s="3">
        <v>0.8</v>
      </c>
      <c r="G562" s="3" t="s">
        <v>7</v>
      </c>
      <c r="H562" s="12">
        <v>0</v>
      </c>
      <c r="I562" s="14">
        <v>0.18168918265255807</v>
      </c>
      <c r="J562" s="9" t="str">
        <f t="shared" si="26"/>
        <v>Train</v>
      </c>
    </row>
    <row r="563" spans="1:10" x14ac:dyDescent="0.3">
      <c r="A563" s="3" t="str">
        <f t="shared" si="24"/>
        <v>C562</v>
      </c>
      <c r="B563" s="3" t="str">
        <f t="shared" ca="1" si="25"/>
        <v>Pharma</v>
      </c>
      <c r="C563" s="3">
        <v>302</v>
      </c>
      <c r="D563" s="3">
        <v>1.6</v>
      </c>
      <c r="E563" s="3">
        <v>1.1000000000000001</v>
      </c>
      <c r="F563" s="3">
        <v>2.2000000000000002</v>
      </c>
      <c r="G563" s="3" t="s">
        <v>11</v>
      </c>
      <c r="H563" s="12">
        <v>0</v>
      </c>
      <c r="I563" s="14">
        <v>0.62280428542953326</v>
      </c>
      <c r="J563" s="9" t="str">
        <f t="shared" si="26"/>
        <v>Train</v>
      </c>
    </row>
    <row r="564" spans="1:10" x14ac:dyDescent="0.3">
      <c r="A564" s="3" t="str">
        <f t="shared" si="24"/>
        <v>C563</v>
      </c>
      <c r="B564" s="3" t="str">
        <f t="shared" ca="1" si="25"/>
        <v>Transportation</v>
      </c>
      <c r="C564" s="3">
        <v>456</v>
      </c>
      <c r="D564" s="3">
        <v>3.4</v>
      </c>
      <c r="E564" s="3">
        <v>9</v>
      </c>
      <c r="F564" s="3">
        <v>1.9</v>
      </c>
      <c r="G564" s="3" t="s">
        <v>7</v>
      </c>
      <c r="H564" s="12">
        <v>0</v>
      </c>
      <c r="I564" s="14">
        <v>0.24279529986405135</v>
      </c>
      <c r="J564" s="9" t="str">
        <f t="shared" si="26"/>
        <v>Train</v>
      </c>
    </row>
    <row r="565" spans="1:10" x14ac:dyDescent="0.3">
      <c r="A565" s="3" t="str">
        <f t="shared" si="24"/>
        <v>C564</v>
      </c>
      <c r="B565" s="3" t="str">
        <f t="shared" ca="1" si="25"/>
        <v>Pharma</v>
      </c>
      <c r="C565" s="3">
        <v>273</v>
      </c>
      <c r="D565" s="3">
        <v>7.1</v>
      </c>
      <c r="E565" s="3">
        <v>6.4</v>
      </c>
      <c r="F565" s="3">
        <v>1.9</v>
      </c>
      <c r="G565" s="3" t="s">
        <v>9</v>
      </c>
      <c r="H565" s="12">
        <v>0</v>
      </c>
      <c r="I565" s="14">
        <v>0.337510543664303</v>
      </c>
      <c r="J565" s="9" t="str">
        <f t="shared" si="26"/>
        <v>Train</v>
      </c>
    </row>
    <row r="566" spans="1:10" x14ac:dyDescent="0.3">
      <c r="A566" s="3" t="str">
        <f t="shared" si="24"/>
        <v>C565</v>
      </c>
      <c r="B566" s="3" t="str">
        <f t="shared" ca="1" si="25"/>
        <v>IT Services</v>
      </c>
      <c r="C566" s="3">
        <v>72</v>
      </c>
      <c r="D566" s="3">
        <v>6</v>
      </c>
      <c r="E566" s="3">
        <v>7.4</v>
      </c>
      <c r="F566" s="3">
        <v>2.5</v>
      </c>
      <c r="G566" s="3" t="s">
        <v>9</v>
      </c>
      <c r="H566" s="12">
        <v>0</v>
      </c>
      <c r="I566" s="14">
        <v>0.79590579485863322</v>
      </c>
      <c r="J566" s="9" t="str">
        <f t="shared" si="26"/>
        <v>Test</v>
      </c>
    </row>
    <row r="567" spans="1:10" x14ac:dyDescent="0.3">
      <c r="A567" s="3" t="str">
        <f t="shared" si="24"/>
        <v>C566</v>
      </c>
      <c r="B567" s="3" t="str">
        <f t="shared" ca="1" si="25"/>
        <v>Construction</v>
      </c>
      <c r="C567" s="3">
        <v>110</v>
      </c>
      <c r="D567" s="3">
        <v>2.6</v>
      </c>
      <c r="E567" s="3">
        <v>8.1999999999999993</v>
      </c>
      <c r="F567" s="3">
        <v>2.1</v>
      </c>
      <c r="G567" s="3" t="s">
        <v>7</v>
      </c>
      <c r="H567" s="12">
        <v>0</v>
      </c>
      <c r="I567" s="14">
        <v>0.77145276807597107</v>
      </c>
      <c r="J567" s="9" t="str">
        <f t="shared" si="26"/>
        <v>Test</v>
      </c>
    </row>
    <row r="568" spans="1:10" x14ac:dyDescent="0.3">
      <c r="A568" s="3" t="str">
        <f t="shared" si="24"/>
        <v>C567</v>
      </c>
      <c r="B568" s="3" t="str">
        <f t="shared" ca="1" si="25"/>
        <v>Pharma</v>
      </c>
      <c r="C568" s="3">
        <v>97</v>
      </c>
      <c r="D568" s="3">
        <v>6.3</v>
      </c>
      <c r="E568" s="3">
        <v>9.6</v>
      </c>
      <c r="F568" s="3">
        <v>1.4</v>
      </c>
      <c r="G568" s="3" t="s">
        <v>9</v>
      </c>
      <c r="H568" s="12">
        <v>0</v>
      </c>
      <c r="I568" s="14">
        <v>0.80523804994274961</v>
      </c>
      <c r="J568" s="9" t="str">
        <f t="shared" si="26"/>
        <v>Test</v>
      </c>
    </row>
    <row r="569" spans="1:10" x14ac:dyDescent="0.3">
      <c r="A569" s="3" t="str">
        <f t="shared" si="24"/>
        <v>C568</v>
      </c>
      <c r="B569" s="3" t="str">
        <f t="shared" ca="1" si="25"/>
        <v>Manufacturing</v>
      </c>
      <c r="C569" s="3">
        <v>391</v>
      </c>
      <c r="D569" s="3">
        <v>4.2</v>
      </c>
      <c r="E569" s="3">
        <v>3.3</v>
      </c>
      <c r="F569" s="3">
        <v>1.3</v>
      </c>
      <c r="G569" s="3" t="s">
        <v>13</v>
      </c>
      <c r="H569" s="12">
        <v>0</v>
      </c>
      <c r="I569" s="14">
        <v>4.5559942669984865E-2</v>
      </c>
      <c r="J569" s="9" t="str">
        <f t="shared" si="26"/>
        <v>Train</v>
      </c>
    </row>
    <row r="570" spans="1:10" x14ac:dyDescent="0.3">
      <c r="A570" s="3" t="str">
        <f t="shared" si="24"/>
        <v>C569</v>
      </c>
      <c r="B570" s="3" t="str">
        <f t="shared" ca="1" si="25"/>
        <v>IT Services</v>
      </c>
      <c r="C570" s="3">
        <v>454</v>
      </c>
      <c r="D570" s="3">
        <v>4.0999999999999996</v>
      </c>
      <c r="E570" s="3">
        <v>0.8</v>
      </c>
      <c r="F570" s="3">
        <v>1.5</v>
      </c>
      <c r="G570" s="3" t="s">
        <v>13</v>
      </c>
      <c r="H570" s="12">
        <v>0</v>
      </c>
      <c r="I570" s="14">
        <v>0.12971829309235305</v>
      </c>
      <c r="J570" s="9" t="str">
        <f t="shared" si="26"/>
        <v>Train</v>
      </c>
    </row>
    <row r="571" spans="1:10" x14ac:dyDescent="0.3">
      <c r="A571" s="3" t="str">
        <f t="shared" si="24"/>
        <v>C570</v>
      </c>
      <c r="B571" s="3" t="str">
        <f t="shared" ca="1" si="25"/>
        <v>Retail</v>
      </c>
      <c r="C571" s="3">
        <v>77</v>
      </c>
      <c r="D571" s="3">
        <v>3</v>
      </c>
      <c r="E571" s="3">
        <v>1.4</v>
      </c>
      <c r="F571" s="3">
        <v>1.4</v>
      </c>
      <c r="G571" s="3" t="s">
        <v>7</v>
      </c>
      <c r="H571" s="12">
        <v>0</v>
      </c>
      <c r="I571" s="14">
        <v>0.50764524136175571</v>
      </c>
      <c r="J571" s="9" t="str">
        <f t="shared" si="26"/>
        <v>Train</v>
      </c>
    </row>
    <row r="572" spans="1:10" x14ac:dyDescent="0.3">
      <c r="A572" s="3" t="str">
        <f t="shared" si="24"/>
        <v>C571</v>
      </c>
      <c r="B572" s="3" t="str">
        <f t="shared" ca="1" si="25"/>
        <v>IT Services</v>
      </c>
      <c r="C572" s="3">
        <v>481</v>
      </c>
      <c r="D572" s="3">
        <v>5.2</v>
      </c>
      <c r="E572" s="3">
        <v>5.3</v>
      </c>
      <c r="F572" s="3">
        <v>2.8</v>
      </c>
      <c r="G572" s="3" t="s">
        <v>13</v>
      </c>
      <c r="H572" s="12">
        <v>0</v>
      </c>
      <c r="I572" s="14">
        <v>0.68040945761021998</v>
      </c>
      <c r="J572" s="9" t="str">
        <f t="shared" si="26"/>
        <v>Train</v>
      </c>
    </row>
    <row r="573" spans="1:10" x14ac:dyDescent="0.3">
      <c r="A573" s="3" t="str">
        <f t="shared" si="24"/>
        <v>C572</v>
      </c>
      <c r="B573" s="3" t="str">
        <f t="shared" ca="1" si="25"/>
        <v>Manufacturing</v>
      </c>
      <c r="C573" s="3">
        <v>116</v>
      </c>
      <c r="D573" s="3">
        <v>1.7</v>
      </c>
      <c r="E573" s="3">
        <v>5.4</v>
      </c>
      <c r="F573" s="3">
        <v>2.9</v>
      </c>
      <c r="G573" s="3" t="s">
        <v>11</v>
      </c>
      <c r="H573" s="12">
        <v>0</v>
      </c>
      <c r="I573" s="14">
        <v>0.88438692449575795</v>
      </c>
      <c r="J573" s="9" t="str">
        <f t="shared" si="26"/>
        <v>Test</v>
      </c>
    </row>
    <row r="574" spans="1:10" x14ac:dyDescent="0.3">
      <c r="A574" s="3" t="str">
        <f t="shared" si="24"/>
        <v>C573</v>
      </c>
      <c r="B574" s="3" t="str">
        <f t="shared" ca="1" si="25"/>
        <v>Retail</v>
      </c>
      <c r="C574" s="3">
        <v>413</v>
      </c>
      <c r="D574" s="3">
        <v>0.8</v>
      </c>
      <c r="E574" s="3">
        <v>5.3</v>
      </c>
      <c r="F574" s="3">
        <v>2.2999999999999998</v>
      </c>
      <c r="G574" s="3" t="s">
        <v>11</v>
      </c>
      <c r="H574" s="12">
        <v>0</v>
      </c>
      <c r="I574" s="14">
        <v>0.18741471783827524</v>
      </c>
      <c r="J574" s="9" t="str">
        <f t="shared" si="26"/>
        <v>Train</v>
      </c>
    </row>
    <row r="575" spans="1:10" x14ac:dyDescent="0.3">
      <c r="A575" s="3" t="str">
        <f t="shared" si="24"/>
        <v>C574</v>
      </c>
      <c r="B575" s="3" t="str">
        <f t="shared" ca="1" si="25"/>
        <v>Retail</v>
      </c>
      <c r="C575" s="3">
        <v>266</v>
      </c>
      <c r="D575" s="3">
        <v>3</v>
      </c>
      <c r="E575" s="3">
        <v>9.3000000000000007</v>
      </c>
      <c r="F575" s="3">
        <v>1.8</v>
      </c>
      <c r="G575" s="3" t="s">
        <v>7</v>
      </c>
      <c r="H575" s="12">
        <v>0</v>
      </c>
      <c r="I575" s="14">
        <v>0.11715690783022614</v>
      </c>
      <c r="J575" s="9" t="str">
        <f t="shared" si="26"/>
        <v>Train</v>
      </c>
    </row>
    <row r="576" spans="1:10" x14ac:dyDescent="0.3">
      <c r="A576" s="3" t="str">
        <f t="shared" si="24"/>
        <v>C575</v>
      </c>
      <c r="B576" s="3" t="str">
        <f t="shared" ca="1" si="25"/>
        <v>Retail</v>
      </c>
      <c r="C576" s="3">
        <v>101</v>
      </c>
      <c r="D576" s="3">
        <v>1.9</v>
      </c>
      <c r="E576" s="3">
        <v>6.2</v>
      </c>
      <c r="F576" s="3">
        <v>2.6</v>
      </c>
      <c r="G576" s="3" t="s">
        <v>11</v>
      </c>
      <c r="H576" s="12">
        <v>0</v>
      </c>
      <c r="I576" s="14">
        <v>0.17610546518778813</v>
      </c>
      <c r="J576" s="9" t="str">
        <f t="shared" si="26"/>
        <v>Train</v>
      </c>
    </row>
    <row r="577" spans="1:10" x14ac:dyDescent="0.3">
      <c r="A577" s="3" t="str">
        <f t="shared" si="24"/>
        <v>C576</v>
      </c>
      <c r="B577" s="3" t="str">
        <f t="shared" ca="1" si="25"/>
        <v>Construction</v>
      </c>
      <c r="C577" s="3">
        <v>332</v>
      </c>
      <c r="D577" s="3">
        <v>7.6</v>
      </c>
      <c r="E577" s="3">
        <v>5.5</v>
      </c>
      <c r="F577" s="3">
        <v>2.5</v>
      </c>
      <c r="G577" s="3" t="s">
        <v>9</v>
      </c>
      <c r="H577" s="12">
        <v>0</v>
      </c>
      <c r="I577" s="14">
        <v>0.51909824176349162</v>
      </c>
      <c r="J577" s="9" t="str">
        <f t="shared" si="26"/>
        <v>Train</v>
      </c>
    </row>
    <row r="578" spans="1:10" x14ac:dyDescent="0.3">
      <c r="A578" s="3" t="str">
        <f t="shared" si="24"/>
        <v>C577</v>
      </c>
      <c r="B578" s="3" t="str">
        <f t="shared" ca="1" si="25"/>
        <v>IT Services</v>
      </c>
      <c r="C578" s="3">
        <v>152</v>
      </c>
      <c r="D578" s="3">
        <v>6.5</v>
      </c>
      <c r="E578" s="3">
        <v>4.0999999999999996</v>
      </c>
      <c r="F578" s="3">
        <v>1.1000000000000001</v>
      </c>
      <c r="G578" s="3" t="s">
        <v>9</v>
      </c>
      <c r="H578" s="12">
        <v>0</v>
      </c>
      <c r="I578" s="14">
        <v>6.9097283766549333E-2</v>
      </c>
      <c r="J578" s="9" t="str">
        <f t="shared" si="26"/>
        <v>Train</v>
      </c>
    </row>
    <row r="579" spans="1:10" x14ac:dyDescent="0.3">
      <c r="A579" s="3" t="str">
        <f t="shared" ref="A579:A642" si="27">"C"&amp;TEXT(ROW()-1,"000")</f>
        <v>C578</v>
      </c>
      <c r="B579" s="3" t="str">
        <f t="shared" ref="B579:B642" ca="1" si="28">CHOOSE(RANDBETWEEN(1,6),
"Manufacturing",
"Retail",
"Pharma",
"Construction",
"Transportation",
"IT Services")</f>
        <v>Pharma</v>
      </c>
      <c r="C579" s="3">
        <v>429</v>
      </c>
      <c r="D579" s="3">
        <v>4.2</v>
      </c>
      <c r="E579" s="3">
        <v>7</v>
      </c>
      <c r="F579" s="3">
        <v>2.8</v>
      </c>
      <c r="G579" s="3" t="s">
        <v>13</v>
      </c>
      <c r="H579" s="12">
        <v>0</v>
      </c>
      <c r="I579" s="14">
        <v>0.41076408845147305</v>
      </c>
      <c r="J579" s="9" t="str">
        <f t="shared" ref="J579:J642" si="29">IF(I579&lt;=0.7,"Train","Test")</f>
        <v>Train</v>
      </c>
    </row>
    <row r="580" spans="1:10" x14ac:dyDescent="0.3">
      <c r="A580" s="3" t="str">
        <f t="shared" si="27"/>
        <v>C579</v>
      </c>
      <c r="B580" s="3" t="str">
        <f t="shared" ca="1" si="28"/>
        <v>Transportation</v>
      </c>
      <c r="C580" s="3">
        <v>70</v>
      </c>
      <c r="D580" s="3">
        <v>1.3</v>
      </c>
      <c r="E580" s="3">
        <v>9.1999999999999993</v>
      </c>
      <c r="F580" s="3">
        <v>2.2000000000000002</v>
      </c>
      <c r="G580" s="3" t="s">
        <v>11</v>
      </c>
      <c r="H580" s="12">
        <v>0</v>
      </c>
      <c r="I580" s="14">
        <v>0.85404650543884142</v>
      </c>
      <c r="J580" s="9" t="str">
        <f t="shared" si="29"/>
        <v>Test</v>
      </c>
    </row>
    <row r="581" spans="1:10" x14ac:dyDescent="0.3">
      <c r="A581" s="3" t="str">
        <f t="shared" si="27"/>
        <v>C580</v>
      </c>
      <c r="B581" s="3" t="str">
        <f t="shared" ca="1" si="28"/>
        <v>Construction</v>
      </c>
      <c r="C581" s="3">
        <v>64</v>
      </c>
      <c r="D581" s="3">
        <v>6.3</v>
      </c>
      <c r="E581" s="3">
        <v>6.3</v>
      </c>
      <c r="F581" s="3">
        <v>1</v>
      </c>
      <c r="G581" s="3" t="s">
        <v>9</v>
      </c>
      <c r="H581" s="12">
        <v>0</v>
      </c>
      <c r="I581" s="14">
        <v>0.89705123958145838</v>
      </c>
      <c r="J581" s="9" t="str">
        <f t="shared" si="29"/>
        <v>Test</v>
      </c>
    </row>
    <row r="582" spans="1:10" x14ac:dyDescent="0.3">
      <c r="A582" s="3" t="str">
        <f t="shared" si="27"/>
        <v>C581</v>
      </c>
      <c r="B582" s="3" t="str">
        <f t="shared" ca="1" si="28"/>
        <v>Construction</v>
      </c>
      <c r="C582" s="3">
        <v>108</v>
      </c>
      <c r="D582" s="3">
        <v>2.2999999999999998</v>
      </c>
      <c r="E582" s="3">
        <v>7.5</v>
      </c>
      <c r="F582" s="3">
        <v>2.8</v>
      </c>
      <c r="G582" s="3" t="s">
        <v>7</v>
      </c>
      <c r="H582" s="12">
        <v>0</v>
      </c>
      <c r="I582" s="14">
        <v>0.90487143168549511</v>
      </c>
      <c r="J582" s="9" t="str">
        <f t="shared" si="29"/>
        <v>Test</v>
      </c>
    </row>
    <row r="583" spans="1:10" x14ac:dyDescent="0.3">
      <c r="A583" s="3" t="str">
        <f t="shared" si="27"/>
        <v>C582</v>
      </c>
      <c r="B583" s="3" t="str">
        <f t="shared" ca="1" si="28"/>
        <v>IT Services</v>
      </c>
      <c r="C583" s="3">
        <v>500</v>
      </c>
      <c r="D583" s="3">
        <v>7.5</v>
      </c>
      <c r="E583" s="3">
        <v>7.8</v>
      </c>
      <c r="F583" s="3">
        <v>0.7</v>
      </c>
      <c r="G583" s="3" t="s">
        <v>9</v>
      </c>
      <c r="H583" s="12">
        <v>0</v>
      </c>
      <c r="I583" s="14">
        <v>5.8426944608423681E-2</v>
      </c>
      <c r="J583" s="9" t="str">
        <f t="shared" si="29"/>
        <v>Train</v>
      </c>
    </row>
    <row r="584" spans="1:10" x14ac:dyDescent="0.3">
      <c r="A584" s="3" t="str">
        <f t="shared" si="27"/>
        <v>C583</v>
      </c>
      <c r="B584" s="3" t="str">
        <f t="shared" ca="1" si="28"/>
        <v>IT Services</v>
      </c>
      <c r="C584" s="3">
        <v>364</v>
      </c>
      <c r="D584" s="3">
        <v>7.6</v>
      </c>
      <c r="E584" s="3">
        <v>2.7</v>
      </c>
      <c r="F584" s="3">
        <v>2.1</v>
      </c>
      <c r="G584" s="3" t="s">
        <v>9</v>
      </c>
      <c r="H584" s="12">
        <v>0</v>
      </c>
      <c r="I584" s="14">
        <v>0.24916744738891228</v>
      </c>
      <c r="J584" s="9" t="str">
        <f t="shared" si="29"/>
        <v>Train</v>
      </c>
    </row>
    <row r="585" spans="1:10" x14ac:dyDescent="0.3">
      <c r="A585" s="3" t="str">
        <f t="shared" si="27"/>
        <v>C584</v>
      </c>
      <c r="B585" s="3" t="str">
        <f t="shared" ca="1" si="28"/>
        <v>Retail</v>
      </c>
      <c r="C585" s="3">
        <v>95</v>
      </c>
      <c r="D585" s="3">
        <v>7.4</v>
      </c>
      <c r="E585" s="3">
        <v>8.5</v>
      </c>
      <c r="F585" s="3">
        <v>0.7</v>
      </c>
      <c r="G585" s="3" t="s">
        <v>9</v>
      </c>
      <c r="H585" s="12">
        <v>0</v>
      </c>
      <c r="I585" s="14">
        <v>0.53173265931969793</v>
      </c>
      <c r="J585" s="9" t="str">
        <f t="shared" si="29"/>
        <v>Train</v>
      </c>
    </row>
    <row r="586" spans="1:10" x14ac:dyDescent="0.3">
      <c r="A586" s="3" t="str">
        <f t="shared" si="27"/>
        <v>C585</v>
      </c>
      <c r="B586" s="3" t="str">
        <f t="shared" ca="1" si="28"/>
        <v>Pharma</v>
      </c>
      <c r="C586" s="3">
        <v>328</v>
      </c>
      <c r="D586" s="3">
        <v>1.4</v>
      </c>
      <c r="E586" s="3">
        <v>0.8</v>
      </c>
      <c r="F586" s="3">
        <v>1.6</v>
      </c>
      <c r="G586" s="3" t="s">
        <v>11</v>
      </c>
      <c r="H586" s="12">
        <v>0</v>
      </c>
      <c r="I586" s="14">
        <v>0.74985144403841608</v>
      </c>
      <c r="J586" s="9" t="str">
        <f t="shared" si="29"/>
        <v>Test</v>
      </c>
    </row>
    <row r="587" spans="1:10" x14ac:dyDescent="0.3">
      <c r="A587" s="3" t="str">
        <f t="shared" si="27"/>
        <v>C586</v>
      </c>
      <c r="B587" s="3" t="str">
        <f t="shared" ca="1" si="28"/>
        <v>Pharma</v>
      </c>
      <c r="C587" s="3">
        <v>201</v>
      </c>
      <c r="D587" s="3">
        <v>6.3</v>
      </c>
      <c r="E587" s="3">
        <v>4.3</v>
      </c>
      <c r="F587" s="3">
        <v>1.5</v>
      </c>
      <c r="G587" s="3" t="s">
        <v>9</v>
      </c>
      <c r="H587" s="12">
        <v>0</v>
      </c>
      <c r="I587" s="14">
        <v>0.65274009836946223</v>
      </c>
      <c r="J587" s="9" t="str">
        <f t="shared" si="29"/>
        <v>Train</v>
      </c>
    </row>
    <row r="588" spans="1:10" x14ac:dyDescent="0.3">
      <c r="A588" s="3" t="str">
        <f t="shared" si="27"/>
        <v>C587</v>
      </c>
      <c r="B588" s="3" t="str">
        <f t="shared" ca="1" si="28"/>
        <v>Transportation</v>
      </c>
      <c r="C588" s="3">
        <v>465</v>
      </c>
      <c r="D588" s="3">
        <v>6.1</v>
      </c>
      <c r="E588" s="3">
        <v>0.7</v>
      </c>
      <c r="F588" s="3">
        <v>1.8</v>
      </c>
      <c r="G588" s="3" t="s">
        <v>9</v>
      </c>
      <c r="H588" s="12">
        <v>0</v>
      </c>
      <c r="I588" s="14">
        <v>0.84770658120176057</v>
      </c>
      <c r="J588" s="9" t="str">
        <f t="shared" si="29"/>
        <v>Test</v>
      </c>
    </row>
    <row r="589" spans="1:10" x14ac:dyDescent="0.3">
      <c r="A589" s="3" t="str">
        <f t="shared" si="27"/>
        <v>C588</v>
      </c>
      <c r="B589" s="3" t="str">
        <f t="shared" ca="1" si="28"/>
        <v>Retail</v>
      </c>
      <c r="C589" s="3">
        <v>380</v>
      </c>
      <c r="D589" s="3">
        <v>7</v>
      </c>
      <c r="E589" s="3">
        <v>5</v>
      </c>
      <c r="F589" s="3">
        <v>1.5</v>
      </c>
      <c r="G589" s="3" t="s">
        <v>9</v>
      </c>
      <c r="H589" s="12">
        <v>0</v>
      </c>
      <c r="I589" s="14">
        <v>0.83407566575596293</v>
      </c>
      <c r="J589" s="9" t="str">
        <f t="shared" si="29"/>
        <v>Test</v>
      </c>
    </row>
    <row r="590" spans="1:10" x14ac:dyDescent="0.3">
      <c r="A590" s="3" t="str">
        <f t="shared" si="27"/>
        <v>C589</v>
      </c>
      <c r="B590" s="3" t="str">
        <f t="shared" ca="1" si="28"/>
        <v>Retail</v>
      </c>
      <c r="C590" s="3">
        <v>248</v>
      </c>
      <c r="D590" s="3">
        <v>4.5</v>
      </c>
      <c r="E590" s="3">
        <v>9.1</v>
      </c>
      <c r="F590" s="3">
        <v>2</v>
      </c>
      <c r="G590" s="3" t="s">
        <v>13</v>
      </c>
      <c r="H590" s="12">
        <v>0</v>
      </c>
      <c r="I590" s="14">
        <v>0.43684374917076441</v>
      </c>
      <c r="J590" s="9" t="str">
        <f t="shared" si="29"/>
        <v>Train</v>
      </c>
    </row>
    <row r="591" spans="1:10" x14ac:dyDescent="0.3">
      <c r="A591" s="3" t="str">
        <f t="shared" si="27"/>
        <v>C590</v>
      </c>
      <c r="B591" s="3" t="str">
        <f t="shared" ca="1" si="28"/>
        <v>Retail</v>
      </c>
      <c r="C591" s="3">
        <v>64</v>
      </c>
      <c r="D591" s="3">
        <v>3.2</v>
      </c>
      <c r="E591" s="3">
        <v>6.7</v>
      </c>
      <c r="F591" s="3">
        <v>2.5</v>
      </c>
      <c r="G591" s="3" t="s">
        <v>7</v>
      </c>
      <c r="H591" s="12">
        <v>0</v>
      </c>
      <c r="I591" s="14">
        <v>6.9427069843407185E-2</v>
      </c>
      <c r="J591" s="9" t="str">
        <f t="shared" si="29"/>
        <v>Train</v>
      </c>
    </row>
    <row r="592" spans="1:10" x14ac:dyDescent="0.3">
      <c r="A592" s="3" t="str">
        <f t="shared" si="27"/>
        <v>C591</v>
      </c>
      <c r="B592" s="3" t="str">
        <f t="shared" ca="1" si="28"/>
        <v>Construction</v>
      </c>
      <c r="C592" s="3">
        <v>280</v>
      </c>
      <c r="D592" s="3">
        <v>3.4</v>
      </c>
      <c r="E592" s="3">
        <v>4.2</v>
      </c>
      <c r="F592" s="3">
        <v>3</v>
      </c>
      <c r="G592" s="3" t="s">
        <v>7</v>
      </c>
      <c r="H592" s="12">
        <v>0</v>
      </c>
      <c r="I592" s="14">
        <v>0.65232773069579442</v>
      </c>
      <c r="J592" s="9" t="str">
        <f t="shared" si="29"/>
        <v>Train</v>
      </c>
    </row>
    <row r="593" spans="1:10" x14ac:dyDescent="0.3">
      <c r="A593" s="3" t="str">
        <f t="shared" si="27"/>
        <v>C592</v>
      </c>
      <c r="B593" s="3" t="str">
        <f t="shared" ca="1" si="28"/>
        <v>Pharma</v>
      </c>
      <c r="C593" s="3">
        <v>177</v>
      </c>
      <c r="D593" s="3">
        <v>6.2</v>
      </c>
      <c r="E593" s="3">
        <v>4.4000000000000004</v>
      </c>
      <c r="F593" s="3">
        <v>1.4</v>
      </c>
      <c r="G593" s="3" t="s">
        <v>9</v>
      </c>
      <c r="H593" s="12">
        <v>0</v>
      </c>
      <c r="I593" s="14">
        <v>0.228340355516505</v>
      </c>
      <c r="J593" s="9" t="str">
        <f t="shared" si="29"/>
        <v>Train</v>
      </c>
    </row>
    <row r="594" spans="1:10" x14ac:dyDescent="0.3">
      <c r="A594" s="3" t="str">
        <f t="shared" si="27"/>
        <v>C593</v>
      </c>
      <c r="B594" s="3" t="str">
        <f t="shared" ca="1" si="28"/>
        <v>Transportation</v>
      </c>
      <c r="C594" s="3">
        <v>156</v>
      </c>
      <c r="D594" s="3">
        <v>7.9</v>
      </c>
      <c r="E594" s="3">
        <v>6.5</v>
      </c>
      <c r="F594" s="3">
        <v>1.3</v>
      </c>
      <c r="G594" s="3" t="s">
        <v>9</v>
      </c>
      <c r="H594" s="12">
        <v>0</v>
      </c>
      <c r="I594" s="14">
        <v>0.28529658045668393</v>
      </c>
      <c r="J594" s="9" t="str">
        <f t="shared" si="29"/>
        <v>Train</v>
      </c>
    </row>
    <row r="595" spans="1:10" x14ac:dyDescent="0.3">
      <c r="A595" s="3" t="str">
        <f t="shared" si="27"/>
        <v>C594</v>
      </c>
      <c r="B595" s="3" t="str">
        <f t="shared" ca="1" si="28"/>
        <v>Manufacturing</v>
      </c>
      <c r="C595" s="3">
        <v>113</v>
      </c>
      <c r="D595" s="3">
        <v>5.3</v>
      </c>
      <c r="E595" s="3">
        <v>2.2000000000000002</v>
      </c>
      <c r="F595" s="3">
        <v>1.6</v>
      </c>
      <c r="G595" s="3" t="s">
        <v>13</v>
      </c>
      <c r="H595" s="12">
        <v>0</v>
      </c>
      <c r="I595" s="14">
        <v>0.14183449190417252</v>
      </c>
      <c r="J595" s="9" t="str">
        <f t="shared" si="29"/>
        <v>Train</v>
      </c>
    </row>
    <row r="596" spans="1:10" x14ac:dyDescent="0.3">
      <c r="A596" s="3" t="str">
        <f t="shared" si="27"/>
        <v>C595</v>
      </c>
      <c r="B596" s="3" t="str">
        <f t="shared" ca="1" si="28"/>
        <v>Manufacturing</v>
      </c>
      <c r="C596" s="3">
        <v>216</v>
      </c>
      <c r="D596" s="3">
        <v>2.2999999999999998</v>
      </c>
      <c r="E596" s="3">
        <v>5.8</v>
      </c>
      <c r="F596" s="3">
        <v>1.5</v>
      </c>
      <c r="G596" s="3" t="s">
        <v>7</v>
      </c>
      <c r="H596" s="12">
        <v>0</v>
      </c>
      <c r="I596" s="14">
        <v>0.66361635097180394</v>
      </c>
      <c r="J596" s="9" t="str">
        <f t="shared" si="29"/>
        <v>Train</v>
      </c>
    </row>
    <row r="597" spans="1:10" x14ac:dyDescent="0.3">
      <c r="A597" s="3" t="str">
        <f t="shared" si="27"/>
        <v>C596</v>
      </c>
      <c r="B597" s="3" t="str">
        <f t="shared" ca="1" si="28"/>
        <v>IT Services</v>
      </c>
      <c r="C597" s="3">
        <v>172</v>
      </c>
      <c r="D597" s="3">
        <v>4</v>
      </c>
      <c r="E597" s="3">
        <v>6.7</v>
      </c>
      <c r="F597" s="3">
        <v>0.6</v>
      </c>
      <c r="G597" s="3" t="s">
        <v>13</v>
      </c>
      <c r="H597" s="12">
        <v>0</v>
      </c>
      <c r="I597" s="14">
        <v>0.49786717738697017</v>
      </c>
      <c r="J597" s="9" t="str">
        <f t="shared" si="29"/>
        <v>Train</v>
      </c>
    </row>
    <row r="598" spans="1:10" x14ac:dyDescent="0.3">
      <c r="A598" s="3" t="str">
        <f t="shared" si="27"/>
        <v>C597</v>
      </c>
      <c r="B598" s="3" t="str">
        <f t="shared" ca="1" si="28"/>
        <v>Transportation</v>
      </c>
      <c r="C598" s="3">
        <v>424</v>
      </c>
      <c r="D598" s="3">
        <v>3.4</v>
      </c>
      <c r="E598" s="3">
        <v>6.4</v>
      </c>
      <c r="F598" s="3">
        <v>2.4</v>
      </c>
      <c r="G598" s="3" t="s">
        <v>7</v>
      </c>
      <c r="H598" s="12">
        <v>0</v>
      </c>
      <c r="I598" s="14">
        <v>0.1488386049040713</v>
      </c>
      <c r="J598" s="9" t="str">
        <f t="shared" si="29"/>
        <v>Train</v>
      </c>
    </row>
    <row r="599" spans="1:10" x14ac:dyDescent="0.3">
      <c r="A599" s="3" t="str">
        <f t="shared" si="27"/>
        <v>C598</v>
      </c>
      <c r="B599" s="3" t="str">
        <f t="shared" ca="1" si="28"/>
        <v>Construction</v>
      </c>
      <c r="C599" s="3">
        <v>431</v>
      </c>
      <c r="D599" s="3">
        <v>1.5</v>
      </c>
      <c r="E599" s="3">
        <v>0.6</v>
      </c>
      <c r="F599" s="3">
        <v>0.6</v>
      </c>
      <c r="G599" s="3" t="s">
        <v>11</v>
      </c>
      <c r="H599" s="12">
        <v>0</v>
      </c>
      <c r="I599" s="14">
        <v>0.20162490604783445</v>
      </c>
      <c r="J599" s="9" t="str">
        <f t="shared" si="29"/>
        <v>Train</v>
      </c>
    </row>
    <row r="600" spans="1:10" x14ac:dyDescent="0.3">
      <c r="A600" s="3" t="str">
        <f t="shared" si="27"/>
        <v>C599</v>
      </c>
      <c r="B600" s="3" t="str">
        <f t="shared" ca="1" si="28"/>
        <v>Manufacturing</v>
      </c>
      <c r="C600" s="3">
        <v>419</v>
      </c>
      <c r="D600" s="3">
        <v>7.4</v>
      </c>
      <c r="E600" s="3">
        <v>9.4</v>
      </c>
      <c r="F600" s="3">
        <v>2.5</v>
      </c>
      <c r="G600" s="3" t="s">
        <v>9</v>
      </c>
      <c r="H600" s="12">
        <v>0</v>
      </c>
      <c r="I600" s="14">
        <v>0.82532752658937636</v>
      </c>
      <c r="J600" s="9" t="str">
        <f t="shared" si="29"/>
        <v>Test</v>
      </c>
    </row>
    <row r="601" spans="1:10" x14ac:dyDescent="0.3">
      <c r="A601" s="3" t="str">
        <f t="shared" si="27"/>
        <v>C600</v>
      </c>
      <c r="B601" s="3" t="str">
        <f t="shared" ca="1" si="28"/>
        <v>Manufacturing</v>
      </c>
      <c r="C601" s="3">
        <v>110</v>
      </c>
      <c r="D601" s="3">
        <v>3</v>
      </c>
      <c r="E601" s="3">
        <v>6.6</v>
      </c>
      <c r="F601" s="3">
        <v>0.8</v>
      </c>
      <c r="G601" s="3" t="s">
        <v>7</v>
      </c>
      <c r="H601" s="12">
        <v>0</v>
      </c>
      <c r="I601" s="14">
        <v>0.29067715685560047</v>
      </c>
      <c r="J601" s="9" t="str">
        <f t="shared" si="29"/>
        <v>Train</v>
      </c>
    </row>
    <row r="602" spans="1:10" x14ac:dyDescent="0.3">
      <c r="A602" s="3" t="str">
        <f t="shared" si="27"/>
        <v>C601</v>
      </c>
      <c r="B602" s="3" t="str">
        <f t="shared" ca="1" si="28"/>
        <v>IT Services</v>
      </c>
      <c r="C602" s="3">
        <v>272</v>
      </c>
      <c r="D602" s="3">
        <v>0.7</v>
      </c>
      <c r="E602" s="3">
        <v>5.3</v>
      </c>
      <c r="F602" s="3">
        <v>2.2999999999999998</v>
      </c>
      <c r="G602" s="3" t="s">
        <v>11</v>
      </c>
      <c r="H602" s="12">
        <v>0</v>
      </c>
      <c r="I602" s="14">
        <v>0.24048903350608275</v>
      </c>
      <c r="J602" s="9" t="str">
        <f t="shared" si="29"/>
        <v>Train</v>
      </c>
    </row>
    <row r="603" spans="1:10" x14ac:dyDescent="0.3">
      <c r="A603" s="3" t="str">
        <f t="shared" si="27"/>
        <v>C602</v>
      </c>
      <c r="B603" s="3" t="str">
        <f t="shared" ca="1" si="28"/>
        <v>Retail</v>
      </c>
      <c r="C603" s="3">
        <v>427</v>
      </c>
      <c r="D603" s="3">
        <v>7.2</v>
      </c>
      <c r="E603" s="3">
        <v>2.7</v>
      </c>
      <c r="F603" s="3">
        <v>1.8</v>
      </c>
      <c r="G603" s="3" t="s">
        <v>9</v>
      </c>
      <c r="H603" s="12">
        <v>0</v>
      </c>
      <c r="I603" s="14">
        <v>0.71421537046291961</v>
      </c>
      <c r="J603" s="9" t="str">
        <f t="shared" si="29"/>
        <v>Test</v>
      </c>
    </row>
    <row r="604" spans="1:10" x14ac:dyDescent="0.3">
      <c r="A604" s="3" t="str">
        <f t="shared" si="27"/>
        <v>C603</v>
      </c>
      <c r="B604" s="3" t="str">
        <f t="shared" ca="1" si="28"/>
        <v>Manufacturing</v>
      </c>
      <c r="C604" s="3">
        <v>344</v>
      </c>
      <c r="D604" s="3">
        <v>7.8</v>
      </c>
      <c r="E604" s="3">
        <v>9.1</v>
      </c>
      <c r="F604" s="3">
        <v>1.9</v>
      </c>
      <c r="G604" s="3" t="s">
        <v>9</v>
      </c>
      <c r="H604" s="12">
        <v>0</v>
      </c>
      <c r="I604" s="14">
        <v>0.3962584524515933</v>
      </c>
      <c r="J604" s="9" t="str">
        <f t="shared" si="29"/>
        <v>Train</v>
      </c>
    </row>
    <row r="605" spans="1:10" x14ac:dyDescent="0.3">
      <c r="A605" s="3" t="str">
        <f t="shared" si="27"/>
        <v>C604</v>
      </c>
      <c r="B605" s="3" t="str">
        <f t="shared" ca="1" si="28"/>
        <v>Manufacturing</v>
      </c>
      <c r="C605" s="3">
        <v>487</v>
      </c>
      <c r="D605" s="3">
        <v>7.1</v>
      </c>
      <c r="E605" s="3">
        <v>8.1</v>
      </c>
      <c r="F605" s="3">
        <v>1.8</v>
      </c>
      <c r="G605" s="3" t="s">
        <v>9</v>
      </c>
      <c r="H605" s="12">
        <v>0</v>
      </c>
      <c r="I605" s="14">
        <v>0.57283709798775417</v>
      </c>
      <c r="J605" s="9" t="str">
        <f t="shared" si="29"/>
        <v>Train</v>
      </c>
    </row>
    <row r="606" spans="1:10" x14ac:dyDescent="0.3">
      <c r="A606" s="3" t="str">
        <f t="shared" si="27"/>
        <v>C605</v>
      </c>
      <c r="B606" s="3" t="str">
        <f t="shared" ca="1" si="28"/>
        <v>Construction</v>
      </c>
      <c r="C606" s="3">
        <v>331</v>
      </c>
      <c r="D606" s="3">
        <v>4</v>
      </c>
      <c r="E606" s="3">
        <v>1.2</v>
      </c>
      <c r="F606" s="3">
        <v>1.2</v>
      </c>
      <c r="G606" s="3" t="s">
        <v>13</v>
      </c>
      <c r="H606" s="12">
        <v>0</v>
      </c>
      <c r="I606" s="14">
        <v>0.93840801566147281</v>
      </c>
      <c r="J606" s="9" t="str">
        <f t="shared" si="29"/>
        <v>Test</v>
      </c>
    </row>
    <row r="607" spans="1:10" x14ac:dyDescent="0.3">
      <c r="A607" s="3" t="str">
        <f t="shared" si="27"/>
        <v>C606</v>
      </c>
      <c r="B607" s="3" t="str">
        <f t="shared" ca="1" si="28"/>
        <v>Manufacturing</v>
      </c>
      <c r="C607" s="3">
        <v>293</v>
      </c>
      <c r="D607" s="3">
        <v>6</v>
      </c>
      <c r="E607" s="3">
        <v>3</v>
      </c>
      <c r="F607" s="3">
        <v>2.2999999999999998</v>
      </c>
      <c r="G607" s="3" t="s">
        <v>9</v>
      </c>
      <c r="H607" s="12">
        <v>0</v>
      </c>
      <c r="I607" s="14">
        <v>0.74877635553842925</v>
      </c>
      <c r="J607" s="9" t="str">
        <f t="shared" si="29"/>
        <v>Test</v>
      </c>
    </row>
    <row r="608" spans="1:10" x14ac:dyDescent="0.3">
      <c r="A608" s="3" t="str">
        <f t="shared" si="27"/>
        <v>C607</v>
      </c>
      <c r="B608" s="3" t="str">
        <f t="shared" ca="1" si="28"/>
        <v>Pharma</v>
      </c>
      <c r="C608" s="3">
        <v>380</v>
      </c>
      <c r="D608" s="3">
        <v>6.6</v>
      </c>
      <c r="E608" s="3">
        <v>5.2</v>
      </c>
      <c r="F608" s="3">
        <v>2.9</v>
      </c>
      <c r="G608" s="3" t="s">
        <v>9</v>
      </c>
      <c r="H608" s="12">
        <v>0</v>
      </c>
      <c r="I608" s="14">
        <v>0.97631775918150387</v>
      </c>
      <c r="J608" s="9" t="str">
        <f t="shared" si="29"/>
        <v>Test</v>
      </c>
    </row>
    <row r="609" spans="1:10" x14ac:dyDescent="0.3">
      <c r="A609" s="3" t="str">
        <f t="shared" si="27"/>
        <v>C608</v>
      </c>
      <c r="B609" s="3" t="str">
        <f t="shared" ca="1" si="28"/>
        <v>Manufacturing</v>
      </c>
      <c r="C609" s="3">
        <v>332</v>
      </c>
      <c r="D609" s="3">
        <v>7.3</v>
      </c>
      <c r="E609" s="3">
        <v>3</v>
      </c>
      <c r="F609" s="3">
        <v>1.3</v>
      </c>
      <c r="G609" s="3" t="s">
        <v>9</v>
      </c>
      <c r="H609" s="12">
        <v>0</v>
      </c>
      <c r="I609" s="14">
        <v>0.20380941786565787</v>
      </c>
      <c r="J609" s="9" t="str">
        <f t="shared" si="29"/>
        <v>Train</v>
      </c>
    </row>
    <row r="610" spans="1:10" x14ac:dyDescent="0.3">
      <c r="A610" s="3" t="str">
        <f t="shared" si="27"/>
        <v>C609</v>
      </c>
      <c r="B610" s="3" t="str">
        <f t="shared" ca="1" si="28"/>
        <v>Manufacturing</v>
      </c>
      <c r="C610" s="3">
        <v>180</v>
      </c>
      <c r="D610" s="3">
        <v>3.2</v>
      </c>
      <c r="E610" s="3">
        <v>8.6999999999999993</v>
      </c>
      <c r="F610" s="3">
        <v>1.9</v>
      </c>
      <c r="G610" s="3" t="s">
        <v>7</v>
      </c>
      <c r="H610" s="12">
        <v>0</v>
      </c>
      <c r="I610" s="14">
        <v>0.82318213688782815</v>
      </c>
      <c r="J610" s="9" t="str">
        <f t="shared" si="29"/>
        <v>Test</v>
      </c>
    </row>
    <row r="611" spans="1:10" x14ac:dyDescent="0.3">
      <c r="A611" s="3" t="str">
        <f t="shared" si="27"/>
        <v>C610</v>
      </c>
      <c r="B611" s="3" t="str">
        <f t="shared" ca="1" si="28"/>
        <v>Manufacturing</v>
      </c>
      <c r="C611" s="3">
        <v>276</v>
      </c>
      <c r="D611" s="3">
        <v>2.7</v>
      </c>
      <c r="E611" s="3">
        <v>7.5</v>
      </c>
      <c r="F611" s="3">
        <v>1.3</v>
      </c>
      <c r="G611" s="3" t="s">
        <v>7</v>
      </c>
      <c r="H611" s="12">
        <v>0</v>
      </c>
      <c r="I611" s="14">
        <v>0.51212078425990137</v>
      </c>
      <c r="J611" s="9" t="str">
        <f t="shared" si="29"/>
        <v>Train</v>
      </c>
    </row>
    <row r="612" spans="1:10" x14ac:dyDescent="0.3">
      <c r="A612" s="3" t="str">
        <f t="shared" si="27"/>
        <v>C611</v>
      </c>
      <c r="B612" s="3" t="str">
        <f t="shared" ca="1" si="28"/>
        <v>Manufacturing</v>
      </c>
      <c r="C612" s="3">
        <v>56</v>
      </c>
      <c r="D612" s="3">
        <v>3</v>
      </c>
      <c r="E612" s="3">
        <v>7.5</v>
      </c>
      <c r="F612" s="3">
        <v>0.7</v>
      </c>
      <c r="G612" s="3" t="s">
        <v>7</v>
      </c>
      <c r="H612" s="12">
        <v>0</v>
      </c>
      <c r="I612" s="14">
        <v>0.14680369714917951</v>
      </c>
      <c r="J612" s="9" t="str">
        <f t="shared" si="29"/>
        <v>Train</v>
      </c>
    </row>
    <row r="613" spans="1:10" x14ac:dyDescent="0.3">
      <c r="A613" s="3" t="str">
        <f t="shared" si="27"/>
        <v>C612</v>
      </c>
      <c r="B613" s="3" t="str">
        <f t="shared" ca="1" si="28"/>
        <v>Construction</v>
      </c>
      <c r="C613" s="3">
        <v>303</v>
      </c>
      <c r="D613" s="3">
        <v>6.8</v>
      </c>
      <c r="E613" s="3">
        <v>2.1</v>
      </c>
      <c r="F613" s="3">
        <v>2.8</v>
      </c>
      <c r="G613" s="3" t="s">
        <v>9</v>
      </c>
      <c r="H613" s="12">
        <v>0</v>
      </c>
      <c r="I613" s="14">
        <v>0.43886537719813878</v>
      </c>
      <c r="J613" s="9" t="str">
        <f t="shared" si="29"/>
        <v>Train</v>
      </c>
    </row>
    <row r="614" spans="1:10" x14ac:dyDescent="0.3">
      <c r="A614" s="3" t="str">
        <f t="shared" si="27"/>
        <v>C613</v>
      </c>
      <c r="B614" s="3" t="str">
        <f t="shared" ca="1" si="28"/>
        <v>Construction</v>
      </c>
      <c r="C614" s="3">
        <v>344</v>
      </c>
      <c r="D614" s="3">
        <v>6.5</v>
      </c>
      <c r="E614" s="3">
        <v>3.2</v>
      </c>
      <c r="F614" s="3">
        <v>2.4</v>
      </c>
      <c r="G614" s="3" t="s">
        <v>9</v>
      </c>
      <c r="H614" s="12">
        <v>0</v>
      </c>
      <c r="I614" s="14">
        <v>0.87108612250545825</v>
      </c>
      <c r="J614" s="9" t="str">
        <f t="shared" si="29"/>
        <v>Test</v>
      </c>
    </row>
    <row r="615" spans="1:10" x14ac:dyDescent="0.3">
      <c r="A615" s="3" t="str">
        <f t="shared" si="27"/>
        <v>C614</v>
      </c>
      <c r="B615" s="3" t="str">
        <f t="shared" ca="1" si="28"/>
        <v>Manufacturing</v>
      </c>
      <c r="C615" s="3">
        <v>483</v>
      </c>
      <c r="D615" s="3">
        <v>4.8</v>
      </c>
      <c r="E615" s="3">
        <v>5.0999999999999996</v>
      </c>
      <c r="F615" s="3">
        <v>2.6</v>
      </c>
      <c r="G615" s="3" t="s">
        <v>13</v>
      </c>
      <c r="H615" s="12">
        <v>0</v>
      </c>
      <c r="I615" s="14">
        <v>0.68299817382349259</v>
      </c>
      <c r="J615" s="9" t="str">
        <f t="shared" si="29"/>
        <v>Train</v>
      </c>
    </row>
    <row r="616" spans="1:10" x14ac:dyDescent="0.3">
      <c r="A616" s="3" t="str">
        <f t="shared" si="27"/>
        <v>C615</v>
      </c>
      <c r="B616" s="3" t="str">
        <f t="shared" ca="1" si="28"/>
        <v>Manufacturing</v>
      </c>
      <c r="C616" s="3">
        <v>132</v>
      </c>
      <c r="D616" s="3">
        <v>3.1</v>
      </c>
      <c r="E616" s="3">
        <v>6.7</v>
      </c>
      <c r="F616" s="3">
        <v>1.6</v>
      </c>
      <c r="G616" s="3" t="s">
        <v>7</v>
      </c>
      <c r="H616" s="12">
        <v>0</v>
      </c>
      <c r="I616" s="14">
        <v>0.73557006075472675</v>
      </c>
      <c r="J616" s="9" t="str">
        <f t="shared" si="29"/>
        <v>Test</v>
      </c>
    </row>
    <row r="617" spans="1:10" x14ac:dyDescent="0.3">
      <c r="A617" s="3" t="str">
        <f t="shared" si="27"/>
        <v>C616</v>
      </c>
      <c r="B617" s="3" t="str">
        <f t="shared" ca="1" si="28"/>
        <v>Manufacturing</v>
      </c>
      <c r="C617" s="3">
        <v>93</v>
      </c>
      <c r="D617" s="3">
        <v>3.6</v>
      </c>
      <c r="E617" s="3">
        <v>9.6999999999999993</v>
      </c>
      <c r="F617" s="3">
        <v>1</v>
      </c>
      <c r="G617" s="3" t="s">
        <v>7</v>
      </c>
      <c r="H617" s="12">
        <v>0</v>
      </c>
      <c r="I617" s="14">
        <v>0.27272808218656208</v>
      </c>
      <c r="J617" s="9" t="str">
        <f t="shared" si="29"/>
        <v>Train</v>
      </c>
    </row>
    <row r="618" spans="1:10" x14ac:dyDescent="0.3">
      <c r="A618" s="3" t="str">
        <f t="shared" si="27"/>
        <v>C617</v>
      </c>
      <c r="B618" s="3" t="str">
        <f t="shared" ca="1" si="28"/>
        <v>Pharma</v>
      </c>
      <c r="C618" s="3">
        <v>90</v>
      </c>
      <c r="D618" s="3">
        <v>4.5999999999999996</v>
      </c>
      <c r="E618" s="3">
        <v>8.6</v>
      </c>
      <c r="F618" s="3">
        <v>1.3</v>
      </c>
      <c r="G618" s="3" t="s">
        <v>13</v>
      </c>
      <c r="H618" s="12">
        <v>0</v>
      </c>
      <c r="I618" s="14">
        <v>0.45952351651198575</v>
      </c>
      <c r="J618" s="9" t="str">
        <f t="shared" si="29"/>
        <v>Train</v>
      </c>
    </row>
    <row r="619" spans="1:10" x14ac:dyDescent="0.3">
      <c r="A619" s="3" t="str">
        <f t="shared" si="27"/>
        <v>C618</v>
      </c>
      <c r="B619" s="3" t="str">
        <f t="shared" ca="1" si="28"/>
        <v>Manufacturing</v>
      </c>
      <c r="C619" s="3">
        <v>398</v>
      </c>
      <c r="D619" s="3">
        <v>6</v>
      </c>
      <c r="E619" s="3">
        <v>6</v>
      </c>
      <c r="F619" s="3">
        <v>2</v>
      </c>
      <c r="G619" s="3" t="s">
        <v>9</v>
      </c>
      <c r="H619" s="12">
        <v>0</v>
      </c>
      <c r="I619" s="14">
        <v>0.11289765823687947</v>
      </c>
      <c r="J619" s="9" t="str">
        <f t="shared" si="29"/>
        <v>Train</v>
      </c>
    </row>
    <row r="620" spans="1:10" x14ac:dyDescent="0.3">
      <c r="A620" s="3" t="str">
        <f t="shared" si="27"/>
        <v>C619</v>
      </c>
      <c r="B620" s="3" t="str">
        <f t="shared" ca="1" si="28"/>
        <v>Manufacturing</v>
      </c>
      <c r="C620" s="3">
        <v>231</v>
      </c>
      <c r="D620" s="3">
        <v>4.4000000000000004</v>
      </c>
      <c r="E620" s="3">
        <v>2.6</v>
      </c>
      <c r="F620" s="3">
        <v>2.5</v>
      </c>
      <c r="G620" s="3" t="s">
        <v>13</v>
      </c>
      <c r="H620" s="12">
        <v>0</v>
      </c>
      <c r="I620" s="14">
        <v>0.38215827317702844</v>
      </c>
      <c r="J620" s="9" t="str">
        <f t="shared" si="29"/>
        <v>Train</v>
      </c>
    </row>
    <row r="621" spans="1:10" x14ac:dyDescent="0.3">
      <c r="A621" s="3" t="str">
        <f t="shared" si="27"/>
        <v>C620</v>
      </c>
      <c r="B621" s="3" t="str">
        <f t="shared" ca="1" si="28"/>
        <v>Construction</v>
      </c>
      <c r="C621" s="3">
        <v>356</v>
      </c>
      <c r="D621" s="3">
        <v>7</v>
      </c>
      <c r="E621" s="3">
        <v>9.1</v>
      </c>
      <c r="F621" s="3">
        <v>1.3</v>
      </c>
      <c r="G621" s="3" t="s">
        <v>9</v>
      </c>
      <c r="H621" s="12">
        <v>0</v>
      </c>
      <c r="I621" s="14">
        <v>0.47037278276774941</v>
      </c>
      <c r="J621" s="9" t="str">
        <f t="shared" si="29"/>
        <v>Train</v>
      </c>
    </row>
    <row r="622" spans="1:10" x14ac:dyDescent="0.3">
      <c r="A622" s="3" t="str">
        <f t="shared" si="27"/>
        <v>C621</v>
      </c>
      <c r="B622" s="3" t="str">
        <f t="shared" ca="1" si="28"/>
        <v>Transportation</v>
      </c>
      <c r="C622" s="3">
        <v>379</v>
      </c>
      <c r="D622" s="3">
        <v>0.9</v>
      </c>
      <c r="E622" s="3">
        <v>6.2</v>
      </c>
      <c r="F622" s="3">
        <v>1.4</v>
      </c>
      <c r="G622" s="3" t="s">
        <v>11</v>
      </c>
      <c r="H622" s="12">
        <v>0</v>
      </c>
      <c r="I622" s="14">
        <v>7.2630720291439688E-2</v>
      </c>
      <c r="J622" s="9" t="str">
        <f t="shared" si="29"/>
        <v>Train</v>
      </c>
    </row>
    <row r="623" spans="1:10" x14ac:dyDescent="0.3">
      <c r="A623" s="3" t="str">
        <f t="shared" si="27"/>
        <v>C622</v>
      </c>
      <c r="B623" s="3" t="str">
        <f t="shared" ca="1" si="28"/>
        <v>Construction</v>
      </c>
      <c r="C623" s="3">
        <v>386</v>
      </c>
      <c r="D623" s="3">
        <v>4.2</v>
      </c>
      <c r="E623" s="3">
        <v>4.3</v>
      </c>
      <c r="F623" s="3">
        <v>1.4</v>
      </c>
      <c r="G623" s="3" t="s">
        <v>13</v>
      </c>
      <c r="H623" s="12">
        <v>0</v>
      </c>
      <c r="I623" s="14">
        <v>0.80921955841782944</v>
      </c>
      <c r="J623" s="9" t="str">
        <f t="shared" si="29"/>
        <v>Test</v>
      </c>
    </row>
    <row r="624" spans="1:10" x14ac:dyDescent="0.3">
      <c r="A624" s="3" t="str">
        <f t="shared" si="27"/>
        <v>C623</v>
      </c>
      <c r="B624" s="3" t="str">
        <f t="shared" ca="1" si="28"/>
        <v>IT Services</v>
      </c>
      <c r="C624" s="3">
        <v>416</v>
      </c>
      <c r="D624" s="3">
        <v>2.8</v>
      </c>
      <c r="E624" s="3">
        <v>6.1</v>
      </c>
      <c r="F624" s="3">
        <v>0.6</v>
      </c>
      <c r="G624" s="3" t="s">
        <v>7</v>
      </c>
      <c r="H624" s="12">
        <v>0</v>
      </c>
      <c r="I624" s="14">
        <v>0.45966038191042247</v>
      </c>
      <c r="J624" s="9" t="str">
        <f t="shared" si="29"/>
        <v>Train</v>
      </c>
    </row>
    <row r="625" spans="1:10" x14ac:dyDescent="0.3">
      <c r="A625" s="3" t="str">
        <f t="shared" si="27"/>
        <v>C624</v>
      </c>
      <c r="B625" s="3" t="str">
        <f t="shared" ca="1" si="28"/>
        <v>Construction</v>
      </c>
      <c r="C625" s="3">
        <v>491</v>
      </c>
      <c r="D625" s="3">
        <v>2.4</v>
      </c>
      <c r="E625" s="3">
        <v>9.1</v>
      </c>
      <c r="F625" s="3">
        <v>1</v>
      </c>
      <c r="G625" s="3" t="s">
        <v>7</v>
      </c>
      <c r="H625" s="12">
        <v>0</v>
      </c>
      <c r="I625" s="14">
        <v>0.68539117859200716</v>
      </c>
      <c r="J625" s="9" t="str">
        <f t="shared" si="29"/>
        <v>Train</v>
      </c>
    </row>
    <row r="626" spans="1:10" x14ac:dyDescent="0.3">
      <c r="A626" s="3" t="str">
        <f t="shared" si="27"/>
        <v>C625</v>
      </c>
      <c r="B626" s="3" t="str">
        <f t="shared" ca="1" si="28"/>
        <v>Retail</v>
      </c>
      <c r="C626" s="3">
        <v>439</v>
      </c>
      <c r="D626" s="3">
        <v>4.5999999999999996</v>
      </c>
      <c r="E626" s="3">
        <v>1.3</v>
      </c>
      <c r="F626" s="3">
        <v>1.1000000000000001</v>
      </c>
      <c r="G626" s="3" t="s">
        <v>13</v>
      </c>
      <c r="H626" s="12">
        <v>0</v>
      </c>
      <c r="I626" s="14">
        <v>0.85817814141348414</v>
      </c>
      <c r="J626" s="9" t="str">
        <f t="shared" si="29"/>
        <v>Test</v>
      </c>
    </row>
    <row r="627" spans="1:10" x14ac:dyDescent="0.3">
      <c r="A627" s="3" t="str">
        <f t="shared" si="27"/>
        <v>C626</v>
      </c>
      <c r="B627" s="3" t="str">
        <f t="shared" ca="1" si="28"/>
        <v>IT Services</v>
      </c>
      <c r="C627" s="3">
        <v>289</v>
      </c>
      <c r="D627" s="3">
        <v>1.3</v>
      </c>
      <c r="E627" s="3">
        <v>6.4</v>
      </c>
      <c r="F627" s="3">
        <v>2.5</v>
      </c>
      <c r="G627" s="3" t="s">
        <v>11</v>
      </c>
      <c r="H627" s="12">
        <v>0</v>
      </c>
      <c r="I627" s="14">
        <v>6.5596410057548793E-2</v>
      </c>
      <c r="J627" s="9" t="str">
        <f t="shared" si="29"/>
        <v>Train</v>
      </c>
    </row>
    <row r="628" spans="1:10" x14ac:dyDescent="0.3">
      <c r="A628" s="3" t="str">
        <f t="shared" si="27"/>
        <v>C627</v>
      </c>
      <c r="B628" s="3" t="str">
        <f t="shared" ca="1" si="28"/>
        <v>Manufacturing</v>
      </c>
      <c r="C628" s="3">
        <v>96</v>
      </c>
      <c r="D628" s="3">
        <v>3.8</v>
      </c>
      <c r="E628" s="3">
        <v>5.7</v>
      </c>
      <c r="F628" s="3">
        <v>0.6</v>
      </c>
      <c r="G628" s="3" t="s">
        <v>7</v>
      </c>
      <c r="H628" s="12">
        <v>0</v>
      </c>
      <c r="I628" s="14">
        <v>0.3501875374842135</v>
      </c>
      <c r="J628" s="9" t="str">
        <f t="shared" si="29"/>
        <v>Train</v>
      </c>
    </row>
    <row r="629" spans="1:10" x14ac:dyDescent="0.3">
      <c r="A629" s="3" t="str">
        <f t="shared" si="27"/>
        <v>C628</v>
      </c>
      <c r="B629" s="3" t="str">
        <f t="shared" ca="1" si="28"/>
        <v>Transportation</v>
      </c>
      <c r="C629" s="3">
        <v>358</v>
      </c>
      <c r="D629" s="3">
        <v>6.4</v>
      </c>
      <c r="E629" s="3">
        <v>2.2000000000000002</v>
      </c>
      <c r="F629" s="3">
        <v>3</v>
      </c>
      <c r="G629" s="3" t="s">
        <v>9</v>
      </c>
      <c r="H629" s="12">
        <v>0</v>
      </c>
      <c r="I629" s="14">
        <v>0.43857572904712683</v>
      </c>
      <c r="J629" s="9" t="str">
        <f t="shared" si="29"/>
        <v>Train</v>
      </c>
    </row>
    <row r="630" spans="1:10" x14ac:dyDescent="0.3">
      <c r="A630" s="3" t="str">
        <f t="shared" si="27"/>
        <v>C629</v>
      </c>
      <c r="B630" s="3" t="str">
        <f t="shared" ca="1" si="28"/>
        <v>Pharma</v>
      </c>
      <c r="C630" s="3">
        <v>155</v>
      </c>
      <c r="D630" s="3">
        <v>3.4</v>
      </c>
      <c r="E630" s="3">
        <v>1.7</v>
      </c>
      <c r="F630" s="3">
        <v>2.8</v>
      </c>
      <c r="G630" s="3" t="s">
        <v>7</v>
      </c>
      <c r="H630" s="12">
        <v>0</v>
      </c>
      <c r="I630" s="14">
        <v>0.41650625062586177</v>
      </c>
      <c r="J630" s="9" t="str">
        <f t="shared" si="29"/>
        <v>Train</v>
      </c>
    </row>
    <row r="631" spans="1:10" x14ac:dyDescent="0.3">
      <c r="A631" s="3" t="str">
        <f t="shared" si="27"/>
        <v>C630</v>
      </c>
      <c r="B631" s="3" t="str">
        <f t="shared" ca="1" si="28"/>
        <v>Construction</v>
      </c>
      <c r="C631" s="3">
        <v>68</v>
      </c>
      <c r="D631" s="3">
        <v>1</v>
      </c>
      <c r="E631" s="3">
        <v>3.8</v>
      </c>
      <c r="F631" s="3">
        <v>1.1000000000000001</v>
      </c>
      <c r="G631" s="3" t="s">
        <v>11</v>
      </c>
      <c r="H631" s="12">
        <v>0</v>
      </c>
      <c r="I631" s="14">
        <v>0.34061475618980774</v>
      </c>
      <c r="J631" s="9" t="str">
        <f t="shared" si="29"/>
        <v>Train</v>
      </c>
    </row>
    <row r="632" spans="1:10" x14ac:dyDescent="0.3">
      <c r="A632" s="3" t="str">
        <f t="shared" si="27"/>
        <v>C631</v>
      </c>
      <c r="B632" s="3" t="str">
        <f t="shared" ca="1" si="28"/>
        <v>IT Services</v>
      </c>
      <c r="C632" s="3">
        <v>495</v>
      </c>
      <c r="D632" s="3">
        <v>2.8</v>
      </c>
      <c r="E632" s="3">
        <v>5.2</v>
      </c>
      <c r="F632" s="3">
        <v>1.9</v>
      </c>
      <c r="G632" s="3" t="s">
        <v>7</v>
      </c>
      <c r="H632" s="12">
        <v>0</v>
      </c>
      <c r="I632" s="14">
        <v>0.22165685580910355</v>
      </c>
      <c r="J632" s="9" t="str">
        <f t="shared" si="29"/>
        <v>Train</v>
      </c>
    </row>
    <row r="633" spans="1:10" x14ac:dyDescent="0.3">
      <c r="A633" s="3" t="str">
        <f t="shared" si="27"/>
        <v>C632</v>
      </c>
      <c r="B633" s="3" t="str">
        <f t="shared" ca="1" si="28"/>
        <v>Retail</v>
      </c>
      <c r="C633" s="3">
        <v>192</v>
      </c>
      <c r="D633" s="3">
        <v>5.0999999999999996</v>
      </c>
      <c r="E633" s="3">
        <v>0.6</v>
      </c>
      <c r="F633" s="3">
        <v>2.8</v>
      </c>
      <c r="G633" s="3" t="s">
        <v>13</v>
      </c>
      <c r="H633" s="12">
        <v>0</v>
      </c>
      <c r="I633" s="14">
        <v>0.11747845397242473</v>
      </c>
      <c r="J633" s="9" t="str">
        <f t="shared" si="29"/>
        <v>Train</v>
      </c>
    </row>
    <row r="634" spans="1:10" x14ac:dyDescent="0.3">
      <c r="A634" s="3" t="str">
        <f t="shared" si="27"/>
        <v>C633</v>
      </c>
      <c r="B634" s="3" t="str">
        <f t="shared" ca="1" si="28"/>
        <v>IT Services</v>
      </c>
      <c r="C634" s="3">
        <v>383</v>
      </c>
      <c r="D634" s="3">
        <v>1.7</v>
      </c>
      <c r="E634" s="3">
        <v>4.7</v>
      </c>
      <c r="F634" s="3">
        <v>1.7</v>
      </c>
      <c r="G634" s="3" t="s">
        <v>11</v>
      </c>
      <c r="H634" s="12">
        <v>0</v>
      </c>
      <c r="I634" s="14">
        <v>0.38029701759119461</v>
      </c>
      <c r="J634" s="9" t="str">
        <f t="shared" si="29"/>
        <v>Train</v>
      </c>
    </row>
    <row r="635" spans="1:10" x14ac:dyDescent="0.3">
      <c r="A635" s="3" t="str">
        <f t="shared" si="27"/>
        <v>C634</v>
      </c>
      <c r="B635" s="3" t="str">
        <f t="shared" ca="1" si="28"/>
        <v>Pharma</v>
      </c>
      <c r="C635" s="3">
        <v>235</v>
      </c>
      <c r="D635" s="3">
        <v>2</v>
      </c>
      <c r="E635" s="3">
        <v>9.1</v>
      </c>
      <c r="F635" s="3">
        <v>1</v>
      </c>
      <c r="G635" s="3" t="s">
        <v>7</v>
      </c>
      <c r="H635" s="12">
        <v>0</v>
      </c>
      <c r="I635" s="14">
        <v>0.13615152731655422</v>
      </c>
      <c r="J635" s="9" t="str">
        <f t="shared" si="29"/>
        <v>Train</v>
      </c>
    </row>
    <row r="636" spans="1:10" x14ac:dyDescent="0.3">
      <c r="A636" s="3" t="str">
        <f t="shared" si="27"/>
        <v>C635</v>
      </c>
      <c r="B636" s="3" t="str">
        <f t="shared" ca="1" si="28"/>
        <v>Manufacturing</v>
      </c>
      <c r="C636" s="3">
        <v>76</v>
      </c>
      <c r="D636" s="3">
        <v>1</v>
      </c>
      <c r="E636" s="3">
        <v>7.3</v>
      </c>
      <c r="F636" s="3">
        <v>2.4</v>
      </c>
      <c r="G636" s="3" t="s">
        <v>11</v>
      </c>
      <c r="H636" s="12">
        <v>0</v>
      </c>
      <c r="I636" s="14">
        <v>0.57345254620492692</v>
      </c>
      <c r="J636" s="9" t="str">
        <f t="shared" si="29"/>
        <v>Train</v>
      </c>
    </row>
    <row r="637" spans="1:10" x14ac:dyDescent="0.3">
      <c r="A637" s="3" t="str">
        <f t="shared" si="27"/>
        <v>C636</v>
      </c>
      <c r="B637" s="3" t="str">
        <f t="shared" ca="1" si="28"/>
        <v>Transportation</v>
      </c>
      <c r="C637" s="3">
        <v>484</v>
      </c>
      <c r="D637" s="3">
        <v>4.3</v>
      </c>
      <c r="E637" s="3">
        <v>6.3</v>
      </c>
      <c r="F637" s="3">
        <v>2.1</v>
      </c>
      <c r="G637" s="3" t="s">
        <v>13</v>
      </c>
      <c r="H637" s="12">
        <v>0</v>
      </c>
      <c r="I637" s="14">
        <v>8.7784985862070952E-2</v>
      </c>
      <c r="J637" s="9" t="str">
        <f t="shared" si="29"/>
        <v>Train</v>
      </c>
    </row>
    <row r="638" spans="1:10" x14ac:dyDescent="0.3">
      <c r="A638" s="3" t="str">
        <f t="shared" si="27"/>
        <v>C637</v>
      </c>
      <c r="B638" s="3" t="str">
        <f t="shared" ca="1" si="28"/>
        <v>Retail</v>
      </c>
      <c r="C638" s="3">
        <v>366</v>
      </c>
      <c r="D638" s="3">
        <v>7.2</v>
      </c>
      <c r="E638" s="3">
        <v>8.1</v>
      </c>
      <c r="F638" s="3">
        <v>2.5</v>
      </c>
      <c r="G638" s="3" t="s">
        <v>9</v>
      </c>
      <c r="H638" s="12">
        <v>0</v>
      </c>
      <c r="I638" s="14">
        <v>0.41454288108077308</v>
      </c>
      <c r="J638" s="9" t="str">
        <f t="shared" si="29"/>
        <v>Train</v>
      </c>
    </row>
    <row r="639" spans="1:10" x14ac:dyDescent="0.3">
      <c r="A639" s="3" t="str">
        <f t="shared" si="27"/>
        <v>C638</v>
      </c>
      <c r="B639" s="3" t="str">
        <f t="shared" ca="1" si="28"/>
        <v>Pharma</v>
      </c>
      <c r="C639" s="3">
        <v>489</v>
      </c>
      <c r="D639" s="3">
        <v>7.9</v>
      </c>
      <c r="E639" s="3">
        <v>9.9</v>
      </c>
      <c r="F639" s="3">
        <v>1.9</v>
      </c>
      <c r="G639" s="3" t="s">
        <v>9</v>
      </c>
      <c r="H639" s="12">
        <v>0</v>
      </c>
      <c r="I639" s="14">
        <v>0.37261301412345083</v>
      </c>
      <c r="J639" s="9" t="str">
        <f t="shared" si="29"/>
        <v>Train</v>
      </c>
    </row>
    <row r="640" spans="1:10" x14ac:dyDescent="0.3">
      <c r="A640" s="3" t="str">
        <f t="shared" si="27"/>
        <v>C639</v>
      </c>
      <c r="B640" s="3" t="str">
        <f t="shared" ca="1" si="28"/>
        <v>Manufacturing</v>
      </c>
      <c r="C640" s="3">
        <v>284</v>
      </c>
      <c r="D640" s="3">
        <v>2.8</v>
      </c>
      <c r="E640" s="3">
        <v>7.9</v>
      </c>
      <c r="F640" s="3">
        <v>1.4</v>
      </c>
      <c r="G640" s="3" t="s">
        <v>7</v>
      </c>
      <c r="H640" s="12">
        <v>0</v>
      </c>
      <c r="I640" s="14">
        <v>0.10103275145860424</v>
      </c>
      <c r="J640" s="9" t="str">
        <f t="shared" si="29"/>
        <v>Train</v>
      </c>
    </row>
    <row r="641" spans="1:10" x14ac:dyDescent="0.3">
      <c r="A641" s="3" t="str">
        <f t="shared" si="27"/>
        <v>C640</v>
      </c>
      <c r="B641" s="3" t="str">
        <f t="shared" ca="1" si="28"/>
        <v>Pharma</v>
      </c>
      <c r="C641" s="3">
        <v>120</v>
      </c>
      <c r="D641" s="3">
        <v>0.7</v>
      </c>
      <c r="E641" s="3">
        <v>3</v>
      </c>
      <c r="F641" s="3">
        <v>0.9</v>
      </c>
      <c r="G641" s="3" t="s">
        <v>11</v>
      </c>
      <c r="H641" s="12">
        <v>0</v>
      </c>
      <c r="I641" s="14">
        <v>0.57095728595445583</v>
      </c>
      <c r="J641" s="9" t="str">
        <f t="shared" si="29"/>
        <v>Train</v>
      </c>
    </row>
    <row r="642" spans="1:10" x14ac:dyDescent="0.3">
      <c r="A642" s="3" t="str">
        <f t="shared" si="27"/>
        <v>C641</v>
      </c>
      <c r="B642" s="3" t="str">
        <f t="shared" ca="1" si="28"/>
        <v>IT Services</v>
      </c>
      <c r="C642" s="3">
        <v>152</v>
      </c>
      <c r="D642" s="3">
        <v>4.4000000000000004</v>
      </c>
      <c r="E642" s="3">
        <v>7</v>
      </c>
      <c r="F642" s="3">
        <v>3</v>
      </c>
      <c r="G642" s="3" t="s">
        <v>13</v>
      </c>
      <c r="H642" s="12">
        <v>0</v>
      </c>
      <c r="I642" s="14">
        <v>1.2813941051387223E-2</v>
      </c>
      <c r="J642" s="9" t="str">
        <f t="shared" si="29"/>
        <v>Train</v>
      </c>
    </row>
    <row r="643" spans="1:10" x14ac:dyDescent="0.3">
      <c r="A643" s="3" t="str">
        <f t="shared" ref="A643:A706" si="30">"C"&amp;TEXT(ROW()-1,"000")</f>
        <v>C642</v>
      </c>
      <c r="B643" s="3" t="str">
        <f t="shared" ref="B643:B706" ca="1" si="31">CHOOSE(RANDBETWEEN(1,6),
"Manufacturing",
"Retail",
"Pharma",
"Construction",
"Transportation",
"IT Services")</f>
        <v>Manufacturing</v>
      </c>
      <c r="C643" s="3">
        <v>274</v>
      </c>
      <c r="D643" s="3">
        <v>3.8</v>
      </c>
      <c r="E643" s="3">
        <v>4.4000000000000004</v>
      </c>
      <c r="F643" s="3">
        <v>1.6</v>
      </c>
      <c r="G643" s="3" t="s">
        <v>7</v>
      </c>
      <c r="H643" s="12">
        <v>0</v>
      </c>
      <c r="I643" s="14">
        <v>0.353759115962749</v>
      </c>
      <c r="J643" s="9" t="str">
        <f t="shared" ref="J643:J706" si="32">IF(I643&lt;=0.7,"Train","Test")</f>
        <v>Train</v>
      </c>
    </row>
    <row r="644" spans="1:10" x14ac:dyDescent="0.3">
      <c r="A644" s="3" t="str">
        <f t="shared" si="30"/>
        <v>C643</v>
      </c>
      <c r="B644" s="3" t="str">
        <f t="shared" ca="1" si="31"/>
        <v>Manufacturing</v>
      </c>
      <c r="C644" s="3">
        <v>411</v>
      </c>
      <c r="D644" s="3">
        <v>2.9</v>
      </c>
      <c r="E644" s="3">
        <v>3</v>
      </c>
      <c r="F644" s="3">
        <v>0.6</v>
      </c>
      <c r="G644" s="3" t="s">
        <v>7</v>
      </c>
      <c r="H644" s="12">
        <v>0</v>
      </c>
      <c r="I644" s="14">
        <v>0.69205700674827175</v>
      </c>
      <c r="J644" s="9" t="str">
        <f t="shared" si="32"/>
        <v>Train</v>
      </c>
    </row>
    <row r="645" spans="1:10" x14ac:dyDescent="0.3">
      <c r="A645" s="3" t="str">
        <f t="shared" si="30"/>
        <v>C644</v>
      </c>
      <c r="B645" s="3" t="str">
        <f t="shared" ca="1" si="31"/>
        <v>Pharma</v>
      </c>
      <c r="C645" s="3">
        <v>55</v>
      </c>
      <c r="D645" s="3">
        <v>7</v>
      </c>
      <c r="E645" s="3">
        <v>6.9</v>
      </c>
      <c r="F645" s="3">
        <v>1</v>
      </c>
      <c r="G645" s="3" t="s">
        <v>9</v>
      </c>
      <c r="H645" s="12">
        <v>0</v>
      </c>
      <c r="I645" s="14">
        <v>0.16203856963577223</v>
      </c>
      <c r="J645" s="9" t="str">
        <f t="shared" si="32"/>
        <v>Train</v>
      </c>
    </row>
    <row r="646" spans="1:10" x14ac:dyDescent="0.3">
      <c r="A646" s="3" t="str">
        <f t="shared" si="30"/>
        <v>C645</v>
      </c>
      <c r="B646" s="3" t="str">
        <f t="shared" ca="1" si="31"/>
        <v>Retail</v>
      </c>
      <c r="C646" s="3">
        <v>293</v>
      </c>
      <c r="D646" s="3">
        <v>1.9</v>
      </c>
      <c r="E646" s="3">
        <v>1.4</v>
      </c>
      <c r="F646" s="3">
        <v>0.6</v>
      </c>
      <c r="G646" s="3" t="s">
        <v>11</v>
      </c>
      <c r="H646" s="12">
        <v>0</v>
      </c>
      <c r="I646" s="14">
        <v>0.74943620077330042</v>
      </c>
      <c r="J646" s="9" t="str">
        <f t="shared" si="32"/>
        <v>Test</v>
      </c>
    </row>
    <row r="647" spans="1:10" x14ac:dyDescent="0.3">
      <c r="A647" s="3" t="str">
        <f t="shared" si="30"/>
        <v>C646</v>
      </c>
      <c r="B647" s="3" t="str">
        <f t="shared" ca="1" si="31"/>
        <v>Construction</v>
      </c>
      <c r="C647" s="3">
        <v>471</v>
      </c>
      <c r="D647" s="3">
        <v>5.3</v>
      </c>
      <c r="E647" s="3">
        <v>4.2</v>
      </c>
      <c r="F647" s="3">
        <v>1.3</v>
      </c>
      <c r="G647" s="3" t="s">
        <v>13</v>
      </c>
      <c r="H647" s="12">
        <v>0</v>
      </c>
      <c r="I647" s="14">
        <v>0.86289194225803301</v>
      </c>
      <c r="J647" s="9" t="str">
        <f t="shared" si="32"/>
        <v>Test</v>
      </c>
    </row>
    <row r="648" spans="1:10" x14ac:dyDescent="0.3">
      <c r="A648" s="3" t="str">
        <f t="shared" si="30"/>
        <v>C647</v>
      </c>
      <c r="B648" s="3" t="str">
        <f t="shared" ca="1" si="31"/>
        <v>IT Services</v>
      </c>
      <c r="C648" s="3">
        <v>142</v>
      </c>
      <c r="D648" s="3">
        <v>0.7</v>
      </c>
      <c r="E648" s="3">
        <v>4.7</v>
      </c>
      <c r="F648" s="3">
        <v>2.8</v>
      </c>
      <c r="G648" s="3" t="s">
        <v>11</v>
      </c>
      <c r="H648" s="12">
        <v>0</v>
      </c>
      <c r="I648" s="14">
        <v>0.63296182690671654</v>
      </c>
      <c r="J648" s="9" t="str">
        <f t="shared" si="32"/>
        <v>Train</v>
      </c>
    </row>
    <row r="649" spans="1:10" x14ac:dyDescent="0.3">
      <c r="A649" s="3" t="str">
        <f t="shared" si="30"/>
        <v>C648</v>
      </c>
      <c r="B649" s="3" t="str">
        <f t="shared" ca="1" si="31"/>
        <v>Pharma</v>
      </c>
      <c r="C649" s="3">
        <v>402</v>
      </c>
      <c r="D649" s="3">
        <v>7.1</v>
      </c>
      <c r="E649" s="3">
        <v>5.4</v>
      </c>
      <c r="F649" s="3">
        <v>0.8</v>
      </c>
      <c r="G649" s="3" t="s">
        <v>9</v>
      </c>
      <c r="H649" s="12">
        <v>0</v>
      </c>
      <c r="I649" s="14">
        <v>0.50176093786758058</v>
      </c>
      <c r="J649" s="9" t="str">
        <f t="shared" si="32"/>
        <v>Train</v>
      </c>
    </row>
    <row r="650" spans="1:10" x14ac:dyDescent="0.3">
      <c r="A650" s="3" t="str">
        <f t="shared" si="30"/>
        <v>C649</v>
      </c>
      <c r="B650" s="3" t="str">
        <f t="shared" ca="1" si="31"/>
        <v>Construction</v>
      </c>
      <c r="C650" s="3">
        <v>134</v>
      </c>
      <c r="D650" s="3">
        <v>1.6</v>
      </c>
      <c r="E650" s="3">
        <v>5.0999999999999996</v>
      </c>
      <c r="F650" s="3">
        <v>1.6</v>
      </c>
      <c r="G650" s="3" t="s">
        <v>11</v>
      </c>
      <c r="H650" s="12">
        <v>0</v>
      </c>
      <c r="I650" s="14">
        <v>0.61480312696690542</v>
      </c>
      <c r="J650" s="9" t="str">
        <f t="shared" si="32"/>
        <v>Train</v>
      </c>
    </row>
    <row r="651" spans="1:10" x14ac:dyDescent="0.3">
      <c r="A651" s="3" t="str">
        <f t="shared" si="30"/>
        <v>C650</v>
      </c>
      <c r="B651" s="3" t="str">
        <f t="shared" ca="1" si="31"/>
        <v>Retail</v>
      </c>
      <c r="C651" s="3">
        <v>485</v>
      </c>
      <c r="D651" s="3">
        <v>7.7</v>
      </c>
      <c r="E651" s="3">
        <v>5</v>
      </c>
      <c r="F651" s="3">
        <v>2.6</v>
      </c>
      <c r="G651" s="3" t="s">
        <v>9</v>
      </c>
      <c r="H651" s="12">
        <v>0</v>
      </c>
      <c r="I651" s="14">
        <v>0.40051910601220642</v>
      </c>
      <c r="J651" s="9" t="str">
        <f t="shared" si="32"/>
        <v>Train</v>
      </c>
    </row>
    <row r="652" spans="1:10" x14ac:dyDescent="0.3">
      <c r="A652" s="3" t="str">
        <f t="shared" si="30"/>
        <v>C651</v>
      </c>
      <c r="B652" s="3" t="str">
        <f t="shared" ca="1" si="31"/>
        <v>Manufacturing</v>
      </c>
      <c r="C652" s="3">
        <v>143</v>
      </c>
      <c r="D652" s="3">
        <v>7.3</v>
      </c>
      <c r="E652" s="3">
        <v>6</v>
      </c>
      <c r="F652" s="3">
        <v>1.9</v>
      </c>
      <c r="G652" s="3" t="s">
        <v>9</v>
      </c>
      <c r="H652" s="12">
        <v>0</v>
      </c>
      <c r="I652" s="14">
        <v>0.23186618610859733</v>
      </c>
      <c r="J652" s="9" t="str">
        <f t="shared" si="32"/>
        <v>Train</v>
      </c>
    </row>
    <row r="653" spans="1:10" x14ac:dyDescent="0.3">
      <c r="A653" s="3" t="str">
        <f t="shared" si="30"/>
        <v>C652</v>
      </c>
      <c r="B653" s="3" t="str">
        <f t="shared" ca="1" si="31"/>
        <v>Retail</v>
      </c>
      <c r="C653" s="3">
        <v>75</v>
      </c>
      <c r="D653" s="3">
        <v>4</v>
      </c>
      <c r="E653" s="3">
        <v>3.2</v>
      </c>
      <c r="F653" s="3">
        <v>2.1</v>
      </c>
      <c r="G653" s="3" t="s">
        <v>13</v>
      </c>
      <c r="H653" s="12">
        <v>0</v>
      </c>
      <c r="I653" s="14">
        <v>0.47759633768856846</v>
      </c>
      <c r="J653" s="9" t="str">
        <f t="shared" si="32"/>
        <v>Train</v>
      </c>
    </row>
    <row r="654" spans="1:10" x14ac:dyDescent="0.3">
      <c r="A654" s="3" t="str">
        <f t="shared" si="30"/>
        <v>C653</v>
      </c>
      <c r="B654" s="3" t="str">
        <f t="shared" ca="1" si="31"/>
        <v>Manufacturing</v>
      </c>
      <c r="C654" s="3">
        <v>215</v>
      </c>
      <c r="D654" s="3">
        <v>5.3</v>
      </c>
      <c r="E654" s="3">
        <v>8.6</v>
      </c>
      <c r="F654" s="3">
        <v>1</v>
      </c>
      <c r="G654" s="3" t="s">
        <v>13</v>
      </c>
      <c r="H654" s="12">
        <v>0</v>
      </c>
      <c r="I654" s="14">
        <v>0.3220963410493719</v>
      </c>
      <c r="J654" s="9" t="str">
        <f t="shared" si="32"/>
        <v>Train</v>
      </c>
    </row>
    <row r="655" spans="1:10" x14ac:dyDescent="0.3">
      <c r="A655" s="3" t="str">
        <f t="shared" si="30"/>
        <v>C654</v>
      </c>
      <c r="B655" s="3" t="str">
        <f t="shared" ca="1" si="31"/>
        <v>Transportation</v>
      </c>
      <c r="C655" s="3">
        <v>494</v>
      </c>
      <c r="D655" s="3">
        <v>1.9</v>
      </c>
      <c r="E655" s="3">
        <v>5.9</v>
      </c>
      <c r="F655" s="3">
        <v>0.6</v>
      </c>
      <c r="G655" s="3" t="s">
        <v>11</v>
      </c>
      <c r="H655" s="12">
        <v>0</v>
      </c>
      <c r="I655" s="14">
        <v>0.23872784977917771</v>
      </c>
      <c r="J655" s="9" t="str">
        <f t="shared" si="32"/>
        <v>Train</v>
      </c>
    </row>
    <row r="656" spans="1:10" x14ac:dyDescent="0.3">
      <c r="A656" s="3" t="str">
        <f t="shared" si="30"/>
        <v>C655</v>
      </c>
      <c r="B656" s="3" t="str">
        <f t="shared" ca="1" si="31"/>
        <v>Pharma</v>
      </c>
      <c r="C656" s="3">
        <v>246</v>
      </c>
      <c r="D656" s="3">
        <v>3.4</v>
      </c>
      <c r="E656" s="3">
        <v>4.2</v>
      </c>
      <c r="F656" s="3">
        <v>2.1</v>
      </c>
      <c r="G656" s="3" t="s">
        <v>7</v>
      </c>
      <c r="H656" s="12">
        <v>0</v>
      </c>
      <c r="I656" s="14">
        <v>0.42625766104314478</v>
      </c>
      <c r="J656" s="9" t="str">
        <f t="shared" si="32"/>
        <v>Train</v>
      </c>
    </row>
    <row r="657" spans="1:10" x14ac:dyDescent="0.3">
      <c r="A657" s="3" t="str">
        <f t="shared" si="30"/>
        <v>C656</v>
      </c>
      <c r="B657" s="3" t="str">
        <f t="shared" ca="1" si="31"/>
        <v>IT Services</v>
      </c>
      <c r="C657" s="3">
        <v>109</v>
      </c>
      <c r="D657" s="3">
        <v>5.7</v>
      </c>
      <c r="E657" s="3">
        <v>1.6</v>
      </c>
      <c r="F657" s="3">
        <v>0.6</v>
      </c>
      <c r="G657" s="3" t="s">
        <v>13</v>
      </c>
      <c r="H657" s="12">
        <v>1</v>
      </c>
      <c r="I657" s="14">
        <v>0.48565345606043597</v>
      </c>
      <c r="J657" s="9" t="str">
        <f t="shared" si="32"/>
        <v>Train</v>
      </c>
    </row>
    <row r="658" spans="1:10" x14ac:dyDescent="0.3">
      <c r="A658" s="3" t="str">
        <f t="shared" si="30"/>
        <v>C657</v>
      </c>
      <c r="B658" s="3" t="str">
        <f t="shared" ca="1" si="31"/>
        <v>Manufacturing</v>
      </c>
      <c r="C658" s="3">
        <v>197</v>
      </c>
      <c r="D658" s="3">
        <v>5.8</v>
      </c>
      <c r="E658" s="3">
        <v>6.3</v>
      </c>
      <c r="F658" s="3">
        <v>2.8</v>
      </c>
      <c r="G658" s="3" t="s">
        <v>13</v>
      </c>
      <c r="H658" s="12">
        <v>0</v>
      </c>
      <c r="I658" s="14">
        <v>5.9135402845111207E-2</v>
      </c>
      <c r="J658" s="9" t="str">
        <f t="shared" si="32"/>
        <v>Train</v>
      </c>
    </row>
    <row r="659" spans="1:10" x14ac:dyDescent="0.3">
      <c r="A659" s="3" t="str">
        <f t="shared" si="30"/>
        <v>C658</v>
      </c>
      <c r="B659" s="3" t="str">
        <f t="shared" ca="1" si="31"/>
        <v>Construction</v>
      </c>
      <c r="C659" s="3">
        <v>92</v>
      </c>
      <c r="D659" s="3">
        <v>2.2000000000000002</v>
      </c>
      <c r="E659" s="3">
        <v>2.2999999999999998</v>
      </c>
      <c r="F659" s="3">
        <v>1.8</v>
      </c>
      <c r="G659" s="3" t="s">
        <v>7</v>
      </c>
      <c r="H659" s="12">
        <v>0</v>
      </c>
      <c r="I659" s="14">
        <v>0.77141730059859537</v>
      </c>
      <c r="J659" s="9" t="str">
        <f t="shared" si="32"/>
        <v>Test</v>
      </c>
    </row>
    <row r="660" spans="1:10" x14ac:dyDescent="0.3">
      <c r="A660" s="3" t="str">
        <f t="shared" si="30"/>
        <v>C659</v>
      </c>
      <c r="B660" s="3" t="str">
        <f t="shared" ca="1" si="31"/>
        <v>IT Services</v>
      </c>
      <c r="C660" s="3">
        <v>155</v>
      </c>
      <c r="D660" s="3">
        <v>4.5</v>
      </c>
      <c r="E660" s="3">
        <v>4.0999999999999996</v>
      </c>
      <c r="F660" s="3">
        <v>1.8</v>
      </c>
      <c r="G660" s="3" t="s">
        <v>13</v>
      </c>
      <c r="H660" s="12">
        <v>0</v>
      </c>
      <c r="I660" s="14">
        <v>0.23998459941795147</v>
      </c>
      <c r="J660" s="9" t="str">
        <f t="shared" si="32"/>
        <v>Train</v>
      </c>
    </row>
    <row r="661" spans="1:10" x14ac:dyDescent="0.3">
      <c r="A661" s="3" t="str">
        <f t="shared" si="30"/>
        <v>C660</v>
      </c>
      <c r="B661" s="3" t="str">
        <f t="shared" ca="1" si="31"/>
        <v>Manufacturing</v>
      </c>
      <c r="C661" s="3">
        <v>179</v>
      </c>
      <c r="D661" s="3">
        <v>5.5</v>
      </c>
      <c r="E661" s="3">
        <v>6.6</v>
      </c>
      <c r="F661" s="3">
        <v>0.6</v>
      </c>
      <c r="G661" s="3" t="s">
        <v>13</v>
      </c>
      <c r="H661" s="12">
        <v>0</v>
      </c>
      <c r="I661" s="14">
        <v>0.16850554354036762</v>
      </c>
      <c r="J661" s="9" t="str">
        <f t="shared" si="32"/>
        <v>Train</v>
      </c>
    </row>
    <row r="662" spans="1:10" x14ac:dyDescent="0.3">
      <c r="A662" s="3" t="str">
        <f t="shared" si="30"/>
        <v>C661</v>
      </c>
      <c r="B662" s="3" t="str">
        <f t="shared" ca="1" si="31"/>
        <v>Manufacturing</v>
      </c>
      <c r="C662" s="3">
        <v>102</v>
      </c>
      <c r="D662" s="3">
        <v>4.7</v>
      </c>
      <c r="E662" s="3">
        <v>0.7</v>
      </c>
      <c r="F662" s="3">
        <v>2.8</v>
      </c>
      <c r="G662" s="3" t="s">
        <v>13</v>
      </c>
      <c r="H662" s="12">
        <v>0</v>
      </c>
      <c r="I662" s="14">
        <v>0.411156863746032</v>
      </c>
      <c r="J662" s="9" t="str">
        <f t="shared" si="32"/>
        <v>Train</v>
      </c>
    </row>
    <row r="663" spans="1:10" x14ac:dyDescent="0.3">
      <c r="A663" s="3" t="str">
        <f t="shared" si="30"/>
        <v>C662</v>
      </c>
      <c r="B663" s="3" t="str">
        <f t="shared" ca="1" si="31"/>
        <v>Construction</v>
      </c>
      <c r="C663" s="3">
        <v>311</v>
      </c>
      <c r="D663" s="3">
        <v>2.7</v>
      </c>
      <c r="E663" s="3">
        <v>3</v>
      </c>
      <c r="F663" s="3">
        <v>2.8</v>
      </c>
      <c r="G663" s="3" t="s">
        <v>7</v>
      </c>
      <c r="H663" s="12">
        <v>0</v>
      </c>
      <c r="I663" s="14">
        <v>0.61052760992112842</v>
      </c>
      <c r="J663" s="9" t="str">
        <f t="shared" si="32"/>
        <v>Train</v>
      </c>
    </row>
    <row r="664" spans="1:10" x14ac:dyDescent="0.3">
      <c r="A664" s="3" t="str">
        <f t="shared" si="30"/>
        <v>C663</v>
      </c>
      <c r="B664" s="3" t="str">
        <f t="shared" ca="1" si="31"/>
        <v>Transportation</v>
      </c>
      <c r="C664" s="3">
        <v>360</v>
      </c>
      <c r="D664" s="3">
        <v>4.2</v>
      </c>
      <c r="E664" s="3">
        <v>7.9</v>
      </c>
      <c r="F664" s="3">
        <v>1</v>
      </c>
      <c r="G664" s="3" t="s">
        <v>13</v>
      </c>
      <c r="H664" s="12">
        <v>0</v>
      </c>
      <c r="I664" s="14">
        <v>0.57416715404769492</v>
      </c>
      <c r="J664" s="9" t="str">
        <f t="shared" si="32"/>
        <v>Train</v>
      </c>
    </row>
    <row r="665" spans="1:10" x14ac:dyDescent="0.3">
      <c r="A665" s="3" t="str">
        <f t="shared" si="30"/>
        <v>C664</v>
      </c>
      <c r="B665" s="3" t="str">
        <f t="shared" ca="1" si="31"/>
        <v>Retail</v>
      </c>
      <c r="C665" s="3">
        <v>322</v>
      </c>
      <c r="D665" s="3">
        <v>5.3</v>
      </c>
      <c r="E665" s="3">
        <v>2.2999999999999998</v>
      </c>
      <c r="F665" s="3">
        <v>1.6</v>
      </c>
      <c r="G665" s="3" t="s">
        <v>13</v>
      </c>
      <c r="H665" s="12">
        <v>0</v>
      </c>
      <c r="I665" s="14">
        <v>0.16661792970470723</v>
      </c>
      <c r="J665" s="9" t="str">
        <f t="shared" si="32"/>
        <v>Train</v>
      </c>
    </row>
    <row r="666" spans="1:10" x14ac:dyDescent="0.3">
      <c r="A666" s="3" t="str">
        <f t="shared" si="30"/>
        <v>C665</v>
      </c>
      <c r="B666" s="3" t="str">
        <f t="shared" ca="1" si="31"/>
        <v>Transportation</v>
      </c>
      <c r="C666" s="3">
        <v>338</v>
      </c>
      <c r="D666" s="3">
        <v>3.6</v>
      </c>
      <c r="E666" s="3">
        <v>3.6</v>
      </c>
      <c r="F666" s="3">
        <v>0.7</v>
      </c>
      <c r="G666" s="3" t="s">
        <v>7</v>
      </c>
      <c r="H666" s="12">
        <v>0</v>
      </c>
      <c r="I666" s="14">
        <v>0.4071354741209755</v>
      </c>
      <c r="J666" s="9" t="str">
        <f t="shared" si="32"/>
        <v>Train</v>
      </c>
    </row>
    <row r="667" spans="1:10" x14ac:dyDescent="0.3">
      <c r="A667" s="3" t="str">
        <f t="shared" si="30"/>
        <v>C666</v>
      </c>
      <c r="B667" s="3" t="str">
        <f t="shared" ca="1" si="31"/>
        <v>Manufacturing</v>
      </c>
      <c r="C667" s="3">
        <v>225</v>
      </c>
      <c r="D667" s="3">
        <v>1.4</v>
      </c>
      <c r="E667" s="3">
        <v>5.7</v>
      </c>
      <c r="F667" s="3">
        <v>1.8</v>
      </c>
      <c r="G667" s="3" t="s">
        <v>11</v>
      </c>
      <c r="H667" s="12">
        <v>0</v>
      </c>
      <c r="I667" s="14">
        <v>0.7666667187485634</v>
      </c>
      <c r="J667" s="9" t="str">
        <f t="shared" si="32"/>
        <v>Test</v>
      </c>
    </row>
    <row r="668" spans="1:10" x14ac:dyDescent="0.3">
      <c r="A668" s="3" t="str">
        <f t="shared" si="30"/>
        <v>C667</v>
      </c>
      <c r="B668" s="3" t="str">
        <f t="shared" ca="1" si="31"/>
        <v>IT Services</v>
      </c>
      <c r="C668" s="3">
        <v>218</v>
      </c>
      <c r="D668" s="3">
        <v>5.4</v>
      </c>
      <c r="E668" s="3">
        <v>3.4</v>
      </c>
      <c r="F668" s="3">
        <v>1.9</v>
      </c>
      <c r="G668" s="3" t="s">
        <v>13</v>
      </c>
      <c r="H668" s="12">
        <v>0</v>
      </c>
      <c r="I668" s="14">
        <v>0.14111604358449636</v>
      </c>
      <c r="J668" s="9" t="str">
        <f t="shared" si="32"/>
        <v>Train</v>
      </c>
    </row>
    <row r="669" spans="1:10" x14ac:dyDescent="0.3">
      <c r="A669" s="3" t="str">
        <f t="shared" si="30"/>
        <v>C668</v>
      </c>
      <c r="B669" s="3" t="str">
        <f t="shared" ca="1" si="31"/>
        <v>Pharma</v>
      </c>
      <c r="C669" s="3">
        <v>182</v>
      </c>
      <c r="D669" s="3">
        <v>1.7</v>
      </c>
      <c r="E669" s="3">
        <v>5.7</v>
      </c>
      <c r="F669" s="3">
        <v>2.2999999999999998</v>
      </c>
      <c r="G669" s="3" t="s">
        <v>11</v>
      </c>
      <c r="H669" s="12">
        <v>0</v>
      </c>
      <c r="I669" s="14">
        <v>7.9467903258782835E-2</v>
      </c>
      <c r="J669" s="9" t="str">
        <f t="shared" si="32"/>
        <v>Train</v>
      </c>
    </row>
    <row r="670" spans="1:10" x14ac:dyDescent="0.3">
      <c r="A670" s="3" t="str">
        <f t="shared" si="30"/>
        <v>C669</v>
      </c>
      <c r="B670" s="3" t="str">
        <f t="shared" ca="1" si="31"/>
        <v>Pharma</v>
      </c>
      <c r="C670" s="3">
        <v>335</v>
      </c>
      <c r="D670" s="3">
        <v>1.9</v>
      </c>
      <c r="E670" s="3">
        <v>1.5</v>
      </c>
      <c r="F670" s="3">
        <v>1.2</v>
      </c>
      <c r="G670" s="3" t="s">
        <v>11</v>
      </c>
      <c r="H670" s="12">
        <v>0</v>
      </c>
      <c r="I670" s="14">
        <v>0.90316520898787567</v>
      </c>
      <c r="J670" s="9" t="str">
        <f t="shared" si="32"/>
        <v>Test</v>
      </c>
    </row>
    <row r="671" spans="1:10" x14ac:dyDescent="0.3">
      <c r="A671" s="3" t="str">
        <f t="shared" si="30"/>
        <v>C670</v>
      </c>
      <c r="B671" s="3" t="str">
        <f t="shared" ca="1" si="31"/>
        <v>Pharma</v>
      </c>
      <c r="C671" s="3">
        <v>307</v>
      </c>
      <c r="D671" s="3">
        <v>3.9</v>
      </c>
      <c r="E671" s="3">
        <v>3.7</v>
      </c>
      <c r="F671" s="3">
        <v>0.6</v>
      </c>
      <c r="G671" s="3" t="s">
        <v>7</v>
      </c>
      <c r="H671" s="12">
        <v>0</v>
      </c>
      <c r="I671" s="14">
        <v>0.9113236486763715</v>
      </c>
      <c r="J671" s="9" t="str">
        <f t="shared" si="32"/>
        <v>Test</v>
      </c>
    </row>
    <row r="672" spans="1:10" x14ac:dyDescent="0.3">
      <c r="A672" s="3" t="str">
        <f t="shared" si="30"/>
        <v>C671</v>
      </c>
      <c r="B672" s="3" t="str">
        <f t="shared" ca="1" si="31"/>
        <v>IT Services</v>
      </c>
      <c r="C672" s="3">
        <v>339</v>
      </c>
      <c r="D672" s="3">
        <v>6</v>
      </c>
      <c r="E672" s="3">
        <v>3</v>
      </c>
      <c r="F672" s="3">
        <v>1.9</v>
      </c>
      <c r="G672" s="3" t="s">
        <v>9</v>
      </c>
      <c r="H672" s="12">
        <v>0</v>
      </c>
      <c r="I672" s="14">
        <v>6.7568737514538402E-2</v>
      </c>
      <c r="J672" s="9" t="str">
        <f t="shared" si="32"/>
        <v>Train</v>
      </c>
    </row>
    <row r="673" spans="1:10" x14ac:dyDescent="0.3">
      <c r="A673" s="3" t="str">
        <f t="shared" si="30"/>
        <v>C672</v>
      </c>
      <c r="B673" s="3" t="str">
        <f t="shared" ca="1" si="31"/>
        <v>Transportation</v>
      </c>
      <c r="C673" s="3">
        <v>222</v>
      </c>
      <c r="D673" s="3">
        <v>5.9</v>
      </c>
      <c r="E673" s="3">
        <v>5.4</v>
      </c>
      <c r="F673" s="3">
        <v>2.7</v>
      </c>
      <c r="G673" s="3" t="s">
        <v>13</v>
      </c>
      <c r="H673" s="12">
        <v>0</v>
      </c>
      <c r="I673" s="14">
        <v>0.59801111670809848</v>
      </c>
      <c r="J673" s="9" t="str">
        <f t="shared" si="32"/>
        <v>Train</v>
      </c>
    </row>
    <row r="674" spans="1:10" x14ac:dyDescent="0.3">
      <c r="A674" s="3" t="str">
        <f t="shared" si="30"/>
        <v>C673</v>
      </c>
      <c r="B674" s="3" t="str">
        <f t="shared" ca="1" si="31"/>
        <v>Manufacturing</v>
      </c>
      <c r="C674" s="3">
        <v>368</v>
      </c>
      <c r="D674" s="3">
        <v>1.7</v>
      </c>
      <c r="E674" s="3">
        <v>9.6999999999999993</v>
      </c>
      <c r="F674" s="3">
        <v>0.8</v>
      </c>
      <c r="G674" s="3" t="s">
        <v>11</v>
      </c>
      <c r="H674" s="12">
        <v>0</v>
      </c>
      <c r="I674" s="14">
        <v>0.9564357739662277</v>
      </c>
      <c r="J674" s="9" t="str">
        <f t="shared" si="32"/>
        <v>Test</v>
      </c>
    </row>
    <row r="675" spans="1:10" x14ac:dyDescent="0.3">
      <c r="A675" s="3" t="str">
        <f t="shared" si="30"/>
        <v>C674</v>
      </c>
      <c r="B675" s="3" t="str">
        <f t="shared" ca="1" si="31"/>
        <v>Construction</v>
      </c>
      <c r="C675" s="3">
        <v>411</v>
      </c>
      <c r="D675" s="3">
        <v>2.4</v>
      </c>
      <c r="E675" s="3">
        <v>7.6</v>
      </c>
      <c r="F675" s="3">
        <v>2.6</v>
      </c>
      <c r="G675" s="3" t="s">
        <v>7</v>
      </c>
      <c r="H675" s="12">
        <v>0</v>
      </c>
      <c r="I675" s="14">
        <v>0.36289673209798523</v>
      </c>
      <c r="J675" s="9" t="str">
        <f t="shared" si="32"/>
        <v>Train</v>
      </c>
    </row>
    <row r="676" spans="1:10" x14ac:dyDescent="0.3">
      <c r="A676" s="3" t="str">
        <f t="shared" si="30"/>
        <v>C675</v>
      </c>
      <c r="B676" s="3" t="str">
        <f t="shared" ca="1" si="31"/>
        <v>Manufacturing</v>
      </c>
      <c r="C676" s="3">
        <v>113</v>
      </c>
      <c r="D676" s="3">
        <v>5.3</v>
      </c>
      <c r="E676" s="3">
        <v>0.9</v>
      </c>
      <c r="F676" s="3">
        <v>2.7</v>
      </c>
      <c r="G676" s="3" t="s">
        <v>13</v>
      </c>
      <c r="H676" s="12">
        <v>0</v>
      </c>
      <c r="I676" s="14">
        <v>0.1352631257117316</v>
      </c>
      <c r="J676" s="9" t="str">
        <f t="shared" si="32"/>
        <v>Train</v>
      </c>
    </row>
    <row r="677" spans="1:10" x14ac:dyDescent="0.3">
      <c r="A677" s="3" t="str">
        <f t="shared" si="30"/>
        <v>C676</v>
      </c>
      <c r="B677" s="3" t="str">
        <f t="shared" ca="1" si="31"/>
        <v>IT Services</v>
      </c>
      <c r="C677" s="3">
        <v>102</v>
      </c>
      <c r="D677" s="3">
        <v>3.5</v>
      </c>
      <c r="E677" s="3">
        <v>4.5999999999999996</v>
      </c>
      <c r="F677" s="3">
        <v>1.1000000000000001</v>
      </c>
      <c r="G677" s="3" t="s">
        <v>7</v>
      </c>
      <c r="H677" s="12">
        <v>0</v>
      </c>
      <c r="I677" s="14">
        <v>0.99489311173850081</v>
      </c>
      <c r="J677" s="9" t="str">
        <f t="shared" si="32"/>
        <v>Test</v>
      </c>
    </row>
    <row r="678" spans="1:10" x14ac:dyDescent="0.3">
      <c r="A678" s="3" t="str">
        <f t="shared" si="30"/>
        <v>C677</v>
      </c>
      <c r="B678" s="3" t="str">
        <f t="shared" ca="1" si="31"/>
        <v>Transportation</v>
      </c>
      <c r="C678" s="3">
        <v>481</v>
      </c>
      <c r="D678" s="3">
        <v>7.2</v>
      </c>
      <c r="E678" s="3">
        <v>0.7</v>
      </c>
      <c r="F678" s="3">
        <v>2.4</v>
      </c>
      <c r="G678" s="3" t="s">
        <v>9</v>
      </c>
      <c r="H678" s="12">
        <v>0</v>
      </c>
      <c r="I678" s="14">
        <v>0.37664306361976096</v>
      </c>
      <c r="J678" s="9" t="str">
        <f t="shared" si="32"/>
        <v>Train</v>
      </c>
    </row>
    <row r="679" spans="1:10" x14ac:dyDescent="0.3">
      <c r="A679" s="3" t="str">
        <f t="shared" si="30"/>
        <v>C678</v>
      </c>
      <c r="B679" s="3" t="str">
        <f t="shared" ca="1" si="31"/>
        <v>Pharma</v>
      </c>
      <c r="C679" s="3">
        <v>238</v>
      </c>
      <c r="D679" s="3">
        <v>1.2</v>
      </c>
      <c r="E679" s="3">
        <v>6.9</v>
      </c>
      <c r="F679" s="3">
        <v>0.7</v>
      </c>
      <c r="G679" s="3" t="s">
        <v>11</v>
      </c>
      <c r="H679" s="12">
        <v>0</v>
      </c>
      <c r="I679" s="14">
        <v>0.5059063842402709</v>
      </c>
      <c r="J679" s="9" t="str">
        <f t="shared" si="32"/>
        <v>Train</v>
      </c>
    </row>
    <row r="680" spans="1:10" x14ac:dyDescent="0.3">
      <c r="A680" s="3" t="str">
        <f t="shared" si="30"/>
        <v>C679</v>
      </c>
      <c r="B680" s="3" t="str">
        <f t="shared" ca="1" si="31"/>
        <v>Pharma</v>
      </c>
      <c r="C680" s="3">
        <v>153</v>
      </c>
      <c r="D680" s="3">
        <v>7.7</v>
      </c>
      <c r="E680" s="3">
        <v>6.8</v>
      </c>
      <c r="F680" s="3">
        <v>0.6</v>
      </c>
      <c r="G680" s="3" t="s">
        <v>9</v>
      </c>
      <c r="H680" s="12">
        <v>0</v>
      </c>
      <c r="I680" s="14">
        <v>3.9641371733555641E-2</v>
      </c>
      <c r="J680" s="9" t="str">
        <f t="shared" si="32"/>
        <v>Train</v>
      </c>
    </row>
    <row r="681" spans="1:10" x14ac:dyDescent="0.3">
      <c r="A681" s="3" t="str">
        <f t="shared" si="30"/>
        <v>C680</v>
      </c>
      <c r="B681" s="3" t="str">
        <f t="shared" ca="1" si="31"/>
        <v>IT Services</v>
      </c>
      <c r="C681" s="3">
        <v>91</v>
      </c>
      <c r="D681" s="3">
        <v>7.5</v>
      </c>
      <c r="E681" s="3">
        <v>5.0999999999999996</v>
      </c>
      <c r="F681" s="3">
        <v>2.2999999999999998</v>
      </c>
      <c r="G681" s="3" t="s">
        <v>9</v>
      </c>
      <c r="H681" s="12">
        <v>0</v>
      </c>
      <c r="I681" s="14">
        <v>7.9971771125810553E-2</v>
      </c>
      <c r="J681" s="9" t="str">
        <f t="shared" si="32"/>
        <v>Train</v>
      </c>
    </row>
    <row r="682" spans="1:10" x14ac:dyDescent="0.3">
      <c r="A682" s="3" t="str">
        <f t="shared" si="30"/>
        <v>C681</v>
      </c>
      <c r="B682" s="3" t="str">
        <f t="shared" ca="1" si="31"/>
        <v>Retail</v>
      </c>
      <c r="C682" s="3">
        <v>319</v>
      </c>
      <c r="D682" s="3">
        <v>1.4</v>
      </c>
      <c r="E682" s="3">
        <v>3.7</v>
      </c>
      <c r="F682" s="3">
        <v>2.6</v>
      </c>
      <c r="G682" s="3" t="s">
        <v>11</v>
      </c>
      <c r="H682" s="12">
        <v>0</v>
      </c>
      <c r="I682" s="14">
        <v>0.36371558225222056</v>
      </c>
      <c r="J682" s="9" t="str">
        <f t="shared" si="32"/>
        <v>Train</v>
      </c>
    </row>
    <row r="683" spans="1:10" x14ac:dyDescent="0.3">
      <c r="A683" s="3" t="str">
        <f t="shared" si="30"/>
        <v>C682</v>
      </c>
      <c r="B683" s="3" t="str">
        <f t="shared" ca="1" si="31"/>
        <v>IT Services</v>
      </c>
      <c r="C683" s="3">
        <v>190</v>
      </c>
      <c r="D683" s="3">
        <v>6.5</v>
      </c>
      <c r="E683" s="3">
        <v>9.6</v>
      </c>
      <c r="F683" s="3">
        <v>2.4</v>
      </c>
      <c r="G683" s="3" t="s">
        <v>9</v>
      </c>
      <c r="H683" s="12">
        <v>0</v>
      </c>
      <c r="I683" s="14">
        <v>0.38546350039055821</v>
      </c>
      <c r="J683" s="9" t="str">
        <f t="shared" si="32"/>
        <v>Train</v>
      </c>
    </row>
    <row r="684" spans="1:10" x14ac:dyDescent="0.3">
      <c r="A684" s="3" t="str">
        <f t="shared" si="30"/>
        <v>C683</v>
      </c>
      <c r="B684" s="3" t="str">
        <f t="shared" ca="1" si="31"/>
        <v>Pharma</v>
      </c>
      <c r="C684" s="3">
        <v>98</v>
      </c>
      <c r="D684" s="3">
        <v>2.1</v>
      </c>
      <c r="E684" s="3">
        <v>1.7</v>
      </c>
      <c r="F684" s="3">
        <v>1.4</v>
      </c>
      <c r="G684" s="3" t="s">
        <v>7</v>
      </c>
      <c r="H684" s="12">
        <v>0</v>
      </c>
      <c r="I684" s="14">
        <v>0.35300229942687378</v>
      </c>
      <c r="J684" s="9" t="str">
        <f t="shared" si="32"/>
        <v>Train</v>
      </c>
    </row>
    <row r="685" spans="1:10" x14ac:dyDescent="0.3">
      <c r="A685" s="3" t="str">
        <f t="shared" si="30"/>
        <v>C684</v>
      </c>
      <c r="B685" s="3" t="str">
        <f t="shared" ca="1" si="31"/>
        <v>Manufacturing</v>
      </c>
      <c r="C685" s="3">
        <v>434</v>
      </c>
      <c r="D685" s="3">
        <v>5</v>
      </c>
      <c r="E685" s="3">
        <v>0.6</v>
      </c>
      <c r="F685" s="3">
        <v>1.5</v>
      </c>
      <c r="G685" s="3" t="s">
        <v>13</v>
      </c>
      <c r="H685" s="12">
        <v>0</v>
      </c>
      <c r="I685" s="14">
        <v>0.67049781098018713</v>
      </c>
      <c r="J685" s="9" t="str">
        <f t="shared" si="32"/>
        <v>Train</v>
      </c>
    </row>
    <row r="686" spans="1:10" x14ac:dyDescent="0.3">
      <c r="A686" s="3" t="str">
        <f t="shared" si="30"/>
        <v>C685</v>
      </c>
      <c r="B686" s="3" t="str">
        <f t="shared" ca="1" si="31"/>
        <v>Transportation</v>
      </c>
      <c r="C686" s="3">
        <v>436</v>
      </c>
      <c r="D686" s="3">
        <v>4.3</v>
      </c>
      <c r="E686" s="3">
        <v>9.3000000000000007</v>
      </c>
      <c r="F686" s="3">
        <v>2.2000000000000002</v>
      </c>
      <c r="G686" s="3" t="s">
        <v>13</v>
      </c>
      <c r="H686" s="12">
        <v>0</v>
      </c>
      <c r="I686" s="14">
        <v>0.94688784200210563</v>
      </c>
      <c r="J686" s="9" t="str">
        <f t="shared" si="32"/>
        <v>Test</v>
      </c>
    </row>
    <row r="687" spans="1:10" x14ac:dyDescent="0.3">
      <c r="A687" s="3" t="str">
        <f t="shared" si="30"/>
        <v>C686</v>
      </c>
      <c r="B687" s="3" t="str">
        <f t="shared" ca="1" si="31"/>
        <v>Transportation</v>
      </c>
      <c r="C687" s="3">
        <v>364</v>
      </c>
      <c r="D687" s="3">
        <v>7.1</v>
      </c>
      <c r="E687" s="3">
        <v>4.3</v>
      </c>
      <c r="F687" s="3">
        <v>2.2999999999999998</v>
      </c>
      <c r="G687" s="3" t="s">
        <v>9</v>
      </c>
      <c r="H687" s="12">
        <v>0</v>
      </c>
      <c r="I687" s="14">
        <v>0.38305010027968089</v>
      </c>
      <c r="J687" s="9" t="str">
        <f t="shared" si="32"/>
        <v>Train</v>
      </c>
    </row>
    <row r="688" spans="1:10" x14ac:dyDescent="0.3">
      <c r="A688" s="3" t="str">
        <f t="shared" si="30"/>
        <v>C687</v>
      </c>
      <c r="B688" s="3" t="str">
        <f t="shared" ca="1" si="31"/>
        <v>IT Services</v>
      </c>
      <c r="C688" s="3">
        <v>354</v>
      </c>
      <c r="D688" s="3">
        <v>3.3</v>
      </c>
      <c r="E688" s="3">
        <v>3.6</v>
      </c>
      <c r="F688" s="3">
        <v>2.9</v>
      </c>
      <c r="G688" s="3" t="s">
        <v>7</v>
      </c>
      <c r="H688" s="12">
        <v>0</v>
      </c>
      <c r="I688" s="14">
        <v>0.88980341536839025</v>
      </c>
      <c r="J688" s="9" t="str">
        <f t="shared" si="32"/>
        <v>Test</v>
      </c>
    </row>
    <row r="689" spans="1:10" x14ac:dyDescent="0.3">
      <c r="A689" s="3" t="str">
        <f t="shared" si="30"/>
        <v>C688</v>
      </c>
      <c r="B689" s="3" t="str">
        <f t="shared" ca="1" si="31"/>
        <v>Construction</v>
      </c>
      <c r="C689" s="3">
        <v>446</v>
      </c>
      <c r="D689" s="3">
        <v>5.2</v>
      </c>
      <c r="E689" s="3">
        <v>3</v>
      </c>
      <c r="F689" s="3">
        <v>2.1</v>
      </c>
      <c r="G689" s="3" t="s">
        <v>13</v>
      </c>
      <c r="H689" s="12">
        <v>0</v>
      </c>
      <c r="I689" s="14">
        <v>0.29212957003954421</v>
      </c>
      <c r="J689" s="9" t="str">
        <f t="shared" si="32"/>
        <v>Train</v>
      </c>
    </row>
    <row r="690" spans="1:10" x14ac:dyDescent="0.3">
      <c r="A690" s="3" t="str">
        <f t="shared" si="30"/>
        <v>C689</v>
      </c>
      <c r="B690" s="3" t="str">
        <f t="shared" ca="1" si="31"/>
        <v>Construction</v>
      </c>
      <c r="C690" s="3">
        <v>126</v>
      </c>
      <c r="D690" s="3">
        <v>1.5</v>
      </c>
      <c r="E690" s="3">
        <v>5.0999999999999996</v>
      </c>
      <c r="F690" s="3">
        <v>1.9</v>
      </c>
      <c r="G690" s="3" t="s">
        <v>11</v>
      </c>
      <c r="H690" s="12">
        <v>0</v>
      </c>
      <c r="I690" s="14">
        <v>0.67657047906873169</v>
      </c>
      <c r="J690" s="9" t="str">
        <f t="shared" si="32"/>
        <v>Train</v>
      </c>
    </row>
    <row r="691" spans="1:10" x14ac:dyDescent="0.3">
      <c r="A691" s="3" t="str">
        <f t="shared" si="30"/>
        <v>C690</v>
      </c>
      <c r="B691" s="3" t="str">
        <f t="shared" ca="1" si="31"/>
        <v>Transportation</v>
      </c>
      <c r="C691" s="3">
        <v>476</v>
      </c>
      <c r="D691" s="3">
        <v>2.2999999999999998</v>
      </c>
      <c r="E691" s="3">
        <v>0.9</v>
      </c>
      <c r="F691" s="3">
        <v>2.5</v>
      </c>
      <c r="G691" s="3" t="s">
        <v>7</v>
      </c>
      <c r="H691" s="12">
        <v>0</v>
      </c>
      <c r="I691" s="14">
        <v>0.49771027551601199</v>
      </c>
      <c r="J691" s="9" t="str">
        <f t="shared" si="32"/>
        <v>Train</v>
      </c>
    </row>
    <row r="692" spans="1:10" x14ac:dyDescent="0.3">
      <c r="A692" s="3" t="str">
        <f t="shared" si="30"/>
        <v>C691</v>
      </c>
      <c r="B692" s="3" t="str">
        <f t="shared" ca="1" si="31"/>
        <v>Transportation</v>
      </c>
      <c r="C692" s="3">
        <v>339</v>
      </c>
      <c r="D692" s="3">
        <v>4.5999999999999996</v>
      </c>
      <c r="E692" s="3">
        <v>9.4</v>
      </c>
      <c r="F692" s="3">
        <v>0.7</v>
      </c>
      <c r="G692" s="3" t="s">
        <v>13</v>
      </c>
      <c r="H692" s="12">
        <v>0</v>
      </c>
      <c r="I692" s="14">
        <v>3.554732526549409E-2</v>
      </c>
      <c r="J692" s="9" t="str">
        <f t="shared" si="32"/>
        <v>Train</v>
      </c>
    </row>
    <row r="693" spans="1:10" x14ac:dyDescent="0.3">
      <c r="A693" s="3" t="str">
        <f t="shared" si="30"/>
        <v>C692</v>
      </c>
      <c r="B693" s="3" t="str">
        <f t="shared" ca="1" si="31"/>
        <v>Manufacturing</v>
      </c>
      <c r="C693" s="3">
        <v>457</v>
      </c>
      <c r="D693" s="3">
        <v>6.8</v>
      </c>
      <c r="E693" s="3">
        <v>7.8</v>
      </c>
      <c r="F693" s="3">
        <v>2.5</v>
      </c>
      <c r="G693" s="3" t="s">
        <v>9</v>
      </c>
      <c r="H693" s="12">
        <v>0</v>
      </c>
      <c r="I693" s="14">
        <v>0.42273293816350521</v>
      </c>
      <c r="J693" s="9" t="str">
        <f t="shared" si="32"/>
        <v>Train</v>
      </c>
    </row>
    <row r="694" spans="1:10" x14ac:dyDescent="0.3">
      <c r="A694" s="3" t="str">
        <f t="shared" si="30"/>
        <v>C693</v>
      </c>
      <c r="B694" s="3" t="str">
        <f t="shared" ca="1" si="31"/>
        <v>Construction</v>
      </c>
      <c r="C694" s="3">
        <v>253</v>
      </c>
      <c r="D694" s="3">
        <v>6.1</v>
      </c>
      <c r="E694" s="3">
        <v>3.5</v>
      </c>
      <c r="F694" s="3">
        <v>2.7</v>
      </c>
      <c r="G694" s="3" t="s">
        <v>9</v>
      </c>
      <c r="H694" s="12">
        <v>0</v>
      </c>
      <c r="I694" s="14">
        <v>0.56326248688409364</v>
      </c>
      <c r="J694" s="9" t="str">
        <f t="shared" si="32"/>
        <v>Train</v>
      </c>
    </row>
    <row r="695" spans="1:10" x14ac:dyDescent="0.3">
      <c r="A695" s="3" t="str">
        <f t="shared" si="30"/>
        <v>C694</v>
      </c>
      <c r="B695" s="3" t="str">
        <f t="shared" ca="1" si="31"/>
        <v>Transportation</v>
      </c>
      <c r="C695" s="3">
        <v>81</v>
      </c>
      <c r="D695" s="3">
        <v>5.6</v>
      </c>
      <c r="E695" s="3">
        <v>1.4</v>
      </c>
      <c r="F695" s="3">
        <v>2.7</v>
      </c>
      <c r="G695" s="3" t="s">
        <v>13</v>
      </c>
      <c r="H695" s="12">
        <v>0</v>
      </c>
      <c r="I695" s="14">
        <v>0.75834127276374652</v>
      </c>
      <c r="J695" s="9" t="str">
        <f t="shared" si="32"/>
        <v>Test</v>
      </c>
    </row>
    <row r="696" spans="1:10" x14ac:dyDescent="0.3">
      <c r="A696" s="3" t="str">
        <f t="shared" si="30"/>
        <v>C695</v>
      </c>
      <c r="B696" s="3" t="str">
        <f t="shared" ca="1" si="31"/>
        <v>Transportation</v>
      </c>
      <c r="C696" s="3">
        <v>459</v>
      </c>
      <c r="D696" s="3">
        <v>0.9</v>
      </c>
      <c r="E696" s="3">
        <v>9.6</v>
      </c>
      <c r="F696" s="3">
        <v>2.5</v>
      </c>
      <c r="G696" s="3" t="s">
        <v>11</v>
      </c>
      <c r="H696" s="12">
        <v>0</v>
      </c>
      <c r="I696" s="14">
        <v>0.17352609415316544</v>
      </c>
      <c r="J696" s="9" t="str">
        <f t="shared" si="32"/>
        <v>Train</v>
      </c>
    </row>
    <row r="697" spans="1:10" x14ac:dyDescent="0.3">
      <c r="A697" s="3" t="str">
        <f t="shared" si="30"/>
        <v>C696</v>
      </c>
      <c r="B697" s="3" t="str">
        <f t="shared" ca="1" si="31"/>
        <v>Retail</v>
      </c>
      <c r="C697" s="3">
        <v>145</v>
      </c>
      <c r="D697" s="3">
        <v>5.3</v>
      </c>
      <c r="E697" s="3">
        <v>8.8000000000000007</v>
      </c>
      <c r="F697" s="3">
        <v>2.8</v>
      </c>
      <c r="G697" s="3" t="s">
        <v>13</v>
      </c>
      <c r="H697" s="12">
        <v>0</v>
      </c>
      <c r="I697" s="14">
        <v>0.84189134180494418</v>
      </c>
      <c r="J697" s="9" t="str">
        <f t="shared" si="32"/>
        <v>Test</v>
      </c>
    </row>
    <row r="698" spans="1:10" x14ac:dyDescent="0.3">
      <c r="A698" s="3" t="str">
        <f t="shared" si="30"/>
        <v>C697</v>
      </c>
      <c r="B698" s="3" t="str">
        <f t="shared" ca="1" si="31"/>
        <v>Retail</v>
      </c>
      <c r="C698" s="3">
        <v>257</v>
      </c>
      <c r="D698" s="3">
        <v>8</v>
      </c>
      <c r="E698" s="3">
        <v>1.9</v>
      </c>
      <c r="F698" s="3">
        <v>3</v>
      </c>
      <c r="G698" s="3" t="s">
        <v>9</v>
      </c>
      <c r="H698" s="12">
        <v>0</v>
      </c>
      <c r="I698" s="14">
        <v>0.22890921250332108</v>
      </c>
      <c r="J698" s="9" t="str">
        <f t="shared" si="32"/>
        <v>Train</v>
      </c>
    </row>
    <row r="699" spans="1:10" x14ac:dyDescent="0.3">
      <c r="A699" s="3" t="str">
        <f t="shared" si="30"/>
        <v>C698</v>
      </c>
      <c r="B699" s="3" t="str">
        <f t="shared" ca="1" si="31"/>
        <v>Transportation</v>
      </c>
      <c r="C699" s="3">
        <v>288</v>
      </c>
      <c r="D699" s="3">
        <v>1.5</v>
      </c>
      <c r="E699" s="3">
        <v>4.8</v>
      </c>
      <c r="F699" s="3">
        <v>3</v>
      </c>
      <c r="G699" s="3" t="s">
        <v>11</v>
      </c>
      <c r="H699" s="12">
        <v>0</v>
      </c>
      <c r="I699" s="14">
        <v>0.67380562956556223</v>
      </c>
      <c r="J699" s="9" t="str">
        <f t="shared" si="32"/>
        <v>Train</v>
      </c>
    </row>
    <row r="700" spans="1:10" x14ac:dyDescent="0.3">
      <c r="A700" s="3" t="str">
        <f t="shared" si="30"/>
        <v>C699</v>
      </c>
      <c r="B700" s="3" t="str">
        <f t="shared" ca="1" si="31"/>
        <v>Construction</v>
      </c>
      <c r="C700" s="3">
        <v>427</v>
      </c>
      <c r="D700" s="3">
        <v>6.7</v>
      </c>
      <c r="E700" s="3">
        <v>7.3</v>
      </c>
      <c r="F700" s="3">
        <v>1.9</v>
      </c>
      <c r="G700" s="3" t="s">
        <v>9</v>
      </c>
      <c r="H700" s="12">
        <v>0</v>
      </c>
      <c r="I700" s="14">
        <v>4.6080292854013716E-2</v>
      </c>
      <c r="J700" s="9" t="str">
        <f t="shared" si="32"/>
        <v>Train</v>
      </c>
    </row>
    <row r="701" spans="1:10" x14ac:dyDescent="0.3">
      <c r="A701" s="3" t="str">
        <f t="shared" si="30"/>
        <v>C700</v>
      </c>
      <c r="B701" s="3" t="str">
        <f t="shared" ca="1" si="31"/>
        <v>Retail</v>
      </c>
      <c r="C701" s="3">
        <v>185</v>
      </c>
      <c r="D701" s="3">
        <v>1.6</v>
      </c>
      <c r="E701" s="3">
        <v>4.5999999999999996</v>
      </c>
      <c r="F701" s="3">
        <v>1.8</v>
      </c>
      <c r="G701" s="3" t="s">
        <v>11</v>
      </c>
      <c r="H701" s="12">
        <v>0</v>
      </c>
      <c r="I701" s="14">
        <v>0.94403421986661906</v>
      </c>
      <c r="J701" s="9" t="str">
        <f t="shared" si="32"/>
        <v>Test</v>
      </c>
    </row>
    <row r="702" spans="1:10" x14ac:dyDescent="0.3">
      <c r="A702" s="3" t="str">
        <f t="shared" si="30"/>
        <v>C701</v>
      </c>
      <c r="B702" s="3" t="str">
        <f t="shared" ca="1" si="31"/>
        <v>IT Services</v>
      </c>
      <c r="C702" s="3">
        <v>256</v>
      </c>
      <c r="D702" s="3">
        <v>2.2000000000000002</v>
      </c>
      <c r="E702" s="3">
        <v>3.2</v>
      </c>
      <c r="F702" s="3">
        <v>0.6</v>
      </c>
      <c r="G702" s="3" t="s">
        <v>7</v>
      </c>
      <c r="H702" s="12">
        <v>0</v>
      </c>
      <c r="I702" s="14">
        <v>0.55945086258388399</v>
      </c>
      <c r="J702" s="9" t="str">
        <f t="shared" si="32"/>
        <v>Train</v>
      </c>
    </row>
    <row r="703" spans="1:10" x14ac:dyDescent="0.3">
      <c r="A703" s="3" t="str">
        <f t="shared" si="30"/>
        <v>C702</v>
      </c>
      <c r="B703" s="3" t="str">
        <f t="shared" ca="1" si="31"/>
        <v>IT Services</v>
      </c>
      <c r="C703" s="3">
        <v>487</v>
      </c>
      <c r="D703" s="3">
        <v>2.2999999999999998</v>
      </c>
      <c r="E703" s="3">
        <v>3.8</v>
      </c>
      <c r="F703" s="3">
        <v>1.7</v>
      </c>
      <c r="G703" s="3" t="s">
        <v>7</v>
      </c>
      <c r="H703" s="12">
        <v>0</v>
      </c>
      <c r="I703" s="14">
        <v>0.1464844797969217</v>
      </c>
      <c r="J703" s="9" t="str">
        <f t="shared" si="32"/>
        <v>Train</v>
      </c>
    </row>
    <row r="704" spans="1:10" x14ac:dyDescent="0.3">
      <c r="A704" s="3" t="str">
        <f t="shared" si="30"/>
        <v>C703</v>
      </c>
      <c r="B704" s="3" t="str">
        <f t="shared" ca="1" si="31"/>
        <v>Retail</v>
      </c>
      <c r="C704" s="3">
        <v>226</v>
      </c>
      <c r="D704" s="3">
        <v>5.8</v>
      </c>
      <c r="E704" s="3">
        <v>8.6999999999999993</v>
      </c>
      <c r="F704" s="3">
        <v>2.4</v>
      </c>
      <c r="G704" s="3" t="s">
        <v>13</v>
      </c>
      <c r="H704" s="12">
        <v>0</v>
      </c>
      <c r="I704" s="14">
        <v>0.52388384141763367</v>
      </c>
      <c r="J704" s="9" t="str">
        <f t="shared" si="32"/>
        <v>Train</v>
      </c>
    </row>
    <row r="705" spans="1:10" x14ac:dyDescent="0.3">
      <c r="A705" s="3" t="str">
        <f t="shared" si="30"/>
        <v>C704</v>
      </c>
      <c r="B705" s="3" t="str">
        <f t="shared" ca="1" si="31"/>
        <v>Manufacturing</v>
      </c>
      <c r="C705" s="3">
        <v>122</v>
      </c>
      <c r="D705" s="3">
        <v>2.7</v>
      </c>
      <c r="E705" s="3">
        <v>6.9</v>
      </c>
      <c r="F705" s="3">
        <v>2.9</v>
      </c>
      <c r="G705" s="3" t="s">
        <v>7</v>
      </c>
      <c r="H705" s="12">
        <v>0</v>
      </c>
      <c r="I705" s="14">
        <v>0.43498156458690407</v>
      </c>
      <c r="J705" s="9" t="str">
        <f t="shared" si="32"/>
        <v>Train</v>
      </c>
    </row>
    <row r="706" spans="1:10" x14ac:dyDescent="0.3">
      <c r="A706" s="3" t="str">
        <f t="shared" si="30"/>
        <v>C705</v>
      </c>
      <c r="B706" s="3" t="str">
        <f t="shared" ca="1" si="31"/>
        <v>Manufacturing</v>
      </c>
      <c r="C706" s="3">
        <v>107</v>
      </c>
      <c r="D706" s="3">
        <v>5.4</v>
      </c>
      <c r="E706" s="3">
        <v>2.4</v>
      </c>
      <c r="F706" s="3">
        <v>0.7</v>
      </c>
      <c r="G706" s="3" t="s">
        <v>13</v>
      </c>
      <c r="H706" s="12">
        <v>0</v>
      </c>
      <c r="I706" s="14">
        <v>0.73876236916281735</v>
      </c>
      <c r="J706" s="9" t="str">
        <f t="shared" si="32"/>
        <v>Test</v>
      </c>
    </row>
    <row r="707" spans="1:10" x14ac:dyDescent="0.3">
      <c r="A707" s="3" t="str">
        <f t="shared" ref="A707:A752" si="33">"C"&amp;TEXT(ROW()-1,"000")</f>
        <v>C706</v>
      </c>
      <c r="B707" s="3" t="str">
        <f t="shared" ref="B707:B770" ca="1" si="34">CHOOSE(RANDBETWEEN(1,6),
"Manufacturing",
"Retail",
"Pharma",
"Construction",
"Transportation",
"IT Services")</f>
        <v>Transportation</v>
      </c>
      <c r="C707" s="3">
        <v>218</v>
      </c>
      <c r="D707" s="3">
        <v>4.8</v>
      </c>
      <c r="E707" s="3">
        <v>5.5</v>
      </c>
      <c r="F707" s="3">
        <v>2.2000000000000002</v>
      </c>
      <c r="G707" s="3" t="s">
        <v>13</v>
      </c>
      <c r="H707" s="12">
        <v>0</v>
      </c>
      <c r="I707" s="14">
        <v>0.68900881709160611</v>
      </c>
      <c r="J707" s="9" t="str">
        <f t="shared" ref="J707:J770" si="35">IF(I707&lt;=0.7,"Train","Test")</f>
        <v>Train</v>
      </c>
    </row>
    <row r="708" spans="1:10" x14ac:dyDescent="0.3">
      <c r="A708" s="3" t="str">
        <f t="shared" si="33"/>
        <v>C707</v>
      </c>
      <c r="B708" s="3" t="str">
        <f t="shared" ca="1" si="34"/>
        <v>Retail</v>
      </c>
      <c r="C708" s="3">
        <v>293</v>
      </c>
      <c r="D708" s="3">
        <v>3.8</v>
      </c>
      <c r="E708" s="3">
        <v>4</v>
      </c>
      <c r="F708" s="3">
        <v>2.7</v>
      </c>
      <c r="G708" s="3" t="s">
        <v>7</v>
      </c>
      <c r="H708" s="12">
        <v>0</v>
      </c>
      <c r="I708" s="14">
        <v>0.8681308107701855</v>
      </c>
      <c r="J708" s="9" t="str">
        <f t="shared" si="35"/>
        <v>Test</v>
      </c>
    </row>
    <row r="709" spans="1:10" x14ac:dyDescent="0.3">
      <c r="A709" s="3" t="str">
        <f t="shared" si="33"/>
        <v>C708</v>
      </c>
      <c r="B709" s="3" t="str">
        <f t="shared" ca="1" si="34"/>
        <v>Manufacturing</v>
      </c>
      <c r="C709" s="3">
        <v>91</v>
      </c>
      <c r="D709" s="3">
        <v>0.6</v>
      </c>
      <c r="E709" s="3">
        <v>2.2999999999999998</v>
      </c>
      <c r="F709" s="3">
        <v>3</v>
      </c>
      <c r="G709" s="3" t="s">
        <v>11</v>
      </c>
      <c r="H709" s="12">
        <v>0</v>
      </c>
      <c r="I709" s="14">
        <v>0.14633933939660404</v>
      </c>
      <c r="J709" s="9" t="str">
        <f t="shared" si="35"/>
        <v>Train</v>
      </c>
    </row>
    <row r="710" spans="1:10" x14ac:dyDescent="0.3">
      <c r="A710" s="3" t="str">
        <f t="shared" si="33"/>
        <v>C709</v>
      </c>
      <c r="B710" s="3" t="str">
        <f t="shared" ca="1" si="34"/>
        <v>Manufacturing</v>
      </c>
      <c r="C710" s="3">
        <v>173</v>
      </c>
      <c r="D710" s="3">
        <v>2.5</v>
      </c>
      <c r="E710" s="3">
        <v>6.3</v>
      </c>
      <c r="F710" s="3">
        <v>1.4</v>
      </c>
      <c r="G710" s="3" t="s">
        <v>7</v>
      </c>
      <c r="H710" s="12">
        <v>0</v>
      </c>
      <c r="I710" s="14">
        <v>0.87355526589899846</v>
      </c>
      <c r="J710" s="9" t="str">
        <f t="shared" si="35"/>
        <v>Test</v>
      </c>
    </row>
    <row r="711" spans="1:10" x14ac:dyDescent="0.3">
      <c r="A711" s="3" t="str">
        <f t="shared" si="33"/>
        <v>C710</v>
      </c>
      <c r="B711" s="3" t="str">
        <f t="shared" ca="1" si="34"/>
        <v>Transportation</v>
      </c>
      <c r="C711" s="3">
        <v>195</v>
      </c>
      <c r="D711" s="3">
        <v>6.9</v>
      </c>
      <c r="E711" s="3">
        <v>5.6</v>
      </c>
      <c r="F711" s="3">
        <v>2.2000000000000002</v>
      </c>
      <c r="G711" s="3" t="s">
        <v>9</v>
      </c>
      <c r="H711" s="12">
        <v>0</v>
      </c>
      <c r="I711" s="14">
        <v>0.12922703879557618</v>
      </c>
      <c r="J711" s="9" t="str">
        <f t="shared" si="35"/>
        <v>Train</v>
      </c>
    </row>
    <row r="712" spans="1:10" x14ac:dyDescent="0.3">
      <c r="A712" s="3" t="str">
        <f t="shared" si="33"/>
        <v>C711</v>
      </c>
      <c r="B712" s="3" t="str">
        <f t="shared" ca="1" si="34"/>
        <v>Retail</v>
      </c>
      <c r="C712" s="3">
        <v>97</v>
      </c>
      <c r="D712" s="3">
        <v>2.8</v>
      </c>
      <c r="E712" s="3">
        <v>7</v>
      </c>
      <c r="F712" s="3">
        <v>1.4</v>
      </c>
      <c r="G712" s="3" t="s">
        <v>7</v>
      </c>
      <c r="H712" s="12">
        <v>0</v>
      </c>
      <c r="I712" s="14">
        <v>0.60469330952542477</v>
      </c>
      <c r="J712" s="9" t="str">
        <f t="shared" si="35"/>
        <v>Train</v>
      </c>
    </row>
    <row r="713" spans="1:10" x14ac:dyDescent="0.3">
      <c r="A713" s="3" t="str">
        <f t="shared" si="33"/>
        <v>C712</v>
      </c>
      <c r="B713" s="3" t="str">
        <f t="shared" ca="1" si="34"/>
        <v>Retail</v>
      </c>
      <c r="C713" s="3">
        <v>146</v>
      </c>
      <c r="D713" s="3">
        <v>4.4000000000000004</v>
      </c>
      <c r="E713" s="3">
        <v>6.4</v>
      </c>
      <c r="F713" s="3">
        <v>2.2999999999999998</v>
      </c>
      <c r="G713" s="3" t="s">
        <v>13</v>
      </c>
      <c r="H713" s="12">
        <v>0</v>
      </c>
      <c r="I713" s="14">
        <v>0.66289541904718896</v>
      </c>
      <c r="J713" s="9" t="str">
        <f t="shared" si="35"/>
        <v>Train</v>
      </c>
    </row>
    <row r="714" spans="1:10" x14ac:dyDescent="0.3">
      <c r="A714" s="3" t="str">
        <f t="shared" si="33"/>
        <v>C713</v>
      </c>
      <c r="B714" s="3" t="str">
        <f t="shared" ca="1" si="34"/>
        <v>Manufacturing</v>
      </c>
      <c r="C714" s="3">
        <v>328</v>
      </c>
      <c r="D714" s="3">
        <v>3.5</v>
      </c>
      <c r="E714" s="3">
        <v>5.3</v>
      </c>
      <c r="F714" s="3">
        <v>1.1000000000000001</v>
      </c>
      <c r="G714" s="3" t="s">
        <v>7</v>
      </c>
      <c r="H714" s="12">
        <v>0</v>
      </c>
      <c r="I714" s="14">
        <v>0.98318010123509736</v>
      </c>
      <c r="J714" s="9" t="str">
        <f t="shared" si="35"/>
        <v>Test</v>
      </c>
    </row>
    <row r="715" spans="1:10" x14ac:dyDescent="0.3">
      <c r="A715" s="3" t="str">
        <f t="shared" si="33"/>
        <v>C714</v>
      </c>
      <c r="B715" s="3" t="str">
        <f t="shared" ca="1" si="34"/>
        <v>Pharma</v>
      </c>
      <c r="C715" s="3">
        <v>112</v>
      </c>
      <c r="D715" s="3">
        <v>6.3</v>
      </c>
      <c r="E715" s="3">
        <v>6</v>
      </c>
      <c r="F715" s="3">
        <v>2.7</v>
      </c>
      <c r="G715" s="3" t="s">
        <v>9</v>
      </c>
      <c r="H715" s="12">
        <v>0</v>
      </c>
      <c r="I715" s="14">
        <v>0.20516332816116678</v>
      </c>
      <c r="J715" s="9" t="str">
        <f t="shared" si="35"/>
        <v>Train</v>
      </c>
    </row>
    <row r="716" spans="1:10" x14ac:dyDescent="0.3">
      <c r="A716" s="3" t="str">
        <f t="shared" si="33"/>
        <v>C715</v>
      </c>
      <c r="B716" s="3" t="str">
        <f t="shared" ca="1" si="34"/>
        <v>IT Services</v>
      </c>
      <c r="C716" s="3">
        <v>414</v>
      </c>
      <c r="D716" s="3">
        <v>2.2999999999999998</v>
      </c>
      <c r="E716" s="3">
        <v>6.5</v>
      </c>
      <c r="F716" s="3">
        <v>2.4</v>
      </c>
      <c r="G716" s="3" t="s">
        <v>7</v>
      </c>
      <c r="H716" s="12">
        <v>0</v>
      </c>
      <c r="I716" s="14">
        <v>0.63168637821629237</v>
      </c>
      <c r="J716" s="9" t="str">
        <f t="shared" si="35"/>
        <v>Train</v>
      </c>
    </row>
    <row r="717" spans="1:10" x14ac:dyDescent="0.3">
      <c r="A717" s="3" t="str">
        <f t="shared" si="33"/>
        <v>C716</v>
      </c>
      <c r="B717" s="3" t="str">
        <f t="shared" ca="1" si="34"/>
        <v>Pharma</v>
      </c>
      <c r="C717" s="3">
        <v>336</v>
      </c>
      <c r="D717" s="3">
        <v>5.2</v>
      </c>
      <c r="E717" s="3">
        <v>7.9</v>
      </c>
      <c r="F717" s="3">
        <v>1.8</v>
      </c>
      <c r="G717" s="3" t="s">
        <v>13</v>
      </c>
      <c r="H717" s="12">
        <v>0</v>
      </c>
      <c r="I717" s="14">
        <v>0.4382444905671028</v>
      </c>
      <c r="J717" s="9" t="str">
        <f t="shared" si="35"/>
        <v>Train</v>
      </c>
    </row>
    <row r="718" spans="1:10" x14ac:dyDescent="0.3">
      <c r="A718" s="3" t="str">
        <f t="shared" si="33"/>
        <v>C717</v>
      </c>
      <c r="B718" s="3" t="str">
        <f t="shared" ca="1" si="34"/>
        <v>IT Services</v>
      </c>
      <c r="C718" s="3">
        <v>216</v>
      </c>
      <c r="D718" s="3">
        <v>3.3</v>
      </c>
      <c r="E718" s="3">
        <v>3.8</v>
      </c>
      <c r="F718" s="3">
        <v>2.6</v>
      </c>
      <c r="G718" s="3" t="s">
        <v>7</v>
      </c>
      <c r="H718" s="12">
        <v>0</v>
      </c>
      <c r="I718" s="14">
        <v>0.66040398893905272</v>
      </c>
      <c r="J718" s="9" t="str">
        <f t="shared" si="35"/>
        <v>Train</v>
      </c>
    </row>
    <row r="719" spans="1:10" x14ac:dyDescent="0.3">
      <c r="A719" s="3" t="str">
        <f t="shared" si="33"/>
        <v>C718</v>
      </c>
      <c r="B719" s="3" t="str">
        <f t="shared" ca="1" si="34"/>
        <v>Retail</v>
      </c>
      <c r="C719" s="3">
        <v>379</v>
      </c>
      <c r="D719" s="3">
        <v>5.0999999999999996</v>
      </c>
      <c r="E719" s="3">
        <v>4</v>
      </c>
      <c r="F719" s="3">
        <v>2.9</v>
      </c>
      <c r="G719" s="3" t="s">
        <v>13</v>
      </c>
      <c r="H719" s="12">
        <v>0</v>
      </c>
      <c r="I719" s="14">
        <v>5.1114311766095377E-2</v>
      </c>
      <c r="J719" s="9" t="str">
        <f t="shared" si="35"/>
        <v>Train</v>
      </c>
    </row>
    <row r="720" spans="1:10" x14ac:dyDescent="0.3">
      <c r="A720" s="3" t="str">
        <f t="shared" si="33"/>
        <v>C719</v>
      </c>
      <c r="B720" s="3" t="str">
        <f t="shared" ca="1" si="34"/>
        <v>Manufacturing</v>
      </c>
      <c r="C720" s="3">
        <v>380</v>
      </c>
      <c r="D720" s="3">
        <v>5.3</v>
      </c>
      <c r="E720" s="3">
        <v>3.9</v>
      </c>
      <c r="F720" s="3">
        <v>2.9</v>
      </c>
      <c r="G720" s="3" t="s">
        <v>13</v>
      </c>
      <c r="H720" s="12">
        <v>0</v>
      </c>
      <c r="I720" s="14">
        <v>0.42502894609566855</v>
      </c>
      <c r="J720" s="9" t="str">
        <f t="shared" si="35"/>
        <v>Train</v>
      </c>
    </row>
    <row r="721" spans="1:10" x14ac:dyDescent="0.3">
      <c r="A721" s="3" t="str">
        <f t="shared" si="33"/>
        <v>C720</v>
      </c>
      <c r="B721" s="3" t="str">
        <f t="shared" ca="1" si="34"/>
        <v>Pharma</v>
      </c>
      <c r="C721" s="3">
        <v>172</v>
      </c>
      <c r="D721" s="3">
        <v>3.6</v>
      </c>
      <c r="E721" s="3">
        <v>3.2</v>
      </c>
      <c r="F721" s="3">
        <v>2.2999999999999998</v>
      </c>
      <c r="G721" s="3" t="s">
        <v>7</v>
      </c>
      <c r="H721" s="12">
        <v>0</v>
      </c>
      <c r="I721" s="14">
        <v>0.84233960988664569</v>
      </c>
      <c r="J721" s="9" t="str">
        <f t="shared" si="35"/>
        <v>Test</v>
      </c>
    </row>
    <row r="722" spans="1:10" x14ac:dyDescent="0.3">
      <c r="A722" s="3" t="str">
        <f t="shared" si="33"/>
        <v>C721</v>
      </c>
      <c r="B722" s="3" t="str">
        <f t="shared" ca="1" si="34"/>
        <v>Manufacturing</v>
      </c>
      <c r="C722" s="3">
        <v>337</v>
      </c>
      <c r="D722" s="3">
        <v>2.6</v>
      </c>
      <c r="E722" s="3">
        <v>3.5</v>
      </c>
      <c r="F722" s="3">
        <v>2.2999999999999998</v>
      </c>
      <c r="G722" s="3" t="s">
        <v>7</v>
      </c>
      <c r="H722" s="12">
        <v>0</v>
      </c>
      <c r="I722" s="14">
        <v>0.86311376234949266</v>
      </c>
      <c r="J722" s="9" t="str">
        <f t="shared" si="35"/>
        <v>Test</v>
      </c>
    </row>
    <row r="723" spans="1:10" x14ac:dyDescent="0.3">
      <c r="A723" s="3" t="str">
        <f t="shared" si="33"/>
        <v>C722</v>
      </c>
      <c r="B723" s="3" t="str">
        <f t="shared" ca="1" si="34"/>
        <v>Manufacturing</v>
      </c>
      <c r="C723" s="3">
        <v>196</v>
      </c>
      <c r="D723" s="3">
        <v>7.9</v>
      </c>
      <c r="E723" s="3">
        <v>2.1</v>
      </c>
      <c r="F723" s="3">
        <v>0.7</v>
      </c>
      <c r="G723" s="3" t="s">
        <v>9</v>
      </c>
      <c r="H723" s="12">
        <v>0</v>
      </c>
      <c r="I723" s="14">
        <v>0.75383522977140593</v>
      </c>
      <c r="J723" s="9" t="str">
        <f t="shared" si="35"/>
        <v>Test</v>
      </c>
    </row>
    <row r="724" spans="1:10" x14ac:dyDescent="0.3">
      <c r="A724" s="3" t="str">
        <f t="shared" si="33"/>
        <v>C723</v>
      </c>
      <c r="B724" s="3" t="str">
        <f t="shared" ca="1" si="34"/>
        <v>Construction</v>
      </c>
      <c r="C724" s="3">
        <v>356</v>
      </c>
      <c r="D724" s="3">
        <v>6.5</v>
      </c>
      <c r="E724" s="3">
        <v>5.9</v>
      </c>
      <c r="F724" s="3">
        <v>0.6</v>
      </c>
      <c r="G724" s="3" t="s">
        <v>9</v>
      </c>
      <c r="H724" s="12">
        <v>0</v>
      </c>
      <c r="I724" s="14">
        <v>0.15656065769895589</v>
      </c>
      <c r="J724" s="9" t="str">
        <f t="shared" si="35"/>
        <v>Train</v>
      </c>
    </row>
    <row r="725" spans="1:10" x14ac:dyDescent="0.3">
      <c r="A725" s="3" t="str">
        <f t="shared" si="33"/>
        <v>C724</v>
      </c>
      <c r="B725" s="3" t="str">
        <f t="shared" ca="1" si="34"/>
        <v>Construction</v>
      </c>
      <c r="C725" s="3">
        <v>319</v>
      </c>
      <c r="D725" s="3">
        <v>2</v>
      </c>
      <c r="E725" s="3">
        <v>2.2999999999999998</v>
      </c>
      <c r="F725" s="3">
        <v>2.4</v>
      </c>
      <c r="G725" s="3" t="s">
        <v>7</v>
      </c>
      <c r="H725" s="12">
        <v>0</v>
      </c>
      <c r="I725" s="14">
        <v>9.566915112551122E-2</v>
      </c>
      <c r="J725" s="9" t="str">
        <f t="shared" si="35"/>
        <v>Train</v>
      </c>
    </row>
    <row r="726" spans="1:10" x14ac:dyDescent="0.3">
      <c r="A726" s="3" t="str">
        <f t="shared" si="33"/>
        <v>C725</v>
      </c>
      <c r="B726" s="3" t="str">
        <f t="shared" ca="1" si="34"/>
        <v>Pharma</v>
      </c>
      <c r="C726" s="3">
        <v>157</v>
      </c>
      <c r="D726" s="3">
        <v>7</v>
      </c>
      <c r="E726" s="3">
        <v>6</v>
      </c>
      <c r="F726" s="3">
        <v>1.6</v>
      </c>
      <c r="G726" s="3" t="s">
        <v>9</v>
      </c>
      <c r="H726" s="12">
        <v>0</v>
      </c>
      <c r="I726" s="14">
        <v>0.59128992494103694</v>
      </c>
      <c r="J726" s="9" t="str">
        <f t="shared" si="35"/>
        <v>Train</v>
      </c>
    </row>
    <row r="727" spans="1:10" x14ac:dyDescent="0.3">
      <c r="A727" s="3" t="str">
        <f t="shared" si="33"/>
        <v>C726</v>
      </c>
      <c r="B727" s="3" t="str">
        <f t="shared" ca="1" si="34"/>
        <v>IT Services</v>
      </c>
      <c r="C727" s="3">
        <v>309</v>
      </c>
      <c r="D727" s="3">
        <v>1.6</v>
      </c>
      <c r="E727" s="3">
        <v>9.9</v>
      </c>
      <c r="F727" s="3">
        <v>1.9</v>
      </c>
      <c r="G727" s="3" t="s">
        <v>11</v>
      </c>
      <c r="H727" s="12">
        <v>0</v>
      </c>
      <c r="I727" s="14">
        <v>0.47008479310528839</v>
      </c>
      <c r="J727" s="9" t="str">
        <f t="shared" si="35"/>
        <v>Train</v>
      </c>
    </row>
    <row r="728" spans="1:10" x14ac:dyDescent="0.3">
      <c r="A728" s="3" t="str">
        <f t="shared" si="33"/>
        <v>C727</v>
      </c>
      <c r="B728" s="3" t="str">
        <f t="shared" ca="1" si="34"/>
        <v>Retail</v>
      </c>
      <c r="C728" s="3">
        <v>370</v>
      </c>
      <c r="D728" s="3">
        <v>2.2000000000000002</v>
      </c>
      <c r="E728" s="3">
        <v>9.8000000000000007</v>
      </c>
      <c r="F728" s="3">
        <v>2.7</v>
      </c>
      <c r="G728" s="3" t="s">
        <v>7</v>
      </c>
      <c r="H728" s="12">
        <v>0</v>
      </c>
      <c r="I728" s="14">
        <v>0.64067599386472807</v>
      </c>
      <c r="J728" s="9" t="str">
        <f t="shared" si="35"/>
        <v>Train</v>
      </c>
    </row>
    <row r="729" spans="1:10" x14ac:dyDescent="0.3">
      <c r="A729" s="3" t="str">
        <f t="shared" si="33"/>
        <v>C728</v>
      </c>
      <c r="B729" s="3" t="str">
        <f t="shared" ca="1" si="34"/>
        <v>Retail</v>
      </c>
      <c r="C729" s="3">
        <v>135</v>
      </c>
      <c r="D729" s="3">
        <v>7.3</v>
      </c>
      <c r="E729" s="3">
        <v>8.1999999999999993</v>
      </c>
      <c r="F729" s="3">
        <v>1.4</v>
      </c>
      <c r="G729" s="3" t="s">
        <v>9</v>
      </c>
      <c r="H729" s="12">
        <v>0</v>
      </c>
      <c r="I729" s="14">
        <v>0.75739062650043165</v>
      </c>
      <c r="J729" s="9" t="str">
        <f t="shared" si="35"/>
        <v>Test</v>
      </c>
    </row>
    <row r="730" spans="1:10" x14ac:dyDescent="0.3">
      <c r="A730" s="3" t="str">
        <f t="shared" si="33"/>
        <v>C729</v>
      </c>
      <c r="B730" s="3" t="str">
        <f t="shared" ca="1" si="34"/>
        <v>Retail</v>
      </c>
      <c r="C730" s="3">
        <v>466</v>
      </c>
      <c r="D730" s="3">
        <v>6.3</v>
      </c>
      <c r="E730" s="3">
        <v>2.2000000000000002</v>
      </c>
      <c r="F730" s="3">
        <v>1.3</v>
      </c>
      <c r="G730" s="3" t="s">
        <v>9</v>
      </c>
      <c r="H730" s="12">
        <v>0</v>
      </c>
      <c r="I730" s="14">
        <v>0.62259549156401561</v>
      </c>
      <c r="J730" s="9" t="str">
        <f t="shared" si="35"/>
        <v>Train</v>
      </c>
    </row>
    <row r="731" spans="1:10" x14ac:dyDescent="0.3">
      <c r="A731" s="3" t="str">
        <f t="shared" si="33"/>
        <v>C730</v>
      </c>
      <c r="B731" s="3" t="str">
        <f t="shared" ca="1" si="34"/>
        <v>Pharma</v>
      </c>
      <c r="C731" s="3">
        <v>138</v>
      </c>
      <c r="D731" s="3">
        <v>6.4</v>
      </c>
      <c r="E731" s="3">
        <v>6.5</v>
      </c>
      <c r="F731" s="3">
        <v>2.2000000000000002</v>
      </c>
      <c r="G731" s="3" t="s">
        <v>9</v>
      </c>
      <c r="H731" s="12">
        <v>0</v>
      </c>
      <c r="I731" s="14">
        <v>0.6580353442318565</v>
      </c>
      <c r="J731" s="9" t="str">
        <f t="shared" si="35"/>
        <v>Train</v>
      </c>
    </row>
    <row r="732" spans="1:10" x14ac:dyDescent="0.3">
      <c r="A732" s="3" t="str">
        <f t="shared" si="33"/>
        <v>C731</v>
      </c>
      <c r="B732" s="3" t="str">
        <f t="shared" ca="1" si="34"/>
        <v>Transportation</v>
      </c>
      <c r="C732" s="3">
        <v>99</v>
      </c>
      <c r="D732" s="3">
        <v>7.2</v>
      </c>
      <c r="E732" s="3">
        <v>7.6</v>
      </c>
      <c r="F732" s="3">
        <v>1</v>
      </c>
      <c r="G732" s="3" t="s">
        <v>9</v>
      </c>
      <c r="H732" s="12">
        <v>0</v>
      </c>
      <c r="I732" s="14">
        <v>0.29417913595004996</v>
      </c>
      <c r="J732" s="9" t="str">
        <f t="shared" si="35"/>
        <v>Train</v>
      </c>
    </row>
    <row r="733" spans="1:10" x14ac:dyDescent="0.3">
      <c r="A733" s="3" t="str">
        <f t="shared" si="33"/>
        <v>C732</v>
      </c>
      <c r="B733" s="3" t="str">
        <f t="shared" ca="1" si="34"/>
        <v>Construction</v>
      </c>
      <c r="C733" s="3">
        <v>265</v>
      </c>
      <c r="D733" s="3">
        <v>5</v>
      </c>
      <c r="E733" s="3">
        <v>4.0999999999999996</v>
      </c>
      <c r="F733" s="3">
        <v>3</v>
      </c>
      <c r="G733" s="3" t="s">
        <v>13</v>
      </c>
      <c r="H733" s="12">
        <v>0</v>
      </c>
      <c r="I733" s="14">
        <v>0.57750634004325152</v>
      </c>
      <c r="J733" s="9" t="str">
        <f t="shared" si="35"/>
        <v>Train</v>
      </c>
    </row>
    <row r="734" spans="1:10" x14ac:dyDescent="0.3">
      <c r="A734" s="3" t="str">
        <f t="shared" si="33"/>
        <v>C733</v>
      </c>
      <c r="B734" s="3" t="str">
        <f t="shared" ca="1" si="34"/>
        <v>Retail</v>
      </c>
      <c r="C734" s="3">
        <v>79</v>
      </c>
      <c r="D734" s="3">
        <v>6.1</v>
      </c>
      <c r="E734" s="3">
        <v>1.2</v>
      </c>
      <c r="F734" s="3">
        <v>2</v>
      </c>
      <c r="G734" s="3" t="s">
        <v>9</v>
      </c>
      <c r="H734" s="12">
        <v>0</v>
      </c>
      <c r="I734" s="14">
        <v>0.6875372399642089</v>
      </c>
      <c r="J734" s="9" t="str">
        <f t="shared" si="35"/>
        <v>Train</v>
      </c>
    </row>
    <row r="735" spans="1:10" x14ac:dyDescent="0.3">
      <c r="A735" s="3" t="str">
        <f t="shared" si="33"/>
        <v>C734</v>
      </c>
      <c r="B735" s="3" t="str">
        <f t="shared" ca="1" si="34"/>
        <v>Pharma</v>
      </c>
      <c r="C735" s="3">
        <v>331</v>
      </c>
      <c r="D735" s="3">
        <v>5.6</v>
      </c>
      <c r="E735" s="3">
        <v>0.9</v>
      </c>
      <c r="F735" s="3">
        <v>1.2</v>
      </c>
      <c r="G735" s="3" t="s">
        <v>13</v>
      </c>
      <c r="H735" s="12">
        <v>0</v>
      </c>
      <c r="I735" s="14">
        <v>8.8880289610885121E-2</v>
      </c>
      <c r="J735" s="9" t="str">
        <f t="shared" si="35"/>
        <v>Train</v>
      </c>
    </row>
    <row r="736" spans="1:10" x14ac:dyDescent="0.3">
      <c r="A736" s="3" t="str">
        <f t="shared" si="33"/>
        <v>C735</v>
      </c>
      <c r="B736" s="3" t="str">
        <f t="shared" ca="1" si="34"/>
        <v>Manufacturing</v>
      </c>
      <c r="C736" s="3">
        <v>182</v>
      </c>
      <c r="D736" s="3">
        <v>1.4</v>
      </c>
      <c r="E736" s="3">
        <v>9.3000000000000007</v>
      </c>
      <c r="F736" s="3">
        <v>2.4</v>
      </c>
      <c r="G736" s="3" t="s">
        <v>11</v>
      </c>
      <c r="H736" s="12">
        <v>0</v>
      </c>
      <c r="I736" s="14">
        <v>0.76304873733137113</v>
      </c>
      <c r="J736" s="9" t="str">
        <f t="shared" si="35"/>
        <v>Test</v>
      </c>
    </row>
    <row r="737" spans="1:10" x14ac:dyDescent="0.3">
      <c r="A737" s="3" t="str">
        <f t="shared" si="33"/>
        <v>C736</v>
      </c>
      <c r="B737" s="3" t="str">
        <f t="shared" ca="1" si="34"/>
        <v>Construction</v>
      </c>
      <c r="C737" s="3">
        <v>168</v>
      </c>
      <c r="D737" s="3">
        <v>7.8</v>
      </c>
      <c r="E737" s="3">
        <v>3</v>
      </c>
      <c r="F737" s="3">
        <v>0.8</v>
      </c>
      <c r="G737" s="3" t="s">
        <v>9</v>
      </c>
      <c r="H737" s="12">
        <v>0</v>
      </c>
      <c r="I737" s="14">
        <v>0.6050457006247365</v>
      </c>
      <c r="J737" s="9" t="str">
        <f t="shared" si="35"/>
        <v>Train</v>
      </c>
    </row>
    <row r="738" spans="1:10" x14ac:dyDescent="0.3">
      <c r="A738" s="3" t="str">
        <f t="shared" si="33"/>
        <v>C737</v>
      </c>
      <c r="B738" s="3" t="str">
        <f t="shared" ca="1" si="34"/>
        <v>Retail</v>
      </c>
      <c r="C738" s="3">
        <v>178</v>
      </c>
      <c r="D738" s="3">
        <v>4.2</v>
      </c>
      <c r="E738" s="3">
        <v>8.5</v>
      </c>
      <c r="F738" s="3">
        <v>2</v>
      </c>
      <c r="G738" s="3" t="s">
        <v>13</v>
      </c>
      <c r="H738" s="12">
        <v>0</v>
      </c>
      <c r="I738" s="14">
        <v>0.27692305994680233</v>
      </c>
      <c r="J738" s="9" t="str">
        <f t="shared" si="35"/>
        <v>Train</v>
      </c>
    </row>
    <row r="739" spans="1:10" x14ac:dyDescent="0.3">
      <c r="A739" s="3" t="str">
        <f t="shared" si="33"/>
        <v>C738</v>
      </c>
      <c r="B739" s="3" t="str">
        <f t="shared" ca="1" si="34"/>
        <v>Transportation</v>
      </c>
      <c r="C739" s="3">
        <v>233</v>
      </c>
      <c r="D739" s="3">
        <v>6.2</v>
      </c>
      <c r="E739" s="3">
        <v>5.3</v>
      </c>
      <c r="F739" s="3">
        <v>1.9</v>
      </c>
      <c r="G739" s="3" t="s">
        <v>9</v>
      </c>
      <c r="H739" s="12">
        <v>0</v>
      </c>
      <c r="I739" s="14">
        <v>0.91955086754706983</v>
      </c>
      <c r="J739" s="9" t="str">
        <f t="shared" si="35"/>
        <v>Test</v>
      </c>
    </row>
    <row r="740" spans="1:10" x14ac:dyDescent="0.3">
      <c r="A740" s="3" t="str">
        <f t="shared" si="33"/>
        <v>C739</v>
      </c>
      <c r="B740" s="3" t="str">
        <f t="shared" ca="1" si="34"/>
        <v>IT Services</v>
      </c>
      <c r="C740" s="3">
        <v>251</v>
      </c>
      <c r="D740" s="3">
        <v>3.4</v>
      </c>
      <c r="E740" s="3">
        <v>4.2</v>
      </c>
      <c r="F740" s="3">
        <v>2.9</v>
      </c>
      <c r="G740" s="3" t="s">
        <v>7</v>
      </c>
      <c r="H740" s="12">
        <v>0</v>
      </c>
      <c r="I740" s="14">
        <v>0.82480549278582749</v>
      </c>
      <c r="J740" s="9" t="str">
        <f t="shared" si="35"/>
        <v>Test</v>
      </c>
    </row>
    <row r="741" spans="1:10" x14ac:dyDescent="0.3">
      <c r="A741" s="3" t="str">
        <f t="shared" si="33"/>
        <v>C740</v>
      </c>
      <c r="B741" s="3" t="str">
        <f t="shared" ca="1" si="34"/>
        <v>Retail</v>
      </c>
      <c r="C741" s="3">
        <v>402</v>
      </c>
      <c r="D741" s="3">
        <v>0.5</v>
      </c>
      <c r="E741" s="3">
        <v>5.3</v>
      </c>
      <c r="F741" s="3">
        <v>0.7</v>
      </c>
      <c r="G741" s="3" t="s">
        <v>11</v>
      </c>
      <c r="H741" s="12">
        <v>0</v>
      </c>
      <c r="I741" s="14">
        <v>5.4094036746007546E-2</v>
      </c>
      <c r="J741" s="9" t="str">
        <f t="shared" si="35"/>
        <v>Train</v>
      </c>
    </row>
    <row r="742" spans="1:10" x14ac:dyDescent="0.3">
      <c r="A742" s="3" t="str">
        <f t="shared" si="33"/>
        <v>C741</v>
      </c>
      <c r="B742" s="3" t="str">
        <f t="shared" ca="1" si="34"/>
        <v>IT Services</v>
      </c>
      <c r="C742" s="3">
        <v>327</v>
      </c>
      <c r="D742" s="3">
        <v>7.9</v>
      </c>
      <c r="E742" s="3">
        <v>4.7</v>
      </c>
      <c r="F742" s="3">
        <v>1.6</v>
      </c>
      <c r="G742" s="3" t="s">
        <v>9</v>
      </c>
      <c r="H742" s="12">
        <v>0</v>
      </c>
      <c r="I742" s="14">
        <v>0.44627056534084486</v>
      </c>
      <c r="J742" s="9" t="str">
        <f t="shared" si="35"/>
        <v>Train</v>
      </c>
    </row>
    <row r="743" spans="1:10" x14ac:dyDescent="0.3">
      <c r="A743" s="3" t="str">
        <f t="shared" si="33"/>
        <v>C742</v>
      </c>
      <c r="B743" s="3" t="str">
        <f t="shared" ca="1" si="34"/>
        <v>Manufacturing</v>
      </c>
      <c r="C743" s="3">
        <v>164</v>
      </c>
      <c r="D743" s="3">
        <v>2</v>
      </c>
      <c r="E743" s="3">
        <v>8.4</v>
      </c>
      <c r="F743" s="3">
        <v>1.1000000000000001</v>
      </c>
      <c r="G743" s="3" t="s">
        <v>7</v>
      </c>
      <c r="H743" s="12">
        <v>0</v>
      </c>
      <c r="I743" s="14">
        <v>0.43736478124107037</v>
      </c>
      <c r="J743" s="9" t="str">
        <f t="shared" si="35"/>
        <v>Train</v>
      </c>
    </row>
    <row r="744" spans="1:10" x14ac:dyDescent="0.3">
      <c r="A744" s="3" t="str">
        <f t="shared" si="33"/>
        <v>C743</v>
      </c>
      <c r="B744" s="3" t="str">
        <f t="shared" ca="1" si="34"/>
        <v>IT Services</v>
      </c>
      <c r="C744" s="3">
        <v>336</v>
      </c>
      <c r="D744" s="3">
        <v>5</v>
      </c>
      <c r="E744" s="3">
        <v>5.4</v>
      </c>
      <c r="F744" s="3">
        <v>2.6</v>
      </c>
      <c r="G744" s="3" t="s">
        <v>13</v>
      </c>
      <c r="H744" s="12">
        <v>0</v>
      </c>
      <c r="I744" s="14">
        <v>0.72066950200550095</v>
      </c>
      <c r="J744" s="9" t="str">
        <f t="shared" si="35"/>
        <v>Test</v>
      </c>
    </row>
    <row r="745" spans="1:10" x14ac:dyDescent="0.3">
      <c r="A745" s="3" t="str">
        <f t="shared" si="33"/>
        <v>C744</v>
      </c>
      <c r="B745" s="3" t="str">
        <f t="shared" ca="1" si="34"/>
        <v>Retail</v>
      </c>
      <c r="C745" s="3">
        <v>329</v>
      </c>
      <c r="D745" s="3">
        <v>7.4</v>
      </c>
      <c r="E745" s="3">
        <v>8.8000000000000007</v>
      </c>
      <c r="F745" s="3">
        <v>1.3</v>
      </c>
      <c r="G745" s="3" t="s">
        <v>9</v>
      </c>
      <c r="H745" s="12">
        <v>0</v>
      </c>
      <c r="I745" s="14">
        <v>0.82581357434902647</v>
      </c>
      <c r="J745" s="9" t="str">
        <f t="shared" si="35"/>
        <v>Test</v>
      </c>
    </row>
    <row r="746" spans="1:10" x14ac:dyDescent="0.3">
      <c r="A746" s="3" t="str">
        <f t="shared" si="33"/>
        <v>C745</v>
      </c>
      <c r="B746" s="3" t="str">
        <f t="shared" ca="1" si="34"/>
        <v>IT Services</v>
      </c>
      <c r="C746" s="3">
        <v>52</v>
      </c>
      <c r="D746" s="3">
        <v>5.9</v>
      </c>
      <c r="E746" s="3">
        <v>9.1</v>
      </c>
      <c r="F746" s="3">
        <v>1.9</v>
      </c>
      <c r="G746" s="3" t="s">
        <v>13</v>
      </c>
      <c r="H746" s="12">
        <v>0</v>
      </c>
      <c r="I746" s="14">
        <v>8.6602166094884581E-2</v>
      </c>
      <c r="J746" s="9" t="str">
        <f t="shared" si="35"/>
        <v>Train</v>
      </c>
    </row>
    <row r="747" spans="1:10" x14ac:dyDescent="0.3">
      <c r="A747" s="3" t="str">
        <f t="shared" si="33"/>
        <v>C746</v>
      </c>
      <c r="B747" s="3" t="str">
        <f t="shared" ca="1" si="34"/>
        <v>Transportation</v>
      </c>
      <c r="C747" s="3">
        <v>451</v>
      </c>
      <c r="D747" s="3">
        <v>2.1</v>
      </c>
      <c r="E747" s="3">
        <v>9.6</v>
      </c>
      <c r="F747" s="3">
        <v>0.5</v>
      </c>
      <c r="G747" s="3" t="s">
        <v>7</v>
      </c>
      <c r="H747" s="12">
        <v>0</v>
      </c>
      <c r="I747" s="14">
        <v>0.73583121774398241</v>
      </c>
      <c r="J747" s="9" t="str">
        <f t="shared" si="35"/>
        <v>Test</v>
      </c>
    </row>
    <row r="748" spans="1:10" x14ac:dyDescent="0.3">
      <c r="A748" s="3" t="str">
        <f t="shared" si="33"/>
        <v>C747</v>
      </c>
      <c r="B748" s="3" t="str">
        <f t="shared" ca="1" si="34"/>
        <v>Construction</v>
      </c>
      <c r="C748" s="3">
        <v>365</v>
      </c>
      <c r="D748" s="3">
        <v>5.4</v>
      </c>
      <c r="E748" s="3">
        <v>6.2</v>
      </c>
      <c r="F748" s="3">
        <v>2.8</v>
      </c>
      <c r="G748" s="3" t="s">
        <v>13</v>
      </c>
      <c r="H748" s="12">
        <v>0</v>
      </c>
      <c r="I748" s="14">
        <v>0.19083760230106384</v>
      </c>
      <c r="J748" s="9" t="str">
        <f t="shared" si="35"/>
        <v>Train</v>
      </c>
    </row>
    <row r="749" spans="1:10" x14ac:dyDescent="0.3">
      <c r="A749" s="3" t="str">
        <f t="shared" si="33"/>
        <v>C748</v>
      </c>
      <c r="B749" s="3" t="str">
        <f t="shared" ca="1" si="34"/>
        <v>Construction</v>
      </c>
      <c r="C749" s="3">
        <v>151</v>
      </c>
      <c r="D749" s="3">
        <v>7.8</v>
      </c>
      <c r="E749" s="3">
        <v>2.2000000000000002</v>
      </c>
      <c r="F749" s="3">
        <v>0.7</v>
      </c>
      <c r="G749" s="3" t="s">
        <v>9</v>
      </c>
      <c r="H749" s="12">
        <v>0</v>
      </c>
      <c r="I749" s="14">
        <v>0.15969872824267961</v>
      </c>
      <c r="J749" s="9" t="str">
        <f t="shared" si="35"/>
        <v>Train</v>
      </c>
    </row>
    <row r="750" spans="1:10" x14ac:dyDescent="0.3">
      <c r="A750" s="3" t="str">
        <f t="shared" si="33"/>
        <v>C749</v>
      </c>
      <c r="B750" s="3" t="str">
        <f t="shared" ca="1" si="34"/>
        <v>Manufacturing</v>
      </c>
      <c r="C750" s="3">
        <v>114</v>
      </c>
      <c r="D750" s="3">
        <v>4.5999999999999996</v>
      </c>
      <c r="E750" s="3">
        <v>4.5</v>
      </c>
      <c r="F750" s="3">
        <v>0.5</v>
      </c>
      <c r="G750" s="3" t="s">
        <v>13</v>
      </c>
      <c r="H750" s="12">
        <v>0</v>
      </c>
      <c r="I750" s="14">
        <v>0.5508182454163093</v>
      </c>
      <c r="J750" s="9" t="str">
        <f t="shared" si="35"/>
        <v>Train</v>
      </c>
    </row>
    <row r="751" spans="1:10" x14ac:dyDescent="0.3">
      <c r="A751" s="3" t="str">
        <f t="shared" si="33"/>
        <v>C750</v>
      </c>
      <c r="B751" s="3" t="str">
        <f t="shared" ca="1" si="34"/>
        <v>Retail</v>
      </c>
      <c r="C751" s="3">
        <v>155</v>
      </c>
      <c r="D751" s="3">
        <v>7.3</v>
      </c>
      <c r="E751" s="3">
        <v>1.2</v>
      </c>
      <c r="F751" s="3">
        <v>2.9</v>
      </c>
      <c r="G751" s="3" t="s">
        <v>9</v>
      </c>
      <c r="H751" s="12">
        <v>0</v>
      </c>
      <c r="I751" s="14">
        <v>0.57680289314254141</v>
      </c>
      <c r="J751" s="9" t="str">
        <f t="shared" si="35"/>
        <v>Train</v>
      </c>
    </row>
    <row r="752" spans="1:10" x14ac:dyDescent="0.3">
      <c r="A752" s="3" t="str">
        <f t="shared" si="33"/>
        <v>C751</v>
      </c>
      <c r="B752" s="3" t="str">
        <f t="shared" ca="1" si="34"/>
        <v>Manufacturing</v>
      </c>
      <c r="C752" s="3">
        <v>270</v>
      </c>
      <c r="D752" s="3">
        <v>3.2</v>
      </c>
      <c r="E752" s="3">
        <v>2.5</v>
      </c>
      <c r="F752" s="3">
        <v>2.5</v>
      </c>
      <c r="G752" s="3" t="s">
        <v>7</v>
      </c>
      <c r="H752" s="12">
        <v>0</v>
      </c>
      <c r="I752" s="14">
        <v>0.12060476865087255</v>
      </c>
      <c r="J752" s="9" t="str">
        <f t="shared" si="35"/>
        <v>Train</v>
      </c>
    </row>
    <row r="753" spans="1:10" x14ac:dyDescent="0.3">
      <c r="A753" s="3" t="str">
        <f>"C"&amp;TEXT(ROW()-1,"000")</f>
        <v>C752</v>
      </c>
      <c r="B753" s="3" t="str">
        <f t="shared" ca="1" si="34"/>
        <v>Retail</v>
      </c>
      <c r="C753" s="3">
        <v>470</v>
      </c>
      <c r="D753" s="3">
        <v>2.1</v>
      </c>
      <c r="E753" s="3">
        <v>9.9</v>
      </c>
      <c r="F753" s="3">
        <v>2</v>
      </c>
      <c r="G753" s="3" t="s">
        <v>7</v>
      </c>
      <c r="H753" s="12">
        <v>0</v>
      </c>
      <c r="I753" s="14">
        <v>0.48509770143546049</v>
      </c>
      <c r="J753" s="9" t="str">
        <f t="shared" si="35"/>
        <v>Train</v>
      </c>
    </row>
    <row r="754" spans="1:10" x14ac:dyDescent="0.3">
      <c r="A754" s="3" t="str">
        <f t="shared" ref="A754" si="36">"C"&amp;TEXT(ROW()-1,"000")</f>
        <v>C753</v>
      </c>
      <c r="B754" s="3" t="str">
        <f t="shared" ca="1" si="34"/>
        <v>Transportation</v>
      </c>
      <c r="C754" s="3">
        <v>419</v>
      </c>
      <c r="D754" s="3">
        <v>5.3</v>
      </c>
      <c r="E754" s="3">
        <v>9.1</v>
      </c>
      <c r="F754" s="3">
        <v>1.8</v>
      </c>
      <c r="G754" s="3" t="s">
        <v>13</v>
      </c>
      <c r="H754" s="12">
        <v>0</v>
      </c>
      <c r="I754" s="14">
        <v>0.2339349868632683</v>
      </c>
      <c r="J754" s="9" t="str">
        <f t="shared" si="35"/>
        <v>Train</v>
      </c>
    </row>
    <row r="755" spans="1:10" x14ac:dyDescent="0.3">
      <c r="A755" s="3" t="str">
        <f>"C"&amp;TEXT(ROW()-1,"000")</f>
        <v>C754</v>
      </c>
      <c r="B755" s="3" t="str">
        <f t="shared" ca="1" si="34"/>
        <v>Transportation</v>
      </c>
      <c r="C755" s="3">
        <v>152</v>
      </c>
      <c r="D755" s="3">
        <v>4.4000000000000004</v>
      </c>
      <c r="E755" s="3">
        <v>8.5</v>
      </c>
      <c r="F755" s="3">
        <v>2.2000000000000002</v>
      </c>
      <c r="G755" s="3" t="s">
        <v>13</v>
      </c>
      <c r="H755" s="12">
        <v>0</v>
      </c>
      <c r="I755" s="14">
        <v>0.17194311180418287</v>
      </c>
      <c r="J755" s="9" t="str">
        <f t="shared" si="35"/>
        <v>Train</v>
      </c>
    </row>
    <row r="756" spans="1:10" x14ac:dyDescent="0.3">
      <c r="A756" s="3" t="str">
        <f t="shared" ref="A756:A770" si="37">"C"&amp;TEXT(ROW()-1,"000")</f>
        <v>C755</v>
      </c>
      <c r="B756" s="3" t="str">
        <f t="shared" ca="1" si="34"/>
        <v>Pharma</v>
      </c>
      <c r="C756" s="3">
        <v>232</v>
      </c>
      <c r="D756" s="3">
        <v>6.4</v>
      </c>
      <c r="E756" s="3">
        <v>8.1999999999999993</v>
      </c>
      <c r="F756" s="3">
        <v>1.2</v>
      </c>
      <c r="G756" s="3" t="s">
        <v>9</v>
      </c>
      <c r="H756" s="12">
        <v>0</v>
      </c>
      <c r="I756" s="14">
        <v>0.32834652891546823</v>
      </c>
      <c r="J756" s="9" t="str">
        <f t="shared" si="35"/>
        <v>Train</v>
      </c>
    </row>
    <row r="757" spans="1:10" x14ac:dyDescent="0.3">
      <c r="A757" s="3" t="str">
        <f t="shared" si="37"/>
        <v>C756</v>
      </c>
      <c r="B757" s="3" t="str">
        <f t="shared" ca="1" si="34"/>
        <v>IT Services</v>
      </c>
      <c r="C757" s="3">
        <v>113</v>
      </c>
      <c r="D757" s="3">
        <v>1.9</v>
      </c>
      <c r="E757" s="3">
        <v>8.4</v>
      </c>
      <c r="F757" s="3">
        <v>2</v>
      </c>
      <c r="G757" s="3" t="s">
        <v>11</v>
      </c>
      <c r="H757" s="12">
        <v>0</v>
      </c>
      <c r="I757" s="14">
        <v>0.40372636289924391</v>
      </c>
      <c r="J757" s="9" t="str">
        <f t="shared" si="35"/>
        <v>Train</v>
      </c>
    </row>
    <row r="758" spans="1:10" x14ac:dyDescent="0.3">
      <c r="A758" s="3" t="str">
        <f t="shared" si="37"/>
        <v>C757</v>
      </c>
      <c r="B758" s="3" t="str">
        <f t="shared" ca="1" si="34"/>
        <v>Transportation</v>
      </c>
      <c r="C758" s="3">
        <v>406</v>
      </c>
      <c r="D758" s="3">
        <v>7.7</v>
      </c>
      <c r="E758" s="3">
        <v>1.4</v>
      </c>
      <c r="F758" s="3">
        <v>1.9</v>
      </c>
      <c r="G758" s="3" t="s">
        <v>9</v>
      </c>
      <c r="H758" s="12">
        <v>0</v>
      </c>
      <c r="I758" s="14">
        <v>0.8956026060001171</v>
      </c>
      <c r="J758" s="9" t="str">
        <f t="shared" si="35"/>
        <v>Test</v>
      </c>
    </row>
    <row r="759" spans="1:10" x14ac:dyDescent="0.3">
      <c r="A759" s="3" t="str">
        <f t="shared" si="37"/>
        <v>C758</v>
      </c>
      <c r="B759" s="3" t="str">
        <f t="shared" ca="1" si="34"/>
        <v>Construction</v>
      </c>
      <c r="C759" s="3">
        <v>213</v>
      </c>
      <c r="D759" s="3">
        <v>0.5</v>
      </c>
      <c r="E759" s="3">
        <v>8.6</v>
      </c>
      <c r="F759" s="3">
        <v>2.8</v>
      </c>
      <c r="G759" s="3" t="s">
        <v>11</v>
      </c>
      <c r="H759" s="12">
        <v>0</v>
      </c>
      <c r="I759" s="14">
        <v>0.75455577775190197</v>
      </c>
      <c r="J759" s="9" t="str">
        <f t="shared" si="35"/>
        <v>Test</v>
      </c>
    </row>
    <row r="760" spans="1:10" x14ac:dyDescent="0.3">
      <c r="A760" s="3" t="str">
        <f t="shared" si="37"/>
        <v>C759</v>
      </c>
      <c r="B760" s="3" t="str">
        <f t="shared" ca="1" si="34"/>
        <v>Construction</v>
      </c>
      <c r="C760" s="3">
        <v>164</v>
      </c>
      <c r="D760" s="3">
        <v>7.9</v>
      </c>
      <c r="E760" s="3">
        <v>5.6</v>
      </c>
      <c r="F760" s="3">
        <v>2.7</v>
      </c>
      <c r="G760" s="3" t="s">
        <v>9</v>
      </c>
      <c r="H760" s="12">
        <v>0</v>
      </c>
      <c r="I760" s="14">
        <v>0.46983680348140644</v>
      </c>
      <c r="J760" s="9" t="str">
        <f t="shared" si="35"/>
        <v>Train</v>
      </c>
    </row>
    <row r="761" spans="1:10" x14ac:dyDescent="0.3">
      <c r="A761" s="3" t="str">
        <f t="shared" si="37"/>
        <v>C760</v>
      </c>
      <c r="B761" s="3" t="str">
        <f t="shared" ca="1" si="34"/>
        <v>Manufacturing</v>
      </c>
      <c r="C761" s="3">
        <v>188</v>
      </c>
      <c r="D761" s="3">
        <v>5.8</v>
      </c>
      <c r="E761" s="3">
        <v>8.6999999999999993</v>
      </c>
      <c r="F761" s="3">
        <v>1.1000000000000001</v>
      </c>
      <c r="G761" s="3" t="s">
        <v>13</v>
      </c>
      <c r="H761" s="12">
        <v>0</v>
      </c>
      <c r="I761" s="14">
        <v>0.60927411338898929</v>
      </c>
      <c r="J761" s="9" t="str">
        <f t="shared" si="35"/>
        <v>Train</v>
      </c>
    </row>
    <row r="762" spans="1:10" x14ac:dyDescent="0.3">
      <c r="A762" s="3" t="str">
        <f t="shared" si="37"/>
        <v>C761</v>
      </c>
      <c r="B762" s="3" t="str">
        <f t="shared" ca="1" si="34"/>
        <v>IT Services</v>
      </c>
      <c r="C762" s="3">
        <v>182</v>
      </c>
      <c r="D762" s="3">
        <v>6.8</v>
      </c>
      <c r="E762" s="3">
        <v>2.5</v>
      </c>
      <c r="F762" s="3">
        <v>0.7</v>
      </c>
      <c r="G762" s="3" t="s">
        <v>9</v>
      </c>
      <c r="H762" s="12">
        <v>0</v>
      </c>
      <c r="I762" s="14">
        <v>0.22638307641529498</v>
      </c>
      <c r="J762" s="9" t="str">
        <f t="shared" si="35"/>
        <v>Train</v>
      </c>
    </row>
    <row r="763" spans="1:10" x14ac:dyDescent="0.3">
      <c r="A763" s="3" t="str">
        <f t="shared" si="37"/>
        <v>C762</v>
      </c>
      <c r="B763" s="3" t="str">
        <f t="shared" ca="1" si="34"/>
        <v>IT Services</v>
      </c>
      <c r="C763" s="3">
        <v>91</v>
      </c>
      <c r="D763" s="3">
        <v>4.9000000000000004</v>
      </c>
      <c r="E763" s="3">
        <v>6.7</v>
      </c>
      <c r="F763" s="3">
        <v>2.7</v>
      </c>
      <c r="G763" s="3" t="s">
        <v>13</v>
      </c>
      <c r="H763" s="12">
        <v>0</v>
      </c>
      <c r="I763" s="14">
        <v>0.84053521150525046</v>
      </c>
      <c r="J763" s="9" t="str">
        <f t="shared" si="35"/>
        <v>Test</v>
      </c>
    </row>
    <row r="764" spans="1:10" x14ac:dyDescent="0.3">
      <c r="A764" s="3" t="str">
        <f t="shared" si="37"/>
        <v>C763</v>
      </c>
      <c r="B764" s="3" t="str">
        <f t="shared" ca="1" si="34"/>
        <v>Pharma</v>
      </c>
      <c r="C764" s="3">
        <v>440</v>
      </c>
      <c r="D764" s="3">
        <v>1.1000000000000001</v>
      </c>
      <c r="E764" s="3">
        <v>8</v>
      </c>
      <c r="F764" s="3">
        <v>2.6</v>
      </c>
      <c r="G764" s="3" t="s">
        <v>11</v>
      </c>
      <c r="H764" s="12">
        <v>0</v>
      </c>
      <c r="I764" s="14">
        <v>0.7786417300031182</v>
      </c>
      <c r="J764" s="9" t="str">
        <f t="shared" si="35"/>
        <v>Test</v>
      </c>
    </row>
    <row r="765" spans="1:10" x14ac:dyDescent="0.3">
      <c r="A765" s="3" t="str">
        <f t="shared" si="37"/>
        <v>C764</v>
      </c>
      <c r="B765" s="3" t="str">
        <f t="shared" ca="1" si="34"/>
        <v>Transportation</v>
      </c>
      <c r="C765" s="3">
        <v>324</v>
      </c>
      <c r="D765" s="3">
        <v>2.4</v>
      </c>
      <c r="E765" s="3">
        <v>5.9</v>
      </c>
      <c r="F765" s="3">
        <v>2</v>
      </c>
      <c r="G765" s="3" t="s">
        <v>7</v>
      </c>
      <c r="H765" s="12">
        <v>0</v>
      </c>
      <c r="I765" s="14">
        <v>0.42756931792041408</v>
      </c>
      <c r="J765" s="9" t="str">
        <f t="shared" si="35"/>
        <v>Train</v>
      </c>
    </row>
    <row r="766" spans="1:10" x14ac:dyDescent="0.3">
      <c r="A766" s="3" t="str">
        <f t="shared" si="37"/>
        <v>C765</v>
      </c>
      <c r="B766" s="3" t="str">
        <f t="shared" ca="1" si="34"/>
        <v>Transportation</v>
      </c>
      <c r="C766" s="3">
        <v>208</v>
      </c>
      <c r="D766" s="3">
        <v>2.4</v>
      </c>
      <c r="E766" s="3">
        <v>3.8</v>
      </c>
      <c r="F766" s="3">
        <v>1</v>
      </c>
      <c r="G766" s="3" t="s">
        <v>7</v>
      </c>
      <c r="H766" s="12">
        <v>0</v>
      </c>
      <c r="I766" s="14">
        <v>0.8598628375443943</v>
      </c>
      <c r="J766" s="9" t="str">
        <f t="shared" si="35"/>
        <v>Test</v>
      </c>
    </row>
    <row r="767" spans="1:10" x14ac:dyDescent="0.3">
      <c r="A767" s="3" t="str">
        <f t="shared" si="37"/>
        <v>C766</v>
      </c>
      <c r="B767" s="3" t="str">
        <f t="shared" ca="1" si="34"/>
        <v>IT Services</v>
      </c>
      <c r="C767" s="3">
        <v>253</v>
      </c>
      <c r="D767" s="3">
        <v>7.8</v>
      </c>
      <c r="E767" s="3">
        <v>8.1</v>
      </c>
      <c r="F767" s="3">
        <v>0.8</v>
      </c>
      <c r="G767" s="3" t="s">
        <v>9</v>
      </c>
      <c r="H767" s="12">
        <v>0</v>
      </c>
      <c r="I767" s="14">
        <v>0.94879157227368083</v>
      </c>
      <c r="J767" s="9" t="str">
        <f t="shared" si="35"/>
        <v>Test</v>
      </c>
    </row>
    <row r="768" spans="1:10" x14ac:dyDescent="0.3">
      <c r="A768" s="3" t="str">
        <f t="shared" si="37"/>
        <v>C767</v>
      </c>
      <c r="B768" s="3" t="str">
        <f t="shared" ca="1" si="34"/>
        <v>Construction</v>
      </c>
      <c r="C768" s="3">
        <v>397</v>
      </c>
      <c r="D768" s="3">
        <v>2.6</v>
      </c>
      <c r="E768" s="3">
        <v>4.5</v>
      </c>
      <c r="F768" s="3">
        <v>1.6</v>
      </c>
      <c r="G768" s="3" t="s">
        <v>7</v>
      </c>
      <c r="H768" s="12">
        <v>0</v>
      </c>
      <c r="I768" s="14">
        <v>0.27502531156395349</v>
      </c>
      <c r="J768" s="9" t="str">
        <f t="shared" si="35"/>
        <v>Train</v>
      </c>
    </row>
    <row r="769" spans="1:10" x14ac:dyDescent="0.3">
      <c r="A769" s="3" t="str">
        <f t="shared" si="37"/>
        <v>C768</v>
      </c>
      <c r="B769" s="3" t="str">
        <f t="shared" ca="1" si="34"/>
        <v>Construction</v>
      </c>
      <c r="C769" s="3">
        <v>198</v>
      </c>
      <c r="D769" s="3">
        <v>2.1</v>
      </c>
      <c r="E769" s="3">
        <v>4.5999999999999996</v>
      </c>
      <c r="F769" s="3">
        <v>2</v>
      </c>
      <c r="G769" s="3" t="s">
        <v>7</v>
      </c>
      <c r="H769" s="12">
        <v>0</v>
      </c>
      <c r="I769" s="14">
        <v>0.92528352573771044</v>
      </c>
      <c r="J769" s="9" t="str">
        <f t="shared" si="35"/>
        <v>Test</v>
      </c>
    </row>
    <row r="770" spans="1:10" x14ac:dyDescent="0.3">
      <c r="A770" s="3" t="str">
        <f t="shared" si="37"/>
        <v>C769</v>
      </c>
      <c r="B770" s="3" t="str">
        <f t="shared" ca="1" si="34"/>
        <v>Transportation</v>
      </c>
      <c r="C770" s="3">
        <v>275</v>
      </c>
      <c r="D770" s="3">
        <v>0.5</v>
      </c>
      <c r="E770" s="3">
        <v>6.7</v>
      </c>
      <c r="F770" s="3">
        <v>1.8</v>
      </c>
      <c r="G770" s="3" t="s">
        <v>11</v>
      </c>
      <c r="H770" s="12">
        <v>0</v>
      </c>
      <c r="I770" s="14">
        <v>0.29355124782905628</v>
      </c>
      <c r="J770" s="9" t="str">
        <f t="shared" si="35"/>
        <v>Train</v>
      </c>
    </row>
    <row r="771" spans="1:10" x14ac:dyDescent="0.3">
      <c r="A771" s="3" t="str">
        <f>"C"&amp;TEXT(ROW()-1,"000")</f>
        <v>C770</v>
      </c>
      <c r="B771" s="3" t="str">
        <f t="shared" ref="B771:B801" ca="1" si="38">CHOOSE(RANDBETWEEN(1,6),
"Manufacturing",
"Retail",
"Pharma",
"Construction",
"Transportation",
"IT Services")</f>
        <v>Retail</v>
      </c>
      <c r="C771" s="3">
        <v>101</v>
      </c>
      <c r="D771" s="3">
        <v>6.5</v>
      </c>
      <c r="E771" s="3">
        <v>8.1</v>
      </c>
      <c r="F771" s="3">
        <v>2.2000000000000002</v>
      </c>
      <c r="G771" s="3" t="s">
        <v>9</v>
      </c>
      <c r="H771" s="12">
        <v>0</v>
      </c>
      <c r="I771" s="14">
        <v>0.82724779324013531</v>
      </c>
      <c r="J771" s="9" t="str">
        <f t="shared" ref="J771:J834" si="39">IF(I771&lt;=0.7,"Train","Test")</f>
        <v>Test</v>
      </c>
    </row>
    <row r="772" spans="1:10" x14ac:dyDescent="0.3">
      <c r="A772" s="3" t="str">
        <f t="shared" ref="A772:A774" si="40">"C"&amp;TEXT(ROW()-1,"000")</f>
        <v>C771</v>
      </c>
      <c r="B772" s="3" t="str">
        <f t="shared" ca="1" si="38"/>
        <v>Transportation</v>
      </c>
      <c r="C772" s="3">
        <v>270</v>
      </c>
      <c r="D772" s="3">
        <v>5.3</v>
      </c>
      <c r="E772" s="3">
        <v>5.8</v>
      </c>
      <c r="F772" s="3">
        <v>1</v>
      </c>
      <c r="G772" s="3" t="s">
        <v>13</v>
      </c>
      <c r="H772" s="12">
        <v>0</v>
      </c>
      <c r="I772" s="14">
        <v>0.84713666506668706</v>
      </c>
      <c r="J772" s="9" t="str">
        <f t="shared" si="39"/>
        <v>Test</v>
      </c>
    </row>
    <row r="773" spans="1:10" x14ac:dyDescent="0.3">
      <c r="A773" s="3" t="str">
        <f t="shared" si="40"/>
        <v>C772</v>
      </c>
      <c r="B773" s="3" t="str">
        <f t="shared" ca="1" si="38"/>
        <v>Manufacturing</v>
      </c>
      <c r="C773" s="3">
        <v>114</v>
      </c>
      <c r="D773" s="3">
        <v>3.5</v>
      </c>
      <c r="E773" s="3">
        <v>3</v>
      </c>
      <c r="F773" s="3">
        <v>1.6</v>
      </c>
      <c r="G773" s="3" t="s">
        <v>7</v>
      </c>
      <c r="H773" s="12">
        <v>0</v>
      </c>
      <c r="I773" s="14">
        <v>0.75175378113662794</v>
      </c>
      <c r="J773" s="9" t="str">
        <f t="shared" si="39"/>
        <v>Test</v>
      </c>
    </row>
    <row r="774" spans="1:10" x14ac:dyDescent="0.3">
      <c r="A774" s="3" t="str">
        <f t="shared" si="40"/>
        <v>C773</v>
      </c>
      <c r="B774" s="3" t="str">
        <f t="shared" ca="1" si="38"/>
        <v>Retail</v>
      </c>
      <c r="C774" s="3">
        <v>227</v>
      </c>
      <c r="D774" s="3">
        <v>5.8</v>
      </c>
      <c r="E774" s="3">
        <v>8.6</v>
      </c>
      <c r="F774" s="3">
        <v>2.9</v>
      </c>
      <c r="G774" s="3" t="s">
        <v>13</v>
      </c>
      <c r="H774" s="12">
        <v>0</v>
      </c>
      <c r="I774" s="14">
        <v>0.86507792727571087</v>
      </c>
      <c r="J774" s="9" t="str">
        <f t="shared" si="39"/>
        <v>Test</v>
      </c>
    </row>
    <row r="775" spans="1:10" x14ac:dyDescent="0.3">
      <c r="A775" s="3" t="str">
        <f>"C"&amp;TEXT(ROW()-1,"000")</f>
        <v>C774</v>
      </c>
      <c r="B775" s="3" t="str">
        <f t="shared" ca="1" si="38"/>
        <v>Retail</v>
      </c>
      <c r="C775" s="3">
        <v>310</v>
      </c>
      <c r="D775" s="3">
        <v>0.5</v>
      </c>
      <c r="E775" s="3">
        <v>8.8000000000000007</v>
      </c>
      <c r="F775" s="3">
        <v>0.8</v>
      </c>
      <c r="G775" s="3" t="s">
        <v>11</v>
      </c>
      <c r="H775" s="12">
        <v>0</v>
      </c>
      <c r="I775" s="14">
        <v>0.12562465518321575</v>
      </c>
      <c r="J775" s="9" t="str">
        <f t="shared" si="39"/>
        <v>Train</v>
      </c>
    </row>
    <row r="776" spans="1:10" x14ac:dyDescent="0.3">
      <c r="A776" s="3" t="str">
        <f t="shared" ref="A776:A778" si="41">"C"&amp;TEXT(ROW()-1,"000")</f>
        <v>C775</v>
      </c>
      <c r="B776" s="3" t="str">
        <f t="shared" ca="1" si="38"/>
        <v>Pharma</v>
      </c>
      <c r="C776" s="3">
        <v>485</v>
      </c>
      <c r="D776" s="3">
        <v>0.6</v>
      </c>
      <c r="E776" s="3">
        <v>3.5</v>
      </c>
      <c r="F776" s="3">
        <v>1.9</v>
      </c>
      <c r="G776" s="3" t="s">
        <v>11</v>
      </c>
      <c r="H776" s="12">
        <v>0</v>
      </c>
      <c r="I776" s="14">
        <v>0.13683372832267826</v>
      </c>
      <c r="J776" s="9" t="str">
        <f t="shared" si="39"/>
        <v>Train</v>
      </c>
    </row>
    <row r="777" spans="1:10" x14ac:dyDescent="0.3">
      <c r="A777" s="3" t="str">
        <f t="shared" si="41"/>
        <v>C776</v>
      </c>
      <c r="B777" s="3" t="str">
        <f t="shared" ca="1" si="38"/>
        <v>Retail</v>
      </c>
      <c r="C777" s="3">
        <v>66</v>
      </c>
      <c r="D777" s="3">
        <v>7</v>
      </c>
      <c r="E777" s="3">
        <v>9.5</v>
      </c>
      <c r="F777" s="3">
        <v>2.4</v>
      </c>
      <c r="G777" s="3" t="s">
        <v>9</v>
      </c>
      <c r="H777" s="12">
        <v>0</v>
      </c>
      <c r="I777" s="14">
        <v>0.18571835322590957</v>
      </c>
      <c r="J777" s="9" t="str">
        <f t="shared" si="39"/>
        <v>Train</v>
      </c>
    </row>
    <row r="778" spans="1:10" x14ac:dyDescent="0.3">
      <c r="A778" s="3" t="str">
        <f t="shared" si="41"/>
        <v>C777</v>
      </c>
      <c r="B778" s="3" t="str">
        <f t="shared" ca="1" si="38"/>
        <v>IT Services</v>
      </c>
      <c r="C778" s="3">
        <v>471</v>
      </c>
      <c r="D778" s="3">
        <v>5.9</v>
      </c>
      <c r="E778" s="3">
        <v>3.8</v>
      </c>
      <c r="F778" s="3">
        <v>1.5</v>
      </c>
      <c r="G778" s="3" t="s">
        <v>13</v>
      </c>
      <c r="H778" s="12">
        <v>0</v>
      </c>
      <c r="I778" s="14">
        <v>1.8503262276879595E-2</v>
      </c>
      <c r="J778" s="9" t="str">
        <f t="shared" si="39"/>
        <v>Train</v>
      </c>
    </row>
    <row r="779" spans="1:10" x14ac:dyDescent="0.3">
      <c r="A779" s="3" t="str">
        <f>"C"&amp;TEXT(ROW()-1,"000")</f>
        <v>C778</v>
      </c>
      <c r="B779" s="3" t="str">
        <f t="shared" ca="1" si="38"/>
        <v>Pharma</v>
      </c>
      <c r="C779" s="3">
        <v>457</v>
      </c>
      <c r="D779" s="3">
        <v>5.9</v>
      </c>
      <c r="E779" s="3">
        <v>6.6</v>
      </c>
      <c r="F779" s="3">
        <v>0.8</v>
      </c>
      <c r="G779" s="3" t="s">
        <v>13</v>
      </c>
      <c r="H779" s="12">
        <v>0</v>
      </c>
      <c r="I779" s="14">
        <v>0.68686895780010571</v>
      </c>
      <c r="J779" s="9" t="str">
        <f t="shared" si="39"/>
        <v>Train</v>
      </c>
    </row>
    <row r="780" spans="1:10" x14ac:dyDescent="0.3">
      <c r="A780" s="3" t="str">
        <f t="shared" ref="A780" si="42">"C"&amp;TEXT(ROW()-1,"000")</f>
        <v>C779</v>
      </c>
      <c r="B780" s="3" t="str">
        <f t="shared" ca="1" si="38"/>
        <v>Manufacturing</v>
      </c>
      <c r="C780" s="3">
        <v>144</v>
      </c>
      <c r="D780" s="3">
        <v>5.4</v>
      </c>
      <c r="E780" s="3">
        <v>3.1</v>
      </c>
      <c r="F780" s="3">
        <v>0.7</v>
      </c>
      <c r="G780" s="3" t="s">
        <v>13</v>
      </c>
      <c r="H780" s="12">
        <v>0</v>
      </c>
      <c r="I780" s="14">
        <v>0.40928285569316114</v>
      </c>
      <c r="J780" s="9" t="str">
        <f t="shared" si="39"/>
        <v>Train</v>
      </c>
    </row>
    <row r="781" spans="1:10" x14ac:dyDescent="0.3">
      <c r="A781" s="3" t="str">
        <f>"C"&amp;TEXT(ROW()-1,"000")</f>
        <v>C780</v>
      </c>
      <c r="B781" s="3" t="str">
        <f t="shared" ca="1" si="38"/>
        <v>Retail</v>
      </c>
      <c r="C781" s="3">
        <v>142</v>
      </c>
      <c r="D781" s="3">
        <v>0.8</v>
      </c>
      <c r="E781" s="3">
        <v>6.7</v>
      </c>
      <c r="F781" s="3">
        <v>1.1000000000000001</v>
      </c>
      <c r="G781" s="3" t="s">
        <v>11</v>
      </c>
      <c r="H781" s="12">
        <v>0</v>
      </c>
      <c r="I781" s="14">
        <v>0.34064083723033423</v>
      </c>
      <c r="J781" s="9" t="str">
        <f t="shared" si="39"/>
        <v>Train</v>
      </c>
    </row>
    <row r="782" spans="1:10" x14ac:dyDescent="0.3">
      <c r="A782" s="3" t="str">
        <f t="shared" ref="A782:A797" si="43">"C"&amp;TEXT(ROW()-1,"000")</f>
        <v>C781</v>
      </c>
      <c r="B782" s="3" t="str">
        <f t="shared" ca="1" si="38"/>
        <v>Construction</v>
      </c>
      <c r="C782" s="3">
        <v>190</v>
      </c>
      <c r="D782" s="3">
        <v>7.8</v>
      </c>
      <c r="E782" s="3">
        <v>3.1</v>
      </c>
      <c r="F782" s="3">
        <v>1.3</v>
      </c>
      <c r="G782" s="3" t="s">
        <v>9</v>
      </c>
      <c r="H782" s="12">
        <v>0</v>
      </c>
      <c r="I782" s="14">
        <v>7.4631248102807191E-2</v>
      </c>
      <c r="J782" s="9" t="str">
        <f t="shared" si="39"/>
        <v>Train</v>
      </c>
    </row>
    <row r="783" spans="1:10" x14ac:dyDescent="0.3">
      <c r="A783" s="3" t="str">
        <f t="shared" si="43"/>
        <v>C782</v>
      </c>
      <c r="B783" s="3" t="str">
        <f t="shared" ca="1" si="38"/>
        <v>Manufacturing</v>
      </c>
      <c r="C783" s="3">
        <v>99</v>
      </c>
      <c r="D783" s="3">
        <v>6.7</v>
      </c>
      <c r="E783" s="3">
        <v>0.6</v>
      </c>
      <c r="F783" s="3">
        <v>1.5</v>
      </c>
      <c r="G783" s="3" t="s">
        <v>9</v>
      </c>
      <c r="H783" s="12">
        <v>0</v>
      </c>
      <c r="I783" s="14">
        <v>0.93496500362304436</v>
      </c>
      <c r="J783" s="9" t="str">
        <f t="shared" si="39"/>
        <v>Test</v>
      </c>
    </row>
    <row r="784" spans="1:10" x14ac:dyDescent="0.3">
      <c r="A784" s="3" t="str">
        <f t="shared" si="43"/>
        <v>C783</v>
      </c>
      <c r="B784" s="3" t="str">
        <f t="shared" ca="1" si="38"/>
        <v>Transportation</v>
      </c>
      <c r="C784" s="3">
        <v>129</v>
      </c>
      <c r="D784" s="3">
        <v>5.6</v>
      </c>
      <c r="E784" s="3">
        <v>9</v>
      </c>
      <c r="F784" s="3">
        <v>2.6</v>
      </c>
      <c r="G784" s="3" t="s">
        <v>13</v>
      </c>
      <c r="H784" s="12">
        <v>0</v>
      </c>
      <c r="I784" s="14">
        <v>0.67615403356380432</v>
      </c>
      <c r="J784" s="9" t="str">
        <f t="shared" si="39"/>
        <v>Train</v>
      </c>
    </row>
    <row r="785" spans="1:10" x14ac:dyDescent="0.3">
      <c r="A785" s="3" t="str">
        <f t="shared" si="43"/>
        <v>C784</v>
      </c>
      <c r="B785" s="3" t="str">
        <f t="shared" ca="1" si="38"/>
        <v>Pharma</v>
      </c>
      <c r="C785" s="3">
        <v>116</v>
      </c>
      <c r="D785" s="3">
        <v>1.7</v>
      </c>
      <c r="E785" s="3">
        <v>5.0999999999999996</v>
      </c>
      <c r="F785" s="3">
        <v>0.8</v>
      </c>
      <c r="G785" s="3" t="s">
        <v>11</v>
      </c>
      <c r="H785" s="12">
        <v>0</v>
      </c>
      <c r="I785" s="14">
        <v>1.6620525503390438E-2</v>
      </c>
      <c r="J785" s="9" t="str">
        <f t="shared" si="39"/>
        <v>Train</v>
      </c>
    </row>
    <row r="786" spans="1:10" x14ac:dyDescent="0.3">
      <c r="A786" s="3" t="str">
        <f t="shared" si="43"/>
        <v>C785</v>
      </c>
      <c r="B786" s="3" t="str">
        <f t="shared" ca="1" si="38"/>
        <v>Construction</v>
      </c>
      <c r="C786" s="3">
        <v>202</v>
      </c>
      <c r="D786" s="3">
        <v>0.6</v>
      </c>
      <c r="E786" s="3">
        <v>5.8</v>
      </c>
      <c r="F786" s="3">
        <v>0.7</v>
      </c>
      <c r="G786" s="3" t="s">
        <v>11</v>
      </c>
      <c r="H786" s="12">
        <v>0</v>
      </c>
      <c r="I786" s="14">
        <v>0.79955736346241024</v>
      </c>
      <c r="J786" s="9" t="str">
        <f t="shared" si="39"/>
        <v>Test</v>
      </c>
    </row>
    <row r="787" spans="1:10" x14ac:dyDescent="0.3">
      <c r="A787" s="3" t="str">
        <f t="shared" si="43"/>
        <v>C786</v>
      </c>
      <c r="B787" s="3" t="str">
        <f t="shared" ca="1" si="38"/>
        <v>Manufacturing</v>
      </c>
      <c r="C787" s="3">
        <v>52</v>
      </c>
      <c r="D787" s="3">
        <v>5</v>
      </c>
      <c r="E787" s="3">
        <v>4.5999999999999996</v>
      </c>
      <c r="F787" s="3">
        <v>2.5</v>
      </c>
      <c r="G787" s="3" t="s">
        <v>13</v>
      </c>
      <c r="H787" s="12">
        <v>0</v>
      </c>
      <c r="I787" s="14">
        <v>0.124705400400415</v>
      </c>
      <c r="J787" s="9" t="str">
        <f t="shared" si="39"/>
        <v>Train</v>
      </c>
    </row>
    <row r="788" spans="1:10" x14ac:dyDescent="0.3">
      <c r="A788" s="3" t="str">
        <f t="shared" si="43"/>
        <v>C787</v>
      </c>
      <c r="B788" s="3" t="str">
        <f t="shared" ca="1" si="38"/>
        <v>Transportation</v>
      </c>
      <c r="C788" s="3">
        <v>456</v>
      </c>
      <c r="D788" s="3">
        <v>2.2000000000000002</v>
      </c>
      <c r="E788" s="3">
        <v>6.4</v>
      </c>
      <c r="F788" s="3">
        <v>1.6</v>
      </c>
      <c r="G788" s="3" t="s">
        <v>7</v>
      </c>
      <c r="H788" s="12">
        <v>0</v>
      </c>
      <c r="I788" s="14">
        <v>0.8488509315788304</v>
      </c>
      <c r="J788" s="9" t="str">
        <f t="shared" si="39"/>
        <v>Test</v>
      </c>
    </row>
    <row r="789" spans="1:10" x14ac:dyDescent="0.3">
      <c r="A789" s="3" t="str">
        <f t="shared" si="43"/>
        <v>C788</v>
      </c>
      <c r="B789" s="3" t="str">
        <f t="shared" ca="1" si="38"/>
        <v>Pharma</v>
      </c>
      <c r="C789" s="3">
        <v>240</v>
      </c>
      <c r="D789" s="3">
        <v>7.2</v>
      </c>
      <c r="E789" s="3">
        <v>7.1</v>
      </c>
      <c r="F789" s="3">
        <v>2.2000000000000002</v>
      </c>
      <c r="G789" s="3" t="s">
        <v>9</v>
      </c>
      <c r="H789" s="12">
        <v>0</v>
      </c>
      <c r="I789" s="14">
        <v>0.40892042935171347</v>
      </c>
      <c r="J789" s="9" t="str">
        <f t="shared" si="39"/>
        <v>Train</v>
      </c>
    </row>
    <row r="790" spans="1:10" x14ac:dyDescent="0.3">
      <c r="A790" s="3" t="str">
        <f t="shared" si="43"/>
        <v>C789</v>
      </c>
      <c r="B790" s="3" t="str">
        <f t="shared" ca="1" si="38"/>
        <v>Pharma</v>
      </c>
      <c r="C790" s="3">
        <v>348</v>
      </c>
      <c r="D790" s="3">
        <v>5.2</v>
      </c>
      <c r="E790" s="3">
        <v>6</v>
      </c>
      <c r="F790" s="3">
        <v>1.4</v>
      </c>
      <c r="G790" s="3" t="s">
        <v>13</v>
      </c>
      <c r="H790" s="12">
        <v>0</v>
      </c>
      <c r="I790" s="14">
        <v>0.6065708074839562</v>
      </c>
      <c r="J790" s="9" t="str">
        <f t="shared" si="39"/>
        <v>Train</v>
      </c>
    </row>
    <row r="791" spans="1:10" x14ac:dyDescent="0.3">
      <c r="A791" s="3" t="str">
        <f t="shared" si="43"/>
        <v>C790</v>
      </c>
      <c r="B791" s="3" t="str">
        <f t="shared" ca="1" si="38"/>
        <v>IT Services</v>
      </c>
      <c r="C791" s="3">
        <v>210</v>
      </c>
      <c r="D791" s="3">
        <v>2.2999999999999998</v>
      </c>
      <c r="E791" s="3">
        <v>0.8</v>
      </c>
      <c r="F791" s="3">
        <v>1.7</v>
      </c>
      <c r="G791" s="3" t="s">
        <v>7</v>
      </c>
      <c r="H791" s="12">
        <v>0</v>
      </c>
      <c r="I791" s="14">
        <v>0.78385204083168891</v>
      </c>
      <c r="J791" s="9" t="str">
        <f t="shared" si="39"/>
        <v>Test</v>
      </c>
    </row>
    <row r="792" spans="1:10" x14ac:dyDescent="0.3">
      <c r="A792" s="3" t="str">
        <f t="shared" si="43"/>
        <v>C791</v>
      </c>
      <c r="B792" s="3" t="str">
        <f t="shared" ca="1" si="38"/>
        <v>Transportation</v>
      </c>
      <c r="C792" s="3">
        <v>380</v>
      </c>
      <c r="D792" s="3">
        <v>4.8</v>
      </c>
      <c r="E792" s="3">
        <v>3.6</v>
      </c>
      <c r="F792" s="3">
        <v>1.7</v>
      </c>
      <c r="G792" s="3" t="s">
        <v>13</v>
      </c>
      <c r="H792" s="12">
        <v>0</v>
      </c>
      <c r="I792" s="14">
        <v>0.20099675258872329</v>
      </c>
      <c r="J792" s="9" t="str">
        <f t="shared" si="39"/>
        <v>Train</v>
      </c>
    </row>
    <row r="793" spans="1:10" x14ac:dyDescent="0.3">
      <c r="A793" s="3" t="str">
        <f t="shared" si="43"/>
        <v>C792</v>
      </c>
      <c r="B793" s="3" t="str">
        <f t="shared" ca="1" si="38"/>
        <v>Construction</v>
      </c>
      <c r="C793" s="3">
        <v>462</v>
      </c>
      <c r="D793" s="3">
        <v>6.2</v>
      </c>
      <c r="E793" s="3">
        <v>1.6</v>
      </c>
      <c r="F793" s="3">
        <v>1.1000000000000001</v>
      </c>
      <c r="G793" s="3" t="s">
        <v>9</v>
      </c>
      <c r="H793" s="12">
        <v>0</v>
      </c>
      <c r="I793" s="14">
        <v>0.47767768585448644</v>
      </c>
      <c r="J793" s="9" t="str">
        <f t="shared" si="39"/>
        <v>Train</v>
      </c>
    </row>
    <row r="794" spans="1:10" x14ac:dyDescent="0.3">
      <c r="A794" s="3" t="str">
        <f t="shared" si="43"/>
        <v>C793</v>
      </c>
      <c r="B794" s="3" t="str">
        <f t="shared" ca="1" si="38"/>
        <v>IT Services</v>
      </c>
      <c r="C794" s="3">
        <v>78</v>
      </c>
      <c r="D794" s="3">
        <v>3.2</v>
      </c>
      <c r="E794" s="3">
        <v>9.6</v>
      </c>
      <c r="F794" s="3">
        <v>0.6</v>
      </c>
      <c r="G794" s="3" t="s">
        <v>7</v>
      </c>
      <c r="H794" s="12">
        <v>0</v>
      </c>
      <c r="I794" s="14">
        <v>0.11790865720055255</v>
      </c>
      <c r="J794" s="9" t="str">
        <f t="shared" si="39"/>
        <v>Train</v>
      </c>
    </row>
    <row r="795" spans="1:10" x14ac:dyDescent="0.3">
      <c r="A795" s="3" t="str">
        <f t="shared" si="43"/>
        <v>C794</v>
      </c>
      <c r="B795" s="3" t="str">
        <f t="shared" ca="1" si="38"/>
        <v>Pharma</v>
      </c>
      <c r="C795" s="3">
        <v>380</v>
      </c>
      <c r="D795" s="3">
        <v>3.3</v>
      </c>
      <c r="E795" s="3">
        <v>1.2</v>
      </c>
      <c r="F795" s="3">
        <v>2.4</v>
      </c>
      <c r="G795" s="3" t="s">
        <v>7</v>
      </c>
      <c r="H795" s="12">
        <v>0</v>
      </c>
      <c r="I795" s="14">
        <v>0.64590104926386305</v>
      </c>
      <c r="J795" s="9" t="str">
        <f t="shared" si="39"/>
        <v>Train</v>
      </c>
    </row>
    <row r="796" spans="1:10" x14ac:dyDescent="0.3">
      <c r="A796" s="3" t="str">
        <f t="shared" si="43"/>
        <v>C795</v>
      </c>
      <c r="B796" s="3" t="str">
        <f t="shared" ca="1" si="38"/>
        <v>Retail</v>
      </c>
      <c r="C796" s="3">
        <v>239</v>
      </c>
      <c r="D796" s="3">
        <v>0.7</v>
      </c>
      <c r="E796" s="3">
        <v>2.2000000000000002</v>
      </c>
      <c r="F796" s="3">
        <v>2.9</v>
      </c>
      <c r="G796" s="3" t="s">
        <v>11</v>
      </c>
      <c r="H796" s="12">
        <v>0</v>
      </c>
      <c r="I796" s="14">
        <v>0.46491627184958162</v>
      </c>
      <c r="J796" s="9" t="str">
        <f t="shared" si="39"/>
        <v>Train</v>
      </c>
    </row>
    <row r="797" spans="1:10" x14ac:dyDescent="0.3">
      <c r="A797" s="3" t="str">
        <f t="shared" si="43"/>
        <v>C796</v>
      </c>
      <c r="B797" s="3" t="str">
        <f t="shared" ca="1" si="38"/>
        <v>Transportation</v>
      </c>
      <c r="C797" s="3">
        <v>196</v>
      </c>
      <c r="D797" s="3">
        <v>0.7</v>
      </c>
      <c r="E797" s="3">
        <v>6.8</v>
      </c>
      <c r="F797" s="3">
        <v>1.2</v>
      </c>
      <c r="G797" s="3" t="s">
        <v>11</v>
      </c>
      <c r="H797" s="12">
        <v>0</v>
      </c>
      <c r="I797" s="14">
        <v>0.99285324672299846</v>
      </c>
      <c r="J797" s="9" t="str">
        <f t="shared" si="39"/>
        <v>Test</v>
      </c>
    </row>
    <row r="798" spans="1:10" x14ac:dyDescent="0.3">
      <c r="A798" s="3" t="str">
        <f>"C"&amp;TEXT(ROW()-1,"000")</f>
        <v>C797</v>
      </c>
      <c r="B798" s="3" t="str">
        <f t="shared" ca="1" si="38"/>
        <v>Pharma</v>
      </c>
      <c r="C798" s="3">
        <v>491</v>
      </c>
      <c r="D798" s="3">
        <v>6.2</v>
      </c>
      <c r="E798" s="3">
        <v>5.9</v>
      </c>
      <c r="F798" s="3">
        <v>1.8</v>
      </c>
      <c r="G798" s="3" t="s">
        <v>9</v>
      </c>
      <c r="H798" s="12">
        <v>0</v>
      </c>
      <c r="I798" s="14">
        <v>0.67331139924332406</v>
      </c>
      <c r="J798" s="9" t="str">
        <f t="shared" si="39"/>
        <v>Train</v>
      </c>
    </row>
    <row r="799" spans="1:10" x14ac:dyDescent="0.3">
      <c r="A799" s="3" t="str">
        <f t="shared" ref="A799" si="44">"C"&amp;TEXT(ROW()-1,"000")</f>
        <v>C798</v>
      </c>
      <c r="B799" s="3" t="str">
        <f t="shared" ca="1" si="38"/>
        <v>Manufacturing</v>
      </c>
      <c r="C799" s="3">
        <v>469</v>
      </c>
      <c r="D799" s="3">
        <v>4.5</v>
      </c>
      <c r="E799" s="3">
        <v>9.8000000000000007</v>
      </c>
      <c r="F799" s="3">
        <v>2.4</v>
      </c>
      <c r="G799" s="3" t="s">
        <v>13</v>
      </c>
      <c r="H799" s="12">
        <v>0</v>
      </c>
      <c r="I799" s="14">
        <v>0.5021403234259959</v>
      </c>
      <c r="J799" s="9" t="str">
        <f t="shared" si="39"/>
        <v>Train</v>
      </c>
    </row>
    <row r="800" spans="1:10" x14ac:dyDescent="0.3">
      <c r="A800" s="3" t="str">
        <f>"C"&amp;TEXT(ROW()-1,"000")</f>
        <v>C799</v>
      </c>
      <c r="B800" s="3" t="str">
        <f t="shared" ca="1" si="38"/>
        <v>Manufacturing</v>
      </c>
      <c r="C800" s="3">
        <v>271</v>
      </c>
      <c r="D800" s="3">
        <v>7.8</v>
      </c>
      <c r="E800" s="3">
        <v>8</v>
      </c>
      <c r="F800" s="3">
        <v>2.7</v>
      </c>
      <c r="G800" s="3" t="s">
        <v>9</v>
      </c>
      <c r="H800" s="12">
        <v>0</v>
      </c>
      <c r="I800" s="14">
        <v>0.54473423255283193</v>
      </c>
      <c r="J800" s="9" t="str">
        <f t="shared" si="39"/>
        <v>Train</v>
      </c>
    </row>
    <row r="801" spans="1:10" x14ac:dyDescent="0.3">
      <c r="A801" s="6" t="str">
        <f t="shared" ref="A801" si="45">"C"&amp;TEXT(ROW()-1,"000")</f>
        <v>C800</v>
      </c>
      <c r="B801" s="6" t="str">
        <f t="shared" ca="1" si="38"/>
        <v>Construction</v>
      </c>
      <c r="C801" s="6">
        <v>311</v>
      </c>
      <c r="D801" s="6">
        <v>0.7</v>
      </c>
      <c r="E801" s="6">
        <v>9.8000000000000007</v>
      </c>
      <c r="F801" s="6">
        <v>0.6</v>
      </c>
      <c r="G801" s="6" t="s">
        <v>11</v>
      </c>
      <c r="H801" s="13">
        <v>0</v>
      </c>
      <c r="I801" s="14">
        <v>0.29779903654806239</v>
      </c>
      <c r="J801" s="9" t="str">
        <f t="shared" si="39"/>
        <v>Train</v>
      </c>
    </row>
    <row r="802" spans="1:10" x14ac:dyDescent="0.3">
      <c r="A802" s="3" t="s">
        <v>17</v>
      </c>
      <c r="B802" s="5" t="s">
        <v>18</v>
      </c>
      <c r="C802">
        <v>170</v>
      </c>
      <c r="D802">
        <v>1</v>
      </c>
      <c r="E802">
        <v>4.4000000000000004</v>
      </c>
      <c r="F802">
        <v>1.5</v>
      </c>
      <c r="G802" s="7" t="s">
        <v>7</v>
      </c>
      <c r="H802">
        <v>0</v>
      </c>
      <c r="I802" s="14">
        <v>0.86348060577562569</v>
      </c>
      <c r="J802" s="9" t="str">
        <f t="shared" si="39"/>
        <v>Test</v>
      </c>
    </row>
    <row r="803" spans="1:10" x14ac:dyDescent="0.3">
      <c r="A803" s="3" t="s">
        <v>19</v>
      </c>
      <c r="B803" s="5" t="s">
        <v>12</v>
      </c>
      <c r="C803">
        <v>310</v>
      </c>
      <c r="D803">
        <v>3</v>
      </c>
      <c r="E803">
        <v>8.1999999999999993</v>
      </c>
      <c r="F803">
        <v>1.1000000000000001</v>
      </c>
      <c r="G803" s="7" t="s">
        <v>9</v>
      </c>
      <c r="H803">
        <v>0</v>
      </c>
      <c r="I803" s="14">
        <v>0.66921108617686653</v>
      </c>
      <c r="J803" s="9" t="str">
        <f t="shared" si="39"/>
        <v>Train</v>
      </c>
    </row>
    <row r="804" spans="1:10" x14ac:dyDescent="0.3">
      <c r="A804" s="3" t="s">
        <v>20</v>
      </c>
      <c r="B804" s="5" t="s">
        <v>18</v>
      </c>
      <c r="C804">
        <v>339</v>
      </c>
      <c r="D804">
        <v>1.1000000000000001</v>
      </c>
      <c r="E804">
        <v>7.7</v>
      </c>
      <c r="F804">
        <v>2.1</v>
      </c>
      <c r="G804" s="7" t="s">
        <v>13</v>
      </c>
      <c r="H804">
        <v>0</v>
      </c>
      <c r="I804" s="14">
        <v>0.26533436600378169</v>
      </c>
      <c r="J804" s="9" t="str">
        <f t="shared" si="39"/>
        <v>Train</v>
      </c>
    </row>
    <row r="805" spans="1:10" x14ac:dyDescent="0.3">
      <c r="A805" s="3" t="s">
        <v>21</v>
      </c>
      <c r="B805" s="5" t="s">
        <v>14</v>
      </c>
      <c r="C805">
        <v>233</v>
      </c>
      <c r="D805">
        <v>3.8</v>
      </c>
      <c r="E805">
        <v>2.4</v>
      </c>
      <c r="F805">
        <v>2.4</v>
      </c>
      <c r="G805" s="7" t="s">
        <v>9</v>
      </c>
      <c r="H805">
        <v>0</v>
      </c>
      <c r="I805" s="14">
        <v>0.80454697562713318</v>
      </c>
      <c r="J805" s="9" t="str">
        <f t="shared" si="39"/>
        <v>Test</v>
      </c>
    </row>
    <row r="806" spans="1:10" x14ac:dyDescent="0.3">
      <c r="A806" s="3" t="s">
        <v>22</v>
      </c>
      <c r="B806" s="5" t="s">
        <v>18</v>
      </c>
      <c r="C806">
        <v>407</v>
      </c>
      <c r="D806">
        <v>1</v>
      </c>
      <c r="E806">
        <v>6.7</v>
      </c>
      <c r="F806">
        <v>0.6</v>
      </c>
      <c r="G806" s="7" t="s">
        <v>11</v>
      </c>
      <c r="H806">
        <v>0</v>
      </c>
      <c r="I806" s="14">
        <v>0.15928679805132495</v>
      </c>
      <c r="J806" s="9" t="str">
        <f t="shared" si="39"/>
        <v>Train</v>
      </c>
    </row>
    <row r="807" spans="1:10" x14ac:dyDescent="0.3">
      <c r="A807" s="3" t="s">
        <v>23</v>
      </c>
      <c r="B807" s="5" t="s">
        <v>8</v>
      </c>
      <c r="C807">
        <v>208</v>
      </c>
      <c r="D807">
        <v>3.6</v>
      </c>
      <c r="E807">
        <v>4.8</v>
      </c>
      <c r="F807">
        <v>2.9</v>
      </c>
      <c r="G807" s="7" t="s">
        <v>7</v>
      </c>
      <c r="H807">
        <v>0</v>
      </c>
      <c r="I807" s="14">
        <v>6.5303024560673717E-2</v>
      </c>
      <c r="J807" s="9" t="str">
        <f t="shared" si="39"/>
        <v>Train</v>
      </c>
    </row>
    <row r="808" spans="1:10" x14ac:dyDescent="0.3">
      <c r="A808" s="3" t="s">
        <v>24</v>
      </c>
      <c r="B808" s="5" t="s">
        <v>18</v>
      </c>
      <c r="C808">
        <v>484</v>
      </c>
      <c r="D808">
        <v>5</v>
      </c>
      <c r="E808">
        <v>0.8</v>
      </c>
      <c r="F808">
        <v>2.4</v>
      </c>
      <c r="G808" s="7" t="s">
        <v>7</v>
      </c>
      <c r="H808">
        <v>0</v>
      </c>
      <c r="I808" s="14">
        <v>9.4464348516091867E-2</v>
      </c>
      <c r="J808" s="9" t="str">
        <f t="shared" si="39"/>
        <v>Train</v>
      </c>
    </row>
    <row r="809" spans="1:10" x14ac:dyDescent="0.3">
      <c r="A809" s="3" t="s">
        <v>25</v>
      </c>
      <c r="B809" s="5" t="s">
        <v>6</v>
      </c>
      <c r="C809">
        <v>306</v>
      </c>
      <c r="D809">
        <v>1.5</v>
      </c>
      <c r="E809">
        <v>1.7</v>
      </c>
      <c r="F809">
        <v>2.8</v>
      </c>
      <c r="G809" s="7" t="s">
        <v>7</v>
      </c>
      <c r="H809">
        <v>0</v>
      </c>
      <c r="I809" s="14">
        <v>0.12297444798220081</v>
      </c>
      <c r="J809" s="9" t="str">
        <f t="shared" si="39"/>
        <v>Train</v>
      </c>
    </row>
    <row r="810" spans="1:10" x14ac:dyDescent="0.3">
      <c r="A810" s="3" t="s">
        <v>26</v>
      </c>
      <c r="B810" s="5" t="s">
        <v>10</v>
      </c>
      <c r="C810">
        <v>328</v>
      </c>
      <c r="D810">
        <v>6.9</v>
      </c>
      <c r="E810">
        <v>2.7</v>
      </c>
      <c r="F810">
        <v>1.8</v>
      </c>
      <c r="G810" s="7" t="s">
        <v>9</v>
      </c>
      <c r="H810">
        <v>0</v>
      </c>
      <c r="I810" s="14">
        <v>2.6944760757707464E-2</v>
      </c>
      <c r="J810" s="9" t="str">
        <f t="shared" si="39"/>
        <v>Train</v>
      </c>
    </row>
    <row r="811" spans="1:10" x14ac:dyDescent="0.3">
      <c r="A811" s="3" t="s">
        <v>27</v>
      </c>
      <c r="B811" s="5" t="s">
        <v>6</v>
      </c>
      <c r="C811">
        <v>422</v>
      </c>
      <c r="D811">
        <v>2.4</v>
      </c>
      <c r="E811">
        <v>7.9</v>
      </c>
      <c r="F811">
        <v>1.7</v>
      </c>
      <c r="G811" s="7" t="s">
        <v>13</v>
      </c>
      <c r="H811">
        <v>0</v>
      </c>
      <c r="I811" s="14">
        <v>0.17787185849776488</v>
      </c>
      <c r="J811" s="9" t="str">
        <f t="shared" si="39"/>
        <v>Train</v>
      </c>
    </row>
    <row r="812" spans="1:10" x14ac:dyDescent="0.3">
      <c r="A812" s="3" t="s">
        <v>28</v>
      </c>
      <c r="B812" s="5" t="s">
        <v>8</v>
      </c>
      <c r="C812">
        <v>474</v>
      </c>
      <c r="D812">
        <v>3.5</v>
      </c>
      <c r="E812">
        <v>5.0999999999999996</v>
      </c>
      <c r="F812">
        <v>1.8</v>
      </c>
      <c r="G812" s="7" t="s">
        <v>9</v>
      </c>
      <c r="H812">
        <v>0</v>
      </c>
      <c r="I812" s="14">
        <v>0.76730927780231895</v>
      </c>
      <c r="J812" s="9" t="str">
        <f t="shared" si="39"/>
        <v>Test</v>
      </c>
    </row>
    <row r="813" spans="1:10" x14ac:dyDescent="0.3">
      <c r="A813" s="3" t="s">
        <v>29</v>
      </c>
      <c r="B813" s="5" t="s">
        <v>18</v>
      </c>
      <c r="C813">
        <v>128</v>
      </c>
      <c r="D813">
        <v>4.9000000000000004</v>
      </c>
      <c r="E813">
        <v>8.3000000000000007</v>
      </c>
      <c r="F813">
        <v>1.6</v>
      </c>
      <c r="G813" s="7" t="s">
        <v>11</v>
      </c>
      <c r="H813">
        <v>0</v>
      </c>
      <c r="I813" s="14">
        <v>6.872282858565737E-2</v>
      </c>
      <c r="J813" s="9" t="str">
        <f t="shared" si="39"/>
        <v>Train</v>
      </c>
    </row>
    <row r="814" spans="1:10" x14ac:dyDescent="0.3">
      <c r="A814" s="3" t="s">
        <v>30</v>
      </c>
      <c r="B814" s="5" t="s">
        <v>10</v>
      </c>
      <c r="C814">
        <v>495</v>
      </c>
      <c r="D814">
        <v>2.9</v>
      </c>
      <c r="E814">
        <v>5.6</v>
      </c>
      <c r="F814">
        <v>2.4</v>
      </c>
      <c r="G814" s="7" t="s">
        <v>9</v>
      </c>
      <c r="H814">
        <v>0</v>
      </c>
      <c r="I814" s="14">
        <v>0.99906734363487559</v>
      </c>
      <c r="J814" s="9" t="str">
        <f t="shared" si="39"/>
        <v>Test</v>
      </c>
    </row>
    <row r="815" spans="1:10" x14ac:dyDescent="0.3">
      <c r="A815" s="3" t="s">
        <v>31</v>
      </c>
      <c r="B815" s="5" t="s">
        <v>14</v>
      </c>
      <c r="C815">
        <v>182</v>
      </c>
      <c r="D815">
        <v>7.9</v>
      </c>
      <c r="E815">
        <v>2.1</v>
      </c>
      <c r="F815">
        <v>2.1</v>
      </c>
      <c r="G815" s="7" t="s">
        <v>9</v>
      </c>
      <c r="H815">
        <v>0</v>
      </c>
      <c r="I815" s="14">
        <v>0.24234573619799848</v>
      </c>
      <c r="J815" s="9" t="str">
        <f t="shared" si="39"/>
        <v>Train</v>
      </c>
    </row>
    <row r="816" spans="1:10" x14ac:dyDescent="0.3">
      <c r="A816" s="3" t="s">
        <v>32</v>
      </c>
      <c r="B816" s="5" t="s">
        <v>12</v>
      </c>
      <c r="C816">
        <v>60</v>
      </c>
      <c r="D816">
        <v>3.9</v>
      </c>
      <c r="E816">
        <v>6.6</v>
      </c>
      <c r="F816">
        <v>1.2</v>
      </c>
      <c r="G816" s="7" t="s">
        <v>11</v>
      </c>
      <c r="H816">
        <v>0</v>
      </c>
      <c r="I816" s="14">
        <v>0.43022524673306139</v>
      </c>
      <c r="J816" s="9" t="str">
        <f t="shared" si="39"/>
        <v>Train</v>
      </c>
    </row>
    <row r="817" spans="1:10" x14ac:dyDescent="0.3">
      <c r="A817" s="3" t="s">
        <v>33</v>
      </c>
      <c r="B817" s="5" t="s">
        <v>8</v>
      </c>
      <c r="C817">
        <v>369</v>
      </c>
      <c r="D817">
        <v>5.8</v>
      </c>
      <c r="E817">
        <v>9.5</v>
      </c>
      <c r="F817">
        <v>1.6</v>
      </c>
      <c r="G817" s="7" t="s">
        <v>7</v>
      </c>
      <c r="H817">
        <v>0</v>
      </c>
      <c r="I817" s="14">
        <v>0.83342287380467717</v>
      </c>
      <c r="J817" s="9" t="str">
        <f t="shared" si="39"/>
        <v>Test</v>
      </c>
    </row>
    <row r="818" spans="1:10" x14ac:dyDescent="0.3">
      <c r="A818" s="3" t="s">
        <v>34</v>
      </c>
      <c r="B818" s="5" t="s">
        <v>8</v>
      </c>
      <c r="C818">
        <v>434</v>
      </c>
      <c r="D818">
        <v>6.6</v>
      </c>
      <c r="E818">
        <v>3.2</v>
      </c>
      <c r="F818">
        <v>1.5</v>
      </c>
      <c r="G818" s="7" t="s">
        <v>11</v>
      </c>
      <c r="H818">
        <v>0</v>
      </c>
      <c r="I818" s="14">
        <v>0.26404350790644515</v>
      </c>
      <c r="J818" s="9" t="str">
        <f t="shared" si="39"/>
        <v>Train</v>
      </c>
    </row>
    <row r="819" spans="1:10" x14ac:dyDescent="0.3">
      <c r="A819" s="3" t="s">
        <v>35</v>
      </c>
      <c r="B819" s="5" t="s">
        <v>12</v>
      </c>
      <c r="C819">
        <v>114</v>
      </c>
      <c r="D819">
        <v>5.2</v>
      </c>
      <c r="E819">
        <v>6.5</v>
      </c>
      <c r="F819">
        <v>1.8</v>
      </c>
      <c r="G819" s="7" t="s">
        <v>13</v>
      </c>
      <c r="H819">
        <v>0</v>
      </c>
      <c r="I819" s="14">
        <v>0.72829107307816709</v>
      </c>
      <c r="J819" s="9" t="str">
        <f t="shared" si="39"/>
        <v>Test</v>
      </c>
    </row>
    <row r="820" spans="1:10" x14ac:dyDescent="0.3">
      <c r="A820" s="3" t="s">
        <v>36</v>
      </c>
      <c r="B820" s="5" t="s">
        <v>18</v>
      </c>
      <c r="C820">
        <v>84</v>
      </c>
      <c r="D820">
        <v>4.7</v>
      </c>
      <c r="E820">
        <v>4.7</v>
      </c>
      <c r="F820">
        <v>1</v>
      </c>
      <c r="G820" s="7" t="s">
        <v>11</v>
      </c>
      <c r="H820">
        <v>0</v>
      </c>
      <c r="I820" s="14">
        <v>0.75903173677157376</v>
      </c>
      <c r="J820" s="9" t="str">
        <f t="shared" si="39"/>
        <v>Test</v>
      </c>
    </row>
    <row r="821" spans="1:10" x14ac:dyDescent="0.3">
      <c r="A821" s="3" t="s">
        <v>37</v>
      </c>
      <c r="B821" s="5" t="s">
        <v>10</v>
      </c>
      <c r="C821">
        <v>466</v>
      </c>
      <c r="D821">
        <v>1.6</v>
      </c>
      <c r="E821">
        <v>2.8</v>
      </c>
      <c r="F821">
        <v>0.6</v>
      </c>
      <c r="G821" s="7" t="s">
        <v>7</v>
      </c>
      <c r="H821">
        <v>0</v>
      </c>
      <c r="I821" s="14">
        <v>0.85935996193058439</v>
      </c>
      <c r="J821" s="9" t="str">
        <f t="shared" si="39"/>
        <v>Test</v>
      </c>
    </row>
    <row r="822" spans="1:10" x14ac:dyDescent="0.3">
      <c r="A822" s="3" t="s">
        <v>38</v>
      </c>
      <c r="B822" s="5" t="s">
        <v>14</v>
      </c>
      <c r="C822">
        <v>101</v>
      </c>
      <c r="D822">
        <v>6.7</v>
      </c>
      <c r="E822">
        <v>7.5</v>
      </c>
      <c r="F822">
        <v>1.4</v>
      </c>
      <c r="G822" s="7" t="s">
        <v>7</v>
      </c>
      <c r="H822">
        <v>0</v>
      </c>
      <c r="I822" s="14">
        <v>0.19756402994711797</v>
      </c>
      <c r="J822" s="9" t="str">
        <f t="shared" si="39"/>
        <v>Train</v>
      </c>
    </row>
    <row r="823" spans="1:10" x14ac:dyDescent="0.3">
      <c r="A823" s="3" t="s">
        <v>39</v>
      </c>
      <c r="B823" s="5" t="s">
        <v>8</v>
      </c>
      <c r="C823">
        <v>85</v>
      </c>
      <c r="D823">
        <v>2.5</v>
      </c>
      <c r="E823">
        <v>0.7</v>
      </c>
      <c r="F823">
        <v>2</v>
      </c>
      <c r="G823" s="7" t="s">
        <v>11</v>
      </c>
      <c r="H823">
        <v>0</v>
      </c>
      <c r="I823" s="14">
        <v>0.39631542459268998</v>
      </c>
      <c r="J823" s="9" t="str">
        <f t="shared" si="39"/>
        <v>Train</v>
      </c>
    </row>
    <row r="824" spans="1:10" x14ac:dyDescent="0.3">
      <c r="A824" s="3" t="s">
        <v>40</v>
      </c>
      <c r="B824" s="5" t="s">
        <v>18</v>
      </c>
      <c r="C824">
        <v>261</v>
      </c>
      <c r="D824">
        <v>1.3</v>
      </c>
      <c r="E824">
        <v>5.8</v>
      </c>
      <c r="F824">
        <v>2.2000000000000002</v>
      </c>
      <c r="G824" s="7" t="s">
        <v>9</v>
      </c>
      <c r="H824">
        <v>0</v>
      </c>
      <c r="I824" s="14">
        <v>0.27767792765353472</v>
      </c>
      <c r="J824" s="9" t="str">
        <f t="shared" si="39"/>
        <v>Train</v>
      </c>
    </row>
    <row r="825" spans="1:10" x14ac:dyDescent="0.3">
      <c r="A825" s="3" t="s">
        <v>41</v>
      </c>
      <c r="B825" s="5" t="s">
        <v>12</v>
      </c>
      <c r="C825">
        <v>213</v>
      </c>
      <c r="D825">
        <v>4.2</v>
      </c>
      <c r="E825">
        <v>9</v>
      </c>
      <c r="F825">
        <v>3</v>
      </c>
      <c r="G825" s="7" t="s">
        <v>13</v>
      </c>
      <c r="H825">
        <v>0</v>
      </c>
      <c r="I825" s="14">
        <v>0.70239101330483988</v>
      </c>
      <c r="J825" s="9" t="str">
        <f t="shared" si="39"/>
        <v>Test</v>
      </c>
    </row>
    <row r="826" spans="1:10" x14ac:dyDescent="0.3">
      <c r="A826" s="3" t="s">
        <v>42</v>
      </c>
      <c r="B826" s="5" t="s">
        <v>8</v>
      </c>
      <c r="C826">
        <v>200</v>
      </c>
      <c r="D826">
        <v>3</v>
      </c>
      <c r="E826">
        <v>6.5</v>
      </c>
      <c r="F826">
        <v>2.5</v>
      </c>
      <c r="G826" s="7" t="s">
        <v>13</v>
      </c>
      <c r="H826">
        <v>0</v>
      </c>
      <c r="I826" s="14">
        <v>0.8812376959184538</v>
      </c>
      <c r="J826" s="9" t="str">
        <f t="shared" si="39"/>
        <v>Test</v>
      </c>
    </row>
    <row r="827" spans="1:10" x14ac:dyDescent="0.3">
      <c r="A827" s="3" t="s">
        <v>43</v>
      </c>
      <c r="B827" s="5" t="s">
        <v>12</v>
      </c>
      <c r="C827">
        <v>80</v>
      </c>
      <c r="D827">
        <v>4.4000000000000004</v>
      </c>
      <c r="E827">
        <v>4.5999999999999996</v>
      </c>
      <c r="F827">
        <v>1.6</v>
      </c>
      <c r="G827" s="7" t="s">
        <v>9</v>
      </c>
      <c r="H827">
        <v>0</v>
      </c>
      <c r="I827" s="14">
        <v>0.20999460004777193</v>
      </c>
      <c r="J827" s="9" t="str">
        <f t="shared" si="39"/>
        <v>Train</v>
      </c>
    </row>
    <row r="828" spans="1:10" x14ac:dyDescent="0.3">
      <c r="A828" s="3" t="s">
        <v>44</v>
      </c>
      <c r="B828" s="5" t="s">
        <v>12</v>
      </c>
      <c r="C828">
        <v>281</v>
      </c>
      <c r="D828">
        <v>6</v>
      </c>
      <c r="E828">
        <v>3.1</v>
      </c>
      <c r="F828">
        <v>1.3</v>
      </c>
      <c r="G828" s="7" t="s">
        <v>7</v>
      </c>
      <c r="H828">
        <v>0</v>
      </c>
      <c r="I828" s="14">
        <v>0.52002863351208195</v>
      </c>
      <c r="J828" s="9" t="str">
        <f t="shared" si="39"/>
        <v>Train</v>
      </c>
    </row>
    <row r="829" spans="1:10" x14ac:dyDescent="0.3">
      <c r="A829" s="3" t="s">
        <v>45</v>
      </c>
      <c r="B829" s="5" t="s">
        <v>12</v>
      </c>
      <c r="C829">
        <v>311</v>
      </c>
      <c r="D829">
        <v>1.5</v>
      </c>
      <c r="E829">
        <v>0.9</v>
      </c>
      <c r="F829">
        <v>1.4</v>
      </c>
      <c r="G829" s="7" t="s">
        <v>11</v>
      </c>
      <c r="H829">
        <v>0</v>
      </c>
      <c r="I829" s="14">
        <v>0.92013524466259222</v>
      </c>
      <c r="J829" s="9" t="str">
        <f t="shared" si="39"/>
        <v>Test</v>
      </c>
    </row>
    <row r="830" spans="1:10" x14ac:dyDescent="0.3">
      <c r="A830" s="3" t="s">
        <v>46</v>
      </c>
      <c r="B830" s="5" t="s">
        <v>8</v>
      </c>
      <c r="C830">
        <v>79</v>
      </c>
      <c r="D830">
        <v>7.3</v>
      </c>
      <c r="E830">
        <v>9.4</v>
      </c>
      <c r="F830">
        <v>1.4</v>
      </c>
      <c r="G830" s="7" t="s">
        <v>7</v>
      </c>
      <c r="H830">
        <v>0</v>
      </c>
      <c r="I830" s="14">
        <v>0.34644608919536279</v>
      </c>
      <c r="J830" s="9" t="str">
        <f t="shared" si="39"/>
        <v>Train</v>
      </c>
    </row>
    <row r="831" spans="1:10" x14ac:dyDescent="0.3">
      <c r="A831" s="3" t="s">
        <v>47</v>
      </c>
      <c r="B831" s="5" t="s">
        <v>12</v>
      </c>
      <c r="C831">
        <v>271</v>
      </c>
      <c r="D831">
        <v>7.8</v>
      </c>
      <c r="E831">
        <v>7.2</v>
      </c>
      <c r="F831">
        <v>1</v>
      </c>
      <c r="G831" s="7" t="s">
        <v>9</v>
      </c>
      <c r="H831">
        <v>0</v>
      </c>
      <c r="I831" s="14">
        <v>0.12056112559886967</v>
      </c>
      <c r="J831" s="9" t="str">
        <f t="shared" si="39"/>
        <v>Train</v>
      </c>
    </row>
    <row r="832" spans="1:10" x14ac:dyDescent="0.3">
      <c r="A832" s="3" t="s">
        <v>48</v>
      </c>
      <c r="B832" s="5" t="s">
        <v>18</v>
      </c>
      <c r="C832">
        <v>287</v>
      </c>
      <c r="D832">
        <v>6.9</v>
      </c>
      <c r="E832">
        <v>7.1</v>
      </c>
      <c r="F832">
        <v>2.9</v>
      </c>
      <c r="G832" s="7" t="s">
        <v>11</v>
      </c>
      <c r="H832">
        <v>0</v>
      </c>
      <c r="I832" s="14">
        <v>0.50627015223788674</v>
      </c>
      <c r="J832" s="9" t="str">
        <f t="shared" si="39"/>
        <v>Train</v>
      </c>
    </row>
    <row r="833" spans="1:10" x14ac:dyDescent="0.3">
      <c r="A833" s="3" t="s">
        <v>49</v>
      </c>
      <c r="B833" s="5" t="s">
        <v>18</v>
      </c>
      <c r="C833">
        <v>166</v>
      </c>
      <c r="D833">
        <v>1.1000000000000001</v>
      </c>
      <c r="E833">
        <v>2.5</v>
      </c>
      <c r="F833">
        <v>1.6</v>
      </c>
      <c r="G833" s="7" t="s">
        <v>11</v>
      </c>
      <c r="H833">
        <v>0</v>
      </c>
      <c r="I833" s="14">
        <v>0.15762680396322137</v>
      </c>
      <c r="J833" s="9" t="str">
        <f t="shared" si="39"/>
        <v>Train</v>
      </c>
    </row>
    <row r="834" spans="1:10" x14ac:dyDescent="0.3">
      <c r="A834" s="3" t="s">
        <v>50</v>
      </c>
      <c r="B834" s="5" t="s">
        <v>14</v>
      </c>
      <c r="C834">
        <v>82</v>
      </c>
      <c r="D834">
        <v>4.0999999999999996</v>
      </c>
      <c r="E834">
        <v>9</v>
      </c>
      <c r="F834">
        <v>1.7</v>
      </c>
      <c r="G834" s="7" t="s">
        <v>13</v>
      </c>
      <c r="H834">
        <v>0</v>
      </c>
      <c r="I834" s="14">
        <v>0.75984990812937458</v>
      </c>
      <c r="J834" s="9" t="str">
        <f t="shared" si="39"/>
        <v>Test</v>
      </c>
    </row>
    <row r="835" spans="1:10" x14ac:dyDescent="0.3">
      <c r="A835" s="3" t="s">
        <v>51</v>
      </c>
      <c r="B835" s="5" t="s">
        <v>18</v>
      </c>
      <c r="C835">
        <v>167</v>
      </c>
      <c r="D835">
        <v>4.3</v>
      </c>
      <c r="E835">
        <v>8</v>
      </c>
      <c r="F835">
        <v>1.8</v>
      </c>
      <c r="G835" s="7" t="s">
        <v>11</v>
      </c>
      <c r="H835">
        <v>0</v>
      </c>
      <c r="I835" s="14">
        <v>0.2467033278720363</v>
      </c>
      <c r="J835" s="9" t="str">
        <f t="shared" ref="J835:J898" si="46">IF(I835&lt;=0.7,"Train","Test")</f>
        <v>Train</v>
      </c>
    </row>
    <row r="836" spans="1:10" x14ac:dyDescent="0.3">
      <c r="A836" s="3" t="s">
        <v>52</v>
      </c>
      <c r="B836" s="5" t="s">
        <v>18</v>
      </c>
      <c r="C836">
        <v>332</v>
      </c>
      <c r="D836">
        <v>5.6</v>
      </c>
      <c r="E836">
        <v>7.8</v>
      </c>
      <c r="F836">
        <v>1</v>
      </c>
      <c r="G836" s="7" t="s">
        <v>9</v>
      </c>
      <c r="H836">
        <v>0</v>
      </c>
      <c r="I836" s="14">
        <v>0.12371380707450252</v>
      </c>
      <c r="J836" s="9" t="str">
        <f t="shared" si="46"/>
        <v>Train</v>
      </c>
    </row>
    <row r="837" spans="1:10" x14ac:dyDescent="0.3">
      <c r="A837" s="3" t="s">
        <v>53</v>
      </c>
      <c r="B837" s="5" t="s">
        <v>14</v>
      </c>
      <c r="C837">
        <v>159</v>
      </c>
      <c r="D837">
        <v>5.7</v>
      </c>
      <c r="E837">
        <v>2.5</v>
      </c>
      <c r="F837">
        <v>1.2</v>
      </c>
      <c r="G837" s="7" t="s">
        <v>13</v>
      </c>
      <c r="H837">
        <v>0</v>
      </c>
      <c r="I837" s="14">
        <v>0.15257430495266155</v>
      </c>
      <c r="J837" s="9" t="str">
        <f t="shared" si="46"/>
        <v>Train</v>
      </c>
    </row>
    <row r="838" spans="1:10" x14ac:dyDescent="0.3">
      <c r="A838" s="3" t="s">
        <v>54</v>
      </c>
      <c r="B838" s="5" t="s">
        <v>8</v>
      </c>
      <c r="C838">
        <v>442</v>
      </c>
      <c r="D838">
        <v>1.8</v>
      </c>
      <c r="E838">
        <v>3.6</v>
      </c>
      <c r="F838">
        <v>2.1</v>
      </c>
      <c r="G838" s="7" t="s">
        <v>11</v>
      </c>
      <c r="H838">
        <v>0</v>
      </c>
      <c r="I838" s="14">
        <v>0.58135717074287718</v>
      </c>
      <c r="J838" s="9" t="str">
        <f t="shared" si="46"/>
        <v>Train</v>
      </c>
    </row>
    <row r="839" spans="1:10" x14ac:dyDescent="0.3">
      <c r="A839" s="3" t="s">
        <v>55</v>
      </c>
      <c r="B839" s="5" t="s">
        <v>12</v>
      </c>
      <c r="C839">
        <v>161</v>
      </c>
      <c r="D839">
        <v>7.3</v>
      </c>
      <c r="E839">
        <v>8.6999999999999993</v>
      </c>
      <c r="F839">
        <v>2.8</v>
      </c>
      <c r="G839" s="7" t="s">
        <v>9</v>
      </c>
      <c r="H839">
        <v>0</v>
      </c>
      <c r="I839" s="14">
        <v>9.3342302685491596E-2</v>
      </c>
      <c r="J839" s="9" t="str">
        <f t="shared" si="46"/>
        <v>Train</v>
      </c>
    </row>
    <row r="840" spans="1:10" x14ac:dyDescent="0.3">
      <c r="A840" s="3" t="s">
        <v>56</v>
      </c>
      <c r="B840" s="5" t="s">
        <v>14</v>
      </c>
      <c r="C840">
        <v>297</v>
      </c>
      <c r="D840">
        <v>6.9</v>
      </c>
      <c r="E840">
        <v>3.4</v>
      </c>
      <c r="F840">
        <v>1.7</v>
      </c>
      <c r="G840" s="7" t="s">
        <v>13</v>
      </c>
      <c r="H840">
        <v>1</v>
      </c>
      <c r="I840" s="14">
        <v>0.61289726629056074</v>
      </c>
      <c r="J840" s="9" t="str">
        <f t="shared" si="46"/>
        <v>Train</v>
      </c>
    </row>
    <row r="841" spans="1:10" x14ac:dyDescent="0.3">
      <c r="A841" s="3" t="s">
        <v>57</v>
      </c>
      <c r="B841" s="5" t="s">
        <v>6</v>
      </c>
      <c r="C841">
        <v>230</v>
      </c>
      <c r="D841">
        <v>1.8</v>
      </c>
      <c r="E841">
        <v>3.8</v>
      </c>
      <c r="F841">
        <v>2.7</v>
      </c>
      <c r="G841" s="7" t="s">
        <v>7</v>
      </c>
      <c r="H841">
        <v>0</v>
      </c>
      <c r="I841" s="14">
        <v>0.86154073111997009</v>
      </c>
      <c r="J841" s="9" t="str">
        <f t="shared" si="46"/>
        <v>Test</v>
      </c>
    </row>
    <row r="842" spans="1:10" x14ac:dyDescent="0.3">
      <c r="A842" s="3" t="s">
        <v>58</v>
      </c>
      <c r="B842" s="5" t="s">
        <v>14</v>
      </c>
      <c r="C842">
        <v>401</v>
      </c>
      <c r="D842">
        <v>1.9</v>
      </c>
      <c r="E842">
        <v>2.8</v>
      </c>
      <c r="F842">
        <v>1</v>
      </c>
      <c r="G842" s="7" t="s">
        <v>11</v>
      </c>
      <c r="H842">
        <v>0</v>
      </c>
      <c r="I842" s="14">
        <v>0.93537297557081167</v>
      </c>
      <c r="J842" s="9" t="str">
        <f t="shared" si="46"/>
        <v>Test</v>
      </c>
    </row>
    <row r="843" spans="1:10" x14ac:dyDescent="0.3">
      <c r="A843" s="3" t="s">
        <v>59</v>
      </c>
      <c r="B843" s="5" t="s">
        <v>6</v>
      </c>
      <c r="C843">
        <v>175</v>
      </c>
      <c r="D843">
        <v>1</v>
      </c>
      <c r="E843">
        <v>7.9</v>
      </c>
      <c r="F843">
        <v>2.1</v>
      </c>
      <c r="G843" s="7" t="s">
        <v>9</v>
      </c>
      <c r="H843">
        <v>0</v>
      </c>
      <c r="I843" s="14">
        <v>0.45902504192449956</v>
      </c>
      <c r="J843" s="9" t="str">
        <f t="shared" si="46"/>
        <v>Train</v>
      </c>
    </row>
    <row r="844" spans="1:10" x14ac:dyDescent="0.3">
      <c r="A844" s="3" t="s">
        <v>60</v>
      </c>
      <c r="B844" s="5" t="s">
        <v>18</v>
      </c>
      <c r="C844">
        <v>268</v>
      </c>
      <c r="D844">
        <v>6.6</v>
      </c>
      <c r="E844">
        <v>4.2</v>
      </c>
      <c r="F844">
        <v>2</v>
      </c>
      <c r="G844" s="7" t="s">
        <v>7</v>
      </c>
      <c r="H844">
        <v>0</v>
      </c>
      <c r="I844" s="14">
        <v>0.37210519236235096</v>
      </c>
      <c r="J844" s="9" t="str">
        <f t="shared" si="46"/>
        <v>Train</v>
      </c>
    </row>
    <row r="845" spans="1:10" x14ac:dyDescent="0.3">
      <c r="A845" s="3" t="s">
        <v>61</v>
      </c>
      <c r="B845" s="5" t="s">
        <v>18</v>
      </c>
      <c r="C845">
        <v>299</v>
      </c>
      <c r="D845">
        <v>4.4000000000000004</v>
      </c>
      <c r="E845">
        <v>6.9</v>
      </c>
      <c r="F845">
        <v>2.8</v>
      </c>
      <c r="G845" s="7" t="s">
        <v>7</v>
      </c>
      <c r="H845">
        <v>0</v>
      </c>
      <c r="I845" s="14">
        <v>0.25954577756621489</v>
      </c>
      <c r="J845" s="9" t="str">
        <f t="shared" si="46"/>
        <v>Train</v>
      </c>
    </row>
    <row r="846" spans="1:10" x14ac:dyDescent="0.3">
      <c r="A846" s="3" t="s">
        <v>62</v>
      </c>
      <c r="B846" s="5" t="s">
        <v>6</v>
      </c>
      <c r="C846">
        <v>75</v>
      </c>
      <c r="D846">
        <v>5.6</v>
      </c>
      <c r="E846">
        <v>7.9</v>
      </c>
      <c r="F846">
        <v>2.6</v>
      </c>
      <c r="G846" s="7" t="s">
        <v>13</v>
      </c>
      <c r="H846">
        <v>0</v>
      </c>
      <c r="I846" s="14">
        <v>0.34752299044512647</v>
      </c>
      <c r="J846" s="9" t="str">
        <f t="shared" si="46"/>
        <v>Train</v>
      </c>
    </row>
    <row r="847" spans="1:10" x14ac:dyDescent="0.3">
      <c r="A847" s="3" t="s">
        <v>63</v>
      </c>
      <c r="B847" s="5" t="s">
        <v>10</v>
      </c>
      <c r="C847">
        <v>274</v>
      </c>
      <c r="D847">
        <v>7.5</v>
      </c>
      <c r="E847">
        <v>5.6</v>
      </c>
      <c r="F847">
        <v>0.7</v>
      </c>
      <c r="G847" s="7" t="s">
        <v>7</v>
      </c>
      <c r="H847">
        <v>0</v>
      </c>
      <c r="I847" s="14">
        <v>0.25101183173000619</v>
      </c>
      <c r="J847" s="9" t="str">
        <f t="shared" si="46"/>
        <v>Train</v>
      </c>
    </row>
    <row r="848" spans="1:10" x14ac:dyDescent="0.3">
      <c r="A848" s="3" t="s">
        <v>64</v>
      </c>
      <c r="B848" s="5" t="s">
        <v>12</v>
      </c>
      <c r="C848">
        <v>172</v>
      </c>
      <c r="D848">
        <v>0.8</v>
      </c>
      <c r="E848">
        <v>5.5</v>
      </c>
      <c r="F848">
        <v>2.1</v>
      </c>
      <c r="G848" s="7" t="s">
        <v>7</v>
      </c>
      <c r="H848">
        <v>0</v>
      </c>
      <c r="I848" s="14">
        <v>0.17373110997608543</v>
      </c>
      <c r="J848" s="9" t="str">
        <f t="shared" si="46"/>
        <v>Train</v>
      </c>
    </row>
    <row r="849" spans="1:10" x14ac:dyDescent="0.3">
      <c r="A849" s="3" t="s">
        <v>65</v>
      </c>
      <c r="B849" s="5" t="s">
        <v>14</v>
      </c>
      <c r="C849">
        <v>384</v>
      </c>
      <c r="D849">
        <v>4.4000000000000004</v>
      </c>
      <c r="E849">
        <v>5</v>
      </c>
      <c r="F849">
        <v>2.4</v>
      </c>
      <c r="G849" s="7" t="s">
        <v>7</v>
      </c>
      <c r="H849">
        <v>0</v>
      </c>
      <c r="I849" s="14">
        <v>0.3337989072300912</v>
      </c>
      <c r="J849" s="9" t="str">
        <f t="shared" si="46"/>
        <v>Train</v>
      </c>
    </row>
    <row r="850" spans="1:10" x14ac:dyDescent="0.3">
      <c r="A850" s="3" t="s">
        <v>66</v>
      </c>
      <c r="B850" s="5" t="s">
        <v>8</v>
      </c>
      <c r="C850">
        <v>236</v>
      </c>
      <c r="D850">
        <v>7.3</v>
      </c>
      <c r="E850">
        <v>7.8</v>
      </c>
      <c r="F850">
        <v>1.6</v>
      </c>
      <c r="G850" s="7" t="s">
        <v>11</v>
      </c>
      <c r="H850">
        <v>0</v>
      </c>
      <c r="I850" s="14">
        <v>0.77779464160661516</v>
      </c>
      <c r="J850" s="9" t="str">
        <f t="shared" si="46"/>
        <v>Test</v>
      </c>
    </row>
    <row r="851" spans="1:10" x14ac:dyDescent="0.3">
      <c r="A851" s="3" t="s">
        <v>67</v>
      </c>
      <c r="B851" s="5" t="s">
        <v>12</v>
      </c>
      <c r="C851">
        <v>69</v>
      </c>
      <c r="D851">
        <v>7.2</v>
      </c>
      <c r="E851">
        <v>5.2</v>
      </c>
      <c r="F851">
        <v>0.9</v>
      </c>
      <c r="G851" s="7" t="s">
        <v>13</v>
      </c>
      <c r="H851">
        <v>0</v>
      </c>
      <c r="I851" s="14">
        <v>0.18179054279546414</v>
      </c>
      <c r="J851" s="9" t="str">
        <f t="shared" si="46"/>
        <v>Train</v>
      </c>
    </row>
    <row r="852" spans="1:10" x14ac:dyDescent="0.3">
      <c r="A852" s="3" t="s">
        <v>68</v>
      </c>
      <c r="B852" s="5" t="s">
        <v>18</v>
      </c>
      <c r="C852">
        <v>63</v>
      </c>
      <c r="D852">
        <v>3.1</v>
      </c>
      <c r="E852">
        <v>0.9</v>
      </c>
      <c r="F852">
        <v>2.6</v>
      </c>
      <c r="G852" s="7" t="s">
        <v>7</v>
      </c>
      <c r="H852">
        <v>0</v>
      </c>
      <c r="I852" s="14">
        <v>0.86399504762788515</v>
      </c>
      <c r="J852" s="9" t="str">
        <f t="shared" si="46"/>
        <v>Test</v>
      </c>
    </row>
    <row r="853" spans="1:10" x14ac:dyDescent="0.3">
      <c r="A853" s="3" t="s">
        <v>69</v>
      </c>
      <c r="B853" s="5" t="s">
        <v>10</v>
      </c>
      <c r="C853">
        <v>72</v>
      </c>
      <c r="D853">
        <v>2.7</v>
      </c>
      <c r="E853">
        <v>3.1</v>
      </c>
      <c r="F853">
        <v>2.7</v>
      </c>
      <c r="G853" s="7" t="s">
        <v>13</v>
      </c>
      <c r="H853">
        <v>0</v>
      </c>
      <c r="I853" s="14">
        <v>0.46646795378737138</v>
      </c>
      <c r="J853" s="9" t="str">
        <f t="shared" si="46"/>
        <v>Train</v>
      </c>
    </row>
    <row r="854" spans="1:10" x14ac:dyDescent="0.3">
      <c r="A854" s="3" t="s">
        <v>70</v>
      </c>
      <c r="B854" s="5" t="s">
        <v>14</v>
      </c>
      <c r="C854">
        <v>281</v>
      </c>
      <c r="D854">
        <v>4.8</v>
      </c>
      <c r="E854">
        <v>6.9</v>
      </c>
      <c r="F854">
        <v>1.4</v>
      </c>
      <c r="G854" s="7" t="s">
        <v>9</v>
      </c>
      <c r="H854">
        <v>0</v>
      </c>
      <c r="I854" s="14">
        <v>0.75131260738518602</v>
      </c>
      <c r="J854" s="9" t="str">
        <f t="shared" si="46"/>
        <v>Test</v>
      </c>
    </row>
    <row r="855" spans="1:10" x14ac:dyDescent="0.3">
      <c r="A855" s="3" t="s">
        <v>71</v>
      </c>
      <c r="B855" s="5" t="s">
        <v>6</v>
      </c>
      <c r="C855">
        <v>79</v>
      </c>
      <c r="D855">
        <v>5.2</v>
      </c>
      <c r="E855">
        <v>5.4</v>
      </c>
      <c r="F855">
        <v>1.9</v>
      </c>
      <c r="G855" s="7" t="s">
        <v>11</v>
      </c>
      <c r="H855">
        <v>0</v>
      </c>
      <c r="I855" s="14">
        <v>0.73902144287144567</v>
      </c>
      <c r="J855" s="9" t="str">
        <f t="shared" si="46"/>
        <v>Test</v>
      </c>
    </row>
    <row r="856" spans="1:10" x14ac:dyDescent="0.3">
      <c r="A856" s="3" t="s">
        <v>72</v>
      </c>
      <c r="B856" s="5" t="s">
        <v>12</v>
      </c>
      <c r="C856">
        <v>285</v>
      </c>
      <c r="D856">
        <v>1.1000000000000001</v>
      </c>
      <c r="E856">
        <v>8.6</v>
      </c>
      <c r="F856">
        <v>3</v>
      </c>
      <c r="G856" s="7" t="s">
        <v>7</v>
      </c>
      <c r="H856">
        <v>0</v>
      </c>
      <c r="I856" s="14">
        <v>6.4882958321345274E-2</v>
      </c>
      <c r="J856" s="9" t="str">
        <f t="shared" si="46"/>
        <v>Train</v>
      </c>
    </row>
    <row r="857" spans="1:10" x14ac:dyDescent="0.3">
      <c r="A857" s="3" t="s">
        <v>73</v>
      </c>
      <c r="B857" s="5" t="s">
        <v>10</v>
      </c>
      <c r="C857">
        <v>415</v>
      </c>
      <c r="D857">
        <v>3.2</v>
      </c>
      <c r="E857">
        <v>7.3</v>
      </c>
      <c r="F857">
        <v>1.5</v>
      </c>
      <c r="G857" s="7" t="s">
        <v>9</v>
      </c>
      <c r="H857">
        <v>0</v>
      </c>
      <c r="I857" s="14">
        <v>0.8280588739153204</v>
      </c>
      <c r="J857" s="9" t="str">
        <f t="shared" si="46"/>
        <v>Test</v>
      </c>
    </row>
    <row r="858" spans="1:10" x14ac:dyDescent="0.3">
      <c r="A858" s="3" t="s">
        <v>74</v>
      </c>
      <c r="B858" s="5" t="s">
        <v>12</v>
      </c>
      <c r="C858">
        <v>103</v>
      </c>
      <c r="D858">
        <v>6.5</v>
      </c>
      <c r="E858">
        <v>1.3</v>
      </c>
      <c r="F858">
        <v>1.1000000000000001</v>
      </c>
      <c r="G858" s="7" t="s">
        <v>7</v>
      </c>
      <c r="H858">
        <v>0</v>
      </c>
      <c r="I858" s="14">
        <v>0.58177668664038584</v>
      </c>
      <c r="J858" s="9" t="str">
        <f t="shared" si="46"/>
        <v>Train</v>
      </c>
    </row>
    <row r="859" spans="1:10" x14ac:dyDescent="0.3">
      <c r="A859" s="3" t="s">
        <v>75</v>
      </c>
      <c r="B859" s="5" t="s">
        <v>12</v>
      </c>
      <c r="C859">
        <v>91</v>
      </c>
      <c r="D859">
        <v>4.3</v>
      </c>
      <c r="E859">
        <v>3.1</v>
      </c>
      <c r="F859">
        <v>0.9</v>
      </c>
      <c r="G859" s="7" t="s">
        <v>11</v>
      </c>
      <c r="H859">
        <v>0</v>
      </c>
      <c r="I859" s="14">
        <v>0.61170184256737425</v>
      </c>
      <c r="J859" s="9" t="str">
        <f t="shared" si="46"/>
        <v>Train</v>
      </c>
    </row>
    <row r="860" spans="1:10" x14ac:dyDescent="0.3">
      <c r="A860" s="3" t="s">
        <v>76</v>
      </c>
      <c r="B860" s="5" t="s">
        <v>18</v>
      </c>
      <c r="C860">
        <v>411</v>
      </c>
      <c r="D860">
        <v>7.9</v>
      </c>
      <c r="E860">
        <v>0.9</v>
      </c>
      <c r="F860">
        <v>0.5</v>
      </c>
      <c r="G860" s="7" t="s">
        <v>7</v>
      </c>
      <c r="H860">
        <v>0</v>
      </c>
      <c r="I860" s="14">
        <v>0.34715710497371743</v>
      </c>
      <c r="J860" s="9" t="str">
        <f t="shared" si="46"/>
        <v>Train</v>
      </c>
    </row>
    <row r="861" spans="1:10" x14ac:dyDescent="0.3">
      <c r="A861" s="3" t="s">
        <v>77</v>
      </c>
      <c r="B861" s="5" t="s">
        <v>8</v>
      </c>
      <c r="C861">
        <v>248</v>
      </c>
      <c r="D861">
        <v>1</v>
      </c>
      <c r="E861">
        <v>4.4000000000000004</v>
      </c>
      <c r="F861">
        <v>2</v>
      </c>
      <c r="G861" s="7" t="s">
        <v>9</v>
      </c>
      <c r="H861">
        <v>0</v>
      </c>
      <c r="I861" s="14">
        <v>0.42423839767756077</v>
      </c>
      <c r="J861" s="9" t="str">
        <f t="shared" si="46"/>
        <v>Train</v>
      </c>
    </row>
    <row r="862" spans="1:10" x14ac:dyDescent="0.3">
      <c r="A862" s="3" t="s">
        <v>78</v>
      </c>
      <c r="B862" s="5" t="s">
        <v>14</v>
      </c>
      <c r="C862">
        <v>83</v>
      </c>
      <c r="D862">
        <v>5.6</v>
      </c>
      <c r="E862">
        <v>4</v>
      </c>
      <c r="F862">
        <v>2.5</v>
      </c>
      <c r="G862" s="7" t="s">
        <v>9</v>
      </c>
      <c r="H862">
        <v>0</v>
      </c>
      <c r="I862" s="14">
        <v>6.6260106076661995E-2</v>
      </c>
      <c r="J862" s="9" t="str">
        <f t="shared" si="46"/>
        <v>Train</v>
      </c>
    </row>
    <row r="863" spans="1:10" x14ac:dyDescent="0.3">
      <c r="A863" s="3" t="s">
        <v>79</v>
      </c>
      <c r="B863" s="5" t="s">
        <v>12</v>
      </c>
      <c r="C863">
        <v>80</v>
      </c>
      <c r="D863">
        <v>7.6</v>
      </c>
      <c r="E863">
        <v>9.1999999999999993</v>
      </c>
      <c r="F863">
        <v>2.7</v>
      </c>
      <c r="G863" s="7" t="s">
        <v>9</v>
      </c>
      <c r="H863">
        <v>0</v>
      </c>
      <c r="I863" s="14">
        <v>0.69221866458047909</v>
      </c>
      <c r="J863" s="9" t="str">
        <f t="shared" si="46"/>
        <v>Train</v>
      </c>
    </row>
    <row r="864" spans="1:10" x14ac:dyDescent="0.3">
      <c r="A864" s="3" t="s">
        <v>80</v>
      </c>
      <c r="B864" s="5" t="s">
        <v>8</v>
      </c>
      <c r="C864">
        <v>226</v>
      </c>
      <c r="D864">
        <v>3.9</v>
      </c>
      <c r="E864">
        <v>9.6999999999999993</v>
      </c>
      <c r="F864">
        <v>2</v>
      </c>
      <c r="G864" s="7" t="s">
        <v>7</v>
      </c>
      <c r="H864">
        <v>0</v>
      </c>
      <c r="I864" s="14">
        <v>0.80652733893812567</v>
      </c>
      <c r="J864" s="9" t="str">
        <f t="shared" si="46"/>
        <v>Test</v>
      </c>
    </row>
    <row r="865" spans="1:10" x14ac:dyDescent="0.3">
      <c r="A865" s="3" t="s">
        <v>81</v>
      </c>
      <c r="B865" s="5" t="s">
        <v>18</v>
      </c>
      <c r="C865">
        <v>220</v>
      </c>
      <c r="D865">
        <v>6.4</v>
      </c>
      <c r="E865">
        <v>0.8</v>
      </c>
      <c r="F865">
        <v>0.8</v>
      </c>
      <c r="G865" s="7" t="s">
        <v>13</v>
      </c>
      <c r="H865">
        <v>0</v>
      </c>
      <c r="I865" s="14">
        <v>0.69734930896549718</v>
      </c>
      <c r="J865" s="9" t="str">
        <f t="shared" si="46"/>
        <v>Train</v>
      </c>
    </row>
    <row r="866" spans="1:10" x14ac:dyDescent="0.3">
      <c r="A866" s="3" t="s">
        <v>82</v>
      </c>
      <c r="B866" s="5" t="s">
        <v>18</v>
      </c>
      <c r="C866">
        <v>160</v>
      </c>
      <c r="D866">
        <v>4.4000000000000004</v>
      </c>
      <c r="E866">
        <v>6.2</v>
      </c>
      <c r="F866">
        <v>1.4</v>
      </c>
      <c r="G866" s="7" t="s">
        <v>13</v>
      </c>
      <c r="H866">
        <v>0</v>
      </c>
      <c r="I866" s="14">
        <v>0.20399412826620478</v>
      </c>
      <c r="J866" s="9" t="str">
        <f t="shared" si="46"/>
        <v>Train</v>
      </c>
    </row>
    <row r="867" spans="1:10" x14ac:dyDescent="0.3">
      <c r="A867" s="3" t="s">
        <v>83</v>
      </c>
      <c r="B867" s="5" t="s">
        <v>10</v>
      </c>
      <c r="C867">
        <v>499</v>
      </c>
      <c r="D867">
        <v>0.6</v>
      </c>
      <c r="E867">
        <v>2.7</v>
      </c>
      <c r="F867">
        <v>0.9</v>
      </c>
      <c r="G867" s="7" t="s">
        <v>13</v>
      </c>
      <c r="H867">
        <v>0</v>
      </c>
      <c r="I867" s="14">
        <v>0.7187437237830846</v>
      </c>
      <c r="J867" s="9" t="str">
        <f t="shared" si="46"/>
        <v>Test</v>
      </c>
    </row>
    <row r="868" spans="1:10" x14ac:dyDescent="0.3">
      <c r="A868" s="3" t="s">
        <v>84</v>
      </c>
      <c r="B868" s="5" t="s">
        <v>18</v>
      </c>
      <c r="C868">
        <v>112</v>
      </c>
      <c r="D868">
        <v>1.8</v>
      </c>
      <c r="E868">
        <v>3.3</v>
      </c>
      <c r="F868">
        <v>1.2</v>
      </c>
      <c r="G868" s="7" t="s">
        <v>7</v>
      </c>
      <c r="H868">
        <v>0</v>
      </c>
      <c r="I868" s="14">
        <v>0.54087410607019648</v>
      </c>
      <c r="J868" s="9" t="str">
        <f t="shared" si="46"/>
        <v>Train</v>
      </c>
    </row>
    <row r="869" spans="1:10" x14ac:dyDescent="0.3">
      <c r="A869" s="3" t="s">
        <v>85</v>
      </c>
      <c r="B869" s="5" t="s">
        <v>6</v>
      </c>
      <c r="C869">
        <v>166</v>
      </c>
      <c r="D869">
        <v>5.5</v>
      </c>
      <c r="E869">
        <v>7.3</v>
      </c>
      <c r="F869">
        <v>1.6</v>
      </c>
      <c r="G869" s="7" t="s">
        <v>13</v>
      </c>
      <c r="H869">
        <v>0</v>
      </c>
      <c r="I869" s="14">
        <v>0.51503575200072826</v>
      </c>
      <c r="J869" s="9" t="str">
        <f t="shared" si="46"/>
        <v>Train</v>
      </c>
    </row>
    <row r="870" spans="1:10" x14ac:dyDescent="0.3">
      <c r="A870" s="3" t="s">
        <v>86</v>
      </c>
      <c r="B870" s="5" t="s">
        <v>12</v>
      </c>
      <c r="C870">
        <v>256</v>
      </c>
      <c r="D870">
        <v>2.2000000000000002</v>
      </c>
      <c r="E870">
        <v>8.4</v>
      </c>
      <c r="F870">
        <v>1.6</v>
      </c>
      <c r="G870" s="7" t="s">
        <v>9</v>
      </c>
      <c r="H870">
        <v>0</v>
      </c>
      <c r="I870" s="14">
        <v>0.80586071000809745</v>
      </c>
      <c r="J870" s="9" t="str">
        <f t="shared" si="46"/>
        <v>Test</v>
      </c>
    </row>
    <row r="871" spans="1:10" x14ac:dyDescent="0.3">
      <c r="A871" s="3" t="s">
        <v>87</v>
      </c>
      <c r="B871" s="5" t="s">
        <v>18</v>
      </c>
      <c r="C871">
        <v>280</v>
      </c>
      <c r="D871">
        <v>3</v>
      </c>
      <c r="E871">
        <v>2.1</v>
      </c>
      <c r="F871">
        <v>1.2</v>
      </c>
      <c r="G871" s="7" t="s">
        <v>11</v>
      </c>
      <c r="H871">
        <v>0</v>
      </c>
      <c r="I871" s="14">
        <v>5.7269210476037613E-2</v>
      </c>
      <c r="J871" s="9" t="str">
        <f t="shared" si="46"/>
        <v>Train</v>
      </c>
    </row>
    <row r="872" spans="1:10" x14ac:dyDescent="0.3">
      <c r="A872" s="3" t="s">
        <v>88</v>
      </c>
      <c r="B872" s="5" t="s">
        <v>14</v>
      </c>
      <c r="C872">
        <v>196</v>
      </c>
      <c r="D872">
        <v>7</v>
      </c>
      <c r="E872">
        <v>5</v>
      </c>
      <c r="F872">
        <v>1.4</v>
      </c>
      <c r="G872" s="7" t="s">
        <v>11</v>
      </c>
      <c r="H872">
        <v>0</v>
      </c>
      <c r="I872" s="14">
        <v>0.5286996620081903</v>
      </c>
      <c r="J872" s="9" t="str">
        <f t="shared" si="46"/>
        <v>Train</v>
      </c>
    </row>
    <row r="873" spans="1:10" x14ac:dyDescent="0.3">
      <c r="A873" s="3" t="s">
        <v>89</v>
      </c>
      <c r="B873" s="5" t="s">
        <v>6</v>
      </c>
      <c r="C873">
        <v>262</v>
      </c>
      <c r="D873">
        <v>1.2</v>
      </c>
      <c r="E873">
        <v>0.9</v>
      </c>
      <c r="F873">
        <v>2.1</v>
      </c>
      <c r="G873" s="7" t="s">
        <v>9</v>
      </c>
      <c r="H873">
        <v>0</v>
      </c>
      <c r="I873" s="14">
        <v>0.75573682827771693</v>
      </c>
      <c r="J873" s="9" t="str">
        <f t="shared" si="46"/>
        <v>Test</v>
      </c>
    </row>
    <row r="874" spans="1:10" x14ac:dyDescent="0.3">
      <c r="A874" s="3" t="s">
        <v>90</v>
      </c>
      <c r="B874" s="5" t="s">
        <v>6</v>
      </c>
      <c r="C874">
        <v>449</v>
      </c>
      <c r="D874">
        <v>4</v>
      </c>
      <c r="E874">
        <v>6.4</v>
      </c>
      <c r="F874">
        <v>1.8</v>
      </c>
      <c r="G874" s="7" t="s">
        <v>9</v>
      </c>
      <c r="H874">
        <v>0</v>
      </c>
      <c r="I874" s="14">
        <v>6.9777717666685057E-2</v>
      </c>
      <c r="J874" s="9" t="str">
        <f t="shared" si="46"/>
        <v>Train</v>
      </c>
    </row>
    <row r="875" spans="1:10" x14ac:dyDescent="0.3">
      <c r="A875" s="3" t="s">
        <v>91</v>
      </c>
      <c r="B875" s="5" t="s">
        <v>12</v>
      </c>
      <c r="C875">
        <v>209</v>
      </c>
      <c r="D875">
        <v>3.7</v>
      </c>
      <c r="E875">
        <v>1.1000000000000001</v>
      </c>
      <c r="F875">
        <v>1.9</v>
      </c>
      <c r="G875" s="7" t="s">
        <v>13</v>
      </c>
      <c r="H875">
        <v>0</v>
      </c>
      <c r="I875" s="14">
        <v>0.34577699928587335</v>
      </c>
      <c r="J875" s="9" t="str">
        <f t="shared" si="46"/>
        <v>Train</v>
      </c>
    </row>
    <row r="876" spans="1:10" x14ac:dyDescent="0.3">
      <c r="A876" s="3" t="s">
        <v>92</v>
      </c>
      <c r="B876" s="5" t="s">
        <v>8</v>
      </c>
      <c r="C876">
        <v>186</v>
      </c>
      <c r="D876">
        <v>4.5</v>
      </c>
      <c r="E876">
        <v>5.2</v>
      </c>
      <c r="F876">
        <v>1.7</v>
      </c>
      <c r="G876" s="7" t="s">
        <v>13</v>
      </c>
      <c r="H876">
        <v>0</v>
      </c>
      <c r="I876" s="14">
        <v>0.37105506413736666</v>
      </c>
      <c r="J876" s="9" t="str">
        <f t="shared" si="46"/>
        <v>Train</v>
      </c>
    </row>
    <row r="877" spans="1:10" x14ac:dyDescent="0.3">
      <c r="A877" s="3" t="s">
        <v>93</v>
      </c>
      <c r="B877" s="5" t="s">
        <v>8</v>
      </c>
      <c r="C877">
        <v>63</v>
      </c>
      <c r="D877">
        <v>0.6</v>
      </c>
      <c r="E877">
        <v>1.4</v>
      </c>
      <c r="F877">
        <v>2.6</v>
      </c>
      <c r="G877" s="7" t="s">
        <v>9</v>
      </c>
      <c r="H877">
        <v>0</v>
      </c>
      <c r="I877" s="14">
        <v>0.30344613305182344</v>
      </c>
      <c r="J877" s="9" t="str">
        <f t="shared" si="46"/>
        <v>Train</v>
      </c>
    </row>
    <row r="878" spans="1:10" x14ac:dyDescent="0.3">
      <c r="A878" s="3" t="s">
        <v>94</v>
      </c>
      <c r="B878" s="5" t="s">
        <v>18</v>
      </c>
      <c r="C878">
        <v>297</v>
      </c>
      <c r="D878">
        <v>4.3</v>
      </c>
      <c r="E878">
        <v>0.9</v>
      </c>
      <c r="F878">
        <v>0.9</v>
      </c>
      <c r="G878" s="7" t="s">
        <v>11</v>
      </c>
      <c r="H878">
        <v>0</v>
      </c>
      <c r="I878" s="14">
        <v>0.19833176302347166</v>
      </c>
      <c r="J878" s="9" t="str">
        <f t="shared" si="46"/>
        <v>Train</v>
      </c>
    </row>
    <row r="879" spans="1:10" x14ac:dyDescent="0.3">
      <c r="A879" s="3" t="s">
        <v>95</v>
      </c>
      <c r="B879" s="5" t="s">
        <v>6</v>
      </c>
      <c r="C879">
        <v>312</v>
      </c>
      <c r="D879">
        <v>3.4</v>
      </c>
      <c r="E879">
        <v>3.2</v>
      </c>
      <c r="F879">
        <v>0.6</v>
      </c>
      <c r="G879" s="7" t="s">
        <v>7</v>
      </c>
      <c r="H879">
        <v>0</v>
      </c>
      <c r="I879" s="14">
        <v>3.3312791407073106E-2</v>
      </c>
      <c r="J879" s="9" t="str">
        <f t="shared" si="46"/>
        <v>Train</v>
      </c>
    </row>
    <row r="880" spans="1:10" x14ac:dyDescent="0.3">
      <c r="A880" s="3" t="s">
        <v>96</v>
      </c>
      <c r="B880" s="5" t="s">
        <v>18</v>
      </c>
      <c r="C880">
        <v>479</v>
      </c>
      <c r="D880">
        <v>0.7</v>
      </c>
      <c r="E880">
        <v>8.5</v>
      </c>
      <c r="F880">
        <v>0.8</v>
      </c>
      <c r="G880" s="7" t="s">
        <v>7</v>
      </c>
      <c r="H880">
        <v>0</v>
      </c>
      <c r="I880" s="14">
        <v>0.62042255507328137</v>
      </c>
      <c r="J880" s="9" t="str">
        <f t="shared" si="46"/>
        <v>Train</v>
      </c>
    </row>
    <row r="881" spans="1:10" x14ac:dyDescent="0.3">
      <c r="A881" s="3" t="s">
        <v>97</v>
      </c>
      <c r="B881" s="5" t="s">
        <v>10</v>
      </c>
      <c r="C881">
        <v>171</v>
      </c>
      <c r="D881">
        <v>2.9</v>
      </c>
      <c r="E881">
        <v>7.7</v>
      </c>
      <c r="F881">
        <v>2.8</v>
      </c>
      <c r="G881" s="7" t="s">
        <v>11</v>
      </c>
      <c r="H881">
        <v>0</v>
      </c>
      <c r="I881" s="14">
        <v>0.19537502933519901</v>
      </c>
      <c r="J881" s="9" t="str">
        <f t="shared" si="46"/>
        <v>Train</v>
      </c>
    </row>
    <row r="882" spans="1:10" x14ac:dyDescent="0.3">
      <c r="A882" s="3" t="s">
        <v>98</v>
      </c>
      <c r="B882" s="5" t="s">
        <v>8</v>
      </c>
      <c r="C882">
        <v>305</v>
      </c>
      <c r="D882">
        <v>2.9</v>
      </c>
      <c r="E882">
        <v>6.4</v>
      </c>
      <c r="F882">
        <v>2.4</v>
      </c>
      <c r="G882" s="7" t="s">
        <v>11</v>
      </c>
      <c r="H882">
        <v>0</v>
      </c>
      <c r="I882" s="14">
        <v>0.54871941374507016</v>
      </c>
      <c r="J882" s="9" t="str">
        <f t="shared" si="46"/>
        <v>Train</v>
      </c>
    </row>
    <row r="883" spans="1:10" x14ac:dyDescent="0.3">
      <c r="A883" s="3" t="s">
        <v>99</v>
      </c>
      <c r="B883" s="5" t="s">
        <v>10</v>
      </c>
      <c r="C883">
        <v>148</v>
      </c>
      <c r="D883">
        <v>7.9</v>
      </c>
      <c r="E883">
        <v>8.1999999999999993</v>
      </c>
      <c r="F883">
        <v>2.9</v>
      </c>
      <c r="G883" s="7" t="s">
        <v>7</v>
      </c>
      <c r="H883">
        <v>0</v>
      </c>
      <c r="I883" s="14">
        <v>0.23776170507202687</v>
      </c>
      <c r="J883" s="9" t="str">
        <f t="shared" si="46"/>
        <v>Train</v>
      </c>
    </row>
    <row r="884" spans="1:10" x14ac:dyDescent="0.3">
      <c r="A884" s="3" t="s">
        <v>100</v>
      </c>
      <c r="B884" s="5" t="s">
        <v>14</v>
      </c>
      <c r="C884">
        <v>227</v>
      </c>
      <c r="D884">
        <v>6.4</v>
      </c>
      <c r="E884">
        <v>9.1</v>
      </c>
      <c r="F884">
        <v>1.8</v>
      </c>
      <c r="G884" s="7" t="s">
        <v>7</v>
      </c>
      <c r="H884">
        <v>0</v>
      </c>
      <c r="I884" s="14">
        <v>0.4953203741230755</v>
      </c>
      <c r="J884" s="9" t="str">
        <f t="shared" si="46"/>
        <v>Train</v>
      </c>
    </row>
    <row r="885" spans="1:10" x14ac:dyDescent="0.3">
      <c r="A885" s="3" t="s">
        <v>101</v>
      </c>
      <c r="B885" s="5" t="s">
        <v>6</v>
      </c>
      <c r="C885">
        <v>233</v>
      </c>
      <c r="D885">
        <v>1.5</v>
      </c>
      <c r="E885">
        <v>0.6</v>
      </c>
      <c r="F885">
        <v>2</v>
      </c>
      <c r="G885" s="7" t="s">
        <v>11</v>
      </c>
      <c r="H885">
        <v>0</v>
      </c>
      <c r="I885" s="14">
        <v>0.90158788401105894</v>
      </c>
      <c r="J885" s="9" t="str">
        <f t="shared" si="46"/>
        <v>Test</v>
      </c>
    </row>
    <row r="886" spans="1:10" x14ac:dyDescent="0.3">
      <c r="A886" s="3" t="s">
        <v>102</v>
      </c>
      <c r="B886" s="5" t="s">
        <v>14</v>
      </c>
      <c r="C886">
        <v>63</v>
      </c>
      <c r="D886">
        <v>7.3</v>
      </c>
      <c r="E886">
        <v>6.7</v>
      </c>
      <c r="F886">
        <v>2.6</v>
      </c>
      <c r="G886" s="7" t="s">
        <v>9</v>
      </c>
      <c r="H886">
        <v>0</v>
      </c>
      <c r="I886" s="14">
        <v>0.8290889169973733</v>
      </c>
      <c r="J886" s="9" t="str">
        <f t="shared" si="46"/>
        <v>Test</v>
      </c>
    </row>
    <row r="887" spans="1:10" x14ac:dyDescent="0.3">
      <c r="A887" s="3" t="s">
        <v>103</v>
      </c>
      <c r="B887" s="5" t="s">
        <v>10</v>
      </c>
      <c r="C887">
        <v>296</v>
      </c>
      <c r="D887">
        <v>5.6</v>
      </c>
      <c r="E887">
        <v>7.3</v>
      </c>
      <c r="F887">
        <v>2.5</v>
      </c>
      <c r="G887" s="7" t="s">
        <v>13</v>
      </c>
      <c r="H887">
        <v>0</v>
      </c>
      <c r="I887" s="14">
        <v>9.699624368785964E-2</v>
      </c>
      <c r="J887" s="9" t="str">
        <f t="shared" si="46"/>
        <v>Train</v>
      </c>
    </row>
    <row r="888" spans="1:10" x14ac:dyDescent="0.3">
      <c r="A888" s="3" t="s">
        <v>104</v>
      </c>
      <c r="B888" s="5" t="s">
        <v>8</v>
      </c>
      <c r="C888">
        <v>141</v>
      </c>
      <c r="D888">
        <v>4.3</v>
      </c>
      <c r="E888">
        <v>6.5</v>
      </c>
      <c r="F888">
        <v>2.2000000000000002</v>
      </c>
      <c r="G888" s="7" t="s">
        <v>7</v>
      </c>
      <c r="H888">
        <v>0</v>
      </c>
      <c r="I888" s="14">
        <v>0.78859035382051657</v>
      </c>
      <c r="J888" s="9" t="str">
        <f t="shared" si="46"/>
        <v>Test</v>
      </c>
    </row>
    <row r="889" spans="1:10" x14ac:dyDescent="0.3">
      <c r="A889" s="3" t="s">
        <v>105</v>
      </c>
      <c r="B889" s="5" t="s">
        <v>18</v>
      </c>
      <c r="C889">
        <v>181</v>
      </c>
      <c r="D889">
        <v>2.9</v>
      </c>
      <c r="E889">
        <v>1.2</v>
      </c>
      <c r="F889">
        <v>0.7</v>
      </c>
      <c r="G889" s="7" t="s">
        <v>11</v>
      </c>
      <c r="H889">
        <v>0</v>
      </c>
      <c r="I889" s="14">
        <v>0.50022506910659958</v>
      </c>
      <c r="J889" s="9" t="str">
        <f t="shared" si="46"/>
        <v>Train</v>
      </c>
    </row>
    <row r="890" spans="1:10" x14ac:dyDescent="0.3">
      <c r="A890" s="3" t="s">
        <v>106</v>
      </c>
      <c r="B890" s="5" t="s">
        <v>10</v>
      </c>
      <c r="C890">
        <v>500</v>
      </c>
      <c r="D890">
        <v>6.8</v>
      </c>
      <c r="E890">
        <v>2.2000000000000002</v>
      </c>
      <c r="F890">
        <v>1.3</v>
      </c>
      <c r="G890" s="7" t="s">
        <v>13</v>
      </c>
      <c r="H890">
        <v>0</v>
      </c>
      <c r="I890" s="14">
        <v>0.71836991329658895</v>
      </c>
      <c r="J890" s="9" t="str">
        <f t="shared" si="46"/>
        <v>Test</v>
      </c>
    </row>
    <row r="891" spans="1:10" x14ac:dyDescent="0.3">
      <c r="A891" s="3" t="s">
        <v>107</v>
      </c>
      <c r="B891" s="5" t="s">
        <v>6</v>
      </c>
      <c r="C891">
        <v>331</v>
      </c>
      <c r="D891">
        <v>6.2</v>
      </c>
      <c r="E891">
        <v>1.7</v>
      </c>
      <c r="F891">
        <v>0.8</v>
      </c>
      <c r="G891" s="7" t="s">
        <v>11</v>
      </c>
      <c r="H891">
        <v>0</v>
      </c>
      <c r="I891" s="14">
        <v>0.34445313863862692</v>
      </c>
      <c r="J891" s="9" t="str">
        <f t="shared" si="46"/>
        <v>Train</v>
      </c>
    </row>
    <row r="892" spans="1:10" x14ac:dyDescent="0.3">
      <c r="A892" s="3" t="s">
        <v>108</v>
      </c>
      <c r="B892" s="5" t="s">
        <v>6</v>
      </c>
      <c r="C892">
        <v>306</v>
      </c>
      <c r="D892">
        <v>3.1</v>
      </c>
      <c r="E892">
        <v>0.7</v>
      </c>
      <c r="F892">
        <v>0.6</v>
      </c>
      <c r="G892" s="7" t="s">
        <v>13</v>
      </c>
      <c r="H892">
        <v>0</v>
      </c>
      <c r="I892" s="14">
        <v>5.4313824215926232E-2</v>
      </c>
      <c r="J892" s="9" t="str">
        <f t="shared" si="46"/>
        <v>Train</v>
      </c>
    </row>
    <row r="893" spans="1:10" x14ac:dyDescent="0.3">
      <c r="A893" s="3" t="s">
        <v>109</v>
      </c>
      <c r="B893" s="5" t="s">
        <v>10</v>
      </c>
      <c r="C893">
        <v>273</v>
      </c>
      <c r="D893">
        <v>6.8</v>
      </c>
      <c r="E893">
        <v>7.7</v>
      </c>
      <c r="F893">
        <v>2.8</v>
      </c>
      <c r="G893" s="7" t="s">
        <v>11</v>
      </c>
      <c r="H893">
        <v>0</v>
      </c>
      <c r="I893" s="14">
        <v>0.26353835961044192</v>
      </c>
      <c r="J893" s="9" t="str">
        <f t="shared" si="46"/>
        <v>Train</v>
      </c>
    </row>
    <row r="894" spans="1:10" x14ac:dyDescent="0.3">
      <c r="A894" s="3" t="s">
        <v>110</v>
      </c>
      <c r="B894" s="5" t="s">
        <v>8</v>
      </c>
      <c r="C894">
        <v>349</v>
      </c>
      <c r="D894">
        <v>1.5</v>
      </c>
      <c r="E894">
        <v>3.2</v>
      </c>
      <c r="F894">
        <v>2.2999999999999998</v>
      </c>
      <c r="G894" s="7" t="s">
        <v>13</v>
      </c>
      <c r="H894">
        <v>0</v>
      </c>
      <c r="I894" s="14">
        <v>0.68885110344772682</v>
      </c>
      <c r="J894" s="9" t="str">
        <f t="shared" si="46"/>
        <v>Train</v>
      </c>
    </row>
    <row r="895" spans="1:10" x14ac:dyDescent="0.3">
      <c r="A895" s="3" t="s">
        <v>111</v>
      </c>
      <c r="B895" s="5" t="s">
        <v>12</v>
      </c>
      <c r="C895">
        <v>461</v>
      </c>
      <c r="D895">
        <v>6.8</v>
      </c>
      <c r="E895">
        <v>7.7</v>
      </c>
      <c r="F895">
        <v>2.2000000000000002</v>
      </c>
      <c r="G895" s="7" t="s">
        <v>13</v>
      </c>
      <c r="H895">
        <v>0</v>
      </c>
      <c r="I895" s="14">
        <v>0.48136709363398944</v>
      </c>
      <c r="J895" s="9" t="str">
        <f t="shared" si="46"/>
        <v>Train</v>
      </c>
    </row>
    <row r="896" spans="1:10" x14ac:dyDescent="0.3">
      <c r="A896" s="3" t="s">
        <v>112</v>
      </c>
      <c r="B896" s="5" t="s">
        <v>18</v>
      </c>
      <c r="C896">
        <v>368</v>
      </c>
      <c r="D896">
        <v>1.2</v>
      </c>
      <c r="E896">
        <v>3.7</v>
      </c>
      <c r="F896">
        <v>2.8</v>
      </c>
      <c r="G896" s="7" t="s">
        <v>13</v>
      </c>
      <c r="H896">
        <v>0</v>
      </c>
      <c r="I896" s="14">
        <v>0.49896517353440917</v>
      </c>
      <c r="J896" s="9" t="str">
        <f t="shared" si="46"/>
        <v>Train</v>
      </c>
    </row>
    <row r="897" spans="1:10" x14ac:dyDescent="0.3">
      <c r="A897" s="3" t="s">
        <v>113</v>
      </c>
      <c r="B897" s="5" t="s">
        <v>18</v>
      </c>
      <c r="C897">
        <v>115</v>
      </c>
      <c r="D897">
        <v>1.6</v>
      </c>
      <c r="E897">
        <v>4</v>
      </c>
      <c r="F897">
        <v>1.3</v>
      </c>
      <c r="G897" s="7" t="s">
        <v>7</v>
      </c>
      <c r="H897">
        <v>0</v>
      </c>
      <c r="I897" s="14">
        <v>0.79410608250512427</v>
      </c>
      <c r="J897" s="9" t="str">
        <f t="shared" si="46"/>
        <v>Test</v>
      </c>
    </row>
    <row r="898" spans="1:10" x14ac:dyDescent="0.3">
      <c r="A898" s="3" t="s">
        <v>114</v>
      </c>
      <c r="B898" s="5" t="s">
        <v>8</v>
      </c>
      <c r="C898">
        <v>361</v>
      </c>
      <c r="D898">
        <v>2.5</v>
      </c>
      <c r="E898">
        <v>6</v>
      </c>
      <c r="F898">
        <v>2.1</v>
      </c>
      <c r="G898" s="7" t="s">
        <v>9</v>
      </c>
      <c r="H898">
        <v>0</v>
      </c>
      <c r="I898" s="14">
        <v>0.67665520882232222</v>
      </c>
      <c r="J898" s="9" t="str">
        <f t="shared" si="46"/>
        <v>Train</v>
      </c>
    </row>
    <row r="899" spans="1:10" x14ac:dyDescent="0.3">
      <c r="A899" s="3" t="s">
        <v>115</v>
      </c>
      <c r="B899" s="5" t="s">
        <v>10</v>
      </c>
      <c r="C899">
        <v>464</v>
      </c>
      <c r="D899">
        <v>2.5</v>
      </c>
      <c r="E899">
        <v>2.2999999999999998</v>
      </c>
      <c r="F899">
        <v>1.1000000000000001</v>
      </c>
      <c r="G899" s="7" t="s">
        <v>13</v>
      </c>
      <c r="H899">
        <v>0</v>
      </c>
      <c r="I899" s="14">
        <v>2.7992971327355676E-2</v>
      </c>
      <c r="J899" s="9" t="str">
        <f t="shared" ref="J899:J962" si="47">IF(I899&lt;=0.7,"Train","Test")</f>
        <v>Train</v>
      </c>
    </row>
    <row r="900" spans="1:10" x14ac:dyDescent="0.3">
      <c r="A900" s="3" t="s">
        <v>116</v>
      </c>
      <c r="B900" s="5" t="s">
        <v>18</v>
      </c>
      <c r="C900">
        <v>195</v>
      </c>
      <c r="D900">
        <v>5</v>
      </c>
      <c r="E900">
        <v>9.5</v>
      </c>
      <c r="F900">
        <v>1.3</v>
      </c>
      <c r="G900" s="7" t="s">
        <v>7</v>
      </c>
      <c r="H900">
        <v>0</v>
      </c>
      <c r="I900" s="14">
        <v>1.5594162855812277E-2</v>
      </c>
      <c r="J900" s="9" t="str">
        <f t="shared" si="47"/>
        <v>Train</v>
      </c>
    </row>
    <row r="901" spans="1:10" x14ac:dyDescent="0.3">
      <c r="A901" s="3" t="s">
        <v>117</v>
      </c>
      <c r="B901" s="5" t="s">
        <v>6</v>
      </c>
      <c r="C901">
        <v>350</v>
      </c>
      <c r="D901">
        <v>5.7</v>
      </c>
      <c r="E901">
        <v>1</v>
      </c>
      <c r="F901">
        <v>2.8</v>
      </c>
      <c r="G901" s="7" t="s">
        <v>13</v>
      </c>
      <c r="H901">
        <v>0</v>
      </c>
      <c r="I901" s="14">
        <v>3.1977229780956851E-2</v>
      </c>
      <c r="J901" s="9" t="str">
        <f t="shared" si="47"/>
        <v>Train</v>
      </c>
    </row>
    <row r="902" spans="1:10" x14ac:dyDescent="0.3">
      <c r="A902" s="3" t="s">
        <v>118</v>
      </c>
      <c r="B902" s="5" t="s">
        <v>6</v>
      </c>
      <c r="C902">
        <v>152</v>
      </c>
      <c r="D902">
        <v>5.3</v>
      </c>
      <c r="E902">
        <v>0.6</v>
      </c>
      <c r="F902">
        <v>2.2000000000000002</v>
      </c>
      <c r="G902" s="7" t="s">
        <v>9</v>
      </c>
      <c r="H902">
        <v>0</v>
      </c>
      <c r="I902" s="14">
        <v>1.3232466531023168E-2</v>
      </c>
      <c r="J902" s="9" t="str">
        <f t="shared" si="47"/>
        <v>Train</v>
      </c>
    </row>
    <row r="903" spans="1:10" x14ac:dyDescent="0.3">
      <c r="A903" s="3" t="s">
        <v>119</v>
      </c>
      <c r="B903" s="5" t="s">
        <v>14</v>
      </c>
      <c r="C903">
        <v>411</v>
      </c>
      <c r="D903">
        <v>6.1</v>
      </c>
      <c r="E903">
        <v>9.8000000000000007</v>
      </c>
      <c r="F903">
        <v>1</v>
      </c>
      <c r="G903" s="7" t="s">
        <v>9</v>
      </c>
      <c r="H903">
        <v>0</v>
      </c>
      <c r="I903" s="14">
        <v>0.71620650627978077</v>
      </c>
      <c r="J903" s="9" t="str">
        <f t="shared" si="47"/>
        <v>Test</v>
      </c>
    </row>
    <row r="904" spans="1:10" x14ac:dyDescent="0.3">
      <c r="A904" s="3" t="s">
        <v>120</v>
      </c>
      <c r="B904" s="5" t="s">
        <v>6</v>
      </c>
      <c r="C904">
        <v>166</v>
      </c>
      <c r="D904">
        <v>2</v>
      </c>
      <c r="E904">
        <v>8.6</v>
      </c>
      <c r="F904">
        <v>2.7</v>
      </c>
      <c r="G904" s="7" t="s">
        <v>7</v>
      </c>
      <c r="H904">
        <v>0</v>
      </c>
      <c r="I904" s="14">
        <v>0.84444073888125526</v>
      </c>
      <c r="J904" s="9" t="str">
        <f t="shared" si="47"/>
        <v>Test</v>
      </c>
    </row>
    <row r="905" spans="1:10" x14ac:dyDescent="0.3">
      <c r="A905" s="3" t="s">
        <v>121</v>
      </c>
      <c r="B905" s="5" t="s">
        <v>10</v>
      </c>
      <c r="C905">
        <v>204</v>
      </c>
      <c r="D905">
        <v>3.2</v>
      </c>
      <c r="E905">
        <v>0.7</v>
      </c>
      <c r="F905">
        <v>1.9</v>
      </c>
      <c r="G905" s="7" t="s">
        <v>13</v>
      </c>
      <c r="H905">
        <v>0</v>
      </c>
      <c r="I905" s="14">
        <v>0.40840172680234577</v>
      </c>
      <c r="J905" s="9" t="str">
        <f t="shared" si="47"/>
        <v>Train</v>
      </c>
    </row>
    <row r="906" spans="1:10" x14ac:dyDescent="0.3">
      <c r="A906" s="3" t="s">
        <v>122</v>
      </c>
      <c r="B906" s="5" t="s">
        <v>12</v>
      </c>
      <c r="C906">
        <v>344</v>
      </c>
      <c r="D906">
        <v>3.4</v>
      </c>
      <c r="E906">
        <v>3.2</v>
      </c>
      <c r="F906">
        <v>1.4</v>
      </c>
      <c r="G906" s="7" t="s">
        <v>7</v>
      </c>
      <c r="H906">
        <v>0</v>
      </c>
      <c r="I906" s="14">
        <v>0.41683627945283019</v>
      </c>
      <c r="J906" s="9" t="str">
        <f t="shared" si="47"/>
        <v>Train</v>
      </c>
    </row>
    <row r="907" spans="1:10" x14ac:dyDescent="0.3">
      <c r="A907" s="3" t="s">
        <v>123</v>
      </c>
      <c r="B907" s="5" t="s">
        <v>12</v>
      </c>
      <c r="C907">
        <v>266</v>
      </c>
      <c r="D907">
        <v>5.8</v>
      </c>
      <c r="E907">
        <v>3.7</v>
      </c>
      <c r="F907">
        <v>1.4</v>
      </c>
      <c r="G907" s="7" t="s">
        <v>13</v>
      </c>
      <c r="H907">
        <v>0</v>
      </c>
      <c r="I907" s="14">
        <v>6.6162199527893817E-3</v>
      </c>
      <c r="J907" s="9" t="str">
        <f t="shared" si="47"/>
        <v>Train</v>
      </c>
    </row>
    <row r="908" spans="1:10" x14ac:dyDescent="0.3">
      <c r="A908" s="3" t="s">
        <v>124</v>
      </c>
      <c r="B908" s="5" t="s">
        <v>8</v>
      </c>
      <c r="C908">
        <v>449</v>
      </c>
      <c r="D908">
        <v>7.2</v>
      </c>
      <c r="E908">
        <v>5.9</v>
      </c>
      <c r="F908">
        <v>1.9</v>
      </c>
      <c r="G908" s="7" t="s">
        <v>9</v>
      </c>
      <c r="H908">
        <v>0</v>
      </c>
      <c r="I908" s="14">
        <v>0.1988092937387933</v>
      </c>
      <c r="J908" s="9" t="str">
        <f t="shared" si="47"/>
        <v>Train</v>
      </c>
    </row>
    <row r="909" spans="1:10" x14ac:dyDescent="0.3">
      <c r="A909" s="3" t="s">
        <v>125</v>
      </c>
      <c r="B909" s="5" t="s">
        <v>18</v>
      </c>
      <c r="C909">
        <v>489</v>
      </c>
      <c r="D909">
        <v>5.5</v>
      </c>
      <c r="E909">
        <v>2</v>
      </c>
      <c r="F909">
        <v>1.5</v>
      </c>
      <c r="G909" s="7" t="s">
        <v>13</v>
      </c>
      <c r="H909">
        <v>0</v>
      </c>
      <c r="I909" s="14">
        <v>0.95753377675140539</v>
      </c>
      <c r="J909" s="9" t="str">
        <f t="shared" si="47"/>
        <v>Test</v>
      </c>
    </row>
    <row r="910" spans="1:10" x14ac:dyDescent="0.3">
      <c r="A910" s="3" t="s">
        <v>126</v>
      </c>
      <c r="B910" s="5" t="s">
        <v>12</v>
      </c>
      <c r="C910">
        <v>226</v>
      </c>
      <c r="D910">
        <v>5.9</v>
      </c>
      <c r="E910">
        <v>8.6</v>
      </c>
      <c r="F910">
        <v>1</v>
      </c>
      <c r="G910" s="7" t="s">
        <v>7</v>
      </c>
      <c r="H910">
        <v>0</v>
      </c>
      <c r="I910" s="14">
        <v>2.5060486483036271E-2</v>
      </c>
      <c r="J910" s="9" t="str">
        <f t="shared" si="47"/>
        <v>Train</v>
      </c>
    </row>
    <row r="911" spans="1:10" x14ac:dyDescent="0.3">
      <c r="A911" s="3" t="s">
        <v>127</v>
      </c>
      <c r="B911" s="5" t="s">
        <v>18</v>
      </c>
      <c r="C911">
        <v>254</v>
      </c>
      <c r="D911">
        <v>5.5</v>
      </c>
      <c r="E911">
        <v>3.2</v>
      </c>
      <c r="F911">
        <v>1.4</v>
      </c>
      <c r="G911" s="7" t="s">
        <v>13</v>
      </c>
      <c r="H911">
        <v>0</v>
      </c>
      <c r="I911" s="14">
        <v>4.6653142721778895E-2</v>
      </c>
      <c r="J911" s="9" t="str">
        <f t="shared" si="47"/>
        <v>Train</v>
      </c>
    </row>
    <row r="912" spans="1:10" x14ac:dyDescent="0.3">
      <c r="A912" s="3" t="s">
        <v>128</v>
      </c>
      <c r="B912" s="5" t="s">
        <v>18</v>
      </c>
      <c r="C912">
        <v>343</v>
      </c>
      <c r="D912">
        <v>4</v>
      </c>
      <c r="E912">
        <v>8.8000000000000007</v>
      </c>
      <c r="F912">
        <v>2.9</v>
      </c>
      <c r="G912" s="7" t="s">
        <v>7</v>
      </c>
      <c r="H912">
        <v>0</v>
      </c>
      <c r="I912" s="14">
        <v>0.63924254797674518</v>
      </c>
      <c r="J912" s="9" t="str">
        <f t="shared" si="47"/>
        <v>Train</v>
      </c>
    </row>
    <row r="913" spans="1:10" x14ac:dyDescent="0.3">
      <c r="A913" s="3" t="s">
        <v>129</v>
      </c>
      <c r="B913" s="5" t="s">
        <v>10</v>
      </c>
      <c r="C913">
        <v>119</v>
      </c>
      <c r="D913">
        <v>2.4</v>
      </c>
      <c r="E913">
        <v>7</v>
      </c>
      <c r="F913">
        <v>1.1000000000000001</v>
      </c>
      <c r="G913" s="7" t="s">
        <v>13</v>
      </c>
      <c r="H913">
        <v>0</v>
      </c>
      <c r="I913" s="14">
        <v>0.64804149441813008</v>
      </c>
      <c r="J913" s="9" t="str">
        <f t="shared" si="47"/>
        <v>Train</v>
      </c>
    </row>
    <row r="914" spans="1:10" x14ac:dyDescent="0.3">
      <c r="A914" s="3" t="s">
        <v>130</v>
      </c>
      <c r="B914" s="5" t="s">
        <v>8</v>
      </c>
      <c r="C914">
        <v>312</v>
      </c>
      <c r="D914">
        <v>4.4000000000000004</v>
      </c>
      <c r="E914">
        <v>8.6</v>
      </c>
      <c r="F914">
        <v>2</v>
      </c>
      <c r="G914" s="7" t="s">
        <v>7</v>
      </c>
      <c r="H914">
        <v>0</v>
      </c>
      <c r="I914" s="14">
        <v>0.5060351368111794</v>
      </c>
      <c r="J914" s="9" t="str">
        <f t="shared" si="47"/>
        <v>Train</v>
      </c>
    </row>
    <row r="915" spans="1:10" x14ac:dyDescent="0.3">
      <c r="A915" s="3" t="s">
        <v>131</v>
      </c>
      <c r="B915" s="5" t="s">
        <v>12</v>
      </c>
      <c r="C915">
        <v>192</v>
      </c>
      <c r="D915">
        <v>1.9</v>
      </c>
      <c r="E915">
        <v>9.9</v>
      </c>
      <c r="F915">
        <v>2.1</v>
      </c>
      <c r="G915" s="7" t="s">
        <v>11</v>
      </c>
      <c r="H915">
        <v>0</v>
      </c>
      <c r="I915" s="14">
        <v>0.61394930874942777</v>
      </c>
      <c r="J915" s="9" t="str">
        <f t="shared" si="47"/>
        <v>Train</v>
      </c>
    </row>
    <row r="916" spans="1:10" x14ac:dyDescent="0.3">
      <c r="A916" s="3" t="s">
        <v>132</v>
      </c>
      <c r="B916" s="5" t="s">
        <v>6</v>
      </c>
      <c r="C916">
        <v>354</v>
      </c>
      <c r="D916">
        <v>5.8</v>
      </c>
      <c r="E916">
        <v>3.6</v>
      </c>
      <c r="F916">
        <v>1.7</v>
      </c>
      <c r="G916" s="7" t="s">
        <v>11</v>
      </c>
      <c r="H916">
        <v>0</v>
      </c>
      <c r="I916" s="14">
        <v>8.9025892890345681E-2</v>
      </c>
      <c r="J916" s="9" t="str">
        <f t="shared" si="47"/>
        <v>Train</v>
      </c>
    </row>
    <row r="917" spans="1:10" x14ac:dyDescent="0.3">
      <c r="A917" s="3" t="s">
        <v>133</v>
      </c>
      <c r="B917" s="5" t="s">
        <v>6</v>
      </c>
      <c r="C917">
        <v>96</v>
      </c>
      <c r="D917">
        <v>6.2</v>
      </c>
      <c r="E917">
        <v>5.4</v>
      </c>
      <c r="F917">
        <v>0.7</v>
      </c>
      <c r="G917" s="7" t="s">
        <v>9</v>
      </c>
      <c r="H917">
        <v>0</v>
      </c>
      <c r="I917" s="14">
        <v>0.97194448196621885</v>
      </c>
      <c r="J917" s="9" t="str">
        <f t="shared" si="47"/>
        <v>Test</v>
      </c>
    </row>
    <row r="918" spans="1:10" x14ac:dyDescent="0.3">
      <c r="A918" s="3" t="s">
        <v>134</v>
      </c>
      <c r="B918" s="5" t="s">
        <v>18</v>
      </c>
      <c r="C918">
        <v>372</v>
      </c>
      <c r="D918">
        <v>2.4</v>
      </c>
      <c r="E918">
        <v>3.6</v>
      </c>
      <c r="F918">
        <v>1.4</v>
      </c>
      <c r="G918" s="7" t="s">
        <v>13</v>
      </c>
      <c r="H918">
        <v>0</v>
      </c>
      <c r="I918" s="14">
        <v>0.4540371600369163</v>
      </c>
      <c r="J918" s="9" t="str">
        <f t="shared" si="47"/>
        <v>Train</v>
      </c>
    </row>
    <row r="919" spans="1:10" x14ac:dyDescent="0.3">
      <c r="A919" s="3" t="s">
        <v>135</v>
      </c>
      <c r="B919" s="5" t="s">
        <v>18</v>
      </c>
      <c r="C919">
        <v>87</v>
      </c>
      <c r="D919">
        <v>2.7</v>
      </c>
      <c r="E919">
        <v>8.6</v>
      </c>
      <c r="F919">
        <v>1.5</v>
      </c>
      <c r="G919" s="7" t="s">
        <v>9</v>
      </c>
      <c r="H919">
        <v>0</v>
      </c>
      <c r="I919" s="14">
        <v>0.12732648511045175</v>
      </c>
      <c r="J919" s="9" t="str">
        <f t="shared" si="47"/>
        <v>Train</v>
      </c>
    </row>
    <row r="920" spans="1:10" x14ac:dyDescent="0.3">
      <c r="A920" s="3" t="s">
        <v>136</v>
      </c>
      <c r="B920" s="5" t="s">
        <v>18</v>
      </c>
      <c r="C920">
        <v>91</v>
      </c>
      <c r="D920">
        <v>3.8</v>
      </c>
      <c r="E920">
        <v>2</v>
      </c>
      <c r="F920">
        <v>2.9</v>
      </c>
      <c r="G920" s="7" t="s">
        <v>9</v>
      </c>
      <c r="H920">
        <v>0</v>
      </c>
      <c r="I920" s="14">
        <v>0.2902003626124835</v>
      </c>
      <c r="J920" s="9" t="str">
        <f t="shared" si="47"/>
        <v>Train</v>
      </c>
    </row>
    <row r="921" spans="1:10" x14ac:dyDescent="0.3">
      <c r="A921" s="3" t="s">
        <v>137</v>
      </c>
      <c r="B921" s="5" t="s">
        <v>18</v>
      </c>
      <c r="C921">
        <v>243</v>
      </c>
      <c r="D921">
        <v>2.4</v>
      </c>
      <c r="E921">
        <v>8.6</v>
      </c>
      <c r="F921">
        <v>1.1000000000000001</v>
      </c>
      <c r="G921" s="7" t="s">
        <v>7</v>
      </c>
      <c r="H921">
        <v>0</v>
      </c>
      <c r="I921" s="14">
        <v>0.34486419890309683</v>
      </c>
      <c r="J921" s="9" t="str">
        <f t="shared" si="47"/>
        <v>Train</v>
      </c>
    </row>
    <row r="922" spans="1:10" x14ac:dyDescent="0.3">
      <c r="A922" s="3" t="s">
        <v>138</v>
      </c>
      <c r="B922" s="5" t="s">
        <v>14</v>
      </c>
      <c r="C922">
        <v>429</v>
      </c>
      <c r="D922">
        <v>7.3</v>
      </c>
      <c r="E922">
        <v>4.5999999999999996</v>
      </c>
      <c r="F922">
        <v>2</v>
      </c>
      <c r="G922" s="7" t="s">
        <v>7</v>
      </c>
      <c r="H922">
        <v>0</v>
      </c>
      <c r="I922" s="14">
        <v>0.2532209692995312</v>
      </c>
      <c r="J922" s="9" t="str">
        <f t="shared" si="47"/>
        <v>Train</v>
      </c>
    </row>
    <row r="923" spans="1:10" x14ac:dyDescent="0.3">
      <c r="A923" s="3" t="s">
        <v>139</v>
      </c>
      <c r="B923" s="5" t="s">
        <v>8</v>
      </c>
      <c r="C923">
        <v>189</v>
      </c>
      <c r="D923">
        <v>5.5</v>
      </c>
      <c r="E923">
        <v>2.9</v>
      </c>
      <c r="F923">
        <v>1.2</v>
      </c>
      <c r="G923" s="7" t="s">
        <v>9</v>
      </c>
      <c r="H923">
        <v>0</v>
      </c>
      <c r="I923" s="14">
        <v>0.44132693486875507</v>
      </c>
      <c r="J923" s="9" t="str">
        <f t="shared" si="47"/>
        <v>Train</v>
      </c>
    </row>
    <row r="924" spans="1:10" x14ac:dyDescent="0.3">
      <c r="A924" s="3" t="s">
        <v>140</v>
      </c>
      <c r="B924" s="5" t="s">
        <v>10</v>
      </c>
      <c r="C924">
        <v>447</v>
      </c>
      <c r="D924">
        <v>2.1</v>
      </c>
      <c r="E924">
        <v>8.1</v>
      </c>
      <c r="F924">
        <v>0.8</v>
      </c>
      <c r="G924" s="7" t="s">
        <v>13</v>
      </c>
      <c r="H924">
        <v>0</v>
      </c>
      <c r="I924" s="14">
        <v>0.61369005539588528</v>
      </c>
      <c r="J924" s="9" t="str">
        <f t="shared" si="47"/>
        <v>Train</v>
      </c>
    </row>
    <row r="925" spans="1:10" x14ac:dyDescent="0.3">
      <c r="A925" s="3" t="s">
        <v>141</v>
      </c>
      <c r="B925" s="5" t="s">
        <v>10</v>
      </c>
      <c r="C925">
        <v>279</v>
      </c>
      <c r="D925">
        <v>3.9</v>
      </c>
      <c r="E925">
        <v>2.2000000000000002</v>
      </c>
      <c r="F925">
        <v>0.8</v>
      </c>
      <c r="G925" s="7" t="s">
        <v>11</v>
      </c>
      <c r="H925">
        <v>0</v>
      </c>
      <c r="I925" s="14">
        <v>0.40472849884409579</v>
      </c>
      <c r="J925" s="9" t="str">
        <f t="shared" si="47"/>
        <v>Train</v>
      </c>
    </row>
    <row r="926" spans="1:10" x14ac:dyDescent="0.3">
      <c r="A926" s="3" t="s">
        <v>142</v>
      </c>
      <c r="B926" s="5" t="s">
        <v>14</v>
      </c>
      <c r="C926">
        <v>437</v>
      </c>
      <c r="D926">
        <v>1.5</v>
      </c>
      <c r="E926">
        <v>9.1999999999999993</v>
      </c>
      <c r="F926">
        <v>1.3</v>
      </c>
      <c r="G926" s="7" t="s">
        <v>11</v>
      </c>
      <c r="H926">
        <v>0</v>
      </c>
      <c r="I926" s="14">
        <v>0.21984375689182667</v>
      </c>
      <c r="J926" s="9" t="str">
        <f t="shared" si="47"/>
        <v>Train</v>
      </c>
    </row>
    <row r="927" spans="1:10" x14ac:dyDescent="0.3">
      <c r="A927" s="3" t="s">
        <v>143</v>
      </c>
      <c r="B927" s="5" t="s">
        <v>10</v>
      </c>
      <c r="C927">
        <v>420</v>
      </c>
      <c r="D927">
        <v>4.2</v>
      </c>
      <c r="E927">
        <v>7.9</v>
      </c>
      <c r="F927">
        <v>2.6</v>
      </c>
      <c r="G927" s="7" t="s">
        <v>9</v>
      </c>
      <c r="H927">
        <v>0</v>
      </c>
      <c r="I927" s="14">
        <v>0.42082886267269626</v>
      </c>
      <c r="J927" s="9" t="str">
        <f t="shared" si="47"/>
        <v>Train</v>
      </c>
    </row>
    <row r="928" spans="1:10" x14ac:dyDescent="0.3">
      <c r="A928" s="3" t="s">
        <v>144</v>
      </c>
      <c r="B928" s="5" t="s">
        <v>12</v>
      </c>
      <c r="C928">
        <v>297</v>
      </c>
      <c r="D928">
        <v>3</v>
      </c>
      <c r="E928">
        <v>1.4</v>
      </c>
      <c r="F928">
        <v>0.8</v>
      </c>
      <c r="G928" s="7" t="s">
        <v>9</v>
      </c>
      <c r="H928">
        <v>0</v>
      </c>
      <c r="I928" s="14">
        <v>0.53191420113496468</v>
      </c>
      <c r="J928" s="9" t="str">
        <f t="shared" si="47"/>
        <v>Train</v>
      </c>
    </row>
    <row r="929" spans="1:10" x14ac:dyDescent="0.3">
      <c r="A929" s="3" t="s">
        <v>145</v>
      </c>
      <c r="B929" s="5" t="s">
        <v>14</v>
      </c>
      <c r="C929">
        <v>196</v>
      </c>
      <c r="D929">
        <v>7.1</v>
      </c>
      <c r="E929">
        <v>3.2</v>
      </c>
      <c r="F929">
        <v>2.1</v>
      </c>
      <c r="G929" s="7" t="s">
        <v>13</v>
      </c>
      <c r="H929">
        <v>0</v>
      </c>
      <c r="I929" s="14">
        <v>0.14855182656417854</v>
      </c>
      <c r="J929" s="9" t="str">
        <f t="shared" si="47"/>
        <v>Train</v>
      </c>
    </row>
    <row r="930" spans="1:10" x14ac:dyDescent="0.3">
      <c r="A930" s="3" t="s">
        <v>146</v>
      </c>
      <c r="B930" s="5" t="s">
        <v>12</v>
      </c>
      <c r="C930">
        <v>400</v>
      </c>
      <c r="D930">
        <v>4.3</v>
      </c>
      <c r="E930">
        <v>9</v>
      </c>
      <c r="F930">
        <v>1.2</v>
      </c>
      <c r="G930" s="7" t="s">
        <v>9</v>
      </c>
      <c r="H930">
        <v>0</v>
      </c>
      <c r="I930" s="14">
        <v>0.87895529652895055</v>
      </c>
      <c r="J930" s="9" t="str">
        <f t="shared" si="47"/>
        <v>Test</v>
      </c>
    </row>
    <row r="931" spans="1:10" x14ac:dyDescent="0.3">
      <c r="A931" s="3" t="s">
        <v>147</v>
      </c>
      <c r="B931" s="5" t="s">
        <v>18</v>
      </c>
      <c r="C931">
        <v>353</v>
      </c>
      <c r="D931">
        <v>3</v>
      </c>
      <c r="E931">
        <v>3.7</v>
      </c>
      <c r="F931">
        <v>2.5</v>
      </c>
      <c r="G931" s="7" t="s">
        <v>11</v>
      </c>
      <c r="H931">
        <v>0</v>
      </c>
      <c r="I931" s="14">
        <v>0.62438768622628038</v>
      </c>
      <c r="J931" s="9" t="str">
        <f t="shared" si="47"/>
        <v>Train</v>
      </c>
    </row>
    <row r="932" spans="1:10" x14ac:dyDescent="0.3">
      <c r="A932" s="3" t="s">
        <v>148</v>
      </c>
      <c r="B932" s="5" t="s">
        <v>12</v>
      </c>
      <c r="C932">
        <v>194</v>
      </c>
      <c r="D932">
        <v>2.4</v>
      </c>
      <c r="E932">
        <v>8.3000000000000007</v>
      </c>
      <c r="F932">
        <v>0.9</v>
      </c>
      <c r="G932" s="7" t="s">
        <v>11</v>
      </c>
      <c r="H932">
        <v>0</v>
      </c>
      <c r="I932" s="14">
        <v>0.6757105158845782</v>
      </c>
      <c r="J932" s="9" t="str">
        <f t="shared" si="47"/>
        <v>Train</v>
      </c>
    </row>
    <row r="933" spans="1:10" x14ac:dyDescent="0.3">
      <c r="A933" s="3" t="s">
        <v>149</v>
      </c>
      <c r="B933" s="5" t="s">
        <v>10</v>
      </c>
      <c r="C933">
        <v>86</v>
      </c>
      <c r="D933">
        <v>3.1</v>
      </c>
      <c r="E933">
        <v>4</v>
      </c>
      <c r="F933">
        <v>1.1000000000000001</v>
      </c>
      <c r="G933" s="7" t="s">
        <v>9</v>
      </c>
      <c r="H933">
        <v>0</v>
      </c>
      <c r="I933" s="14">
        <v>0.61838110078821118</v>
      </c>
      <c r="J933" s="9" t="str">
        <f t="shared" si="47"/>
        <v>Train</v>
      </c>
    </row>
    <row r="934" spans="1:10" x14ac:dyDescent="0.3">
      <c r="A934" s="3" t="s">
        <v>150</v>
      </c>
      <c r="B934" s="5" t="s">
        <v>14</v>
      </c>
      <c r="C934">
        <v>165</v>
      </c>
      <c r="D934">
        <v>2.1</v>
      </c>
      <c r="E934">
        <v>4.8</v>
      </c>
      <c r="F934">
        <v>1.7</v>
      </c>
      <c r="G934" s="7" t="s">
        <v>7</v>
      </c>
      <c r="H934">
        <v>0</v>
      </c>
      <c r="I934" s="14">
        <v>6.3083255913598424E-2</v>
      </c>
      <c r="J934" s="9" t="str">
        <f t="shared" si="47"/>
        <v>Train</v>
      </c>
    </row>
    <row r="935" spans="1:10" x14ac:dyDescent="0.3">
      <c r="A935" s="3" t="s">
        <v>151</v>
      </c>
      <c r="B935" s="5" t="s">
        <v>12</v>
      </c>
      <c r="C935">
        <v>452</v>
      </c>
      <c r="D935">
        <v>3.6</v>
      </c>
      <c r="E935">
        <v>3.2</v>
      </c>
      <c r="F935">
        <v>1.5</v>
      </c>
      <c r="G935" s="7" t="s">
        <v>13</v>
      </c>
      <c r="H935">
        <v>0</v>
      </c>
      <c r="I935" s="14">
        <v>0.17283551839401379</v>
      </c>
      <c r="J935" s="9" t="str">
        <f t="shared" si="47"/>
        <v>Train</v>
      </c>
    </row>
    <row r="936" spans="1:10" x14ac:dyDescent="0.3">
      <c r="A936" s="3" t="s">
        <v>152</v>
      </c>
      <c r="B936" s="5" t="s">
        <v>18</v>
      </c>
      <c r="C936">
        <v>390</v>
      </c>
      <c r="D936">
        <v>3.4</v>
      </c>
      <c r="E936">
        <v>1.4</v>
      </c>
      <c r="F936">
        <v>2.2999999999999998</v>
      </c>
      <c r="G936" s="7" t="s">
        <v>7</v>
      </c>
      <c r="H936">
        <v>0</v>
      </c>
      <c r="I936" s="14">
        <v>0.52186854360848778</v>
      </c>
      <c r="J936" s="9" t="str">
        <f t="shared" si="47"/>
        <v>Train</v>
      </c>
    </row>
    <row r="937" spans="1:10" x14ac:dyDescent="0.3">
      <c r="A937" s="3" t="s">
        <v>153</v>
      </c>
      <c r="B937" s="5" t="s">
        <v>18</v>
      </c>
      <c r="C937">
        <v>254</v>
      </c>
      <c r="D937">
        <v>3.2</v>
      </c>
      <c r="E937">
        <v>5.8</v>
      </c>
      <c r="F937">
        <v>2.7</v>
      </c>
      <c r="G937" s="7" t="s">
        <v>13</v>
      </c>
      <c r="H937">
        <v>0</v>
      </c>
      <c r="I937" s="14">
        <v>0.16261879600735851</v>
      </c>
      <c r="J937" s="9" t="str">
        <f t="shared" si="47"/>
        <v>Train</v>
      </c>
    </row>
    <row r="938" spans="1:10" x14ac:dyDescent="0.3">
      <c r="A938" s="3" t="s">
        <v>154</v>
      </c>
      <c r="B938" s="5" t="s">
        <v>12</v>
      </c>
      <c r="C938">
        <v>100</v>
      </c>
      <c r="D938">
        <v>7.4</v>
      </c>
      <c r="E938">
        <v>0.8</v>
      </c>
      <c r="F938">
        <v>1.7</v>
      </c>
      <c r="G938" s="7" t="s">
        <v>13</v>
      </c>
      <c r="H938">
        <v>0</v>
      </c>
      <c r="I938" s="14">
        <v>0.87241394919943704</v>
      </c>
      <c r="J938" s="9" t="str">
        <f t="shared" si="47"/>
        <v>Test</v>
      </c>
    </row>
    <row r="939" spans="1:10" x14ac:dyDescent="0.3">
      <c r="A939" s="3" t="s">
        <v>155</v>
      </c>
      <c r="B939" s="5" t="s">
        <v>18</v>
      </c>
      <c r="C939">
        <v>353</v>
      </c>
      <c r="D939">
        <v>6</v>
      </c>
      <c r="E939">
        <v>1.9</v>
      </c>
      <c r="F939">
        <v>1.9</v>
      </c>
      <c r="G939" s="7" t="s">
        <v>9</v>
      </c>
      <c r="H939">
        <v>0</v>
      </c>
      <c r="I939" s="14">
        <v>0.70349727960157238</v>
      </c>
      <c r="J939" s="9" t="str">
        <f t="shared" si="47"/>
        <v>Test</v>
      </c>
    </row>
    <row r="940" spans="1:10" x14ac:dyDescent="0.3">
      <c r="A940" s="3" t="s">
        <v>156</v>
      </c>
      <c r="B940" s="5" t="s">
        <v>10</v>
      </c>
      <c r="C940">
        <v>141</v>
      </c>
      <c r="D940">
        <v>5.7</v>
      </c>
      <c r="E940">
        <v>3.3</v>
      </c>
      <c r="F940">
        <v>2.4</v>
      </c>
      <c r="G940" s="7" t="s">
        <v>7</v>
      </c>
      <c r="H940">
        <v>0</v>
      </c>
      <c r="I940" s="14">
        <v>0.11001840507305183</v>
      </c>
      <c r="J940" s="9" t="str">
        <f t="shared" si="47"/>
        <v>Train</v>
      </c>
    </row>
    <row r="941" spans="1:10" x14ac:dyDescent="0.3">
      <c r="A941" s="3" t="s">
        <v>157</v>
      </c>
      <c r="B941" s="5" t="s">
        <v>18</v>
      </c>
      <c r="C941">
        <v>394</v>
      </c>
      <c r="D941">
        <v>2.2000000000000002</v>
      </c>
      <c r="E941">
        <v>6.2</v>
      </c>
      <c r="F941">
        <v>1</v>
      </c>
      <c r="G941" s="7" t="s">
        <v>13</v>
      </c>
      <c r="H941">
        <v>0</v>
      </c>
      <c r="I941" s="14">
        <v>0.44471601350648648</v>
      </c>
      <c r="J941" s="9" t="str">
        <f t="shared" si="47"/>
        <v>Train</v>
      </c>
    </row>
    <row r="942" spans="1:10" x14ac:dyDescent="0.3">
      <c r="A942" s="3" t="s">
        <v>158</v>
      </c>
      <c r="B942" s="5" t="s">
        <v>6</v>
      </c>
      <c r="C942">
        <v>183</v>
      </c>
      <c r="D942">
        <v>0.6</v>
      </c>
      <c r="E942">
        <v>5.0999999999999996</v>
      </c>
      <c r="F942">
        <v>2.5</v>
      </c>
      <c r="G942" s="7" t="s">
        <v>7</v>
      </c>
      <c r="H942">
        <v>0</v>
      </c>
      <c r="I942" s="14">
        <v>0.97326027550406347</v>
      </c>
      <c r="J942" s="9" t="str">
        <f t="shared" si="47"/>
        <v>Test</v>
      </c>
    </row>
    <row r="943" spans="1:10" x14ac:dyDescent="0.3">
      <c r="A943" s="3" t="s">
        <v>159</v>
      </c>
      <c r="B943" s="5" t="s">
        <v>12</v>
      </c>
      <c r="C943">
        <v>253</v>
      </c>
      <c r="D943">
        <v>1.9</v>
      </c>
      <c r="E943">
        <v>9.9</v>
      </c>
      <c r="F943">
        <v>0.7</v>
      </c>
      <c r="G943" s="7" t="s">
        <v>11</v>
      </c>
      <c r="H943">
        <v>0</v>
      </c>
      <c r="I943" s="14">
        <v>0.31667303328224738</v>
      </c>
      <c r="J943" s="9" t="str">
        <f t="shared" si="47"/>
        <v>Train</v>
      </c>
    </row>
    <row r="944" spans="1:10" x14ac:dyDescent="0.3">
      <c r="A944" s="3" t="s">
        <v>160</v>
      </c>
      <c r="B944" s="5" t="s">
        <v>8</v>
      </c>
      <c r="C944">
        <v>472</v>
      </c>
      <c r="D944">
        <v>6.2</v>
      </c>
      <c r="E944">
        <v>4</v>
      </c>
      <c r="F944">
        <v>0.8</v>
      </c>
      <c r="G944" s="7" t="s">
        <v>9</v>
      </c>
      <c r="H944">
        <v>0</v>
      </c>
      <c r="I944" s="14">
        <v>0.20972165093811057</v>
      </c>
      <c r="J944" s="9" t="str">
        <f t="shared" si="47"/>
        <v>Train</v>
      </c>
    </row>
    <row r="945" spans="1:10" x14ac:dyDescent="0.3">
      <c r="A945" s="3" t="s">
        <v>161</v>
      </c>
      <c r="B945" s="5" t="s">
        <v>10</v>
      </c>
      <c r="C945">
        <v>101</v>
      </c>
      <c r="D945">
        <v>7.5</v>
      </c>
      <c r="E945">
        <v>2.7</v>
      </c>
      <c r="F945">
        <v>0.9</v>
      </c>
      <c r="G945" s="7" t="s">
        <v>9</v>
      </c>
      <c r="H945">
        <v>0</v>
      </c>
      <c r="I945" s="14">
        <v>0.1316779133524032</v>
      </c>
      <c r="J945" s="9" t="str">
        <f t="shared" si="47"/>
        <v>Train</v>
      </c>
    </row>
    <row r="946" spans="1:10" x14ac:dyDescent="0.3">
      <c r="A946" s="3" t="s">
        <v>162</v>
      </c>
      <c r="B946" s="5" t="s">
        <v>14</v>
      </c>
      <c r="C946">
        <v>490</v>
      </c>
      <c r="D946">
        <v>4.3</v>
      </c>
      <c r="E946">
        <v>6.8</v>
      </c>
      <c r="F946">
        <v>2.6</v>
      </c>
      <c r="G946" s="7" t="s">
        <v>9</v>
      </c>
      <c r="H946">
        <v>0</v>
      </c>
      <c r="I946" s="14">
        <v>0.45871774094354645</v>
      </c>
      <c r="J946" s="9" t="str">
        <f t="shared" si="47"/>
        <v>Train</v>
      </c>
    </row>
    <row r="947" spans="1:10" x14ac:dyDescent="0.3">
      <c r="A947" s="3" t="s">
        <v>163</v>
      </c>
      <c r="B947" s="5" t="s">
        <v>18</v>
      </c>
      <c r="C947">
        <v>93</v>
      </c>
      <c r="D947">
        <v>5.9</v>
      </c>
      <c r="E947">
        <v>7.2</v>
      </c>
      <c r="F947">
        <v>1.4</v>
      </c>
      <c r="G947" s="7" t="s">
        <v>13</v>
      </c>
      <c r="H947">
        <v>0</v>
      </c>
      <c r="I947" s="14">
        <v>0.49880245147598423</v>
      </c>
      <c r="J947" s="9" t="str">
        <f t="shared" si="47"/>
        <v>Train</v>
      </c>
    </row>
    <row r="948" spans="1:10" x14ac:dyDescent="0.3">
      <c r="A948" s="3" t="s">
        <v>164</v>
      </c>
      <c r="B948" s="5" t="s">
        <v>6</v>
      </c>
      <c r="C948">
        <v>276</v>
      </c>
      <c r="D948">
        <v>6.6</v>
      </c>
      <c r="E948">
        <v>10</v>
      </c>
      <c r="F948">
        <v>1.6</v>
      </c>
      <c r="G948" s="7" t="s">
        <v>7</v>
      </c>
      <c r="H948">
        <v>0</v>
      </c>
      <c r="I948" s="14">
        <v>0.9850228027677681</v>
      </c>
      <c r="J948" s="9" t="str">
        <f t="shared" si="47"/>
        <v>Test</v>
      </c>
    </row>
    <row r="949" spans="1:10" x14ac:dyDescent="0.3">
      <c r="A949" s="3" t="s">
        <v>165</v>
      </c>
      <c r="B949" s="5" t="s">
        <v>10</v>
      </c>
      <c r="C949">
        <v>159</v>
      </c>
      <c r="D949">
        <v>3.6</v>
      </c>
      <c r="E949">
        <v>9.3000000000000007</v>
      </c>
      <c r="F949">
        <v>2.2999999999999998</v>
      </c>
      <c r="G949" s="7" t="s">
        <v>7</v>
      </c>
      <c r="H949">
        <v>0</v>
      </c>
      <c r="I949" s="14">
        <v>0.87501788971019823</v>
      </c>
      <c r="J949" s="9" t="str">
        <f t="shared" si="47"/>
        <v>Test</v>
      </c>
    </row>
    <row r="950" spans="1:10" x14ac:dyDescent="0.3">
      <c r="A950" s="3" t="s">
        <v>166</v>
      </c>
      <c r="B950" s="5" t="s">
        <v>10</v>
      </c>
      <c r="C950">
        <v>430</v>
      </c>
      <c r="D950">
        <v>1.9</v>
      </c>
      <c r="E950">
        <v>5.5</v>
      </c>
      <c r="F950">
        <v>1</v>
      </c>
      <c r="G950" s="7" t="s">
        <v>13</v>
      </c>
      <c r="H950">
        <v>0</v>
      </c>
      <c r="I950" s="14">
        <v>0.22920310948609601</v>
      </c>
      <c r="J950" s="9" t="str">
        <f t="shared" si="47"/>
        <v>Train</v>
      </c>
    </row>
    <row r="951" spans="1:10" x14ac:dyDescent="0.3">
      <c r="A951" s="3" t="s">
        <v>167</v>
      </c>
      <c r="B951" s="5" t="s">
        <v>6</v>
      </c>
      <c r="C951">
        <v>186</v>
      </c>
      <c r="D951">
        <v>7.7</v>
      </c>
      <c r="E951">
        <v>1.5</v>
      </c>
      <c r="F951">
        <v>2.8</v>
      </c>
      <c r="G951" s="7" t="s">
        <v>13</v>
      </c>
      <c r="H951">
        <v>0</v>
      </c>
      <c r="I951" s="14">
        <v>0.98758284279635211</v>
      </c>
      <c r="J951" s="9" t="str">
        <f t="shared" si="47"/>
        <v>Test</v>
      </c>
    </row>
    <row r="952" spans="1:10" x14ac:dyDescent="0.3">
      <c r="A952" s="3" t="s">
        <v>168</v>
      </c>
      <c r="B952" s="5" t="s">
        <v>10</v>
      </c>
      <c r="C952">
        <v>88</v>
      </c>
      <c r="D952">
        <v>5.9</v>
      </c>
      <c r="E952">
        <v>9.8000000000000007</v>
      </c>
      <c r="F952">
        <v>2.8</v>
      </c>
      <c r="G952" s="7" t="s">
        <v>11</v>
      </c>
      <c r="H952">
        <v>0</v>
      </c>
      <c r="I952" s="14">
        <v>0.11416741918053108</v>
      </c>
      <c r="J952" s="9" t="str">
        <f t="shared" si="47"/>
        <v>Train</v>
      </c>
    </row>
    <row r="953" spans="1:10" x14ac:dyDescent="0.3">
      <c r="A953" s="3" t="s">
        <v>169</v>
      </c>
      <c r="B953" s="5" t="s">
        <v>6</v>
      </c>
      <c r="C953">
        <v>488</v>
      </c>
      <c r="D953">
        <v>6.8</v>
      </c>
      <c r="E953">
        <v>6.6</v>
      </c>
      <c r="F953">
        <v>2.2000000000000002</v>
      </c>
      <c r="G953" s="7" t="s">
        <v>9</v>
      </c>
      <c r="H953">
        <v>0</v>
      </c>
      <c r="I953" s="14">
        <v>0.24666538116005565</v>
      </c>
      <c r="J953" s="9" t="str">
        <f t="shared" si="47"/>
        <v>Train</v>
      </c>
    </row>
    <row r="954" spans="1:10" x14ac:dyDescent="0.3">
      <c r="A954" s="3" t="s">
        <v>170</v>
      </c>
      <c r="B954" s="5" t="s">
        <v>8</v>
      </c>
      <c r="C954">
        <v>146</v>
      </c>
      <c r="D954">
        <v>2.5</v>
      </c>
      <c r="E954">
        <v>6.7</v>
      </c>
      <c r="F954">
        <v>0.9</v>
      </c>
      <c r="G954" s="7" t="s">
        <v>9</v>
      </c>
      <c r="H954">
        <v>0</v>
      </c>
      <c r="I954" s="14">
        <v>3.1572440903633536E-2</v>
      </c>
      <c r="J954" s="9" t="str">
        <f t="shared" si="47"/>
        <v>Train</v>
      </c>
    </row>
    <row r="955" spans="1:10" x14ac:dyDescent="0.3">
      <c r="A955" s="3" t="s">
        <v>171</v>
      </c>
      <c r="B955" s="5" t="s">
        <v>18</v>
      </c>
      <c r="C955">
        <v>408</v>
      </c>
      <c r="D955">
        <v>4.7</v>
      </c>
      <c r="E955">
        <v>5.6</v>
      </c>
      <c r="F955">
        <v>1.1000000000000001</v>
      </c>
      <c r="G955" s="7" t="s">
        <v>7</v>
      </c>
      <c r="H955">
        <v>0</v>
      </c>
      <c r="I955" s="14">
        <v>0.3746000878455279</v>
      </c>
      <c r="J955" s="9" t="str">
        <f t="shared" si="47"/>
        <v>Train</v>
      </c>
    </row>
    <row r="956" spans="1:10" x14ac:dyDescent="0.3">
      <c r="A956" s="3" t="s">
        <v>172</v>
      </c>
      <c r="B956" s="5" t="s">
        <v>10</v>
      </c>
      <c r="C956">
        <v>361</v>
      </c>
      <c r="D956">
        <v>3.2</v>
      </c>
      <c r="E956">
        <v>9.6</v>
      </c>
      <c r="F956">
        <v>2</v>
      </c>
      <c r="G956" s="7" t="s">
        <v>9</v>
      </c>
      <c r="H956">
        <v>0</v>
      </c>
      <c r="I956" s="14">
        <v>0.64266024969490876</v>
      </c>
      <c r="J956" s="9" t="str">
        <f t="shared" si="47"/>
        <v>Train</v>
      </c>
    </row>
    <row r="957" spans="1:10" x14ac:dyDescent="0.3">
      <c r="A957" s="3" t="s">
        <v>173</v>
      </c>
      <c r="B957" s="5" t="s">
        <v>10</v>
      </c>
      <c r="C957">
        <v>450</v>
      </c>
      <c r="D957">
        <v>5.9</v>
      </c>
      <c r="E957">
        <v>5</v>
      </c>
      <c r="F957">
        <v>1.2</v>
      </c>
      <c r="G957" s="7" t="s">
        <v>13</v>
      </c>
      <c r="H957">
        <v>0</v>
      </c>
      <c r="I957" s="14">
        <v>0.76531079510049904</v>
      </c>
      <c r="J957" s="9" t="str">
        <f t="shared" si="47"/>
        <v>Test</v>
      </c>
    </row>
    <row r="958" spans="1:10" x14ac:dyDescent="0.3">
      <c r="A958" s="3" t="s">
        <v>174</v>
      </c>
      <c r="B958" s="5" t="s">
        <v>18</v>
      </c>
      <c r="C958">
        <v>83</v>
      </c>
      <c r="D958">
        <v>5.7</v>
      </c>
      <c r="E958">
        <v>7.7</v>
      </c>
      <c r="F958">
        <v>1.2</v>
      </c>
      <c r="G958" s="7" t="s">
        <v>9</v>
      </c>
      <c r="H958">
        <v>0</v>
      </c>
      <c r="I958" s="14">
        <v>0.50093298856198742</v>
      </c>
      <c r="J958" s="9" t="str">
        <f t="shared" si="47"/>
        <v>Train</v>
      </c>
    </row>
    <row r="959" spans="1:10" x14ac:dyDescent="0.3">
      <c r="A959" s="3" t="s">
        <v>175</v>
      </c>
      <c r="B959" s="5" t="s">
        <v>14</v>
      </c>
      <c r="C959">
        <v>208</v>
      </c>
      <c r="D959">
        <v>2.1</v>
      </c>
      <c r="E959">
        <v>2</v>
      </c>
      <c r="F959">
        <v>1.3</v>
      </c>
      <c r="G959" s="7" t="s">
        <v>9</v>
      </c>
      <c r="H959">
        <v>0</v>
      </c>
      <c r="I959" s="14">
        <v>8.1317407591203317E-2</v>
      </c>
      <c r="J959" s="9" t="str">
        <f t="shared" si="47"/>
        <v>Train</v>
      </c>
    </row>
    <row r="960" spans="1:10" x14ac:dyDescent="0.3">
      <c r="A960" s="3" t="s">
        <v>176</v>
      </c>
      <c r="B960" s="5" t="s">
        <v>12</v>
      </c>
      <c r="C960">
        <v>160</v>
      </c>
      <c r="D960">
        <v>2.4</v>
      </c>
      <c r="E960">
        <v>1.7</v>
      </c>
      <c r="F960">
        <v>1.2</v>
      </c>
      <c r="G960" s="7" t="s">
        <v>9</v>
      </c>
      <c r="H960">
        <v>0</v>
      </c>
      <c r="I960" s="14">
        <v>0.89009406017963322</v>
      </c>
      <c r="J960" s="9" t="str">
        <f t="shared" si="47"/>
        <v>Test</v>
      </c>
    </row>
    <row r="961" spans="1:10" x14ac:dyDescent="0.3">
      <c r="A961" s="3" t="s">
        <v>177</v>
      </c>
      <c r="B961" s="5" t="s">
        <v>6</v>
      </c>
      <c r="C961">
        <v>485</v>
      </c>
      <c r="D961">
        <v>4.5</v>
      </c>
      <c r="E961">
        <v>4.9000000000000004</v>
      </c>
      <c r="F961">
        <v>2.5</v>
      </c>
      <c r="G961" s="7" t="s">
        <v>9</v>
      </c>
      <c r="H961">
        <v>0</v>
      </c>
      <c r="I961" s="14">
        <v>0.49839455844144076</v>
      </c>
      <c r="J961" s="9" t="str">
        <f t="shared" si="47"/>
        <v>Train</v>
      </c>
    </row>
    <row r="962" spans="1:10" x14ac:dyDescent="0.3">
      <c r="A962" s="3" t="s">
        <v>178</v>
      </c>
      <c r="B962" s="5" t="s">
        <v>14</v>
      </c>
      <c r="C962">
        <v>79</v>
      </c>
      <c r="D962">
        <v>1</v>
      </c>
      <c r="E962">
        <v>6.5</v>
      </c>
      <c r="F962">
        <v>1.7</v>
      </c>
      <c r="G962" s="7" t="s">
        <v>13</v>
      </c>
      <c r="H962">
        <v>0</v>
      </c>
      <c r="I962" s="14">
        <v>4.7062830993902294E-2</v>
      </c>
      <c r="J962" s="9" t="str">
        <f t="shared" si="47"/>
        <v>Train</v>
      </c>
    </row>
    <row r="963" spans="1:10" x14ac:dyDescent="0.3">
      <c r="A963" s="3" t="s">
        <v>179</v>
      </c>
      <c r="B963" s="5" t="s">
        <v>12</v>
      </c>
      <c r="C963">
        <v>80</v>
      </c>
      <c r="D963">
        <v>3</v>
      </c>
      <c r="E963">
        <v>1.6</v>
      </c>
      <c r="F963">
        <v>1.8</v>
      </c>
      <c r="G963" s="7" t="s">
        <v>11</v>
      </c>
      <c r="H963">
        <v>0</v>
      </c>
      <c r="I963" s="14">
        <v>0.45703827233561345</v>
      </c>
      <c r="J963" s="9" t="str">
        <f t="shared" ref="J963:J1001" si="48">IF(I963&lt;=0.7,"Train","Test")</f>
        <v>Train</v>
      </c>
    </row>
    <row r="964" spans="1:10" x14ac:dyDescent="0.3">
      <c r="A964" s="3" t="s">
        <v>180</v>
      </c>
      <c r="B964" s="5" t="s">
        <v>6</v>
      </c>
      <c r="C964">
        <v>448</v>
      </c>
      <c r="D964">
        <v>5.4</v>
      </c>
      <c r="E964">
        <v>0.6</v>
      </c>
      <c r="F964">
        <v>2.9</v>
      </c>
      <c r="G964" s="7" t="s">
        <v>11</v>
      </c>
      <c r="H964">
        <v>0</v>
      </c>
      <c r="I964" s="14">
        <v>0.95245405334270383</v>
      </c>
      <c r="J964" s="9" t="str">
        <f t="shared" si="48"/>
        <v>Test</v>
      </c>
    </row>
    <row r="965" spans="1:10" x14ac:dyDescent="0.3">
      <c r="A965" s="3" t="s">
        <v>181</v>
      </c>
      <c r="B965" s="5" t="s">
        <v>18</v>
      </c>
      <c r="C965">
        <v>336</v>
      </c>
      <c r="D965">
        <v>3.9</v>
      </c>
      <c r="E965">
        <v>4.7</v>
      </c>
      <c r="F965">
        <v>0.5</v>
      </c>
      <c r="G965" s="7" t="s">
        <v>7</v>
      </c>
      <c r="H965">
        <v>0</v>
      </c>
      <c r="I965" s="14">
        <v>0.23782564355122648</v>
      </c>
      <c r="J965" s="9" t="str">
        <f t="shared" si="48"/>
        <v>Train</v>
      </c>
    </row>
    <row r="966" spans="1:10" x14ac:dyDescent="0.3">
      <c r="A966" s="3" t="s">
        <v>182</v>
      </c>
      <c r="B966" s="5" t="s">
        <v>14</v>
      </c>
      <c r="C966">
        <v>356</v>
      </c>
      <c r="D966">
        <v>6.8</v>
      </c>
      <c r="E966">
        <v>0.6</v>
      </c>
      <c r="F966">
        <v>1.7</v>
      </c>
      <c r="G966" s="7" t="s">
        <v>13</v>
      </c>
      <c r="H966">
        <v>0</v>
      </c>
      <c r="I966" s="14">
        <v>0.26816691240389101</v>
      </c>
      <c r="J966" s="9" t="str">
        <f t="shared" si="48"/>
        <v>Train</v>
      </c>
    </row>
    <row r="967" spans="1:10" x14ac:dyDescent="0.3">
      <c r="A967" s="3" t="s">
        <v>183</v>
      </c>
      <c r="B967" s="5" t="s">
        <v>12</v>
      </c>
      <c r="C967">
        <v>389</v>
      </c>
      <c r="D967">
        <v>4.8</v>
      </c>
      <c r="E967">
        <v>6.7</v>
      </c>
      <c r="F967">
        <v>2.6</v>
      </c>
      <c r="G967" s="7" t="s">
        <v>13</v>
      </c>
      <c r="H967">
        <v>0</v>
      </c>
      <c r="I967" s="14">
        <v>0.90716681849645875</v>
      </c>
      <c r="J967" s="9" t="str">
        <f t="shared" si="48"/>
        <v>Test</v>
      </c>
    </row>
    <row r="968" spans="1:10" x14ac:dyDescent="0.3">
      <c r="A968" s="3" t="s">
        <v>184</v>
      </c>
      <c r="B968" s="5" t="s">
        <v>6</v>
      </c>
      <c r="C968">
        <v>386</v>
      </c>
      <c r="D968">
        <v>0.9</v>
      </c>
      <c r="E968">
        <v>1.5</v>
      </c>
      <c r="F968">
        <v>2.8</v>
      </c>
      <c r="G968" s="7" t="s">
        <v>9</v>
      </c>
      <c r="H968">
        <v>0</v>
      </c>
      <c r="I968" s="14">
        <v>0.20523644206526181</v>
      </c>
      <c r="J968" s="9" t="str">
        <f t="shared" si="48"/>
        <v>Train</v>
      </c>
    </row>
    <row r="969" spans="1:10" x14ac:dyDescent="0.3">
      <c r="A969" s="3" t="s">
        <v>185</v>
      </c>
      <c r="B969" s="5" t="s">
        <v>6</v>
      </c>
      <c r="C969">
        <v>303</v>
      </c>
      <c r="D969">
        <v>5.6</v>
      </c>
      <c r="E969">
        <v>6.4</v>
      </c>
      <c r="F969">
        <v>1.9</v>
      </c>
      <c r="G969" s="7" t="s">
        <v>11</v>
      </c>
      <c r="H969">
        <v>0</v>
      </c>
      <c r="I969" s="14">
        <v>0.70041308217111575</v>
      </c>
      <c r="J969" s="9" t="str">
        <f t="shared" si="48"/>
        <v>Test</v>
      </c>
    </row>
    <row r="970" spans="1:10" x14ac:dyDescent="0.3">
      <c r="A970" s="3" t="s">
        <v>186</v>
      </c>
      <c r="B970" s="5" t="s">
        <v>8</v>
      </c>
      <c r="C970">
        <v>142</v>
      </c>
      <c r="D970">
        <v>2.5</v>
      </c>
      <c r="E970">
        <v>3.3</v>
      </c>
      <c r="F970">
        <v>1.6</v>
      </c>
      <c r="G970" s="7" t="s">
        <v>7</v>
      </c>
      <c r="H970">
        <v>0</v>
      </c>
      <c r="I970" s="14">
        <v>0.93508823326905099</v>
      </c>
      <c r="J970" s="9" t="str">
        <f t="shared" si="48"/>
        <v>Test</v>
      </c>
    </row>
    <row r="971" spans="1:10" x14ac:dyDescent="0.3">
      <c r="A971" s="3" t="s">
        <v>187</v>
      </c>
      <c r="B971" s="5" t="s">
        <v>8</v>
      </c>
      <c r="C971">
        <v>335</v>
      </c>
      <c r="D971">
        <v>4.5</v>
      </c>
      <c r="E971">
        <v>5.9</v>
      </c>
      <c r="F971">
        <v>1.6</v>
      </c>
      <c r="G971" s="7" t="s">
        <v>13</v>
      </c>
      <c r="H971">
        <v>0</v>
      </c>
      <c r="I971" s="14">
        <v>5.3507368537743405E-2</v>
      </c>
      <c r="J971" s="9" t="str">
        <f t="shared" si="48"/>
        <v>Train</v>
      </c>
    </row>
    <row r="972" spans="1:10" x14ac:dyDescent="0.3">
      <c r="A972" s="3" t="s">
        <v>188</v>
      </c>
      <c r="B972" s="5" t="s">
        <v>8</v>
      </c>
      <c r="C972">
        <v>261</v>
      </c>
      <c r="D972">
        <v>0.9</v>
      </c>
      <c r="E972">
        <v>4.9000000000000004</v>
      </c>
      <c r="F972">
        <v>2</v>
      </c>
      <c r="G972" s="7" t="s">
        <v>7</v>
      </c>
      <c r="H972">
        <v>0</v>
      </c>
      <c r="I972" s="14">
        <v>0.95153072100589431</v>
      </c>
      <c r="J972" s="9" t="str">
        <f t="shared" si="48"/>
        <v>Test</v>
      </c>
    </row>
    <row r="973" spans="1:10" x14ac:dyDescent="0.3">
      <c r="A973" s="3" t="s">
        <v>189</v>
      </c>
      <c r="B973" s="5" t="s">
        <v>12</v>
      </c>
      <c r="C973">
        <v>318</v>
      </c>
      <c r="D973">
        <v>1.6</v>
      </c>
      <c r="E973">
        <v>4.5</v>
      </c>
      <c r="F973">
        <v>1.5</v>
      </c>
      <c r="G973" s="7" t="s">
        <v>13</v>
      </c>
      <c r="H973">
        <v>0</v>
      </c>
      <c r="I973" s="14">
        <v>4.3083147472285588E-2</v>
      </c>
      <c r="J973" s="9" t="str">
        <f t="shared" si="48"/>
        <v>Train</v>
      </c>
    </row>
    <row r="974" spans="1:10" x14ac:dyDescent="0.3">
      <c r="A974" s="3" t="s">
        <v>190</v>
      </c>
      <c r="B974" s="5" t="s">
        <v>6</v>
      </c>
      <c r="C974">
        <v>191</v>
      </c>
      <c r="D974">
        <v>1.3</v>
      </c>
      <c r="E974">
        <v>5.9</v>
      </c>
      <c r="F974">
        <v>1.8</v>
      </c>
      <c r="G974" s="7" t="s">
        <v>11</v>
      </c>
      <c r="H974">
        <v>0</v>
      </c>
      <c r="I974" s="14">
        <v>0.51909239662406537</v>
      </c>
      <c r="J974" s="9" t="str">
        <f t="shared" si="48"/>
        <v>Train</v>
      </c>
    </row>
    <row r="975" spans="1:10" x14ac:dyDescent="0.3">
      <c r="A975" s="3" t="s">
        <v>191</v>
      </c>
      <c r="B975" s="5" t="s">
        <v>14</v>
      </c>
      <c r="C975">
        <v>158</v>
      </c>
      <c r="D975">
        <v>2.4</v>
      </c>
      <c r="E975">
        <v>3.9</v>
      </c>
      <c r="F975">
        <v>1.6</v>
      </c>
      <c r="G975" s="7" t="s">
        <v>7</v>
      </c>
      <c r="H975">
        <v>0</v>
      </c>
      <c r="I975" s="14">
        <v>0.84589035883575792</v>
      </c>
      <c r="J975" s="9" t="str">
        <f t="shared" si="48"/>
        <v>Test</v>
      </c>
    </row>
    <row r="976" spans="1:10" x14ac:dyDescent="0.3">
      <c r="A976" s="3" t="s">
        <v>192</v>
      </c>
      <c r="B976" s="5" t="s">
        <v>14</v>
      </c>
      <c r="C976">
        <v>457</v>
      </c>
      <c r="D976">
        <v>4.2</v>
      </c>
      <c r="E976">
        <v>4.7</v>
      </c>
      <c r="F976">
        <v>0.7</v>
      </c>
      <c r="G976" s="7" t="s">
        <v>11</v>
      </c>
      <c r="H976">
        <v>0</v>
      </c>
      <c r="I976" s="14">
        <v>0.94783670578617274</v>
      </c>
      <c r="J976" s="9" t="str">
        <f t="shared" si="48"/>
        <v>Test</v>
      </c>
    </row>
    <row r="977" spans="1:10" x14ac:dyDescent="0.3">
      <c r="A977" s="3" t="s">
        <v>193</v>
      </c>
      <c r="B977" s="5" t="s">
        <v>12</v>
      </c>
      <c r="C977">
        <v>367</v>
      </c>
      <c r="D977">
        <v>7.4</v>
      </c>
      <c r="E977">
        <v>8.8000000000000007</v>
      </c>
      <c r="F977">
        <v>0.8</v>
      </c>
      <c r="G977" s="7" t="s">
        <v>11</v>
      </c>
      <c r="H977">
        <v>0</v>
      </c>
      <c r="I977" s="14">
        <v>0.34654873884802884</v>
      </c>
      <c r="J977" s="9" t="str">
        <f t="shared" si="48"/>
        <v>Train</v>
      </c>
    </row>
    <row r="978" spans="1:10" x14ac:dyDescent="0.3">
      <c r="A978" s="3" t="s">
        <v>194</v>
      </c>
      <c r="B978" s="5" t="s">
        <v>14</v>
      </c>
      <c r="C978">
        <v>497</v>
      </c>
      <c r="D978">
        <v>7.9</v>
      </c>
      <c r="E978">
        <v>9.9</v>
      </c>
      <c r="F978">
        <v>1.9</v>
      </c>
      <c r="G978" s="7" t="s">
        <v>7</v>
      </c>
      <c r="H978">
        <v>0</v>
      </c>
      <c r="I978" s="14">
        <v>0.14200197279361249</v>
      </c>
      <c r="J978" s="9" t="str">
        <f t="shared" si="48"/>
        <v>Train</v>
      </c>
    </row>
    <row r="979" spans="1:10" x14ac:dyDescent="0.3">
      <c r="A979" s="3" t="s">
        <v>195</v>
      </c>
      <c r="B979" s="5" t="s">
        <v>18</v>
      </c>
      <c r="C979">
        <v>267</v>
      </c>
      <c r="D979">
        <v>3.5</v>
      </c>
      <c r="E979">
        <v>9.4</v>
      </c>
      <c r="F979">
        <v>0.7</v>
      </c>
      <c r="G979" s="7" t="s">
        <v>7</v>
      </c>
      <c r="H979">
        <v>0</v>
      </c>
      <c r="I979" s="14">
        <v>0.73322368330830601</v>
      </c>
      <c r="J979" s="9" t="str">
        <f t="shared" si="48"/>
        <v>Test</v>
      </c>
    </row>
    <row r="980" spans="1:10" x14ac:dyDescent="0.3">
      <c r="A980" s="3" t="s">
        <v>196</v>
      </c>
      <c r="B980" s="5" t="s">
        <v>18</v>
      </c>
      <c r="C980">
        <v>473</v>
      </c>
      <c r="D980">
        <v>5.4</v>
      </c>
      <c r="E980">
        <v>5.2</v>
      </c>
      <c r="F980">
        <v>0.6</v>
      </c>
      <c r="G980" s="7" t="s">
        <v>9</v>
      </c>
      <c r="H980">
        <v>0</v>
      </c>
      <c r="I980" s="14">
        <v>0.16625938357137349</v>
      </c>
      <c r="J980" s="9" t="str">
        <f t="shared" si="48"/>
        <v>Train</v>
      </c>
    </row>
    <row r="981" spans="1:10" x14ac:dyDescent="0.3">
      <c r="A981" s="3" t="s">
        <v>197</v>
      </c>
      <c r="B981" s="5" t="s">
        <v>18</v>
      </c>
      <c r="C981">
        <v>407</v>
      </c>
      <c r="D981">
        <v>1.7</v>
      </c>
      <c r="E981">
        <v>7.4</v>
      </c>
      <c r="F981">
        <v>2.9</v>
      </c>
      <c r="G981" s="7" t="s">
        <v>11</v>
      </c>
      <c r="H981">
        <v>0</v>
      </c>
      <c r="I981" s="14">
        <v>0.40412135601070021</v>
      </c>
      <c r="J981" s="9" t="str">
        <f t="shared" si="48"/>
        <v>Train</v>
      </c>
    </row>
    <row r="982" spans="1:10" x14ac:dyDescent="0.3">
      <c r="A982" s="3" t="s">
        <v>198</v>
      </c>
      <c r="B982" s="5" t="s">
        <v>12</v>
      </c>
      <c r="C982">
        <v>160</v>
      </c>
      <c r="D982">
        <v>5.0999999999999996</v>
      </c>
      <c r="E982">
        <v>10</v>
      </c>
      <c r="F982">
        <v>2.1</v>
      </c>
      <c r="G982" s="7" t="s">
        <v>13</v>
      </c>
      <c r="H982">
        <v>0</v>
      </c>
      <c r="I982" s="14">
        <v>0.16920156442412648</v>
      </c>
      <c r="J982" s="9" t="str">
        <f t="shared" si="48"/>
        <v>Train</v>
      </c>
    </row>
    <row r="983" spans="1:10" x14ac:dyDescent="0.3">
      <c r="A983" s="3" t="s">
        <v>199</v>
      </c>
      <c r="B983" s="5" t="s">
        <v>18</v>
      </c>
      <c r="C983">
        <v>196</v>
      </c>
      <c r="D983">
        <v>7.7</v>
      </c>
      <c r="E983">
        <v>8.1999999999999993</v>
      </c>
      <c r="F983">
        <v>0.5</v>
      </c>
      <c r="G983" s="7" t="s">
        <v>11</v>
      </c>
      <c r="H983">
        <v>0</v>
      </c>
      <c r="I983" s="14">
        <v>0.97832851691016309</v>
      </c>
      <c r="J983" s="9" t="str">
        <f t="shared" si="48"/>
        <v>Test</v>
      </c>
    </row>
    <row r="984" spans="1:10" x14ac:dyDescent="0.3">
      <c r="A984" s="3" t="s">
        <v>200</v>
      </c>
      <c r="B984" s="5" t="s">
        <v>14</v>
      </c>
      <c r="C984">
        <v>275</v>
      </c>
      <c r="D984">
        <v>2.6</v>
      </c>
      <c r="E984">
        <v>7.3</v>
      </c>
      <c r="F984">
        <v>0.9</v>
      </c>
      <c r="G984" s="7" t="s">
        <v>7</v>
      </c>
      <c r="H984">
        <v>0</v>
      </c>
      <c r="I984" s="14">
        <v>9.7654202155765701E-2</v>
      </c>
      <c r="J984" s="9" t="str">
        <f t="shared" si="48"/>
        <v>Train</v>
      </c>
    </row>
    <row r="985" spans="1:10" x14ac:dyDescent="0.3">
      <c r="A985" s="3" t="s">
        <v>201</v>
      </c>
      <c r="B985" s="5" t="s">
        <v>6</v>
      </c>
      <c r="C985">
        <v>106</v>
      </c>
      <c r="D985">
        <v>3.9</v>
      </c>
      <c r="E985">
        <v>0.9</v>
      </c>
      <c r="F985">
        <v>1.9</v>
      </c>
      <c r="G985" s="7" t="s">
        <v>9</v>
      </c>
      <c r="H985">
        <v>0</v>
      </c>
      <c r="I985" s="14">
        <v>0.3283321099572637</v>
      </c>
      <c r="J985" s="9" t="str">
        <f t="shared" si="48"/>
        <v>Train</v>
      </c>
    </row>
    <row r="986" spans="1:10" x14ac:dyDescent="0.3">
      <c r="A986" s="3" t="s">
        <v>202</v>
      </c>
      <c r="B986" s="5" t="s">
        <v>6</v>
      </c>
      <c r="C986">
        <v>432</v>
      </c>
      <c r="D986">
        <v>5.0999999999999996</v>
      </c>
      <c r="E986">
        <v>2.4</v>
      </c>
      <c r="F986">
        <v>3</v>
      </c>
      <c r="G986" s="7" t="s">
        <v>11</v>
      </c>
      <c r="H986">
        <v>0</v>
      </c>
      <c r="I986" s="14">
        <v>0.85487837839271408</v>
      </c>
      <c r="J986" s="9" t="str">
        <f t="shared" si="48"/>
        <v>Test</v>
      </c>
    </row>
    <row r="987" spans="1:10" x14ac:dyDescent="0.3">
      <c r="A987" s="3" t="s">
        <v>203</v>
      </c>
      <c r="B987" s="5" t="s">
        <v>10</v>
      </c>
      <c r="C987">
        <v>407</v>
      </c>
      <c r="D987">
        <v>7.3</v>
      </c>
      <c r="E987">
        <v>7.7</v>
      </c>
      <c r="F987">
        <v>1.9</v>
      </c>
      <c r="G987" s="7" t="s">
        <v>9</v>
      </c>
      <c r="H987">
        <v>0</v>
      </c>
      <c r="I987" s="14">
        <v>0.95928933417592599</v>
      </c>
      <c r="J987" s="9" t="str">
        <f t="shared" si="48"/>
        <v>Test</v>
      </c>
    </row>
    <row r="988" spans="1:10" x14ac:dyDescent="0.3">
      <c r="A988" s="3" t="s">
        <v>204</v>
      </c>
      <c r="B988" s="5" t="s">
        <v>10</v>
      </c>
      <c r="C988">
        <v>446</v>
      </c>
      <c r="D988">
        <v>7.1</v>
      </c>
      <c r="E988">
        <v>4.5999999999999996</v>
      </c>
      <c r="F988">
        <v>1.9</v>
      </c>
      <c r="G988" s="7" t="s">
        <v>7</v>
      </c>
      <c r="H988">
        <v>0</v>
      </c>
      <c r="I988" s="14">
        <v>0.51026346040110937</v>
      </c>
      <c r="J988" s="9" t="str">
        <f t="shared" si="48"/>
        <v>Train</v>
      </c>
    </row>
    <row r="989" spans="1:10" x14ac:dyDescent="0.3">
      <c r="A989" s="3" t="s">
        <v>205</v>
      </c>
      <c r="B989" s="5" t="s">
        <v>6</v>
      </c>
      <c r="C989">
        <v>196</v>
      </c>
      <c r="D989">
        <v>1.8</v>
      </c>
      <c r="E989">
        <v>3.9</v>
      </c>
      <c r="F989">
        <v>2.2999999999999998</v>
      </c>
      <c r="G989" s="7" t="s">
        <v>13</v>
      </c>
      <c r="H989">
        <v>0</v>
      </c>
      <c r="I989" s="14">
        <v>0.62973885178283295</v>
      </c>
      <c r="J989" s="9" t="str">
        <f t="shared" si="48"/>
        <v>Train</v>
      </c>
    </row>
    <row r="990" spans="1:10" x14ac:dyDescent="0.3">
      <c r="A990" s="3" t="s">
        <v>206</v>
      </c>
      <c r="B990" s="5" t="s">
        <v>8</v>
      </c>
      <c r="C990">
        <v>228</v>
      </c>
      <c r="D990">
        <v>4.0999999999999996</v>
      </c>
      <c r="E990">
        <v>2</v>
      </c>
      <c r="F990">
        <v>2.4</v>
      </c>
      <c r="G990" s="7" t="s">
        <v>13</v>
      </c>
      <c r="H990">
        <v>0</v>
      </c>
      <c r="I990" s="14">
        <v>0.76500907535331697</v>
      </c>
      <c r="J990" s="9" t="str">
        <f t="shared" si="48"/>
        <v>Test</v>
      </c>
    </row>
    <row r="991" spans="1:10" x14ac:dyDescent="0.3">
      <c r="A991" s="3" t="s">
        <v>207</v>
      </c>
      <c r="B991" s="5" t="s">
        <v>12</v>
      </c>
      <c r="C991">
        <v>111</v>
      </c>
      <c r="D991">
        <v>0.9</v>
      </c>
      <c r="E991">
        <v>8.6999999999999993</v>
      </c>
      <c r="F991">
        <v>1.6</v>
      </c>
      <c r="G991" s="7" t="s">
        <v>7</v>
      </c>
      <c r="H991">
        <v>0</v>
      </c>
      <c r="I991" s="14">
        <v>0.17799878187087326</v>
      </c>
      <c r="J991" s="9" t="str">
        <f t="shared" si="48"/>
        <v>Train</v>
      </c>
    </row>
    <row r="992" spans="1:10" x14ac:dyDescent="0.3">
      <c r="A992" s="3" t="s">
        <v>208</v>
      </c>
      <c r="B992" s="5" t="s">
        <v>14</v>
      </c>
      <c r="C992">
        <v>101</v>
      </c>
      <c r="D992">
        <v>0.9</v>
      </c>
      <c r="E992">
        <v>8.6</v>
      </c>
      <c r="F992">
        <v>1.3</v>
      </c>
      <c r="G992" s="7" t="s">
        <v>13</v>
      </c>
      <c r="H992">
        <v>0</v>
      </c>
      <c r="I992" s="14">
        <v>2.2267964110125216E-2</v>
      </c>
      <c r="J992" s="9" t="str">
        <f t="shared" si="48"/>
        <v>Train</v>
      </c>
    </row>
    <row r="993" spans="1:10" x14ac:dyDescent="0.3">
      <c r="A993" s="3" t="s">
        <v>209</v>
      </c>
      <c r="B993" s="5" t="s">
        <v>14</v>
      </c>
      <c r="C993">
        <v>226</v>
      </c>
      <c r="D993">
        <v>7.4</v>
      </c>
      <c r="E993">
        <v>2.5</v>
      </c>
      <c r="F993">
        <v>0.6</v>
      </c>
      <c r="G993" s="7" t="s">
        <v>7</v>
      </c>
      <c r="H993">
        <v>0</v>
      </c>
      <c r="I993" s="14">
        <v>0.4617968349873337</v>
      </c>
      <c r="J993" s="9" t="str">
        <f t="shared" si="48"/>
        <v>Train</v>
      </c>
    </row>
    <row r="994" spans="1:10" x14ac:dyDescent="0.3">
      <c r="A994" s="3" t="s">
        <v>210</v>
      </c>
      <c r="B994" s="5" t="s">
        <v>12</v>
      </c>
      <c r="C994">
        <v>420</v>
      </c>
      <c r="D994">
        <v>3.5</v>
      </c>
      <c r="E994">
        <v>9.3000000000000007</v>
      </c>
      <c r="F994">
        <v>1.4</v>
      </c>
      <c r="G994" s="7" t="s">
        <v>7</v>
      </c>
      <c r="H994">
        <v>0</v>
      </c>
      <c r="I994" s="14">
        <v>0.27651339085448834</v>
      </c>
      <c r="J994" s="9" t="str">
        <f t="shared" si="48"/>
        <v>Train</v>
      </c>
    </row>
    <row r="995" spans="1:10" x14ac:dyDescent="0.3">
      <c r="A995" s="3" t="s">
        <v>211</v>
      </c>
      <c r="B995" s="5" t="s">
        <v>10</v>
      </c>
      <c r="C995">
        <v>314</v>
      </c>
      <c r="D995">
        <v>6.6</v>
      </c>
      <c r="E995">
        <v>5.8</v>
      </c>
      <c r="F995">
        <v>2.9</v>
      </c>
      <c r="G995" s="7" t="s">
        <v>13</v>
      </c>
      <c r="H995">
        <v>0</v>
      </c>
      <c r="I995" s="14">
        <v>0.59042753511523838</v>
      </c>
      <c r="J995" s="9" t="str">
        <f t="shared" si="48"/>
        <v>Train</v>
      </c>
    </row>
    <row r="996" spans="1:10" x14ac:dyDescent="0.3">
      <c r="A996" s="3" t="s">
        <v>212</v>
      </c>
      <c r="B996" s="5" t="s">
        <v>14</v>
      </c>
      <c r="C996">
        <v>295</v>
      </c>
      <c r="D996">
        <v>4.9000000000000004</v>
      </c>
      <c r="E996">
        <v>3.9</v>
      </c>
      <c r="F996">
        <v>1.3</v>
      </c>
      <c r="G996" s="7" t="s">
        <v>9</v>
      </c>
      <c r="H996">
        <v>0</v>
      </c>
      <c r="I996" s="14">
        <v>0.32128281477876452</v>
      </c>
      <c r="J996" s="9" t="str">
        <f t="shared" si="48"/>
        <v>Train</v>
      </c>
    </row>
    <row r="997" spans="1:10" x14ac:dyDescent="0.3">
      <c r="A997" s="3" t="s">
        <v>213</v>
      </c>
      <c r="B997" s="5" t="s">
        <v>12</v>
      </c>
      <c r="C997">
        <v>75</v>
      </c>
      <c r="D997">
        <v>5.6</v>
      </c>
      <c r="E997">
        <v>7.8</v>
      </c>
      <c r="F997">
        <v>1.9</v>
      </c>
      <c r="G997" s="7" t="s">
        <v>13</v>
      </c>
      <c r="H997">
        <v>0</v>
      </c>
      <c r="I997" s="14">
        <v>0.56592272530928056</v>
      </c>
      <c r="J997" s="9" t="str">
        <f t="shared" si="48"/>
        <v>Train</v>
      </c>
    </row>
    <row r="998" spans="1:10" x14ac:dyDescent="0.3">
      <c r="A998" s="3" t="s">
        <v>214</v>
      </c>
      <c r="B998" s="5" t="s">
        <v>12</v>
      </c>
      <c r="C998">
        <v>94</v>
      </c>
      <c r="D998">
        <v>3.4</v>
      </c>
      <c r="E998">
        <v>0.9</v>
      </c>
      <c r="F998">
        <v>0.6</v>
      </c>
      <c r="G998" s="7" t="s">
        <v>9</v>
      </c>
      <c r="H998">
        <v>0</v>
      </c>
      <c r="I998" s="14">
        <v>0.54233026639956927</v>
      </c>
      <c r="J998" s="9" t="str">
        <f t="shared" si="48"/>
        <v>Train</v>
      </c>
    </row>
    <row r="999" spans="1:10" x14ac:dyDescent="0.3">
      <c r="A999" s="3" t="s">
        <v>215</v>
      </c>
      <c r="B999" s="5" t="s">
        <v>8</v>
      </c>
      <c r="C999">
        <v>314</v>
      </c>
      <c r="D999">
        <v>7.7</v>
      </c>
      <c r="E999">
        <v>8.1</v>
      </c>
      <c r="F999">
        <v>1.1000000000000001</v>
      </c>
      <c r="G999" s="7" t="s">
        <v>7</v>
      </c>
      <c r="H999">
        <v>0</v>
      </c>
      <c r="I999" s="14">
        <v>9.5313009574344854E-2</v>
      </c>
      <c r="J999" s="9" t="str">
        <f t="shared" si="48"/>
        <v>Train</v>
      </c>
    </row>
    <row r="1000" spans="1:10" x14ac:dyDescent="0.3">
      <c r="A1000" s="3" t="s">
        <v>216</v>
      </c>
      <c r="B1000" s="5" t="s">
        <v>12</v>
      </c>
      <c r="C1000">
        <v>459</v>
      </c>
      <c r="D1000">
        <v>4.5999999999999996</v>
      </c>
      <c r="E1000">
        <v>8.6</v>
      </c>
      <c r="F1000">
        <v>1.7</v>
      </c>
      <c r="G1000" s="7" t="s">
        <v>9</v>
      </c>
      <c r="H1000">
        <v>0</v>
      </c>
      <c r="I1000" s="14">
        <v>3.0175664436271621E-3</v>
      </c>
      <c r="J1000" s="9" t="str">
        <f t="shared" si="48"/>
        <v>Train</v>
      </c>
    </row>
    <row r="1001" spans="1:10" x14ac:dyDescent="0.3">
      <c r="A1001" s="3" t="s">
        <v>217</v>
      </c>
      <c r="B1001" s="5" t="s">
        <v>14</v>
      </c>
      <c r="C1001">
        <v>396</v>
      </c>
      <c r="D1001">
        <v>3.4</v>
      </c>
      <c r="E1001">
        <v>2.7</v>
      </c>
      <c r="F1001">
        <v>1</v>
      </c>
      <c r="G1001" s="7" t="s">
        <v>11</v>
      </c>
      <c r="H1001">
        <v>0</v>
      </c>
      <c r="I1001" s="14">
        <v>0.69448159923693042</v>
      </c>
      <c r="J1001" s="9" t="str">
        <f t="shared" si="48"/>
        <v>Train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71B2D-D450-4F2D-BDBB-FC4E0D448692}">
  <dimension ref="A1:V801"/>
  <sheetViews>
    <sheetView topLeftCell="C1" workbookViewId="0">
      <selection activeCell="U5" sqref="U5:V7"/>
    </sheetView>
  </sheetViews>
  <sheetFormatPr defaultRowHeight="14.4" x14ac:dyDescent="0.3"/>
  <cols>
    <col min="11" max="11" width="12.77734375" customWidth="1"/>
    <col min="17" max="17" width="19.5546875" bestFit="1" customWidth="1"/>
    <col min="18" max="18" width="15.5546875" bestFit="1" customWidth="1"/>
    <col min="19" max="19" width="10.77734375" bestFit="1" customWidth="1"/>
  </cols>
  <sheetData>
    <row r="1" spans="1:22" ht="28.8" x14ac:dyDescent="0.3">
      <c r="A1" s="8" t="s">
        <v>0</v>
      </c>
      <c r="B1" s="8" t="s">
        <v>1</v>
      </c>
      <c r="C1" s="8" t="s">
        <v>15</v>
      </c>
      <c r="D1" s="8" t="s">
        <v>2</v>
      </c>
      <c r="E1" s="8" t="s">
        <v>3</v>
      </c>
      <c r="F1" s="8" t="s">
        <v>4</v>
      </c>
      <c r="G1" s="8" t="s">
        <v>16</v>
      </c>
      <c r="H1" s="10" t="s">
        <v>5</v>
      </c>
      <c r="I1" s="11" t="s">
        <v>818</v>
      </c>
      <c r="J1" s="11" t="s">
        <v>819</v>
      </c>
      <c r="K1" s="21" t="s">
        <v>1034</v>
      </c>
      <c r="L1" s="18"/>
      <c r="M1" s="18"/>
    </row>
    <row r="2" spans="1:22" ht="28.8" x14ac:dyDescent="0.3">
      <c r="A2" s="3" t="s">
        <v>822</v>
      </c>
      <c r="B2" s="3" t="s">
        <v>6</v>
      </c>
      <c r="C2" s="3">
        <v>495</v>
      </c>
      <c r="D2" s="3">
        <v>2.9</v>
      </c>
      <c r="E2" s="3">
        <v>5.6</v>
      </c>
      <c r="F2" s="3">
        <v>2.2000000000000002</v>
      </c>
      <c r="G2" s="3" t="s">
        <v>7</v>
      </c>
      <c r="H2" s="12">
        <v>0</v>
      </c>
      <c r="I2" s="14">
        <v>0.49527598923784077</v>
      </c>
      <c r="J2" s="9" t="s">
        <v>823</v>
      </c>
      <c r="K2" t="e">
        <f>COUNTIF([1]Test!A2:A720,A2)</f>
        <v>#VALUE!</v>
      </c>
      <c r="N2" t="s">
        <v>1024</v>
      </c>
      <c r="O2">
        <f>COUNTIF(J2:J720,"Train")</f>
        <v>719</v>
      </c>
    </row>
    <row r="3" spans="1:22" ht="28.8" x14ac:dyDescent="0.3">
      <c r="A3" s="3" t="s">
        <v>824</v>
      </c>
      <c r="B3" s="3" t="s">
        <v>6</v>
      </c>
      <c r="C3" s="3">
        <v>57</v>
      </c>
      <c r="D3" s="3">
        <v>4.8</v>
      </c>
      <c r="E3" s="3">
        <v>9.3000000000000007</v>
      </c>
      <c r="F3" s="3">
        <v>1.1000000000000001</v>
      </c>
      <c r="G3" s="3" t="s">
        <v>13</v>
      </c>
      <c r="H3" s="12">
        <v>0</v>
      </c>
      <c r="I3" s="14">
        <v>0.21806798038781738</v>
      </c>
      <c r="J3" s="9" t="s">
        <v>823</v>
      </c>
      <c r="N3" t="s">
        <v>1025</v>
      </c>
      <c r="O3">
        <f>COUNTIF(H2:H720,1)</f>
        <v>3</v>
      </c>
    </row>
    <row r="4" spans="1:22" ht="28.8" x14ac:dyDescent="0.3">
      <c r="A4" s="3" t="s">
        <v>825</v>
      </c>
      <c r="B4" s="3" t="s">
        <v>18</v>
      </c>
      <c r="C4" s="3">
        <v>441</v>
      </c>
      <c r="D4" s="3">
        <v>6.4</v>
      </c>
      <c r="E4" s="3">
        <v>4.8</v>
      </c>
      <c r="F4" s="3">
        <v>2</v>
      </c>
      <c r="G4" s="3" t="s">
        <v>9</v>
      </c>
      <c r="H4" s="12">
        <v>0</v>
      </c>
      <c r="I4" s="14">
        <v>0.55658265498754445</v>
      </c>
      <c r="J4" s="9" t="s">
        <v>823</v>
      </c>
      <c r="O4">
        <f>COUNTIF(H2:H720,0)</f>
        <v>716</v>
      </c>
      <c r="Q4" s="19" t="s">
        <v>1031</v>
      </c>
    </row>
    <row r="5" spans="1:22" ht="28.8" x14ac:dyDescent="0.3">
      <c r="A5" s="3" t="s">
        <v>826</v>
      </c>
      <c r="B5" s="3" t="s">
        <v>6</v>
      </c>
      <c r="C5" s="3">
        <v>147</v>
      </c>
      <c r="D5" s="3">
        <v>1.7</v>
      </c>
      <c r="E5" s="3">
        <v>7.6</v>
      </c>
      <c r="F5" s="3">
        <v>1.3</v>
      </c>
      <c r="G5" s="3" t="s">
        <v>11</v>
      </c>
      <c r="H5" s="12">
        <v>0</v>
      </c>
      <c r="I5" s="14">
        <v>0.42458791556365982</v>
      </c>
      <c r="J5" s="9" t="s">
        <v>823</v>
      </c>
      <c r="Q5" s="15" t="s">
        <v>1029</v>
      </c>
      <c r="R5" s="15" t="s">
        <v>1028</v>
      </c>
      <c r="U5" s="21" t="s">
        <v>1032</v>
      </c>
      <c r="V5" s="22">
        <f>AVERAGE(C2:C2:C720)</f>
        <v>272.74826147426984</v>
      </c>
    </row>
    <row r="6" spans="1:22" ht="28.8" x14ac:dyDescent="0.3">
      <c r="A6" s="3" t="s">
        <v>827</v>
      </c>
      <c r="B6" s="3" t="s">
        <v>12</v>
      </c>
      <c r="C6" s="3">
        <v>166</v>
      </c>
      <c r="D6" s="3">
        <v>3.4</v>
      </c>
      <c r="E6" s="3">
        <v>1.4</v>
      </c>
      <c r="F6" s="3">
        <v>2.8</v>
      </c>
      <c r="G6" s="3" t="s">
        <v>7</v>
      </c>
      <c r="H6" s="12">
        <v>0</v>
      </c>
      <c r="I6" s="14">
        <v>0.23905027758091535</v>
      </c>
      <c r="J6" s="9" t="s">
        <v>823</v>
      </c>
      <c r="N6" t="s">
        <v>1035</v>
      </c>
      <c r="O6" s="23">
        <f>AVERAGE(H2:H721)</f>
        <v>4.172461752433936E-3</v>
      </c>
      <c r="Q6" s="15" t="s">
        <v>1026</v>
      </c>
      <c r="R6" t="s">
        <v>823</v>
      </c>
      <c r="S6" t="s">
        <v>1027</v>
      </c>
      <c r="U6" s="21" t="s">
        <v>2</v>
      </c>
      <c r="V6" s="22">
        <f>AVERAGE(D2:D720)</f>
        <v>4.2322670375521625</v>
      </c>
    </row>
    <row r="7" spans="1:22" x14ac:dyDescent="0.3">
      <c r="A7" s="3" t="s">
        <v>828</v>
      </c>
      <c r="B7" s="3" t="s">
        <v>10</v>
      </c>
      <c r="C7" s="3">
        <v>204</v>
      </c>
      <c r="D7" s="3">
        <v>2.2000000000000002</v>
      </c>
      <c r="E7" s="3">
        <v>5.4</v>
      </c>
      <c r="F7" s="3">
        <v>2.5</v>
      </c>
      <c r="G7" s="3" t="s">
        <v>7</v>
      </c>
      <c r="H7" s="12">
        <v>0</v>
      </c>
      <c r="I7" s="14">
        <v>0.28543801350183484</v>
      </c>
      <c r="J7" s="9" t="s">
        <v>823</v>
      </c>
      <c r="Q7" s="16" t="s">
        <v>12</v>
      </c>
      <c r="R7" s="17">
        <v>108</v>
      </c>
      <c r="S7" s="17">
        <v>108</v>
      </c>
      <c r="U7" s="21" t="s">
        <v>1033</v>
      </c>
      <c r="V7" s="22">
        <f>AVERAGE(F2:F720)</f>
        <v>1.7522948539638388</v>
      </c>
    </row>
    <row r="8" spans="1:22" x14ac:dyDescent="0.3">
      <c r="A8" s="3" t="s">
        <v>829</v>
      </c>
      <c r="B8" s="3" t="s">
        <v>8</v>
      </c>
      <c r="C8" s="3">
        <v>463</v>
      </c>
      <c r="D8" s="3">
        <v>6</v>
      </c>
      <c r="E8" s="3">
        <v>1.8</v>
      </c>
      <c r="F8" s="3">
        <v>1.2</v>
      </c>
      <c r="G8" s="3" t="s">
        <v>9</v>
      </c>
      <c r="H8" s="12">
        <v>0</v>
      </c>
      <c r="I8" s="14">
        <v>0.6865439949901313</v>
      </c>
      <c r="J8" s="9" t="s">
        <v>823</v>
      </c>
      <c r="Q8" s="16" t="s">
        <v>14</v>
      </c>
      <c r="R8" s="17">
        <v>130</v>
      </c>
      <c r="S8" s="17">
        <v>130</v>
      </c>
    </row>
    <row r="9" spans="1:22" ht="28.8" x14ac:dyDescent="0.3">
      <c r="A9" s="3" t="s">
        <v>830</v>
      </c>
      <c r="B9" s="3" t="s">
        <v>6</v>
      </c>
      <c r="C9" s="3">
        <v>112</v>
      </c>
      <c r="D9" s="3">
        <v>0.8</v>
      </c>
      <c r="E9" s="3">
        <v>1.5</v>
      </c>
      <c r="F9" s="3">
        <v>2.7</v>
      </c>
      <c r="G9" s="3" t="s">
        <v>11</v>
      </c>
      <c r="H9" s="12">
        <v>0</v>
      </c>
      <c r="I9" s="14">
        <v>0.29793880174148601</v>
      </c>
      <c r="J9" s="9" t="s">
        <v>823</v>
      </c>
      <c r="Q9" s="16" t="s">
        <v>6</v>
      </c>
      <c r="R9" s="17">
        <v>122</v>
      </c>
      <c r="S9" s="17">
        <v>122</v>
      </c>
    </row>
    <row r="10" spans="1:22" x14ac:dyDescent="0.3">
      <c r="A10" s="3" t="s">
        <v>831</v>
      </c>
      <c r="B10" s="3" t="s">
        <v>10</v>
      </c>
      <c r="C10" s="3">
        <v>232</v>
      </c>
      <c r="D10" s="3">
        <v>6.6</v>
      </c>
      <c r="E10" s="3">
        <v>9.3000000000000007</v>
      </c>
      <c r="F10" s="3">
        <v>2.8</v>
      </c>
      <c r="G10" s="3" t="s">
        <v>9</v>
      </c>
      <c r="H10" s="12">
        <v>0</v>
      </c>
      <c r="I10" s="14">
        <v>0.2562874108379386</v>
      </c>
      <c r="J10" s="9" t="s">
        <v>823</v>
      </c>
      <c r="Q10" s="16" t="s">
        <v>10</v>
      </c>
      <c r="R10" s="17">
        <v>115</v>
      </c>
      <c r="S10" s="17">
        <v>115</v>
      </c>
    </row>
    <row r="11" spans="1:22" ht="28.8" x14ac:dyDescent="0.3">
      <c r="A11" s="3" t="s">
        <v>832</v>
      </c>
      <c r="B11" s="3" t="s">
        <v>12</v>
      </c>
      <c r="C11" s="3">
        <v>188</v>
      </c>
      <c r="D11" s="3">
        <v>6</v>
      </c>
      <c r="E11" s="3">
        <v>8.6</v>
      </c>
      <c r="F11" s="3">
        <v>2.1</v>
      </c>
      <c r="G11" s="3" t="s">
        <v>9</v>
      </c>
      <c r="H11" s="12">
        <v>0</v>
      </c>
      <c r="I11" s="14">
        <v>0.13678795729161031</v>
      </c>
      <c r="J11" s="9" t="s">
        <v>823</v>
      </c>
      <c r="Q11" s="16" t="s">
        <v>8</v>
      </c>
      <c r="R11" s="17">
        <v>119</v>
      </c>
      <c r="S11" s="17">
        <v>119</v>
      </c>
    </row>
    <row r="12" spans="1:22" x14ac:dyDescent="0.3">
      <c r="A12" s="3" t="s">
        <v>833</v>
      </c>
      <c r="B12" s="3" t="s">
        <v>10</v>
      </c>
      <c r="C12" s="3">
        <v>276</v>
      </c>
      <c r="D12" s="3">
        <v>1.3</v>
      </c>
      <c r="E12" s="3">
        <v>7.7</v>
      </c>
      <c r="F12" s="3">
        <v>2.2999999999999998</v>
      </c>
      <c r="G12" s="3" t="s">
        <v>11</v>
      </c>
      <c r="H12" s="12">
        <v>0</v>
      </c>
      <c r="I12" s="14">
        <v>0.56682798606506601</v>
      </c>
      <c r="J12" s="9" t="s">
        <v>823</v>
      </c>
      <c r="Q12" s="16" t="s">
        <v>18</v>
      </c>
      <c r="R12" s="17">
        <v>125</v>
      </c>
      <c r="S12" s="17">
        <v>125</v>
      </c>
    </row>
    <row r="13" spans="1:22" ht="28.8" x14ac:dyDescent="0.3">
      <c r="A13" s="3" t="s">
        <v>834</v>
      </c>
      <c r="B13" s="3" t="s">
        <v>6</v>
      </c>
      <c r="C13" s="3">
        <v>87</v>
      </c>
      <c r="D13" s="3">
        <v>3.8</v>
      </c>
      <c r="E13" s="3">
        <v>3.6</v>
      </c>
      <c r="F13" s="3">
        <v>0.8</v>
      </c>
      <c r="G13" s="3" t="s">
        <v>7</v>
      </c>
      <c r="H13" s="12">
        <v>0</v>
      </c>
      <c r="I13" s="14">
        <v>0.54864673829540633</v>
      </c>
      <c r="J13" s="9" t="s">
        <v>823</v>
      </c>
      <c r="Q13" s="16" t="s">
        <v>1027</v>
      </c>
      <c r="R13" s="17">
        <v>719</v>
      </c>
      <c r="S13" s="17">
        <v>719</v>
      </c>
    </row>
    <row r="14" spans="1:22" x14ac:dyDescent="0.3">
      <c r="A14" s="3" t="s">
        <v>835</v>
      </c>
      <c r="B14" s="3" t="s">
        <v>8</v>
      </c>
      <c r="C14" s="3">
        <v>399</v>
      </c>
      <c r="D14" s="3">
        <v>1.7</v>
      </c>
      <c r="E14" s="3">
        <v>9</v>
      </c>
      <c r="F14" s="3">
        <v>0.7</v>
      </c>
      <c r="G14" s="3" t="s">
        <v>11</v>
      </c>
      <c r="H14" s="12">
        <v>0</v>
      </c>
      <c r="I14" s="14">
        <v>0.54022559697516015</v>
      </c>
      <c r="J14" s="9" t="s">
        <v>823</v>
      </c>
    </row>
    <row r="15" spans="1:22" ht="28.8" x14ac:dyDescent="0.3">
      <c r="A15" s="3" t="s">
        <v>836</v>
      </c>
      <c r="B15" s="3" t="s">
        <v>6</v>
      </c>
      <c r="C15" s="3">
        <v>376</v>
      </c>
      <c r="D15" s="3">
        <v>5</v>
      </c>
      <c r="E15" s="3">
        <v>6.1</v>
      </c>
      <c r="F15" s="3">
        <v>2</v>
      </c>
      <c r="G15" s="3" t="s">
        <v>13</v>
      </c>
      <c r="H15" s="12">
        <v>0</v>
      </c>
      <c r="I15" s="14">
        <v>0.67120944135495197</v>
      </c>
      <c r="J15" s="9" t="s">
        <v>823</v>
      </c>
    </row>
    <row r="16" spans="1:22" x14ac:dyDescent="0.3">
      <c r="A16" s="3" t="s">
        <v>837</v>
      </c>
      <c r="B16" s="3" t="s">
        <v>10</v>
      </c>
      <c r="C16" s="3">
        <v>442</v>
      </c>
      <c r="D16" s="3">
        <v>1.8</v>
      </c>
      <c r="E16" s="3">
        <v>9.6999999999999993</v>
      </c>
      <c r="F16" s="3">
        <v>1.4</v>
      </c>
      <c r="G16" s="3" t="s">
        <v>11</v>
      </c>
      <c r="H16" s="12">
        <v>0</v>
      </c>
      <c r="I16" s="14">
        <v>0.15652730808893511</v>
      </c>
      <c r="J16" s="9" t="s">
        <v>823</v>
      </c>
      <c r="Q16" s="20" t="s">
        <v>1030</v>
      </c>
    </row>
    <row r="17" spans="1:19" ht="28.8" x14ac:dyDescent="0.3">
      <c r="A17" s="3" t="s">
        <v>838</v>
      </c>
      <c r="B17" s="3" t="s">
        <v>18</v>
      </c>
      <c r="C17" s="3">
        <v>451</v>
      </c>
      <c r="D17" s="3">
        <v>2.2999999999999998</v>
      </c>
      <c r="E17" s="3">
        <v>5.9</v>
      </c>
      <c r="F17" s="3">
        <v>1.8</v>
      </c>
      <c r="G17" s="3" t="s">
        <v>7</v>
      </c>
      <c r="H17" s="12">
        <v>0</v>
      </c>
      <c r="I17" s="14">
        <v>0.34025853648496363</v>
      </c>
      <c r="J17" s="9" t="s">
        <v>823</v>
      </c>
      <c r="Q17" s="15" t="s">
        <v>1029</v>
      </c>
      <c r="R17" s="15" t="s">
        <v>1028</v>
      </c>
    </row>
    <row r="18" spans="1:19" x14ac:dyDescent="0.3">
      <c r="A18" s="3" t="s">
        <v>839</v>
      </c>
      <c r="B18" s="3" t="s">
        <v>10</v>
      </c>
      <c r="C18" s="3">
        <v>451</v>
      </c>
      <c r="D18" s="3">
        <v>2.8</v>
      </c>
      <c r="E18" s="3">
        <v>2.4</v>
      </c>
      <c r="F18" s="3">
        <v>2</v>
      </c>
      <c r="G18" s="3" t="s">
        <v>7</v>
      </c>
      <c r="H18" s="12">
        <v>0</v>
      </c>
      <c r="I18" s="14">
        <v>0.15743363423404055</v>
      </c>
      <c r="J18" s="9" t="s">
        <v>823</v>
      </c>
      <c r="Q18" s="15" t="s">
        <v>1026</v>
      </c>
      <c r="R18" t="s">
        <v>823</v>
      </c>
      <c r="S18" t="s">
        <v>1027</v>
      </c>
    </row>
    <row r="19" spans="1:19" x14ac:dyDescent="0.3">
      <c r="A19" s="3" t="s">
        <v>840</v>
      </c>
      <c r="B19" s="3" t="s">
        <v>8</v>
      </c>
      <c r="C19" s="3">
        <v>491</v>
      </c>
      <c r="D19" s="3">
        <v>1.8</v>
      </c>
      <c r="E19" s="3">
        <v>6.5</v>
      </c>
      <c r="F19" s="3">
        <v>0.6</v>
      </c>
      <c r="G19" s="3" t="s">
        <v>11</v>
      </c>
      <c r="H19" s="12">
        <v>0</v>
      </c>
      <c r="I19" s="14">
        <v>0.53248923755584743</v>
      </c>
      <c r="J19" s="9" t="s">
        <v>823</v>
      </c>
      <c r="Q19" s="16" t="s">
        <v>11</v>
      </c>
      <c r="R19" s="17">
        <v>137</v>
      </c>
      <c r="S19" s="17">
        <v>137</v>
      </c>
    </row>
    <row r="20" spans="1:19" ht="28.8" x14ac:dyDescent="0.3">
      <c r="A20" s="3" t="s">
        <v>841</v>
      </c>
      <c r="B20" s="3" t="s">
        <v>6</v>
      </c>
      <c r="C20" s="3">
        <v>187</v>
      </c>
      <c r="D20" s="3">
        <v>6.4</v>
      </c>
      <c r="E20" s="3">
        <v>0.9</v>
      </c>
      <c r="F20" s="3">
        <v>2.7</v>
      </c>
      <c r="G20" s="3" t="s">
        <v>9</v>
      </c>
      <c r="H20" s="12">
        <v>0</v>
      </c>
      <c r="I20" s="14">
        <v>6.2596724723578467E-2</v>
      </c>
      <c r="J20" s="9" t="s">
        <v>823</v>
      </c>
      <c r="Q20" s="16" t="s">
        <v>9</v>
      </c>
      <c r="R20" s="17">
        <v>192</v>
      </c>
      <c r="S20" s="17">
        <v>192</v>
      </c>
    </row>
    <row r="21" spans="1:19" ht="28.8" x14ac:dyDescent="0.3">
      <c r="A21" s="3" t="s">
        <v>842</v>
      </c>
      <c r="B21" s="3" t="s">
        <v>6</v>
      </c>
      <c r="C21" s="3">
        <v>382</v>
      </c>
      <c r="D21" s="3">
        <v>4.9000000000000004</v>
      </c>
      <c r="E21" s="3">
        <v>5.0999999999999996</v>
      </c>
      <c r="F21" s="3">
        <v>0.5</v>
      </c>
      <c r="G21" s="3" t="s">
        <v>13</v>
      </c>
      <c r="H21" s="12">
        <v>0</v>
      </c>
      <c r="I21" s="14">
        <v>0.33297727597636273</v>
      </c>
      <c r="J21" s="9" t="s">
        <v>823</v>
      </c>
      <c r="Q21" s="16" t="s">
        <v>13</v>
      </c>
      <c r="R21" s="17">
        <v>193</v>
      </c>
      <c r="S21" s="17">
        <v>193</v>
      </c>
    </row>
    <row r="22" spans="1:19" ht="28.8" x14ac:dyDescent="0.3">
      <c r="A22" s="3" t="s">
        <v>843</v>
      </c>
      <c r="B22" s="3" t="s">
        <v>18</v>
      </c>
      <c r="C22" s="3">
        <v>450</v>
      </c>
      <c r="D22" s="3">
        <v>4.4000000000000004</v>
      </c>
      <c r="E22" s="3">
        <v>1.8</v>
      </c>
      <c r="F22" s="3">
        <v>0.8</v>
      </c>
      <c r="G22" s="3" t="s">
        <v>13</v>
      </c>
      <c r="H22" s="12">
        <v>0</v>
      </c>
      <c r="I22" s="14">
        <v>1.428437875828259E-2</v>
      </c>
      <c r="J22" s="9" t="s">
        <v>823</v>
      </c>
      <c r="Q22" s="16" t="s">
        <v>7</v>
      </c>
      <c r="R22" s="17">
        <v>197</v>
      </c>
      <c r="S22" s="17">
        <v>197</v>
      </c>
    </row>
    <row r="23" spans="1:19" ht="28.8" x14ac:dyDescent="0.3">
      <c r="A23" s="3" t="s">
        <v>844</v>
      </c>
      <c r="B23" s="3" t="s">
        <v>18</v>
      </c>
      <c r="C23" s="3">
        <v>82</v>
      </c>
      <c r="D23" s="3">
        <v>2.9</v>
      </c>
      <c r="E23" s="3">
        <v>9.6999999999999993</v>
      </c>
      <c r="F23" s="3">
        <v>2.1</v>
      </c>
      <c r="G23" s="3" t="s">
        <v>7</v>
      </c>
      <c r="H23" s="12">
        <v>0</v>
      </c>
      <c r="I23" s="14">
        <v>0.25108914876231869</v>
      </c>
      <c r="J23" s="9" t="s">
        <v>823</v>
      </c>
      <c r="Q23" s="16" t="s">
        <v>1027</v>
      </c>
      <c r="R23" s="17">
        <v>719</v>
      </c>
      <c r="S23" s="17">
        <v>719</v>
      </c>
    </row>
    <row r="24" spans="1:19" x14ac:dyDescent="0.3">
      <c r="A24" s="3" t="s">
        <v>845</v>
      </c>
      <c r="B24" s="3" t="s">
        <v>8</v>
      </c>
      <c r="C24" s="3">
        <v>123</v>
      </c>
      <c r="D24" s="3">
        <v>1.1000000000000001</v>
      </c>
      <c r="E24" s="3">
        <v>5.5</v>
      </c>
      <c r="F24" s="3">
        <v>2</v>
      </c>
      <c r="G24" s="3" t="s">
        <v>11</v>
      </c>
      <c r="H24" s="12">
        <v>0</v>
      </c>
      <c r="I24" s="14">
        <v>0.21267755844826719</v>
      </c>
      <c r="J24" s="9" t="s">
        <v>823</v>
      </c>
    </row>
    <row r="25" spans="1:19" ht="28.8" x14ac:dyDescent="0.3">
      <c r="A25" s="3" t="s">
        <v>846</v>
      </c>
      <c r="B25" s="3" t="s">
        <v>18</v>
      </c>
      <c r="C25" s="3">
        <v>297</v>
      </c>
      <c r="D25" s="3">
        <v>3.6</v>
      </c>
      <c r="E25" s="3">
        <v>8.8000000000000007</v>
      </c>
      <c r="F25" s="3">
        <v>2</v>
      </c>
      <c r="G25" s="3" t="s">
        <v>7</v>
      </c>
      <c r="H25" s="12">
        <v>0</v>
      </c>
      <c r="I25" s="14">
        <v>0.69419947434331941</v>
      </c>
      <c r="J25" s="9" t="s">
        <v>823</v>
      </c>
    </row>
    <row r="26" spans="1:19" ht="28.8" x14ac:dyDescent="0.3">
      <c r="A26" s="3" t="s">
        <v>847</v>
      </c>
      <c r="B26" s="3" t="s">
        <v>14</v>
      </c>
      <c r="C26" s="3">
        <v>152</v>
      </c>
      <c r="D26" s="3">
        <v>7.6</v>
      </c>
      <c r="E26" s="3">
        <v>4.2</v>
      </c>
      <c r="F26" s="3">
        <v>2.9</v>
      </c>
      <c r="G26" s="3" t="s">
        <v>9</v>
      </c>
      <c r="H26" s="12">
        <v>0</v>
      </c>
      <c r="I26" s="14">
        <v>0.46691081768165377</v>
      </c>
      <c r="J26" s="9" t="s">
        <v>823</v>
      </c>
    </row>
    <row r="27" spans="1:19" ht="28.8" x14ac:dyDescent="0.3">
      <c r="A27" s="3" t="s">
        <v>848</v>
      </c>
      <c r="B27" s="3" t="s">
        <v>14</v>
      </c>
      <c r="C27" s="3">
        <v>282</v>
      </c>
      <c r="D27" s="3">
        <v>1.6</v>
      </c>
      <c r="E27" s="3">
        <v>9.9</v>
      </c>
      <c r="F27" s="3">
        <v>2.2999999999999998</v>
      </c>
      <c r="G27" s="3" t="s">
        <v>11</v>
      </c>
      <c r="H27" s="12">
        <v>0</v>
      </c>
      <c r="I27" s="14">
        <v>9.5367187563797029E-2</v>
      </c>
      <c r="J27" s="9" t="s">
        <v>823</v>
      </c>
    </row>
    <row r="28" spans="1:19" ht="28.8" x14ac:dyDescent="0.3">
      <c r="A28" s="3" t="s">
        <v>849</v>
      </c>
      <c r="B28" s="3" t="s">
        <v>6</v>
      </c>
      <c r="C28" s="3">
        <v>215</v>
      </c>
      <c r="D28" s="3">
        <v>4.4000000000000004</v>
      </c>
      <c r="E28" s="3">
        <v>2.9</v>
      </c>
      <c r="F28" s="3">
        <v>2</v>
      </c>
      <c r="G28" s="3" t="s">
        <v>13</v>
      </c>
      <c r="H28" s="12">
        <v>0</v>
      </c>
      <c r="I28" s="14">
        <v>6.2307706256110262E-2</v>
      </c>
      <c r="J28" s="9" t="s">
        <v>823</v>
      </c>
    </row>
    <row r="29" spans="1:19" x14ac:dyDescent="0.3">
      <c r="A29" s="3" t="s">
        <v>850</v>
      </c>
      <c r="B29" s="3" t="s">
        <v>10</v>
      </c>
      <c r="C29" s="3">
        <v>308</v>
      </c>
      <c r="D29" s="3">
        <v>7.8</v>
      </c>
      <c r="E29" s="3">
        <v>2.7</v>
      </c>
      <c r="F29" s="3">
        <v>2.2000000000000002</v>
      </c>
      <c r="G29" s="3" t="s">
        <v>9</v>
      </c>
      <c r="H29" s="12">
        <v>0</v>
      </c>
      <c r="I29" s="14">
        <v>0.43675380015538223</v>
      </c>
      <c r="J29" s="9" t="s">
        <v>823</v>
      </c>
    </row>
    <row r="30" spans="1:19" ht="28.8" x14ac:dyDescent="0.3">
      <c r="A30" s="3" t="s">
        <v>851</v>
      </c>
      <c r="B30" s="3" t="s">
        <v>12</v>
      </c>
      <c r="C30" s="3">
        <v>308</v>
      </c>
      <c r="D30" s="3">
        <v>5.6</v>
      </c>
      <c r="E30" s="3">
        <v>8.8000000000000007</v>
      </c>
      <c r="F30" s="3">
        <v>1</v>
      </c>
      <c r="G30" s="3" t="s">
        <v>13</v>
      </c>
      <c r="H30" s="12">
        <v>0</v>
      </c>
      <c r="I30" s="14">
        <v>0.60035381417733513</v>
      </c>
      <c r="J30" s="9" t="s">
        <v>823</v>
      </c>
    </row>
    <row r="31" spans="1:19" x14ac:dyDescent="0.3">
      <c r="A31" s="3" t="s">
        <v>852</v>
      </c>
      <c r="B31" s="3" t="s">
        <v>10</v>
      </c>
      <c r="C31" s="3">
        <v>239</v>
      </c>
      <c r="D31" s="3">
        <v>0.9</v>
      </c>
      <c r="E31" s="3">
        <v>5.3</v>
      </c>
      <c r="F31" s="3">
        <v>2.6</v>
      </c>
      <c r="G31" s="3" t="s">
        <v>11</v>
      </c>
      <c r="H31" s="12">
        <v>0</v>
      </c>
      <c r="I31" s="14">
        <v>0.51128886993358502</v>
      </c>
      <c r="J31" s="9" t="s">
        <v>823</v>
      </c>
    </row>
    <row r="32" spans="1:19" ht="28.8" x14ac:dyDescent="0.3">
      <c r="A32" s="3" t="s">
        <v>853</v>
      </c>
      <c r="B32" s="3" t="s">
        <v>18</v>
      </c>
      <c r="C32" s="3">
        <v>384</v>
      </c>
      <c r="D32" s="3">
        <v>7.1</v>
      </c>
      <c r="E32" s="3">
        <v>5.6</v>
      </c>
      <c r="F32" s="3">
        <v>2.5</v>
      </c>
      <c r="G32" s="3" t="s">
        <v>9</v>
      </c>
      <c r="H32" s="12">
        <v>0</v>
      </c>
      <c r="I32" s="14">
        <v>0.63128593603191374</v>
      </c>
      <c r="J32" s="9" t="s">
        <v>823</v>
      </c>
    </row>
    <row r="33" spans="1:10" x14ac:dyDescent="0.3">
      <c r="A33" s="3" t="s">
        <v>854</v>
      </c>
      <c r="B33" s="3" t="s">
        <v>8</v>
      </c>
      <c r="C33" s="3">
        <v>82</v>
      </c>
      <c r="D33" s="3">
        <v>1</v>
      </c>
      <c r="E33" s="3">
        <v>9</v>
      </c>
      <c r="F33" s="3">
        <v>1.8</v>
      </c>
      <c r="G33" s="3" t="s">
        <v>11</v>
      </c>
      <c r="H33" s="12">
        <v>0</v>
      </c>
      <c r="I33" s="14">
        <v>0.36488171503122346</v>
      </c>
      <c r="J33" s="9" t="s">
        <v>823</v>
      </c>
    </row>
    <row r="34" spans="1:10" x14ac:dyDescent="0.3">
      <c r="A34" s="3" t="s">
        <v>855</v>
      </c>
      <c r="B34" s="3" t="s">
        <v>10</v>
      </c>
      <c r="C34" s="3">
        <v>282</v>
      </c>
      <c r="D34" s="3">
        <v>7.9</v>
      </c>
      <c r="E34" s="3">
        <v>7.2</v>
      </c>
      <c r="F34" s="3">
        <v>1.4</v>
      </c>
      <c r="G34" s="3" t="s">
        <v>9</v>
      </c>
      <c r="H34" s="12">
        <v>0</v>
      </c>
      <c r="I34" s="14">
        <v>0.50576626931250745</v>
      </c>
      <c r="J34" s="9" t="s">
        <v>823</v>
      </c>
    </row>
    <row r="35" spans="1:10" ht="28.8" x14ac:dyDescent="0.3">
      <c r="A35" s="3" t="s">
        <v>856</v>
      </c>
      <c r="B35" s="3" t="s">
        <v>6</v>
      </c>
      <c r="C35" s="3">
        <v>466</v>
      </c>
      <c r="D35" s="3">
        <v>3.1</v>
      </c>
      <c r="E35" s="3">
        <v>4.2</v>
      </c>
      <c r="F35" s="3">
        <v>1.6</v>
      </c>
      <c r="G35" s="3" t="s">
        <v>7</v>
      </c>
      <c r="H35" s="12">
        <v>0</v>
      </c>
      <c r="I35" s="14">
        <v>0.46083834781212607</v>
      </c>
      <c r="J35" s="9" t="s">
        <v>823</v>
      </c>
    </row>
    <row r="36" spans="1:10" ht="28.8" x14ac:dyDescent="0.3">
      <c r="A36" s="3" t="s">
        <v>857</v>
      </c>
      <c r="B36" s="3" t="s">
        <v>6</v>
      </c>
      <c r="C36" s="3">
        <v>212</v>
      </c>
      <c r="D36" s="3">
        <v>4</v>
      </c>
      <c r="E36" s="3">
        <v>7</v>
      </c>
      <c r="F36" s="3">
        <v>2.1</v>
      </c>
      <c r="G36" s="3" t="s">
        <v>13</v>
      </c>
      <c r="H36" s="12">
        <v>0</v>
      </c>
      <c r="I36" s="14">
        <v>0.69127340451315289</v>
      </c>
      <c r="J36" s="9" t="s">
        <v>823</v>
      </c>
    </row>
    <row r="37" spans="1:10" ht="28.8" x14ac:dyDescent="0.3">
      <c r="A37" s="3" t="s">
        <v>858</v>
      </c>
      <c r="B37" s="3" t="s">
        <v>12</v>
      </c>
      <c r="C37" s="3">
        <v>478</v>
      </c>
      <c r="D37" s="3">
        <v>2.1</v>
      </c>
      <c r="E37" s="3">
        <v>3.7</v>
      </c>
      <c r="F37" s="3">
        <v>2.5</v>
      </c>
      <c r="G37" s="3" t="s">
        <v>7</v>
      </c>
      <c r="H37" s="12">
        <v>0</v>
      </c>
      <c r="I37" s="14">
        <v>0.21521692154022531</v>
      </c>
      <c r="J37" s="9" t="s">
        <v>823</v>
      </c>
    </row>
    <row r="38" spans="1:10" x14ac:dyDescent="0.3">
      <c r="A38" s="3" t="s">
        <v>859</v>
      </c>
      <c r="B38" s="3" t="s">
        <v>10</v>
      </c>
      <c r="C38" s="3">
        <v>181</v>
      </c>
      <c r="D38" s="3">
        <v>2</v>
      </c>
      <c r="E38" s="3">
        <v>9</v>
      </c>
      <c r="F38" s="3">
        <v>0.6</v>
      </c>
      <c r="G38" s="3" t="s">
        <v>7</v>
      </c>
      <c r="H38" s="12">
        <v>0</v>
      </c>
      <c r="I38" s="14">
        <v>0.1263789418147252</v>
      </c>
      <c r="J38" s="9" t="s">
        <v>823</v>
      </c>
    </row>
    <row r="39" spans="1:10" ht="28.8" x14ac:dyDescent="0.3">
      <c r="A39" s="3" t="s">
        <v>860</v>
      </c>
      <c r="B39" s="3" t="s">
        <v>18</v>
      </c>
      <c r="C39" s="3">
        <v>284</v>
      </c>
      <c r="D39" s="3">
        <v>0.9</v>
      </c>
      <c r="E39" s="3">
        <v>8.8000000000000007</v>
      </c>
      <c r="F39" s="3">
        <v>0.6</v>
      </c>
      <c r="G39" s="3" t="s">
        <v>11</v>
      </c>
      <c r="H39" s="12">
        <v>0</v>
      </c>
      <c r="I39" s="14">
        <v>0.20801183625756259</v>
      </c>
      <c r="J39" s="9" t="s">
        <v>823</v>
      </c>
    </row>
    <row r="40" spans="1:10" x14ac:dyDescent="0.3">
      <c r="A40" s="3" t="s">
        <v>861</v>
      </c>
      <c r="B40" s="3" t="s">
        <v>8</v>
      </c>
      <c r="C40" s="3">
        <v>347</v>
      </c>
      <c r="D40" s="3">
        <v>5.6</v>
      </c>
      <c r="E40" s="3">
        <v>7.5</v>
      </c>
      <c r="F40" s="3">
        <v>2.2000000000000002</v>
      </c>
      <c r="G40" s="3" t="s">
        <v>13</v>
      </c>
      <c r="H40" s="12">
        <v>0</v>
      </c>
      <c r="I40" s="14">
        <v>0.67003059651130037</v>
      </c>
      <c r="J40" s="9" t="s">
        <v>823</v>
      </c>
    </row>
    <row r="41" spans="1:10" ht="28.8" x14ac:dyDescent="0.3">
      <c r="A41" s="3" t="s">
        <v>862</v>
      </c>
      <c r="B41" s="3" t="s">
        <v>14</v>
      </c>
      <c r="C41" s="3">
        <v>329</v>
      </c>
      <c r="D41" s="3">
        <v>2</v>
      </c>
      <c r="E41" s="3">
        <v>7.5</v>
      </c>
      <c r="F41" s="3">
        <v>0.8</v>
      </c>
      <c r="G41" s="3" t="s">
        <v>7</v>
      </c>
      <c r="H41" s="12">
        <v>0</v>
      </c>
      <c r="I41" s="14">
        <v>0.25230060599266868</v>
      </c>
      <c r="J41" s="9" t="s">
        <v>823</v>
      </c>
    </row>
    <row r="42" spans="1:10" x14ac:dyDescent="0.3">
      <c r="A42" s="3" t="s">
        <v>863</v>
      </c>
      <c r="B42" s="3" t="s">
        <v>8</v>
      </c>
      <c r="C42" s="3">
        <v>223</v>
      </c>
      <c r="D42" s="3">
        <v>5.3</v>
      </c>
      <c r="E42" s="3">
        <v>3.7</v>
      </c>
      <c r="F42" s="3">
        <v>2.2000000000000002</v>
      </c>
      <c r="G42" s="3" t="s">
        <v>13</v>
      </c>
      <c r="H42" s="12">
        <v>0</v>
      </c>
      <c r="I42" s="14">
        <v>0.33530307492576317</v>
      </c>
      <c r="J42" s="9" t="s">
        <v>823</v>
      </c>
    </row>
    <row r="43" spans="1:10" x14ac:dyDescent="0.3">
      <c r="A43" s="3" t="s">
        <v>864</v>
      </c>
      <c r="B43" s="3" t="s">
        <v>8</v>
      </c>
      <c r="C43" s="3">
        <v>136</v>
      </c>
      <c r="D43" s="3">
        <v>0.6</v>
      </c>
      <c r="E43" s="3">
        <v>7.2</v>
      </c>
      <c r="F43" s="3">
        <v>1.8</v>
      </c>
      <c r="G43" s="3" t="s">
        <v>11</v>
      </c>
      <c r="H43" s="12">
        <v>0</v>
      </c>
      <c r="I43" s="14">
        <v>5.7940355418192313E-3</v>
      </c>
      <c r="J43" s="9" t="s">
        <v>823</v>
      </c>
    </row>
    <row r="44" spans="1:10" x14ac:dyDescent="0.3">
      <c r="A44" s="3" t="s">
        <v>865</v>
      </c>
      <c r="B44" s="3" t="s">
        <v>10</v>
      </c>
      <c r="C44" s="3">
        <v>359</v>
      </c>
      <c r="D44" s="3">
        <v>2</v>
      </c>
      <c r="E44" s="3">
        <v>3.7</v>
      </c>
      <c r="F44" s="3">
        <v>2.9</v>
      </c>
      <c r="G44" s="3" t="s">
        <v>7</v>
      </c>
      <c r="H44" s="12">
        <v>0</v>
      </c>
      <c r="I44" s="14">
        <v>0.37550776195226221</v>
      </c>
      <c r="J44" s="9" t="s">
        <v>823</v>
      </c>
    </row>
    <row r="45" spans="1:10" x14ac:dyDescent="0.3">
      <c r="A45" s="3" t="s">
        <v>866</v>
      </c>
      <c r="B45" s="3" t="s">
        <v>10</v>
      </c>
      <c r="C45" s="3">
        <v>456</v>
      </c>
      <c r="D45" s="3">
        <v>6.5</v>
      </c>
      <c r="E45" s="3">
        <v>5.7</v>
      </c>
      <c r="F45" s="3">
        <v>0.9</v>
      </c>
      <c r="G45" s="3" t="s">
        <v>9</v>
      </c>
      <c r="H45" s="12">
        <v>0</v>
      </c>
      <c r="I45" s="14">
        <v>9.3894544817863856E-2</v>
      </c>
      <c r="J45" s="9" t="s">
        <v>823</v>
      </c>
    </row>
    <row r="46" spans="1:10" ht="28.8" x14ac:dyDescent="0.3">
      <c r="A46" s="3" t="s">
        <v>867</v>
      </c>
      <c r="B46" s="3" t="s">
        <v>14</v>
      </c>
      <c r="C46" s="3">
        <v>499</v>
      </c>
      <c r="D46" s="3">
        <v>3.9</v>
      </c>
      <c r="E46" s="3">
        <v>3.1</v>
      </c>
      <c r="F46" s="3">
        <v>1.4</v>
      </c>
      <c r="G46" s="3" t="s">
        <v>7</v>
      </c>
      <c r="H46" s="12">
        <v>0</v>
      </c>
      <c r="I46" s="14">
        <v>0.36717839109035688</v>
      </c>
      <c r="J46" s="9" t="s">
        <v>823</v>
      </c>
    </row>
    <row r="47" spans="1:10" x14ac:dyDescent="0.3">
      <c r="A47" s="3" t="s">
        <v>868</v>
      </c>
      <c r="B47" s="3" t="s">
        <v>10</v>
      </c>
      <c r="C47" s="3">
        <v>242</v>
      </c>
      <c r="D47" s="3">
        <v>2.8</v>
      </c>
      <c r="E47" s="3">
        <v>1.9</v>
      </c>
      <c r="F47" s="3">
        <v>2.8</v>
      </c>
      <c r="G47" s="3" t="s">
        <v>7</v>
      </c>
      <c r="H47" s="12">
        <v>0</v>
      </c>
      <c r="I47" s="14">
        <v>0.10621223789653245</v>
      </c>
      <c r="J47" s="9" t="s">
        <v>823</v>
      </c>
    </row>
    <row r="48" spans="1:10" x14ac:dyDescent="0.3">
      <c r="A48" s="3" t="s">
        <v>869</v>
      </c>
      <c r="B48" s="3" t="s">
        <v>8</v>
      </c>
      <c r="C48" s="3">
        <v>127</v>
      </c>
      <c r="D48" s="3">
        <v>7.1</v>
      </c>
      <c r="E48" s="3">
        <v>3</v>
      </c>
      <c r="F48" s="3">
        <v>2.8</v>
      </c>
      <c r="G48" s="3" t="s">
        <v>9</v>
      </c>
      <c r="H48" s="12">
        <v>0</v>
      </c>
      <c r="I48" s="14">
        <v>0.69437017673231749</v>
      </c>
      <c r="J48" s="9" t="s">
        <v>823</v>
      </c>
    </row>
    <row r="49" spans="1:10" ht="28.8" x14ac:dyDescent="0.3">
      <c r="A49" s="3" t="s">
        <v>870</v>
      </c>
      <c r="B49" s="3" t="s">
        <v>18</v>
      </c>
      <c r="C49" s="3">
        <v>146</v>
      </c>
      <c r="D49" s="3">
        <v>7.8</v>
      </c>
      <c r="E49" s="3">
        <v>5.3</v>
      </c>
      <c r="F49" s="3">
        <v>1.9</v>
      </c>
      <c r="G49" s="3" t="s">
        <v>9</v>
      </c>
      <c r="H49" s="12">
        <v>0</v>
      </c>
      <c r="I49" s="14">
        <v>0.38932820259957635</v>
      </c>
      <c r="J49" s="9" t="s">
        <v>823</v>
      </c>
    </row>
    <row r="50" spans="1:10" ht="28.8" x14ac:dyDescent="0.3">
      <c r="A50" s="3" t="s">
        <v>871</v>
      </c>
      <c r="B50" s="3" t="s">
        <v>6</v>
      </c>
      <c r="C50" s="3">
        <v>281</v>
      </c>
      <c r="D50" s="3">
        <v>7.2</v>
      </c>
      <c r="E50" s="3">
        <v>1</v>
      </c>
      <c r="F50" s="3">
        <v>2.5</v>
      </c>
      <c r="G50" s="3" t="s">
        <v>9</v>
      </c>
      <c r="H50" s="12">
        <v>0</v>
      </c>
      <c r="I50" s="14">
        <v>0.15743707230396031</v>
      </c>
      <c r="J50" s="9" t="s">
        <v>823</v>
      </c>
    </row>
    <row r="51" spans="1:10" x14ac:dyDescent="0.3">
      <c r="A51" s="3" t="s">
        <v>872</v>
      </c>
      <c r="B51" s="3" t="s">
        <v>8</v>
      </c>
      <c r="C51" s="3">
        <v>167</v>
      </c>
      <c r="D51" s="3">
        <v>3</v>
      </c>
      <c r="E51" s="3">
        <v>2.1</v>
      </c>
      <c r="F51" s="3">
        <v>2.7</v>
      </c>
      <c r="G51" s="3" t="s">
        <v>7</v>
      </c>
      <c r="H51" s="12">
        <v>0</v>
      </c>
      <c r="I51" s="14">
        <v>0.60575543907367169</v>
      </c>
      <c r="J51" s="9" t="s">
        <v>823</v>
      </c>
    </row>
    <row r="52" spans="1:10" ht="28.8" x14ac:dyDescent="0.3">
      <c r="A52" s="3" t="s">
        <v>873</v>
      </c>
      <c r="B52" s="3" t="s">
        <v>6</v>
      </c>
      <c r="C52" s="3">
        <v>114</v>
      </c>
      <c r="D52" s="3">
        <v>5.4</v>
      </c>
      <c r="E52" s="3">
        <v>4.3</v>
      </c>
      <c r="F52" s="3">
        <v>1.9</v>
      </c>
      <c r="G52" s="3" t="s">
        <v>13</v>
      </c>
      <c r="H52" s="12">
        <v>0</v>
      </c>
      <c r="I52" s="14">
        <v>0.48435244436368452</v>
      </c>
      <c r="J52" s="9" t="s">
        <v>823</v>
      </c>
    </row>
    <row r="53" spans="1:10" ht="28.8" x14ac:dyDescent="0.3">
      <c r="A53" s="3" t="s">
        <v>874</v>
      </c>
      <c r="B53" s="3" t="s">
        <v>14</v>
      </c>
      <c r="C53" s="3">
        <v>394</v>
      </c>
      <c r="D53" s="3">
        <v>5.0999999999999996</v>
      </c>
      <c r="E53" s="3">
        <v>5.3</v>
      </c>
      <c r="F53" s="3">
        <v>1.3</v>
      </c>
      <c r="G53" s="3" t="s">
        <v>13</v>
      </c>
      <c r="H53" s="12">
        <v>0</v>
      </c>
      <c r="I53" s="14">
        <v>0.55573152327775144</v>
      </c>
      <c r="J53" s="9" t="s">
        <v>823</v>
      </c>
    </row>
    <row r="54" spans="1:10" ht="28.8" x14ac:dyDescent="0.3">
      <c r="A54" s="3" t="s">
        <v>875</v>
      </c>
      <c r="B54" s="3" t="s">
        <v>12</v>
      </c>
      <c r="C54" s="3">
        <v>352</v>
      </c>
      <c r="D54" s="3">
        <v>4.0999999999999996</v>
      </c>
      <c r="E54" s="3">
        <v>3.7</v>
      </c>
      <c r="F54" s="3">
        <v>0.6</v>
      </c>
      <c r="G54" s="3" t="s">
        <v>13</v>
      </c>
      <c r="H54" s="12">
        <v>0</v>
      </c>
      <c r="I54" s="14">
        <v>0.59198154830081473</v>
      </c>
      <c r="J54" s="9" t="s">
        <v>823</v>
      </c>
    </row>
    <row r="55" spans="1:10" ht="28.8" x14ac:dyDescent="0.3">
      <c r="A55" s="3" t="s">
        <v>876</v>
      </c>
      <c r="B55" s="3" t="s">
        <v>14</v>
      </c>
      <c r="C55" s="3">
        <v>60</v>
      </c>
      <c r="D55" s="3">
        <v>6.5</v>
      </c>
      <c r="E55" s="3">
        <v>4.7</v>
      </c>
      <c r="F55" s="3">
        <v>2.2999999999999998</v>
      </c>
      <c r="G55" s="3" t="s">
        <v>9</v>
      </c>
      <c r="H55" s="12">
        <v>0</v>
      </c>
      <c r="I55" s="14">
        <v>4.7559764942437521E-3</v>
      </c>
      <c r="J55" s="9" t="s">
        <v>823</v>
      </c>
    </row>
    <row r="56" spans="1:10" ht="28.8" x14ac:dyDescent="0.3">
      <c r="A56" s="3" t="s">
        <v>877</v>
      </c>
      <c r="B56" s="3" t="s">
        <v>18</v>
      </c>
      <c r="C56" s="3">
        <v>473</v>
      </c>
      <c r="D56" s="3">
        <v>1</v>
      </c>
      <c r="E56" s="3">
        <v>4</v>
      </c>
      <c r="F56" s="3">
        <v>3</v>
      </c>
      <c r="G56" s="3" t="s">
        <v>11</v>
      </c>
      <c r="H56" s="12">
        <v>0</v>
      </c>
      <c r="I56" s="14">
        <v>0.47454737609497777</v>
      </c>
      <c r="J56" s="9" t="s">
        <v>823</v>
      </c>
    </row>
    <row r="57" spans="1:10" ht="28.8" x14ac:dyDescent="0.3">
      <c r="A57" s="3" t="s">
        <v>878</v>
      </c>
      <c r="B57" s="3" t="s">
        <v>14</v>
      </c>
      <c r="C57" s="3">
        <v>449</v>
      </c>
      <c r="D57" s="3">
        <v>7.7</v>
      </c>
      <c r="E57" s="3">
        <v>2.2000000000000002</v>
      </c>
      <c r="F57" s="3">
        <v>1.9</v>
      </c>
      <c r="G57" s="3" t="s">
        <v>9</v>
      </c>
      <c r="H57" s="12">
        <v>0</v>
      </c>
      <c r="I57" s="14">
        <v>0.4415907972282852</v>
      </c>
      <c r="J57" s="9" t="s">
        <v>823</v>
      </c>
    </row>
    <row r="58" spans="1:10" ht="28.8" x14ac:dyDescent="0.3">
      <c r="A58" s="3" t="s">
        <v>879</v>
      </c>
      <c r="B58" s="3" t="s">
        <v>14</v>
      </c>
      <c r="C58" s="3">
        <v>326</v>
      </c>
      <c r="D58" s="3">
        <v>6.3</v>
      </c>
      <c r="E58" s="3">
        <v>3.4</v>
      </c>
      <c r="F58" s="3">
        <v>2.2999999999999998</v>
      </c>
      <c r="G58" s="3" t="s">
        <v>9</v>
      </c>
      <c r="H58" s="12">
        <v>0</v>
      </c>
      <c r="I58" s="14">
        <v>0.38852544777315001</v>
      </c>
      <c r="J58" s="9" t="s">
        <v>823</v>
      </c>
    </row>
    <row r="59" spans="1:10" ht="28.8" x14ac:dyDescent="0.3">
      <c r="A59" s="3" t="s">
        <v>880</v>
      </c>
      <c r="B59" s="3" t="s">
        <v>18</v>
      </c>
      <c r="C59" s="3">
        <v>354</v>
      </c>
      <c r="D59" s="3">
        <v>4</v>
      </c>
      <c r="E59" s="3">
        <v>8.1</v>
      </c>
      <c r="F59" s="3">
        <v>1.7</v>
      </c>
      <c r="G59" s="3" t="s">
        <v>13</v>
      </c>
      <c r="H59" s="12">
        <v>0</v>
      </c>
      <c r="I59" s="14">
        <v>0.2470843295765156</v>
      </c>
      <c r="J59" s="9" t="s">
        <v>823</v>
      </c>
    </row>
    <row r="60" spans="1:10" ht="28.8" x14ac:dyDescent="0.3">
      <c r="A60" s="3" t="s">
        <v>881</v>
      </c>
      <c r="B60" s="3" t="s">
        <v>14</v>
      </c>
      <c r="C60" s="3">
        <v>295</v>
      </c>
      <c r="D60" s="3">
        <v>7</v>
      </c>
      <c r="E60" s="3">
        <v>6.1</v>
      </c>
      <c r="F60" s="3">
        <v>2</v>
      </c>
      <c r="G60" s="3" t="s">
        <v>9</v>
      </c>
      <c r="H60" s="12">
        <v>0</v>
      </c>
      <c r="I60" s="14">
        <v>0.44992426803011709</v>
      </c>
      <c r="J60" s="9" t="s">
        <v>823</v>
      </c>
    </row>
    <row r="61" spans="1:10" ht="28.8" x14ac:dyDescent="0.3">
      <c r="A61" s="3" t="s">
        <v>882</v>
      </c>
      <c r="B61" s="3" t="s">
        <v>14</v>
      </c>
      <c r="C61" s="3">
        <v>52</v>
      </c>
      <c r="D61" s="3">
        <v>1.1000000000000001</v>
      </c>
      <c r="E61" s="3">
        <v>7</v>
      </c>
      <c r="F61" s="3">
        <v>1.5</v>
      </c>
      <c r="G61" s="3" t="s">
        <v>11</v>
      </c>
      <c r="H61" s="12">
        <v>0</v>
      </c>
      <c r="I61" s="14">
        <v>0.1962614924262569</v>
      </c>
      <c r="J61" s="9" t="s">
        <v>823</v>
      </c>
    </row>
    <row r="62" spans="1:10" x14ac:dyDescent="0.3">
      <c r="A62" s="3" t="s">
        <v>883</v>
      </c>
      <c r="B62" s="3" t="s">
        <v>10</v>
      </c>
      <c r="C62" s="3">
        <v>316</v>
      </c>
      <c r="D62" s="3">
        <v>2.7</v>
      </c>
      <c r="E62" s="3">
        <v>4.5999999999999996</v>
      </c>
      <c r="F62" s="3">
        <v>1.8</v>
      </c>
      <c r="G62" s="3" t="s">
        <v>7</v>
      </c>
      <c r="H62" s="12">
        <v>0</v>
      </c>
      <c r="I62" s="14">
        <v>0.18261741748741844</v>
      </c>
      <c r="J62" s="9" t="s">
        <v>823</v>
      </c>
    </row>
    <row r="63" spans="1:10" x14ac:dyDescent="0.3">
      <c r="A63" s="3" t="s">
        <v>884</v>
      </c>
      <c r="B63" s="3" t="s">
        <v>8</v>
      </c>
      <c r="C63" s="3">
        <v>372</v>
      </c>
      <c r="D63" s="3">
        <v>0.8</v>
      </c>
      <c r="E63" s="3">
        <v>6.8</v>
      </c>
      <c r="F63" s="3">
        <v>1.5</v>
      </c>
      <c r="G63" s="3" t="s">
        <v>11</v>
      </c>
      <c r="H63" s="12">
        <v>0</v>
      </c>
      <c r="I63" s="14">
        <v>0.12398831394554666</v>
      </c>
      <c r="J63" s="9" t="s">
        <v>823</v>
      </c>
    </row>
    <row r="64" spans="1:10" x14ac:dyDescent="0.3">
      <c r="A64" s="3" t="s">
        <v>885</v>
      </c>
      <c r="B64" s="3" t="s">
        <v>8</v>
      </c>
      <c r="C64" s="3">
        <v>465</v>
      </c>
      <c r="D64" s="3">
        <v>1.8</v>
      </c>
      <c r="E64" s="3">
        <v>0.9</v>
      </c>
      <c r="F64" s="3">
        <v>0.7</v>
      </c>
      <c r="G64" s="3" t="s">
        <v>11</v>
      </c>
      <c r="H64" s="12">
        <v>0</v>
      </c>
      <c r="I64" s="14">
        <v>0.17149153789863469</v>
      </c>
      <c r="J64" s="9" t="s">
        <v>823</v>
      </c>
    </row>
    <row r="65" spans="1:10" x14ac:dyDescent="0.3">
      <c r="A65" s="3" t="s">
        <v>886</v>
      </c>
      <c r="B65" s="3" t="s">
        <v>8</v>
      </c>
      <c r="C65" s="3">
        <v>491</v>
      </c>
      <c r="D65" s="3">
        <v>3.4</v>
      </c>
      <c r="E65" s="3">
        <v>5.7</v>
      </c>
      <c r="F65" s="3">
        <v>1.8</v>
      </c>
      <c r="G65" s="3" t="s">
        <v>7</v>
      </c>
      <c r="H65" s="12">
        <v>0</v>
      </c>
      <c r="I65" s="14">
        <v>0.44215738777626701</v>
      </c>
      <c r="J65" s="9" t="s">
        <v>823</v>
      </c>
    </row>
    <row r="66" spans="1:10" x14ac:dyDescent="0.3">
      <c r="A66" s="3" t="s">
        <v>887</v>
      </c>
      <c r="B66" s="3" t="s">
        <v>8</v>
      </c>
      <c r="C66" s="3">
        <v>127</v>
      </c>
      <c r="D66" s="3">
        <v>3.5</v>
      </c>
      <c r="E66" s="3">
        <v>4.5999999999999996</v>
      </c>
      <c r="F66" s="3">
        <v>1.6</v>
      </c>
      <c r="G66" s="3" t="s">
        <v>7</v>
      </c>
      <c r="H66" s="12">
        <v>0</v>
      </c>
      <c r="I66" s="14">
        <v>0.24425081630609935</v>
      </c>
      <c r="J66" s="9" t="s">
        <v>823</v>
      </c>
    </row>
    <row r="67" spans="1:10" ht="28.8" x14ac:dyDescent="0.3">
      <c r="A67" s="3" t="s">
        <v>888</v>
      </c>
      <c r="B67" s="3" t="s">
        <v>6</v>
      </c>
      <c r="C67" s="3">
        <v>149</v>
      </c>
      <c r="D67" s="3">
        <v>1.4</v>
      </c>
      <c r="E67" s="3">
        <v>5.5</v>
      </c>
      <c r="F67" s="3">
        <v>1.6</v>
      </c>
      <c r="G67" s="3" t="s">
        <v>11</v>
      </c>
      <c r="H67" s="12">
        <v>0</v>
      </c>
      <c r="I67" s="14">
        <v>0.26255565194676234</v>
      </c>
      <c r="J67" s="9" t="s">
        <v>823</v>
      </c>
    </row>
    <row r="68" spans="1:10" x14ac:dyDescent="0.3">
      <c r="A68" s="3" t="s">
        <v>889</v>
      </c>
      <c r="B68" s="3" t="s">
        <v>8</v>
      </c>
      <c r="C68" s="3">
        <v>162</v>
      </c>
      <c r="D68" s="3">
        <v>7.2</v>
      </c>
      <c r="E68" s="3">
        <v>9.6</v>
      </c>
      <c r="F68" s="3">
        <v>2.2999999999999998</v>
      </c>
      <c r="G68" s="3" t="s">
        <v>9</v>
      </c>
      <c r="H68" s="12">
        <v>0</v>
      </c>
      <c r="I68" s="14">
        <v>0.45119416727809414</v>
      </c>
      <c r="J68" s="9" t="s">
        <v>823</v>
      </c>
    </row>
    <row r="69" spans="1:10" ht="28.8" x14ac:dyDescent="0.3">
      <c r="A69" s="3" t="s">
        <v>890</v>
      </c>
      <c r="B69" s="3" t="s">
        <v>18</v>
      </c>
      <c r="C69" s="3">
        <v>325</v>
      </c>
      <c r="D69" s="3">
        <v>5.7</v>
      </c>
      <c r="E69" s="3">
        <v>2.9</v>
      </c>
      <c r="F69" s="3">
        <v>1.3</v>
      </c>
      <c r="G69" s="3" t="s">
        <v>13</v>
      </c>
      <c r="H69" s="12">
        <v>0</v>
      </c>
      <c r="I69" s="14">
        <v>0.68418418944440662</v>
      </c>
      <c r="J69" s="9" t="s">
        <v>823</v>
      </c>
    </row>
    <row r="70" spans="1:10" ht="28.8" x14ac:dyDescent="0.3">
      <c r="A70" s="3" t="s">
        <v>891</v>
      </c>
      <c r="B70" s="3" t="s">
        <v>18</v>
      </c>
      <c r="C70" s="3">
        <v>202</v>
      </c>
      <c r="D70" s="3">
        <v>3</v>
      </c>
      <c r="E70" s="3">
        <v>5.7</v>
      </c>
      <c r="F70" s="3">
        <v>2.2000000000000002</v>
      </c>
      <c r="G70" s="3" t="s">
        <v>7</v>
      </c>
      <c r="H70" s="12">
        <v>0</v>
      </c>
      <c r="I70" s="14">
        <v>0.48477465814271414</v>
      </c>
      <c r="J70" s="9" t="s">
        <v>823</v>
      </c>
    </row>
    <row r="71" spans="1:10" ht="28.8" x14ac:dyDescent="0.3">
      <c r="A71" s="3" t="s">
        <v>892</v>
      </c>
      <c r="B71" s="3" t="s">
        <v>18</v>
      </c>
      <c r="C71" s="3">
        <v>178</v>
      </c>
      <c r="D71" s="3">
        <v>1.6</v>
      </c>
      <c r="E71" s="3">
        <v>1.3</v>
      </c>
      <c r="F71" s="3">
        <v>2.7</v>
      </c>
      <c r="G71" s="3" t="s">
        <v>11</v>
      </c>
      <c r="H71" s="12">
        <v>0</v>
      </c>
      <c r="I71" s="14">
        <v>0.40522153653462667</v>
      </c>
      <c r="J71" s="9" t="s">
        <v>823</v>
      </c>
    </row>
    <row r="72" spans="1:10" x14ac:dyDescent="0.3">
      <c r="A72" s="3" t="s">
        <v>893</v>
      </c>
      <c r="B72" s="3" t="s">
        <v>10</v>
      </c>
      <c r="C72" s="3">
        <v>273</v>
      </c>
      <c r="D72" s="3">
        <v>1.3</v>
      </c>
      <c r="E72" s="3">
        <v>6.9</v>
      </c>
      <c r="F72" s="3">
        <v>0.6</v>
      </c>
      <c r="G72" s="3" t="s">
        <v>11</v>
      </c>
      <c r="H72" s="12">
        <v>0</v>
      </c>
      <c r="I72" s="14">
        <v>0.15737555743587639</v>
      </c>
      <c r="J72" s="9" t="s">
        <v>823</v>
      </c>
    </row>
    <row r="73" spans="1:10" x14ac:dyDescent="0.3">
      <c r="A73" s="3" t="s">
        <v>894</v>
      </c>
      <c r="B73" s="3" t="s">
        <v>8</v>
      </c>
      <c r="C73" s="3">
        <v>488</v>
      </c>
      <c r="D73" s="3">
        <v>5.2</v>
      </c>
      <c r="E73" s="3">
        <v>3.9</v>
      </c>
      <c r="F73" s="3">
        <v>2.7</v>
      </c>
      <c r="G73" s="3" t="s">
        <v>13</v>
      </c>
      <c r="H73" s="12">
        <v>0</v>
      </c>
      <c r="I73" s="14">
        <v>0.11860251194809102</v>
      </c>
      <c r="J73" s="9" t="s">
        <v>823</v>
      </c>
    </row>
    <row r="74" spans="1:10" x14ac:dyDescent="0.3">
      <c r="A74" s="3" t="s">
        <v>895</v>
      </c>
      <c r="B74" s="3" t="s">
        <v>10</v>
      </c>
      <c r="C74" s="3">
        <v>140</v>
      </c>
      <c r="D74" s="3">
        <v>2</v>
      </c>
      <c r="E74" s="3">
        <v>4.5</v>
      </c>
      <c r="F74" s="3">
        <v>1.9</v>
      </c>
      <c r="G74" s="3" t="s">
        <v>7</v>
      </c>
      <c r="H74" s="12">
        <v>0</v>
      </c>
      <c r="I74" s="14">
        <v>6.8605653570962266E-2</v>
      </c>
      <c r="J74" s="9" t="s">
        <v>823</v>
      </c>
    </row>
    <row r="75" spans="1:10" ht="28.8" x14ac:dyDescent="0.3">
      <c r="A75" s="3" t="s">
        <v>896</v>
      </c>
      <c r="B75" s="3" t="s">
        <v>14</v>
      </c>
      <c r="C75" s="3">
        <v>133</v>
      </c>
      <c r="D75" s="3">
        <v>7.1</v>
      </c>
      <c r="E75" s="3">
        <v>5.8</v>
      </c>
      <c r="F75" s="3">
        <v>0.9</v>
      </c>
      <c r="G75" s="3" t="s">
        <v>9</v>
      </c>
      <c r="H75" s="12">
        <v>0</v>
      </c>
      <c r="I75" s="14">
        <v>0.67154844766660005</v>
      </c>
      <c r="J75" s="9" t="s">
        <v>823</v>
      </c>
    </row>
    <row r="76" spans="1:10" ht="28.8" x14ac:dyDescent="0.3">
      <c r="A76" s="3" t="s">
        <v>897</v>
      </c>
      <c r="B76" s="3" t="s">
        <v>6</v>
      </c>
      <c r="C76" s="3">
        <v>245</v>
      </c>
      <c r="D76" s="3">
        <v>5.4</v>
      </c>
      <c r="E76" s="3">
        <v>2.6</v>
      </c>
      <c r="F76" s="3">
        <v>0.6</v>
      </c>
      <c r="G76" s="3" t="s">
        <v>13</v>
      </c>
      <c r="H76" s="12">
        <v>0</v>
      </c>
      <c r="I76" s="14">
        <v>0.30507200073533813</v>
      </c>
      <c r="J76" s="9" t="s">
        <v>823</v>
      </c>
    </row>
    <row r="77" spans="1:10" ht="28.8" x14ac:dyDescent="0.3">
      <c r="A77" s="3" t="s">
        <v>898</v>
      </c>
      <c r="B77" s="3" t="s">
        <v>6</v>
      </c>
      <c r="C77" s="3">
        <v>449</v>
      </c>
      <c r="D77" s="3">
        <v>2</v>
      </c>
      <c r="E77" s="3">
        <v>2.2999999999999998</v>
      </c>
      <c r="F77" s="3">
        <v>0.7</v>
      </c>
      <c r="G77" s="3" t="s">
        <v>7</v>
      </c>
      <c r="H77" s="12">
        <v>0</v>
      </c>
      <c r="I77" s="14">
        <v>0.28239317241638651</v>
      </c>
      <c r="J77" s="9" t="s">
        <v>823</v>
      </c>
    </row>
    <row r="78" spans="1:10" ht="28.8" x14ac:dyDescent="0.3">
      <c r="A78" s="3" t="s">
        <v>899</v>
      </c>
      <c r="B78" s="3" t="s">
        <v>18</v>
      </c>
      <c r="C78" s="3">
        <v>297</v>
      </c>
      <c r="D78" s="3">
        <v>4.3</v>
      </c>
      <c r="E78" s="3">
        <v>1.2</v>
      </c>
      <c r="F78" s="3">
        <v>1.1000000000000001</v>
      </c>
      <c r="G78" s="3" t="s">
        <v>13</v>
      </c>
      <c r="H78" s="12">
        <v>0</v>
      </c>
      <c r="I78" s="14">
        <v>0.11094817572580684</v>
      </c>
      <c r="J78" s="9" t="s">
        <v>823</v>
      </c>
    </row>
    <row r="79" spans="1:10" ht="28.8" x14ac:dyDescent="0.3">
      <c r="A79" s="3" t="s">
        <v>900</v>
      </c>
      <c r="B79" s="3" t="s">
        <v>12</v>
      </c>
      <c r="C79" s="3">
        <v>249</v>
      </c>
      <c r="D79" s="3">
        <v>6.7</v>
      </c>
      <c r="E79" s="3">
        <v>7.5</v>
      </c>
      <c r="F79" s="3">
        <v>1.1000000000000001</v>
      </c>
      <c r="G79" s="3" t="s">
        <v>9</v>
      </c>
      <c r="H79" s="12">
        <v>0</v>
      </c>
      <c r="I79" s="14">
        <v>0.64886258693444776</v>
      </c>
      <c r="J79" s="9" t="s">
        <v>823</v>
      </c>
    </row>
    <row r="80" spans="1:10" x14ac:dyDescent="0.3">
      <c r="A80" s="3" t="s">
        <v>901</v>
      </c>
      <c r="B80" s="3" t="s">
        <v>8</v>
      </c>
      <c r="C80" s="3">
        <v>358</v>
      </c>
      <c r="D80" s="3">
        <v>7.8</v>
      </c>
      <c r="E80" s="3">
        <v>0.9</v>
      </c>
      <c r="F80" s="3">
        <v>1.2</v>
      </c>
      <c r="G80" s="3" t="s">
        <v>9</v>
      </c>
      <c r="H80" s="12">
        <v>0</v>
      </c>
      <c r="I80" s="14">
        <v>0.5030408665685181</v>
      </c>
      <c r="J80" s="9" t="s">
        <v>823</v>
      </c>
    </row>
    <row r="81" spans="1:10" ht="28.8" x14ac:dyDescent="0.3">
      <c r="A81" s="3" t="s">
        <v>902</v>
      </c>
      <c r="B81" s="3" t="s">
        <v>18</v>
      </c>
      <c r="C81" s="3">
        <v>363</v>
      </c>
      <c r="D81" s="3">
        <v>3.6</v>
      </c>
      <c r="E81" s="3">
        <v>3.9</v>
      </c>
      <c r="F81" s="3">
        <v>1.4</v>
      </c>
      <c r="G81" s="3" t="s">
        <v>7</v>
      </c>
      <c r="H81" s="12">
        <v>0</v>
      </c>
      <c r="I81" s="14">
        <v>0.40988896197206171</v>
      </c>
      <c r="J81" s="9" t="s">
        <v>823</v>
      </c>
    </row>
    <row r="82" spans="1:10" ht="28.8" x14ac:dyDescent="0.3">
      <c r="A82" s="3" t="s">
        <v>903</v>
      </c>
      <c r="B82" s="3" t="s">
        <v>6</v>
      </c>
      <c r="C82" s="3">
        <v>213</v>
      </c>
      <c r="D82" s="3">
        <v>2.4</v>
      </c>
      <c r="E82" s="3">
        <v>1.8</v>
      </c>
      <c r="F82" s="3">
        <v>2.7</v>
      </c>
      <c r="G82" s="3" t="s">
        <v>7</v>
      </c>
      <c r="H82" s="12">
        <v>0</v>
      </c>
      <c r="I82" s="14">
        <v>1.8762027267431591E-3</v>
      </c>
      <c r="J82" s="9" t="s">
        <v>823</v>
      </c>
    </row>
    <row r="83" spans="1:10" ht="28.8" x14ac:dyDescent="0.3">
      <c r="A83" s="3" t="s">
        <v>904</v>
      </c>
      <c r="B83" s="3" t="s">
        <v>6</v>
      </c>
      <c r="C83" s="3">
        <v>107</v>
      </c>
      <c r="D83" s="3">
        <v>4.2</v>
      </c>
      <c r="E83" s="3">
        <v>1.2</v>
      </c>
      <c r="F83" s="3">
        <v>0.9</v>
      </c>
      <c r="G83" s="3" t="s">
        <v>13</v>
      </c>
      <c r="H83" s="12">
        <v>0</v>
      </c>
      <c r="I83" s="14">
        <v>0.64369752467702901</v>
      </c>
      <c r="J83" s="9" t="s">
        <v>823</v>
      </c>
    </row>
    <row r="84" spans="1:10" ht="28.8" x14ac:dyDescent="0.3">
      <c r="A84" s="3" t="s">
        <v>905</v>
      </c>
      <c r="B84" s="3" t="s">
        <v>12</v>
      </c>
      <c r="C84" s="3">
        <v>260</v>
      </c>
      <c r="D84" s="3">
        <v>3.8</v>
      </c>
      <c r="E84" s="3">
        <v>6.3</v>
      </c>
      <c r="F84" s="3">
        <v>2.9</v>
      </c>
      <c r="G84" s="3" t="s">
        <v>7</v>
      </c>
      <c r="H84" s="12">
        <v>0</v>
      </c>
      <c r="I84" s="14">
        <v>0.36539548803090727</v>
      </c>
      <c r="J84" s="9" t="s">
        <v>823</v>
      </c>
    </row>
    <row r="85" spans="1:10" ht="28.8" x14ac:dyDescent="0.3">
      <c r="A85" s="3" t="s">
        <v>906</v>
      </c>
      <c r="B85" s="3" t="s">
        <v>14</v>
      </c>
      <c r="C85" s="3">
        <v>465</v>
      </c>
      <c r="D85" s="3">
        <v>4.5</v>
      </c>
      <c r="E85" s="3">
        <v>1.2</v>
      </c>
      <c r="F85" s="3">
        <v>2.2999999999999998</v>
      </c>
      <c r="G85" s="3" t="s">
        <v>13</v>
      </c>
      <c r="H85" s="12">
        <v>0</v>
      </c>
      <c r="I85" s="14">
        <v>0.38388908800855792</v>
      </c>
      <c r="J85" s="9" t="s">
        <v>823</v>
      </c>
    </row>
    <row r="86" spans="1:10" x14ac:dyDescent="0.3">
      <c r="A86" s="3" t="s">
        <v>907</v>
      </c>
      <c r="B86" s="3" t="s">
        <v>10</v>
      </c>
      <c r="C86" s="3">
        <v>391</v>
      </c>
      <c r="D86" s="3">
        <v>3.7</v>
      </c>
      <c r="E86" s="3">
        <v>7.7</v>
      </c>
      <c r="F86" s="3">
        <v>2.9</v>
      </c>
      <c r="G86" s="3" t="s">
        <v>7</v>
      </c>
      <c r="H86" s="12">
        <v>0</v>
      </c>
      <c r="I86" s="14">
        <v>0.65814030220377928</v>
      </c>
      <c r="J86" s="9" t="s">
        <v>823</v>
      </c>
    </row>
    <row r="87" spans="1:10" ht="28.8" x14ac:dyDescent="0.3">
      <c r="A87" s="3" t="s">
        <v>908</v>
      </c>
      <c r="B87" s="3" t="s">
        <v>18</v>
      </c>
      <c r="C87" s="3">
        <v>272</v>
      </c>
      <c r="D87" s="3">
        <v>4.3</v>
      </c>
      <c r="E87" s="3">
        <v>4.3</v>
      </c>
      <c r="F87" s="3">
        <v>2.9</v>
      </c>
      <c r="G87" s="3" t="s">
        <v>13</v>
      </c>
      <c r="H87" s="12">
        <v>0</v>
      </c>
      <c r="I87" s="14">
        <v>1.0465712053437159E-2</v>
      </c>
      <c r="J87" s="9" t="s">
        <v>823</v>
      </c>
    </row>
    <row r="88" spans="1:10" ht="28.8" x14ac:dyDescent="0.3">
      <c r="A88" s="3" t="s">
        <v>909</v>
      </c>
      <c r="B88" s="3" t="s">
        <v>18</v>
      </c>
      <c r="C88" s="3">
        <v>265</v>
      </c>
      <c r="D88" s="3">
        <v>2.1</v>
      </c>
      <c r="E88" s="3">
        <v>5.0999999999999996</v>
      </c>
      <c r="F88" s="3">
        <v>1.3</v>
      </c>
      <c r="G88" s="3" t="s">
        <v>7</v>
      </c>
      <c r="H88" s="12">
        <v>0</v>
      </c>
      <c r="I88" s="14">
        <v>6.568400983478595E-2</v>
      </c>
      <c r="J88" s="9" t="s">
        <v>823</v>
      </c>
    </row>
    <row r="89" spans="1:10" ht="28.8" x14ac:dyDescent="0.3">
      <c r="A89" s="3" t="s">
        <v>910</v>
      </c>
      <c r="B89" s="3" t="s">
        <v>6</v>
      </c>
      <c r="C89" s="3">
        <v>263</v>
      </c>
      <c r="D89" s="3">
        <v>1.3</v>
      </c>
      <c r="E89" s="3">
        <v>7.7</v>
      </c>
      <c r="F89" s="3">
        <v>1.3</v>
      </c>
      <c r="G89" s="3" t="s">
        <v>11</v>
      </c>
      <c r="H89" s="12">
        <v>0</v>
      </c>
      <c r="I89" s="14">
        <v>0.14077241325406409</v>
      </c>
      <c r="J89" s="9" t="s">
        <v>823</v>
      </c>
    </row>
    <row r="90" spans="1:10" ht="28.8" x14ac:dyDescent="0.3">
      <c r="A90" s="3" t="s">
        <v>911</v>
      </c>
      <c r="B90" s="3" t="s">
        <v>12</v>
      </c>
      <c r="C90" s="3">
        <v>89</v>
      </c>
      <c r="D90" s="3">
        <v>1.7</v>
      </c>
      <c r="E90" s="3">
        <v>2.8</v>
      </c>
      <c r="F90" s="3">
        <v>1.6</v>
      </c>
      <c r="G90" s="3" t="s">
        <v>11</v>
      </c>
      <c r="H90" s="12">
        <v>0</v>
      </c>
      <c r="I90" s="14">
        <v>0.39258231847486424</v>
      </c>
      <c r="J90" s="9" t="s">
        <v>823</v>
      </c>
    </row>
    <row r="91" spans="1:10" ht="28.8" x14ac:dyDescent="0.3">
      <c r="A91" s="3" t="s">
        <v>912</v>
      </c>
      <c r="B91" s="3" t="s">
        <v>14</v>
      </c>
      <c r="C91" s="3">
        <v>411</v>
      </c>
      <c r="D91" s="3">
        <v>6</v>
      </c>
      <c r="E91" s="3">
        <v>4.7</v>
      </c>
      <c r="F91" s="3">
        <v>2.8</v>
      </c>
      <c r="G91" s="3" t="s">
        <v>9</v>
      </c>
      <c r="H91" s="12">
        <v>0</v>
      </c>
      <c r="I91" s="14">
        <v>0.28078141746004015</v>
      </c>
      <c r="J91" s="9" t="s">
        <v>823</v>
      </c>
    </row>
    <row r="92" spans="1:10" x14ac:dyDescent="0.3">
      <c r="A92" s="3" t="s">
        <v>913</v>
      </c>
      <c r="B92" s="3" t="s">
        <v>8</v>
      </c>
      <c r="C92" s="3">
        <v>264</v>
      </c>
      <c r="D92" s="3">
        <v>2</v>
      </c>
      <c r="E92" s="3">
        <v>0.6</v>
      </c>
      <c r="F92" s="3">
        <v>1.2</v>
      </c>
      <c r="G92" s="3" t="s">
        <v>7</v>
      </c>
      <c r="H92" s="12">
        <v>0</v>
      </c>
      <c r="I92" s="14">
        <v>0.37061796339865993</v>
      </c>
      <c r="J92" s="9" t="s">
        <v>823</v>
      </c>
    </row>
    <row r="93" spans="1:10" ht="28.8" x14ac:dyDescent="0.3">
      <c r="A93" s="3" t="s">
        <v>914</v>
      </c>
      <c r="B93" s="3" t="s">
        <v>12</v>
      </c>
      <c r="C93" s="3">
        <v>494</v>
      </c>
      <c r="D93" s="3">
        <v>3</v>
      </c>
      <c r="E93" s="3">
        <v>6</v>
      </c>
      <c r="F93" s="3">
        <v>1</v>
      </c>
      <c r="G93" s="3" t="s">
        <v>7</v>
      </c>
      <c r="H93" s="12">
        <v>0</v>
      </c>
      <c r="I93" s="14">
        <v>0.5386491678615255</v>
      </c>
      <c r="J93" s="9" t="s">
        <v>823</v>
      </c>
    </row>
    <row r="94" spans="1:10" x14ac:dyDescent="0.3">
      <c r="A94" s="3" t="s">
        <v>915</v>
      </c>
      <c r="B94" s="3" t="s">
        <v>10</v>
      </c>
      <c r="C94" s="3">
        <v>149</v>
      </c>
      <c r="D94" s="3">
        <v>7.6</v>
      </c>
      <c r="E94" s="3">
        <v>8.1999999999999993</v>
      </c>
      <c r="F94" s="3">
        <v>1.6</v>
      </c>
      <c r="G94" s="3" t="s">
        <v>9</v>
      </c>
      <c r="H94" s="12">
        <v>0</v>
      </c>
      <c r="I94" s="14">
        <v>0.49105321786292733</v>
      </c>
      <c r="J94" s="9" t="s">
        <v>823</v>
      </c>
    </row>
    <row r="95" spans="1:10" x14ac:dyDescent="0.3">
      <c r="A95" s="3" t="s">
        <v>916</v>
      </c>
      <c r="B95" s="3" t="s">
        <v>8</v>
      </c>
      <c r="C95" s="3">
        <v>395</v>
      </c>
      <c r="D95" s="3">
        <v>5.6</v>
      </c>
      <c r="E95" s="3">
        <v>6.1</v>
      </c>
      <c r="F95" s="3">
        <v>2.9</v>
      </c>
      <c r="G95" s="3" t="s">
        <v>13</v>
      </c>
      <c r="H95" s="12">
        <v>0</v>
      </c>
      <c r="I95" s="14">
        <v>0.63047763754659436</v>
      </c>
      <c r="J95" s="9" t="s">
        <v>823</v>
      </c>
    </row>
    <row r="96" spans="1:10" ht="28.8" x14ac:dyDescent="0.3">
      <c r="A96" s="3" t="s">
        <v>917</v>
      </c>
      <c r="B96" s="3" t="s">
        <v>12</v>
      </c>
      <c r="C96" s="3">
        <v>404</v>
      </c>
      <c r="D96" s="3">
        <v>0.8</v>
      </c>
      <c r="E96" s="3">
        <v>2.8</v>
      </c>
      <c r="F96" s="3">
        <v>0.5</v>
      </c>
      <c r="G96" s="3" t="s">
        <v>11</v>
      </c>
      <c r="H96" s="12">
        <v>0</v>
      </c>
      <c r="I96" s="14">
        <v>0.47754809384515218</v>
      </c>
      <c r="J96" s="9" t="s">
        <v>823</v>
      </c>
    </row>
    <row r="97" spans="1:10" ht="28.8" x14ac:dyDescent="0.3">
      <c r="A97" s="3" t="s">
        <v>918</v>
      </c>
      <c r="B97" s="3" t="s">
        <v>14</v>
      </c>
      <c r="C97" s="3">
        <v>72</v>
      </c>
      <c r="D97" s="3">
        <v>0.9</v>
      </c>
      <c r="E97" s="3">
        <v>3</v>
      </c>
      <c r="F97" s="3">
        <v>2.6</v>
      </c>
      <c r="G97" s="3" t="s">
        <v>11</v>
      </c>
      <c r="H97" s="12">
        <v>0</v>
      </c>
      <c r="I97" s="14">
        <v>0.30811137651096865</v>
      </c>
      <c r="J97" s="9" t="s">
        <v>823</v>
      </c>
    </row>
    <row r="98" spans="1:10" ht="28.8" x14ac:dyDescent="0.3">
      <c r="A98" s="3" t="s">
        <v>919</v>
      </c>
      <c r="B98" s="3" t="s">
        <v>14</v>
      </c>
      <c r="C98" s="3">
        <v>497</v>
      </c>
      <c r="D98" s="3">
        <v>7.3</v>
      </c>
      <c r="E98" s="3">
        <v>1.8</v>
      </c>
      <c r="F98" s="3">
        <v>2</v>
      </c>
      <c r="G98" s="3" t="s">
        <v>9</v>
      </c>
      <c r="H98" s="12">
        <v>0</v>
      </c>
      <c r="I98" s="14">
        <v>0.58315049160593269</v>
      </c>
      <c r="J98" s="9" t="s">
        <v>823</v>
      </c>
    </row>
    <row r="99" spans="1:10" x14ac:dyDescent="0.3">
      <c r="A99" s="3" t="s">
        <v>920</v>
      </c>
      <c r="B99" s="3" t="s">
        <v>10</v>
      </c>
      <c r="C99" s="3">
        <v>245</v>
      </c>
      <c r="D99" s="3">
        <v>4.5999999999999996</v>
      </c>
      <c r="E99" s="3">
        <v>8.9</v>
      </c>
      <c r="F99" s="3">
        <v>1</v>
      </c>
      <c r="G99" s="3" t="s">
        <v>13</v>
      </c>
      <c r="H99" s="12">
        <v>0</v>
      </c>
      <c r="I99" s="14">
        <v>0.53453278698247186</v>
      </c>
      <c r="J99" s="9" t="s">
        <v>823</v>
      </c>
    </row>
    <row r="100" spans="1:10" x14ac:dyDescent="0.3">
      <c r="A100" s="3" t="s">
        <v>921</v>
      </c>
      <c r="B100" s="3" t="s">
        <v>8</v>
      </c>
      <c r="C100" s="3">
        <v>156</v>
      </c>
      <c r="D100" s="3">
        <v>7.7</v>
      </c>
      <c r="E100" s="3">
        <v>2.9</v>
      </c>
      <c r="F100" s="3">
        <v>1.5</v>
      </c>
      <c r="G100" s="3" t="s">
        <v>9</v>
      </c>
      <c r="H100" s="12">
        <v>0</v>
      </c>
      <c r="I100" s="14">
        <v>0.62771624381955737</v>
      </c>
      <c r="J100" s="9" t="s">
        <v>823</v>
      </c>
    </row>
    <row r="101" spans="1:10" x14ac:dyDescent="0.3">
      <c r="A101" s="3" t="s">
        <v>922</v>
      </c>
      <c r="B101" s="3" t="s">
        <v>8</v>
      </c>
      <c r="C101" s="3">
        <v>446</v>
      </c>
      <c r="D101" s="3">
        <v>4.2</v>
      </c>
      <c r="E101" s="3">
        <v>9.3000000000000007</v>
      </c>
      <c r="F101" s="3">
        <v>1.5</v>
      </c>
      <c r="G101" s="3" t="s">
        <v>13</v>
      </c>
      <c r="H101" s="12">
        <v>0</v>
      </c>
      <c r="I101" s="14">
        <v>0.58894790437803524</v>
      </c>
      <c r="J101" s="9" t="s">
        <v>823</v>
      </c>
    </row>
    <row r="102" spans="1:10" ht="28.8" x14ac:dyDescent="0.3">
      <c r="A102" s="3" t="s">
        <v>923</v>
      </c>
      <c r="B102" s="3" t="s">
        <v>18</v>
      </c>
      <c r="C102" s="3">
        <v>305</v>
      </c>
      <c r="D102" s="3">
        <v>2.9</v>
      </c>
      <c r="E102" s="3">
        <v>3.8</v>
      </c>
      <c r="F102" s="3">
        <v>2.8</v>
      </c>
      <c r="G102" s="3" t="s">
        <v>7</v>
      </c>
      <c r="H102" s="12">
        <v>0</v>
      </c>
      <c r="I102" s="14">
        <v>0.35738445521630935</v>
      </c>
      <c r="J102" s="9" t="s">
        <v>823</v>
      </c>
    </row>
    <row r="103" spans="1:10" ht="28.8" x14ac:dyDescent="0.3">
      <c r="A103" s="3" t="s">
        <v>924</v>
      </c>
      <c r="B103" s="3" t="s">
        <v>12</v>
      </c>
      <c r="C103" s="3">
        <v>108</v>
      </c>
      <c r="D103" s="3">
        <v>5.6</v>
      </c>
      <c r="E103" s="3">
        <v>7.8</v>
      </c>
      <c r="F103" s="3">
        <v>2.4</v>
      </c>
      <c r="G103" s="3" t="s">
        <v>13</v>
      </c>
      <c r="H103" s="12">
        <v>0</v>
      </c>
      <c r="I103" s="14">
        <v>0.57973929433826554</v>
      </c>
      <c r="J103" s="9" t="s">
        <v>823</v>
      </c>
    </row>
    <row r="104" spans="1:10" ht="28.8" x14ac:dyDescent="0.3">
      <c r="A104" s="3" t="s">
        <v>925</v>
      </c>
      <c r="B104" s="3" t="s">
        <v>14</v>
      </c>
      <c r="C104" s="3">
        <v>169</v>
      </c>
      <c r="D104" s="3">
        <v>3.3</v>
      </c>
      <c r="E104" s="3">
        <v>6.9</v>
      </c>
      <c r="F104" s="3">
        <v>0.9</v>
      </c>
      <c r="G104" s="3" t="s">
        <v>7</v>
      </c>
      <c r="H104" s="12">
        <v>0</v>
      </c>
      <c r="I104" s="14">
        <v>0.61119486248868116</v>
      </c>
      <c r="J104" s="9" t="s">
        <v>823</v>
      </c>
    </row>
    <row r="105" spans="1:10" ht="28.8" x14ac:dyDescent="0.3">
      <c r="A105" s="3" t="s">
        <v>926</v>
      </c>
      <c r="B105" s="3" t="s">
        <v>14</v>
      </c>
      <c r="C105" s="3">
        <v>199</v>
      </c>
      <c r="D105" s="3">
        <v>6.1</v>
      </c>
      <c r="E105" s="3">
        <v>4.0999999999999996</v>
      </c>
      <c r="F105" s="3">
        <v>2.1</v>
      </c>
      <c r="G105" s="3" t="s">
        <v>9</v>
      </c>
      <c r="H105" s="12">
        <v>0</v>
      </c>
      <c r="I105" s="14">
        <v>0.11907392471402278</v>
      </c>
      <c r="J105" s="9" t="s">
        <v>823</v>
      </c>
    </row>
    <row r="106" spans="1:10" ht="28.8" x14ac:dyDescent="0.3">
      <c r="A106" s="3" t="s">
        <v>927</v>
      </c>
      <c r="B106" s="3" t="s">
        <v>14</v>
      </c>
      <c r="C106" s="3">
        <v>337</v>
      </c>
      <c r="D106" s="3">
        <v>5.5</v>
      </c>
      <c r="E106" s="3">
        <v>5.4</v>
      </c>
      <c r="F106" s="3">
        <v>2.2999999999999998</v>
      </c>
      <c r="G106" s="3" t="s">
        <v>13</v>
      </c>
      <c r="H106" s="12">
        <v>0</v>
      </c>
      <c r="I106" s="14">
        <v>0.65966314004272208</v>
      </c>
      <c r="J106" s="9" t="s">
        <v>823</v>
      </c>
    </row>
    <row r="107" spans="1:10" ht="28.8" x14ac:dyDescent="0.3">
      <c r="A107" s="3" t="s">
        <v>928</v>
      </c>
      <c r="B107" s="3" t="s">
        <v>12</v>
      </c>
      <c r="C107" s="3">
        <v>207</v>
      </c>
      <c r="D107" s="3">
        <v>4.3</v>
      </c>
      <c r="E107" s="3">
        <v>2.8</v>
      </c>
      <c r="F107" s="3">
        <v>2.7</v>
      </c>
      <c r="G107" s="3" t="s">
        <v>13</v>
      </c>
      <c r="H107" s="12">
        <v>0</v>
      </c>
      <c r="I107" s="14">
        <v>3.4121257429478913E-2</v>
      </c>
      <c r="J107" s="9" t="s">
        <v>823</v>
      </c>
    </row>
    <row r="108" spans="1:10" x14ac:dyDescent="0.3">
      <c r="A108" s="3" t="s">
        <v>929</v>
      </c>
      <c r="B108" s="3" t="s">
        <v>8</v>
      </c>
      <c r="C108" s="3">
        <v>348</v>
      </c>
      <c r="D108" s="3">
        <v>4.7</v>
      </c>
      <c r="E108" s="3">
        <v>5</v>
      </c>
      <c r="F108" s="3">
        <v>2.5</v>
      </c>
      <c r="G108" s="3" t="s">
        <v>13</v>
      </c>
      <c r="H108" s="12">
        <v>0</v>
      </c>
      <c r="I108" s="14">
        <v>3.6102294148436131E-2</v>
      </c>
      <c r="J108" s="9" t="s">
        <v>823</v>
      </c>
    </row>
    <row r="109" spans="1:10" ht="28.8" x14ac:dyDescent="0.3">
      <c r="A109" s="3" t="s">
        <v>930</v>
      </c>
      <c r="B109" s="3" t="s">
        <v>6</v>
      </c>
      <c r="C109" s="3">
        <v>499</v>
      </c>
      <c r="D109" s="3">
        <v>1.9</v>
      </c>
      <c r="E109" s="3">
        <v>9.6999999999999993</v>
      </c>
      <c r="F109" s="3">
        <v>1.1000000000000001</v>
      </c>
      <c r="G109" s="3" t="s">
        <v>11</v>
      </c>
      <c r="H109" s="12">
        <v>0</v>
      </c>
      <c r="I109" s="14">
        <v>0.48123457424759841</v>
      </c>
      <c r="J109" s="9" t="s">
        <v>823</v>
      </c>
    </row>
    <row r="110" spans="1:10" x14ac:dyDescent="0.3">
      <c r="A110" s="3" t="s">
        <v>931</v>
      </c>
      <c r="B110" s="3" t="s">
        <v>8</v>
      </c>
      <c r="C110" s="3">
        <v>166</v>
      </c>
      <c r="D110" s="3">
        <v>6.5</v>
      </c>
      <c r="E110" s="3">
        <v>4.5999999999999996</v>
      </c>
      <c r="F110" s="3">
        <v>0.9</v>
      </c>
      <c r="G110" s="3" t="s">
        <v>9</v>
      </c>
      <c r="H110" s="12">
        <v>0</v>
      </c>
      <c r="I110" s="14">
        <v>0.1885536817377701</v>
      </c>
      <c r="J110" s="9" t="s">
        <v>823</v>
      </c>
    </row>
    <row r="111" spans="1:10" ht="28.8" x14ac:dyDescent="0.3">
      <c r="A111" s="3" t="s">
        <v>932</v>
      </c>
      <c r="B111" s="3" t="s">
        <v>18</v>
      </c>
      <c r="C111" s="3">
        <v>186</v>
      </c>
      <c r="D111" s="3">
        <v>3</v>
      </c>
      <c r="E111" s="3">
        <v>1.9</v>
      </c>
      <c r="F111" s="3">
        <v>1.3</v>
      </c>
      <c r="G111" s="3" t="s">
        <v>7</v>
      </c>
      <c r="H111" s="12">
        <v>0</v>
      </c>
      <c r="I111" s="14">
        <v>0.55008315537689756</v>
      </c>
      <c r="J111" s="9" t="s">
        <v>823</v>
      </c>
    </row>
    <row r="112" spans="1:10" ht="28.8" x14ac:dyDescent="0.3">
      <c r="A112" s="3" t="s">
        <v>933</v>
      </c>
      <c r="B112" s="3" t="s">
        <v>6</v>
      </c>
      <c r="C112" s="3">
        <v>386</v>
      </c>
      <c r="D112" s="3">
        <v>5.9</v>
      </c>
      <c r="E112" s="3">
        <v>8.5</v>
      </c>
      <c r="F112" s="3">
        <v>0.6</v>
      </c>
      <c r="G112" s="3" t="s">
        <v>13</v>
      </c>
      <c r="H112" s="12">
        <v>0</v>
      </c>
      <c r="I112" s="14">
        <v>0.27655670721782444</v>
      </c>
      <c r="J112" s="9" t="s">
        <v>823</v>
      </c>
    </row>
    <row r="113" spans="1:10" ht="28.8" x14ac:dyDescent="0.3">
      <c r="A113" s="3" t="s">
        <v>934</v>
      </c>
      <c r="B113" s="3" t="s">
        <v>6</v>
      </c>
      <c r="C113" s="3">
        <v>238</v>
      </c>
      <c r="D113" s="3">
        <v>6.2</v>
      </c>
      <c r="E113" s="3">
        <v>7.8</v>
      </c>
      <c r="F113" s="3">
        <v>1.7</v>
      </c>
      <c r="G113" s="3" t="s">
        <v>9</v>
      </c>
      <c r="H113" s="12">
        <v>0</v>
      </c>
      <c r="I113" s="14">
        <v>0.65268472470813677</v>
      </c>
      <c r="J113" s="9" t="s">
        <v>823</v>
      </c>
    </row>
    <row r="114" spans="1:10" ht="28.8" x14ac:dyDescent="0.3">
      <c r="A114" s="3" t="s">
        <v>935</v>
      </c>
      <c r="B114" s="3" t="s">
        <v>18</v>
      </c>
      <c r="C114" s="3">
        <v>199</v>
      </c>
      <c r="D114" s="3">
        <v>7.3</v>
      </c>
      <c r="E114" s="3">
        <v>7.3</v>
      </c>
      <c r="F114" s="3">
        <v>1.8</v>
      </c>
      <c r="G114" s="3" t="s">
        <v>9</v>
      </c>
      <c r="H114" s="12">
        <v>0</v>
      </c>
      <c r="I114" s="14">
        <v>0.57164285579342489</v>
      </c>
      <c r="J114" s="9" t="s">
        <v>823</v>
      </c>
    </row>
    <row r="115" spans="1:10" ht="28.8" x14ac:dyDescent="0.3">
      <c r="A115" s="3" t="s">
        <v>936</v>
      </c>
      <c r="B115" s="3" t="s">
        <v>18</v>
      </c>
      <c r="C115" s="3">
        <v>57</v>
      </c>
      <c r="D115" s="3">
        <v>7.4</v>
      </c>
      <c r="E115" s="3">
        <v>7.8</v>
      </c>
      <c r="F115" s="3">
        <v>0.7</v>
      </c>
      <c r="G115" s="3" t="s">
        <v>9</v>
      </c>
      <c r="H115" s="12">
        <v>0</v>
      </c>
      <c r="I115" s="14">
        <v>4.9115802636889527E-2</v>
      </c>
      <c r="J115" s="9" t="s">
        <v>823</v>
      </c>
    </row>
    <row r="116" spans="1:10" ht="28.8" x14ac:dyDescent="0.3">
      <c r="A116" s="3" t="s">
        <v>937</v>
      </c>
      <c r="B116" s="3" t="s">
        <v>12</v>
      </c>
      <c r="C116" s="3">
        <v>140</v>
      </c>
      <c r="D116" s="3">
        <v>7.1</v>
      </c>
      <c r="E116" s="3">
        <v>8.1999999999999993</v>
      </c>
      <c r="F116" s="3">
        <v>3</v>
      </c>
      <c r="G116" s="3" t="s">
        <v>9</v>
      </c>
      <c r="H116" s="12">
        <v>0</v>
      </c>
      <c r="I116" s="14">
        <v>0.20525974537773306</v>
      </c>
      <c r="J116" s="9" t="s">
        <v>823</v>
      </c>
    </row>
    <row r="117" spans="1:10" ht="28.8" x14ac:dyDescent="0.3">
      <c r="A117" s="3" t="s">
        <v>938</v>
      </c>
      <c r="B117" s="3" t="s">
        <v>14</v>
      </c>
      <c r="C117" s="3">
        <v>205</v>
      </c>
      <c r="D117" s="3">
        <v>5.7</v>
      </c>
      <c r="E117" s="3">
        <v>3.4</v>
      </c>
      <c r="F117" s="3">
        <v>1.5</v>
      </c>
      <c r="G117" s="3" t="s">
        <v>13</v>
      </c>
      <c r="H117" s="12">
        <v>0</v>
      </c>
      <c r="I117" s="14">
        <v>0.49134481787295081</v>
      </c>
      <c r="J117" s="9" t="s">
        <v>823</v>
      </c>
    </row>
    <row r="118" spans="1:10" ht="28.8" x14ac:dyDescent="0.3">
      <c r="A118" s="3" t="s">
        <v>939</v>
      </c>
      <c r="B118" s="3" t="s">
        <v>14</v>
      </c>
      <c r="C118" s="3">
        <v>240</v>
      </c>
      <c r="D118" s="3">
        <v>0.7</v>
      </c>
      <c r="E118" s="3">
        <v>8.1999999999999993</v>
      </c>
      <c r="F118" s="3">
        <v>2.6</v>
      </c>
      <c r="G118" s="3" t="s">
        <v>11</v>
      </c>
      <c r="H118" s="12">
        <v>0</v>
      </c>
      <c r="I118" s="14">
        <v>9.3609786804807915E-2</v>
      </c>
      <c r="J118" s="9" t="s">
        <v>823</v>
      </c>
    </row>
    <row r="119" spans="1:10" x14ac:dyDescent="0.3">
      <c r="A119" s="3" t="s">
        <v>940</v>
      </c>
      <c r="B119" s="3" t="s">
        <v>8</v>
      </c>
      <c r="C119" s="3">
        <v>331</v>
      </c>
      <c r="D119" s="3">
        <v>0.9</v>
      </c>
      <c r="E119" s="3">
        <v>3</v>
      </c>
      <c r="F119" s="3">
        <v>0.7</v>
      </c>
      <c r="G119" s="3" t="s">
        <v>11</v>
      </c>
      <c r="H119" s="12">
        <v>0</v>
      </c>
      <c r="I119" s="14">
        <v>0.57403871147477292</v>
      </c>
      <c r="J119" s="9" t="s">
        <v>823</v>
      </c>
    </row>
    <row r="120" spans="1:10" x14ac:dyDescent="0.3">
      <c r="A120" s="3" t="s">
        <v>941</v>
      </c>
      <c r="B120" s="3" t="s">
        <v>8</v>
      </c>
      <c r="C120" s="3">
        <v>156</v>
      </c>
      <c r="D120" s="3">
        <v>4</v>
      </c>
      <c r="E120" s="3">
        <v>3.3</v>
      </c>
      <c r="F120" s="3">
        <v>2.4</v>
      </c>
      <c r="G120" s="3" t="s">
        <v>13</v>
      </c>
      <c r="H120" s="12">
        <v>0</v>
      </c>
      <c r="I120" s="14">
        <v>0.10478301599754458</v>
      </c>
      <c r="J120" s="9" t="s">
        <v>823</v>
      </c>
    </row>
    <row r="121" spans="1:10" x14ac:dyDescent="0.3">
      <c r="A121" s="3" t="s">
        <v>942</v>
      </c>
      <c r="B121" s="3" t="s">
        <v>10</v>
      </c>
      <c r="C121" s="3">
        <v>155</v>
      </c>
      <c r="D121" s="3">
        <v>4.8</v>
      </c>
      <c r="E121" s="3">
        <v>7</v>
      </c>
      <c r="F121" s="3">
        <v>2.7</v>
      </c>
      <c r="G121" s="3" t="s">
        <v>13</v>
      </c>
      <c r="H121" s="12">
        <v>0</v>
      </c>
      <c r="I121" s="14">
        <v>0.4760081318461965</v>
      </c>
      <c r="J121" s="9" t="s">
        <v>823</v>
      </c>
    </row>
    <row r="122" spans="1:10" ht="28.8" x14ac:dyDescent="0.3">
      <c r="A122" s="3" t="s">
        <v>943</v>
      </c>
      <c r="B122" s="3" t="s">
        <v>18</v>
      </c>
      <c r="C122" s="3">
        <v>90</v>
      </c>
      <c r="D122" s="3">
        <v>7.4</v>
      </c>
      <c r="E122" s="3">
        <v>6.6</v>
      </c>
      <c r="F122" s="3">
        <v>0.7</v>
      </c>
      <c r="G122" s="3" t="s">
        <v>9</v>
      </c>
      <c r="H122" s="12">
        <v>0</v>
      </c>
      <c r="I122" s="14">
        <v>0.32530604324253343</v>
      </c>
      <c r="J122" s="9" t="s">
        <v>823</v>
      </c>
    </row>
    <row r="123" spans="1:10" ht="28.8" x14ac:dyDescent="0.3">
      <c r="A123" s="3" t="s">
        <v>944</v>
      </c>
      <c r="B123" s="3" t="s">
        <v>18</v>
      </c>
      <c r="C123" s="3">
        <v>116</v>
      </c>
      <c r="D123" s="3">
        <v>0.6</v>
      </c>
      <c r="E123" s="3">
        <v>1.9</v>
      </c>
      <c r="F123" s="3">
        <v>1.7</v>
      </c>
      <c r="G123" s="3" t="s">
        <v>11</v>
      </c>
      <c r="H123" s="12">
        <v>0</v>
      </c>
      <c r="I123" s="14">
        <v>0.2428443146786935</v>
      </c>
      <c r="J123" s="9" t="s">
        <v>823</v>
      </c>
    </row>
    <row r="124" spans="1:10" ht="28.8" x14ac:dyDescent="0.3">
      <c r="A124" s="3" t="s">
        <v>945</v>
      </c>
      <c r="B124" s="3" t="s">
        <v>6</v>
      </c>
      <c r="C124" s="3">
        <v>392</v>
      </c>
      <c r="D124" s="3">
        <v>5.8</v>
      </c>
      <c r="E124" s="3">
        <v>6.6</v>
      </c>
      <c r="F124" s="3">
        <v>1.7</v>
      </c>
      <c r="G124" s="3" t="s">
        <v>13</v>
      </c>
      <c r="H124" s="12">
        <v>0</v>
      </c>
      <c r="I124" s="14">
        <v>0.42699947907633851</v>
      </c>
      <c r="J124" s="9" t="s">
        <v>823</v>
      </c>
    </row>
    <row r="125" spans="1:10" ht="28.8" x14ac:dyDescent="0.3">
      <c r="A125" s="3" t="s">
        <v>946</v>
      </c>
      <c r="B125" s="3" t="s">
        <v>6</v>
      </c>
      <c r="C125" s="3">
        <v>476</v>
      </c>
      <c r="D125" s="3">
        <v>3.6</v>
      </c>
      <c r="E125" s="3">
        <v>6</v>
      </c>
      <c r="F125" s="3">
        <v>1.8</v>
      </c>
      <c r="G125" s="3" t="s">
        <v>7</v>
      </c>
      <c r="H125" s="12">
        <v>0</v>
      </c>
      <c r="I125" s="14">
        <v>0.58466094849983774</v>
      </c>
      <c r="J125" s="9" t="s">
        <v>823</v>
      </c>
    </row>
    <row r="126" spans="1:10" ht="28.8" x14ac:dyDescent="0.3">
      <c r="A126" s="3" t="s">
        <v>947</v>
      </c>
      <c r="B126" s="3" t="s">
        <v>6</v>
      </c>
      <c r="C126" s="3">
        <v>337</v>
      </c>
      <c r="D126" s="3">
        <v>5.6</v>
      </c>
      <c r="E126" s="3">
        <v>7.9</v>
      </c>
      <c r="F126" s="3">
        <v>1</v>
      </c>
      <c r="G126" s="3" t="s">
        <v>13</v>
      </c>
      <c r="H126" s="12">
        <v>0</v>
      </c>
      <c r="I126" s="14">
        <v>0.65023292879378836</v>
      </c>
      <c r="J126" s="9" t="s">
        <v>823</v>
      </c>
    </row>
    <row r="127" spans="1:10" ht="28.8" x14ac:dyDescent="0.3">
      <c r="A127" s="3" t="s">
        <v>948</v>
      </c>
      <c r="B127" s="3" t="s">
        <v>14</v>
      </c>
      <c r="C127" s="3">
        <v>248</v>
      </c>
      <c r="D127" s="3">
        <v>0.8</v>
      </c>
      <c r="E127" s="3">
        <v>2.4</v>
      </c>
      <c r="F127" s="3">
        <v>1.3</v>
      </c>
      <c r="G127" s="3" t="s">
        <v>11</v>
      </c>
      <c r="H127" s="12">
        <v>0</v>
      </c>
      <c r="I127" s="14">
        <v>0.38195324372427997</v>
      </c>
      <c r="J127" s="9" t="s">
        <v>823</v>
      </c>
    </row>
    <row r="128" spans="1:10" x14ac:dyDescent="0.3">
      <c r="A128" s="3" t="s">
        <v>949</v>
      </c>
      <c r="B128" s="3" t="s">
        <v>10</v>
      </c>
      <c r="C128" s="3">
        <v>269</v>
      </c>
      <c r="D128" s="3">
        <v>3.3</v>
      </c>
      <c r="E128" s="3">
        <v>9.8000000000000007</v>
      </c>
      <c r="F128" s="3">
        <v>1.1000000000000001</v>
      </c>
      <c r="G128" s="3" t="s">
        <v>7</v>
      </c>
      <c r="H128" s="12">
        <v>0</v>
      </c>
      <c r="I128" s="14">
        <v>0.64996412089345257</v>
      </c>
      <c r="J128" s="9" t="s">
        <v>823</v>
      </c>
    </row>
    <row r="129" spans="1:10" x14ac:dyDescent="0.3">
      <c r="A129" s="3" t="s">
        <v>950</v>
      </c>
      <c r="B129" s="3" t="s">
        <v>8</v>
      </c>
      <c r="C129" s="3">
        <v>224</v>
      </c>
      <c r="D129" s="3">
        <v>7.4</v>
      </c>
      <c r="E129" s="3">
        <v>3.7</v>
      </c>
      <c r="F129" s="3">
        <v>1.6</v>
      </c>
      <c r="G129" s="3" t="s">
        <v>9</v>
      </c>
      <c r="H129" s="12">
        <v>0</v>
      </c>
      <c r="I129" s="14">
        <v>0.13812698361176123</v>
      </c>
      <c r="J129" s="9" t="s">
        <v>823</v>
      </c>
    </row>
    <row r="130" spans="1:10" ht="28.8" x14ac:dyDescent="0.3">
      <c r="A130" s="3" t="s">
        <v>951</v>
      </c>
      <c r="B130" s="3" t="s">
        <v>12</v>
      </c>
      <c r="C130" s="3">
        <v>319</v>
      </c>
      <c r="D130" s="3">
        <v>1.3</v>
      </c>
      <c r="E130" s="3">
        <v>6.7</v>
      </c>
      <c r="F130" s="3">
        <v>2.4</v>
      </c>
      <c r="G130" s="3" t="s">
        <v>11</v>
      </c>
      <c r="H130" s="12">
        <v>0</v>
      </c>
      <c r="I130" s="14">
        <v>0.29101199531434452</v>
      </c>
      <c r="J130" s="9" t="s">
        <v>823</v>
      </c>
    </row>
    <row r="131" spans="1:10" x14ac:dyDescent="0.3">
      <c r="A131" s="3" t="s">
        <v>952</v>
      </c>
      <c r="B131" s="3" t="s">
        <v>10</v>
      </c>
      <c r="C131" s="3">
        <v>139</v>
      </c>
      <c r="D131" s="3">
        <v>5.2</v>
      </c>
      <c r="E131" s="3">
        <v>5.9</v>
      </c>
      <c r="F131" s="3">
        <v>2.4</v>
      </c>
      <c r="G131" s="3" t="s">
        <v>13</v>
      </c>
      <c r="H131" s="12">
        <v>0</v>
      </c>
      <c r="I131" s="14">
        <v>0.39310491836906036</v>
      </c>
      <c r="J131" s="9" t="s">
        <v>823</v>
      </c>
    </row>
    <row r="132" spans="1:10" ht="28.8" x14ac:dyDescent="0.3">
      <c r="A132" s="3" t="s">
        <v>953</v>
      </c>
      <c r="B132" s="3" t="s">
        <v>6</v>
      </c>
      <c r="C132" s="3">
        <v>330</v>
      </c>
      <c r="D132" s="3">
        <v>7.7</v>
      </c>
      <c r="E132" s="3">
        <v>8.9</v>
      </c>
      <c r="F132" s="3">
        <v>2</v>
      </c>
      <c r="G132" s="3" t="s">
        <v>9</v>
      </c>
      <c r="H132" s="12">
        <v>0</v>
      </c>
      <c r="I132" s="14">
        <v>0.15013846625581229</v>
      </c>
      <c r="J132" s="9" t="s">
        <v>823</v>
      </c>
    </row>
    <row r="133" spans="1:10" x14ac:dyDescent="0.3">
      <c r="A133" s="3" t="s">
        <v>954</v>
      </c>
      <c r="B133" s="3" t="s">
        <v>10</v>
      </c>
      <c r="C133" s="3">
        <v>326</v>
      </c>
      <c r="D133" s="3">
        <v>7.3</v>
      </c>
      <c r="E133" s="3">
        <v>6</v>
      </c>
      <c r="F133" s="3">
        <v>2.6</v>
      </c>
      <c r="G133" s="3" t="s">
        <v>9</v>
      </c>
      <c r="H133" s="12">
        <v>0</v>
      </c>
      <c r="I133" s="14">
        <v>0.19258404610780833</v>
      </c>
      <c r="J133" s="9" t="s">
        <v>823</v>
      </c>
    </row>
    <row r="134" spans="1:10" ht="28.8" x14ac:dyDescent="0.3">
      <c r="A134" s="3" t="s">
        <v>955</v>
      </c>
      <c r="B134" s="3" t="s">
        <v>18</v>
      </c>
      <c r="C134" s="3">
        <v>469</v>
      </c>
      <c r="D134" s="3">
        <v>4.7</v>
      </c>
      <c r="E134" s="3">
        <v>9.6999999999999993</v>
      </c>
      <c r="F134" s="3">
        <v>1.2</v>
      </c>
      <c r="G134" s="3" t="s">
        <v>13</v>
      </c>
      <c r="H134" s="12">
        <v>0</v>
      </c>
      <c r="I134" s="14">
        <v>0.45641504620928897</v>
      </c>
      <c r="J134" s="9" t="s">
        <v>823</v>
      </c>
    </row>
    <row r="135" spans="1:10" ht="28.8" x14ac:dyDescent="0.3">
      <c r="A135" s="3" t="s">
        <v>956</v>
      </c>
      <c r="B135" s="3" t="s">
        <v>6</v>
      </c>
      <c r="C135" s="3">
        <v>197</v>
      </c>
      <c r="D135" s="3">
        <v>4.9000000000000004</v>
      </c>
      <c r="E135" s="3">
        <v>0.8</v>
      </c>
      <c r="F135" s="3">
        <v>1.2</v>
      </c>
      <c r="G135" s="3" t="s">
        <v>13</v>
      </c>
      <c r="H135" s="12">
        <v>0</v>
      </c>
      <c r="I135" s="14">
        <v>0.13015002828551436</v>
      </c>
      <c r="J135" s="9" t="s">
        <v>823</v>
      </c>
    </row>
    <row r="136" spans="1:10" ht="28.8" x14ac:dyDescent="0.3">
      <c r="A136" s="3" t="s">
        <v>957</v>
      </c>
      <c r="B136" s="3" t="s">
        <v>12</v>
      </c>
      <c r="C136" s="3">
        <v>468</v>
      </c>
      <c r="D136" s="3">
        <v>4.7</v>
      </c>
      <c r="E136" s="3">
        <v>0.9</v>
      </c>
      <c r="F136" s="3">
        <v>2</v>
      </c>
      <c r="G136" s="3" t="s">
        <v>13</v>
      </c>
      <c r="H136" s="12">
        <v>0</v>
      </c>
      <c r="I136" s="14">
        <v>0.21362244842508449</v>
      </c>
      <c r="J136" s="9" t="s">
        <v>823</v>
      </c>
    </row>
    <row r="137" spans="1:10" x14ac:dyDescent="0.3">
      <c r="A137" s="3" t="s">
        <v>958</v>
      </c>
      <c r="B137" s="3" t="s">
        <v>10</v>
      </c>
      <c r="C137" s="3">
        <v>435</v>
      </c>
      <c r="D137" s="3">
        <v>3.2</v>
      </c>
      <c r="E137" s="3">
        <v>2.7</v>
      </c>
      <c r="F137" s="3">
        <v>0.7</v>
      </c>
      <c r="G137" s="3" t="s">
        <v>7</v>
      </c>
      <c r="H137" s="12">
        <v>0</v>
      </c>
      <c r="I137" s="14">
        <v>0.65911802169368461</v>
      </c>
      <c r="J137" s="9" t="s">
        <v>823</v>
      </c>
    </row>
    <row r="138" spans="1:10" ht="28.8" x14ac:dyDescent="0.3">
      <c r="A138" s="3" t="s">
        <v>959</v>
      </c>
      <c r="B138" s="3" t="s">
        <v>14</v>
      </c>
      <c r="C138" s="3">
        <v>102</v>
      </c>
      <c r="D138" s="3">
        <v>6.3</v>
      </c>
      <c r="E138" s="3">
        <v>8.1999999999999993</v>
      </c>
      <c r="F138" s="3">
        <v>2.7</v>
      </c>
      <c r="G138" s="3" t="s">
        <v>9</v>
      </c>
      <c r="H138" s="12">
        <v>0</v>
      </c>
      <c r="I138" s="14">
        <v>0.61106590447832532</v>
      </c>
      <c r="J138" s="9" t="s">
        <v>823</v>
      </c>
    </row>
    <row r="139" spans="1:10" ht="28.8" x14ac:dyDescent="0.3">
      <c r="A139" s="3" t="s">
        <v>960</v>
      </c>
      <c r="B139" s="3" t="s">
        <v>18</v>
      </c>
      <c r="C139" s="3">
        <v>62</v>
      </c>
      <c r="D139" s="3">
        <v>5.4</v>
      </c>
      <c r="E139" s="3">
        <v>7.7</v>
      </c>
      <c r="F139" s="3">
        <v>2.9</v>
      </c>
      <c r="G139" s="3" t="s">
        <v>13</v>
      </c>
      <c r="H139" s="12">
        <v>0</v>
      </c>
      <c r="I139" s="14">
        <v>0.57535266036605393</v>
      </c>
      <c r="J139" s="9" t="s">
        <v>823</v>
      </c>
    </row>
    <row r="140" spans="1:10" ht="28.8" x14ac:dyDescent="0.3">
      <c r="A140" s="3" t="s">
        <v>961</v>
      </c>
      <c r="B140" s="3" t="s">
        <v>14</v>
      </c>
      <c r="C140" s="3">
        <v>199</v>
      </c>
      <c r="D140" s="3">
        <v>1.1000000000000001</v>
      </c>
      <c r="E140" s="3">
        <v>2.1</v>
      </c>
      <c r="F140" s="3">
        <v>1.5</v>
      </c>
      <c r="G140" s="3" t="s">
        <v>11</v>
      </c>
      <c r="H140" s="12">
        <v>0</v>
      </c>
      <c r="I140" s="14">
        <v>0.35762445800039722</v>
      </c>
      <c r="J140" s="9" t="s">
        <v>823</v>
      </c>
    </row>
    <row r="141" spans="1:10" x14ac:dyDescent="0.3">
      <c r="A141" s="3" t="s">
        <v>218</v>
      </c>
      <c r="B141" s="3" t="s">
        <v>8</v>
      </c>
      <c r="C141" s="3">
        <v>422</v>
      </c>
      <c r="D141" s="3">
        <v>4.5999999999999996</v>
      </c>
      <c r="E141" s="3">
        <v>4.4000000000000004</v>
      </c>
      <c r="F141" s="3">
        <v>0.6</v>
      </c>
      <c r="G141" s="3" t="s">
        <v>13</v>
      </c>
      <c r="H141" s="12">
        <v>0</v>
      </c>
      <c r="I141" s="14">
        <v>0.60379894236193732</v>
      </c>
      <c r="J141" s="9" t="s">
        <v>823</v>
      </c>
    </row>
    <row r="142" spans="1:10" ht="28.8" x14ac:dyDescent="0.3">
      <c r="A142" s="3" t="s">
        <v>219</v>
      </c>
      <c r="B142" s="3" t="s">
        <v>6</v>
      </c>
      <c r="C142" s="3">
        <v>93</v>
      </c>
      <c r="D142" s="3">
        <v>7</v>
      </c>
      <c r="E142" s="3">
        <v>8.9</v>
      </c>
      <c r="F142" s="3">
        <v>1.9</v>
      </c>
      <c r="G142" s="3" t="s">
        <v>9</v>
      </c>
      <c r="H142" s="12">
        <v>0</v>
      </c>
      <c r="I142" s="14">
        <v>2.6481326416889717E-2</v>
      </c>
      <c r="J142" s="9" t="s">
        <v>823</v>
      </c>
    </row>
    <row r="143" spans="1:10" x14ac:dyDescent="0.3">
      <c r="A143" s="3" t="s">
        <v>220</v>
      </c>
      <c r="B143" s="3" t="s">
        <v>10</v>
      </c>
      <c r="C143" s="3">
        <v>109</v>
      </c>
      <c r="D143" s="3">
        <v>4.2</v>
      </c>
      <c r="E143" s="3">
        <v>6.3</v>
      </c>
      <c r="F143" s="3">
        <v>1.8</v>
      </c>
      <c r="G143" s="3" t="s">
        <v>13</v>
      </c>
      <c r="H143" s="12">
        <v>0</v>
      </c>
      <c r="I143" s="14">
        <v>0.32362141806804379</v>
      </c>
      <c r="J143" s="9" t="s">
        <v>823</v>
      </c>
    </row>
    <row r="144" spans="1:10" ht="28.8" x14ac:dyDescent="0.3">
      <c r="A144" s="3" t="s">
        <v>222</v>
      </c>
      <c r="B144" s="3" t="s">
        <v>14</v>
      </c>
      <c r="C144" s="3">
        <v>380</v>
      </c>
      <c r="D144" s="3">
        <v>4.2</v>
      </c>
      <c r="E144" s="3">
        <v>6.8</v>
      </c>
      <c r="F144" s="3">
        <v>0.9</v>
      </c>
      <c r="G144" s="3" t="s">
        <v>13</v>
      </c>
      <c r="H144" s="12">
        <v>0</v>
      </c>
      <c r="I144" s="14">
        <v>0.59240848061656859</v>
      </c>
      <c r="J144" s="9" t="s">
        <v>823</v>
      </c>
    </row>
    <row r="145" spans="1:10" x14ac:dyDescent="0.3">
      <c r="A145" s="3" t="s">
        <v>223</v>
      </c>
      <c r="B145" s="3" t="s">
        <v>10</v>
      </c>
      <c r="C145" s="3">
        <v>370</v>
      </c>
      <c r="D145" s="3">
        <v>6.6</v>
      </c>
      <c r="E145" s="3">
        <v>0.7</v>
      </c>
      <c r="F145" s="3">
        <v>1.4</v>
      </c>
      <c r="G145" s="3" t="s">
        <v>9</v>
      </c>
      <c r="H145" s="12">
        <v>0</v>
      </c>
      <c r="I145" s="14">
        <v>0.13661790411469299</v>
      </c>
      <c r="J145" s="9" t="s">
        <v>823</v>
      </c>
    </row>
    <row r="146" spans="1:10" ht="28.8" x14ac:dyDescent="0.3">
      <c r="A146" s="3" t="s">
        <v>224</v>
      </c>
      <c r="B146" s="3" t="s">
        <v>14</v>
      </c>
      <c r="C146" s="3">
        <v>285</v>
      </c>
      <c r="D146" s="3">
        <v>2.9</v>
      </c>
      <c r="E146" s="3">
        <v>3.6</v>
      </c>
      <c r="F146" s="3">
        <v>2.2999999999999998</v>
      </c>
      <c r="G146" s="3" t="s">
        <v>7</v>
      </c>
      <c r="H146" s="12">
        <v>0</v>
      </c>
      <c r="I146" s="14">
        <v>0.62024616967313828</v>
      </c>
      <c r="J146" s="9" t="s">
        <v>823</v>
      </c>
    </row>
    <row r="147" spans="1:10" ht="28.8" x14ac:dyDescent="0.3">
      <c r="A147" s="3" t="s">
        <v>225</v>
      </c>
      <c r="B147" s="3" t="s">
        <v>14</v>
      </c>
      <c r="C147" s="3">
        <v>53</v>
      </c>
      <c r="D147" s="3">
        <v>5.8</v>
      </c>
      <c r="E147" s="3">
        <v>1.6</v>
      </c>
      <c r="F147" s="3">
        <v>1.3</v>
      </c>
      <c r="G147" s="3" t="s">
        <v>13</v>
      </c>
      <c r="H147" s="12">
        <v>0</v>
      </c>
      <c r="I147" s="14">
        <v>0.10229964814591463</v>
      </c>
      <c r="J147" s="9" t="s">
        <v>823</v>
      </c>
    </row>
    <row r="148" spans="1:10" x14ac:dyDescent="0.3">
      <c r="A148" s="3" t="s">
        <v>226</v>
      </c>
      <c r="B148" s="3" t="s">
        <v>8</v>
      </c>
      <c r="C148" s="3">
        <v>430</v>
      </c>
      <c r="D148" s="3">
        <v>6.7</v>
      </c>
      <c r="E148" s="3">
        <v>6.1</v>
      </c>
      <c r="F148" s="3">
        <v>2.8</v>
      </c>
      <c r="G148" s="3" t="s">
        <v>9</v>
      </c>
      <c r="H148" s="12">
        <v>0</v>
      </c>
      <c r="I148" s="14">
        <v>0.59849889696366965</v>
      </c>
      <c r="J148" s="9" t="s">
        <v>823</v>
      </c>
    </row>
    <row r="149" spans="1:10" x14ac:dyDescent="0.3">
      <c r="A149" s="3" t="s">
        <v>233</v>
      </c>
      <c r="B149" s="3" t="s">
        <v>10</v>
      </c>
      <c r="C149" s="3">
        <v>50</v>
      </c>
      <c r="D149" s="3">
        <v>3.6</v>
      </c>
      <c r="E149" s="3">
        <v>5.9</v>
      </c>
      <c r="F149" s="3">
        <v>2.8</v>
      </c>
      <c r="G149" s="3" t="s">
        <v>7</v>
      </c>
      <c r="H149" s="12">
        <v>0</v>
      </c>
      <c r="I149" s="14">
        <v>0.5981236819435668</v>
      </c>
      <c r="J149" s="9" t="s">
        <v>823</v>
      </c>
    </row>
    <row r="150" spans="1:10" ht="28.8" x14ac:dyDescent="0.3">
      <c r="A150" s="3" t="s">
        <v>235</v>
      </c>
      <c r="B150" s="3" t="s">
        <v>6</v>
      </c>
      <c r="C150" s="3">
        <v>419</v>
      </c>
      <c r="D150" s="3">
        <v>7.3</v>
      </c>
      <c r="E150" s="3">
        <v>4.7</v>
      </c>
      <c r="F150" s="3">
        <v>0.7</v>
      </c>
      <c r="G150" s="3" t="s">
        <v>9</v>
      </c>
      <c r="H150" s="12">
        <v>0</v>
      </c>
      <c r="I150" s="14">
        <v>0.41888301450314291</v>
      </c>
      <c r="J150" s="9" t="s">
        <v>823</v>
      </c>
    </row>
    <row r="151" spans="1:10" x14ac:dyDescent="0.3">
      <c r="A151" s="3" t="s">
        <v>236</v>
      </c>
      <c r="B151" s="3" t="s">
        <v>10</v>
      </c>
      <c r="C151" s="3">
        <v>330</v>
      </c>
      <c r="D151" s="3">
        <v>6.7</v>
      </c>
      <c r="E151" s="3">
        <v>1.6</v>
      </c>
      <c r="F151" s="3">
        <v>1.7</v>
      </c>
      <c r="G151" s="3" t="s">
        <v>9</v>
      </c>
      <c r="H151" s="12">
        <v>0</v>
      </c>
      <c r="I151" s="14">
        <v>0.58119153724305272</v>
      </c>
      <c r="J151" s="9" t="s">
        <v>823</v>
      </c>
    </row>
    <row r="152" spans="1:10" ht="28.8" x14ac:dyDescent="0.3">
      <c r="A152" s="3" t="s">
        <v>237</v>
      </c>
      <c r="B152" s="3" t="s">
        <v>14</v>
      </c>
      <c r="C152" s="3">
        <v>147</v>
      </c>
      <c r="D152" s="3">
        <v>6.1</v>
      </c>
      <c r="E152" s="3">
        <v>4.5999999999999996</v>
      </c>
      <c r="F152" s="3">
        <v>2.5</v>
      </c>
      <c r="G152" s="3" t="s">
        <v>9</v>
      </c>
      <c r="H152" s="12">
        <v>0</v>
      </c>
      <c r="I152" s="14">
        <v>0.65128035137895923</v>
      </c>
      <c r="J152" s="9" t="s">
        <v>823</v>
      </c>
    </row>
    <row r="153" spans="1:10" x14ac:dyDescent="0.3">
      <c r="A153" s="3" t="s">
        <v>238</v>
      </c>
      <c r="B153" s="3" t="s">
        <v>8</v>
      </c>
      <c r="C153" s="3">
        <v>60</v>
      </c>
      <c r="D153" s="3">
        <v>4.5999999999999996</v>
      </c>
      <c r="E153" s="3">
        <v>4.0999999999999996</v>
      </c>
      <c r="F153" s="3">
        <v>2.9</v>
      </c>
      <c r="G153" s="3" t="s">
        <v>13</v>
      </c>
      <c r="H153" s="12">
        <v>0</v>
      </c>
      <c r="I153" s="14">
        <v>0.50669631722860142</v>
      </c>
      <c r="J153" s="9" t="s">
        <v>823</v>
      </c>
    </row>
    <row r="154" spans="1:10" x14ac:dyDescent="0.3">
      <c r="A154" s="3" t="s">
        <v>239</v>
      </c>
      <c r="B154" s="3" t="s">
        <v>10</v>
      </c>
      <c r="C154" s="3">
        <v>482</v>
      </c>
      <c r="D154" s="3">
        <v>3.8</v>
      </c>
      <c r="E154" s="3">
        <v>6.8</v>
      </c>
      <c r="F154" s="3">
        <v>3</v>
      </c>
      <c r="G154" s="3" t="s">
        <v>7</v>
      </c>
      <c r="H154" s="12">
        <v>0</v>
      </c>
      <c r="I154" s="14">
        <v>0.49834995868371346</v>
      </c>
      <c r="J154" s="9" t="s">
        <v>823</v>
      </c>
    </row>
    <row r="155" spans="1:10" ht="28.8" x14ac:dyDescent="0.3">
      <c r="A155" s="3" t="s">
        <v>240</v>
      </c>
      <c r="B155" s="3" t="s">
        <v>12</v>
      </c>
      <c r="C155" s="3">
        <v>273</v>
      </c>
      <c r="D155" s="3">
        <v>4.4000000000000004</v>
      </c>
      <c r="E155" s="3">
        <v>6.5</v>
      </c>
      <c r="F155" s="3">
        <v>2</v>
      </c>
      <c r="G155" s="3" t="s">
        <v>13</v>
      </c>
      <c r="H155" s="12">
        <v>0</v>
      </c>
      <c r="I155" s="14">
        <v>0.19545234988326754</v>
      </c>
      <c r="J155" s="9" t="s">
        <v>823</v>
      </c>
    </row>
    <row r="156" spans="1:10" x14ac:dyDescent="0.3">
      <c r="A156" s="3" t="s">
        <v>241</v>
      </c>
      <c r="B156" s="3" t="s">
        <v>10</v>
      </c>
      <c r="C156" s="3">
        <v>475</v>
      </c>
      <c r="D156" s="3">
        <v>0.5</v>
      </c>
      <c r="E156" s="3">
        <v>2.8</v>
      </c>
      <c r="F156" s="3">
        <v>0.6</v>
      </c>
      <c r="G156" s="3" t="s">
        <v>11</v>
      </c>
      <c r="H156" s="12">
        <v>0</v>
      </c>
      <c r="I156" s="14">
        <v>0.66105880165665765</v>
      </c>
      <c r="J156" s="9" t="s">
        <v>823</v>
      </c>
    </row>
    <row r="157" spans="1:10" ht="28.8" x14ac:dyDescent="0.3">
      <c r="A157" s="3" t="s">
        <v>242</v>
      </c>
      <c r="B157" s="3" t="s">
        <v>14</v>
      </c>
      <c r="C157" s="3">
        <v>310</v>
      </c>
      <c r="D157" s="3">
        <v>7.8</v>
      </c>
      <c r="E157" s="3">
        <v>5.3</v>
      </c>
      <c r="F157" s="3">
        <v>1</v>
      </c>
      <c r="G157" s="3" t="s">
        <v>9</v>
      </c>
      <c r="H157" s="12">
        <v>0</v>
      </c>
      <c r="I157" s="14">
        <v>0.59144318784281891</v>
      </c>
      <c r="J157" s="9" t="s">
        <v>823</v>
      </c>
    </row>
    <row r="158" spans="1:10" ht="28.8" x14ac:dyDescent="0.3">
      <c r="A158" s="3" t="s">
        <v>243</v>
      </c>
      <c r="B158" s="3" t="s">
        <v>14</v>
      </c>
      <c r="C158" s="3">
        <v>444</v>
      </c>
      <c r="D158" s="3">
        <v>6.9</v>
      </c>
      <c r="E158" s="3">
        <v>9</v>
      </c>
      <c r="F158" s="3">
        <v>1</v>
      </c>
      <c r="G158" s="3" t="s">
        <v>9</v>
      </c>
      <c r="H158" s="12">
        <v>0</v>
      </c>
      <c r="I158" s="14">
        <v>0.17785074249544863</v>
      </c>
      <c r="J158" s="9" t="s">
        <v>823</v>
      </c>
    </row>
    <row r="159" spans="1:10" ht="28.8" x14ac:dyDescent="0.3">
      <c r="A159" s="3" t="s">
        <v>244</v>
      </c>
      <c r="B159" s="3" t="s">
        <v>14</v>
      </c>
      <c r="C159" s="3">
        <v>151</v>
      </c>
      <c r="D159" s="3">
        <v>2.7</v>
      </c>
      <c r="E159" s="3">
        <v>3.6</v>
      </c>
      <c r="F159" s="3">
        <v>1.5</v>
      </c>
      <c r="G159" s="3" t="s">
        <v>7</v>
      </c>
      <c r="H159" s="12">
        <v>0</v>
      </c>
      <c r="I159" s="14">
        <v>0.1682870927303225</v>
      </c>
      <c r="J159" s="9" t="s">
        <v>823</v>
      </c>
    </row>
    <row r="160" spans="1:10" ht="28.8" x14ac:dyDescent="0.3">
      <c r="A160" s="3" t="s">
        <v>245</v>
      </c>
      <c r="B160" s="3" t="s">
        <v>6</v>
      </c>
      <c r="C160" s="3">
        <v>370</v>
      </c>
      <c r="D160" s="3">
        <v>4.2</v>
      </c>
      <c r="E160" s="3">
        <v>2.1</v>
      </c>
      <c r="F160" s="3">
        <v>1.5</v>
      </c>
      <c r="G160" s="3" t="s">
        <v>13</v>
      </c>
      <c r="H160" s="12">
        <v>0</v>
      </c>
      <c r="I160" s="14">
        <v>0.18640815435499869</v>
      </c>
      <c r="J160" s="9" t="s">
        <v>823</v>
      </c>
    </row>
    <row r="161" spans="1:10" ht="28.8" x14ac:dyDescent="0.3">
      <c r="A161" s="3" t="s">
        <v>246</v>
      </c>
      <c r="B161" s="3" t="s">
        <v>18</v>
      </c>
      <c r="C161" s="3">
        <v>206</v>
      </c>
      <c r="D161" s="3">
        <v>4.4000000000000004</v>
      </c>
      <c r="E161" s="3">
        <v>0.8</v>
      </c>
      <c r="F161" s="3">
        <v>1.6</v>
      </c>
      <c r="G161" s="3" t="s">
        <v>13</v>
      </c>
      <c r="H161" s="12">
        <v>0</v>
      </c>
      <c r="I161" s="14">
        <v>0.38123937035890598</v>
      </c>
      <c r="J161" s="9" t="s">
        <v>823</v>
      </c>
    </row>
    <row r="162" spans="1:10" ht="28.8" x14ac:dyDescent="0.3">
      <c r="A162" s="3" t="s">
        <v>249</v>
      </c>
      <c r="B162" s="3" t="s">
        <v>12</v>
      </c>
      <c r="C162" s="3">
        <v>204</v>
      </c>
      <c r="D162" s="3">
        <v>6.2</v>
      </c>
      <c r="E162" s="3">
        <v>1.2</v>
      </c>
      <c r="F162" s="3">
        <v>0.9</v>
      </c>
      <c r="G162" s="3" t="s">
        <v>9</v>
      </c>
      <c r="H162" s="12">
        <v>1</v>
      </c>
      <c r="I162" s="14">
        <v>0.17822856482622551</v>
      </c>
      <c r="J162" s="9" t="s">
        <v>823</v>
      </c>
    </row>
    <row r="163" spans="1:10" ht="28.8" x14ac:dyDescent="0.3">
      <c r="A163" s="3" t="s">
        <v>250</v>
      </c>
      <c r="B163" s="3" t="s">
        <v>6</v>
      </c>
      <c r="C163" s="3">
        <v>215</v>
      </c>
      <c r="D163" s="3">
        <v>6.8</v>
      </c>
      <c r="E163" s="3">
        <v>4.0999999999999996</v>
      </c>
      <c r="F163" s="3">
        <v>1.3</v>
      </c>
      <c r="G163" s="3" t="s">
        <v>9</v>
      </c>
      <c r="H163" s="12">
        <v>0</v>
      </c>
      <c r="I163" s="14">
        <v>0.66040921723356083</v>
      </c>
      <c r="J163" s="9" t="s">
        <v>823</v>
      </c>
    </row>
    <row r="164" spans="1:10" ht="28.8" x14ac:dyDescent="0.3">
      <c r="A164" s="3" t="s">
        <v>251</v>
      </c>
      <c r="B164" s="3" t="s">
        <v>12</v>
      </c>
      <c r="C164" s="3">
        <v>371</v>
      </c>
      <c r="D164" s="3">
        <v>6.7</v>
      </c>
      <c r="E164" s="3">
        <v>3.6</v>
      </c>
      <c r="F164" s="3">
        <v>2.7</v>
      </c>
      <c r="G164" s="3" t="s">
        <v>9</v>
      </c>
      <c r="H164" s="12">
        <v>0</v>
      </c>
      <c r="I164" s="14">
        <v>0.17105611899921269</v>
      </c>
      <c r="J164" s="9" t="s">
        <v>823</v>
      </c>
    </row>
    <row r="165" spans="1:10" ht="28.8" x14ac:dyDescent="0.3">
      <c r="A165" s="3" t="s">
        <v>254</v>
      </c>
      <c r="B165" s="3" t="s">
        <v>6</v>
      </c>
      <c r="C165" s="3">
        <v>130</v>
      </c>
      <c r="D165" s="3">
        <v>6</v>
      </c>
      <c r="E165" s="3">
        <v>3.8</v>
      </c>
      <c r="F165" s="3">
        <v>1.1000000000000001</v>
      </c>
      <c r="G165" s="3" t="s">
        <v>9</v>
      </c>
      <c r="H165" s="12">
        <v>0</v>
      </c>
      <c r="I165" s="14">
        <v>9.0065861639041955E-2</v>
      </c>
      <c r="J165" s="9" t="s">
        <v>823</v>
      </c>
    </row>
    <row r="166" spans="1:10" ht="28.8" x14ac:dyDescent="0.3">
      <c r="A166" s="3" t="s">
        <v>255</v>
      </c>
      <c r="B166" s="3" t="s">
        <v>12</v>
      </c>
      <c r="C166" s="3">
        <v>91</v>
      </c>
      <c r="D166" s="3">
        <v>3</v>
      </c>
      <c r="E166" s="3">
        <v>8.1</v>
      </c>
      <c r="F166" s="3">
        <v>1.6</v>
      </c>
      <c r="G166" s="3" t="s">
        <v>7</v>
      </c>
      <c r="H166" s="12">
        <v>0</v>
      </c>
      <c r="I166" s="14">
        <v>0.44187618025037523</v>
      </c>
      <c r="J166" s="9" t="s">
        <v>823</v>
      </c>
    </row>
    <row r="167" spans="1:10" x14ac:dyDescent="0.3">
      <c r="A167" s="3" t="s">
        <v>257</v>
      </c>
      <c r="B167" s="3" t="s">
        <v>8</v>
      </c>
      <c r="C167" s="3">
        <v>347</v>
      </c>
      <c r="D167" s="3">
        <v>3</v>
      </c>
      <c r="E167" s="3">
        <v>5</v>
      </c>
      <c r="F167" s="3">
        <v>0.6</v>
      </c>
      <c r="G167" s="3" t="s">
        <v>7</v>
      </c>
      <c r="H167" s="12">
        <v>0</v>
      </c>
      <c r="I167" s="14">
        <v>0.2810081001166187</v>
      </c>
      <c r="J167" s="9" t="s">
        <v>823</v>
      </c>
    </row>
    <row r="168" spans="1:10" ht="28.8" x14ac:dyDescent="0.3">
      <c r="A168" s="3" t="s">
        <v>258</v>
      </c>
      <c r="B168" s="3" t="s">
        <v>12</v>
      </c>
      <c r="C168" s="3">
        <v>429</v>
      </c>
      <c r="D168" s="3">
        <v>1.1000000000000001</v>
      </c>
      <c r="E168" s="3">
        <v>3.9</v>
      </c>
      <c r="F168" s="3">
        <v>2.5</v>
      </c>
      <c r="G168" s="3" t="s">
        <v>11</v>
      </c>
      <c r="H168" s="12">
        <v>0</v>
      </c>
      <c r="I168" s="14">
        <v>0.27108516118671189</v>
      </c>
      <c r="J168" s="9" t="s">
        <v>823</v>
      </c>
    </row>
    <row r="169" spans="1:10" ht="28.8" x14ac:dyDescent="0.3">
      <c r="A169" s="3" t="s">
        <v>260</v>
      </c>
      <c r="B169" s="3" t="s">
        <v>6</v>
      </c>
      <c r="C169" s="3">
        <v>476</v>
      </c>
      <c r="D169" s="3">
        <v>5.6</v>
      </c>
      <c r="E169" s="3">
        <v>9.4</v>
      </c>
      <c r="F169" s="3">
        <v>0.8</v>
      </c>
      <c r="G169" s="3" t="s">
        <v>13</v>
      </c>
      <c r="H169" s="12">
        <v>0</v>
      </c>
      <c r="I169" s="14">
        <v>0.38297739088180693</v>
      </c>
      <c r="J169" s="9" t="s">
        <v>823</v>
      </c>
    </row>
    <row r="170" spans="1:10" ht="28.8" x14ac:dyDescent="0.3">
      <c r="A170" s="3" t="s">
        <v>261</v>
      </c>
      <c r="B170" s="3" t="s">
        <v>14</v>
      </c>
      <c r="C170" s="3">
        <v>94</v>
      </c>
      <c r="D170" s="3">
        <v>3.1</v>
      </c>
      <c r="E170" s="3">
        <v>6.4</v>
      </c>
      <c r="F170" s="3">
        <v>1.2</v>
      </c>
      <c r="G170" s="3" t="s">
        <v>7</v>
      </c>
      <c r="H170" s="12">
        <v>0</v>
      </c>
      <c r="I170" s="14">
        <v>0.48015400218847559</v>
      </c>
      <c r="J170" s="9" t="s">
        <v>823</v>
      </c>
    </row>
    <row r="171" spans="1:10" ht="28.8" x14ac:dyDescent="0.3">
      <c r="A171" s="3" t="s">
        <v>262</v>
      </c>
      <c r="B171" s="3" t="s">
        <v>18</v>
      </c>
      <c r="C171" s="3">
        <v>64</v>
      </c>
      <c r="D171" s="3">
        <v>1.7</v>
      </c>
      <c r="E171" s="3">
        <v>6</v>
      </c>
      <c r="F171" s="3">
        <v>1.8</v>
      </c>
      <c r="G171" s="3" t="s">
        <v>11</v>
      </c>
      <c r="H171" s="12">
        <v>0</v>
      </c>
      <c r="I171" s="14">
        <v>0.3480326617684566</v>
      </c>
      <c r="J171" s="9" t="s">
        <v>823</v>
      </c>
    </row>
    <row r="172" spans="1:10" ht="28.8" x14ac:dyDescent="0.3">
      <c r="A172" s="3" t="s">
        <v>264</v>
      </c>
      <c r="B172" s="3" t="s">
        <v>18</v>
      </c>
      <c r="C172" s="3">
        <v>485</v>
      </c>
      <c r="D172" s="3">
        <v>6.3</v>
      </c>
      <c r="E172" s="3">
        <v>4.9000000000000004</v>
      </c>
      <c r="F172" s="3">
        <v>0.9</v>
      </c>
      <c r="G172" s="3" t="s">
        <v>9</v>
      </c>
      <c r="H172" s="12">
        <v>0</v>
      </c>
      <c r="I172" s="14">
        <v>0.42652208939581748</v>
      </c>
      <c r="J172" s="9" t="s">
        <v>823</v>
      </c>
    </row>
    <row r="173" spans="1:10" x14ac:dyDescent="0.3">
      <c r="A173" s="3" t="s">
        <v>268</v>
      </c>
      <c r="B173" s="3" t="s">
        <v>8</v>
      </c>
      <c r="C173" s="3">
        <v>152</v>
      </c>
      <c r="D173" s="3">
        <v>5.7</v>
      </c>
      <c r="E173" s="3">
        <v>9.6999999999999993</v>
      </c>
      <c r="F173" s="3">
        <v>2.4</v>
      </c>
      <c r="G173" s="3" t="s">
        <v>13</v>
      </c>
      <c r="H173" s="12">
        <v>0</v>
      </c>
      <c r="I173" s="14">
        <v>0.58255491673088444</v>
      </c>
      <c r="J173" s="9" t="s">
        <v>823</v>
      </c>
    </row>
    <row r="174" spans="1:10" ht="28.8" x14ac:dyDescent="0.3">
      <c r="A174" s="3" t="s">
        <v>269</v>
      </c>
      <c r="B174" s="3" t="s">
        <v>12</v>
      </c>
      <c r="C174" s="3">
        <v>331</v>
      </c>
      <c r="D174" s="3">
        <v>2.6</v>
      </c>
      <c r="E174" s="3">
        <v>9</v>
      </c>
      <c r="F174" s="3">
        <v>2.8</v>
      </c>
      <c r="G174" s="3" t="s">
        <v>7</v>
      </c>
      <c r="H174" s="12">
        <v>0</v>
      </c>
      <c r="I174" s="14">
        <v>9.5562892284533074E-3</v>
      </c>
      <c r="J174" s="9" t="s">
        <v>823</v>
      </c>
    </row>
    <row r="175" spans="1:10" ht="28.8" x14ac:dyDescent="0.3">
      <c r="A175" s="3" t="s">
        <v>270</v>
      </c>
      <c r="B175" s="3" t="s">
        <v>14</v>
      </c>
      <c r="C175" s="3">
        <v>187</v>
      </c>
      <c r="D175" s="3">
        <v>5.0999999999999996</v>
      </c>
      <c r="E175" s="3">
        <v>5.3</v>
      </c>
      <c r="F175" s="3">
        <v>1.6</v>
      </c>
      <c r="G175" s="3" t="s">
        <v>13</v>
      </c>
      <c r="H175" s="12">
        <v>0</v>
      </c>
      <c r="I175" s="14">
        <v>0.22607524135426116</v>
      </c>
      <c r="J175" s="9" t="s">
        <v>823</v>
      </c>
    </row>
    <row r="176" spans="1:10" ht="28.8" x14ac:dyDescent="0.3">
      <c r="A176" s="3" t="s">
        <v>271</v>
      </c>
      <c r="B176" s="3" t="s">
        <v>14</v>
      </c>
      <c r="C176" s="3">
        <v>373</v>
      </c>
      <c r="D176" s="3">
        <v>1.6</v>
      </c>
      <c r="E176" s="3">
        <v>9.9</v>
      </c>
      <c r="F176" s="3">
        <v>1.5</v>
      </c>
      <c r="G176" s="3" t="s">
        <v>11</v>
      </c>
      <c r="H176" s="12">
        <v>0</v>
      </c>
      <c r="I176" s="14">
        <v>0.5838400898135514</v>
      </c>
      <c r="J176" s="9" t="s">
        <v>823</v>
      </c>
    </row>
    <row r="177" spans="1:10" ht="28.8" x14ac:dyDescent="0.3">
      <c r="A177" s="3" t="s">
        <v>272</v>
      </c>
      <c r="B177" s="3" t="s">
        <v>18</v>
      </c>
      <c r="C177" s="3">
        <v>239</v>
      </c>
      <c r="D177" s="3">
        <v>4.3</v>
      </c>
      <c r="E177" s="3">
        <v>9.6</v>
      </c>
      <c r="F177" s="3">
        <v>2.1</v>
      </c>
      <c r="G177" s="3" t="s">
        <v>13</v>
      </c>
      <c r="H177" s="12">
        <v>0</v>
      </c>
      <c r="I177" s="14">
        <v>0.41224067769225214</v>
      </c>
      <c r="J177" s="9" t="s">
        <v>823</v>
      </c>
    </row>
    <row r="178" spans="1:10" ht="28.8" x14ac:dyDescent="0.3">
      <c r="A178" s="3" t="s">
        <v>273</v>
      </c>
      <c r="B178" s="3" t="s">
        <v>6</v>
      </c>
      <c r="C178" s="3">
        <v>404</v>
      </c>
      <c r="D178" s="3">
        <v>5.0999999999999996</v>
      </c>
      <c r="E178" s="3">
        <v>7</v>
      </c>
      <c r="F178" s="3">
        <v>2.7</v>
      </c>
      <c r="G178" s="3" t="s">
        <v>13</v>
      </c>
      <c r="H178" s="12">
        <v>0</v>
      </c>
      <c r="I178" s="14">
        <v>0.11600436059271768</v>
      </c>
      <c r="J178" s="9" t="s">
        <v>823</v>
      </c>
    </row>
    <row r="179" spans="1:10" ht="28.8" x14ac:dyDescent="0.3">
      <c r="A179" s="3" t="s">
        <v>274</v>
      </c>
      <c r="B179" s="3" t="s">
        <v>14</v>
      </c>
      <c r="C179" s="3">
        <v>427</v>
      </c>
      <c r="D179" s="3">
        <v>7</v>
      </c>
      <c r="E179" s="3">
        <v>5.0999999999999996</v>
      </c>
      <c r="F179" s="3">
        <v>2.9</v>
      </c>
      <c r="G179" s="3" t="s">
        <v>9</v>
      </c>
      <c r="H179" s="12">
        <v>0</v>
      </c>
      <c r="I179" s="14">
        <v>0.36495395788853402</v>
      </c>
      <c r="J179" s="9" t="s">
        <v>823</v>
      </c>
    </row>
    <row r="180" spans="1:10" x14ac:dyDescent="0.3">
      <c r="A180" s="3" t="s">
        <v>276</v>
      </c>
      <c r="B180" s="3" t="s">
        <v>8</v>
      </c>
      <c r="C180" s="3">
        <v>147</v>
      </c>
      <c r="D180" s="3">
        <v>7.9</v>
      </c>
      <c r="E180" s="3">
        <v>9.8000000000000007</v>
      </c>
      <c r="F180" s="3">
        <v>1.1000000000000001</v>
      </c>
      <c r="G180" s="3" t="s">
        <v>9</v>
      </c>
      <c r="H180" s="12">
        <v>0</v>
      </c>
      <c r="I180" s="14">
        <v>0.25624799328480874</v>
      </c>
      <c r="J180" s="9" t="s">
        <v>823</v>
      </c>
    </row>
    <row r="181" spans="1:10" x14ac:dyDescent="0.3">
      <c r="A181" s="3" t="s">
        <v>277</v>
      </c>
      <c r="B181" s="3" t="s">
        <v>8</v>
      </c>
      <c r="C181" s="3">
        <v>267</v>
      </c>
      <c r="D181" s="3">
        <v>8</v>
      </c>
      <c r="E181" s="3">
        <v>9.8000000000000007</v>
      </c>
      <c r="F181" s="3">
        <v>2.4</v>
      </c>
      <c r="G181" s="3" t="s">
        <v>9</v>
      </c>
      <c r="H181" s="12">
        <v>0</v>
      </c>
      <c r="I181" s="14">
        <v>0.58916664129573748</v>
      </c>
      <c r="J181" s="9" t="s">
        <v>823</v>
      </c>
    </row>
    <row r="182" spans="1:10" ht="28.8" x14ac:dyDescent="0.3">
      <c r="A182" s="3" t="s">
        <v>278</v>
      </c>
      <c r="B182" s="3" t="s">
        <v>12</v>
      </c>
      <c r="C182" s="3">
        <v>307</v>
      </c>
      <c r="D182" s="3">
        <v>6.5</v>
      </c>
      <c r="E182" s="3">
        <v>10</v>
      </c>
      <c r="F182" s="3">
        <v>2.2999999999999998</v>
      </c>
      <c r="G182" s="3" t="s">
        <v>9</v>
      </c>
      <c r="H182" s="12">
        <v>0</v>
      </c>
      <c r="I182" s="14">
        <v>0.48759313967066309</v>
      </c>
      <c r="J182" s="9" t="s">
        <v>823</v>
      </c>
    </row>
    <row r="183" spans="1:10" ht="28.8" x14ac:dyDescent="0.3">
      <c r="A183" s="3" t="s">
        <v>279</v>
      </c>
      <c r="B183" s="3" t="s">
        <v>6</v>
      </c>
      <c r="C183" s="3">
        <v>500</v>
      </c>
      <c r="D183" s="3">
        <v>3.1</v>
      </c>
      <c r="E183" s="3">
        <v>4.0999999999999996</v>
      </c>
      <c r="F183" s="3">
        <v>1.8</v>
      </c>
      <c r="G183" s="3" t="s">
        <v>7</v>
      </c>
      <c r="H183" s="12">
        <v>0</v>
      </c>
      <c r="I183" s="14">
        <v>9.3920025379538807E-2</v>
      </c>
      <c r="J183" s="9" t="s">
        <v>823</v>
      </c>
    </row>
    <row r="184" spans="1:10" ht="28.8" x14ac:dyDescent="0.3">
      <c r="A184" s="3" t="s">
        <v>280</v>
      </c>
      <c r="B184" s="3" t="s">
        <v>14</v>
      </c>
      <c r="C184" s="3">
        <v>439</v>
      </c>
      <c r="D184" s="3">
        <v>4.7</v>
      </c>
      <c r="E184" s="3">
        <v>2</v>
      </c>
      <c r="F184" s="3">
        <v>2.2999999999999998</v>
      </c>
      <c r="G184" s="3" t="s">
        <v>13</v>
      </c>
      <c r="H184" s="12">
        <v>0</v>
      </c>
      <c r="I184" s="14">
        <v>0.37929582283025898</v>
      </c>
      <c r="J184" s="9" t="s">
        <v>823</v>
      </c>
    </row>
    <row r="185" spans="1:10" x14ac:dyDescent="0.3">
      <c r="A185" s="3" t="s">
        <v>281</v>
      </c>
      <c r="B185" s="3" t="s">
        <v>10</v>
      </c>
      <c r="C185" s="3">
        <v>171</v>
      </c>
      <c r="D185" s="3">
        <v>0.7</v>
      </c>
      <c r="E185" s="3">
        <v>0.6</v>
      </c>
      <c r="F185" s="3">
        <v>2.1</v>
      </c>
      <c r="G185" s="3" t="s">
        <v>11</v>
      </c>
      <c r="H185" s="12">
        <v>0</v>
      </c>
      <c r="I185" s="14">
        <v>3.3471646024864077E-3</v>
      </c>
      <c r="J185" s="9" t="s">
        <v>823</v>
      </c>
    </row>
    <row r="186" spans="1:10" x14ac:dyDescent="0.3">
      <c r="A186" s="3" t="s">
        <v>282</v>
      </c>
      <c r="B186" s="3" t="s">
        <v>8</v>
      </c>
      <c r="C186" s="3">
        <v>349</v>
      </c>
      <c r="D186" s="3">
        <v>5.0999999999999996</v>
      </c>
      <c r="E186" s="3">
        <v>7.8</v>
      </c>
      <c r="F186" s="3">
        <v>1.2</v>
      </c>
      <c r="G186" s="3" t="s">
        <v>13</v>
      </c>
      <c r="H186" s="12">
        <v>0</v>
      </c>
      <c r="I186" s="14">
        <v>0.39191138394162095</v>
      </c>
      <c r="J186" s="9" t="s">
        <v>823</v>
      </c>
    </row>
    <row r="187" spans="1:10" x14ac:dyDescent="0.3">
      <c r="A187" s="3" t="s">
        <v>284</v>
      </c>
      <c r="B187" s="3" t="s">
        <v>10</v>
      </c>
      <c r="C187" s="3">
        <v>268</v>
      </c>
      <c r="D187" s="3">
        <v>0.9</v>
      </c>
      <c r="E187" s="3">
        <v>5.8</v>
      </c>
      <c r="F187" s="3">
        <v>0.7</v>
      </c>
      <c r="G187" s="3" t="s">
        <v>11</v>
      </c>
      <c r="H187" s="12">
        <v>0</v>
      </c>
      <c r="I187" s="14">
        <v>0.11519607521541331</v>
      </c>
      <c r="J187" s="9" t="s">
        <v>823</v>
      </c>
    </row>
    <row r="188" spans="1:10" x14ac:dyDescent="0.3">
      <c r="A188" s="3" t="s">
        <v>285</v>
      </c>
      <c r="B188" s="3" t="s">
        <v>10</v>
      </c>
      <c r="C188" s="3">
        <v>332</v>
      </c>
      <c r="D188" s="3">
        <v>3.5</v>
      </c>
      <c r="E188" s="3">
        <v>7.1</v>
      </c>
      <c r="F188" s="3">
        <v>1.3</v>
      </c>
      <c r="G188" s="3" t="s">
        <v>7</v>
      </c>
      <c r="H188" s="12">
        <v>0</v>
      </c>
      <c r="I188" s="14">
        <v>4.8584391029713347E-2</v>
      </c>
      <c r="J188" s="9" t="s">
        <v>823</v>
      </c>
    </row>
    <row r="189" spans="1:10" ht="28.8" x14ac:dyDescent="0.3">
      <c r="A189" s="3" t="s">
        <v>286</v>
      </c>
      <c r="B189" s="3" t="s">
        <v>12</v>
      </c>
      <c r="C189" s="3">
        <v>213</v>
      </c>
      <c r="D189" s="3">
        <v>7.2</v>
      </c>
      <c r="E189" s="3">
        <v>5.6</v>
      </c>
      <c r="F189" s="3">
        <v>0.9</v>
      </c>
      <c r="G189" s="3" t="s">
        <v>9</v>
      </c>
      <c r="H189" s="12">
        <v>0</v>
      </c>
      <c r="I189" s="14">
        <v>0.30913046092707108</v>
      </c>
      <c r="J189" s="9" t="s">
        <v>823</v>
      </c>
    </row>
    <row r="190" spans="1:10" ht="28.8" x14ac:dyDescent="0.3">
      <c r="A190" s="3" t="s">
        <v>287</v>
      </c>
      <c r="B190" s="3" t="s">
        <v>18</v>
      </c>
      <c r="C190" s="3">
        <v>244</v>
      </c>
      <c r="D190" s="3">
        <v>5.5</v>
      </c>
      <c r="E190" s="3">
        <v>3.3</v>
      </c>
      <c r="F190" s="3">
        <v>0.6</v>
      </c>
      <c r="G190" s="3" t="s">
        <v>13</v>
      </c>
      <c r="H190" s="12">
        <v>0</v>
      </c>
      <c r="I190" s="14">
        <v>0.46853309939406695</v>
      </c>
      <c r="J190" s="9" t="s">
        <v>823</v>
      </c>
    </row>
    <row r="191" spans="1:10" ht="28.8" x14ac:dyDescent="0.3">
      <c r="A191" s="3" t="s">
        <v>288</v>
      </c>
      <c r="B191" s="3" t="s">
        <v>18</v>
      </c>
      <c r="C191" s="3">
        <v>260</v>
      </c>
      <c r="D191" s="3">
        <v>2.1</v>
      </c>
      <c r="E191" s="3">
        <v>2</v>
      </c>
      <c r="F191" s="3">
        <v>0.7</v>
      </c>
      <c r="G191" s="3" t="s">
        <v>7</v>
      </c>
      <c r="H191" s="12">
        <v>0</v>
      </c>
      <c r="I191" s="14">
        <v>0.43476113453495069</v>
      </c>
      <c r="J191" s="9" t="s">
        <v>823</v>
      </c>
    </row>
    <row r="192" spans="1:10" ht="28.8" x14ac:dyDescent="0.3">
      <c r="A192" s="3" t="s">
        <v>289</v>
      </c>
      <c r="B192" s="3" t="s">
        <v>12</v>
      </c>
      <c r="C192" s="3">
        <v>126</v>
      </c>
      <c r="D192" s="3">
        <v>4.5999999999999996</v>
      </c>
      <c r="E192" s="3">
        <v>4.5</v>
      </c>
      <c r="F192" s="3">
        <v>0.9</v>
      </c>
      <c r="G192" s="3" t="s">
        <v>13</v>
      </c>
      <c r="H192" s="12">
        <v>0</v>
      </c>
      <c r="I192" s="14">
        <v>0.63892891992344913</v>
      </c>
      <c r="J192" s="9" t="s">
        <v>823</v>
      </c>
    </row>
    <row r="193" spans="1:10" x14ac:dyDescent="0.3">
      <c r="A193" s="3" t="s">
        <v>290</v>
      </c>
      <c r="B193" s="3" t="s">
        <v>8</v>
      </c>
      <c r="C193" s="3">
        <v>82</v>
      </c>
      <c r="D193" s="3">
        <v>5</v>
      </c>
      <c r="E193" s="3">
        <v>5.5</v>
      </c>
      <c r="F193" s="3">
        <v>1.2</v>
      </c>
      <c r="G193" s="3" t="s">
        <v>13</v>
      </c>
      <c r="H193" s="12">
        <v>0</v>
      </c>
      <c r="I193" s="14">
        <v>0.1216440245288366</v>
      </c>
      <c r="J193" s="9" t="s">
        <v>823</v>
      </c>
    </row>
    <row r="194" spans="1:10" ht="28.8" x14ac:dyDescent="0.3">
      <c r="A194" s="3" t="s">
        <v>291</v>
      </c>
      <c r="B194" s="3" t="s">
        <v>14</v>
      </c>
      <c r="C194" s="3">
        <v>331</v>
      </c>
      <c r="D194" s="3">
        <v>0.7</v>
      </c>
      <c r="E194" s="3">
        <v>3.9</v>
      </c>
      <c r="F194" s="3">
        <v>2.1</v>
      </c>
      <c r="G194" s="3" t="s">
        <v>11</v>
      </c>
      <c r="H194" s="12">
        <v>0</v>
      </c>
      <c r="I194" s="14">
        <v>0.28722907075533211</v>
      </c>
      <c r="J194" s="9" t="s">
        <v>823</v>
      </c>
    </row>
    <row r="195" spans="1:10" ht="28.8" x14ac:dyDescent="0.3">
      <c r="A195" s="3" t="s">
        <v>292</v>
      </c>
      <c r="B195" s="3" t="s">
        <v>18</v>
      </c>
      <c r="C195" s="3">
        <v>125</v>
      </c>
      <c r="D195" s="3">
        <v>2.9</v>
      </c>
      <c r="E195" s="3">
        <v>6.5</v>
      </c>
      <c r="F195" s="3">
        <v>1.3</v>
      </c>
      <c r="G195" s="3" t="s">
        <v>7</v>
      </c>
      <c r="H195" s="12">
        <v>0</v>
      </c>
      <c r="I195" s="14">
        <v>0.47627618132290561</v>
      </c>
      <c r="J195" s="9" t="s">
        <v>823</v>
      </c>
    </row>
    <row r="196" spans="1:10" ht="28.8" x14ac:dyDescent="0.3">
      <c r="A196" s="3" t="s">
        <v>294</v>
      </c>
      <c r="B196" s="3" t="s">
        <v>14</v>
      </c>
      <c r="C196" s="3">
        <v>372</v>
      </c>
      <c r="D196" s="3">
        <v>0.5</v>
      </c>
      <c r="E196" s="3">
        <v>8.5</v>
      </c>
      <c r="F196" s="3">
        <v>1.2</v>
      </c>
      <c r="G196" s="3" t="s">
        <v>11</v>
      </c>
      <c r="H196" s="12">
        <v>0</v>
      </c>
      <c r="I196" s="14">
        <v>4.0540728146843508E-2</v>
      </c>
      <c r="J196" s="9" t="s">
        <v>823</v>
      </c>
    </row>
    <row r="197" spans="1:10" x14ac:dyDescent="0.3">
      <c r="A197" s="3" t="s">
        <v>295</v>
      </c>
      <c r="B197" s="3" t="s">
        <v>8</v>
      </c>
      <c r="C197" s="3">
        <v>498</v>
      </c>
      <c r="D197" s="3">
        <v>3.6</v>
      </c>
      <c r="E197" s="3">
        <v>4.5</v>
      </c>
      <c r="F197" s="3">
        <v>1.7</v>
      </c>
      <c r="G197" s="3" t="s">
        <v>7</v>
      </c>
      <c r="H197" s="12">
        <v>0</v>
      </c>
      <c r="I197" s="14">
        <v>0.26764447420919113</v>
      </c>
      <c r="J197" s="9" t="s">
        <v>823</v>
      </c>
    </row>
    <row r="198" spans="1:10" x14ac:dyDescent="0.3">
      <c r="A198" s="3" t="s">
        <v>297</v>
      </c>
      <c r="B198" s="3" t="s">
        <v>10</v>
      </c>
      <c r="C198" s="3">
        <v>456</v>
      </c>
      <c r="D198" s="3">
        <v>6.7</v>
      </c>
      <c r="E198" s="3">
        <v>5.7</v>
      </c>
      <c r="F198" s="3">
        <v>0.8</v>
      </c>
      <c r="G198" s="3" t="s">
        <v>9</v>
      </c>
      <c r="H198" s="12">
        <v>0</v>
      </c>
      <c r="I198" s="14">
        <v>0.51633817901263812</v>
      </c>
      <c r="J198" s="9" t="s">
        <v>823</v>
      </c>
    </row>
    <row r="199" spans="1:10" x14ac:dyDescent="0.3">
      <c r="A199" s="3" t="s">
        <v>298</v>
      </c>
      <c r="B199" s="3" t="s">
        <v>8</v>
      </c>
      <c r="C199" s="3">
        <v>156</v>
      </c>
      <c r="D199" s="3">
        <v>7.8</v>
      </c>
      <c r="E199" s="3">
        <v>6.8</v>
      </c>
      <c r="F199" s="3">
        <v>2.7</v>
      </c>
      <c r="G199" s="3" t="s">
        <v>9</v>
      </c>
      <c r="H199" s="12">
        <v>0</v>
      </c>
      <c r="I199" s="14">
        <v>0.14796903068224643</v>
      </c>
      <c r="J199" s="9" t="s">
        <v>823</v>
      </c>
    </row>
    <row r="200" spans="1:10" ht="28.8" x14ac:dyDescent="0.3">
      <c r="A200" s="3" t="s">
        <v>299</v>
      </c>
      <c r="B200" s="3" t="s">
        <v>6</v>
      </c>
      <c r="C200" s="3">
        <v>413</v>
      </c>
      <c r="D200" s="3">
        <v>1.6</v>
      </c>
      <c r="E200" s="3">
        <v>0.7</v>
      </c>
      <c r="F200" s="3">
        <v>2.1</v>
      </c>
      <c r="G200" s="3" t="s">
        <v>11</v>
      </c>
      <c r="H200" s="12">
        <v>0</v>
      </c>
      <c r="I200" s="14">
        <v>0.45813584482979164</v>
      </c>
      <c r="J200" s="9" t="s">
        <v>823</v>
      </c>
    </row>
    <row r="201" spans="1:10" x14ac:dyDescent="0.3">
      <c r="A201" s="3" t="s">
        <v>301</v>
      </c>
      <c r="B201" s="3" t="s">
        <v>10</v>
      </c>
      <c r="C201" s="3">
        <v>320</v>
      </c>
      <c r="D201" s="3">
        <v>7.2</v>
      </c>
      <c r="E201" s="3">
        <v>2.8</v>
      </c>
      <c r="F201" s="3">
        <v>2.2000000000000002</v>
      </c>
      <c r="G201" s="3" t="s">
        <v>9</v>
      </c>
      <c r="H201" s="12">
        <v>0</v>
      </c>
      <c r="I201" s="14">
        <v>4.4394734061333874E-2</v>
      </c>
      <c r="J201" s="9" t="s">
        <v>823</v>
      </c>
    </row>
    <row r="202" spans="1:10" x14ac:dyDescent="0.3">
      <c r="A202" s="3" t="s">
        <v>303</v>
      </c>
      <c r="B202" s="3" t="s">
        <v>8</v>
      </c>
      <c r="C202" s="3">
        <v>407</v>
      </c>
      <c r="D202" s="3">
        <v>1.4</v>
      </c>
      <c r="E202" s="3">
        <v>9.1</v>
      </c>
      <c r="F202" s="3">
        <v>1</v>
      </c>
      <c r="G202" s="3" t="s">
        <v>11</v>
      </c>
      <c r="H202" s="12">
        <v>0</v>
      </c>
      <c r="I202" s="14">
        <v>0.69586333134718303</v>
      </c>
      <c r="J202" s="9" t="s">
        <v>823</v>
      </c>
    </row>
    <row r="203" spans="1:10" ht="28.8" x14ac:dyDescent="0.3">
      <c r="A203" s="3" t="s">
        <v>304</v>
      </c>
      <c r="B203" s="3" t="s">
        <v>6</v>
      </c>
      <c r="C203" s="3">
        <v>177</v>
      </c>
      <c r="D203" s="3">
        <v>6.8</v>
      </c>
      <c r="E203" s="3">
        <v>6.6</v>
      </c>
      <c r="F203" s="3">
        <v>1.6</v>
      </c>
      <c r="G203" s="3" t="s">
        <v>9</v>
      </c>
      <c r="H203" s="12">
        <v>0</v>
      </c>
      <c r="I203" s="14">
        <v>0.61659709453652756</v>
      </c>
      <c r="J203" s="9" t="s">
        <v>823</v>
      </c>
    </row>
    <row r="204" spans="1:10" ht="28.8" x14ac:dyDescent="0.3">
      <c r="A204" s="3" t="s">
        <v>305</v>
      </c>
      <c r="B204" s="3" t="s">
        <v>18</v>
      </c>
      <c r="C204" s="3">
        <v>367</v>
      </c>
      <c r="D204" s="3">
        <v>6.3</v>
      </c>
      <c r="E204" s="3">
        <v>3.8</v>
      </c>
      <c r="F204" s="3">
        <v>1.7</v>
      </c>
      <c r="G204" s="3" t="s">
        <v>9</v>
      </c>
      <c r="H204" s="12">
        <v>0</v>
      </c>
      <c r="I204" s="14">
        <v>0.33478397705785945</v>
      </c>
      <c r="J204" s="9" t="s">
        <v>823</v>
      </c>
    </row>
    <row r="205" spans="1:10" x14ac:dyDescent="0.3">
      <c r="A205" s="3" t="s">
        <v>306</v>
      </c>
      <c r="B205" s="3" t="s">
        <v>10</v>
      </c>
      <c r="C205" s="3">
        <v>348</v>
      </c>
      <c r="D205" s="3">
        <v>4.5</v>
      </c>
      <c r="E205" s="3">
        <v>7.1</v>
      </c>
      <c r="F205" s="3">
        <v>2.2999999999999998</v>
      </c>
      <c r="G205" s="3" t="s">
        <v>13</v>
      </c>
      <c r="H205" s="12">
        <v>0</v>
      </c>
      <c r="I205" s="14">
        <v>0.64785085659392583</v>
      </c>
      <c r="J205" s="9" t="s">
        <v>823</v>
      </c>
    </row>
    <row r="206" spans="1:10" ht="28.8" x14ac:dyDescent="0.3">
      <c r="A206" s="3" t="s">
        <v>307</v>
      </c>
      <c r="B206" s="3" t="s">
        <v>12</v>
      </c>
      <c r="C206" s="3">
        <v>435</v>
      </c>
      <c r="D206" s="3">
        <v>2.4</v>
      </c>
      <c r="E206" s="3">
        <v>4</v>
      </c>
      <c r="F206" s="3">
        <v>1.4</v>
      </c>
      <c r="G206" s="3" t="s">
        <v>7</v>
      </c>
      <c r="H206" s="12">
        <v>0</v>
      </c>
      <c r="I206" s="14">
        <v>0.26596981673267772</v>
      </c>
      <c r="J206" s="9" t="s">
        <v>823</v>
      </c>
    </row>
    <row r="207" spans="1:10" ht="28.8" x14ac:dyDescent="0.3">
      <c r="A207" s="3" t="s">
        <v>308</v>
      </c>
      <c r="B207" s="3" t="s">
        <v>14</v>
      </c>
      <c r="C207" s="3">
        <v>122</v>
      </c>
      <c r="D207" s="3">
        <v>5.4</v>
      </c>
      <c r="E207" s="3">
        <v>2.4</v>
      </c>
      <c r="F207" s="3">
        <v>1.2</v>
      </c>
      <c r="G207" s="3" t="s">
        <v>13</v>
      </c>
      <c r="H207" s="12">
        <v>0</v>
      </c>
      <c r="I207" s="14">
        <v>0.52281041935999395</v>
      </c>
      <c r="J207" s="9" t="s">
        <v>823</v>
      </c>
    </row>
    <row r="208" spans="1:10" ht="28.8" x14ac:dyDescent="0.3">
      <c r="A208" s="3" t="s">
        <v>309</v>
      </c>
      <c r="B208" s="3" t="s">
        <v>12</v>
      </c>
      <c r="C208" s="3">
        <v>500</v>
      </c>
      <c r="D208" s="3">
        <v>4.0999999999999996</v>
      </c>
      <c r="E208" s="3">
        <v>2</v>
      </c>
      <c r="F208" s="3">
        <v>1.5</v>
      </c>
      <c r="G208" s="3" t="s">
        <v>13</v>
      </c>
      <c r="H208" s="12">
        <v>0</v>
      </c>
      <c r="I208" s="14">
        <v>0.22842237393745524</v>
      </c>
      <c r="J208" s="9" t="s">
        <v>823</v>
      </c>
    </row>
    <row r="209" spans="1:10" x14ac:dyDescent="0.3">
      <c r="A209" s="3" t="s">
        <v>310</v>
      </c>
      <c r="B209" s="3" t="s">
        <v>8</v>
      </c>
      <c r="C209" s="3">
        <v>283</v>
      </c>
      <c r="D209" s="3">
        <v>3.2</v>
      </c>
      <c r="E209" s="3">
        <v>6.4</v>
      </c>
      <c r="F209" s="3">
        <v>2.6</v>
      </c>
      <c r="G209" s="3" t="s">
        <v>7</v>
      </c>
      <c r="H209" s="12">
        <v>0</v>
      </c>
      <c r="I209" s="14">
        <v>0.34390207740793699</v>
      </c>
      <c r="J209" s="9" t="s">
        <v>823</v>
      </c>
    </row>
    <row r="210" spans="1:10" ht="28.8" x14ac:dyDescent="0.3">
      <c r="A210" s="3" t="s">
        <v>312</v>
      </c>
      <c r="B210" s="3" t="s">
        <v>6</v>
      </c>
      <c r="C210" s="3">
        <v>207</v>
      </c>
      <c r="D210" s="3">
        <v>1</v>
      </c>
      <c r="E210" s="3">
        <v>7.7</v>
      </c>
      <c r="F210" s="3">
        <v>1.4</v>
      </c>
      <c r="G210" s="3" t="s">
        <v>11</v>
      </c>
      <c r="H210" s="12">
        <v>0</v>
      </c>
      <c r="I210" s="14">
        <v>0.18787101529194039</v>
      </c>
      <c r="J210" s="9" t="s">
        <v>823</v>
      </c>
    </row>
    <row r="211" spans="1:10" ht="28.8" x14ac:dyDescent="0.3">
      <c r="A211" s="3" t="s">
        <v>314</v>
      </c>
      <c r="B211" s="3" t="s">
        <v>12</v>
      </c>
      <c r="C211" s="3">
        <v>118</v>
      </c>
      <c r="D211" s="3">
        <v>1.1000000000000001</v>
      </c>
      <c r="E211" s="3">
        <v>8.6999999999999993</v>
      </c>
      <c r="F211" s="3">
        <v>1.1000000000000001</v>
      </c>
      <c r="G211" s="3" t="s">
        <v>11</v>
      </c>
      <c r="H211" s="12">
        <v>0</v>
      </c>
      <c r="I211" s="14">
        <v>0.28428644619052912</v>
      </c>
      <c r="J211" s="9" t="s">
        <v>823</v>
      </c>
    </row>
    <row r="212" spans="1:10" ht="28.8" x14ac:dyDescent="0.3">
      <c r="A212" s="3" t="s">
        <v>315</v>
      </c>
      <c r="B212" s="3" t="s">
        <v>18</v>
      </c>
      <c r="C212" s="3">
        <v>88</v>
      </c>
      <c r="D212" s="3">
        <v>6.8</v>
      </c>
      <c r="E212" s="3">
        <v>4</v>
      </c>
      <c r="F212" s="3">
        <v>0.6</v>
      </c>
      <c r="G212" s="3" t="s">
        <v>9</v>
      </c>
      <c r="H212" s="12">
        <v>0</v>
      </c>
      <c r="I212" s="14">
        <v>0.45499048580317913</v>
      </c>
      <c r="J212" s="9" t="s">
        <v>823</v>
      </c>
    </row>
    <row r="213" spans="1:10" x14ac:dyDescent="0.3">
      <c r="A213" s="3" t="s">
        <v>316</v>
      </c>
      <c r="B213" s="3" t="s">
        <v>10</v>
      </c>
      <c r="C213" s="3">
        <v>461</v>
      </c>
      <c r="D213" s="3">
        <v>3.1</v>
      </c>
      <c r="E213" s="3">
        <v>5.4</v>
      </c>
      <c r="F213" s="3">
        <v>1.1000000000000001</v>
      </c>
      <c r="G213" s="3" t="s">
        <v>7</v>
      </c>
      <c r="H213" s="12">
        <v>0</v>
      </c>
      <c r="I213" s="14">
        <v>0.21284870580513071</v>
      </c>
      <c r="J213" s="9" t="s">
        <v>823</v>
      </c>
    </row>
    <row r="214" spans="1:10" ht="28.8" x14ac:dyDescent="0.3">
      <c r="A214" s="3" t="s">
        <v>317</v>
      </c>
      <c r="B214" s="3" t="s">
        <v>18</v>
      </c>
      <c r="C214" s="3">
        <v>390</v>
      </c>
      <c r="D214" s="3">
        <v>4.8</v>
      </c>
      <c r="E214" s="3">
        <v>5.8</v>
      </c>
      <c r="F214" s="3">
        <v>2.6</v>
      </c>
      <c r="G214" s="3" t="s">
        <v>13</v>
      </c>
      <c r="H214" s="12">
        <v>0</v>
      </c>
      <c r="I214" s="14">
        <v>0.15940857665883745</v>
      </c>
      <c r="J214" s="9" t="s">
        <v>823</v>
      </c>
    </row>
    <row r="215" spans="1:10" ht="28.8" x14ac:dyDescent="0.3">
      <c r="A215" s="3" t="s">
        <v>318</v>
      </c>
      <c r="B215" s="3" t="s">
        <v>6</v>
      </c>
      <c r="C215" s="3">
        <v>139</v>
      </c>
      <c r="D215" s="3">
        <v>6.6</v>
      </c>
      <c r="E215" s="3">
        <v>2.6</v>
      </c>
      <c r="F215" s="3">
        <v>1.4</v>
      </c>
      <c r="G215" s="3" t="s">
        <v>9</v>
      </c>
      <c r="H215" s="12">
        <v>0</v>
      </c>
      <c r="I215" s="14">
        <v>0.6877269364251859</v>
      </c>
      <c r="J215" s="9" t="s">
        <v>823</v>
      </c>
    </row>
    <row r="216" spans="1:10" x14ac:dyDescent="0.3">
      <c r="A216" s="3" t="s">
        <v>319</v>
      </c>
      <c r="B216" s="3" t="s">
        <v>10</v>
      </c>
      <c r="C216" s="3">
        <v>107</v>
      </c>
      <c r="D216" s="3">
        <v>3.7</v>
      </c>
      <c r="E216" s="3">
        <v>2</v>
      </c>
      <c r="F216" s="3">
        <v>0.7</v>
      </c>
      <c r="G216" s="3" t="s">
        <v>7</v>
      </c>
      <c r="H216" s="12">
        <v>0</v>
      </c>
      <c r="I216" s="14">
        <v>0.53358242142304624</v>
      </c>
      <c r="J216" s="9" t="s">
        <v>823</v>
      </c>
    </row>
    <row r="217" spans="1:10" x14ac:dyDescent="0.3">
      <c r="A217" s="3" t="s">
        <v>320</v>
      </c>
      <c r="B217" s="3" t="s">
        <v>8</v>
      </c>
      <c r="C217" s="3">
        <v>451</v>
      </c>
      <c r="D217" s="3">
        <v>3.2</v>
      </c>
      <c r="E217" s="3">
        <v>4.5</v>
      </c>
      <c r="F217" s="3">
        <v>0.8</v>
      </c>
      <c r="G217" s="3" t="s">
        <v>7</v>
      </c>
      <c r="H217" s="12">
        <v>0</v>
      </c>
      <c r="I217" s="14">
        <v>0.31397521828562114</v>
      </c>
      <c r="J217" s="9" t="s">
        <v>823</v>
      </c>
    </row>
    <row r="218" spans="1:10" x14ac:dyDescent="0.3">
      <c r="A218" s="3" t="s">
        <v>324</v>
      </c>
      <c r="B218" s="3" t="s">
        <v>10</v>
      </c>
      <c r="C218" s="3">
        <v>311</v>
      </c>
      <c r="D218" s="3">
        <v>3.7</v>
      </c>
      <c r="E218" s="3">
        <v>7.9</v>
      </c>
      <c r="F218" s="3">
        <v>1.2</v>
      </c>
      <c r="G218" s="3" t="s">
        <v>7</v>
      </c>
      <c r="H218" s="12">
        <v>0</v>
      </c>
      <c r="I218" s="14">
        <v>0.56397203813477925</v>
      </c>
      <c r="J218" s="9" t="s">
        <v>823</v>
      </c>
    </row>
    <row r="219" spans="1:10" ht="28.8" x14ac:dyDescent="0.3">
      <c r="A219" s="3" t="s">
        <v>326</v>
      </c>
      <c r="B219" s="3" t="s">
        <v>14</v>
      </c>
      <c r="C219" s="3">
        <v>236</v>
      </c>
      <c r="D219" s="3">
        <v>2.7</v>
      </c>
      <c r="E219" s="3">
        <v>8.1</v>
      </c>
      <c r="F219" s="3">
        <v>0.8</v>
      </c>
      <c r="G219" s="3" t="s">
        <v>7</v>
      </c>
      <c r="H219" s="12">
        <v>0</v>
      </c>
      <c r="I219" s="14">
        <v>0.60946872177696554</v>
      </c>
      <c r="J219" s="9" t="s">
        <v>823</v>
      </c>
    </row>
    <row r="220" spans="1:10" x14ac:dyDescent="0.3">
      <c r="A220" s="3" t="s">
        <v>327</v>
      </c>
      <c r="B220" s="3" t="s">
        <v>8</v>
      </c>
      <c r="C220" s="3">
        <v>421</v>
      </c>
      <c r="D220" s="3">
        <v>1.4</v>
      </c>
      <c r="E220" s="3">
        <v>1.2</v>
      </c>
      <c r="F220" s="3">
        <v>2.2000000000000002</v>
      </c>
      <c r="G220" s="3" t="s">
        <v>11</v>
      </c>
      <c r="H220" s="12">
        <v>0</v>
      </c>
      <c r="I220" s="14">
        <v>0.60647618366136224</v>
      </c>
      <c r="J220" s="9" t="s">
        <v>823</v>
      </c>
    </row>
    <row r="221" spans="1:10" x14ac:dyDescent="0.3">
      <c r="A221" s="3" t="s">
        <v>328</v>
      </c>
      <c r="B221" s="3" t="s">
        <v>10</v>
      </c>
      <c r="C221" s="3">
        <v>427</v>
      </c>
      <c r="D221" s="3">
        <v>1.3</v>
      </c>
      <c r="E221" s="3">
        <v>7.7</v>
      </c>
      <c r="F221" s="3">
        <v>2.5</v>
      </c>
      <c r="G221" s="3" t="s">
        <v>11</v>
      </c>
      <c r="H221" s="12">
        <v>0</v>
      </c>
      <c r="I221" s="14">
        <v>6.1648179357902122E-2</v>
      </c>
      <c r="J221" s="9" t="s">
        <v>823</v>
      </c>
    </row>
    <row r="222" spans="1:10" ht="28.8" x14ac:dyDescent="0.3">
      <c r="A222" s="3" t="s">
        <v>329</v>
      </c>
      <c r="B222" s="3" t="s">
        <v>12</v>
      </c>
      <c r="C222" s="3">
        <v>288</v>
      </c>
      <c r="D222" s="3">
        <v>0.5</v>
      </c>
      <c r="E222" s="3">
        <v>9.1</v>
      </c>
      <c r="F222" s="3">
        <v>1.8</v>
      </c>
      <c r="G222" s="3" t="s">
        <v>11</v>
      </c>
      <c r="H222" s="12">
        <v>0</v>
      </c>
      <c r="I222" s="14">
        <v>0.52004965386741375</v>
      </c>
      <c r="J222" s="9" t="s">
        <v>823</v>
      </c>
    </row>
    <row r="223" spans="1:10" x14ac:dyDescent="0.3">
      <c r="A223" s="3" t="s">
        <v>331</v>
      </c>
      <c r="B223" s="3" t="s">
        <v>10</v>
      </c>
      <c r="C223" s="3">
        <v>210</v>
      </c>
      <c r="D223" s="3">
        <v>7.3</v>
      </c>
      <c r="E223" s="3">
        <v>6.9</v>
      </c>
      <c r="F223" s="3">
        <v>2.7</v>
      </c>
      <c r="G223" s="3" t="s">
        <v>9</v>
      </c>
      <c r="H223" s="12">
        <v>0</v>
      </c>
      <c r="I223" s="14">
        <v>0.43129852245273526</v>
      </c>
      <c r="J223" s="9" t="s">
        <v>823</v>
      </c>
    </row>
    <row r="224" spans="1:10" ht="28.8" x14ac:dyDescent="0.3">
      <c r="A224" s="3" t="s">
        <v>332</v>
      </c>
      <c r="B224" s="3" t="s">
        <v>12</v>
      </c>
      <c r="C224" s="3">
        <v>296</v>
      </c>
      <c r="D224" s="3">
        <v>6.9</v>
      </c>
      <c r="E224" s="3">
        <v>2.5</v>
      </c>
      <c r="F224" s="3">
        <v>0.9</v>
      </c>
      <c r="G224" s="3" t="s">
        <v>9</v>
      </c>
      <c r="H224" s="12">
        <v>0</v>
      </c>
      <c r="I224" s="14">
        <v>1.9515423086967187E-2</v>
      </c>
      <c r="J224" s="9" t="s">
        <v>823</v>
      </c>
    </row>
    <row r="225" spans="1:10" ht="28.8" x14ac:dyDescent="0.3">
      <c r="A225" s="3" t="s">
        <v>334</v>
      </c>
      <c r="B225" s="3" t="s">
        <v>14</v>
      </c>
      <c r="C225" s="3">
        <v>467</v>
      </c>
      <c r="D225" s="3">
        <v>8</v>
      </c>
      <c r="E225" s="3">
        <v>4.8</v>
      </c>
      <c r="F225" s="3">
        <v>1.8</v>
      </c>
      <c r="G225" s="3" t="s">
        <v>9</v>
      </c>
      <c r="H225" s="12">
        <v>0</v>
      </c>
      <c r="I225" s="14">
        <v>5.116601951061206E-2</v>
      </c>
      <c r="J225" s="9" t="s">
        <v>823</v>
      </c>
    </row>
    <row r="226" spans="1:10" x14ac:dyDescent="0.3">
      <c r="A226" s="3" t="s">
        <v>337</v>
      </c>
      <c r="B226" s="3" t="s">
        <v>8</v>
      </c>
      <c r="C226" s="3">
        <v>399</v>
      </c>
      <c r="D226" s="3">
        <v>7.8</v>
      </c>
      <c r="E226" s="3">
        <v>2.1</v>
      </c>
      <c r="F226" s="3">
        <v>2.5</v>
      </c>
      <c r="G226" s="3" t="s">
        <v>9</v>
      </c>
      <c r="H226" s="12">
        <v>0</v>
      </c>
      <c r="I226" s="14">
        <v>0.13525230940517785</v>
      </c>
      <c r="J226" s="9" t="s">
        <v>823</v>
      </c>
    </row>
    <row r="227" spans="1:10" ht="28.8" x14ac:dyDescent="0.3">
      <c r="A227" s="3" t="s">
        <v>339</v>
      </c>
      <c r="B227" s="3" t="s">
        <v>18</v>
      </c>
      <c r="C227" s="3">
        <v>210</v>
      </c>
      <c r="D227" s="3">
        <v>3.3</v>
      </c>
      <c r="E227" s="3">
        <v>3.8</v>
      </c>
      <c r="F227" s="3">
        <v>2.5</v>
      </c>
      <c r="G227" s="3" t="s">
        <v>7</v>
      </c>
      <c r="H227" s="12">
        <v>0</v>
      </c>
      <c r="I227" s="14">
        <v>0.399244885740202</v>
      </c>
      <c r="J227" s="9" t="s">
        <v>823</v>
      </c>
    </row>
    <row r="228" spans="1:10" x14ac:dyDescent="0.3">
      <c r="A228" s="3" t="s">
        <v>340</v>
      </c>
      <c r="B228" s="3" t="s">
        <v>10</v>
      </c>
      <c r="C228" s="3">
        <v>278</v>
      </c>
      <c r="D228" s="3">
        <v>5</v>
      </c>
      <c r="E228" s="3">
        <v>4.0999999999999996</v>
      </c>
      <c r="F228" s="3">
        <v>1.5</v>
      </c>
      <c r="G228" s="3" t="s">
        <v>13</v>
      </c>
      <c r="H228" s="12">
        <v>0</v>
      </c>
      <c r="I228" s="14">
        <v>0.69663951097306254</v>
      </c>
      <c r="J228" s="9" t="s">
        <v>823</v>
      </c>
    </row>
    <row r="229" spans="1:10" ht="28.8" x14ac:dyDescent="0.3">
      <c r="A229" s="3" t="s">
        <v>341</v>
      </c>
      <c r="B229" s="3" t="s">
        <v>18</v>
      </c>
      <c r="C229" s="3">
        <v>154</v>
      </c>
      <c r="D229" s="3">
        <v>0.9</v>
      </c>
      <c r="E229" s="3">
        <v>6.6</v>
      </c>
      <c r="F229" s="3">
        <v>0.7</v>
      </c>
      <c r="G229" s="3" t="s">
        <v>11</v>
      </c>
      <c r="H229" s="12">
        <v>0</v>
      </c>
      <c r="I229" s="14">
        <v>0.26477099329904641</v>
      </c>
      <c r="J229" s="9" t="s">
        <v>823</v>
      </c>
    </row>
    <row r="230" spans="1:10" ht="28.8" x14ac:dyDescent="0.3">
      <c r="A230" s="3" t="s">
        <v>342</v>
      </c>
      <c r="B230" s="3" t="s">
        <v>12</v>
      </c>
      <c r="C230" s="3">
        <v>352</v>
      </c>
      <c r="D230" s="3">
        <v>5.8</v>
      </c>
      <c r="E230" s="3">
        <v>6.4</v>
      </c>
      <c r="F230" s="3">
        <v>0.9</v>
      </c>
      <c r="G230" s="3" t="s">
        <v>13</v>
      </c>
      <c r="H230" s="12">
        <v>0</v>
      </c>
      <c r="I230" s="14">
        <v>0.10473029384231081</v>
      </c>
      <c r="J230" s="9" t="s">
        <v>823</v>
      </c>
    </row>
    <row r="231" spans="1:10" x14ac:dyDescent="0.3">
      <c r="A231" s="3" t="s">
        <v>343</v>
      </c>
      <c r="B231" s="3" t="s">
        <v>8</v>
      </c>
      <c r="C231" s="3">
        <v>193</v>
      </c>
      <c r="D231" s="3">
        <v>4.5999999999999996</v>
      </c>
      <c r="E231" s="3">
        <v>9.8000000000000007</v>
      </c>
      <c r="F231" s="3">
        <v>2.1</v>
      </c>
      <c r="G231" s="3" t="s">
        <v>13</v>
      </c>
      <c r="H231" s="12">
        <v>0</v>
      </c>
      <c r="I231" s="14">
        <v>0.64669902147123703</v>
      </c>
      <c r="J231" s="9" t="s">
        <v>823</v>
      </c>
    </row>
    <row r="232" spans="1:10" ht="28.8" x14ac:dyDescent="0.3">
      <c r="A232" s="3" t="s">
        <v>344</v>
      </c>
      <c r="B232" s="3" t="s">
        <v>12</v>
      </c>
      <c r="C232" s="3">
        <v>122</v>
      </c>
      <c r="D232" s="3">
        <v>2.4</v>
      </c>
      <c r="E232" s="3">
        <v>6.8</v>
      </c>
      <c r="F232" s="3">
        <v>2.9</v>
      </c>
      <c r="G232" s="3" t="s">
        <v>7</v>
      </c>
      <c r="H232" s="12">
        <v>0</v>
      </c>
      <c r="I232" s="14">
        <v>2.7971956181466306E-2</v>
      </c>
      <c r="J232" s="9" t="s">
        <v>823</v>
      </c>
    </row>
    <row r="233" spans="1:10" ht="28.8" x14ac:dyDescent="0.3">
      <c r="A233" s="3" t="s">
        <v>345</v>
      </c>
      <c r="B233" s="3" t="s">
        <v>14</v>
      </c>
      <c r="C233" s="3">
        <v>244</v>
      </c>
      <c r="D233" s="3">
        <v>2.7</v>
      </c>
      <c r="E233" s="3">
        <v>6.8</v>
      </c>
      <c r="F233" s="3">
        <v>1.6</v>
      </c>
      <c r="G233" s="3" t="s">
        <v>7</v>
      </c>
      <c r="H233" s="12">
        <v>0</v>
      </c>
      <c r="I233" s="14">
        <v>0.59260869994098808</v>
      </c>
      <c r="J233" s="9" t="s">
        <v>823</v>
      </c>
    </row>
    <row r="234" spans="1:10" x14ac:dyDescent="0.3">
      <c r="A234" s="3" t="s">
        <v>347</v>
      </c>
      <c r="B234" s="3" t="s">
        <v>8</v>
      </c>
      <c r="C234" s="3">
        <v>244</v>
      </c>
      <c r="D234" s="3">
        <v>7.7</v>
      </c>
      <c r="E234" s="3">
        <v>8.1999999999999993</v>
      </c>
      <c r="F234" s="3">
        <v>1.7</v>
      </c>
      <c r="G234" s="3" t="s">
        <v>9</v>
      </c>
      <c r="H234" s="12">
        <v>0</v>
      </c>
      <c r="I234" s="14">
        <v>0.20868615173084515</v>
      </c>
      <c r="J234" s="9" t="s">
        <v>823</v>
      </c>
    </row>
    <row r="235" spans="1:10" ht="28.8" x14ac:dyDescent="0.3">
      <c r="A235" s="3" t="s">
        <v>349</v>
      </c>
      <c r="B235" s="3" t="s">
        <v>18</v>
      </c>
      <c r="C235" s="3">
        <v>83</v>
      </c>
      <c r="D235" s="3">
        <v>6.3</v>
      </c>
      <c r="E235" s="3">
        <v>4.9000000000000004</v>
      </c>
      <c r="F235" s="3">
        <v>2.9</v>
      </c>
      <c r="G235" s="3" t="s">
        <v>9</v>
      </c>
      <c r="H235" s="12">
        <v>0</v>
      </c>
      <c r="I235" s="14">
        <v>0.55098658070258577</v>
      </c>
      <c r="J235" s="9" t="s">
        <v>823</v>
      </c>
    </row>
    <row r="236" spans="1:10" x14ac:dyDescent="0.3">
      <c r="A236" s="3" t="s">
        <v>350</v>
      </c>
      <c r="B236" s="3" t="s">
        <v>10</v>
      </c>
      <c r="C236" s="3">
        <v>449</v>
      </c>
      <c r="D236" s="3">
        <v>2.8</v>
      </c>
      <c r="E236" s="3">
        <v>6</v>
      </c>
      <c r="F236" s="3">
        <v>2.2000000000000002</v>
      </c>
      <c r="G236" s="3" t="s">
        <v>7</v>
      </c>
      <c r="H236" s="12">
        <v>0</v>
      </c>
      <c r="I236" s="14">
        <v>0.49980472397498754</v>
      </c>
      <c r="J236" s="9" t="s">
        <v>823</v>
      </c>
    </row>
    <row r="237" spans="1:10" x14ac:dyDescent="0.3">
      <c r="A237" s="3" t="s">
        <v>351</v>
      </c>
      <c r="B237" s="3" t="s">
        <v>8</v>
      </c>
      <c r="C237" s="3">
        <v>203</v>
      </c>
      <c r="D237" s="3">
        <v>6.7</v>
      </c>
      <c r="E237" s="3">
        <v>4.4000000000000004</v>
      </c>
      <c r="F237" s="3">
        <v>1.6</v>
      </c>
      <c r="G237" s="3" t="s">
        <v>9</v>
      </c>
      <c r="H237" s="12">
        <v>0</v>
      </c>
      <c r="I237" s="14">
        <v>0.28278125542107602</v>
      </c>
      <c r="J237" s="9" t="s">
        <v>823</v>
      </c>
    </row>
    <row r="238" spans="1:10" x14ac:dyDescent="0.3">
      <c r="A238" s="3" t="s">
        <v>353</v>
      </c>
      <c r="B238" s="3" t="s">
        <v>10</v>
      </c>
      <c r="C238" s="3">
        <v>297</v>
      </c>
      <c r="D238" s="3">
        <v>4.9000000000000004</v>
      </c>
      <c r="E238" s="3">
        <v>2.7</v>
      </c>
      <c r="F238" s="3">
        <v>1</v>
      </c>
      <c r="G238" s="3" t="s">
        <v>13</v>
      </c>
      <c r="H238" s="12">
        <v>0</v>
      </c>
      <c r="I238" s="14">
        <v>0.48379530978172369</v>
      </c>
      <c r="J238" s="9" t="s">
        <v>823</v>
      </c>
    </row>
    <row r="239" spans="1:10" ht="28.8" x14ac:dyDescent="0.3">
      <c r="A239" s="3" t="s">
        <v>354</v>
      </c>
      <c r="B239" s="3" t="s">
        <v>14</v>
      </c>
      <c r="C239" s="3">
        <v>193</v>
      </c>
      <c r="D239" s="3">
        <v>1.2</v>
      </c>
      <c r="E239" s="3">
        <v>4.7</v>
      </c>
      <c r="F239" s="3">
        <v>2</v>
      </c>
      <c r="G239" s="3" t="s">
        <v>11</v>
      </c>
      <c r="H239" s="12">
        <v>0</v>
      </c>
      <c r="I239" s="14">
        <v>0.5578443003354332</v>
      </c>
      <c r="J239" s="9" t="s">
        <v>823</v>
      </c>
    </row>
    <row r="240" spans="1:10" ht="28.8" x14ac:dyDescent="0.3">
      <c r="A240" s="3" t="s">
        <v>356</v>
      </c>
      <c r="B240" s="3" t="s">
        <v>14</v>
      </c>
      <c r="C240" s="3">
        <v>438</v>
      </c>
      <c r="D240" s="3">
        <v>2.9</v>
      </c>
      <c r="E240" s="3">
        <v>9.5</v>
      </c>
      <c r="F240" s="3">
        <v>1.3</v>
      </c>
      <c r="G240" s="3" t="s">
        <v>7</v>
      </c>
      <c r="H240" s="12">
        <v>0</v>
      </c>
      <c r="I240" s="14">
        <v>0.4086230050292915</v>
      </c>
      <c r="J240" s="9" t="s">
        <v>823</v>
      </c>
    </row>
    <row r="241" spans="1:10" x14ac:dyDescent="0.3">
      <c r="A241" s="3" t="s">
        <v>357</v>
      </c>
      <c r="B241" s="3" t="s">
        <v>10</v>
      </c>
      <c r="C241" s="3">
        <v>490</v>
      </c>
      <c r="D241" s="3">
        <v>3.4</v>
      </c>
      <c r="E241" s="3">
        <v>1.5</v>
      </c>
      <c r="F241" s="3">
        <v>2.7</v>
      </c>
      <c r="G241" s="3" t="s">
        <v>7</v>
      </c>
      <c r="H241" s="12">
        <v>0</v>
      </c>
      <c r="I241" s="14">
        <v>0.4697653274886594</v>
      </c>
      <c r="J241" s="9" t="s">
        <v>823</v>
      </c>
    </row>
    <row r="242" spans="1:10" ht="28.8" x14ac:dyDescent="0.3">
      <c r="A242" s="3" t="s">
        <v>359</v>
      </c>
      <c r="B242" s="3" t="s">
        <v>18</v>
      </c>
      <c r="C242" s="3">
        <v>467</v>
      </c>
      <c r="D242" s="3">
        <v>2.6</v>
      </c>
      <c r="E242" s="3">
        <v>9.6999999999999993</v>
      </c>
      <c r="F242" s="3">
        <v>2.8</v>
      </c>
      <c r="G242" s="3" t="s">
        <v>7</v>
      </c>
      <c r="H242" s="12">
        <v>0</v>
      </c>
      <c r="I242" s="14">
        <v>2.6623991202180841E-2</v>
      </c>
      <c r="J242" s="9" t="s">
        <v>823</v>
      </c>
    </row>
    <row r="243" spans="1:10" ht="28.8" x14ac:dyDescent="0.3">
      <c r="A243" s="3" t="s">
        <v>360</v>
      </c>
      <c r="B243" s="3" t="s">
        <v>18</v>
      </c>
      <c r="C243" s="3">
        <v>481</v>
      </c>
      <c r="D243" s="3">
        <v>5.0999999999999996</v>
      </c>
      <c r="E243" s="3">
        <v>8.1999999999999993</v>
      </c>
      <c r="F243" s="3">
        <v>2.6</v>
      </c>
      <c r="G243" s="3" t="s">
        <v>13</v>
      </c>
      <c r="H243" s="12">
        <v>0</v>
      </c>
      <c r="I243" s="14">
        <v>0.67400080954582531</v>
      </c>
      <c r="J243" s="9" t="s">
        <v>823</v>
      </c>
    </row>
    <row r="244" spans="1:10" ht="28.8" x14ac:dyDescent="0.3">
      <c r="A244" s="3" t="s">
        <v>361</v>
      </c>
      <c r="B244" s="3" t="s">
        <v>14</v>
      </c>
      <c r="C244" s="3">
        <v>204</v>
      </c>
      <c r="D244" s="3">
        <v>5.3</v>
      </c>
      <c r="E244" s="3">
        <v>2.5</v>
      </c>
      <c r="F244" s="3">
        <v>3</v>
      </c>
      <c r="G244" s="3" t="s">
        <v>13</v>
      </c>
      <c r="H244" s="12">
        <v>0</v>
      </c>
      <c r="I244" s="14">
        <v>1.7028202307093343E-2</v>
      </c>
      <c r="J244" s="9" t="s">
        <v>823</v>
      </c>
    </row>
    <row r="245" spans="1:10" x14ac:dyDescent="0.3">
      <c r="A245" s="3" t="s">
        <v>362</v>
      </c>
      <c r="B245" s="3" t="s">
        <v>8</v>
      </c>
      <c r="C245" s="3">
        <v>307</v>
      </c>
      <c r="D245" s="3">
        <v>6.4</v>
      </c>
      <c r="E245" s="3">
        <v>4.8</v>
      </c>
      <c r="F245" s="3">
        <v>0.9</v>
      </c>
      <c r="G245" s="3" t="s">
        <v>9</v>
      </c>
      <c r="H245" s="12">
        <v>0</v>
      </c>
      <c r="I245" s="14">
        <v>0.36677528834311424</v>
      </c>
      <c r="J245" s="9" t="s">
        <v>823</v>
      </c>
    </row>
    <row r="246" spans="1:10" x14ac:dyDescent="0.3">
      <c r="A246" s="3" t="s">
        <v>363</v>
      </c>
      <c r="B246" s="3" t="s">
        <v>10</v>
      </c>
      <c r="C246" s="3">
        <v>252</v>
      </c>
      <c r="D246" s="3">
        <v>5.0999999999999996</v>
      </c>
      <c r="E246" s="3">
        <v>1.4</v>
      </c>
      <c r="F246" s="3">
        <v>1.8</v>
      </c>
      <c r="G246" s="3" t="s">
        <v>13</v>
      </c>
      <c r="H246" s="12">
        <v>0</v>
      </c>
      <c r="I246" s="14">
        <v>0.28348659551228161</v>
      </c>
      <c r="J246" s="9" t="s">
        <v>823</v>
      </c>
    </row>
    <row r="247" spans="1:10" ht="28.8" x14ac:dyDescent="0.3">
      <c r="A247" s="3" t="s">
        <v>364</v>
      </c>
      <c r="B247" s="3" t="s">
        <v>14</v>
      </c>
      <c r="C247" s="3">
        <v>276</v>
      </c>
      <c r="D247" s="3">
        <v>4.2</v>
      </c>
      <c r="E247" s="3">
        <v>10</v>
      </c>
      <c r="F247" s="3">
        <v>1.9</v>
      </c>
      <c r="G247" s="3" t="s">
        <v>13</v>
      </c>
      <c r="H247" s="12">
        <v>0</v>
      </c>
      <c r="I247" s="14">
        <v>0.54897640963980188</v>
      </c>
      <c r="J247" s="9" t="s">
        <v>823</v>
      </c>
    </row>
    <row r="248" spans="1:10" ht="28.8" x14ac:dyDescent="0.3">
      <c r="A248" s="3" t="s">
        <v>366</v>
      </c>
      <c r="B248" s="3" t="s">
        <v>14</v>
      </c>
      <c r="C248" s="3">
        <v>132</v>
      </c>
      <c r="D248" s="3">
        <v>0.9</v>
      </c>
      <c r="E248" s="3">
        <v>2.2000000000000002</v>
      </c>
      <c r="F248" s="3">
        <v>2.9</v>
      </c>
      <c r="G248" s="3" t="s">
        <v>11</v>
      </c>
      <c r="H248" s="12">
        <v>0</v>
      </c>
      <c r="I248" s="14">
        <v>0.21051037972492359</v>
      </c>
      <c r="J248" s="9" t="s">
        <v>823</v>
      </c>
    </row>
    <row r="249" spans="1:10" x14ac:dyDescent="0.3">
      <c r="A249" s="3" t="s">
        <v>367</v>
      </c>
      <c r="B249" s="3" t="s">
        <v>8</v>
      </c>
      <c r="C249" s="3">
        <v>78</v>
      </c>
      <c r="D249" s="3">
        <v>7.5</v>
      </c>
      <c r="E249" s="3">
        <v>8.6999999999999993</v>
      </c>
      <c r="F249" s="3">
        <v>1.8</v>
      </c>
      <c r="G249" s="3" t="s">
        <v>9</v>
      </c>
      <c r="H249" s="12">
        <v>0</v>
      </c>
      <c r="I249" s="14">
        <v>0.4144314042789341</v>
      </c>
      <c r="J249" s="9" t="s">
        <v>823</v>
      </c>
    </row>
    <row r="250" spans="1:10" ht="28.8" x14ac:dyDescent="0.3">
      <c r="A250" s="3" t="s">
        <v>368</v>
      </c>
      <c r="B250" s="3" t="s">
        <v>6</v>
      </c>
      <c r="C250" s="3">
        <v>223</v>
      </c>
      <c r="D250" s="3">
        <v>2.2000000000000002</v>
      </c>
      <c r="E250" s="3">
        <v>4.2</v>
      </c>
      <c r="F250" s="3">
        <v>2.8</v>
      </c>
      <c r="G250" s="3" t="s">
        <v>7</v>
      </c>
      <c r="H250" s="12">
        <v>0</v>
      </c>
      <c r="I250" s="14">
        <v>9.2109797594434939E-2</v>
      </c>
      <c r="J250" s="9" t="s">
        <v>823</v>
      </c>
    </row>
    <row r="251" spans="1:10" ht="28.8" x14ac:dyDescent="0.3">
      <c r="A251" s="3" t="s">
        <v>370</v>
      </c>
      <c r="B251" s="3" t="s">
        <v>6</v>
      </c>
      <c r="C251" s="3">
        <v>335</v>
      </c>
      <c r="D251" s="3">
        <v>6.3</v>
      </c>
      <c r="E251" s="3">
        <v>5.3</v>
      </c>
      <c r="F251" s="3">
        <v>1.2</v>
      </c>
      <c r="G251" s="3" t="s">
        <v>9</v>
      </c>
      <c r="H251" s="12">
        <v>0</v>
      </c>
      <c r="I251" s="14">
        <v>0.54322020125102277</v>
      </c>
      <c r="J251" s="9" t="s">
        <v>823</v>
      </c>
    </row>
    <row r="252" spans="1:10" ht="28.8" x14ac:dyDescent="0.3">
      <c r="A252" s="3" t="s">
        <v>371</v>
      </c>
      <c r="B252" s="3" t="s">
        <v>18</v>
      </c>
      <c r="C252" s="3">
        <v>79</v>
      </c>
      <c r="D252" s="3">
        <v>2.8</v>
      </c>
      <c r="E252" s="3">
        <v>5.0999999999999996</v>
      </c>
      <c r="F252" s="3">
        <v>2.9</v>
      </c>
      <c r="G252" s="3" t="s">
        <v>7</v>
      </c>
      <c r="H252" s="12">
        <v>0</v>
      </c>
      <c r="I252" s="14">
        <v>5.0638978950962366E-2</v>
      </c>
      <c r="J252" s="9" t="s">
        <v>823</v>
      </c>
    </row>
    <row r="253" spans="1:10" ht="28.8" x14ac:dyDescent="0.3">
      <c r="A253" s="3" t="s">
        <v>373</v>
      </c>
      <c r="B253" s="3" t="s">
        <v>18</v>
      </c>
      <c r="C253" s="3">
        <v>323</v>
      </c>
      <c r="D253" s="3">
        <v>0.6</v>
      </c>
      <c r="E253" s="3">
        <v>3.3</v>
      </c>
      <c r="F253" s="3">
        <v>1</v>
      </c>
      <c r="G253" s="3" t="s">
        <v>11</v>
      </c>
      <c r="H253" s="12">
        <v>0</v>
      </c>
      <c r="I253" s="14">
        <v>0.48619209348600279</v>
      </c>
      <c r="J253" s="9" t="s">
        <v>823</v>
      </c>
    </row>
    <row r="254" spans="1:10" ht="28.8" x14ac:dyDescent="0.3">
      <c r="A254" s="3" t="s">
        <v>375</v>
      </c>
      <c r="B254" s="3" t="s">
        <v>6</v>
      </c>
      <c r="C254" s="3">
        <v>367</v>
      </c>
      <c r="D254" s="3">
        <v>7.3</v>
      </c>
      <c r="E254" s="3">
        <v>4.9000000000000004</v>
      </c>
      <c r="F254" s="3">
        <v>2.6</v>
      </c>
      <c r="G254" s="3" t="s">
        <v>9</v>
      </c>
      <c r="H254" s="12">
        <v>0</v>
      </c>
      <c r="I254" s="14">
        <v>0.28015327270847556</v>
      </c>
      <c r="J254" s="9" t="s">
        <v>823</v>
      </c>
    </row>
    <row r="255" spans="1:10" ht="28.8" x14ac:dyDescent="0.3">
      <c r="A255" s="3" t="s">
        <v>377</v>
      </c>
      <c r="B255" s="3" t="s">
        <v>6</v>
      </c>
      <c r="C255" s="3">
        <v>51</v>
      </c>
      <c r="D255" s="3">
        <v>7.8</v>
      </c>
      <c r="E255" s="3">
        <v>0.6</v>
      </c>
      <c r="F255" s="3">
        <v>2.7</v>
      </c>
      <c r="G255" s="3" t="s">
        <v>9</v>
      </c>
      <c r="H255" s="12">
        <v>0</v>
      </c>
      <c r="I255" s="14">
        <v>0.62233456077985383</v>
      </c>
      <c r="J255" s="9" t="s">
        <v>823</v>
      </c>
    </row>
    <row r="256" spans="1:10" ht="28.8" x14ac:dyDescent="0.3">
      <c r="A256" s="3" t="s">
        <v>378</v>
      </c>
      <c r="B256" s="3" t="s">
        <v>6</v>
      </c>
      <c r="C256" s="3">
        <v>487</v>
      </c>
      <c r="D256" s="3">
        <v>3</v>
      </c>
      <c r="E256" s="3">
        <v>1.5</v>
      </c>
      <c r="F256" s="3">
        <v>2.6</v>
      </c>
      <c r="G256" s="3" t="s">
        <v>7</v>
      </c>
      <c r="H256" s="12">
        <v>0</v>
      </c>
      <c r="I256" s="14">
        <v>0.17377717004165083</v>
      </c>
      <c r="J256" s="9" t="s">
        <v>823</v>
      </c>
    </row>
    <row r="257" spans="1:10" x14ac:dyDescent="0.3">
      <c r="A257" s="3" t="s">
        <v>379</v>
      </c>
      <c r="B257" s="3" t="s">
        <v>10</v>
      </c>
      <c r="C257" s="3">
        <v>200</v>
      </c>
      <c r="D257" s="3">
        <v>2.7</v>
      </c>
      <c r="E257" s="3">
        <v>5.3</v>
      </c>
      <c r="F257" s="3">
        <v>2.5</v>
      </c>
      <c r="G257" s="3" t="s">
        <v>7</v>
      </c>
      <c r="H257" s="12">
        <v>0</v>
      </c>
      <c r="I257" s="14">
        <v>0.10030921352958078</v>
      </c>
      <c r="J257" s="9" t="s">
        <v>823</v>
      </c>
    </row>
    <row r="258" spans="1:10" x14ac:dyDescent="0.3">
      <c r="A258" s="3" t="s">
        <v>380</v>
      </c>
      <c r="B258" s="3" t="s">
        <v>10</v>
      </c>
      <c r="C258" s="3">
        <v>155</v>
      </c>
      <c r="D258" s="3">
        <v>7.4</v>
      </c>
      <c r="E258" s="3">
        <v>3.5</v>
      </c>
      <c r="F258" s="3">
        <v>2.7</v>
      </c>
      <c r="G258" s="3" t="s">
        <v>9</v>
      </c>
      <c r="H258" s="12">
        <v>0</v>
      </c>
      <c r="I258" s="14">
        <v>0.13638857309973129</v>
      </c>
      <c r="J258" s="9" t="s">
        <v>823</v>
      </c>
    </row>
    <row r="259" spans="1:10" ht="28.8" x14ac:dyDescent="0.3">
      <c r="A259" s="3" t="s">
        <v>381</v>
      </c>
      <c r="B259" s="3" t="s">
        <v>14</v>
      </c>
      <c r="C259" s="3">
        <v>178</v>
      </c>
      <c r="D259" s="3">
        <v>2.1</v>
      </c>
      <c r="E259" s="3">
        <v>6.6</v>
      </c>
      <c r="F259" s="3">
        <v>0.6</v>
      </c>
      <c r="G259" s="3" t="s">
        <v>7</v>
      </c>
      <c r="H259" s="12">
        <v>0</v>
      </c>
      <c r="I259" s="14">
        <v>0.57725377738242956</v>
      </c>
      <c r="J259" s="9" t="s">
        <v>823</v>
      </c>
    </row>
    <row r="260" spans="1:10" ht="28.8" x14ac:dyDescent="0.3">
      <c r="A260" s="3" t="s">
        <v>384</v>
      </c>
      <c r="B260" s="3" t="s">
        <v>14</v>
      </c>
      <c r="C260" s="3">
        <v>487</v>
      </c>
      <c r="D260" s="3">
        <v>7.2</v>
      </c>
      <c r="E260" s="3">
        <v>8.1999999999999993</v>
      </c>
      <c r="F260" s="3">
        <v>2.5</v>
      </c>
      <c r="G260" s="3" t="s">
        <v>9</v>
      </c>
      <c r="H260" s="12">
        <v>0</v>
      </c>
      <c r="I260" s="14">
        <v>8.3458124435891512E-2</v>
      </c>
      <c r="J260" s="9" t="s">
        <v>823</v>
      </c>
    </row>
    <row r="261" spans="1:10" x14ac:dyDescent="0.3">
      <c r="A261" s="3" t="s">
        <v>385</v>
      </c>
      <c r="B261" s="3" t="s">
        <v>10</v>
      </c>
      <c r="C261" s="3">
        <v>404</v>
      </c>
      <c r="D261" s="3">
        <v>1.8</v>
      </c>
      <c r="E261" s="3">
        <v>6.6</v>
      </c>
      <c r="F261" s="3">
        <v>0.6</v>
      </c>
      <c r="G261" s="3" t="s">
        <v>11</v>
      </c>
      <c r="H261" s="12">
        <v>0</v>
      </c>
      <c r="I261" s="14">
        <v>0.29912222816636902</v>
      </c>
      <c r="J261" s="9" t="s">
        <v>823</v>
      </c>
    </row>
    <row r="262" spans="1:10" x14ac:dyDescent="0.3">
      <c r="A262" s="3" t="s">
        <v>386</v>
      </c>
      <c r="B262" s="3" t="s">
        <v>8</v>
      </c>
      <c r="C262" s="3">
        <v>458</v>
      </c>
      <c r="D262" s="3">
        <v>6</v>
      </c>
      <c r="E262" s="3">
        <v>5.8</v>
      </c>
      <c r="F262" s="3">
        <v>2.4</v>
      </c>
      <c r="G262" s="3" t="s">
        <v>9</v>
      </c>
      <c r="H262" s="12">
        <v>0</v>
      </c>
      <c r="I262" s="14">
        <v>0.52136571528142717</v>
      </c>
      <c r="J262" s="9" t="s">
        <v>823</v>
      </c>
    </row>
    <row r="263" spans="1:10" ht="28.8" x14ac:dyDescent="0.3">
      <c r="A263" s="3" t="s">
        <v>388</v>
      </c>
      <c r="B263" s="3" t="s">
        <v>12</v>
      </c>
      <c r="C263" s="3">
        <v>269</v>
      </c>
      <c r="D263" s="3">
        <v>7</v>
      </c>
      <c r="E263" s="3">
        <v>7.9</v>
      </c>
      <c r="F263" s="3">
        <v>0.7</v>
      </c>
      <c r="G263" s="3" t="s">
        <v>9</v>
      </c>
      <c r="H263" s="12">
        <v>0</v>
      </c>
      <c r="I263" s="14">
        <v>3.5718760660009674E-2</v>
      </c>
      <c r="J263" s="9" t="s">
        <v>823</v>
      </c>
    </row>
    <row r="264" spans="1:10" x14ac:dyDescent="0.3">
      <c r="A264" s="3" t="s">
        <v>392</v>
      </c>
      <c r="B264" s="3" t="s">
        <v>10</v>
      </c>
      <c r="C264" s="3">
        <v>467</v>
      </c>
      <c r="D264" s="3">
        <v>5.4</v>
      </c>
      <c r="E264" s="3">
        <v>9.4</v>
      </c>
      <c r="F264" s="3">
        <v>0.6</v>
      </c>
      <c r="G264" s="3" t="s">
        <v>13</v>
      </c>
      <c r="H264" s="12">
        <v>0</v>
      </c>
      <c r="I264" s="14">
        <v>0.69760265008070899</v>
      </c>
      <c r="J264" s="9" t="s">
        <v>823</v>
      </c>
    </row>
    <row r="265" spans="1:10" x14ac:dyDescent="0.3">
      <c r="A265" s="3" t="s">
        <v>394</v>
      </c>
      <c r="B265" s="3" t="s">
        <v>8</v>
      </c>
      <c r="C265" s="3">
        <v>363</v>
      </c>
      <c r="D265" s="3">
        <v>6.5</v>
      </c>
      <c r="E265" s="3">
        <v>0.9</v>
      </c>
      <c r="F265" s="3">
        <v>1.6</v>
      </c>
      <c r="G265" s="3" t="s">
        <v>9</v>
      </c>
      <c r="H265" s="12">
        <v>0</v>
      </c>
      <c r="I265" s="14">
        <v>0.32429082979871537</v>
      </c>
      <c r="J265" s="9" t="s">
        <v>823</v>
      </c>
    </row>
    <row r="266" spans="1:10" x14ac:dyDescent="0.3">
      <c r="A266" s="3" t="s">
        <v>395</v>
      </c>
      <c r="B266" s="3" t="s">
        <v>8</v>
      </c>
      <c r="C266" s="3">
        <v>234</v>
      </c>
      <c r="D266" s="3">
        <v>5.4</v>
      </c>
      <c r="E266" s="3">
        <v>5.8</v>
      </c>
      <c r="F266" s="3">
        <v>1.9</v>
      </c>
      <c r="G266" s="3" t="s">
        <v>13</v>
      </c>
      <c r="H266" s="12">
        <v>0</v>
      </c>
      <c r="I266" s="14">
        <v>0.19764008673264388</v>
      </c>
      <c r="J266" s="9" t="s">
        <v>823</v>
      </c>
    </row>
    <row r="267" spans="1:10" ht="28.8" x14ac:dyDescent="0.3">
      <c r="A267" s="3" t="s">
        <v>396</v>
      </c>
      <c r="B267" s="3" t="s">
        <v>6</v>
      </c>
      <c r="C267" s="3">
        <v>377</v>
      </c>
      <c r="D267" s="3">
        <v>3.4</v>
      </c>
      <c r="E267" s="3">
        <v>4.0999999999999996</v>
      </c>
      <c r="F267" s="3">
        <v>2.4</v>
      </c>
      <c r="G267" s="3" t="s">
        <v>7</v>
      </c>
      <c r="H267" s="12">
        <v>0</v>
      </c>
      <c r="I267" s="14">
        <v>0.12085315270689589</v>
      </c>
      <c r="J267" s="9" t="s">
        <v>823</v>
      </c>
    </row>
    <row r="268" spans="1:10" ht="28.8" x14ac:dyDescent="0.3">
      <c r="A268" s="3" t="s">
        <v>397</v>
      </c>
      <c r="B268" s="3" t="s">
        <v>12</v>
      </c>
      <c r="C268" s="3">
        <v>411</v>
      </c>
      <c r="D268" s="3">
        <v>3</v>
      </c>
      <c r="E268" s="3">
        <v>9.8000000000000007</v>
      </c>
      <c r="F268" s="3">
        <v>1.3</v>
      </c>
      <c r="G268" s="3" t="s">
        <v>7</v>
      </c>
      <c r="H268" s="12">
        <v>0</v>
      </c>
      <c r="I268" s="14">
        <v>0.21904509563930463</v>
      </c>
      <c r="J268" s="9" t="s">
        <v>823</v>
      </c>
    </row>
    <row r="269" spans="1:10" ht="28.8" x14ac:dyDescent="0.3">
      <c r="A269" s="3" t="s">
        <v>398</v>
      </c>
      <c r="B269" s="3" t="s">
        <v>14</v>
      </c>
      <c r="C269" s="3">
        <v>178</v>
      </c>
      <c r="D269" s="3">
        <v>6.1</v>
      </c>
      <c r="E269" s="3">
        <v>5.0999999999999996</v>
      </c>
      <c r="F269" s="3">
        <v>1.3</v>
      </c>
      <c r="G269" s="3" t="s">
        <v>9</v>
      </c>
      <c r="H269" s="12">
        <v>0</v>
      </c>
      <c r="I269" s="14">
        <v>5.4471622809246778E-3</v>
      </c>
      <c r="J269" s="9" t="s">
        <v>823</v>
      </c>
    </row>
    <row r="270" spans="1:10" x14ac:dyDescent="0.3">
      <c r="A270" s="3" t="s">
        <v>400</v>
      </c>
      <c r="B270" s="3" t="s">
        <v>8</v>
      </c>
      <c r="C270" s="3">
        <v>348</v>
      </c>
      <c r="D270" s="3">
        <v>2</v>
      </c>
      <c r="E270" s="3">
        <v>6.1</v>
      </c>
      <c r="F270" s="3">
        <v>1.8</v>
      </c>
      <c r="G270" s="3" t="s">
        <v>7</v>
      </c>
      <c r="H270" s="12">
        <v>0</v>
      </c>
      <c r="I270" s="14">
        <v>8.0068698732515764E-2</v>
      </c>
      <c r="J270" s="9" t="s">
        <v>823</v>
      </c>
    </row>
    <row r="271" spans="1:10" ht="28.8" x14ac:dyDescent="0.3">
      <c r="A271" s="3" t="s">
        <v>401</v>
      </c>
      <c r="B271" s="3" t="s">
        <v>14</v>
      </c>
      <c r="C271" s="3">
        <v>221</v>
      </c>
      <c r="D271" s="3">
        <v>2.2000000000000002</v>
      </c>
      <c r="E271" s="3">
        <v>4.2</v>
      </c>
      <c r="F271" s="3">
        <v>1.3</v>
      </c>
      <c r="G271" s="3" t="s">
        <v>7</v>
      </c>
      <c r="H271" s="12">
        <v>0</v>
      </c>
      <c r="I271" s="14">
        <v>5.0901844703004073E-3</v>
      </c>
      <c r="J271" s="9" t="s">
        <v>823</v>
      </c>
    </row>
    <row r="272" spans="1:10" x14ac:dyDescent="0.3">
      <c r="A272" s="3" t="s">
        <v>402</v>
      </c>
      <c r="B272" s="3" t="s">
        <v>10</v>
      </c>
      <c r="C272" s="3">
        <v>257</v>
      </c>
      <c r="D272" s="3">
        <v>1.8</v>
      </c>
      <c r="E272" s="3">
        <v>0.6</v>
      </c>
      <c r="F272" s="3">
        <v>2.4</v>
      </c>
      <c r="G272" s="3" t="s">
        <v>11</v>
      </c>
      <c r="H272" s="12">
        <v>0</v>
      </c>
      <c r="I272" s="14">
        <v>0.66987813689495035</v>
      </c>
      <c r="J272" s="9" t="s">
        <v>823</v>
      </c>
    </row>
    <row r="273" spans="1:10" x14ac:dyDescent="0.3">
      <c r="A273" s="3" t="s">
        <v>403</v>
      </c>
      <c r="B273" s="3" t="s">
        <v>10</v>
      </c>
      <c r="C273" s="3">
        <v>426</v>
      </c>
      <c r="D273" s="3">
        <v>2</v>
      </c>
      <c r="E273" s="3">
        <v>1.8</v>
      </c>
      <c r="F273" s="3">
        <v>1.4</v>
      </c>
      <c r="G273" s="3" t="s">
        <v>7</v>
      </c>
      <c r="H273" s="12">
        <v>0</v>
      </c>
      <c r="I273" s="14">
        <v>8.122647533833538E-2</v>
      </c>
      <c r="J273" s="9" t="s">
        <v>823</v>
      </c>
    </row>
    <row r="274" spans="1:10" ht="28.8" x14ac:dyDescent="0.3">
      <c r="A274" s="3" t="s">
        <v>404</v>
      </c>
      <c r="B274" s="3" t="s">
        <v>14</v>
      </c>
      <c r="C274" s="3">
        <v>402</v>
      </c>
      <c r="D274" s="3">
        <v>1.4</v>
      </c>
      <c r="E274" s="3">
        <v>6.3</v>
      </c>
      <c r="F274" s="3">
        <v>2.8</v>
      </c>
      <c r="G274" s="3" t="s">
        <v>11</v>
      </c>
      <c r="H274" s="12">
        <v>0</v>
      </c>
      <c r="I274" s="14">
        <v>9.1693026570462743E-2</v>
      </c>
      <c r="J274" s="9" t="s">
        <v>823</v>
      </c>
    </row>
    <row r="275" spans="1:10" x14ac:dyDescent="0.3">
      <c r="A275" s="3" t="s">
        <v>405</v>
      </c>
      <c r="B275" s="3" t="s">
        <v>8</v>
      </c>
      <c r="C275" s="3">
        <v>328</v>
      </c>
      <c r="D275" s="3">
        <v>4</v>
      </c>
      <c r="E275" s="3">
        <v>4.8</v>
      </c>
      <c r="F275" s="3">
        <v>1.8</v>
      </c>
      <c r="G275" s="3" t="s">
        <v>13</v>
      </c>
      <c r="H275" s="12">
        <v>0</v>
      </c>
      <c r="I275" s="14">
        <v>0.10167201185828556</v>
      </c>
      <c r="J275" s="9" t="s">
        <v>823</v>
      </c>
    </row>
    <row r="276" spans="1:10" ht="28.8" x14ac:dyDescent="0.3">
      <c r="A276" s="3" t="s">
        <v>406</v>
      </c>
      <c r="B276" s="3" t="s">
        <v>18</v>
      </c>
      <c r="C276" s="3">
        <v>395</v>
      </c>
      <c r="D276" s="3">
        <v>1.5</v>
      </c>
      <c r="E276" s="3">
        <v>8.1999999999999993</v>
      </c>
      <c r="F276" s="3">
        <v>2.8</v>
      </c>
      <c r="G276" s="3" t="s">
        <v>11</v>
      </c>
      <c r="H276" s="12">
        <v>0</v>
      </c>
      <c r="I276" s="14">
        <v>0.18645224825981488</v>
      </c>
      <c r="J276" s="9" t="s">
        <v>823</v>
      </c>
    </row>
    <row r="277" spans="1:10" ht="28.8" x14ac:dyDescent="0.3">
      <c r="A277" s="3" t="s">
        <v>407</v>
      </c>
      <c r="B277" s="3" t="s">
        <v>18</v>
      </c>
      <c r="C277" s="3">
        <v>456</v>
      </c>
      <c r="D277" s="3">
        <v>2.2999999999999998</v>
      </c>
      <c r="E277" s="3">
        <v>0.6</v>
      </c>
      <c r="F277" s="3">
        <v>1.5</v>
      </c>
      <c r="G277" s="3" t="s">
        <v>7</v>
      </c>
      <c r="H277" s="12">
        <v>0</v>
      </c>
      <c r="I277" s="14">
        <v>0.15779065678304638</v>
      </c>
      <c r="J277" s="9" t="s">
        <v>823</v>
      </c>
    </row>
    <row r="278" spans="1:10" ht="28.8" x14ac:dyDescent="0.3">
      <c r="A278" s="3" t="s">
        <v>409</v>
      </c>
      <c r="B278" s="3" t="s">
        <v>12</v>
      </c>
      <c r="C278" s="3">
        <v>104</v>
      </c>
      <c r="D278" s="3">
        <v>3.7</v>
      </c>
      <c r="E278" s="3">
        <v>8</v>
      </c>
      <c r="F278" s="3">
        <v>1.7</v>
      </c>
      <c r="G278" s="3" t="s">
        <v>7</v>
      </c>
      <c r="H278" s="12">
        <v>0</v>
      </c>
      <c r="I278" s="14">
        <v>0.17950651784402372</v>
      </c>
      <c r="J278" s="9" t="s">
        <v>823</v>
      </c>
    </row>
    <row r="279" spans="1:10" ht="28.8" x14ac:dyDescent="0.3">
      <c r="A279" s="3" t="s">
        <v>412</v>
      </c>
      <c r="B279" s="3" t="s">
        <v>14</v>
      </c>
      <c r="C279" s="3">
        <v>104</v>
      </c>
      <c r="D279" s="3">
        <v>4.3</v>
      </c>
      <c r="E279" s="3">
        <v>7.2</v>
      </c>
      <c r="F279" s="3">
        <v>2.1</v>
      </c>
      <c r="G279" s="3" t="s">
        <v>13</v>
      </c>
      <c r="H279" s="12">
        <v>0</v>
      </c>
      <c r="I279" s="14">
        <v>0.29077064101629135</v>
      </c>
      <c r="J279" s="9" t="s">
        <v>823</v>
      </c>
    </row>
    <row r="280" spans="1:10" ht="28.8" x14ac:dyDescent="0.3">
      <c r="A280" s="3" t="s">
        <v>413</v>
      </c>
      <c r="B280" s="3" t="s">
        <v>14</v>
      </c>
      <c r="C280" s="3">
        <v>288</v>
      </c>
      <c r="D280" s="3">
        <v>2.8</v>
      </c>
      <c r="E280" s="3">
        <v>1</v>
      </c>
      <c r="F280" s="3">
        <v>1.4</v>
      </c>
      <c r="G280" s="3" t="s">
        <v>7</v>
      </c>
      <c r="H280" s="12">
        <v>0</v>
      </c>
      <c r="I280" s="14">
        <v>0.50829961030025905</v>
      </c>
      <c r="J280" s="9" t="s">
        <v>823</v>
      </c>
    </row>
    <row r="281" spans="1:10" ht="28.8" x14ac:dyDescent="0.3">
      <c r="A281" s="3" t="s">
        <v>414</v>
      </c>
      <c r="B281" s="3" t="s">
        <v>6</v>
      </c>
      <c r="C281" s="3">
        <v>270</v>
      </c>
      <c r="D281" s="3">
        <v>2.5</v>
      </c>
      <c r="E281" s="3">
        <v>9.5</v>
      </c>
      <c r="F281" s="3">
        <v>1.8</v>
      </c>
      <c r="G281" s="3" t="s">
        <v>7</v>
      </c>
      <c r="H281" s="12">
        <v>0</v>
      </c>
      <c r="I281" s="14">
        <v>0.39172549306280213</v>
      </c>
      <c r="J281" s="9" t="s">
        <v>823</v>
      </c>
    </row>
    <row r="282" spans="1:10" ht="28.8" x14ac:dyDescent="0.3">
      <c r="A282" s="3" t="s">
        <v>415</v>
      </c>
      <c r="B282" s="3" t="s">
        <v>18</v>
      </c>
      <c r="C282" s="3">
        <v>379</v>
      </c>
      <c r="D282" s="3">
        <v>2.2000000000000002</v>
      </c>
      <c r="E282" s="3">
        <v>9.1999999999999993</v>
      </c>
      <c r="F282" s="3">
        <v>0.9</v>
      </c>
      <c r="G282" s="3" t="s">
        <v>7</v>
      </c>
      <c r="H282" s="12">
        <v>0</v>
      </c>
      <c r="I282" s="14">
        <v>0.19025246362584114</v>
      </c>
      <c r="J282" s="9" t="s">
        <v>823</v>
      </c>
    </row>
    <row r="283" spans="1:10" ht="28.8" x14ac:dyDescent="0.3">
      <c r="A283" s="3" t="s">
        <v>417</v>
      </c>
      <c r="B283" s="3" t="s">
        <v>6</v>
      </c>
      <c r="C283" s="3">
        <v>486</v>
      </c>
      <c r="D283" s="3">
        <v>4.5999999999999996</v>
      </c>
      <c r="E283" s="3">
        <v>1.5</v>
      </c>
      <c r="F283" s="3">
        <v>1.2</v>
      </c>
      <c r="G283" s="3" t="s">
        <v>13</v>
      </c>
      <c r="H283" s="12">
        <v>0</v>
      </c>
      <c r="I283" s="14">
        <v>0.45748723136662695</v>
      </c>
      <c r="J283" s="9" t="s">
        <v>823</v>
      </c>
    </row>
    <row r="284" spans="1:10" ht="28.8" x14ac:dyDescent="0.3">
      <c r="A284" s="3" t="s">
        <v>419</v>
      </c>
      <c r="B284" s="3" t="s">
        <v>6</v>
      </c>
      <c r="C284" s="3">
        <v>148</v>
      </c>
      <c r="D284" s="3">
        <v>3.4</v>
      </c>
      <c r="E284" s="3">
        <v>5.2</v>
      </c>
      <c r="F284" s="3">
        <v>2.5</v>
      </c>
      <c r="G284" s="3" t="s">
        <v>7</v>
      </c>
      <c r="H284" s="12">
        <v>0</v>
      </c>
      <c r="I284" s="14">
        <v>9.8828042846681674E-2</v>
      </c>
      <c r="J284" s="9" t="s">
        <v>823</v>
      </c>
    </row>
    <row r="285" spans="1:10" ht="28.8" x14ac:dyDescent="0.3">
      <c r="A285" s="3" t="s">
        <v>420</v>
      </c>
      <c r="B285" s="3" t="s">
        <v>6</v>
      </c>
      <c r="C285" s="3">
        <v>311</v>
      </c>
      <c r="D285" s="3">
        <v>1.7</v>
      </c>
      <c r="E285" s="3">
        <v>5.7</v>
      </c>
      <c r="F285" s="3">
        <v>0.9</v>
      </c>
      <c r="G285" s="3" t="s">
        <v>11</v>
      </c>
      <c r="H285" s="12">
        <v>0</v>
      </c>
      <c r="I285" s="14">
        <v>0.25043322227402298</v>
      </c>
      <c r="J285" s="9" t="s">
        <v>823</v>
      </c>
    </row>
    <row r="286" spans="1:10" ht="28.8" x14ac:dyDescent="0.3">
      <c r="A286" s="3" t="s">
        <v>423</v>
      </c>
      <c r="B286" s="3" t="s">
        <v>18</v>
      </c>
      <c r="C286" s="3">
        <v>67</v>
      </c>
      <c r="D286" s="3">
        <v>1.8</v>
      </c>
      <c r="E286" s="3">
        <v>7.2</v>
      </c>
      <c r="F286" s="3">
        <v>1</v>
      </c>
      <c r="G286" s="3" t="s">
        <v>11</v>
      </c>
      <c r="H286" s="12">
        <v>0</v>
      </c>
      <c r="I286" s="14">
        <v>7.2622839554206675E-2</v>
      </c>
      <c r="J286" s="9" t="s">
        <v>823</v>
      </c>
    </row>
    <row r="287" spans="1:10" ht="28.8" x14ac:dyDescent="0.3">
      <c r="A287" s="3" t="s">
        <v>424</v>
      </c>
      <c r="B287" s="3" t="s">
        <v>12</v>
      </c>
      <c r="C287" s="3">
        <v>116</v>
      </c>
      <c r="D287" s="3">
        <v>2.8</v>
      </c>
      <c r="E287" s="3">
        <v>8.6</v>
      </c>
      <c r="F287" s="3">
        <v>1.6</v>
      </c>
      <c r="G287" s="3" t="s">
        <v>7</v>
      </c>
      <c r="H287" s="12">
        <v>0</v>
      </c>
      <c r="I287" s="14">
        <v>0.26647647681068354</v>
      </c>
      <c r="J287" s="9" t="s">
        <v>823</v>
      </c>
    </row>
    <row r="288" spans="1:10" ht="28.8" x14ac:dyDescent="0.3">
      <c r="A288" s="3" t="s">
        <v>426</v>
      </c>
      <c r="B288" s="3" t="s">
        <v>12</v>
      </c>
      <c r="C288" s="3">
        <v>408</v>
      </c>
      <c r="D288" s="3">
        <v>7.1</v>
      </c>
      <c r="E288" s="3">
        <v>5.4</v>
      </c>
      <c r="F288" s="3">
        <v>1</v>
      </c>
      <c r="G288" s="3" t="s">
        <v>9</v>
      </c>
      <c r="H288" s="12">
        <v>0</v>
      </c>
      <c r="I288" s="14">
        <v>0.43982630214278218</v>
      </c>
      <c r="J288" s="9" t="s">
        <v>823</v>
      </c>
    </row>
    <row r="289" spans="1:10" x14ac:dyDescent="0.3">
      <c r="A289" s="3" t="s">
        <v>427</v>
      </c>
      <c r="B289" s="3" t="s">
        <v>8</v>
      </c>
      <c r="C289" s="3">
        <v>133</v>
      </c>
      <c r="D289" s="3">
        <v>5</v>
      </c>
      <c r="E289" s="3">
        <v>6.7</v>
      </c>
      <c r="F289" s="3">
        <v>1.2</v>
      </c>
      <c r="G289" s="3" t="s">
        <v>13</v>
      </c>
      <c r="H289" s="12">
        <v>0</v>
      </c>
      <c r="I289" s="14">
        <v>0.64688295541799123</v>
      </c>
      <c r="J289" s="9" t="s">
        <v>823</v>
      </c>
    </row>
    <row r="290" spans="1:10" x14ac:dyDescent="0.3">
      <c r="A290" s="3" t="s">
        <v>428</v>
      </c>
      <c r="B290" s="3" t="s">
        <v>8</v>
      </c>
      <c r="C290" s="3">
        <v>294</v>
      </c>
      <c r="D290" s="3">
        <v>4.3</v>
      </c>
      <c r="E290" s="3">
        <v>2.1</v>
      </c>
      <c r="F290" s="3">
        <v>1.9</v>
      </c>
      <c r="G290" s="3" t="s">
        <v>13</v>
      </c>
      <c r="H290" s="12">
        <v>0</v>
      </c>
      <c r="I290" s="14">
        <v>0.28250234517742678</v>
      </c>
      <c r="J290" s="9" t="s">
        <v>823</v>
      </c>
    </row>
    <row r="291" spans="1:10" ht="28.8" x14ac:dyDescent="0.3">
      <c r="A291" s="3" t="s">
        <v>429</v>
      </c>
      <c r="B291" s="3" t="s">
        <v>18</v>
      </c>
      <c r="C291" s="3">
        <v>222</v>
      </c>
      <c r="D291" s="3">
        <v>7.6</v>
      </c>
      <c r="E291" s="3">
        <v>4.3</v>
      </c>
      <c r="F291" s="3">
        <v>2.2000000000000002</v>
      </c>
      <c r="G291" s="3" t="s">
        <v>9</v>
      </c>
      <c r="H291" s="12">
        <v>0</v>
      </c>
      <c r="I291" s="14">
        <v>0.56491660941905941</v>
      </c>
      <c r="J291" s="9" t="s">
        <v>823</v>
      </c>
    </row>
    <row r="292" spans="1:10" ht="28.8" x14ac:dyDescent="0.3">
      <c r="A292" s="3" t="s">
        <v>431</v>
      </c>
      <c r="B292" s="3" t="s">
        <v>6</v>
      </c>
      <c r="C292" s="3">
        <v>54</v>
      </c>
      <c r="D292" s="3">
        <v>2.6</v>
      </c>
      <c r="E292" s="3">
        <v>4.5999999999999996</v>
      </c>
      <c r="F292" s="3">
        <v>0.7</v>
      </c>
      <c r="G292" s="3" t="s">
        <v>7</v>
      </c>
      <c r="H292" s="12">
        <v>0</v>
      </c>
      <c r="I292" s="14">
        <v>0.44773860255507736</v>
      </c>
      <c r="J292" s="9" t="s">
        <v>823</v>
      </c>
    </row>
    <row r="293" spans="1:10" ht="28.8" x14ac:dyDescent="0.3">
      <c r="A293" s="3" t="s">
        <v>432</v>
      </c>
      <c r="B293" s="3" t="s">
        <v>14</v>
      </c>
      <c r="C293" s="3">
        <v>418</v>
      </c>
      <c r="D293" s="3">
        <v>6</v>
      </c>
      <c r="E293" s="3">
        <v>4.9000000000000004</v>
      </c>
      <c r="F293" s="3">
        <v>2.2000000000000002</v>
      </c>
      <c r="G293" s="3" t="s">
        <v>9</v>
      </c>
      <c r="H293" s="12">
        <v>0</v>
      </c>
      <c r="I293" s="14">
        <v>0.15590728948791011</v>
      </c>
      <c r="J293" s="9" t="s">
        <v>823</v>
      </c>
    </row>
    <row r="294" spans="1:10" x14ac:dyDescent="0.3">
      <c r="A294" s="3" t="s">
        <v>433</v>
      </c>
      <c r="B294" s="3" t="s">
        <v>8</v>
      </c>
      <c r="C294" s="3">
        <v>67</v>
      </c>
      <c r="D294" s="3">
        <v>3.4</v>
      </c>
      <c r="E294" s="3">
        <v>1.5</v>
      </c>
      <c r="F294" s="3">
        <v>2.5</v>
      </c>
      <c r="G294" s="3" t="s">
        <v>7</v>
      </c>
      <c r="H294" s="12">
        <v>0</v>
      </c>
      <c r="I294" s="14">
        <v>0.51501674281330412</v>
      </c>
      <c r="J294" s="9" t="s">
        <v>823</v>
      </c>
    </row>
    <row r="295" spans="1:10" ht="28.8" x14ac:dyDescent="0.3">
      <c r="A295" s="3" t="s">
        <v>434</v>
      </c>
      <c r="B295" s="3" t="s">
        <v>12</v>
      </c>
      <c r="C295" s="3">
        <v>296</v>
      </c>
      <c r="D295" s="3">
        <v>2.1</v>
      </c>
      <c r="E295" s="3">
        <v>8.6999999999999993</v>
      </c>
      <c r="F295" s="3">
        <v>2.6</v>
      </c>
      <c r="G295" s="3" t="s">
        <v>7</v>
      </c>
      <c r="H295" s="12">
        <v>0</v>
      </c>
      <c r="I295" s="14">
        <v>0.49344994110086349</v>
      </c>
      <c r="J295" s="9" t="s">
        <v>823</v>
      </c>
    </row>
    <row r="296" spans="1:10" ht="28.8" x14ac:dyDescent="0.3">
      <c r="A296" s="3" t="s">
        <v>436</v>
      </c>
      <c r="B296" s="3" t="s">
        <v>6</v>
      </c>
      <c r="C296" s="3">
        <v>114</v>
      </c>
      <c r="D296" s="3">
        <v>5.3</v>
      </c>
      <c r="E296" s="3">
        <v>2.8</v>
      </c>
      <c r="F296" s="3">
        <v>2.8</v>
      </c>
      <c r="G296" s="3" t="s">
        <v>13</v>
      </c>
      <c r="H296" s="12">
        <v>0</v>
      </c>
      <c r="I296" s="14">
        <v>0.28825256808836552</v>
      </c>
      <c r="J296" s="9" t="s">
        <v>823</v>
      </c>
    </row>
    <row r="297" spans="1:10" x14ac:dyDescent="0.3">
      <c r="A297" s="3" t="s">
        <v>437</v>
      </c>
      <c r="B297" s="3" t="s">
        <v>10</v>
      </c>
      <c r="C297" s="3">
        <v>210</v>
      </c>
      <c r="D297" s="3">
        <v>5.8</v>
      </c>
      <c r="E297" s="3">
        <v>3</v>
      </c>
      <c r="F297" s="3">
        <v>2.4</v>
      </c>
      <c r="G297" s="3" t="s">
        <v>13</v>
      </c>
      <c r="H297" s="12">
        <v>0</v>
      </c>
      <c r="I297" s="14">
        <v>0.13207830600563297</v>
      </c>
      <c r="J297" s="9" t="s">
        <v>823</v>
      </c>
    </row>
    <row r="298" spans="1:10" ht="28.8" x14ac:dyDescent="0.3">
      <c r="A298" s="3" t="s">
        <v>438</v>
      </c>
      <c r="B298" s="3" t="s">
        <v>18</v>
      </c>
      <c r="C298" s="3">
        <v>398</v>
      </c>
      <c r="D298" s="3">
        <v>5.9</v>
      </c>
      <c r="E298" s="3">
        <v>4.0999999999999996</v>
      </c>
      <c r="F298" s="3">
        <v>1.6</v>
      </c>
      <c r="G298" s="3" t="s">
        <v>13</v>
      </c>
      <c r="H298" s="12">
        <v>0</v>
      </c>
      <c r="I298" s="14">
        <v>0.53705083245640117</v>
      </c>
      <c r="J298" s="9" t="s">
        <v>823</v>
      </c>
    </row>
    <row r="299" spans="1:10" ht="28.8" x14ac:dyDescent="0.3">
      <c r="A299" s="3" t="s">
        <v>439</v>
      </c>
      <c r="B299" s="3" t="s">
        <v>14</v>
      </c>
      <c r="C299" s="3">
        <v>275</v>
      </c>
      <c r="D299" s="3">
        <v>5.5</v>
      </c>
      <c r="E299" s="3">
        <v>2.7</v>
      </c>
      <c r="F299" s="3">
        <v>1.2</v>
      </c>
      <c r="G299" s="3" t="s">
        <v>13</v>
      </c>
      <c r="H299" s="12">
        <v>0</v>
      </c>
      <c r="I299" s="14">
        <v>8.355489079644618E-2</v>
      </c>
      <c r="J299" s="9" t="s">
        <v>823</v>
      </c>
    </row>
    <row r="300" spans="1:10" ht="28.8" x14ac:dyDescent="0.3">
      <c r="A300" s="3" t="s">
        <v>440</v>
      </c>
      <c r="B300" s="3" t="s">
        <v>6</v>
      </c>
      <c r="C300" s="3">
        <v>391</v>
      </c>
      <c r="D300" s="3">
        <v>0.9</v>
      </c>
      <c r="E300" s="3">
        <v>0.8</v>
      </c>
      <c r="F300" s="3">
        <v>1.8</v>
      </c>
      <c r="G300" s="3" t="s">
        <v>11</v>
      </c>
      <c r="H300" s="12">
        <v>0</v>
      </c>
      <c r="I300" s="14">
        <v>0.18621120221180987</v>
      </c>
      <c r="J300" s="9" t="s">
        <v>823</v>
      </c>
    </row>
    <row r="301" spans="1:10" ht="28.8" x14ac:dyDescent="0.3">
      <c r="A301" s="3" t="s">
        <v>442</v>
      </c>
      <c r="B301" s="3" t="s">
        <v>12</v>
      </c>
      <c r="C301" s="3">
        <v>398</v>
      </c>
      <c r="D301" s="3">
        <v>3.4</v>
      </c>
      <c r="E301" s="3">
        <v>8</v>
      </c>
      <c r="F301" s="3">
        <v>0.7</v>
      </c>
      <c r="G301" s="3" t="s">
        <v>7</v>
      </c>
      <c r="H301" s="12">
        <v>0</v>
      </c>
      <c r="I301" s="14">
        <v>0.58927830262053049</v>
      </c>
      <c r="J301" s="9" t="s">
        <v>823</v>
      </c>
    </row>
    <row r="302" spans="1:10" ht="28.8" x14ac:dyDescent="0.3">
      <c r="A302" s="3" t="s">
        <v>443</v>
      </c>
      <c r="B302" s="3" t="s">
        <v>12</v>
      </c>
      <c r="C302" s="3">
        <v>244</v>
      </c>
      <c r="D302" s="3">
        <v>5.8</v>
      </c>
      <c r="E302" s="3">
        <v>9.6</v>
      </c>
      <c r="F302" s="3">
        <v>1.5</v>
      </c>
      <c r="G302" s="3" t="s">
        <v>13</v>
      </c>
      <c r="H302" s="12">
        <v>0</v>
      </c>
      <c r="I302" s="14">
        <v>0.36846554118747554</v>
      </c>
      <c r="J302" s="9" t="s">
        <v>823</v>
      </c>
    </row>
    <row r="303" spans="1:10" ht="28.8" x14ac:dyDescent="0.3">
      <c r="A303" s="3" t="s">
        <v>444</v>
      </c>
      <c r="B303" s="3" t="s">
        <v>14</v>
      </c>
      <c r="C303" s="3">
        <v>90</v>
      </c>
      <c r="D303" s="3">
        <v>4</v>
      </c>
      <c r="E303" s="3">
        <v>8.1999999999999993</v>
      </c>
      <c r="F303" s="3">
        <v>2.4</v>
      </c>
      <c r="G303" s="3" t="s">
        <v>13</v>
      </c>
      <c r="H303" s="12">
        <v>0</v>
      </c>
      <c r="I303" s="14">
        <v>0.68219694472078474</v>
      </c>
      <c r="J303" s="9" t="s">
        <v>823</v>
      </c>
    </row>
    <row r="304" spans="1:10" ht="28.8" x14ac:dyDescent="0.3">
      <c r="A304" s="3" t="s">
        <v>445</v>
      </c>
      <c r="B304" s="3" t="s">
        <v>18</v>
      </c>
      <c r="C304" s="3">
        <v>434</v>
      </c>
      <c r="D304" s="3">
        <v>5.3</v>
      </c>
      <c r="E304" s="3">
        <v>5.0999999999999996</v>
      </c>
      <c r="F304" s="3">
        <v>1.4</v>
      </c>
      <c r="G304" s="3" t="s">
        <v>13</v>
      </c>
      <c r="H304" s="12">
        <v>0</v>
      </c>
      <c r="I304" s="14">
        <v>0.17749444058367747</v>
      </c>
      <c r="J304" s="9" t="s">
        <v>823</v>
      </c>
    </row>
    <row r="305" spans="1:10" x14ac:dyDescent="0.3">
      <c r="A305" s="3" t="s">
        <v>446</v>
      </c>
      <c r="B305" s="3" t="s">
        <v>8</v>
      </c>
      <c r="C305" s="3">
        <v>120</v>
      </c>
      <c r="D305" s="3">
        <v>4.0999999999999996</v>
      </c>
      <c r="E305" s="3">
        <v>4.8</v>
      </c>
      <c r="F305" s="3">
        <v>1.6</v>
      </c>
      <c r="G305" s="3" t="s">
        <v>13</v>
      </c>
      <c r="H305" s="12">
        <v>0</v>
      </c>
      <c r="I305" s="14">
        <v>0.56213371593478012</v>
      </c>
      <c r="J305" s="9" t="s">
        <v>823</v>
      </c>
    </row>
    <row r="306" spans="1:10" ht="28.8" x14ac:dyDescent="0.3">
      <c r="A306" s="3" t="s">
        <v>447</v>
      </c>
      <c r="B306" s="3" t="s">
        <v>12</v>
      </c>
      <c r="C306" s="3">
        <v>213</v>
      </c>
      <c r="D306" s="3">
        <v>2.1</v>
      </c>
      <c r="E306" s="3">
        <v>9.1</v>
      </c>
      <c r="F306" s="3">
        <v>2.1</v>
      </c>
      <c r="G306" s="3" t="s">
        <v>7</v>
      </c>
      <c r="H306" s="12">
        <v>0</v>
      </c>
      <c r="I306" s="14">
        <v>0.20008739936536712</v>
      </c>
      <c r="J306" s="9" t="s">
        <v>823</v>
      </c>
    </row>
    <row r="307" spans="1:10" ht="28.8" x14ac:dyDescent="0.3">
      <c r="A307" s="3" t="s">
        <v>449</v>
      </c>
      <c r="B307" s="3" t="s">
        <v>18</v>
      </c>
      <c r="C307" s="3">
        <v>410</v>
      </c>
      <c r="D307" s="3">
        <v>6.6</v>
      </c>
      <c r="E307" s="3">
        <v>5.4</v>
      </c>
      <c r="F307" s="3">
        <v>1.5</v>
      </c>
      <c r="G307" s="3" t="s">
        <v>9</v>
      </c>
      <c r="H307" s="12">
        <v>0</v>
      </c>
      <c r="I307" s="14">
        <v>0.14266977396746305</v>
      </c>
      <c r="J307" s="9" t="s">
        <v>823</v>
      </c>
    </row>
    <row r="308" spans="1:10" ht="28.8" x14ac:dyDescent="0.3">
      <c r="A308" s="3" t="s">
        <v>450</v>
      </c>
      <c r="B308" s="3" t="s">
        <v>12</v>
      </c>
      <c r="C308" s="3">
        <v>216</v>
      </c>
      <c r="D308" s="3">
        <v>2.4</v>
      </c>
      <c r="E308" s="3">
        <v>7.3</v>
      </c>
      <c r="F308" s="3">
        <v>2.9</v>
      </c>
      <c r="G308" s="3" t="s">
        <v>7</v>
      </c>
      <c r="H308" s="12">
        <v>0</v>
      </c>
      <c r="I308" s="14">
        <v>0.51349766437009869</v>
      </c>
      <c r="J308" s="9" t="s">
        <v>823</v>
      </c>
    </row>
    <row r="309" spans="1:10" x14ac:dyDescent="0.3">
      <c r="A309" s="3" t="s">
        <v>452</v>
      </c>
      <c r="B309" s="3" t="s">
        <v>10</v>
      </c>
      <c r="C309" s="3">
        <v>427</v>
      </c>
      <c r="D309" s="3">
        <v>3.8</v>
      </c>
      <c r="E309" s="3">
        <v>1.1000000000000001</v>
      </c>
      <c r="F309" s="3">
        <v>1.9</v>
      </c>
      <c r="G309" s="3" t="s">
        <v>7</v>
      </c>
      <c r="H309" s="12">
        <v>0</v>
      </c>
      <c r="I309" s="14">
        <v>1.4678307980326988E-3</v>
      </c>
      <c r="J309" s="9" t="s">
        <v>823</v>
      </c>
    </row>
    <row r="310" spans="1:10" ht="28.8" x14ac:dyDescent="0.3">
      <c r="A310" s="3" t="s">
        <v>453</v>
      </c>
      <c r="B310" s="3" t="s">
        <v>18</v>
      </c>
      <c r="C310" s="3">
        <v>471</v>
      </c>
      <c r="D310" s="3">
        <v>6</v>
      </c>
      <c r="E310" s="3">
        <v>5.7</v>
      </c>
      <c r="F310" s="3">
        <v>2.7</v>
      </c>
      <c r="G310" s="3" t="s">
        <v>9</v>
      </c>
      <c r="H310" s="12">
        <v>0</v>
      </c>
      <c r="I310" s="14">
        <v>0.19212637993413373</v>
      </c>
      <c r="J310" s="9" t="s">
        <v>823</v>
      </c>
    </row>
    <row r="311" spans="1:10" ht="28.8" x14ac:dyDescent="0.3">
      <c r="A311" s="3" t="s">
        <v>454</v>
      </c>
      <c r="B311" s="3" t="s">
        <v>6</v>
      </c>
      <c r="C311" s="3">
        <v>199</v>
      </c>
      <c r="D311" s="3">
        <v>1.2</v>
      </c>
      <c r="E311" s="3">
        <v>7.5</v>
      </c>
      <c r="F311" s="3">
        <v>1.2</v>
      </c>
      <c r="G311" s="3" t="s">
        <v>11</v>
      </c>
      <c r="H311" s="12">
        <v>0</v>
      </c>
      <c r="I311" s="14">
        <v>0.29574227014021381</v>
      </c>
      <c r="J311" s="9" t="s">
        <v>823</v>
      </c>
    </row>
    <row r="312" spans="1:10" x14ac:dyDescent="0.3">
      <c r="A312" s="3" t="s">
        <v>455</v>
      </c>
      <c r="B312" s="3" t="s">
        <v>8</v>
      </c>
      <c r="C312" s="3">
        <v>425</v>
      </c>
      <c r="D312" s="3">
        <v>6.8</v>
      </c>
      <c r="E312" s="3">
        <v>9.4</v>
      </c>
      <c r="F312" s="3">
        <v>2.6</v>
      </c>
      <c r="G312" s="3" t="s">
        <v>9</v>
      </c>
      <c r="H312" s="12">
        <v>0</v>
      </c>
      <c r="I312" s="14">
        <v>0.13752309233466209</v>
      </c>
      <c r="J312" s="9" t="s">
        <v>823</v>
      </c>
    </row>
    <row r="313" spans="1:10" ht="28.8" x14ac:dyDescent="0.3">
      <c r="A313" s="3" t="s">
        <v>456</v>
      </c>
      <c r="B313" s="3" t="s">
        <v>6</v>
      </c>
      <c r="C313" s="3">
        <v>191</v>
      </c>
      <c r="D313" s="3">
        <v>5.8</v>
      </c>
      <c r="E313" s="3">
        <v>7</v>
      </c>
      <c r="F313" s="3">
        <v>1.6</v>
      </c>
      <c r="G313" s="3" t="s">
        <v>13</v>
      </c>
      <c r="H313" s="12">
        <v>0</v>
      </c>
      <c r="I313" s="14">
        <v>0.6049763280954884</v>
      </c>
      <c r="J313" s="9" t="s">
        <v>823</v>
      </c>
    </row>
    <row r="314" spans="1:10" x14ac:dyDescent="0.3">
      <c r="A314" s="3" t="s">
        <v>457</v>
      </c>
      <c r="B314" s="3" t="s">
        <v>10</v>
      </c>
      <c r="C314" s="3">
        <v>183</v>
      </c>
      <c r="D314" s="3">
        <v>1.8</v>
      </c>
      <c r="E314" s="3">
        <v>1.8</v>
      </c>
      <c r="F314" s="3">
        <v>1.8</v>
      </c>
      <c r="G314" s="3" t="s">
        <v>11</v>
      </c>
      <c r="H314" s="12">
        <v>0</v>
      </c>
      <c r="I314" s="14">
        <v>7.5196956082394517E-2</v>
      </c>
      <c r="J314" s="9" t="s">
        <v>823</v>
      </c>
    </row>
    <row r="315" spans="1:10" x14ac:dyDescent="0.3">
      <c r="A315" s="3" t="s">
        <v>458</v>
      </c>
      <c r="B315" s="3" t="s">
        <v>8</v>
      </c>
      <c r="C315" s="3">
        <v>89</v>
      </c>
      <c r="D315" s="3">
        <v>0.7</v>
      </c>
      <c r="E315" s="3">
        <v>5.6</v>
      </c>
      <c r="F315" s="3">
        <v>1.2</v>
      </c>
      <c r="G315" s="3" t="s">
        <v>11</v>
      </c>
      <c r="H315" s="12">
        <v>0</v>
      </c>
      <c r="I315" s="14">
        <v>2.617005861328292E-3</v>
      </c>
      <c r="J315" s="9" t="s">
        <v>823</v>
      </c>
    </row>
    <row r="316" spans="1:10" x14ac:dyDescent="0.3">
      <c r="A316" s="3" t="s">
        <v>459</v>
      </c>
      <c r="B316" s="3" t="s">
        <v>10</v>
      </c>
      <c r="C316" s="3">
        <v>59</v>
      </c>
      <c r="D316" s="3">
        <v>3.4</v>
      </c>
      <c r="E316" s="3">
        <v>4</v>
      </c>
      <c r="F316" s="3">
        <v>2.2999999999999998</v>
      </c>
      <c r="G316" s="3" t="s">
        <v>7</v>
      </c>
      <c r="H316" s="12">
        <v>0</v>
      </c>
      <c r="I316" s="14">
        <v>0.36250360051406993</v>
      </c>
      <c r="J316" s="9" t="s">
        <v>823</v>
      </c>
    </row>
    <row r="317" spans="1:10" ht="28.8" x14ac:dyDescent="0.3">
      <c r="A317" s="3" t="s">
        <v>461</v>
      </c>
      <c r="B317" s="3" t="s">
        <v>6</v>
      </c>
      <c r="C317" s="3">
        <v>313</v>
      </c>
      <c r="D317" s="3">
        <v>5.7</v>
      </c>
      <c r="E317" s="3">
        <v>1.1000000000000001</v>
      </c>
      <c r="F317" s="3">
        <v>2.7</v>
      </c>
      <c r="G317" s="3" t="s">
        <v>13</v>
      </c>
      <c r="H317" s="12">
        <v>0</v>
      </c>
      <c r="I317" s="14">
        <v>0.58122313269572345</v>
      </c>
      <c r="J317" s="9" t="s">
        <v>823</v>
      </c>
    </row>
    <row r="318" spans="1:10" ht="28.8" x14ac:dyDescent="0.3">
      <c r="A318" s="3" t="s">
        <v>462</v>
      </c>
      <c r="B318" s="3" t="s">
        <v>12</v>
      </c>
      <c r="C318" s="3">
        <v>95</v>
      </c>
      <c r="D318" s="3">
        <v>1.3</v>
      </c>
      <c r="E318" s="3">
        <v>1.8</v>
      </c>
      <c r="F318" s="3">
        <v>2</v>
      </c>
      <c r="G318" s="3" t="s">
        <v>11</v>
      </c>
      <c r="H318" s="12">
        <v>0</v>
      </c>
      <c r="I318" s="14">
        <v>0.41171661783986879</v>
      </c>
      <c r="J318" s="9" t="s">
        <v>823</v>
      </c>
    </row>
    <row r="319" spans="1:10" ht="28.8" x14ac:dyDescent="0.3">
      <c r="A319" s="3" t="s">
        <v>463</v>
      </c>
      <c r="B319" s="3" t="s">
        <v>18</v>
      </c>
      <c r="C319" s="3">
        <v>433</v>
      </c>
      <c r="D319" s="3">
        <v>5.4</v>
      </c>
      <c r="E319" s="3">
        <v>0.7</v>
      </c>
      <c r="F319" s="3">
        <v>1.2</v>
      </c>
      <c r="G319" s="3" t="s">
        <v>13</v>
      </c>
      <c r="H319" s="12">
        <v>0</v>
      </c>
      <c r="I319" s="14">
        <v>0.6757138263124568</v>
      </c>
      <c r="J319" s="9" t="s">
        <v>823</v>
      </c>
    </row>
    <row r="320" spans="1:10" ht="28.8" x14ac:dyDescent="0.3">
      <c r="A320" s="3" t="s">
        <v>467</v>
      </c>
      <c r="B320" s="3" t="s">
        <v>14</v>
      </c>
      <c r="C320" s="3">
        <v>424</v>
      </c>
      <c r="D320" s="3">
        <v>6.9</v>
      </c>
      <c r="E320" s="3">
        <v>1.7</v>
      </c>
      <c r="F320" s="3">
        <v>1.6</v>
      </c>
      <c r="G320" s="3" t="s">
        <v>9</v>
      </c>
      <c r="H320" s="12">
        <v>0</v>
      </c>
      <c r="I320" s="14">
        <v>0.67315993367301408</v>
      </c>
      <c r="J320" s="9" t="s">
        <v>823</v>
      </c>
    </row>
    <row r="321" spans="1:10" ht="28.8" x14ac:dyDescent="0.3">
      <c r="A321" s="3" t="s">
        <v>468</v>
      </c>
      <c r="B321" s="3" t="s">
        <v>6</v>
      </c>
      <c r="C321" s="3">
        <v>203</v>
      </c>
      <c r="D321" s="3">
        <v>3.7</v>
      </c>
      <c r="E321" s="3">
        <v>5.8</v>
      </c>
      <c r="F321" s="3">
        <v>1.7</v>
      </c>
      <c r="G321" s="3" t="s">
        <v>7</v>
      </c>
      <c r="H321" s="12">
        <v>0</v>
      </c>
      <c r="I321" s="14">
        <v>0.38266973736760213</v>
      </c>
      <c r="J321" s="9" t="s">
        <v>823</v>
      </c>
    </row>
    <row r="322" spans="1:10" ht="28.8" x14ac:dyDescent="0.3">
      <c r="A322" s="3" t="s">
        <v>469</v>
      </c>
      <c r="B322" s="3" t="s">
        <v>18</v>
      </c>
      <c r="C322" s="3">
        <v>169</v>
      </c>
      <c r="D322" s="3">
        <v>1.3</v>
      </c>
      <c r="E322" s="3">
        <v>9</v>
      </c>
      <c r="F322" s="3">
        <v>1.6</v>
      </c>
      <c r="G322" s="3" t="s">
        <v>11</v>
      </c>
      <c r="H322" s="12">
        <v>0</v>
      </c>
      <c r="I322" s="14">
        <v>0.13034966723901054</v>
      </c>
      <c r="J322" s="9" t="s">
        <v>823</v>
      </c>
    </row>
    <row r="323" spans="1:10" x14ac:dyDescent="0.3">
      <c r="A323" s="3" t="s">
        <v>470</v>
      </c>
      <c r="B323" s="3" t="s">
        <v>10</v>
      </c>
      <c r="C323" s="3">
        <v>327</v>
      </c>
      <c r="D323" s="3">
        <v>4.0999999999999996</v>
      </c>
      <c r="E323" s="3">
        <v>4.5</v>
      </c>
      <c r="F323" s="3">
        <v>0.5</v>
      </c>
      <c r="G323" s="3" t="s">
        <v>13</v>
      </c>
      <c r="H323" s="12">
        <v>0</v>
      </c>
      <c r="I323" s="14">
        <v>0.56654138093434958</v>
      </c>
      <c r="J323" s="9" t="s">
        <v>823</v>
      </c>
    </row>
    <row r="324" spans="1:10" ht="28.8" x14ac:dyDescent="0.3">
      <c r="A324" s="3" t="s">
        <v>471</v>
      </c>
      <c r="B324" s="3" t="s">
        <v>6</v>
      </c>
      <c r="C324" s="3">
        <v>448</v>
      </c>
      <c r="D324" s="3">
        <v>3</v>
      </c>
      <c r="E324" s="3">
        <v>3.8</v>
      </c>
      <c r="F324" s="3">
        <v>1.4</v>
      </c>
      <c r="G324" s="3" t="s">
        <v>7</v>
      </c>
      <c r="H324" s="12">
        <v>0</v>
      </c>
      <c r="I324" s="14">
        <v>0.30104096664678326</v>
      </c>
      <c r="J324" s="9" t="s">
        <v>823</v>
      </c>
    </row>
    <row r="325" spans="1:10" ht="28.8" x14ac:dyDescent="0.3">
      <c r="A325" s="3" t="s">
        <v>472</v>
      </c>
      <c r="B325" s="3" t="s">
        <v>14</v>
      </c>
      <c r="C325" s="3">
        <v>479</v>
      </c>
      <c r="D325" s="3">
        <v>4.4000000000000004</v>
      </c>
      <c r="E325" s="3">
        <v>3.4</v>
      </c>
      <c r="F325" s="3">
        <v>0.5</v>
      </c>
      <c r="G325" s="3" t="s">
        <v>13</v>
      </c>
      <c r="H325" s="12">
        <v>0</v>
      </c>
      <c r="I325" s="14">
        <v>0.65733100404183065</v>
      </c>
      <c r="J325" s="9" t="s">
        <v>823</v>
      </c>
    </row>
    <row r="326" spans="1:10" ht="28.8" x14ac:dyDescent="0.3">
      <c r="A326" s="3" t="s">
        <v>473</v>
      </c>
      <c r="B326" s="3" t="s">
        <v>6</v>
      </c>
      <c r="C326" s="3">
        <v>104</v>
      </c>
      <c r="D326" s="3">
        <v>2.7</v>
      </c>
      <c r="E326" s="3">
        <v>0.7</v>
      </c>
      <c r="F326" s="3">
        <v>0.6</v>
      </c>
      <c r="G326" s="3" t="s">
        <v>7</v>
      </c>
      <c r="H326" s="12">
        <v>0</v>
      </c>
      <c r="I326" s="14">
        <v>0.50548355742727868</v>
      </c>
      <c r="J326" s="9" t="s">
        <v>823</v>
      </c>
    </row>
    <row r="327" spans="1:10" x14ac:dyDescent="0.3">
      <c r="A327" s="3" t="s">
        <v>474</v>
      </c>
      <c r="B327" s="3" t="s">
        <v>8</v>
      </c>
      <c r="C327" s="3">
        <v>130</v>
      </c>
      <c r="D327" s="3">
        <v>7.6</v>
      </c>
      <c r="E327" s="3">
        <v>2.7</v>
      </c>
      <c r="F327" s="3">
        <v>2.2000000000000002</v>
      </c>
      <c r="G327" s="3" t="s">
        <v>9</v>
      </c>
      <c r="H327" s="12">
        <v>0</v>
      </c>
      <c r="I327" s="14">
        <v>2.2055958222988781E-2</v>
      </c>
      <c r="J327" s="9" t="s">
        <v>823</v>
      </c>
    </row>
    <row r="328" spans="1:10" ht="28.8" x14ac:dyDescent="0.3">
      <c r="A328" s="3" t="s">
        <v>475</v>
      </c>
      <c r="B328" s="3" t="s">
        <v>14</v>
      </c>
      <c r="C328" s="3">
        <v>280</v>
      </c>
      <c r="D328" s="3">
        <v>3.9</v>
      </c>
      <c r="E328" s="3">
        <v>2.8</v>
      </c>
      <c r="F328" s="3">
        <v>1.9</v>
      </c>
      <c r="G328" s="3" t="s">
        <v>7</v>
      </c>
      <c r="H328" s="12">
        <v>0</v>
      </c>
      <c r="I328" s="14">
        <v>0.33889862842759888</v>
      </c>
      <c r="J328" s="9" t="s">
        <v>823</v>
      </c>
    </row>
    <row r="329" spans="1:10" ht="28.8" x14ac:dyDescent="0.3">
      <c r="A329" s="3" t="s">
        <v>476</v>
      </c>
      <c r="B329" s="3" t="s">
        <v>18</v>
      </c>
      <c r="C329" s="3">
        <v>279</v>
      </c>
      <c r="D329" s="3">
        <v>1.8</v>
      </c>
      <c r="E329" s="3">
        <v>9.8000000000000007</v>
      </c>
      <c r="F329" s="3">
        <v>2.1</v>
      </c>
      <c r="G329" s="3" t="s">
        <v>11</v>
      </c>
      <c r="H329" s="12">
        <v>0</v>
      </c>
      <c r="I329" s="14">
        <v>0.31177928107025898</v>
      </c>
      <c r="J329" s="9" t="s">
        <v>823</v>
      </c>
    </row>
    <row r="330" spans="1:10" ht="28.8" x14ac:dyDescent="0.3">
      <c r="A330" s="3" t="s">
        <v>477</v>
      </c>
      <c r="B330" s="3" t="s">
        <v>14</v>
      </c>
      <c r="C330" s="3">
        <v>411</v>
      </c>
      <c r="D330" s="3">
        <v>5.4</v>
      </c>
      <c r="E330" s="3">
        <v>0.9</v>
      </c>
      <c r="F330" s="3">
        <v>2.7</v>
      </c>
      <c r="G330" s="3" t="s">
        <v>13</v>
      </c>
      <c r="H330" s="12">
        <v>0</v>
      </c>
      <c r="I330" s="14">
        <v>0.44148047908019483</v>
      </c>
      <c r="J330" s="9" t="s">
        <v>823</v>
      </c>
    </row>
    <row r="331" spans="1:10" ht="28.8" x14ac:dyDescent="0.3">
      <c r="A331" s="3" t="s">
        <v>478</v>
      </c>
      <c r="B331" s="3" t="s">
        <v>12</v>
      </c>
      <c r="C331" s="3">
        <v>185</v>
      </c>
      <c r="D331" s="3">
        <v>2</v>
      </c>
      <c r="E331" s="3">
        <v>9.8000000000000007</v>
      </c>
      <c r="F331" s="3">
        <v>2.8</v>
      </c>
      <c r="G331" s="3" t="s">
        <v>7</v>
      </c>
      <c r="H331" s="12">
        <v>0</v>
      </c>
      <c r="I331" s="14">
        <v>1.5801334237802944E-2</v>
      </c>
      <c r="J331" s="9" t="s">
        <v>823</v>
      </c>
    </row>
    <row r="332" spans="1:10" x14ac:dyDescent="0.3">
      <c r="A332" s="3" t="s">
        <v>482</v>
      </c>
      <c r="B332" s="3" t="s">
        <v>8</v>
      </c>
      <c r="C332" s="3">
        <v>395</v>
      </c>
      <c r="D332" s="3">
        <v>2.9</v>
      </c>
      <c r="E332" s="3">
        <v>2.2999999999999998</v>
      </c>
      <c r="F332" s="3">
        <v>2</v>
      </c>
      <c r="G332" s="3" t="s">
        <v>7</v>
      </c>
      <c r="H332" s="12">
        <v>0</v>
      </c>
      <c r="I332" s="14">
        <v>0.17951551681195654</v>
      </c>
      <c r="J332" s="9" t="s">
        <v>823</v>
      </c>
    </row>
    <row r="333" spans="1:10" ht="28.8" x14ac:dyDescent="0.3">
      <c r="A333" s="3" t="s">
        <v>483</v>
      </c>
      <c r="B333" s="3" t="s">
        <v>14</v>
      </c>
      <c r="C333" s="3">
        <v>53</v>
      </c>
      <c r="D333" s="3">
        <v>7.2</v>
      </c>
      <c r="E333" s="3">
        <v>7.8</v>
      </c>
      <c r="F333" s="3">
        <v>1.9</v>
      </c>
      <c r="G333" s="3" t="s">
        <v>9</v>
      </c>
      <c r="H333" s="12">
        <v>0</v>
      </c>
      <c r="I333" s="14">
        <v>0.47130967497083143</v>
      </c>
      <c r="J333" s="9" t="s">
        <v>823</v>
      </c>
    </row>
    <row r="334" spans="1:10" ht="28.8" x14ac:dyDescent="0.3">
      <c r="A334" s="3" t="s">
        <v>485</v>
      </c>
      <c r="B334" s="3" t="s">
        <v>18</v>
      </c>
      <c r="C334" s="3">
        <v>234</v>
      </c>
      <c r="D334" s="3">
        <v>0.6</v>
      </c>
      <c r="E334" s="3">
        <v>4</v>
      </c>
      <c r="F334" s="3">
        <v>3</v>
      </c>
      <c r="G334" s="3" t="s">
        <v>11</v>
      </c>
      <c r="H334" s="12">
        <v>0</v>
      </c>
      <c r="I334" s="14">
        <v>0.11143859455664495</v>
      </c>
      <c r="J334" s="9" t="s">
        <v>823</v>
      </c>
    </row>
    <row r="335" spans="1:10" ht="28.8" x14ac:dyDescent="0.3">
      <c r="A335" s="3" t="s">
        <v>487</v>
      </c>
      <c r="B335" s="3" t="s">
        <v>6</v>
      </c>
      <c r="C335" s="3">
        <v>311</v>
      </c>
      <c r="D335" s="3">
        <v>2.6</v>
      </c>
      <c r="E335" s="3">
        <v>1.7</v>
      </c>
      <c r="F335" s="3">
        <v>2.1</v>
      </c>
      <c r="G335" s="3" t="s">
        <v>7</v>
      </c>
      <c r="H335" s="12">
        <v>0</v>
      </c>
      <c r="I335" s="14">
        <v>0.39865782477113854</v>
      </c>
      <c r="J335" s="9" t="s">
        <v>823</v>
      </c>
    </row>
    <row r="336" spans="1:10" ht="28.8" x14ac:dyDescent="0.3">
      <c r="A336" s="3" t="s">
        <v>490</v>
      </c>
      <c r="B336" s="3" t="s">
        <v>6</v>
      </c>
      <c r="C336" s="3">
        <v>209</v>
      </c>
      <c r="D336" s="3">
        <v>5.0999999999999996</v>
      </c>
      <c r="E336" s="3">
        <v>3.4</v>
      </c>
      <c r="F336" s="3">
        <v>1.8</v>
      </c>
      <c r="G336" s="3" t="s">
        <v>13</v>
      </c>
      <c r="H336" s="12">
        <v>0</v>
      </c>
      <c r="I336" s="14">
        <v>0.33045134907543794</v>
      </c>
      <c r="J336" s="9" t="s">
        <v>823</v>
      </c>
    </row>
    <row r="337" spans="1:10" x14ac:dyDescent="0.3">
      <c r="A337" s="3" t="s">
        <v>491</v>
      </c>
      <c r="B337" s="3" t="s">
        <v>8</v>
      </c>
      <c r="C337" s="3">
        <v>247</v>
      </c>
      <c r="D337" s="3">
        <v>7</v>
      </c>
      <c r="E337" s="3">
        <v>5.6</v>
      </c>
      <c r="F337" s="3">
        <v>2.5</v>
      </c>
      <c r="G337" s="3" t="s">
        <v>9</v>
      </c>
      <c r="H337" s="12">
        <v>0</v>
      </c>
      <c r="I337" s="14">
        <v>0.10000663611332705</v>
      </c>
      <c r="J337" s="9" t="s">
        <v>823</v>
      </c>
    </row>
    <row r="338" spans="1:10" ht="28.8" x14ac:dyDescent="0.3">
      <c r="A338" s="3" t="s">
        <v>492</v>
      </c>
      <c r="B338" s="3" t="s">
        <v>14</v>
      </c>
      <c r="C338" s="3">
        <v>183</v>
      </c>
      <c r="D338" s="3">
        <v>6.3</v>
      </c>
      <c r="E338" s="3">
        <v>5.4</v>
      </c>
      <c r="F338" s="3">
        <v>0.9</v>
      </c>
      <c r="G338" s="3" t="s">
        <v>9</v>
      </c>
      <c r="H338" s="12">
        <v>0</v>
      </c>
      <c r="I338" s="14">
        <v>0.48044052623095879</v>
      </c>
      <c r="J338" s="9" t="s">
        <v>823</v>
      </c>
    </row>
    <row r="339" spans="1:10" ht="28.8" x14ac:dyDescent="0.3">
      <c r="A339" s="3" t="s">
        <v>494</v>
      </c>
      <c r="B339" s="3" t="s">
        <v>6</v>
      </c>
      <c r="C339" s="3">
        <v>84</v>
      </c>
      <c r="D339" s="3">
        <v>3.9</v>
      </c>
      <c r="E339" s="3">
        <v>3.3</v>
      </c>
      <c r="F339" s="3">
        <v>2.7</v>
      </c>
      <c r="G339" s="3" t="s">
        <v>7</v>
      </c>
      <c r="H339" s="12">
        <v>0</v>
      </c>
      <c r="I339" s="14">
        <v>0.37106587780291544</v>
      </c>
      <c r="J339" s="9" t="s">
        <v>823</v>
      </c>
    </row>
    <row r="340" spans="1:10" x14ac:dyDescent="0.3">
      <c r="A340" s="3" t="s">
        <v>495</v>
      </c>
      <c r="B340" s="3" t="s">
        <v>8</v>
      </c>
      <c r="C340" s="3">
        <v>195</v>
      </c>
      <c r="D340" s="3">
        <v>6.3</v>
      </c>
      <c r="E340" s="3">
        <v>9.6999999999999993</v>
      </c>
      <c r="F340" s="3">
        <v>2</v>
      </c>
      <c r="G340" s="3" t="s">
        <v>9</v>
      </c>
      <c r="H340" s="12">
        <v>0</v>
      </c>
      <c r="I340" s="14">
        <v>0.52714767263503981</v>
      </c>
      <c r="J340" s="9" t="s">
        <v>823</v>
      </c>
    </row>
    <row r="341" spans="1:10" x14ac:dyDescent="0.3">
      <c r="A341" s="3" t="s">
        <v>496</v>
      </c>
      <c r="B341" s="3" t="s">
        <v>8</v>
      </c>
      <c r="C341" s="3">
        <v>298</v>
      </c>
      <c r="D341" s="3">
        <v>1.1000000000000001</v>
      </c>
      <c r="E341" s="3">
        <v>1</v>
      </c>
      <c r="F341" s="3">
        <v>0.6</v>
      </c>
      <c r="G341" s="3" t="s">
        <v>11</v>
      </c>
      <c r="H341" s="12">
        <v>0</v>
      </c>
      <c r="I341" s="14">
        <v>0.16700950955139415</v>
      </c>
      <c r="J341" s="9" t="s">
        <v>823</v>
      </c>
    </row>
    <row r="342" spans="1:10" ht="28.8" x14ac:dyDescent="0.3">
      <c r="A342" s="3" t="s">
        <v>498</v>
      </c>
      <c r="B342" s="3" t="s">
        <v>18</v>
      </c>
      <c r="C342" s="3">
        <v>477</v>
      </c>
      <c r="D342" s="3">
        <v>1.9</v>
      </c>
      <c r="E342" s="3">
        <v>1.2</v>
      </c>
      <c r="F342" s="3">
        <v>0.9</v>
      </c>
      <c r="G342" s="3" t="s">
        <v>11</v>
      </c>
      <c r="H342" s="12">
        <v>0</v>
      </c>
      <c r="I342" s="14">
        <v>0.15331903606707764</v>
      </c>
      <c r="J342" s="9" t="s">
        <v>823</v>
      </c>
    </row>
    <row r="343" spans="1:10" ht="28.8" x14ac:dyDescent="0.3">
      <c r="A343" s="3" t="s">
        <v>500</v>
      </c>
      <c r="B343" s="3" t="s">
        <v>6</v>
      </c>
      <c r="C343" s="3">
        <v>134</v>
      </c>
      <c r="D343" s="3">
        <v>4.4000000000000004</v>
      </c>
      <c r="E343" s="3">
        <v>3.6</v>
      </c>
      <c r="F343" s="3">
        <v>1.2</v>
      </c>
      <c r="G343" s="3" t="s">
        <v>13</v>
      </c>
      <c r="H343" s="12">
        <v>0</v>
      </c>
      <c r="I343" s="14">
        <v>0.24859072741520094</v>
      </c>
      <c r="J343" s="9" t="s">
        <v>823</v>
      </c>
    </row>
    <row r="344" spans="1:10" x14ac:dyDescent="0.3">
      <c r="A344" s="3" t="s">
        <v>503</v>
      </c>
      <c r="B344" s="3" t="s">
        <v>8</v>
      </c>
      <c r="C344" s="3">
        <v>77</v>
      </c>
      <c r="D344" s="3">
        <v>3.1</v>
      </c>
      <c r="E344" s="3">
        <v>5.3</v>
      </c>
      <c r="F344" s="3">
        <v>0.8</v>
      </c>
      <c r="G344" s="3" t="s">
        <v>7</v>
      </c>
      <c r="H344" s="12">
        <v>0</v>
      </c>
      <c r="I344" s="14">
        <v>0.13873001150948394</v>
      </c>
      <c r="J344" s="9" t="s">
        <v>823</v>
      </c>
    </row>
    <row r="345" spans="1:10" x14ac:dyDescent="0.3">
      <c r="A345" s="3" t="s">
        <v>504</v>
      </c>
      <c r="B345" s="3" t="s">
        <v>10</v>
      </c>
      <c r="C345" s="3">
        <v>178</v>
      </c>
      <c r="D345" s="3">
        <v>1.5</v>
      </c>
      <c r="E345" s="3">
        <v>5.4</v>
      </c>
      <c r="F345" s="3">
        <v>1.6</v>
      </c>
      <c r="G345" s="3" t="s">
        <v>11</v>
      </c>
      <c r="H345" s="12">
        <v>0</v>
      </c>
      <c r="I345" s="14">
        <v>0.54205013087516263</v>
      </c>
      <c r="J345" s="9" t="s">
        <v>823</v>
      </c>
    </row>
    <row r="346" spans="1:10" x14ac:dyDescent="0.3">
      <c r="A346" s="3" t="s">
        <v>505</v>
      </c>
      <c r="B346" s="3" t="s">
        <v>8</v>
      </c>
      <c r="C346" s="3">
        <v>147</v>
      </c>
      <c r="D346" s="3">
        <v>1.4</v>
      </c>
      <c r="E346" s="3">
        <v>9.1999999999999993</v>
      </c>
      <c r="F346" s="3">
        <v>0.8</v>
      </c>
      <c r="G346" s="3" t="s">
        <v>11</v>
      </c>
      <c r="H346" s="12">
        <v>0</v>
      </c>
      <c r="I346" s="14">
        <v>0.20828753772878417</v>
      </c>
      <c r="J346" s="9" t="s">
        <v>823</v>
      </c>
    </row>
    <row r="347" spans="1:10" ht="28.8" x14ac:dyDescent="0.3">
      <c r="A347" s="3" t="s">
        <v>507</v>
      </c>
      <c r="B347" s="3" t="s">
        <v>6</v>
      </c>
      <c r="C347" s="3">
        <v>190</v>
      </c>
      <c r="D347" s="3">
        <v>6.3</v>
      </c>
      <c r="E347" s="3">
        <v>1.9</v>
      </c>
      <c r="F347" s="3">
        <v>2.4</v>
      </c>
      <c r="G347" s="3" t="s">
        <v>9</v>
      </c>
      <c r="H347" s="12">
        <v>0</v>
      </c>
      <c r="I347" s="14">
        <v>0.3544634213661807</v>
      </c>
      <c r="J347" s="9" t="s">
        <v>823</v>
      </c>
    </row>
    <row r="348" spans="1:10" x14ac:dyDescent="0.3">
      <c r="A348" s="3" t="s">
        <v>508</v>
      </c>
      <c r="B348" s="3" t="s">
        <v>8</v>
      </c>
      <c r="C348" s="3">
        <v>66</v>
      </c>
      <c r="D348" s="3">
        <v>3.1</v>
      </c>
      <c r="E348" s="3">
        <v>6.1</v>
      </c>
      <c r="F348" s="3">
        <v>0.5</v>
      </c>
      <c r="G348" s="3" t="s">
        <v>7</v>
      </c>
      <c r="H348" s="12">
        <v>0</v>
      </c>
      <c r="I348" s="14">
        <v>0.48998827728154959</v>
      </c>
      <c r="J348" s="9" t="s">
        <v>823</v>
      </c>
    </row>
    <row r="349" spans="1:10" x14ac:dyDescent="0.3">
      <c r="A349" s="3" t="s">
        <v>510</v>
      </c>
      <c r="B349" s="3" t="s">
        <v>8</v>
      </c>
      <c r="C349" s="3">
        <v>78</v>
      </c>
      <c r="D349" s="3">
        <v>3</v>
      </c>
      <c r="E349" s="3">
        <v>3.4</v>
      </c>
      <c r="F349" s="3">
        <v>1.2</v>
      </c>
      <c r="G349" s="3" t="s">
        <v>7</v>
      </c>
      <c r="H349" s="12">
        <v>0</v>
      </c>
      <c r="I349" s="14">
        <v>2.8791609978868427E-2</v>
      </c>
      <c r="J349" s="9" t="s">
        <v>823</v>
      </c>
    </row>
    <row r="350" spans="1:10" x14ac:dyDescent="0.3">
      <c r="A350" s="3" t="s">
        <v>511</v>
      </c>
      <c r="B350" s="3" t="s">
        <v>8</v>
      </c>
      <c r="C350" s="3">
        <v>249</v>
      </c>
      <c r="D350" s="3">
        <v>4.5999999999999996</v>
      </c>
      <c r="E350" s="3">
        <v>1.7</v>
      </c>
      <c r="F350" s="3">
        <v>2.5</v>
      </c>
      <c r="G350" s="3" t="s">
        <v>13</v>
      </c>
      <c r="H350" s="12">
        <v>0</v>
      </c>
      <c r="I350" s="14">
        <v>0.13798228469935714</v>
      </c>
      <c r="J350" s="9" t="s">
        <v>823</v>
      </c>
    </row>
    <row r="351" spans="1:10" ht="28.8" x14ac:dyDescent="0.3">
      <c r="A351" s="3" t="s">
        <v>512</v>
      </c>
      <c r="B351" s="3" t="s">
        <v>14</v>
      </c>
      <c r="C351" s="3">
        <v>453</v>
      </c>
      <c r="D351" s="3">
        <v>6.2</v>
      </c>
      <c r="E351" s="3">
        <v>8</v>
      </c>
      <c r="F351" s="3">
        <v>1.3</v>
      </c>
      <c r="G351" s="3" t="s">
        <v>9</v>
      </c>
      <c r="H351" s="12">
        <v>0</v>
      </c>
      <c r="I351" s="14">
        <v>0.19778048435555617</v>
      </c>
      <c r="J351" s="9" t="s">
        <v>823</v>
      </c>
    </row>
    <row r="352" spans="1:10" ht="28.8" x14ac:dyDescent="0.3">
      <c r="A352" s="3" t="s">
        <v>515</v>
      </c>
      <c r="B352" s="3" t="s">
        <v>12</v>
      </c>
      <c r="C352" s="3">
        <v>165</v>
      </c>
      <c r="D352" s="3">
        <v>3.2</v>
      </c>
      <c r="E352" s="3">
        <v>2.5</v>
      </c>
      <c r="F352" s="3">
        <v>2.6</v>
      </c>
      <c r="G352" s="3" t="s">
        <v>7</v>
      </c>
      <c r="H352" s="12">
        <v>0</v>
      </c>
      <c r="I352" s="14">
        <v>0.46107709986623091</v>
      </c>
      <c r="J352" s="9" t="s">
        <v>823</v>
      </c>
    </row>
    <row r="353" spans="1:10" ht="28.8" x14ac:dyDescent="0.3">
      <c r="A353" s="3" t="s">
        <v>517</v>
      </c>
      <c r="B353" s="3" t="s">
        <v>18</v>
      </c>
      <c r="C353" s="3">
        <v>201</v>
      </c>
      <c r="D353" s="3">
        <v>2.9</v>
      </c>
      <c r="E353" s="3">
        <v>6.5</v>
      </c>
      <c r="F353" s="3">
        <v>2.2000000000000002</v>
      </c>
      <c r="G353" s="3" t="s">
        <v>7</v>
      </c>
      <c r="H353" s="12">
        <v>0</v>
      </c>
      <c r="I353" s="14">
        <v>0.37483210255057064</v>
      </c>
      <c r="J353" s="9" t="s">
        <v>823</v>
      </c>
    </row>
    <row r="354" spans="1:10" x14ac:dyDescent="0.3">
      <c r="A354" s="3" t="s">
        <v>518</v>
      </c>
      <c r="B354" s="3" t="s">
        <v>8</v>
      </c>
      <c r="C354" s="3">
        <v>193</v>
      </c>
      <c r="D354" s="3">
        <v>5.7</v>
      </c>
      <c r="E354" s="3">
        <v>5.4</v>
      </c>
      <c r="F354" s="3">
        <v>0.8</v>
      </c>
      <c r="G354" s="3" t="s">
        <v>13</v>
      </c>
      <c r="H354" s="12">
        <v>0</v>
      </c>
      <c r="I354" s="14">
        <v>4.9331711062296613E-2</v>
      </c>
      <c r="J354" s="9" t="s">
        <v>823</v>
      </c>
    </row>
    <row r="355" spans="1:10" ht="28.8" x14ac:dyDescent="0.3">
      <c r="A355" s="3" t="s">
        <v>519</v>
      </c>
      <c r="B355" s="3" t="s">
        <v>6</v>
      </c>
      <c r="C355" s="3">
        <v>50</v>
      </c>
      <c r="D355" s="3">
        <v>1.5</v>
      </c>
      <c r="E355" s="3">
        <v>2.2999999999999998</v>
      </c>
      <c r="F355" s="3">
        <v>0.8</v>
      </c>
      <c r="G355" s="3" t="s">
        <v>11</v>
      </c>
      <c r="H355" s="12">
        <v>0</v>
      </c>
      <c r="I355" s="14">
        <v>0.5762905056766231</v>
      </c>
      <c r="J355" s="9" t="s">
        <v>823</v>
      </c>
    </row>
    <row r="356" spans="1:10" ht="28.8" x14ac:dyDescent="0.3">
      <c r="A356" s="3" t="s">
        <v>520</v>
      </c>
      <c r="B356" s="3" t="s">
        <v>12</v>
      </c>
      <c r="C356" s="3">
        <v>136</v>
      </c>
      <c r="D356" s="3">
        <v>4.8</v>
      </c>
      <c r="E356" s="3">
        <v>8.1</v>
      </c>
      <c r="F356" s="3">
        <v>1.6</v>
      </c>
      <c r="G356" s="3" t="s">
        <v>13</v>
      </c>
      <c r="H356" s="12">
        <v>0</v>
      </c>
      <c r="I356" s="14">
        <v>0.38300454025488218</v>
      </c>
      <c r="J356" s="9" t="s">
        <v>823</v>
      </c>
    </row>
    <row r="357" spans="1:10" ht="28.8" x14ac:dyDescent="0.3">
      <c r="A357" s="3" t="s">
        <v>521</v>
      </c>
      <c r="B357" s="3" t="s">
        <v>14</v>
      </c>
      <c r="C357" s="3">
        <v>471</v>
      </c>
      <c r="D357" s="3">
        <v>4.9000000000000004</v>
      </c>
      <c r="E357" s="3">
        <v>8.6999999999999993</v>
      </c>
      <c r="F357" s="3">
        <v>2.9</v>
      </c>
      <c r="G357" s="3" t="s">
        <v>13</v>
      </c>
      <c r="H357" s="12">
        <v>0</v>
      </c>
      <c r="I357" s="14">
        <v>0.2909362539934488</v>
      </c>
      <c r="J357" s="9" t="s">
        <v>823</v>
      </c>
    </row>
    <row r="358" spans="1:10" ht="28.8" x14ac:dyDescent="0.3">
      <c r="A358" s="3" t="s">
        <v>522</v>
      </c>
      <c r="B358" s="3" t="s">
        <v>14</v>
      </c>
      <c r="C358" s="3">
        <v>110</v>
      </c>
      <c r="D358" s="3">
        <v>4.2</v>
      </c>
      <c r="E358" s="3">
        <v>2.7</v>
      </c>
      <c r="F358" s="3">
        <v>2.6</v>
      </c>
      <c r="G358" s="3" t="s">
        <v>13</v>
      </c>
      <c r="H358" s="12">
        <v>0</v>
      </c>
      <c r="I358" s="14">
        <v>0.17012838693178334</v>
      </c>
      <c r="J358" s="9" t="s">
        <v>823</v>
      </c>
    </row>
    <row r="359" spans="1:10" x14ac:dyDescent="0.3">
      <c r="A359" s="3" t="s">
        <v>523</v>
      </c>
      <c r="B359" s="3" t="s">
        <v>8</v>
      </c>
      <c r="C359" s="3">
        <v>439</v>
      </c>
      <c r="D359" s="3">
        <v>3.7</v>
      </c>
      <c r="E359" s="3">
        <v>5</v>
      </c>
      <c r="F359" s="3">
        <v>1.7</v>
      </c>
      <c r="G359" s="3" t="s">
        <v>7</v>
      </c>
      <c r="H359" s="12">
        <v>0</v>
      </c>
      <c r="I359" s="14">
        <v>3.1899513436352889E-2</v>
      </c>
      <c r="J359" s="9" t="s">
        <v>823</v>
      </c>
    </row>
    <row r="360" spans="1:10" ht="28.8" x14ac:dyDescent="0.3">
      <c r="A360" s="3" t="s">
        <v>524</v>
      </c>
      <c r="B360" s="3" t="s">
        <v>6</v>
      </c>
      <c r="C360" s="3">
        <v>408</v>
      </c>
      <c r="D360" s="3">
        <v>7.4</v>
      </c>
      <c r="E360" s="3">
        <v>1.9</v>
      </c>
      <c r="F360" s="3">
        <v>1</v>
      </c>
      <c r="G360" s="3" t="s">
        <v>9</v>
      </c>
      <c r="H360" s="12">
        <v>0</v>
      </c>
      <c r="I360" s="14">
        <v>0.58022860703933643</v>
      </c>
      <c r="J360" s="9" t="s">
        <v>823</v>
      </c>
    </row>
    <row r="361" spans="1:10" x14ac:dyDescent="0.3">
      <c r="A361" s="3" t="s">
        <v>525</v>
      </c>
      <c r="B361" s="3" t="s">
        <v>8</v>
      </c>
      <c r="C361" s="3">
        <v>130</v>
      </c>
      <c r="D361" s="3">
        <v>2.5</v>
      </c>
      <c r="E361" s="3">
        <v>7.9</v>
      </c>
      <c r="F361" s="3">
        <v>2.6</v>
      </c>
      <c r="G361" s="3" t="s">
        <v>7</v>
      </c>
      <c r="H361" s="12">
        <v>0</v>
      </c>
      <c r="I361" s="14">
        <v>0.59297454014997475</v>
      </c>
      <c r="J361" s="9" t="s">
        <v>823</v>
      </c>
    </row>
    <row r="362" spans="1:10" ht="28.8" x14ac:dyDescent="0.3">
      <c r="A362" s="3" t="s">
        <v>528</v>
      </c>
      <c r="B362" s="3" t="s">
        <v>14</v>
      </c>
      <c r="C362" s="3">
        <v>81</v>
      </c>
      <c r="D362" s="3">
        <v>3.2</v>
      </c>
      <c r="E362" s="3">
        <v>8.6999999999999993</v>
      </c>
      <c r="F362" s="3">
        <v>2.4</v>
      </c>
      <c r="G362" s="3" t="s">
        <v>7</v>
      </c>
      <c r="H362" s="12">
        <v>0</v>
      </c>
      <c r="I362" s="14">
        <v>0.22271602678921609</v>
      </c>
      <c r="J362" s="9" t="s">
        <v>823</v>
      </c>
    </row>
    <row r="363" spans="1:10" ht="28.8" x14ac:dyDescent="0.3">
      <c r="A363" s="3" t="s">
        <v>529</v>
      </c>
      <c r="B363" s="3" t="s">
        <v>18</v>
      </c>
      <c r="C363" s="3">
        <v>448</v>
      </c>
      <c r="D363" s="3">
        <v>8</v>
      </c>
      <c r="E363" s="3">
        <v>9</v>
      </c>
      <c r="F363" s="3">
        <v>0.7</v>
      </c>
      <c r="G363" s="3" t="s">
        <v>9</v>
      </c>
      <c r="H363" s="12">
        <v>0</v>
      </c>
      <c r="I363" s="14">
        <v>0.69268649954788253</v>
      </c>
      <c r="J363" s="9" t="s">
        <v>823</v>
      </c>
    </row>
    <row r="364" spans="1:10" ht="28.8" x14ac:dyDescent="0.3">
      <c r="A364" s="3" t="s">
        <v>530</v>
      </c>
      <c r="B364" s="3" t="s">
        <v>14</v>
      </c>
      <c r="C364" s="3">
        <v>385</v>
      </c>
      <c r="D364" s="3">
        <v>5.9</v>
      </c>
      <c r="E364" s="3">
        <v>1.4</v>
      </c>
      <c r="F364" s="3">
        <v>1.5</v>
      </c>
      <c r="G364" s="3" t="s">
        <v>13</v>
      </c>
      <c r="H364" s="12">
        <v>0</v>
      </c>
      <c r="I364" s="14">
        <v>0.64061447844979902</v>
      </c>
      <c r="J364" s="9" t="s">
        <v>823</v>
      </c>
    </row>
    <row r="365" spans="1:10" x14ac:dyDescent="0.3">
      <c r="A365" s="3" t="s">
        <v>531</v>
      </c>
      <c r="B365" s="3" t="s">
        <v>8</v>
      </c>
      <c r="C365" s="3">
        <v>332</v>
      </c>
      <c r="D365" s="3">
        <v>7.3</v>
      </c>
      <c r="E365" s="3">
        <v>2.9</v>
      </c>
      <c r="F365" s="3">
        <v>1.6</v>
      </c>
      <c r="G365" s="3" t="s">
        <v>9</v>
      </c>
      <c r="H365" s="12">
        <v>0</v>
      </c>
      <c r="I365" s="14">
        <v>0.39407929195950153</v>
      </c>
      <c r="J365" s="9" t="s">
        <v>823</v>
      </c>
    </row>
    <row r="366" spans="1:10" x14ac:dyDescent="0.3">
      <c r="A366" s="3" t="s">
        <v>533</v>
      </c>
      <c r="B366" s="3" t="s">
        <v>8</v>
      </c>
      <c r="C366" s="3">
        <v>330</v>
      </c>
      <c r="D366" s="3">
        <v>1.2</v>
      </c>
      <c r="E366" s="3">
        <v>3.1</v>
      </c>
      <c r="F366" s="3">
        <v>0.7</v>
      </c>
      <c r="G366" s="3" t="s">
        <v>11</v>
      </c>
      <c r="H366" s="12">
        <v>0</v>
      </c>
      <c r="I366" s="14">
        <v>0.11652343948823496</v>
      </c>
      <c r="J366" s="9" t="s">
        <v>823</v>
      </c>
    </row>
    <row r="367" spans="1:10" x14ac:dyDescent="0.3">
      <c r="A367" s="3" t="s">
        <v>535</v>
      </c>
      <c r="B367" s="3" t="s">
        <v>8</v>
      </c>
      <c r="C367" s="3">
        <v>435</v>
      </c>
      <c r="D367" s="3">
        <v>7.2</v>
      </c>
      <c r="E367" s="3">
        <v>5.7</v>
      </c>
      <c r="F367" s="3">
        <v>0.8</v>
      </c>
      <c r="G367" s="3" t="s">
        <v>9</v>
      </c>
      <c r="H367" s="12">
        <v>0</v>
      </c>
      <c r="I367" s="14">
        <v>1.0223492777551968E-2</v>
      </c>
      <c r="J367" s="9" t="s">
        <v>823</v>
      </c>
    </row>
    <row r="368" spans="1:10" ht="28.8" x14ac:dyDescent="0.3">
      <c r="A368" s="3" t="s">
        <v>537</v>
      </c>
      <c r="B368" s="3" t="s">
        <v>14</v>
      </c>
      <c r="C368" s="3">
        <v>132</v>
      </c>
      <c r="D368" s="3">
        <v>2.4</v>
      </c>
      <c r="E368" s="3">
        <v>3.2</v>
      </c>
      <c r="F368" s="3">
        <v>1.1000000000000001</v>
      </c>
      <c r="G368" s="3" t="s">
        <v>7</v>
      </c>
      <c r="H368" s="12">
        <v>0</v>
      </c>
      <c r="I368" s="14">
        <v>0.52566783376352244</v>
      </c>
      <c r="J368" s="9" t="s">
        <v>823</v>
      </c>
    </row>
    <row r="369" spans="1:10" ht="28.8" x14ac:dyDescent="0.3">
      <c r="A369" s="3" t="s">
        <v>538</v>
      </c>
      <c r="B369" s="3" t="s">
        <v>14</v>
      </c>
      <c r="C369" s="3">
        <v>432</v>
      </c>
      <c r="D369" s="3">
        <v>2.5</v>
      </c>
      <c r="E369" s="3">
        <v>5.3</v>
      </c>
      <c r="F369" s="3">
        <v>3</v>
      </c>
      <c r="G369" s="3" t="s">
        <v>7</v>
      </c>
      <c r="H369" s="12">
        <v>0</v>
      </c>
      <c r="I369" s="14">
        <v>0.32191611217941429</v>
      </c>
      <c r="J369" s="9" t="s">
        <v>823</v>
      </c>
    </row>
    <row r="370" spans="1:10" x14ac:dyDescent="0.3">
      <c r="A370" s="3" t="s">
        <v>539</v>
      </c>
      <c r="B370" s="3" t="s">
        <v>8</v>
      </c>
      <c r="C370" s="3">
        <v>146</v>
      </c>
      <c r="D370" s="3">
        <v>6.3</v>
      </c>
      <c r="E370" s="3">
        <v>2.5</v>
      </c>
      <c r="F370" s="3">
        <v>1.5</v>
      </c>
      <c r="G370" s="3" t="s">
        <v>9</v>
      </c>
      <c r="H370" s="12">
        <v>0</v>
      </c>
      <c r="I370" s="14">
        <v>0.59473881831784781</v>
      </c>
      <c r="J370" s="9" t="s">
        <v>823</v>
      </c>
    </row>
    <row r="371" spans="1:10" ht="28.8" x14ac:dyDescent="0.3">
      <c r="A371" s="3" t="s">
        <v>540</v>
      </c>
      <c r="B371" s="3" t="s">
        <v>14</v>
      </c>
      <c r="C371" s="3">
        <v>305</v>
      </c>
      <c r="D371" s="3">
        <v>2.5</v>
      </c>
      <c r="E371" s="3">
        <v>6.9</v>
      </c>
      <c r="F371" s="3">
        <v>1.3</v>
      </c>
      <c r="G371" s="3" t="s">
        <v>7</v>
      </c>
      <c r="H371" s="12">
        <v>0</v>
      </c>
      <c r="I371" s="14">
        <v>0.45650221818087255</v>
      </c>
      <c r="J371" s="9" t="s">
        <v>823</v>
      </c>
    </row>
    <row r="372" spans="1:10" ht="28.8" x14ac:dyDescent="0.3">
      <c r="A372" s="3" t="s">
        <v>541</v>
      </c>
      <c r="B372" s="3" t="s">
        <v>14</v>
      </c>
      <c r="C372" s="3">
        <v>401</v>
      </c>
      <c r="D372" s="3">
        <v>4.8</v>
      </c>
      <c r="E372" s="3">
        <v>1.4</v>
      </c>
      <c r="F372" s="3">
        <v>1.7</v>
      </c>
      <c r="G372" s="3" t="s">
        <v>13</v>
      </c>
      <c r="H372" s="12">
        <v>0</v>
      </c>
      <c r="I372" s="14">
        <v>0.50210543028966148</v>
      </c>
      <c r="J372" s="9" t="s">
        <v>823</v>
      </c>
    </row>
    <row r="373" spans="1:10" ht="28.8" x14ac:dyDescent="0.3">
      <c r="A373" s="3" t="s">
        <v>542</v>
      </c>
      <c r="B373" s="3" t="s">
        <v>14</v>
      </c>
      <c r="C373" s="3">
        <v>380</v>
      </c>
      <c r="D373" s="3">
        <v>4.5</v>
      </c>
      <c r="E373" s="3">
        <v>3.5</v>
      </c>
      <c r="F373" s="3">
        <v>1.6</v>
      </c>
      <c r="G373" s="3" t="s">
        <v>13</v>
      </c>
      <c r="H373" s="12">
        <v>0</v>
      </c>
      <c r="I373" s="14">
        <v>0.64701836215164732</v>
      </c>
      <c r="J373" s="9" t="s">
        <v>823</v>
      </c>
    </row>
    <row r="374" spans="1:10" ht="28.8" x14ac:dyDescent="0.3">
      <c r="A374" s="3" t="s">
        <v>544</v>
      </c>
      <c r="B374" s="3" t="s">
        <v>14</v>
      </c>
      <c r="C374" s="3">
        <v>377</v>
      </c>
      <c r="D374" s="3">
        <v>1.4</v>
      </c>
      <c r="E374" s="3">
        <v>8</v>
      </c>
      <c r="F374" s="3">
        <v>0.9</v>
      </c>
      <c r="G374" s="3" t="s">
        <v>11</v>
      </c>
      <c r="H374" s="12">
        <v>0</v>
      </c>
      <c r="I374" s="14">
        <v>0.2870532298710653</v>
      </c>
      <c r="J374" s="9" t="s">
        <v>823</v>
      </c>
    </row>
    <row r="375" spans="1:10" ht="28.8" x14ac:dyDescent="0.3">
      <c r="A375" s="3" t="s">
        <v>548</v>
      </c>
      <c r="B375" s="3" t="s">
        <v>6</v>
      </c>
      <c r="C375" s="3">
        <v>399</v>
      </c>
      <c r="D375" s="3">
        <v>0.8</v>
      </c>
      <c r="E375" s="3">
        <v>3.2</v>
      </c>
      <c r="F375" s="3">
        <v>1.6</v>
      </c>
      <c r="G375" s="3" t="s">
        <v>11</v>
      </c>
      <c r="H375" s="12">
        <v>0</v>
      </c>
      <c r="I375" s="14">
        <v>0.54140033263980725</v>
      </c>
      <c r="J375" s="9" t="s">
        <v>823</v>
      </c>
    </row>
    <row r="376" spans="1:10" ht="28.8" x14ac:dyDescent="0.3">
      <c r="A376" s="3" t="s">
        <v>550</v>
      </c>
      <c r="B376" s="3" t="s">
        <v>12</v>
      </c>
      <c r="C376" s="3">
        <v>166</v>
      </c>
      <c r="D376" s="3">
        <v>7</v>
      </c>
      <c r="E376" s="3">
        <v>4.3</v>
      </c>
      <c r="F376" s="3">
        <v>1.2</v>
      </c>
      <c r="G376" s="3" t="s">
        <v>9</v>
      </c>
      <c r="H376" s="12">
        <v>0</v>
      </c>
      <c r="I376" s="14">
        <v>0.36075454695328557</v>
      </c>
      <c r="J376" s="9" t="s">
        <v>823</v>
      </c>
    </row>
    <row r="377" spans="1:10" x14ac:dyDescent="0.3">
      <c r="A377" s="3" t="s">
        <v>551</v>
      </c>
      <c r="B377" s="3" t="s">
        <v>10</v>
      </c>
      <c r="C377" s="3">
        <v>86</v>
      </c>
      <c r="D377" s="3">
        <v>6.2</v>
      </c>
      <c r="E377" s="3">
        <v>6.2</v>
      </c>
      <c r="F377" s="3">
        <v>1.5</v>
      </c>
      <c r="G377" s="3" t="s">
        <v>9</v>
      </c>
      <c r="H377" s="12">
        <v>0</v>
      </c>
      <c r="I377" s="14">
        <v>0.47903996802052295</v>
      </c>
      <c r="J377" s="9" t="s">
        <v>823</v>
      </c>
    </row>
    <row r="378" spans="1:10" x14ac:dyDescent="0.3">
      <c r="A378" s="3" t="s">
        <v>552</v>
      </c>
      <c r="B378" s="3" t="s">
        <v>8</v>
      </c>
      <c r="C378" s="3">
        <v>254</v>
      </c>
      <c r="D378" s="3">
        <v>2</v>
      </c>
      <c r="E378" s="3">
        <v>0.9</v>
      </c>
      <c r="F378" s="3">
        <v>0.8</v>
      </c>
      <c r="G378" s="3" t="s">
        <v>7</v>
      </c>
      <c r="H378" s="12">
        <v>0</v>
      </c>
      <c r="I378" s="14">
        <v>0.56256977055103274</v>
      </c>
      <c r="J378" s="9" t="s">
        <v>823</v>
      </c>
    </row>
    <row r="379" spans="1:10" ht="28.8" x14ac:dyDescent="0.3">
      <c r="A379" s="3" t="s">
        <v>553</v>
      </c>
      <c r="B379" s="3" t="s">
        <v>6</v>
      </c>
      <c r="C379" s="3">
        <v>384</v>
      </c>
      <c r="D379" s="3">
        <v>4.2</v>
      </c>
      <c r="E379" s="3">
        <v>1.8</v>
      </c>
      <c r="F379" s="3">
        <v>2.1</v>
      </c>
      <c r="G379" s="3" t="s">
        <v>13</v>
      </c>
      <c r="H379" s="12">
        <v>0</v>
      </c>
      <c r="I379" s="14">
        <v>0.44465193448311813</v>
      </c>
      <c r="J379" s="9" t="s">
        <v>823</v>
      </c>
    </row>
    <row r="380" spans="1:10" ht="28.8" x14ac:dyDescent="0.3">
      <c r="A380" s="3" t="s">
        <v>554</v>
      </c>
      <c r="B380" s="3" t="s">
        <v>14</v>
      </c>
      <c r="C380" s="3">
        <v>404</v>
      </c>
      <c r="D380" s="3">
        <v>3.7</v>
      </c>
      <c r="E380" s="3">
        <v>8.9</v>
      </c>
      <c r="F380" s="3">
        <v>2.2000000000000002</v>
      </c>
      <c r="G380" s="3" t="s">
        <v>7</v>
      </c>
      <c r="H380" s="12">
        <v>0</v>
      </c>
      <c r="I380" s="14">
        <v>0.27999287406903595</v>
      </c>
      <c r="J380" s="9" t="s">
        <v>823</v>
      </c>
    </row>
    <row r="381" spans="1:10" ht="28.8" x14ac:dyDescent="0.3">
      <c r="A381" s="3" t="s">
        <v>555</v>
      </c>
      <c r="B381" s="3" t="s">
        <v>14</v>
      </c>
      <c r="C381" s="3">
        <v>443</v>
      </c>
      <c r="D381" s="3">
        <v>2.7</v>
      </c>
      <c r="E381" s="3">
        <v>1</v>
      </c>
      <c r="F381" s="3">
        <v>2.5</v>
      </c>
      <c r="G381" s="3" t="s">
        <v>7</v>
      </c>
      <c r="H381" s="12">
        <v>0</v>
      </c>
      <c r="I381" s="14">
        <v>0.44057091151260142</v>
      </c>
      <c r="J381" s="9" t="s">
        <v>823</v>
      </c>
    </row>
    <row r="382" spans="1:10" ht="28.8" x14ac:dyDescent="0.3">
      <c r="A382" s="3" t="s">
        <v>557</v>
      </c>
      <c r="B382" s="3" t="s">
        <v>6</v>
      </c>
      <c r="C382" s="3">
        <v>430</v>
      </c>
      <c r="D382" s="3">
        <v>3.3</v>
      </c>
      <c r="E382" s="3">
        <v>9.8000000000000007</v>
      </c>
      <c r="F382" s="3">
        <v>0.7</v>
      </c>
      <c r="G382" s="3" t="s">
        <v>7</v>
      </c>
      <c r="H382" s="12">
        <v>0</v>
      </c>
      <c r="I382" s="14">
        <v>9.525403111964803E-2</v>
      </c>
      <c r="J382" s="9" t="s">
        <v>823</v>
      </c>
    </row>
    <row r="383" spans="1:10" x14ac:dyDescent="0.3">
      <c r="A383" s="3" t="s">
        <v>559</v>
      </c>
      <c r="B383" s="3" t="s">
        <v>10</v>
      </c>
      <c r="C383" s="3">
        <v>106</v>
      </c>
      <c r="D383" s="3">
        <v>3.5</v>
      </c>
      <c r="E383" s="3">
        <v>7.2</v>
      </c>
      <c r="F383" s="3">
        <v>2.1</v>
      </c>
      <c r="G383" s="3" t="s">
        <v>7</v>
      </c>
      <c r="H383" s="12">
        <v>0</v>
      </c>
      <c r="I383" s="14">
        <v>3.5964862055744673E-2</v>
      </c>
      <c r="J383" s="9" t="s">
        <v>823</v>
      </c>
    </row>
    <row r="384" spans="1:10" x14ac:dyDescent="0.3">
      <c r="A384" s="3" t="s">
        <v>560</v>
      </c>
      <c r="B384" s="3" t="s">
        <v>8</v>
      </c>
      <c r="C384" s="3">
        <v>124</v>
      </c>
      <c r="D384" s="3">
        <v>3.8</v>
      </c>
      <c r="E384" s="3">
        <v>4.3</v>
      </c>
      <c r="F384" s="3">
        <v>1.1000000000000001</v>
      </c>
      <c r="G384" s="3" t="s">
        <v>7</v>
      </c>
      <c r="H384" s="12">
        <v>0</v>
      </c>
      <c r="I384" s="14">
        <v>0.52864450094482274</v>
      </c>
      <c r="J384" s="9" t="s">
        <v>823</v>
      </c>
    </row>
    <row r="385" spans="1:10" x14ac:dyDescent="0.3">
      <c r="A385" s="3" t="s">
        <v>564</v>
      </c>
      <c r="B385" s="3" t="s">
        <v>10</v>
      </c>
      <c r="C385" s="3">
        <v>277</v>
      </c>
      <c r="D385" s="3">
        <v>5.9</v>
      </c>
      <c r="E385" s="3">
        <v>7.1</v>
      </c>
      <c r="F385" s="3">
        <v>1.7</v>
      </c>
      <c r="G385" s="3" t="s">
        <v>13</v>
      </c>
      <c r="H385" s="12">
        <v>0</v>
      </c>
      <c r="I385" s="14">
        <v>0.14333930545205165</v>
      </c>
      <c r="J385" s="9" t="s">
        <v>823</v>
      </c>
    </row>
    <row r="386" spans="1:10" ht="28.8" x14ac:dyDescent="0.3">
      <c r="A386" s="3" t="s">
        <v>566</v>
      </c>
      <c r="B386" s="3" t="s">
        <v>14</v>
      </c>
      <c r="C386" s="3">
        <v>247</v>
      </c>
      <c r="D386" s="3">
        <v>3</v>
      </c>
      <c r="E386" s="3">
        <v>5.2</v>
      </c>
      <c r="F386" s="3">
        <v>3</v>
      </c>
      <c r="G386" s="3" t="s">
        <v>7</v>
      </c>
      <c r="H386" s="12">
        <v>0</v>
      </c>
      <c r="I386" s="14">
        <v>0.46334708165063765</v>
      </c>
      <c r="J386" s="9" t="s">
        <v>823</v>
      </c>
    </row>
    <row r="387" spans="1:10" ht="28.8" x14ac:dyDescent="0.3">
      <c r="A387" s="3" t="s">
        <v>567</v>
      </c>
      <c r="B387" s="3" t="s">
        <v>18</v>
      </c>
      <c r="C387" s="3">
        <v>201</v>
      </c>
      <c r="D387" s="3">
        <v>6.2</v>
      </c>
      <c r="E387" s="3">
        <v>5.4</v>
      </c>
      <c r="F387" s="3">
        <v>1.7</v>
      </c>
      <c r="G387" s="3" t="s">
        <v>9</v>
      </c>
      <c r="H387" s="12">
        <v>0</v>
      </c>
      <c r="I387" s="14">
        <v>0.6444491672004582</v>
      </c>
      <c r="J387" s="9" t="s">
        <v>823</v>
      </c>
    </row>
    <row r="388" spans="1:10" ht="28.8" x14ac:dyDescent="0.3">
      <c r="A388" s="3" t="s">
        <v>568</v>
      </c>
      <c r="B388" s="3" t="s">
        <v>14</v>
      </c>
      <c r="C388" s="3">
        <v>213</v>
      </c>
      <c r="D388" s="3">
        <v>1.7</v>
      </c>
      <c r="E388" s="3">
        <v>9.3000000000000007</v>
      </c>
      <c r="F388" s="3">
        <v>2.6</v>
      </c>
      <c r="G388" s="3" t="s">
        <v>11</v>
      </c>
      <c r="H388" s="12">
        <v>0</v>
      </c>
      <c r="I388" s="14">
        <v>0.58808297612810734</v>
      </c>
      <c r="J388" s="9" t="s">
        <v>823</v>
      </c>
    </row>
    <row r="389" spans="1:10" x14ac:dyDescent="0.3">
      <c r="A389" s="3" t="s">
        <v>570</v>
      </c>
      <c r="B389" s="3" t="s">
        <v>8</v>
      </c>
      <c r="C389" s="3">
        <v>467</v>
      </c>
      <c r="D389" s="3">
        <v>5.6</v>
      </c>
      <c r="E389" s="3">
        <v>6.9</v>
      </c>
      <c r="F389" s="3">
        <v>1.8</v>
      </c>
      <c r="G389" s="3" t="s">
        <v>13</v>
      </c>
      <c r="H389" s="12">
        <v>0</v>
      </c>
      <c r="I389" s="14">
        <v>0.30344140293524169</v>
      </c>
      <c r="J389" s="9" t="s">
        <v>823</v>
      </c>
    </row>
    <row r="390" spans="1:10" x14ac:dyDescent="0.3">
      <c r="A390" s="3" t="s">
        <v>571</v>
      </c>
      <c r="B390" s="3" t="s">
        <v>10</v>
      </c>
      <c r="C390" s="3">
        <v>359</v>
      </c>
      <c r="D390" s="3">
        <v>1.2</v>
      </c>
      <c r="E390" s="3">
        <v>8.8000000000000007</v>
      </c>
      <c r="F390" s="3">
        <v>0.8</v>
      </c>
      <c r="G390" s="3" t="s">
        <v>11</v>
      </c>
      <c r="H390" s="12">
        <v>0</v>
      </c>
      <c r="I390" s="14">
        <v>0.38934167290852506</v>
      </c>
      <c r="J390" s="9" t="s">
        <v>823</v>
      </c>
    </row>
    <row r="391" spans="1:10" x14ac:dyDescent="0.3">
      <c r="A391" s="3" t="s">
        <v>572</v>
      </c>
      <c r="B391" s="3" t="s">
        <v>10</v>
      </c>
      <c r="C391" s="3">
        <v>246</v>
      </c>
      <c r="D391" s="3">
        <v>1.1000000000000001</v>
      </c>
      <c r="E391" s="3">
        <v>9.4</v>
      </c>
      <c r="F391" s="3">
        <v>2.2000000000000002</v>
      </c>
      <c r="G391" s="3" t="s">
        <v>11</v>
      </c>
      <c r="H391" s="12">
        <v>0</v>
      </c>
      <c r="I391" s="14">
        <v>0.41627255261216922</v>
      </c>
      <c r="J391" s="9" t="s">
        <v>823</v>
      </c>
    </row>
    <row r="392" spans="1:10" ht="28.8" x14ac:dyDescent="0.3">
      <c r="A392" s="3" t="s">
        <v>573</v>
      </c>
      <c r="B392" s="3" t="s">
        <v>6</v>
      </c>
      <c r="C392" s="3">
        <v>109</v>
      </c>
      <c r="D392" s="3">
        <v>2.7</v>
      </c>
      <c r="E392" s="3">
        <v>0.6</v>
      </c>
      <c r="F392" s="3">
        <v>1.9</v>
      </c>
      <c r="G392" s="3" t="s">
        <v>7</v>
      </c>
      <c r="H392" s="12">
        <v>0</v>
      </c>
      <c r="I392" s="14">
        <v>0.11637066397058515</v>
      </c>
      <c r="J392" s="9" t="s">
        <v>823</v>
      </c>
    </row>
    <row r="393" spans="1:10" ht="28.8" x14ac:dyDescent="0.3">
      <c r="A393" s="3" t="s">
        <v>574</v>
      </c>
      <c r="B393" s="3" t="s">
        <v>6</v>
      </c>
      <c r="C393" s="3">
        <v>400</v>
      </c>
      <c r="D393" s="3">
        <v>3.5</v>
      </c>
      <c r="E393" s="3">
        <v>7.1</v>
      </c>
      <c r="F393" s="3">
        <v>2.9</v>
      </c>
      <c r="G393" s="3" t="s">
        <v>7</v>
      </c>
      <c r="H393" s="12">
        <v>0</v>
      </c>
      <c r="I393" s="14">
        <v>0.48290455436467272</v>
      </c>
      <c r="J393" s="9" t="s">
        <v>823</v>
      </c>
    </row>
    <row r="394" spans="1:10" ht="28.8" x14ac:dyDescent="0.3">
      <c r="A394" s="3" t="s">
        <v>575</v>
      </c>
      <c r="B394" s="3" t="s">
        <v>6</v>
      </c>
      <c r="C394" s="3">
        <v>160</v>
      </c>
      <c r="D394" s="3">
        <v>1.8</v>
      </c>
      <c r="E394" s="3">
        <v>7.8</v>
      </c>
      <c r="F394" s="3">
        <v>1.9</v>
      </c>
      <c r="G394" s="3" t="s">
        <v>11</v>
      </c>
      <c r="H394" s="12">
        <v>0</v>
      </c>
      <c r="I394" s="14">
        <v>0.12605939314948322</v>
      </c>
      <c r="J394" s="9" t="s">
        <v>823</v>
      </c>
    </row>
    <row r="395" spans="1:10" x14ac:dyDescent="0.3">
      <c r="A395" s="3" t="s">
        <v>576</v>
      </c>
      <c r="B395" s="3" t="s">
        <v>8</v>
      </c>
      <c r="C395" s="3">
        <v>221</v>
      </c>
      <c r="D395" s="3">
        <v>3.1</v>
      </c>
      <c r="E395" s="3">
        <v>0.8</v>
      </c>
      <c r="F395" s="3">
        <v>1.2</v>
      </c>
      <c r="G395" s="3" t="s">
        <v>7</v>
      </c>
      <c r="H395" s="12">
        <v>0</v>
      </c>
      <c r="I395" s="14">
        <v>0.41861624255908858</v>
      </c>
      <c r="J395" s="9" t="s">
        <v>823</v>
      </c>
    </row>
    <row r="396" spans="1:10" ht="28.8" x14ac:dyDescent="0.3">
      <c r="A396" s="3" t="s">
        <v>577</v>
      </c>
      <c r="B396" s="3" t="s">
        <v>14</v>
      </c>
      <c r="C396" s="3">
        <v>457</v>
      </c>
      <c r="D396" s="3">
        <v>2.7</v>
      </c>
      <c r="E396" s="3">
        <v>1.1000000000000001</v>
      </c>
      <c r="F396" s="3">
        <v>1.7</v>
      </c>
      <c r="G396" s="3" t="s">
        <v>7</v>
      </c>
      <c r="H396" s="12">
        <v>0</v>
      </c>
      <c r="I396" s="14">
        <v>2.4150022241835267E-2</v>
      </c>
      <c r="J396" s="9" t="s">
        <v>823</v>
      </c>
    </row>
    <row r="397" spans="1:10" ht="28.8" x14ac:dyDescent="0.3">
      <c r="A397" s="3" t="s">
        <v>578</v>
      </c>
      <c r="B397" s="3" t="s">
        <v>6</v>
      </c>
      <c r="C397" s="3">
        <v>404</v>
      </c>
      <c r="D397" s="3">
        <v>2.4</v>
      </c>
      <c r="E397" s="3">
        <v>8.5</v>
      </c>
      <c r="F397" s="3">
        <v>0.8</v>
      </c>
      <c r="G397" s="3" t="s">
        <v>7</v>
      </c>
      <c r="H397" s="12">
        <v>0</v>
      </c>
      <c r="I397" s="14">
        <v>0.18168918265255807</v>
      </c>
      <c r="J397" s="9" t="s">
        <v>823</v>
      </c>
    </row>
    <row r="398" spans="1:10" ht="28.8" x14ac:dyDescent="0.3">
      <c r="A398" s="3" t="s">
        <v>579</v>
      </c>
      <c r="B398" s="3" t="s">
        <v>12</v>
      </c>
      <c r="C398" s="3">
        <v>302</v>
      </c>
      <c r="D398" s="3">
        <v>1.6</v>
      </c>
      <c r="E398" s="3">
        <v>1.1000000000000001</v>
      </c>
      <c r="F398" s="3">
        <v>2.2000000000000002</v>
      </c>
      <c r="G398" s="3" t="s">
        <v>11</v>
      </c>
      <c r="H398" s="12">
        <v>0</v>
      </c>
      <c r="I398" s="14">
        <v>0.62280428542953326</v>
      </c>
      <c r="J398" s="9" t="s">
        <v>823</v>
      </c>
    </row>
    <row r="399" spans="1:10" x14ac:dyDescent="0.3">
      <c r="A399" s="3" t="s">
        <v>580</v>
      </c>
      <c r="B399" s="3" t="s">
        <v>8</v>
      </c>
      <c r="C399" s="3">
        <v>456</v>
      </c>
      <c r="D399" s="3">
        <v>3.4</v>
      </c>
      <c r="E399" s="3">
        <v>9</v>
      </c>
      <c r="F399" s="3">
        <v>1.9</v>
      </c>
      <c r="G399" s="3" t="s">
        <v>7</v>
      </c>
      <c r="H399" s="12">
        <v>0</v>
      </c>
      <c r="I399" s="14">
        <v>0.24279529986405135</v>
      </c>
      <c r="J399" s="9" t="s">
        <v>823</v>
      </c>
    </row>
    <row r="400" spans="1:10" x14ac:dyDescent="0.3">
      <c r="A400" s="3" t="s">
        <v>581</v>
      </c>
      <c r="B400" s="3" t="s">
        <v>10</v>
      </c>
      <c r="C400" s="3">
        <v>273</v>
      </c>
      <c r="D400" s="3">
        <v>7.1</v>
      </c>
      <c r="E400" s="3">
        <v>6.4</v>
      </c>
      <c r="F400" s="3">
        <v>1.9</v>
      </c>
      <c r="G400" s="3" t="s">
        <v>9</v>
      </c>
      <c r="H400" s="12">
        <v>0</v>
      </c>
      <c r="I400" s="14">
        <v>0.337510543664303</v>
      </c>
      <c r="J400" s="9" t="s">
        <v>823</v>
      </c>
    </row>
    <row r="401" spans="1:10" x14ac:dyDescent="0.3">
      <c r="A401" s="3" t="s">
        <v>585</v>
      </c>
      <c r="B401" s="3" t="s">
        <v>10</v>
      </c>
      <c r="C401" s="3">
        <v>391</v>
      </c>
      <c r="D401" s="3">
        <v>4.2</v>
      </c>
      <c r="E401" s="3">
        <v>3.3</v>
      </c>
      <c r="F401" s="3">
        <v>1.3</v>
      </c>
      <c r="G401" s="3" t="s">
        <v>13</v>
      </c>
      <c r="H401" s="12">
        <v>0</v>
      </c>
      <c r="I401" s="14">
        <v>4.5559942669984865E-2</v>
      </c>
      <c r="J401" s="9" t="s">
        <v>823</v>
      </c>
    </row>
    <row r="402" spans="1:10" x14ac:dyDescent="0.3">
      <c r="A402" s="3" t="s">
        <v>586</v>
      </c>
      <c r="B402" s="3" t="s">
        <v>8</v>
      </c>
      <c r="C402" s="3">
        <v>454</v>
      </c>
      <c r="D402" s="3">
        <v>4.0999999999999996</v>
      </c>
      <c r="E402" s="3">
        <v>0.8</v>
      </c>
      <c r="F402" s="3">
        <v>1.5</v>
      </c>
      <c r="G402" s="3" t="s">
        <v>13</v>
      </c>
      <c r="H402" s="12">
        <v>0</v>
      </c>
      <c r="I402" s="14">
        <v>0.12971829309235305</v>
      </c>
      <c r="J402" s="9" t="s">
        <v>823</v>
      </c>
    </row>
    <row r="403" spans="1:10" ht="28.8" x14ac:dyDescent="0.3">
      <c r="A403" s="3" t="s">
        <v>587</v>
      </c>
      <c r="B403" s="3" t="s">
        <v>18</v>
      </c>
      <c r="C403" s="3">
        <v>77</v>
      </c>
      <c r="D403" s="3">
        <v>3</v>
      </c>
      <c r="E403" s="3">
        <v>1.4</v>
      </c>
      <c r="F403" s="3">
        <v>1.4</v>
      </c>
      <c r="G403" s="3" t="s">
        <v>7</v>
      </c>
      <c r="H403" s="12">
        <v>0</v>
      </c>
      <c r="I403" s="14">
        <v>0.50764524136175571</v>
      </c>
      <c r="J403" s="9" t="s">
        <v>823</v>
      </c>
    </row>
    <row r="404" spans="1:10" ht="28.8" x14ac:dyDescent="0.3">
      <c r="A404" s="3" t="s">
        <v>588</v>
      </c>
      <c r="B404" s="3" t="s">
        <v>12</v>
      </c>
      <c r="C404" s="3">
        <v>481</v>
      </c>
      <c r="D404" s="3">
        <v>5.2</v>
      </c>
      <c r="E404" s="3">
        <v>5.3</v>
      </c>
      <c r="F404" s="3">
        <v>2.8</v>
      </c>
      <c r="G404" s="3" t="s">
        <v>13</v>
      </c>
      <c r="H404" s="12">
        <v>0</v>
      </c>
      <c r="I404" s="14">
        <v>0.68040945761021998</v>
      </c>
      <c r="J404" s="9" t="s">
        <v>823</v>
      </c>
    </row>
    <row r="405" spans="1:10" x14ac:dyDescent="0.3">
      <c r="A405" s="3" t="s">
        <v>590</v>
      </c>
      <c r="B405" s="3" t="s">
        <v>8</v>
      </c>
      <c r="C405" s="3">
        <v>413</v>
      </c>
      <c r="D405" s="3">
        <v>0.8</v>
      </c>
      <c r="E405" s="3">
        <v>5.3</v>
      </c>
      <c r="F405" s="3">
        <v>2.2999999999999998</v>
      </c>
      <c r="G405" s="3" t="s">
        <v>11</v>
      </c>
      <c r="H405" s="12">
        <v>0</v>
      </c>
      <c r="I405" s="14">
        <v>0.18741471783827524</v>
      </c>
      <c r="J405" s="9" t="s">
        <v>823</v>
      </c>
    </row>
    <row r="406" spans="1:10" ht="28.8" x14ac:dyDescent="0.3">
      <c r="A406" s="3" t="s">
        <v>591</v>
      </c>
      <c r="B406" s="3" t="s">
        <v>12</v>
      </c>
      <c r="C406" s="3">
        <v>266</v>
      </c>
      <c r="D406" s="3">
        <v>3</v>
      </c>
      <c r="E406" s="3">
        <v>9.3000000000000007</v>
      </c>
      <c r="F406" s="3">
        <v>1.8</v>
      </c>
      <c r="G406" s="3" t="s">
        <v>7</v>
      </c>
      <c r="H406" s="12">
        <v>0</v>
      </c>
      <c r="I406" s="14">
        <v>0.11715690783022614</v>
      </c>
      <c r="J406" s="9" t="s">
        <v>823</v>
      </c>
    </row>
    <row r="407" spans="1:10" ht="28.8" x14ac:dyDescent="0.3">
      <c r="A407" s="3" t="s">
        <v>592</v>
      </c>
      <c r="B407" s="3" t="s">
        <v>12</v>
      </c>
      <c r="C407" s="3">
        <v>101</v>
      </c>
      <c r="D407" s="3">
        <v>1.9</v>
      </c>
      <c r="E407" s="3">
        <v>6.2</v>
      </c>
      <c r="F407" s="3">
        <v>2.6</v>
      </c>
      <c r="G407" s="3" t="s">
        <v>11</v>
      </c>
      <c r="H407" s="12">
        <v>0</v>
      </c>
      <c r="I407" s="14">
        <v>0.17610546518778813</v>
      </c>
      <c r="J407" s="9" t="s">
        <v>823</v>
      </c>
    </row>
    <row r="408" spans="1:10" ht="28.8" x14ac:dyDescent="0.3">
      <c r="A408" s="3" t="s">
        <v>593</v>
      </c>
      <c r="B408" s="3" t="s">
        <v>12</v>
      </c>
      <c r="C408" s="3">
        <v>332</v>
      </c>
      <c r="D408" s="3">
        <v>7.6</v>
      </c>
      <c r="E408" s="3">
        <v>5.5</v>
      </c>
      <c r="F408" s="3">
        <v>2.5</v>
      </c>
      <c r="G408" s="3" t="s">
        <v>9</v>
      </c>
      <c r="H408" s="12">
        <v>0</v>
      </c>
      <c r="I408" s="14">
        <v>0.51909824176349162</v>
      </c>
      <c r="J408" s="9" t="s">
        <v>823</v>
      </c>
    </row>
    <row r="409" spans="1:10" x14ac:dyDescent="0.3">
      <c r="A409" s="3" t="s">
        <v>594</v>
      </c>
      <c r="B409" s="3" t="s">
        <v>8</v>
      </c>
      <c r="C409" s="3">
        <v>152</v>
      </c>
      <c r="D409" s="3">
        <v>6.5</v>
      </c>
      <c r="E409" s="3">
        <v>4.0999999999999996</v>
      </c>
      <c r="F409" s="3">
        <v>1.1000000000000001</v>
      </c>
      <c r="G409" s="3" t="s">
        <v>9</v>
      </c>
      <c r="H409" s="12">
        <v>0</v>
      </c>
      <c r="I409" s="14">
        <v>6.9097283766549333E-2</v>
      </c>
      <c r="J409" s="9" t="s">
        <v>823</v>
      </c>
    </row>
    <row r="410" spans="1:10" ht="28.8" x14ac:dyDescent="0.3">
      <c r="A410" s="3" t="s">
        <v>595</v>
      </c>
      <c r="B410" s="3" t="s">
        <v>14</v>
      </c>
      <c r="C410" s="3">
        <v>429</v>
      </c>
      <c r="D410" s="3">
        <v>4.2</v>
      </c>
      <c r="E410" s="3">
        <v>7</v>
      </c>
      <c r="F410" s="3">
        <v>2.8</v>
      </c>
      <c r="G410" s="3" t="s">
        <v>13</v>
      </c>
      <c r="H410" s="12">
        <v>0</v>
      </c>
      <c r="I410" s="14">
        <v>0.41076408845147305</v>
      </c>
      <c r="J410" s="9" t="s">
        <v>823</v>
      </c>
    </row>
    <row r="411" spans="1:10" ht="28.8" x14ac:dyDescent="0.3">
      <c r="A411" s="3" t="s">
        <v>599</v>
      </c>
      <c r="B411" s="3" t="s">
        <v>18</v>
      </c>
      <c r="C411" s="3">
        <v>500</v>
      </c>
      <c r="D411" s="3">
        <v>7.5</v>
      </c>
      <c r="E411" s="3">
        <v>7.8</v>
      </c>
      <c r="F411" s="3">
        <v>0.7</v>
      </c>
      <c r="G411" s="3" t="s">
        <v>9</v>
      </c>
      <c r="H411" s="12">
        <v>0</v>
      </c>
      <c r="I411" s="14">
        <v>5.8426944608423681E-2</v>
      </c>
      <c r="J411" s="9" t="s">
        <v>823</v>
      </c>
    </row>
    <row r="412" spans="1:10" x14ac:dyDescent="0.3">
      <c r="A412" s="3" t="s">
        <v>600</v>
      </c>
      <c r="B412" s="3" t="s">
        <v>8</v>
      </c>
      <c r="C412" s="3">
        <v>364</v>
      </c>
      <c r="D412" s="3">
        <v>7.6</v>
      </c>
      <c r="E412" s="3">
        <v>2.7</v>
      </c>
      <c r="F412" s="3">
        <v>2.1</v>
      </c>
      <c r="G412" s="3" t="s">
        <v>9</v>
      </c>
      <c r="H412" s="12">
        <v>0</v>
      </c>
      <c r="I412" s="14">
        <v>0.24916744738891228</v>
      </c>
      <c r="J412" s="9" t="s">
        <v>823</v>
      </c>
    </row>
    <row r="413" spans="1:10" ht="28.8" x14ac:dyDescent="0.3">
      <c r="A413" s="3" t="s">
        <v>601</v>
      </c>
      <c r="B413" s="3" t="s">
        <v>18</v>
      </c>
      <c r="C413" s="3">
        <v>95</v>
      </c>
      <c r="D413" s="3">
        <v>7.4</v>
      </c>
      <c r="E413" s="3">
        <v>8.5</v>
      </c>
      <c r="F413" s="3">
        <v>0.7</v>
      </c>
      <c r="G413" s="3" t="s">
        <v>9</v>
      </c>
      <c r="H413" s="12">
        <v>0</v>
      </c>
      <c r="I413" s="14">
        <v>0.53173265931969793</v>
      </c>
      <c r="J413" s="9" t="s">
        <v>823</v>
      </c>
    </row>
    <row r="414" spans="1:10" ht="28.8" x14ac:dyDescent="0.3">
      <c r="A414" s="3" t="s">
        <v>603</v>
      </c>
      <c r="B414" s="3" t="s">
        <v>12</v>
      </c>
      <c r="C414" s="3">
        <v>201</v>
      </c>
      <c r="D414" s="3">
        <v>6.3</v>
      </c>
      <c r="E414" s="3">
        <v>4.3</v>
      </c>
      <c r="F414" s="3">
        <v>1.5</v>
      </c>
      <c r="G414" s="3" t="s">
        <v>9</v>
      </c>
      <c r="H414" s="12">
        <v>0</v>
      </c>
      <c r="I414" s="14">
        <v>0.65274009836946223</v>
      </c>
      <c r="J414" s="9" t="s">
        <v>823</v>
      </c>
    </row>
    <row r="415" spans="1:10" ht="28.8" x14ac:dyDescent="0.3">
      <c r="A415" s="3" t="s">
        <v>606</v>
      </c>
      <c r="B415" s="3" t="s">
        <v>18</v>
      </c>
      <c r="C415" s="3">
        <v>248</v>
      </c>
      <c r="D415" s="3">
        <v>4.5</v>
      </c>
      <c r="E415" s="3">
        <v>9.1</v>
      </c>
      <c r="F415" s="3">
        <v>2</v>
      </c>
      <c r="G415" s="3" t="s">
        <v>13</v>
      </c>
      <c r="H415" s="12">
        <v>0</v>
      </c>
      <c r="I415" s="14">
        <v>0.43684374917076441</v>
      </c>
      <c r="J415" s="9" t="s">
        <v>823</v>
      </c>
    </row>
    <row r="416" spans="1:10" ht="28.8" x14ac:dyDescent="0.3">
      <c r="A416" s="3" t="s">
        <v>607</v>
      </c>
      <c r="B416" s="3" t="s">
        <v>18</v>
      </c>
      <c r="C416" s="3">
        <v>64</v>
      </c>
      <c r="D416" s="3">
        <v>3.2</v>
      </c>
      <c r="E416" s="3">
        <v>6.7</v>
      </c>
      <c r="F416" s="3">
        <v>2.5</v>
      </c>
      <c r="G416" s="3" t="s">
        <v>7</v>
      </c>
      <c r="H416" s="12">
        <v>0</v>
      </c>
      <c r="I416" s="14">
        <v>6.9427069843407185E-2</v>
      </c>
      <c r="J416" s="9" t="s">
        <v>823</v>
      </c>
    </row>
    <row r="417" spans="1:10" ht="28.8" x14ac:dyDescent="0.3">
      <c r="A417" s="3" t="s">
        <v>608</v>
      </c>
      <c r="B417" s="3" t="s">
        <v>6</v>
      </c>
      <c r="C417" s="3">
        <v>280</v>
      </c>
      <c r="D417" s="3">
        <v>3.4</v>
      </c>
      <c r="E417" s="3">
        <v>4.2</v>
      </c>
      <c r="F417" s="3">
        <v>3</v>
      </c>
      <c r="G417" s="3" t="s">
        <v>7</v>
      </c>
      <c r="H417" s="12">
        <v>0</v>
      </c>
      <c r="I417" s="14">
        <v>0.65232773069579442</v>
      </c>
      <c r="J417" s="9" t="s">
        <v>823</v>
      </c>
    </row>
    <row r="418" spans="1:10" ht="28.8" x14ac:dyDescent="0.3">
      <c r="A418" s="3" t="s">
        <v>609</v>
      </c>
      <c r="B418" s="3" t="s">
        <v>14</v>
      </c>
      <c r="C418" s="3">
        <v>177</v>
      </c>
      <c r="D418" s="3">
        <v>6.2</v>
      </c>
      <c r="E418" s="3">
        <v>4.4000000000000004</v>
      </c>
      <c r="F418" s="3">
        <v>1.4</v>
      </c>
      <c r="G418" s="3" t="s">
        <v>9</v>
      </c>
      <c r="H418" s="12">
        <v>0</v>
      </c>
      <c r="I418" s="14">
        <v>0.228340355516505</v>
      </c>
      <c r="J418" s="9" t="s">
        <v>823</v>
      </c>
    </row>
    <row r="419" spans="1:10" ht="28.8" x14ac:dyDescent="0.3">
      <c r="A419" s="3" t="s">
        <v>610</v>
      </c>
      <c r="B419" s="3" t="s">
        <v>12</v>
      </c>
      <c r="C419" s="3">
        <v>156</v>
      </c>
      <c r="D419" s="3">
        <v>7.9</v>
      </c>
      <c r="E419" s="3">
        <v>6.5</v>
      </c>
      <c r="F419" s="3">
        <v>1.3</v>
      </c>
      <c r="G419" s="3" t="s">
        <v>9</v>
      </c>
      <c r="H419" s="12">
        <v>0</v>
      </c>
      <c r="I419" s="14">
        <v>0.28529658045668393</v>
      </c>
      <c r="J419" s="9" t="s">
        <v>823</v>
      </c>
    </row>
    <row r="420" spans="1:10" ht="28.8" x14ac:dyDescent="0.3">
      <c r="A420" s="3" t="s">
        <v>611</v>
      </c>
      <c r="B420" s="3" t="s">
        <v>6</v>
      </c>
      <c r="C420" s="3">
        <v>113</v>
      </c>
      <c r="D420" s="3">
        <v>5.3</v>
      </c>
      <c r="E420" s="3">
        <v>2.2000000000000002</v>
      </c>
      <c r="F420" s="3">
        <v>1.6</v>
      </c>
      <c r="G420" s="3" t="s">
        <v>13</v>
      </c>
      <c r="H420" s="12">
        <v>0</v>
      </c>
      <c r="I420" s="14">
        <v>0.14183449190417252</v>
      </c>
      <c r="J420" s="9" t="s">
        <v>823</v>
      </c>
    </row>
    <row r="421" spans="1:10" ht="28.8" x14ac:dyDescent="0.3">
      <c r="A421" s="3" t="s">
        <v>612</v>
      </c>
      <c r="B421" s="3" t="s">
        <v>18</v>
      </c>
      <c r="C421" s="3">
        <v>216</v>
      </c>
      <c r="D421" s="3">
        <v>2.2999999999999998</v>
      </c>
      <c r="E421" s="3">
        <v>5.8</v>
      </c>
      <c r="F421" s="3">
        <v>1.5</v>
      </c>
      <c r="G421" s="3" t="s">
        <v>7</v>
      </c>
      <c r="H421" s="12">
        <v>0</v>
      </c>
      <c r="I421" s="14">
        <v>0.66361635097180394</v>
      </c>
      <c r="J421" s="9" t="s">
        <v>823</v>
      </c>
    </row>
    <row r="422" spans="1:10" ht="28.8" x14ac:dyDescent="0.3">
      <c r="A422" s="3" t="s">
        <v>613</v>
      </c>
      <c r="B422" s="3" t="s">
        <v>14</v>
      </c>
      <c r="C422" s="3">
        <v>172</v>
      </c>
      <c r="D422" s="3">
        <v>4</v>
      </c>
      <c r="E422" s="3">
        <v>6.7</v>
      </c>
      <c r="F422" s="3">
        <v>0.6</v>
      </c>
      <c r="G422" s="3" t="s">
        <v>13</v>
      </c>
      <c r="H422" s="12">
        <v>0</v>
      </c>
      <c r="I422" s="14">
        <v>0.49786717738697017</v>
      </c>
      <c r="J422" s="9" t="s">
        <v>823</v>
      </c>
    </row>
    <row r="423" spans="1:10" ht="28.8" x14ac:dyDescent="0.3">
      <c r="A423" s="3" t="s">
        <v>614</v>
      </c>
      <c r="B423" s="3" t="s">
        <v>18</v>
      </c>
      <c r="C423" s="3">
        <v>424</v>
      </c>
      <c r="D423" s="3">
        <v>3.4</v>
      </c>
      <c r="E423" s="3">
        <v>6.4</v>
      </c>
      <c r="F423" s="3">
        <v>2.4</v>
      </c>
      <c r="G423" s="3" t="s">
        <v>7</v>
      </c>
      <c r="H423" s="12">
        <v>0</v>
      </c>
      <c r="I423" s="14">
        <v>0.1488386049040713</v>
      </c>
      <c r="J423" s="9" t="s">
        <v>823</v>
      </c>
    </row>
    <row r="424" spans="1:10" x14ac:dyDescent="0.3">
      <c r="A424" s="3" t="s">
        <v>615</v>
      </c>
      <c r="B424" s="3" t="s">
        <v>8</v>
      </c>
      <c r="C424" s="3">
        <v>431</v>
      </c>
      <c r="D424" s="3">
        <v>1.5</v>
      </c>
      <c r="E424" s="3">
        <v>0.6</v>
      </c>
      <c r="F424" s="3">
        <v>0.6</v>
      </c>
      <c r="G424" s="3" t="s">
        <v>11</v>
      </c>
      <c r="H424" s="12">
        <v>0</v>
      </c>
      <c r="I424" s="14">
        <v>0.20162490604783445</v>
      </c>
      <c r="J424" s="9" t="s">
        <v>823</v>
      </c>
    </row>
    <row r="425" spans="1:10" x14ac:dyDescent="0.3">
      <c r="A425" s="3" t="s">
        <v>617</v>
      </c>
      <c r="B425" s="3" t="s">
        <v>10</v>
      </c>
      <c r="C425" s="3">
        <v>110</v>
      </c>
      <c r="D425" s="3">
        <v>3</v>
      </c>
      <c r="E425" s="3">
        <v>6.6</v>
      </c>
      <c r="F425" s="3">
        <v>0.8</v>
      </c>
      <c r="G425" s="3" t="s">
        <v>7</v>
      </c>
      <c r="H425" s="12">
        <v>0</v>
      </c>
      <c r="I425" s="14">
        <v>0.29067715685560047</v>
      </c>
      <c r="J425" s="9" t="s">
        <v>823</v>
      </c>
    </row>
    <row r="426" spans="1:10" ht="28.8" x14ac:dyDescent="0.3">
      <c r="A426" s="3" t="s">
        <v>618</v>
      </c>
      <c r="B426" s="3" t="s">
        <v>18</v>
      </c>
      <c r="C426" s="3">
        <v>272</v>
      </c>
      <c r="D426" s="3">
        <v>0.7</v>
      </c>
      <c r="E426" s="3">
        <v>5.3</v>
      </c>
      <c r="F426" s="3">
        <v>2.2999999999999998</v>
      </c>
      <c r="G426" s="3" t="s">
        <v>11</v>
      </c>
      <c r="H426" s="12">
        <v>0</v>
      </c>
      <c r="I426" s="14">
        <v>0.24048903350608275</v>
      </c>
      <c r="J426" s="9" t="s">
        <v>823</v>
      </c>
    </row>
    <row r="427" spans="1:10" x14ac:dyDescent="0.3">
      <c r="A427" s="3" t="s">
        <v>620</v>
      </c>
      <c r="B427" s="3" t="s">
        <v>10</v>
      </c>
      <c r="C427" s="3">
        <v>344</v>
      </c>
      <c r="D427" s="3">
        <v>7.8</v>
      </c>
      <c r="E427" s="3">
        <v>9.1</v>
      </c>
      <c r="F427" s="3">
        <v>1.9</v>
      </c>
      <c r="G427" s="3" t="s">
        <v>9</v>
      </c>
      <c r="H427" s="12">
        <v>0</v>
      </c>
      <c r="I427" s="14">
        <v>0.3962584524515933</v>
      </c>
      <c r="J427" s="9" t="s">
        <v>823</v>
      </c>
    </row>
    <row r="428" spans="1:10" ht="28.8" x14ac:dyDescent="0.3">
      <c r="A428" s="3" t="s">
        <v>621</v>
      </c>
      <c r="B428" s="3" t="s">
        <v>18</v>
      </c>
      <c r="C428" s="3">
        <v>487</v>
      </c>
      <c r="D428" s="3">
        <v>7.1</v>
      </c>
      <c r="E428" s="3">
        <v>8.1</v>
      </c>
      <c r="F428" s="3">
        <v>1.8</v>
      </c>
      <c r="G428" s="3" t="s">
        <v>9</v>
      </c>
      <c r="H428" s="12">
        <v>0</v>
      </c>
      <c r="I428" s="14">
        <v>0.57283709798775417</v>
      </c>
      <c r="J428" s="9" t="s">
        <v>823</v>
      </c>
    </row>
    <row r="429" spans="1:10" ht="28.8" x14ac:dyDescent="0.3">
      <c r="A429" s="3" t="s">
        <v>625</v>
      </c>
      <c r="B429" s="3" t="s">
        <v>18</v>
      </c>
      <c r="C429" s="3">
        <v>332</v>
      </c>
      <c r="D429" s="3">
        <v>7.3</v>
      </c>
      <c r="E429" s="3">
        <v>3</v>
      </c>
      <c r="F429" s="3">
        <v>1.3</v>
      </c>
      <c r="G429" s="3" t="s">
        <v>9</v>
      </c>
      <c r="H429" s="12">
        <v>0</v>
      </c>
      <c r="I429" s="14">
        <v>0.20380941786565787</v>
      </c>
      <c r="J429" s="9" t="s">
        <v>823</v>
      </c>
    </row>
    <row r="430" spans="1:10" ht="28.8" x14ac:dyDescent="0.3">
      <c r="A430" s="3" t="s">
        <v>627</v>
      </c>
      <c r="B430" s="3" t="s">
        <v>12</v>
      </c>
      <c r="C430" s="3">
        <v>276</v>
      </c>
      <c r="D430" s="3">
        <v>2.7</v>
      </c>
      <c r="E430" s="3">
        <v>7.5</v>
      </c>
      <c r="F430" s="3">
        <v>1.3</v>
      </c>
      <c r="G430" s="3" t="s">
        <v>7</v>
      </c>
      <c r="H430" s="12">
        <v>0</v>
      </c>
      <c r="I430" s="14">
        <v>0.51212078425990137</v>
      </c>
      <c r="J430" s="9" t="s">
        <v>823</v>
      </c>
    </row>
    <row r="431" spans="1:10" ht="28.8" x14ac:dyDescent="0.3">
      <c r="A431" s="3" t="s">
        <v>628</v>
      </c>
      <c r="B431" s="3" t="s">
        <v>6</v>
      </c>
      <c r="C431" s="3">
        <v>56</v>
      </c>
      <c r="D431" s="3">
        <v>3</v>
      </c>
      <c r="E431" s="3">
        <v>7.5</v>
      </c>
      <c r="F431" s="3">
        <v>0.7</v>
      </c>
      <c r="G431" s="3" t="s">
        <v>7</v>
      </c>
      <c r="H431" s="12">
        <v>0</v>
      </c>
      <c r="I431" s="14">
        <v>0.14680369714917951</v>
      </c>
      <c r="J431" s="9" t="s">
        <v>823</v>
      </c>
    </row>
    <row r="432" spans="1:10" x14ac:dyDescent="0.3">
      <c r="A432" s="3" t="s">
        <v>629</v>
      </c>
      <c r="B432" s="3" t="s">
        <v>10</v>
      </c>
      <c r="C432" s="3">
        <v>303</v>
      </c>
      <c r="D432" s="3">
        <v>6.8</v>
      </c>
      <c r="E432" s="3">
        <v>2.1</v>
      </c>
      <c r="F432" s="3">
        <v>2.8</v>
      </c>
      <c r="G432" s="3" t="s">
        <v>9</v>
      </c>
      <c r="H432" s="12">
        <v>0</v>
      </c>
      <c r="I432" s="14">
        <v>0.43886537719813878</v>
      </c>
      <c r="J432" s="9" t="s">
        <v>823</v>
      </c>
    </row>
    <row r="433" spans="1:10" ht="28.8" x14ac:dyDescent="0.3">
      <c r="A433" s="3" t="s">
        <v>631</v>
      </c>
      <c r="B433" s="3" t="s">
        <v>14</v>
      </c>
      <c r="C433" s="3">
        <v>483</v>
      </c>
      <c r="D433" s="3">
        <v>4.8</v>
      </c>
      <c r="E433" s="3">
        <v>5.0999999999999996</v>
      </c>
      <c r="F433" s="3">
        <v>2.6</v>
      </c>
      <c r="G433" s="3" t="s">
        <v>13</v>
      </c>
      <c r="H433" s="12">
        <v>0</v>
      </c>
      <c r="I433" s="14">
        <v>0.68299817382349259</v>
      </c>
      <c r="J433" s="9" t="s">
        <v>823</v>
      </c>
    </row>
    <row r="434" spans="1:10" ht="28.8" x14ac:dyDescent="0.3">
      <c r="A434" s="3" t="s">
        <v>633</v>
      </c>
      <c r="B434" s="3" t="s">
        <v>12</v>
      </c>
      <c r="C434" s="3">
        <v>93</v>
      </c>
      <c r="D434" s="3">
        <v>3.6</v>
      </c>
      <c r="E434" s="3">
        <v>9.6999999999999993</v>
      </c>
      <c r="F434" s="3">
        <v>1</v>
      </c>
      <c r="G434" s="3" t="s">
        <v>7</v>
      </c>
      <c r="H434" s="12">
        <v>0</v>
      </c>
      <c r="I434" s="14">
        <v>0.27272808218656208</v>
      </c>
      <c r="J434" s="9" t="s">
        <v>823</v>
      </c>
    </row>
    <row r="435" spans="1:10" ht="28.8" x14ac:dyDescent="0.3">
      <c r="A435" s="3" t="s">
        <v>634</v>
      </c>
      <c r="B435" s="3" t="s">
        <v>12</v>
      </c>
      <c r="C435" s="3">
        <v>90</v>
      </c>
      <c r="D435" s="3">
        <v>4.5999999999999996</v>
      </c>
      <c r="E435" s="3">
        <v>8.6</v>
      </c>
      <c r="F435" s="3">
        <v>1.3</v>
      </c>
      <c r="G435" s="3" t="s">
        <v>13</v>
      </c>
      <c r="H435" s="12">
        <v>0</v>
      </c>
      <c r="I435" s="14">
        <v>0.45952351651198575</v>
      </c>
      <c r="J435" s="9" t="s">
        <v>823</v>
      </c>
    </row>
    <row r="436" spans="1:10" x14ac:dyDescent="0.3">
      <c r="A436" s="3" t="s">
        <v>635</v>
      </c>
      <c r="B436" s="3" t="s">
        <v>8</v>
      </c>
      <c r="C436" s="3">
        <v>398</v>
      </c>
      <c r="D436" s="3">
        <v>6</v>
      </c>
      <c r="E436" s="3">
        <v>6</v>
      </c>
      <c r="F436" s="3">
        <v>2</v>
      </c>
      <c r="G436" s="3" t="s">
        <v>9</v>
      </c>
      <c r="H436" s="12">
        <v>0</v>
      </c>
      <c r="I436" s="14">
        <v>0.11289765823687947</v>
      </c>
      <c r="J436" s="9" t="s">
        <v>823</v>
      </c>
    </row>
    <row r="437" spans="1:10" ht="28.8" x14ac:dyDescent="0.3">
      <c r="A437" s="3" t="s">
        <v>636</v>
      </c>
      <c r="B437" s="3" t="s">
        <v>12</v>
      </c>
      <c r="C437" s="3">
        <v>231</v>
      </c>
      <c r="D437" s="3">
        <v>4.4000000000000004</v>
      </c>
      <c r="E437" s="3">
        <v>2.6</v>
      </c>
      <c r="F437" s="3">
        <v>2.5</v>
      </c>
      <c r="G437" s="3" t="s">
        <v>13</v>
      </c>
      <c r="H437" s="12">
        <v>0</v>
      </c>
      <c r="I437" s="14">
        <v>0.38215827317702844</v>
      </c>
      <c r="J437" s="9" t="s">
        <v>823</v>
      </c>
    </row>
    <row r="438" spans="1:10" ht="28.8" x14ac:dyDescent="0.3">
      <c r="A438" s="3" t="s">
        <v>637</v>
      </c>
      <c r="B438" s="3" t="s">
        <v>12</v>
      </c>
      <c r="C438" s="3">
        <v>356</v>
      </c>
      <c r="D438" s="3">
        <v>7</v>
      </c>
      <c r="E438" s="3">
        <v>9.1</v>
      </c>
      <c r="F438" s="3">
        <v>1.3</v>
      </c>
      <c r="G438" s="3" t="s">
        <v>9</v>
      </c>
      <c r="H438" s="12">
        <v>0</v>
      </c>
      <c r="I438" s="14">
        <v>0.47037278276774941</v>
      </c>
      <c r="J438" s="9" t="s">
        <v>823</v>
      </c>
    </row>
    <row r="439" spans="1:10" x14ac:dyDescent="0.3">
      <c r="A439" s="3" t="s">
        <v>638</v>
      </c>
      <c r="B439" s="3" t="s">
        <v>10</v>
      </c>
      <c r="C439" s="3">
        <v>379</v>
      </c>
      <c r="D439" s="3">
        <v>0.9</v>
      </c>
      <c r="E439" s="3">
        <v>6.2</v>
      </c>
      <c r="F439" s="3">
        <v>1.4</v>
      </c>
      <c r="G439" s="3" t="s">
        <v>11</v>
      </c>
      <c r="H439" s="12">
        <v>0</v>
      </c>
      <c r="I439" s="14">
        <v>7.2630720291439688E-2</v>
      </c>
      <c r="J439" s="9" t="s">
        <v>823</v>
      </c>
    </row>
    <row r="440" spans="1:10" x14ac:dyDescent="0.3">
      <c r="A440" s="3" t="s">
        <v>640</v>
      </c>
      <c r="B440" s="3" t="s">
        <v>10</v>
      </c>
      <c r="C440" s="3">
        <v>416</v>
      </c>
      <c r="D440" s="3">
        <v>2.8</v>
      </c>
      <c r="E440" s="3">
        <v>6.1</v>
      </c>
      <c r="F440" s="3">
        <v>0.6</v>
      </c>
      <c r="G440" s="3" t="s">
        <v>7</v>
      </c>
      <c r="H440" s="12">
        <v>0</v>
      </c>
      <c r="I440" s="14">
        <v>0.45966038191042247</v>
      </c>
      <c r="J440" s="9" t="s">
        <v>823</v>
      </c>
    </row>
    <row r="441" spans="1:10" ht="28.8" x14ac:dyDescent="0.3">
      <c r="A441" s="3" t="s">
        <v>641</v>
      </c>
      <c r="B441" s="3" t="s">
        <v>12</v>
      </c>
      <c r="C441" s="3">
        <v>491</v>
      </c>
      <c r="D441" s="3">
        <v>2.4</v>
      </c>
      <c r="E441" s="3">
        <v>9.1</v>
      </c>
      <c r="F441" s="3">
        <v>1</v>
      </c>
      <c r="G441" s="3" t="s">
        <v>7</v>
      </c>
      <c r="H441" s="12">
        <v>0</v>
      </c>
      <c r="I441" s="14">
        <v>0.68539117859200716</v>
      </c>
      <c r="J441" s="9" t="s">
        <v>823</v>
      </c>
    </row>
    <row r="442" spans="1:10" x14ac:dyDescent="0.3">
      <c r="A442" s="3" t="s">
        <v>643</v>
      </c>
      <c r="B442" s="3" t="s">
        <v>10</v>
      </c>
      <c r="C442" s="3">
        <v>289</v>
      </c>
      <c r="D442" s="3">
        <v>1.3</v>
      </c>
      <c r="E442" s="3">
        <v>6.4</v>
      </c>
      <c r="F442" s="3">
        <v>2.5</v>
      </c>
      <c r="G442" s="3" t="s">
        <v>11</v>
      </c>
      <c r="H442" s="12">
        <v>0</v>
      </c>
      <c r="I442" s="14">
        <v>6.5596410057548793E-2</v>
      </c>
      <c r="J442" s="9" t="s">
        <v>823</v>
      </c>
    </row>
    <row r="443" spans="1:10" ht="28.8" x14ac:dyDescent="0.3">
      <c r="A443" s="3" t="s">
        <v>644</v>
      </c>
      <c r="B443" s="3" t="s">
        <v>6</v>
      </c>
      <c r="C443" s="3">
        <v>96</v>
      </c>
      <c r="D443" s="3">
        <v>3.8</v>
      </c>
      <c r="E443" s="3">
        <v>5.7</v>
      </c>
      <c r="F443" s="3">
        <v>0.6</v>
      </c>
      <c r="G443" s="3" t="s">
        <v>7</v>
      </c>
      <c r="H443" s="12">
        <v>0</v>
      </c>
      <c r="I443" s="14">
        <v>0.3501875374842135</v>
      </c>
      <c r="J443" s="9" t="s">
        <v>823</v>
      </c>
    </row>
    <row r="444" spans="1:10" ht="28.8" x14ac:dyDescent="0.3">
      <c r="A444" s="3" t="s">
        <v>645</v>
      </c>
      <c r="B444" s="3" t="s">
        <v>6</v>
      </c>
      <c r="C444" s="3">
        <v>358</v>
      </c>
      <c r="D444" s="3">
        <v>6.4</v>
      </c>
      <c r="E444" s="3">
        <v>2.2000000000000002</v>
      </c>
      <c r="F444" s="3">
        <v>3</v>
      </c>
      <c r="G444" s="3" t="s">
        <v>9</v>
      </c>
      <c r="H444" s="12">
        <v>0</v>
      </c>
      <c r="I444" s="14">
        <v>0.43857572904712683</v>
      </c>
      <c r="J444" s="9" t="s">
        <v>823</v>
      </c>
    </row>
    <row r="445" spans="1:10" ht="28.8" x14ac:dyDescent="0.3">
      <c r="A445" s="3" t="s">
        <v>646</v>
      </c>
      <c r="B445" s="3" t="s">
        <v>12</v>
      </c>
      <c r="C445" s="3">
        <v>155</v>
      </c>
      <c r="D445" s="3">
        <v>3.4</v>
      </c>
      <c r="E445" s="3">
        <v>1.7</v>
      </c>
      <c r="F445" s="3">
        <v>2.8</v>
      </c>
      <c r="G445" s="3" t="s">
        <v>7</v>
      </c>
      <c r="H445" s="12">
        <v>0</v>
      </c>
      <c r="I445" s="14">
        <v>0.41650625062586177</v>
      </c>
      <c r="J445" s="9" t="s">
        <v>823</v>
      </c>
    </row>
    <row r="446" spans="1:10" ht="28.8" x14ac:dyDescent="0.3">
      <c r="A446" s="3" t="s">
        <v>647</v>
      </c>
      <c r="B446" s="3" t="s">
        <v>14</v>
      </c>
      <c r="C446" s="3">
        <v>68</v>
      </c>
      <c r="D446" s="3">
        <v>1</v>
      </c>
      <c r="E446" s="3">
        <v>3.8</v>
      </c>
      <c r="F446" s="3">
        <v>1.1000000000000001</v>
      </c>
      <c r="G446" s="3" t="s">
        <v>11</v>
      </c>
      <c r="H446" s="12">
        <v>0</v>
      </c>
      <c r="I446" s="14">
        <v>0.34061475618980774</v>
      </c>
      <c r="J446" s="9" t="s">
        <v>823</v>
      </c>
    </row>
    <row r="447" spans="1:10" ht="28.8" x14ac:dyDescent="0.3">
      <c r="A447" s="3" t="s">
        <v>648</v>
      </c>
      <c r="B447" s="3" t="s">
        <v>12</v>
      </c>
      <c r="C447" s="3">
        <v>495</v>
      </c>
      <c r="D447" s="3">
        <v>2.8</v>
      </c>
      <c r="E447" s="3">
        <v>5.2</v>
      </c>
      <c r="F447" s="3">
        <v>1.9</v>
      </c>
      <c r="G447" s="3" t="s">
        <v>7</v>
      </c>
      <c r="H447" s="12">
        <v>0</v>
      </c>
      <c r="I447" s="14">
        <v>0.22165685580910355</v>
      </c>
      <c r="J447" s="9" t="s">
        <v>823</v>
      </c>
    </row>
    <row r="448" spans="1:10" ht="28.8" x14ac:dyDescent="0.3">
      <c r="A448" s="3" t="s">
        <v>649</v>
      </c>
      <c r="B448" s="3" t="s">
        <v>12</v>
      </c>
      <c r="C448" s="3">
        <v>192</v>
      </c>
      <c r="D448" s="3">
        <v>5.0999999999999996</v>
      </c>
      <c r="E448" s="3">
        <v>0.6</v>
      </c>
      <c r="F448" s="3">
        <v>2.8</v>
      </c>
      <c r="G448" s="3" t="s">
        <v>13</v>
      </c>
      <c r="H448" s="12">
        <v>0</v>
      </c>
      <c r="I448" s="14">
        <v>0.11747845397242473</v>
      </c>
      <c r="J448" s="9" t="s">
        <v>823</v>
      </c>
    </row>
    <row r="449" spans="1:10" ht="28.8" x14ac:dyDescent="0.3">
      <c r="A449" s="3" t="s">
        <v>650</v>
      </c>
      <c r="B449" s="3" t="s">
        <v>18</v>
      </c>
      <c r="C449" s="3">
        <v>383</v>
      </c>
      <c r="D449" s="3">
        <v>1.7</v>
      </c>
      <c r="E449" s="3">
        <v>4.7</v>
      </c>
      <c r="F449" s="3">
        <v>1.7</v>
      </c>
      <c r="G449" s="3" t="s">
        <v>11</v>
      </c>
      <c r="H449" s="12">
        <v>0</v>
      </c>
      <c r="I449" s="14">
        <v>0.38029701759119461</v>
      </c>
      <c r="J449" s="9" t="s">
        <v>823</v>
      </c>
    </row>
    <row r="450" spans="1:10" ht="28.8" x14ac:dyDescent="0.3">
      <c r="A450" s="3" t="s">
        <v>651</v>
      </c>
      <c r="B450" s="3" t="s">
        <v>6</v>
      </c>
      <c r="C450" s="3">
        <v>235</v>
      </c>
      <c r="D450" s="3">
        <v>2</v>
      </c>
      <c r="E450" s="3">
        <v>9.1</v>
      </c>
      <c r="F450" s="3">
        <v>1</v>
      </c>
      <c r="G450" s="3" t="s">
        <v>7</v>
      </c>
      <c r="H450" s="12">
        <v>0</v>
      </c>
      <c r="I450" s="14">
        <v>0.13615152731655422</v>
      </c>
      <c r="J450" s="9" t="s">
        <v>823</v>
      </c>
    </row>
    <row r="451" spans="1:10" ht="28.8" x14ac:dyDescent="0.3">
      <c r="A451" s="3" t="s">
        <v>652</v>
      </c>
      <c r="B451" s="3" t="s">
        <v>6</v>
      </c>
      <c r="C451" s="3">
        <v>76</v>
      </c>
      <c r="D451" s="3">
        <v>1</v>
      </c>
      <c r="E451" s="3">
        <v>7.3</v>
      </c>
      <c r="F451" s="3">
        <v>2.4</v>
      </c>
      <c r="G451" s="3" t="s">
        <v>11</v>
      </c>
      <c r="H451" s="12">
        <v>0</v>
      </c>
      <c r="I451" s="14">
        <v>0.57345254620492692</v>
      </c>
      <c r="J451" s="9" t="s">
        <v>823</v>
      </c>
    </row>
    <row r="452" spans="1:10" ht="28.8" x14ac:dyDescent="0.3">
      <c r="A452" s="3" t="s">
        <v>653</v>
      </c>
      <c r="B452" s="3" t="s">
        <v>14</v>
      </c>
      <c r="C452" s="3">
        <v>484</v>
      </c>
      <c r="D452" s="3">
        <v>4.3</v>
      </c>
      <c r="E452" s="3">
        <v>6.3</v>
      </c>
      <c r="F452" s="3">
        <v>2.1</v>
      </c>
      <c r="G452" s="3" t="s">
        <v>13</v>
      </c>
      <c r="H452" s="12">
        <v>0</v>
      </c>
      <c r="I452" s="14">
        <v>8.7784985862070952E-2</v>
      </c>
      <c r="J452" s="9" t="s">
        <v>823</v>
      </c>
    </row>
    <row r="453" spans="1:10" x14ac:dyDescent="0.3">
      <c r="A453" s="3" t="s">
        <v>654</v>
      </c>
      <c r="B453" s="3" t="s">
        <v>10</v>
      </c>
      <c r="C453" s="3">
        <v>366</v>
      </c>
      <c r="D453" s="3">
        <v>7.2</v>
      </c>
      <c r="E453" s="3">
        <v>8.1</v>
      </c>
      <c r="F453" s="3">
        <v>2.5</v>
      </c>
      <c r="G453" s="3" t="s">
        <v>9</v>
      </c>
      <c r="H453" s="12">
        <v>0</v>
      </c>
      <c r="I453" s="14">
        <v>0.41454288108077308</v>
      </c>
      <c r="J453" s="9" t="s">
        <v>823</v>
      </c>
    </row>
    <row r="454" spans="1:10" ht="28.8" x14ac:dyDescent="0.3">
      <c r="A454" s="3" t="s">
        <v>655</v>
      </c>
      <c r="B454" s="3" t="s">
        <v>6</v>
      </c>
      <c r="C454" s="3">
        <v>489</v>
      </c>
      <c r="D454" s="3">
        <v>7.9</v>
      </c>
      <c r="E454" s="3">
        <v>9.9</v>
      </c>
      <c r="F454" s="3">
        <v>1.9</v>
      </c>
      <c r="G454" s="3" t="s">
        <v>9</v>
      </c>
      <c r="H454" s="12">
        <v>0</v>
      </c>
      <c r="I454" s="14">
        <v>0.37261301412345083</v>
      </c>
      <c r="J454" s="9" t="s">
        <v>823</v>
      </c>
    </row>
    <row r="455" spans="1:10" ht="28.8" x14ac:dyDescent="0.3">
      <c r="A455" s="3" t="s">
        <v>656</v>
      </c>
      <c r="B455" s="3" t="s">
        <v>6</v>
      </c>
      <c r="C455" s="3">
        <v>284</v>
      </c>
      <c r="D455" s="3">
        <v>2.8</v>
      </c>
      <c r="E455" s="3">
        <v>7.9</v>
      </c>
      <c r="F455" s="3">
        <v>1.4</v>
      </c>
      <c r="G455" s="3" t="s">
        <v>7</v>
      </c>
      <c r="H455" s="12">
        <v>0</v>
      </c>
      <c r="I455" s="14">
        <v>0.10103275145860424</v>
      </c>
      <c r="J455" s="9" t="s">
        <v>823</v>
      </c>
    </row>
    <row r="456" spans="1:10" ht="28.8" x14ac:dyDescent="0.3">
      <c r="A456" s="3" t="s">
        <v>657</v>
      </c>
      <c r="B456" s="3" t="s">
        <v>6</v>
      </c>
      <c r="C456" s="3">
        <v>120</v>
      </c>
      <c r="D456" s="3">
        <v>0.7</v>
      </c>
      <c r="E456" s="3">
        <v>3</v>
      </c>
      <c r="F456" s="3">
        <v>0.9</v>
      </c>
      <c r="G456" s="3" t="s">
        <v>11</v>
      </c>
      <c r="H456" s="12">
        <v>0</v>
      </c>
      <c r="I456" s="14">
        <v>0.57095728595445583</v>
      </c>
      <c r="J456" s="9" t="s">
        <v>823</v>
      </c>
    </row>
    <row r="457" spans="1:10" x14ac:dyDescent="0.3">
      <c r="A457" s="3" t="s">
        <v>658</v>
      </c>
      <c r="B457" s="3" t="s">
        <v>8</v>
      </c>
      <c r="C457" s="3">
        <v>152</v>
      </c>
      <c r="D457" s="3">
        <v>4.4000000000000004</v>
      </c>
      <c r="E457" s="3">
        <v>7</v>
      </c>
      <c r="F457" s="3">
        <v>3</v>
      </c>
      <c r="G457" s="3" t="s">
        <v>13</v>
      </c>
      <c r="H457" s="12">
        <v>0</v>
      </c>
      <c r="I457" s="14">
        <v>1.2813941051387223E-2</v>
      </c>
      <c r="J457" s="9" t="s">
        <v>823</v>
      </c>
    </row>
    <row r="458" spans="1:10" x14ac:dyDescent="0.3">
      <c r="A458" s="3" t="s">
        <v>659</v>
      </c>
      <c r="B458" s="3" t="s">
        <v>8</v>
      </c>
      <c r="C458" s="3">
        <v>274</v>
      </c>
      <c r="D458" s="3">
        <v>3.8</v>
      </c>
      <c r="E458" s="3">
        <v>4.4000000000000004</v>
      </c>
      <c r="F458" s="3">
        <v>1.6</v>
      </c>
      <c r="G458" s="3" t="s">
        <v>7</v>
      </c>
      <c r="H458" s="12">
        <v>0</v>
      </c>
      <c r="I458" s="14">
        <v>0.353759115962749</v>
      </c>
      <c r="J458" s="9" t="s">
        <v>823</v>
      </c>
    </row>
    <row r="459" spans="1:10" ht="28.8" x14ac:dyDescent="0.3">
      <c r="A459" s="3" t="s">
        <v>660</v>
      </c>
      <c r="B459" s="3" t="s">
        <v>18</v>
      </c>
      <c r="C459" s="3">
        <v>411</v>
      </c>
      <c r="D459" s="3">
        <v>2.9</v>
      </c>
      <c r="E459" s="3">
        <v>3</v>
      </c>
      <c r="F459" s="3">
        <v>0.6</v>
      </c>
      <c r="G459" s="3" t="s">
        <v>7</v>
      </c>
      <c r="H459" s="12">
        <v>0</v>
      </c>
      <c r="I459" s="14">
        <v>0.69205700674827175</v>
      </c>
      <c r="J459" s="9" t="s">
        <v>823</v>
      </c>
    </row>
    <row r="460" spans="1:10" ht="28.8" x14ac:dyDescent="0.3">
      <c r="A460" s="3" t="s">
        <v>661</v>
      </c>
      <c r="B460" s="3" t="s">
        <v>18</v>
      </c>
      <c r="C460" s="3">
        <v>55</v>
      </c>
      <c r="D460" s="3">
        <v>7</v>
      </c>
      <c r="E460" s="3">
        <v>6.9</v>
      </c>
      <c r="F460" s="3">
        <v>1</v>
      </c>
      <c r="G460" s="3" t="s">
        <v>9</v>
      </c>
      <c r="H460" s="12">
        <v>0</v>
      </c>
      <c r="I460" s="14">
        <v>0.16203856963577223</v>
      </c>
      <c r="J460" s="9" t="s">
        <v>823</v>
      </c>
    </row>
    <row r="461" spans="1:10" ht="28.8" x14ac:dyDescent="0.3">
      <c r="A461" s="3" t="s">
        <v>664</v>
      </c>
      <c r="B461" s="3" t="s">
        <v>18</v>
      </c>
      <c r="C461" s="3">
        <v>142</v>
      </c>
      <c r="D461" s="3">
        <v>0.7</v>
      </c>
      <c r="E461" s="3">
        <v>4.7</v>
      </c>
      <c r="F461" s="3">
        <v>2.8</v>
      </c>
      <c r="G461" s="3" t="s">
        <v>11</v>
      </c>
      <c r="H461" s="12">
        <v>0</v>
      </c>
      <c r="I461" s="14">
        <v>0.63296182690671654</v>
      </c>
      <c r="J461" s="9" t="s">
        <v>823</v>
      </c>
    </row>
    <row r="462" spans="1:10" ht="28.8" x14ac:dyDescent="0.3">
      <c r="A462" s="3" t="s">
        <v>665</v>
      </c>
      <c r="B462" s="3" t="s">
        <v>18</v>
      </c>
      <c r="C462" s="3">
        <v>402</v>
      </c>
      <c r="D462" s="3">
        <v>7.1</v>
      </c>
      <c r="E462" s="3">
        <v>5.4</v>
      </c>
      <c r="F462" s="3">
        <v>0.8</v>
      </c>
      <c r="G462" s="3" t="s">
        <v>9</v>
      </c>
      <c r="H462" s="12">
        <v>0</v>
      </c>
      <c r="I462" s="14">
        <v>0.50176093786758058</v>
      </c>
      <c r="J462" s="9" t="s">
        <v>823</v>
      </c>
    </row>
    <row r="463" spans="1:10" x14ac:dyDescent="0.3">
      <c r="A463" s="3" t="s">
        <v>666</v>
      </c>
      <c r="B463" s="3" t="s">
        <v>10</v>
      </c>
      <c r="C463" s="3">
        <v>134</v>
      </c>
      <c r="D463" s="3">
        <v>1.6</v>
      </c>
      <c r="E463" s="3">
        <v>5.0999999999999996</v>
      </c>
      <c r="F463" s="3">
        <v>1.6</v>
      </c>
      <c r="G463" s="3" t="s">
        <v>11</v>
      </c>
      <c r="H463" s="12">
        <v>0</v>
      </c>
      <c r="I463" s="14">
        <v>0.61480312696690542</v>
      </c>
      <c r="J463" s="9" t="s">
        <v>823</v>
      </c>
    </row>
    <row r="464" spans="1:10" ht="28.8" x14ac:dyDescent="0.3">
      <c r="A464" s="3" t="s">
        <v>667</v>
      </c>
      <c r="B464" s="3" t="s">
        <v>12</v>
      </c>
      <c r="C464" s="3">
        <v>485</v>
      </c>
      <c r="D464" s="3">
        <v>7.7</v>
      </c>
      <c r="E464" s="3">
        <v>5</v>
      </c>
      <c r="F464" s="3">
        <v>2.6</v>
      </c>
      <c r="G464" s="3" t="s">
        <v>9</v>
      </c>
      <c r="H464" s="12">
        <v>0</v>
      </c>
      <c r="I464" s="14">
        <v>0.40051910601220642</v>
      </c>
      <c r="J464" s="9" t="s">
        <v>823</v>
      </c>
    </row>
    <row r="465" spans="1:10" x14ac:dyDescent="0.3">
      <c r="A465" s="3" t="s">
        <v>668</v>
      </c>
      <c r="B465" s="3" t="s">
        <v>10</v>
      </c>
      <c r="C465" s="3">
        <v>143</v>
      </c>
      <c r="D465" s="3">
        <v>7.3</v>
      </c>
      <c r="E465" s="3">
        <v>6</v>
      </c>
      <c r="F465" s="3">
        <v>1.9</v>
      </c>
      <c r="G465" s="3" t="s">
        <v>9</v>
      </c>
      <c r="H465" s="12">
        <v>0</v>
      </c>
      <c r="I465" s="14">
        <v>0.23186618610859733</v>
      </c>
      <c r="J465" s="9" t="s">
        <v>823</v>
      </c>
    </row>
    <row r="466" spans="1:10" ht="28.8" x14ac:dyDescent="0.3">
      <c r="A466" s="3" t="s">
        <v>669</v>
      </c>
      <c r="B466" s="3" t="s">
        <v>12</v>
      </c>
      <c r="C466" s="3">
        <v>75</v>
      </c>
      <c r="D466" s="3">
        <v>4</v>
      </c>
      <c r="E466" s="3">
        <v>3.2</v>
      </c>
      <c r="F466" s="3">
        <v>2.1</v>
      </c>
      <c r="G466" s="3" t="s">
        <v>13</v>
      </c>
      <c r="H466" s="12">
        <v>0</v>
      </c>
      <c r="I466" s="14">
        <v>0.47759633768856846</v>
      </c>
      <c r="J466" s="9" t="s">
        <v>823</v>
      </c>
    </row>
    <row r="467" spans="1:10" ht="28.8" x14ac:dyDescent="0.3">
      <c r="A467" s="3" t="s">
        <v>670</v>
      </c>
      <c r="B467" s="3" t="s">
        <v>18</v>
      </c>
      <c r="C467" s="3">
        <v>215</v>
      </c>
      <c r="D467" s="3">
        <v>5.3</v>
      </c>
      <c r="E467" s="3">
        <v>8.6</v>
      </c>
      <c r="F467" s="3">
        <v>1</v>
      </c>
      <c r="G467" s="3" t="s">
        <v>13</v>
      </c>
      <c r="H467" s="12">
        <v>0</v>
      </c>
      <c r="I467" s="14">
        <v>0.3220963410493719</v>
      </c>
      <c r="J467" s="9" t="s">
        <v>823</v>
      </c>
    </row>
    <row r="468" spans="1:10" ht="28.8" x14ac:dyDescent="0.3">
      <c r="A468" s="3" t="s">
        <v>671</v>
      </c>
      <c r="B468" s="3" t="s">
        <v>14</v>
      </c>
      <c r="C468" s="3">
        <v>494</v>
      </c>
      <c r="D468" s="3">
        <v>1.9</v>
      </c>
      <c r="E468" s="3">
        <v>5.9</v>
      </c>
      <c r="F468" s="3">
        <v>0.6</v>
      </c>
      <c r="G468" s="3" t="s">
        <v>11</v>
      </c>
      <c r="H468" s="12">
        <v>0</v>
      </c>
      <c r="I468" s="14">
        <v>0.23872784977917771</v>
      </c>
      <c r="J468" s="9" t="s">
        <v>823</v>
      </c>
    </row>
    <row r="469" spans="1:10" ht="28.8" x14ac:dyDescent="0.3">
      <c r="A469" s="3" t="s">
        <v>672</v>
      </c>
      <c r="B469" s="3" t="s">
        <v>12</v>
      </c>
      <c r="C469" s="3">
        <v>246</v>
      </c>
      <c r="D469" s="3">
        <v>3.4</v>
      </c>
      <c r="E469" s="3">
        <v>4.2</v>
      </c>
      <c r="F469" s="3">
        <v>2.1</v>
      </c>
      <c r="G469" s="3" t="s">
        <v>7</v>
      </c>
      <c r="H469" s="12">
        <v>0</v>
      </c>
      <c r="I469" s="14">
        <v>0.42625766104314478</v>
      </c>
      <c r="J469" s="9" t="s">
        <v>823</v>
      </c>
    </row>
    <row r="470" spans="1:10" ht="28.8" x14ac:dyDescent="0.3">
      <c r="A470" s="3" t="s">
        <v>673</v>
      </c>
      <c r="B470" s="3" t="s">
        <v>18</v>
      </c>
      <c r="C470" s="3">
        <v>109</v>
      </c>
      <c r="D470" s="3">
        <v>5.7</v>
      </c>
      <c r="E470" s="3">
        <v>1.6</v>
      </c>
      <c r="F470" s="3">
        <v>0.6</v>
      </c>
      <c r="G470" s="3" t="s">
        <v>13</v>
      </c>
      <c r="H470" s="12">
        <v>1</v>
      </c>
      <c r="I470" s="14">
        <v>0.48565345606043597</v>
      </c>
      <c r="J470" s="9" t="s">
        <v>823</v>
      </c>
    </row>
    <row r="471" spans="1:10" ht="28.8" x14ac:dyDescent="0.3">
      <c r="A471" s="3" t="s">
        <v>674</v>
      </c>
      <c r="B471" s="3" t="s">
        <v>6</v>
      </c>
      <c r="C471" s="3">
        <v>197</v>
      </c>
      <c r="D471" s="3">
        <v>5.8</v>
      </c>
      <c r="E471" s="3">
        <v>6.3</v>
      </c>
      <c r="F471" s="3">
        <v>2.8</v>
      </c>
      <c r="G471" s="3" t="s">
        <v>13</v>
      </c>
      <c r="H471" s="12">
        <v>0</v>
      </c>
      <c r="I471" s="14">
        <v>5.9135402845111207E-2</v>
      </c>
      <c r="J471" s="9" t="s">
        <v>823</v>
      </c>
    </row>
    <row r="472" spans="1:10" ht="28.8" x14ac:dyDescent="0.3">
      <c r="A472" s="3" t="s">
        <v>676</v>
      </c>
      <c r="B472" s="3" t="s">
        <v>12</v>
      </c>
      <c r="C472" s="3">
        <v>155</v>
      </c>
      <c r="D472" s="3">
        <v>4.5</v>
      </c>
      <c r="E472" s="3">
        <v>4.0999999999999996</v>
      </c>
      <c r="F472" s="3">
        <v>1.8</v>
      </c>
      <c r="G472" s="3" t="s">
        <v>13</v>
      </c>
      <c r="H472" s="12">
        <v>0</v>
      </c>
      <c r="I472" s="14">
        <v>0.23998459941795147</v>
      </c>
      <c r="J472" s="9" t="s">
        <v>823</v>
      </c>
    </row>
    <row r="473" spans="1:10" ht="28.8" x14ac:dyDescent="0.3">
      <c r="A473" s="3" t="s">
        <v>677</v>
      </c>
      <c r="B473" s="3" t="s">
        <v>14</v>
      </c>
      <c r="C473" s="3">
        <v>179</v>
      </c>
      <c r="D473" s="3">
        <v>5.5</v>
      </c>
      <c r="E473" s="3">
        <v>6.6</v>
      </c>
      <c r="F473" s="3">
        <v>0.6</v>
      </c>
      <c r="G473" s="3" t="s">
        <v>13</v>
      </c>
      <c r="H473" s="12">
        <v>0</v>
      </c>
      <c r="I473" s="14">
        <v>0.16850554354036762</v>
      </c>
      <c r="J473" s="9" t="s">
        <v>823</v>
      </c>
    </row>
    <row r="474" spans="1:10" x14ac:dyDescent="0.3">
      <c r="A474" s="3" t="s">
        <v>678</v>
      </c>
      <c r="B474" s="3" t="s">
        <v>10</v>
      </c>
      <c r="C474" s="3">
        <v>102</v>
      </c>
      <c r="D474" s="3">
        <v>4.7</v>
      </c>
      <c r="E474" s="3">
        <v>0.7</v>
      </c>
      <c r="F474" s="3">
        <v>2.8</v>
      </c>
      <c r="G474" s="3" t="s">
        <v>13</v>
      </c>
      <c r="H474" s="12">
        <v>0</v>
      </c>
      <c r="I474" s="14">
        <v>0.411156863746032</v>
      </c>
      <c r="J474" s="9" t="s">
        <v>823</v>
      </c>
    </row>
    <row r="475" spans="1:10" ht="28.8" x14ac:dyDescent="0.3">
      <c r="A475" s="3" t="s">
        <v>679</v>
      </c>
      <c r="B475" s="3" t="s">
        <v>18</v>
      </c>
      <c r="C475" s="3">
        <v>311</v>
      </c>
      <c r="D475" s="3">
        <v>2.7</v>
      </c>
      <c r="E475" s="3">
        <v>3</v>
      </c>
      <c r="F475" s="3">
        <v>2.8</v>
      </c>
      <c r="G475" s="3" t="s">
        <v>7</v>
      </c>
      <c r="H475" s="12">
        <v>0</v>
      </c>
      <c r="I475" s="14">
        <v>0.61052760992112842</v>
      </c>
      <c r="J475" s="9" t="s">
        <v>823</v>
      </c>
    </row>
    <row r="476" spans="1:10" x14ac:dyDescent="0.3">
      <c r="A476" s="3" t="s">
        <v>680</v>
      </c>
      <c r="B476" s="3" t="s">
        <v>10</v>
      </c>
      <c r="C476" s="3">
        <v>360</v>
      </c>
      <c r="D476" s="3">
        <v>4.2</v>
      </c>
      <c r="E476" s="3">
        <v>7.9</v>
      </c>
      <c r="F476" s="3">
        <v>1</v>
      </c>
      <c r="G476" s="3" t="s">
        <v>13</v>
      </c>
      <c r="H476" s="12">
        <v>0</v>
      </c>
      <c r="I476" s="14">
        <v>0.57416715404769492</v>
      </c>
      <c r="J476" s="9" t="s">
        <v>823</v>
      </c>
    </row>
    <row r="477" spans="1:10" x14ac:dyDescent="0.3">
      <c r="A477" s="3" t="s">
        <v>681</v>
      </c>
      <c r="B477" s="3" t="s">
        <v>10</v>
      </c>
      <c r="C477" s="3">
        <v>322</v>
      </c>
      <c r="D477" s="3">
        <v>5.3</v>
      </c>
      <c r="E477" s="3">
        <v>2.2999999999999998</v>
      </c>
      <c r="F477" s="3">
        <v>1.6</v>
      </c>
      <c r="G477" s="3" t="s">
        <v>13</v>
      </c>
      <c r="H477" s="12">
        <v>0</v>
      </c>
      <c r="I477" s="14">
        <v>0.16661792970470723</v>
      </c>
      <c r="J477" s="9" t="s">
        <v>823</v>
      </c>
    </row>
    <row r="478" spans="1:10" x14ac:dyDescent="0.3">
      <c r="A478" s="3" t="s">
        <v>682</v>
      </c>
      <c r="B478" s="3" t="s">
        <v>8</v>
      </c>
      <c r="C478" s="3">
        <v>338</v>
      </c>
      <c r="D478" s="3">
        <v>3.6</v>
      </c>
      <c r="E478" s="3">
        <v>3.6</v>
      </c>
      <c r="F478" s="3">
        <v>0.7</v>
      </c>
      <c r="G478" s="3" t="s">
        <v>7</v>
      </c>
      <c r="H478" s="12">
        <v>0</v>
      </c>
      <c r="I478" s="14">
        <v>0.4071354741209755</v>
      </c>
      <c r="J478" s="9" t="s">
        <v>823</v>
      </c>
    </row>
    <row r="479" spans="1:10" ht="28.8" x14ac:dyDescent="0.3">
      <c r="A479" s="3" t="s">
        <v>684</v>
      </c>
      <c r="B479" s="3" t="s">
        <v>14</v>
      </c>
      <c r="C479" s="3">
        <v>218</v>
      </c>
      <c r="D479" s="3">
        <v>5.4</v>
      </c>
      <c r="E479" s="3">
        <v>3.4</v>
      </c>
      <c r="F479" s="3">
        <v>1.9</v>
      </c>
      <c r="G479" s="3" t="s">
        <v>13</v>
      </c>
      <c r="H479" s="12">
        <v>0</v>
      </c>
      <c r="I479" s="14">
        <v>0.14111604358449636</v>
      </c>
      <c r="J479" s="9" t="s">
        <v>823</v>
      </c>
    </row>
    <row r="480" spans="1:10" ht="28.8" x14ac:dyDescent="0.3">
      <c r="A480" s="3" t="s">
        <v>685</v>
      </c>
      <c r="B480" s="3" t="s">
        <v>12</v>
      </c>
      <c r="C480" s="3">
        <v>182</v>
      </c>
      <c r="D480" s="3">
        <v>1.7</v>
      </c>
      <c r="E480" s="3">
        <v>5.7</v>
      </c>
      <c r="F480" s="3">
        <v>2.2999999999999998</v>
      </c>
      <c r="G480" s="3" t="s">
        <v>11</v>
      </c>
      <c r="H480" s="12">
        <v>0</v>
      </c>
      <c r="I480" s="14">
        <v>7.9467903258782835E-2</v>
      </c>
      <c r="J480" s="9" t="s">
        <v>823</v>
      </c>
    </row>
    <row r="481" spans="1:10" ht="28.8" x14ac:dyDescent="0.3">
      <c r="A481" s="3" t="s">
        <v>688</v>
      </c>
      <c r="B481" s="3" t="s">
        <v>18</v>
      </c>
      <c r="C481" s="3">
        <v>339</v>
      </c>
      <c r="D481" s="3">
        <v>6</v>
      </c>
      <c r="E481" s="3">
        <v>3</v>
      </c>
      <c r="F481" s="3">
        <v>1.9</v>
      </c>
      <c r="G481" s="3" t="s">
        <v>9</v>
      </c>
      <c r="H481" s="12">
        <v>0</v>
      </c>
      <c r="I481" s="14">
        <v>6.7568737514538402E-2</v>
      </c>
      <c r="J481" s="9" t="s">
        <v>823</v>
      </c>
    </row>
    <row r="482" spans="1:10" ht="28.8" x14ac:dyDescent="0.3">
      <c r="A482" s="3" t="s">
        <v>689</v>
      </c>
      <c r="B482" s="3" t="s">
        <v>14</v>
      </c>
      <c r="C482" s="3">
        <v>222</v>
      </c>
      <c r="D482" s="3">
        <v>5.9</v>
      </c>
      <c r="E482" s="3">
        <v>5.4</v>
      </c>
      <c r="F482" s="3">
        <v>2.7</v>
      </c>
      <c r="G482" s="3" t="s">
        <v>13</v>
      </c>
      <c r="H482" s="12">
        <v>0</v>
      </c>
      <c r="I482" s="14">
        <v>0.59801111670809848</v>
      </c>
      <c r="J482" s="9" t="s">
        <v>823</v>
      </c>
    </row>
    <row r="483" spans="1:10" ht="28.8" x14ac:dyDescent="0.3">
      <c r="A483" s="3" t="s">
        <v>691</v>
      </c>
      <c r="B483" s="3" t="s">
        <v>12</v>
      </c>
      <c r="C483" s="3">
        <v>411</v>
      </c>
      <c r="D483" s="3">
        <v>2.4</v>
      </c>
      <c r="E483" s="3">
        <v>7.6</v>
      </c>
      <c r="F483" s="3">
        <v>2.6</v>
      </c>
      <c r="G483" s="3" t="s">
        <v>7</v>
      </c>
      <c r="H483" s="12">
        <v>0</v>
      </c>
      <c r="I483" s="14">
        <v>0.36289673209798523</v>
      </c>
      <c r="J483" s="9" t="s">
        <v>823</v>
      </c>
    </row>
    <row r="484" spans="1:10" ht="28.8" x14ac:dyDescent="0.3">
      <c r="A484" s="3" t="s">
        <v>692</v>
      </c>
      <c r="B484" s="3" t="s">
        <v>14</v>
      </c>
      <c r="C484" s="3">
        <v>113</v>
      </c>
      <c r="D484" s="3">
        <v>5.3</v>
      </c>
      <c r="E484" s="3">
        <v>0.9</v>
      </c>
      <c r="F484" s="3">
        <v>2.7</v>
      </c>
      <c r="G484" s="3" t="s">
        <v>13</v>
      </c>
      <c r="H484" s="12">
        <v>0</v>
      </c>
      <c r="I484" s="14">
        <v>0.1352631257117316</v>
      </c>
      <c r="J484" s="9" t="s">
        <v>823</v>
      </c>
    </row>
    <row r="485" spans="1:10" ht="28.8" x14ac:dyDescent="0.3">
      <c r="A485" s="3" t="s">
        <v>694</v>
      </c>
      <c r="B485" s="3" t="s">
        <v>14</v>
      </c>
      <c r="C485" s="3">
        <v>481</v>
      </c>
      <c r="D485" s="3">
        <v>7.2</v>
      </c>
      <c r="E485" s="3">
        <v>0.7</v>
      </c>
      <c r="F485" s="3">
        <v>2.4</v>
      </c>
      <c r="G485" s="3" t="s">
        <v>9</v>
      </c>
      <c r="H485" s="12">
        <v>0</v>
      </c>
      <c r="I485" s="14">
        <v>0.37664306361976096</v>
      </c>
      <c r="J485" s="9" t="s">
        <v>823</v>
      </c>
    </row>
    <row r="486" spans="1:10" x14ac:dyDescent="0.3">
      <c r="A486" s="3" t="s">
        <v>695</v>
      </c>
      <c r="B486" s="3" t="s">
        <v>10</v>
      </c>
      <c r="C486" s="3">
        <v>238</v>
      </c>
      <c r="D486" s="3">
        <v>1.2</v>
      </c>
      <c r="E486" s="3">
        <v>6.9</v>
      </c>
      <c r="F486" s="3">
        <v>0.7</v>
      </c>
      <c r="G486" s="3" t="s">
        <v>11</v>
      </c>
      <c r="H486" s="12">
        <v>0</v>
      </c>
      <c r="I486" s="14">
        <v>0.5059063842402709</v>
      </c>
      <c r="J486" s="9" t="s">
        <v>823</v>
      </c>
    </row>
    <row r="487" spans="1:10" ht="28.8" x14ac:dyDescent="0.3">
      <c r="A487" s="3" t="s">
        <v>696</v>
      </c>
      <c r="B487" s="3" t="s">
        <v>6</v>
      </c>
      <c r="C487" s="3">
        <v>153</v>
      </c>
      <c r="D487" s="3">
        <v>7.7</v>
      </c>
      <c r="E487" s="3">
        <v>6.8</v>
      </c>
      <c r="F487" s="3">
        <v>0.6</v>
      </c>
      <c r="G487" s="3" t="s">
        <v>9</v>
      </c>
      <c r="H487" s="12">
        <v>0</v>
      </c>
      <c r="I487" s="14">
        <v>3.9641371733555641E-2</v>
      </c>
      <c r="J487" s="9" t="s">
        <v>823</v>
      </c>
    </row>
    <row r="488" spans="1:10" ht="28.8" x14ac:dyDescent="0.3">
      <c r="A488" s="3" t="s">
        <v>697</v>
      </c>
      <c r="B488" s="3" t="s">
        <v>14</v>
      </c>
      <c r="C488" s="3">
        <v>91</v>
      </c>
      <c r="D488" s="3">
        <v>7.5</v>
      </c>
      <c r="E488" s="3">
        <v>5.0999999999999996</v>
      </c>
      <c r="F488" s="3">
        <v>2.2999999999999998</v>
      </c>
      <c r="G488" s="3" t="s">
        <v>9</v>
      </c>
      <c r="H488" s="12">
        <v>0</v>
      </c>
      <c r="I488" s="14">
        <v>7.9971771125810553E-2</v>
      </c>
      <c r="J488" s="9" t="s">
        <v>823</v>
      </c>
    </row>
    <row r="489" spans="1:10" ht="28.8" x14ac:dyDescent="0.3">
      <c r="A489" s="3" t="s">
        <v>698</v>
      </c>
      <c r="B489" s="3" t="s">
        <v>6</v>
      </c>
      <c r="C489" s="3">
        <v>319</v>
      </c>
      <c r="D489" s="3">
        <v>1.4</v>
      </c>
      <c r="E489" s="3">
        <v>3.7</v>
      </c>
      <c r="F489" s="3">
        <v>2.6</v>
      </c>
      <c r="G489" s="3" t="s">
        <v>11</v>
      </c>
      <c r="H489" s="12">
        <v>0</v>
      </c>
      <c r="I489" s="14">
        <v>0.36371558225222056</v>
      </c>
      <c r="J489" s="9" t="s">
        <v>823</v>
      </c>
    </row>
    <row r="490" spans="1:10" x14ac:dyDescent="0.3">
      <c r="A490" s="3" t="s">
        <v>699</v>
      </c>
      <c r="B490" s="3" t="s">
        <v>10</v>
      </c>
      <c r="C490" s="3">
        <v>190</v>
      </c>
      <c r="D490" s="3">
        <v>6.5</v>
      </c>
      <c r="E490" s="3">
        <v>9.6</v>
      </c>
      <c r="F490" s="3">
        <v>2.4</v>
      </c>
      <c r="G490" s="3" t="s">
        <v>9</v>
      </c>
      <c r="H490" s="12">
        <v>0</v>
      </c>
      <c r="I490" s="14">
        <v>0.38546350039055821</v>
      </c>
      <c r="J490" s="9" t="s">
        <v>823</v>
      </c>
    </row>
    <row r="491" spans="1:10" ht="28.8" x14ac:dyDescent="0.3">
      <c r="A491" s="3" t="s">
        <v>700</v>
      </c>
      <c r="B491" s="3" t="s">
        <v>12</v>
      </c>
      <c r="C491" s="3">
        <v>98</v>
      </c>
      <c r="D491" s="3">
        <v>2.1</v>
      </c>
      <c r="E491" s="3">
        <v>1.7</v>
      </c>
      <c r="F491" s="3">
        <v>1.4</v>
      </c>
      <c r="G491" s="3" t="s">
        <v>7</v>
      </c>
      <c r="H491" s="12">
        <v>0</v>
      </c>
      <c r="I491" s="14">
        <v>0.35300229942687378</v>
      </c>
      <c r="J491" s="9" t="s">
        <v>823</v>
      </c>
    </row>
    <row r="492" spans="1:10" ht="28.8" x14ac:dyDescent="0.3">
      <c r="A492" s="3" t="s">
        <v>701</v>
      </c>
      <c r="B492" s="3" t="s">
        <v>6</v>
      </c>
      <c r="C492" s="3">
        <v>434</v>
      </c>
      <c r="D492" s="3">
        <v>5</v>
      </c>
      <c r="E492" s="3">
        <v>0.6</v>
      </c>
      <c r="F492" s="3">
        <v>1.5</v>
      </c>
      <c r="G492" s="3" t="s">
        <v>13</v>
      </c>
      <c r="H492" s="12">
        <v>0</v>
      </c>
      <c r="I492" s="14">
        <v>0.67049781098018713</v>
      </c>
      <c r="J492" s="9" t="s">
        <v>823</v>
      </c>
    </row>
    <row r="493" spans="1:10" x14ac:dyDescent="0.3">
      <c r="A493" s="3" t="s">
        <v>703</v>
      </c>
      <c r="B493" s="3" t="s">
        <v>8</v>
      </c>
      <c r="C493" s="3">
        <v>364</v>
      </c>
      <c r="D493" s="3">
        <v>7.1</v>
      </c>
      <c r="E493" s="3">
        <v>4.3</v>
      </c>
      <c r="F493" s="3">
        <v>2.2999999999999998</v>
      </c>
      <c r="G493" s="3" t="s">
        <v>9</v>
      </c>
      <c r="H493" s="12">
        <v>0</v>
      </c>
      <c r="I493" s="14">
        <v>0.38305010027968089</v>
      </c>
      <c r="J493" s="9" t="s">
        <v>823</v>
      </c>
    </row>
    <row r="494" spans="1:10" ht="28.8" x14ac:dyDescent="0.3">
      <c r="A494" s="3" t="s">
        <v>705</v>
      </c>
      <c r="B494" s="3" t="s">
        <v>14</v>
      </c>
      <c r="C494" s="3">
        <v>446</v>
      </c>
      <c r="D494" s="3">
        <v>5.2</v>
      </c>
      <c r="E494" s="3">
        <v>3</v>
      </c>
      <c r="F494" s="3">
        <v>2.1</v>
      </c>
      <c r="G494" s="3" t="s">
        <v>13</v>
      </c>
      <c r="H494" s="12">
        <v>0</v>
      </c>
      <c r="I494" s="14">
        <v>0.29212957003954421</v>
      </c>
      <c r="J494" s="9" t="s">
        <v>823</v>
      </c>
    </row>
    <row r="495" spans="1:10" ht="28.8" x14ac:dyDescent="0.3">
      <c r="A495" s="3" t="s">
        <v>706</v>
      </c>
      <c r="B495" s="3" t="s">
        <v>14</v>
      </c>
      <c r="C495" s="3">
        <v>126</v>
      </c>
      <c r="D495" s="3">
        <v>1.5</v>
      </c>
      <c r="E495" s="3">
        <v>5.0999999999999996</v>
      </c>
      <c r="F495" s="3">
        <v>1.9</v>
      </c>
      <c r="G495" s="3" t="s">
        <v>11</v>
      </c>
      <c r="H495" s="12">
        <v>0</v>
      </c>
      <c r="I495" s="14">
        <v>0.67657047906873169</v>
      </c>
      <c r="J495" s="9" t="s">
        <v>823</v>
      </c>
    </row>
    <row r="496" spans="1:10" x14ac:dyDescent="0.3">
      <c r="A496" s="3" t="s">
        <v>707</v>
      </c>
      <c r="B496" s="3" t="s">
        <v>10</v>
      </c>
      <c r="C496" s="3">
        <v>476</v>
      </c>
      <c r="D496" s="3">
        <v>2.2999999999999998</v>
      </c>
      <c r="E496" s="3">
        <v>0.9</v>
      </c>
      <c r="F496" s="3">
        <v>2.5</v>
      </c>
      <c r="G496" s="3" t="s">
        <v>7</v>
      </c>
      <c r="H496" s="12">
        <v>0</v>
      </c>
      <c r="I496" s="14">
        <v>0.49771027551601199</v>
      </c>
      <c r="J496" s="9" t="s">
        <v>823</v>
      </c>
    </row>
    <row r="497" spans="1:10" ht="28.8" x14ac:dyDescent="0.3">
      <c r="A497" s="3" t="s">
        <v>708</v>
      </c>
      <c r="B497" s="3" t="s">
        <v>18</v>
      </c>
      <c r="C497" s="3">
        <v>339</v>
      </c>
      <c r="D497" s="3">
        <v>4.5999999999999996</v>
      </c>
      <c r="E497" s="3">
        <v>9.4</v>
      </c>
      <c r="F497" s="3">
        <v>0.7</v>
      </c>
      <c r="G497" s="3" t="s">
        <v>13</v>
      </c>
      <c r="H497" s="12">
        <v>0</v>
      </c>
      <c r="I497" s="14">
        <v>3.554732526549409E-2</v>
      </c>
      <c r="J497" s="9" t="s">
        <v>823</v>
      </c>
    </row>
    <row r="498" spans="1:10" ht="28.8" x14ac:dyDescent="0.3">
      <c r="A498" s="3" t="s">
        <v>709</v>
      </c>
      <c r="B498" s="3" t="s">
        <v>14</v>
      </c>
      <c r="C498" s="3">
        <v>457</v>
      </c>
      <c r="D498" s="3">
        <v>6.8</v>
      </c>
      <c r="E498" s="3">
        <v>7.8</v>
      </c>
      <c r="F498" s="3">
        <v>2.5</v>
      </c>
      <c r="G498" s="3" t="s">
        <v>9</v>
      </c>
      <c r="H498" s="12">
        <v>0</v>
      </c>
      <c r="I498" s="14">
        <v>0.42273293816350521</v>
      </c>
      <c r="J498" s="9" t="s">
        <v>823</v>
      </c>
    </row>
    <row r="499" spans="1:10" ht="28.8" x14ac:dyDescent="0.3">
      <c r="A499" s="3" t="s">
        <v>710</v>
      </c>
      <c r="B499" s="3" t="s">
        <v>6</v>
      </c>
      <c r="C499" s="3">
        <v>253</v>
      </c>
      <c r="D499" s="3">
        <v>6.1</v>
      </c>
      <c r="E499" s="3">
        <v>3.5</v>
      </c>
      <c r="F499" s="3">
        <v>2.7</v>
      </c>
      <c r="G499" s="3" t="s">
        <v>9</v>
      </c>
      <c r="H499" s="12">
        <v>0</v>
      </c>
      <c r="I499" s="14">
        <v>0.56326248688409364</v>
      </c>
      <c r="J499" s="9" t="s">
        <v>823</v>
      </c>
    </row>
    <row r="500" spans="1:10" ht="28.8" x14ac:dyDescent="0.3">
      <c r="A500" s="3" t="s">
        <v>712</v>
      </c>
      <c r="B500" s="3" t="s">
        <v>6</v>
      </c>
      <c r="C500" s="3">
        <v>459</v>
      </c>
      <c r="D500" s="3">
        <v>0.9</v>
      </c>
      <c r="E500" s="3">
        <v>9.6</v>
      </c>
      <c r="F500" s="3">
        <v>2.5</v>
      </c>
      <c r="G500" s="3" t="s">
        <v>11</v>
      </c>
      <c r="H500" s="12">
        <v>0</v>
      </c>
      <c r="I500" s="14">
        <v>0.17352609415316544</v>
      </c>
      <c r="J500" s="9" t="s">
        <v>823</v>
      </c>
    </row>
    <row r="501" spans="1:10" ht="28.8" x14ac:dyDescent="0.3">
      <c r="A501" s="3" t="s">
        <v>714</v>
      </c>
      <c r="B501" s="3" t="s">
        <v>6</v>
      </c>
      <c r="C501" s="3">
        <v>257</v>
      </c>
      <c r="D501" s="3">
        <v>8</v>
      </c>
      <c r="E501" s="3">
        <v>1.9</v>
      </c>
      <c r="F501" s="3">
        <v>3</v>
      </c>
      <c r="G501" s="3" t="s">
        <v>9</v>
      </c>
      <c r="H501" s="12">
        <v>0</v>
      </c>
      <c r="I501" s="14">
        <v>0.22890921250332108</v>
      </c>
      <c r="J501" s="9" t="s">
        <v>823</v>
      </c>
    </row>
    <row r="502" spans="1:10" ht="28.8" x14ac:dyDescent="0.3">
      <c r="A502" s="3" t="s">
        <v>715</v>
      </c>
      <c r="B502" s="3" t="s">
        <v>6</v>
      </c>
      <c r="C502" s="3">
        <v>288</v>
      </c>
      <c r="D502" s="3">
        <v>1.5</v>
      </c>
      <c r="E502" s="3">
        <v>4.8</v>
      </c>
      <c r="F502" s="3">
        <v>3</v>
      </c>
      <c r="G502" s="3" t="s">
        <v>11</v>
      </c>
      <c r="H502" s="12">
        <v>0</v>
      </c>
      <c r="I502" s="14">
        <v>0.67380562956556223</v>
      </c>
      <c r="J502" s="9" t="s">
        <v>823</v>
      </c>
    </row>
    <row r="503" spans="1:10" ht="28.8" x14ac:dyDescent="0.3">
      <c r="A503" s="3" t="s">
        <v>716</v>
      </c>
      <c r="B503" s="3" t="s">
        <v>14</v>
      </c>
      <c r="C503" s="3">
        <v>427</v>
      </c>
      <c r="D503" s="3">
        <v>6.7</v>
      </c>
      <c r="E503" s="3">
        <v>7.3</v>
      </c>
      <c r="F503" s="3">
        <v>1.9</v>
      </c>
      <c r="G503" s="3" t="s">
        <v>9</v>
      </c>
      <c r="H503" s="12">
        <v>0</v>
      </c>
      <c r="I503" s="14">
        <v>4.6080292854013716E-2</v>
      </c>
      <c r="J503" s="9" t="s">
        <v>823</v>
      </c>
    </row>
    <row r="504" spans="1:10" x14ac:dyDescent="0.3">
      <c r="A504" s="3" t="s">
        <v>718</v>
      </c>
      <c r="B504" s="3" t="s">
        <v>10</v>
      </c>
      <c r="C504" s="3">
        <v>256</v>
      </c>
      <c r="D504" s="3">
        <v>2.2000000000000002</v>
      </c>
      <c r="E504" s="3">
        <v>3.2</v>
      </c>
      <c r="F504" s="3">
        <v>0.6</v>
      </c>
      <c r="G504" s="3" t="s">
        <v>7</v>
      </c>
      <c r="H504" s="12">
        <v>0</v>
      </c>
      <c r="I504" s="14">
        <v>0.55945086258388399</v>
      </c>
      <c r="J504" s="9" t="s">
        <v>823</v>
      </c>
    </row>
    <row r="505" spans="1:10" x14ac:dyDescent="0.3">
      <c r="A505" s="3" t="s">
        <v>719</v>
      </c>
      <c r="B505" s="3" t="s">
        <v>10</v>
      </c>
      <c r="C505" s="3">
        <v>487</v>
      </c>
      <c r="D505" s="3">
        <v>2.2999999999999998</v>
      </c>
      <c r="E505" s="3">
        <v>3.8</v>
      </c>
      <c r="F505" s="3">
        <v>1.7</v>
      </c>
      <c r="G505" s="3" t="s">
        <v>7</v>
      </c>
      <c r="H505" s="12">
        <v>0</v>
      </c>
      <c r="I505" s="14">
        <v>0.1464844797969217</v>
      </c>
      <c r="J505" s="9" t="s">
        <v>823</v>
      </c>
    </row>
    <row r="506" spans="1:10" ht="28.8" x14ac:dyDescent="0.3">
      <c r="A506" s="3" t="s">
        <v>720</v>
      </c>
      <c r="B506" s="3" t="s">
        <v>14</v>
      </c>
      <c r="C506" s="3">
        <v>226</v>
      </c>
      <c r="D506" s="3">
        <v>5.8</v>
      </c>
      <c r="E506" s="3">
        <v>8.6999999999999993</v>
      </c>
      <c r="F506" s="3">
        <v>2.4</v>
      </c>
      <c r="G506" s="3" t="s">
        <v>13</v>
      </c>
      <c r="H506" s="12">
        <v>0</v>
      </c>
      <c r="I506" s="14">
        <v>0.52388384141763367</v>
      </c>
      <c r="J506" s="9" t="s">
        <v>823</v>
      </c>
    </row>
    <row r="507" spans="1:10" ht="28.8" x14ac:dyDescent="0.3">
      <c r="A507" s="3" t="s">
        <v>721</v>
      </c>
      <c r="B507" s="3" t="s">
        <v>18</v>
      </c>
      <c r="C507" s="3">
        <v>122</v>
      </c>
      <c r="D507" s="3">
        <v>2.7</v>
      </c>
      <c r="E507" s="3">
        <v>6.9</v>
      </c>
      <c r="F507" s="3">
        <v>2.9</v>
      </c>
      <c r="G507" s="3" t="s">
        <v>7</v>
      </c>
      <c r="H507" s="12">
        <v>0</v>
      </c>
      <c r="I507" s="14">
        <v>0.43498156458690407</v>
      </c>
      <c r="J507" s="9" t="s">
        <v>823</v>
      </c>
    </row>
    <row r="508" spans="1:10" ht="28.8" x14ac:dyDescent="0.3">
      <c r="A508" s="3" t="s">
        <v>723</v>
      </c>
      <c r="B508" s="3" t="s">
        <v>14</v>
      </c>
      <c r="C508" s="3">
        <v>218</v>
      </c>
      <c r="D508" s="3">
        <v>4.8</v>
      </c>
      <c r="E508" s="3">
        <v>5.5</v>
      </c>
      <c r="F508" s="3">
        <v>2.2000000000000002</v>
      </c>
      <c r="G508" s="3" t="s">
        <v>13</v>
      </c>
      <c r="H508" s="12">
        <v>0</v>
      </c>
      <c r="I508" s="14">
        <v>0.68900881709160611</v>
      </c>
      <c r="J508" s="9" t="s">
        <v>823</v>
      </c>
    </row>
    <row r="509" spans="1:10" ht="28.8" x14ac:dyDescent="0.3">
      <c r="A509" s="3" t="s">
        <v>725</v>
      </c>
      <c r="B509" s="3" t="s">
        <v>14</v>
      </c>
      <c r="C509" s="3">
        <v>91</v>
      </c>
      <c r="D509" s="3">
        <v>0.6</v>
      </c>
      <c r="E509" s="3">
        <v>2.2999999999999998</v>
      </c>
      <c r="F509" s="3">
        <v>3</v>
      </c>
      <c r="G509" s="3" t="s">
        <v>11</v>
      </c>
      <c r="H509" s="12">
        <v>0</v>
      </c>
      <c r="I509" s="14">
        <v>0.14633933939660404</v>
      </c>
      <c r="J509" s="9" t="s">
        <v>823</v>
      </c>
    </row>
    <row r="510" spans="1:10" ht="28.8" x14ac:dyDescent="0.3">
      <c r="A510" s="3" t="s">
        <v>727</v>
      </c>
      <c r="B510" s="3" t="s">
        <v>18</v>
      </c>
      <c r="C510" s="3">
        <v>195</v>
      </c>
      <c r="D510" s="3">
        <v>6.9</v>
      </c>
      <c r="E510" s="3">
        <v>5.6</v>
      </c>
      <c r="F510" s="3">
        <v>2.2000000000000002</v>
      </c>
      <c r="G510" s="3" t="s">
        <v>9</v>
      </c>
      <c r="H510" s="12">
        <v>0</v>
      </c>
      <c r="I510" s="14">
        <v>0.12922703879557618</v>
      </c>
      <c r="J510" s="9" t="s">
        <v>823</v>
      </c>
    </row>
    <row r="511" spans="1:10" x14ac:dyDescent="0.3">
      <c r="A511" s="3" t="s">
        <v>728</v>
      </c>
      <c r="B511" s="3" t="s">
        <v>8</v>
      </c>
      <c r="C511" s="3">
        <v>97</v>
      </c>
      <c r="D511" s="3">
        <v>2.8</v>
      </c>
      <c r="E511" s="3">
        <v>7</v>
      </c>
      <c r="F511" s="3">
        <v>1.4</v>
      </c>
      <c r="G511" s="3" t="s">
        <v>7</v>
      </c>
      <c r="H511" s="12">
        <v>0</v>
      </c>
      <c r="I511" s="14">
        <v>0.60469330952542477</v>
      </c>
      <c r="J511" s="9" t="s">
        <v>823</v>
      </c>
    </row>
    <row r="512" spans="1:10" ht="28.8" x14ac:dyDescent="0.3">
      <c r="A512" s="3" t="s">
        <v>729</v>
      </c>
      <c r="B512" s="3" t="s">
        <v>18</v>
      </c>
      <c r="C512" s="3">
        <v>146</v>
      </c>
      <c r="D512" s="3">
        <v>4.4000000000000004</v>
      </c>
      <c r="E512" s="3">
        <v>6.4</v>
      </c>
      <c r="F512" s="3">
        <v>2.2999999999999998</v>
      </c>
      <c r="G512" s="3" t="s">
        <v>13</v>
      </c>
      <c r="H512" s="12">
        <v>0</v>
      </c>
      <c r="I512" s="14">
        <v>0.66289541904718896</v>
      </c>
      <c r="J512" s="9" t="s">
        <v>823</v>
      </c>
    </row>
    <row r="513" spans="1:10" ht="28.8" x14ac:dyDescent="0.3">
      <c r="A513" s="3" t="s">
        <v>731</v>
      </c>
      <c r="B513" s="3" t="s">
        <v>12</v>
      </c>
      <c r="C513" s="3">
        <v>112</v>
      </c>
      <c r="D513" s="3">
        <v>6.3</v>
      </c>
      <c r="E513" s="3">
        <v>6</v>
      </c>
      <c r="F513" s="3">
        <v>2.7</v>
      </c>
      <c r="G513" s="3" t="s">
        <v>9</v>
      </c>
      <c r="H513" s="12">
        <v>0</v>
      </c>
      <c r="I513" s="14">
        <v>0.20516332816116678</v>
      </c>
      <c r="J513" s="9" t="s">
        <v>823</v>
      </c>
    </row>
    <row r="514" spans="1:10" ht="28.8" x14ac:dyDescent="0.3">
      <c r="A514" s="3" t="s">
        <v>732</v>
      </c>
      <c r="B514" s="3" t="s">
        <v>18</v>
      </c>
      <c r="C514" s="3">
        <v>414</v>
      </c>
      <c r="D514" s="3">
        <v>2.2999999999999998</v>
      </c>
      <c r="E514" s="3">
        <v>6.5</v>
      </c>
      <c r="F514" s="3">
        <v>2.4</v>
      </c>
      <c r="G514" s="3" t="s">
        <v>7</v>
      </c>
      <c r="H514" s="12">
        <v>0</v>
      </c>
      <c r="I514" s="14">
        <v>0.63168637821629237</v>
      </c>
      <c r="J514" s="9" t="s">
        <v>823</v>
      </c>
    </row>
    <row r="515" spans="1:10" x14ac:dyDescent="0.3">
      <c r="A515" s="3" t="s">
        <v>733</v>
      </c>
      <c r="B515" s="3" t="s">
        <v>10</v>
      </c>
      <c r="C515" s="3">
        <v>336</v>
      </c>
      <c r="D515" s="3">
        <v>5.2</v>
      </c>
      <c r="E515" s="3">
        <v>7.9</v>
      </c>
      <c r="F515" s="3">
        <v>1.8</v>
      </c>
      <c r="G515" s="3" t="s">
        <v>13</v>
      </c>
      <c r="H515" s="12">
        <v>0</v>
      </c>
      <c r="I515" s="14">
        <v>0.4382444905671028</v>
      </c>
      <c r="J515" s="9" t="s">
        <v>823</v>
      </c>
    </row>
    <row r="516" spans="1:10" ht="28.8" x14ac:dyDescent="0.3">
      <c r="A516" s="3" t="s">
        <v>734</v>
      </c>
      <c r="B516" s="3" t="s">
        <v>12</v>
      </c>
      <c r="C516" s="3">
        <v>216</v>
      </c>
      <c r="D516" s="3">
        <v>3.3</v>
      </c>
      <c r="E516" s="3">
        <v>3.8</v>
      </c>
      <c r="F516" s="3">
        <v>2.6</v>
      </c>
      <c r="G516" s="3" t="s">
        <v>7</v>
      </c>
      <c r="H516" s="12">
        <v>0</v>
      </c>
      <c r="I516" s="14">
        <v>0.66040398893905272</v>
      </c>
      <c r="J516" s="9" t="s">
        <v>823</v>
      </c>
    </row>
    <row r="517" spans="1:10" x14ac:dyDescent="0.3">
      <c r="A517" s="3" t="s">
        <v>735</v>
      </c>
      <c r="B517" s="3" t="s">
        <v>8</v>
      </c>
      <c r="C517" s="3">
        <v>379</v>
      </c>
      <c r="D517" s="3">
        <v>5.0999999999999996</v>
      </c>
      <c r="E517" s="3">
        <v>4</v>
      </c>
      <c r="F517" s="3">
        <v>2.9</v>
      </c>
      <c r="G517" s="3" t="s">
        <v>13</v>
      </c>
      <c r="H517" s="12">
        <v>0</v>
      </c>
      <c r="I517" s="14">
        <v>5.1114311766095377E-2</v>
      </c>
      <c r="J517" s="9" t="s">
        <v>823</v>
      </c>
    </row>
    <row r="518" spans="1:10" x14ac:dyDescent="0.3">
      <c r="A518" s="3" t="s">
        <v>736</v>
      </c>
      <c r="B518" s="3" t="s">
        <v>10</v>
      </c>
      <c r="C518" s="3">
        <v>380</v>
      </c>
      <c r="D518" s="3">
        <v>5.3</v>
      </c>
      <c r="E518" s="3">
        <v>3.9</v>
      </c>
      <c r="F518" s="3">
        <v>2.9</v>
      </c>
      <c r="G518" s="3" t="s">
        <v>13</v>
      </c>
      <c r="H518" s="12">
        <v>0</v>
      </c>
      <c r="I518" s="14">
        <v>0.42502894609566855</v>
      </c>
      <c r="J518" s="9" t="s">
        <v>823</v>
      </c>
    </row>
    <row r="519" spans="1:10" x14ac:dyDescent="0.3">
      <c r="A519" s="3" t="s">
        <v>740</v>
      </c>
      <c r="B519" s="3" t="s">
        <v>10</v>
      </c>
      <c r="C519" s="3">
        <v>356</v>
      </c>
      <c r="D519" s="3">
        <v>6.5</v>
      </c>
      <c r="E519" s="3">
        <v>5.9</v>
      </c>
      <c r="F519" s="3">
        <v>0.6</v>
      </c>
      <c r="G519" s="3" t="s">
        <v>9</v>
      </c>
      <c r="H519" s="12">
        <v>0</v>
      </c>
      <c r="I519" s="14">
        <v>0.15656065769895589</v>
      </c>
      <c r="J519" s="9" t="s">
        <v>823</v>
      </c>
    </row>
    <row r="520" spans="1:10" x14ac:dyDescent="0.3">
      <c r="A520" s="3" t="s">
        <v>741</v>
      </c>
      <c r="B520" s="3" t="s">
        <v>10</v>
      </c>
      <c r="C520" s="3">
        <v>319</v>
      </c>
      <c r="D520" s="3">
        <v>2</v>
      </c>
      <c r="E520" s="3">
        <v>2.2999999999999998</v>
      </c>
      <c r="F520" s="3">
        <v>2.4</v>
      </c>
      <c r="G520" s="3" t="s">
        <v>7</v>
      </c>
      <c r="H520" s="12">
        <v>0</v>
      </c>
      <c r="I520" s="14">
        <v>9.566915112551122E-2</v>
      </c>
      <c r="J520" s="9" t="s">
        <v>823</v>
      </c>
    </row>
    <row r="521" spans="1:10" x14ac:dyDescent="0.3">
      <c r="A521" s="3" t="s">
        <v>742</v>
      </c>
      <c r="B521" s="3" t="s">
        <v>10</v>
      </c>
      <c r="C521" s="3">
        <v>157</v>
      </c>
      <c r="D521" s="3">
        <v>7</v>
      </c>
      <c r="E521" s="3">
        <v>6</v>
      </c>
      <c r="F521" s="3">
        <v>1.6</v>
      </c>
      <c r="G521" s="3" t="s">
        <v>9</v>
      </c>
      <c r="H521" s="12">
        <v>0</v>
      </c>
      <c r="I521" s="14">
        <v>0.59128992494103694</v>
      </c>
      <c r="J521" s="9" t="s">
        <v>823</v>
      </c>
    </row>
    <row r="522" spans="1:10" ht="28.8" x14ac:dyDescent="0.3">
      <c r="A522" s="3" t="s">
        <v>743</v>
      </c>
      <c r="B522" s="3" t="s">
        <v>6</v>
      </c>
      <c r="C522" s="3">
        <v>309</v>
      </c>
      <c r="D522" s="3">
        <v>1.6</v>
      </c>
      <c r="E522" s="3">
        <v>9.9</v>
      </c>
      <c r="F522" s="3">
        <v>1.9</v>
      </c>
      <c r="G522" s="3" t="s">
        <v>11</v>
      </c>
      <c r="H522" s="12">
        <v>0</v>
      </c>
      <c r="I522" s="14">
        <v>0.47008479310528839</v>
      </c>
      <c r="J522" s="9" t="s">
        <v>823</v>
      </c>
    </row>
    <row r="523" spans="1:10" ht="28.8" x14ac:dyDescent="0.3">
      <c r="A523" s="3" t="s">
        <v>744</v>
      </c>
      <c r="B523" s="3" t="s">
        <v>18</v>
      </c>
      <c r="C523" s="3">
        <v>370</v>
      </c>
      <c r="D523" s="3">
        <v>2.2000000000000002</v>
      </c>
      <c r="E523" s="3">
        <v>9.8000000000000007</v>
      </c>
      <c r="F523" s="3">
        <v>2.7</v>
      </c>
      <c r="G523" s="3" t="s">
        <v>7</v>
      </c>
      <c r="H523" s="12">
        <v>0</v>
      </c>
      <c r="I523" s="14">
        <v>0.64067599386472807</v>
      </c>
      <c r="J523" s="9" t="s">
        <v>823</v>
      </c>
    </row>
    <row r="524" spans="1:10" ht="28.8" x14ac:dyDescent="0.3">
      <c r="A524" s="3" t="s">
        <v>746</v>
      </c>
      <c r="B524" s="3" t="s">
        <v>6</v>
      </c>
      <c r="C524" s="3">
        <v>466</v>
      </c>
      <c r="D524" s="3">
        <v>6.3</v>
      </c>
      <c r="E524" s="3">
        <v>2.2000000000000002</v>
      </c>
      <c r="F524" s="3">
        <v>1.3</v>
      </c>
      <c r="G524" s="3" t="s">
        <v>9</v>
      </c>
      <c r="H524" s="12">
        <v>0</v>
      </c>
      <c r="I524" s="14">
        <v>0.62259549156401561</v>
      </c>
      <c r="J524" s="9" t="s">
        <v>823</v>
      </c>
    </row>
    <row r="525" spans="1:10" x14ac:dyDescent="0.3">
      <c r="A525" s="3" t="s">
        <v>747</v>
      </c>
      <c r="B525" s="3" t="s">
        <v>10</v>
      </c>
      <c r="C525" s="3">
        <v>138</v>
      </c>
      <c r="D525" s="3">
        <v>6.4</v>
      </c>
      <c r="E525" s="3">
        <v>6.5</v>
      </c>
      <c r="F525" s="3">
        <v>2.2000000000000002</v>
      </c>
      <c r="G525" s="3" t="s">
        <v>9</v>
      </c>
      <c r="H525" s="12">
        <v>0</v>
      </c>
      <c r="I525" s="14">
        <v>0.6580353442318565</v>
      </c>
      <c r="J525" s="9" t="s">
        <v>823</v>
      </c>
    </row>
    <row r="526" spans="1:10" ht="28.8" x14ac:dyDescent="0.3">
      <c r="A526" s="3" t="s">
        <v>748</v>
      </c>
      <c r="B526" s="3" t="s">
        <v>6</v>
      </c>
      <c r="C526" s="3">
        <v>99</v>
      </c>
      <c r="D526" s="3">
        <v>7.2</v>
      </c>
      <c r="E526" s="3">
        <v>7.6</v>
      </c>
      <c r="F526" s="3">
        <v>1</v>
      </c>
      <c r="G526" s="3" t="s">
        <v>9</v>
      </c>
      <c r="H526" s="12">
        <v>0</v>
      </c>
      <c r="I526" s="14">
        <v>0.29417913595004996</v>
      </c>
      <c r="J526" s="9" t="s">
        <v>823</v>
      </c>
    </row>
    <row r="527" spans="1:10" ht="28.8" x14ac:dyDescent="0.3">
      <c r="A527" s="3" t="s">
        <v>749</v>
      </c>
      <c r="B527" s="3" t="s">
        <v>18</v>
      </c>
      <c r="C527" s="3">
        <v>265</v>
      </c>
      <c r="D527" s="3">
        <v>5</v>
      </c>
      <c r="E527" s="3">
        <v>4.0999999999999996</v>
      </c>
      <c r="F527" s="3">
        <v>3</v>
      </c>
      <c r="G527" s="3" t="s">
        <v>13</v>
      </c>
      <c r="H527" s="12">
        <v>0</v>
      </c>
      <c r="I527" s="14">
        <v>0.57750634004325152</v>
      </c>
      <c r="J527" s="9" t="s">
        <v>823</v>
      </c>
    </row>
    <row r="528" spans="1:10" ht="28.8" x14ac:dyDescent="0.3">
      <c r="A528" s="3" t="s">
        <v>750</v>
      </c>
      <c r="B528" s="3" t="s">
        <v>14</v>
      </c>
      <c r="C528" s="3">
        <v>79</v>
      </c>
      <c r="D528" s="3">
        <v>6.1</v>
      </c>
      <c r="E528" s="3">
        <v>1.2</v>
      </c>
      <c r="F528" s="3">
        <v>2</v>
      </c>
      <c r="G528" s="3" t="s">
        <v>9</v>
      </c>
      <c r="H528" s="12">
        <v>0</v>
      </c>
      <c r="I528" s="14">
        <v>0.6875372399642089</v>
      </c>
      <c r="J528" s="9" t="s">
        <v>823</v>
      </c>
    </row>
    <row r="529" spans="1:10" x14ac:dyDescent="0.3">
      <c r="A529" s="3" t="s">
        <v>751</v>
      </c>
      <c r="B529" s="3" t="s">
        <v>8</v>
      </c>
      <c r="C529" s="3">
        <v>331</v>
      </c>
      <c r="D529" s="3">
        <v>5.6</v>
      </c>
      <c r="E529" s="3">
        <v>0.9</v>
      </c>
      <c r="F529" s="3">
        <v>1.2</v>
      </c>
      <c r="G529" s="3" t="s">
        <v>13</v>
      </c>
      <c r="H529" s="12">
        <v>0</v>
      </c>
      <c r="I529" s="14">
        <v>8.8880289610885121E-2</v>
      </c>
      <c r="J529" s="9" t="s">
        <v>823</v>
      </c>
    </row>
    <row r="530" spans="1:10" ht="28.8" x14ac:dyDescent="0.3">
      <c r="A530" s="3" t="s">
        <v>753</v>
      </c>
      <c r="B530" s="3" t="s">
        <v>6</v>
      </c>
      <c r="C530" s="3">
        <v>168</v>
      </c>
      <c r="D530" s="3">
        <v>7.8</v>
      </c>
      <c r="E530" s="3">
        <v>3</v>
      </c>
      <c r="F530" s="3">
        <v>0.8</v>
      </c>
      <c r="G530" s="3" t="s">
        <v>9</v>
      </c>
      <c r="H530" s="12">
        <v>0</v>
      </c>
      <c r="I530" s="14">
        <v>0.6050457006247365</v>
      </c>
      <c r="J530" s="9" t="s">
        <v>823</v>
      </c>
    </row>
    <row r="531" spans="1:10" x14ac:dyDescent="0.3">
      <c r="A531" s="3" t="s">
        <v>754</v>
      </c>
      <c r="B531" s="3" t="s">
        <v>10</v>
      </c>
      <c r="C531" s="3">
        <v>178</v>
      </c>
      <c r="D531" s="3">
        <v>4.2</v>
      </c>
      <c r="E531" s="3">
        <v>8.5</v>
      </c>
      <c r="F531" s="3">
        <v>2</v>
      </c>
      <c r="G531" s="3" t="s">
        <v>13</v>
      </c>
      <c r="H531" s="12">
        <v>0</v>
      </c>
      <c r="I531" s="14">
        <v>0.27692305994680233</v>
      </c>
      <c r="J531" s="9" t="s">
        <v>823</v>
      </c>
    </row>
    <row r="532" spans="1:10" x14ac:dyDescent="0.3">
      <c r="A532" s="3" t="s">
        <v>757</v>
      </c>
      <c r="B532" s="3" t="s">
        <v>10</v>
      </c>
      <c r="C532" s="3">
        <v>402</v>
      </c>
      <c r="D532" s="3">
        <v>0.5</v>
      </c>
      <c r="E532" s="3">
        <v>5.3</v>
      </c>
      <c r="F532" s="3">
        <v>0.7</v>
      </c>
      <c r="G532" s="3" t="s">
        <v>11</v>
      </c>
      <c r="H532" s="12">
        <v>0</v>
      </c>
      <c r="I532" s="14">
        <v>5.4094036746007546E-2</v>
      </c>
      <c r="J532" s="9" t="s">
        <v>823</v>
      </c>
    </row>
    <row r="533" spans="1:10" ht="28.8" x14ac:dyDescent="0.3">
      <c r="A533" s="3" t="s">
        <v>758</v>
      </c>
      <c r="B533" s="3" t="s">
        <v>14</v>
      </c>
      <c r="C533" s="3">
        <v>327</v>
      </c>
      <c r="D533" s="3">
        <v>7.9</v>
      </c>
      <c r="E533" s="3">
        <v>4.7</v>
      </c>
      <c r="F533" s="3">
        <v>1.6</v>
      </c>
      <c r="G533" s="3" t="s">
        <v>9</v>
      </c>
      <c r="H533" s="12">
        <v>0</v>
      </c>
      <c r="I533" s="14">
        <v>0.44627056534084486</v>
      </c>
      <c r="J533" s="9" t="s">
        <v>823</v>
      </c>
    </row>
    <row r="534" spans="1:10" ht="28.8" x14ac:dyDescent="0.3">
      <c r="A534" s="3" t="s">
        <v>759</v>
      </c>
      <c r="B534" s="3" t="s">
        <v>14</v>
      </c>
      <c r="C534" s="3">
        <v>164</v>
      </c>
      <c r="D534" s="3">
        <v>2</v>
      </c>
      <c r="E534" s="3">
        <v>8.4</v>
      </c>
      <c r="F534" s="3">
        <v>1.1000000000000001</v>
      </c>
      <c r="G534" s="3" t="s">
        <v>7</v>
      </c>
      <c r="H534" s="12">
        <v>0</v>
      </c>
      <c r="I534" s="14">
        <v>0.43736478124107037</v>
      </c>
      <c r="J534" s="9" t="s">
        <v>823</v>
      </c>
    </row>
    <row r="535" spans="1:10" ht="28.8" x14ac:dyDescent="0.3">
      <c r="A535" s="3" t="s">
        <v>762</v>
      </c>
      <c r="B535" s="3" t="s">
        <v>14</v>
      </c>
      <c r="C535" s="3">
        <v>52</v>
      </c>
      <c r="D535" s="3">
        <v>5.9</v>
      </c>
      <c r="E535" s="3">
        <v>9.1</v>
      </c>
      <c r="F535" s="3">
        <v>1.9</v>
      </c>
      <c r="G535" s="3" t="s">
        <v>13</v>
      </c>
      <c r="H535" s="12">
        <v>0</v>
      </c>
      <c r="I535" s="14">
        <v>8.6602166094884581E-2</v>
      </c>
      <c r="J535" s="9" t="s">
        <v>823</v>
      </c>
    </row>
    <row r="536" spans="1:10" x14ac:dyDescent="0.3">
      <c r="A536" s="3" t="s">
        <v>764</v>
      </c>
      <c r="B536" s="3" t="s">
        <v>8</v>
      </c>
      <c r="C536" s="3">
        <v>365</v>
      </c>
      <c r="D536" s="3">
        <v>5.4</v>
      </c>
      <c r="E536" s="3">
        <v>6.2</v>
      </c>
      <c r="F536" s="3">
        <v>2.8</v>
      </c>
      <c r="G536" s="3" t="s">
        <v>13</v>
      </c>
      <c r="H536" s="12">
        <v>0</v>
      </c>
      <c r="I536" s="14">
        <v>0.19083760230106384</v>
      </c>
      <c r="J536" s="9" t="s">
        <v>823</v>
      </c>
    </row>
    <row r="537" spans="1:10" x14ac:dyDescent="0.3">
      <c r="A537" s="3" t="s">
        <v>765</v>
      </c>
      <c r="B537" s="3" t="s">
        <v>10</v>
      </c>
      <c r="C537" s="3">
        <v>151</v>
      </c>
      <c r="D537" s="3">
        <v>7.8</v>
      </c>
      <c r="E537" s="3">
        <v>2.2000000000000002</v>
      </c>
      <c r="F537" s="3">
        <v>0.7</v>
      </c>
      <c r="G537" s="3" t="s">
        <v>9</v>
      </c>
      <c r="H537" s="12">
        <v>0</v>
      </c>
      <c r="I537" s="14">
        <v>0.15969872824267961</v>
      </c>
      <c r="J537" s="9" t="s">
        <v>823</v>
      </c>
    </row>
    <row r="538" spans="1:10" ht="28.8" x14ac:dyDescent="0.3">
      <c r="A538" s="3" t="s">
        <v>766</v>
      </c>
      <c r="B538" s="3" t="s">
        <v>12</v>
      </c>
      <c r="C538" s="3">
        <v>114</v>
      </c>
      <c r="D538" s="3">
        <v>4.5999999999999996</v>
      </c>
      <c r="E538" s="3">
        <v>4.5</v>
      </c>
      <c r="F538" s="3">
        <v>0.5</v>
      </c>
      <c r="G538" s="3" t="s">
        <v>13</v>
      </c>
      <c r="H538" s="12">
        <v>0</v>
      </c>
      <c r="I538" s="14">
        <v>0.5508182454163093</v>
      </c>
      <c r="J538" s="9" t="s">
        <v>823</v>
      </c>
    </row>
    <row r="539" spans="1:10" ht="28.8" x14ac:dyDescent="0.3">
      <c r="A539" s="3" t="s">
        <v>767</v>
      </c>
      <c r="B539" s="3" t="s">
        <v>18</v>
      </c>
      <c r="C539" s="3">
        <v>155</v>
      </c>
      <c r="D539" s="3">
        <v>7.3</v>
      </c>
      <c r="E539" s="3">
        <v>1.2</v>
      </c>
      <c r="F539" s="3">
        <v>2.9</v>
      </c>
      <c r="G539" s="3" t="s">
        <v>9</v>
      </c>
      <c r="H539" s="12">
        <v>0</v>
      </c>
      <c r="I539" s="14">
        <v>0.57680289314254141</v>
      </c>
      <c r="J539" s="9" t="s">
        <v>823</v>
      </c>
    </row>
    <row r="540" spans="1:10" ht="28.8" x14ac:dyDescent="0.3">
      <c r="A540" s="3" t="s">
        <v>768</v>
      </c>
      <c r="B540" s="3" t="s">
        <v>14</v>
      </c>
      <c r="C540" s="3">
        <v>270</v>
      </c>
      <c r="D540" s="3">
        <v>3.2</v>
      </c>
      <c r="E540" s="3">
        <v>2.5</v>
      </c>
      <c r="F540" s="3">
        <v>2.5</v>
      </c>
      <c r="G540" s="3" t="s">
        <v>7</v>
      </c>
      <c r="H540" s="12">
        <v>0</v>
      </c>
      <c r="I540" s="14">
        <v>0.12060476865087255</v>
      </c>
      <c r="J540" s="9" t="s">
        <v>823</v>
      </c>
    </row>
    <row r="541" spans="1:10" ht="28.8" x14ac:dyDescent="0.3">
      <c r="A541" s="3" t="s">
        <v>769</v>
      </c>
      <c r="B541" s="3" t="s">
        <v>18</v>
      </c>
      <c r="C541" s="3">
        <v>470</v>
      </c>
      <c r="D541" s="3">
        <v>2.1</v>
      </c>
      <c r="E541" s="3">
        <v>9.9</v>
      </c>
      <c r="F541" s="3">
        <v>2</v>
      </c>
      <c r="G541" s="3" t="s">
        <v>7</v>
      </c>
      <c r="H541" s="12">
        <v>0</v>
      </c>
      <c r="I541" s="14">
        <v>0.48509770143546049</v>
      </c>
      <c r="J541" s="9" t="s">
        <v>823</v>
      </c>
    </row>
    <row r="542" spans="1:10" x14ac:dyDescent="0.3">
      <c r="A542" s="3" t="s">
        <v>770</v>
      </c>
      <c r="B542" s="3" t="s">
        <v>10</v>
      </c>
      <c r="C542" s="3">
        <v>419</v>
      </c>
      <c r="D542" s="3">
        <v>5.3</v>
      </c>
      <c r="E542" s="3">
        <v>9.1</v>
      </c>
      <c r="F542" s="3">
        <v>1.8</v>
      </c>
      <c r="G542" s="3" t="s">
        <v>13</v>
      </c>
      <c r="H542" s="12">
        <v>0</v>
      </c>
      <c r="I542" s="14">
        <v>0.2339349868632683</v>
      </c>
      <c r="J542" s="9" t="s">
        <v>823</v>
      </c>
    </row>
    <row r="543" spans="1:10" ht="28.8" x14ac:dyDescent="0.3">
      <c r="A543" s="3" t="s">
        <v>771</v>
      </c>
      <c r="B543" s="3" t="s">
        <v>12</v>
      </c>
      <c r="C543" s="3">
        <v>152</v>
      </c>
      <c r="D543" s="3">
        <v>4.4000000000000004</v>
      </c>
      <c r="E543" s="3">
        <v>8.5</v>
      </c>
      <c r="F543" s="3">
        <v>2.2000000000000002</v>
      </c>
      <c r="G543" s="3" t="s">
        <v>13</v>
      </c>
      <c r="H543" s="12">
        <v>0</v>
      </c>
      <c r="I543" s="14">
        <v>0.17194311180418287</v>
      </c>
      <c r="J543" s="9" t="s">
        <v>823</v>
      </c>
    </row>
    <row r="544" spans="1:10" x14ac:dyDescent="0.3">
      <c r="A544" s="3" t="s">
        <v>772</v>
      </c>
      <c r="B544" s="3" t="s">
        <v>8</v>
      </c>
      <c r="C544" s="3">
        <v>232</v>
      </c>
      <c r="D544" s="3">
        <v>6.4</v>
      </c>
      <c r="E544" s="3">
        <v>8.1999999999999993</v>
      </c>
      <c r="F544" s="3">
        <v>1.2</v>
      </c>
      <c r="G544" s="3" t="s">
        <v>9</v>
      </c>
      <c r="H544" s="12">
        <v>0</v>
      </c>
      <c r="I544" s="14">
        <v>0.32834652891546823</v>
      </c>
      <c r="J544" s="9" t="s">
        <v>823</v>
      </c>
    </row>
    <row r="545" spans="1:10" x14ac:dyDescent="0.3">
      <c r="A545" s="3" t="s">
        <v>773</v>
      </c>
      <c r="B545" s="3" t="s">
        <v>8</v>
      </c>
      <c r="C545" s="3">
        <v>113</v>
      </c>
      <c r="D545" s="3">
        <v>1.9</v>
      </c>
      <c r="E545" s="3">
        <v>8.4</v>
      </c>
      <c r="F545" s="3">
        <v>2</v>
      </c>
      <c r="G545" s="3" t="s">
        <v>11</v>
      </c>
      <c r="H545" s="12">
        <v>0</v>
      </c>
      <c r="I545" s="14">
        <v>0.40372636289924391</v>
      </c>
      <c r="J545" s="9" t="s">
        <v>823</v>
      </c>
    </row>
    <row r="546" spans="1:10" ht="28.8" x14ac:dyDescent="0.3">
      <c r="A546" s="3" t="s">
        <v>776</v>
      </c>
      <c r="B546" s="3" t="s">
        <v>18</v>
      </c>
      <c r="C546" s="3">
        <v>164</v>
      </c>
      <c r="D546" s="3">
        <v>7.9</v>
      </c>
      <c r="E546" s="3">
        <v>5.6</v>
      </c>
      <c r="F546" s="3">
        <v>2.7</v>
      </c>
      <c r="G546" s="3" t="s">
        <v>9</v>
      </c>
      <c r="H546" s="12">
        <v>0</v>
      </c>
      <c r="I546" s="14">
        <v>0.46983680348140644</v>
      </c>
      <c r="J546" s="9" t="s">
        <v>823</v>
      </c>
    </row>
    <row r="547" spans="1:10" ht="28.8" x14ac:dyDescent="0.3">
      <c r="A547" s="3" t="s">
        <v>777</v>
      </c>
      <c r="B547" s="3" t="s">
        <v>6</v>
      </c>
      <c r="C547" s="3">
        <v>188</v>
      </c>
      <c r="D547" s="3">
        <v>5.8</v>
      </c>
      <c r="E547" s="3">
        <v>8.6999999999999993</v>
      </c>
      <c r="F547" s="3">
        <v>1.1000000000000001</v>
      </c>
      <c r="G547" s="3" t="s">
        <v>13</v>
      </c>
      <c r="H547" s="12">
        <v>0</v>
      </c>
      <c r="I547" s="14">
        <v>0.60927411338898929</v>
      </c>
      <c r="J547" s="9" t="s">
        <v>823</v>
      </c>
    </row>
    <row r="548" spans="1:10" ht="28.8" x14ac:dyDescent="0.3">
      <c r="A548" s="3" t="s">
        <v>778</v>
      </c>
      <c r="B548" s="3" t="s">
        <v>14</v>
      </c>
      <c r="C548" s="3">
        <v>182</v>
      </c>
      <c r="D548" s="3">
        <v>6.8</v>
      </c>
      <c r="E548" s="3">
        <v>2.5</v>
      </c>
      <c r="F548" s="3">
        <v>0.7</v>
      </c>
      <c r="G548" s="3" t="s">
        <v>9</v>
      </c>
      <c r="H548" s="12">
        <v>0</v>
      </c>
      <c r="I548" s="14">
        <v>0.22638307641529498</v>
      </c>
      <c r="J548" s="9" t="s">
        <v>823</v>
      </c>
    </row>
    <row r="549" spans="1:10" ht="28.8" x14ac:dyDescent="0.3">
      <c r="A549" s="3" t="s">
        <v>781</v>
      </c>
      <c r="B549" s="3" t="s">
        <v>6</v>
      </c>
      <c r="C549" s="3">
        <v>324</v>
      </c>
      <c r="D549" s="3">
        <v>2.4</v>
      </c>
      <c r="E549" s="3">
        <v>5.9</v>
      </c>
      <c r="F549" s="3">
        <v>2</v>
      </c>
      <c r="G549" s="3" t="s">
        <v>7</v>
      </c>
      <c r="H549" s="12">
        <v>0</v>
      </c>
      <c r="I549" s="14">
        <v>0.42756931792041408</v>
      </c>
      <c r="J549" s="9" t="s">
        <v>823</v>
      </c>
    </row>
    <row r="550" spans="1:10" ht="28.8" x14ac:dyDescent="0.3">
      <c r="A550" s="3" t="s">
        <v>784</v>
      </c>
      <c r="B550" s="3" t="s">
        <v>6</v>
      </c>
      <c r="C550" s="3">
        <v>397</v>
      </c>
      <c r="D550" s="3">
        <v>2.6</v>
      </c>
      <c r="E550" s="3">
        <v>4.5</v>
      </c>
      <c r="F550" s="3">
        <v>1.6</v>
      </c>
      <c r="G550" s="3" t="s">
        <v>7</v>
      </c>
      <c r="H550" s="12">
        <v>0</v>
      </c>
      <c r="I550" s="14">
        <v>0.27502531156395349</v>
      </c>
      <c r="J550" s="9" t="s">
        <v>823</v>
      </c>
    </row>
    <row r="551" spans="1:10" x14ac:dyDescent="0.3">
      <c r="A551" s="3" t="s">
        <v>786</v>
      </c>
      <c r="B551" s="3" t="s">
        <v>8</v>
      </c>
      <c r="C551" s="3">
        <v>275</v>
      </c>
      <c r="D551" s="3">
        <v>0.5</v>
      </c>
      <c r="E551" s="3">
        <v>6.7</v>
      </c>
      <c r="F551" s="3">
        <v>1.8</v>
      </c>
      <c r="G551" s="3" t="s">
        <v>11</v>
      </c>
      <c r="H551" s="12">
        <v>0</v>
      </c>
      <c r="I551" s="14">
        <v>0.29355124782905628</v>
      </c>
      <c r="J551" s="9" t="s">
        <v>823</v>
      </c>
    </row>
    <row r="552" spans="1:10" x14ac:dyDescent="0.3">
      <c r="A552" s="3" t="s">
        <v>791</v>
      </c>
      <c r="B552" s="3" t="s">
        <v>8</v>
      </c>
      <c r="C552" s="3">
        <v>310</v>
      </c>
      <c r="D552" s="3">
        <v>0.5</v>
      </c>
      <c r="E552" s="3">
        <v>8.8000000000000007</v>
      </c>
      <c r="F552" s="3">
        <v>0.8</v>
      </c>
      <c r="G552" s="3" t="s">
        <v>11</v>
      </c>
      <c r="H552" s="12">
        <v>0</v>
      </c>
      <c r="I552" s="14">
        <v>0.12562465518321575</v>
      </c>
      <c r="J552" s="9" t="s">
        <v>823</v>
      </c>
    </row>
    <row r="553" spans="1:10" ht="28.8" x14ac:dyDescent="0.3">
      <c r="A553" s="3" t="s">
        <v>792</v>
      </c>
      <c r="B553" s="3" t="s">
        <v>14</v>
      </c>
      <c r="C553" s="3">
        <v>485</v>
      </c>
      <c r="D553" s="3">
        <v>0.6</v>
      </c>
      <c r="E553" s="3">
        <v>3.5</v>
      </c>
      <c r="F553" s="3">
        <v>1.9</v>
      </c>
      <c r="G553" s="3" t="s">
        <v>11</v>
      </c>
      <c r="H553" s="12">
        <v>0</v>
      </c>
      <c r="I553" s="14">
        <v>0.13683372832267826</v>
      </c>
      <c r="J553" s="9" t="s">
        <v>823</v>
      </c>
    </row>
    <row r="554" spans="1:10" ht="28.8" x14ac:dyDescent="0.3">
      <c r="A554" s="3" t="s">
        <v>793</v>
      </c>
      <c r="B554" s="3" t="s">
        <v>12</v>
      </c>
      <c r="C554" s="3">
        <v>66</v>
      </c>
      <c r="D554" s="3">
        <v>7</v>
      </c>
      <c r="E554" s="3">
        <v>9.5</v>
      </c>
      <c r="F554" s="3">
        <v>2.4</v>
      </c>
      <c r="G554" s="3" t="s">
        <v>9</v>
      </c>
      <c r="H554" s="12">
        <v>0</v>
      </c>
      <c r="I554" s="14">
        <v>0.18571835322590957</v>
      </c>
      <c r="J554" s="9" t="s">
        <v>823</v>
      </c>
    </row>
    <row r="555" spans="1:10" ht="28.8" x14ac:dyDescent="0.3">
      <c r="A555" s="3" t="s">
        <v>794</v>
      </c>
      <c r="B555" s="3" t="s">
        <v>6</v>
      </c>
      <c r="C555" s="3">
        <v>471</v>
      </c>
      <c r="D555" s="3">
        <v>5.9</v>
      </c>
      <c r="E555" s="3">
        <v>3.8</v>
      </c>
      <c r="F555" s="3">
        <v>1.5</v>
      </c>
      <c r="G555" s="3" t="s">
        <v>13</v>
      </c>
      <c r="H555" s="12">
        <v>0</v>
      </c>
      <c r="I555" s="14">
        <v>1.8503262276879595E-2</v>
      </c>
      <c r="J555" s="9" t="s">
        <v>823</v>
      </c>
    </row>
    <row r="556" spans="1:10" x14ac:dyDescent="0.3">
      <c r="A556" s="3" t="s">
        <v>795</v>
      </c>
      <c r="B556" s="3" t="s">
        <v>8</v>
      </c>
      <c r="C556" s="3">
        <v>457</v>
      </c>
      <c r="D556" s="3">
        <v>5.9</v>
      </c>
      <c r="E556" s="3">
        <v>6.6</v>
      </c>
      <c r="F556" s="3">
        <v>0.8</v>
      </c>
      <c r="G556" s="3" t="s">
        <v>13</v>
      </c>
      <c r="H556" s="12">
        <v>0</v>
      </c>
      <c r="I556" s="14">
        <v>0.68686895780010571</v>
      </c>
      <c r="J556" s="9" t="s">
        <v>823</v>
      </c>
    </row>
    <row r="557" spans="1:10" x14ac:dyDescent="0.3">
      <c r="A557" s="3" t="s">
        <v>796</v>
      </c>
      <c r="B557" s="3" t="s">
        <v>10</v>
      </c>
      <c r="C557" s="3">
        <v>144</v>
      </c>
      <c r="D557" s="3">
        <v>5.4</v>
      </c>
      <c r="E557" s="3">
        <v>3.1</v>
      </c>
      <c r="F557" s="3">
        <v>0.7</v>
      </c>
      <c r="G557" s="3" t="s">
        <v>13</v>
      </c>
      <c r="H557" s="12">
        <v>0</v>
      </c>
      <c r="I557" s="14">
        <v>0.40928285569316114</v>
      </c>
      <c r="J557" s="9" t="s">
        <v>823</v>
      </c>
    </row>
    <row r="558" spans="1:10" ht="28.8" x14ac:dyDescent="0.3">
      <c r="A558" s="3" t="s">
        <v>797</v>
      </c>
      <c r="B558" s="3" t="s">
        <v>6</v>
      </c>
      <c r="C558" s="3">
        <v>142</v>
      </c>
      <c r="D558" s="3">
        <v>0.8</v>
      </c>
      <c r="E558" s="3">
        <v>6.7</v>
      </c>
      <c r="F558" s="3">
        <v>1.1000000000000001</v>
      </c>
      <c r="G558" s="3" t="s">
        <v>11</v>
      </c>
      <c r="H558" s="12">
        <v>0</v>
      </c>
      <c r="I558" s="14">
        <v>0.34064083723033423</v>
      </c>
      <c r="J558" s="9" t="s">
        <v>823</v>
      </c>
    </row>
    <row r="559" spans="1:10" ht="28.8" x14ac:dyDescent="0.3">
      <c r="A559" s="3" t="s">
        <v>798</v>
      </c>
      <c r="B559" s="3" t="s">
        <v>12</v>
      </c>
      <c r="C559" s="3">
        <v>190</v>
      </c>
      <c r="D559" s="3">
        <v>7.8</v>
      </c>
      <c r="E559" s="3">
        <v>3.1</v>
      </c>
      <c r="F559" s="3">
        <v>1.3</v>
      </c>
      <c r="G559" s="3" t="s">
        <v>9</v>
      </c>
      <c r="H559" s="12">
        <v>0</v>
      </c>
      <c r="I559" s="14">
        <v>7.4631248102807191E-2</v>
      </c>
      <c r="J559" s="9" t="s">
        <v>823</v>
      </c>
    </row>
    <row r="560" spans="1:10" ht="28.8" x14ac:dyDescent="0.3">
      <c r="A560" s="3" t="s">
        <v>800</v>
      </c>
      <c r="B560" s="3" t="s">
        <v>14</v>
      </c>
      <c r="C560" s="3">
        <v>129</v>
      </c>
      <c r="D560" s="3">
        <v>5.6</v>
      </c>
      <c r="E560" s="3">
        <v>9</v>
      </c>
      <c r="F560" s="3">
        <v>2.6</v>
      </c>
      <c r="G560" s="3" t="s">
        <v>13</v>
      </c>
      <c r="H560" s="12">
        <v>0</v>
      </c>
      <c r="I560" s="14">
        <v>0.67615403356380432</v>
      </c>
      <c r="J560" s="9" t="s">
        <v>823</v>
      </c>
    </row>
    <row r="561" spans="1:10" ht="28.8" x14ac:dyDescent="0.3">
      <c r="A561" s="3" t="s">
        <v>801</v>
      </c>
      <c r="B561" s="3" t="s">
        <v>6</v>
      </c>
      <c r="C561" s="3">
        <v>116</v>
      </c>
      <c r="D561" s="3">
        <v>1.7</v>
      </c>
      <c r="E561" s="3">
        <v>5.0999999999999996</v>
      </c>
      <c r="F561" s="3">
        <v>0.8</v>
      </c>
      <c r="G561" s="3" t="s">
        <v>11</v>
      </c>
      <c r="H561" s="12">
        <v>0</v>
      </c>
      <c r="I561" s="14">
        <v>1.6620525503390438E-2</v>
      </c>
      <c r="J561" s="9" t="s">
        <v>823</v>
      </c>
    </row>
    <row r="562" spans="1:10" ht="28.8" x14ac:dyDescent="0.3">
      <c r="A562" s="3" t="s">
        <v>803</v>
      </c>
      <c r="B562" s="3" t="s">
        <v>12</v>
      </c>
      <c r="C562" s="3">
        <v>52</v>
      </c>
      <c r="D562" s="3">
        <v>5</v>
      </c>
      <c r="E562" s="3">
        <v>4.5999999999999996</v>
      </c>
      <c r="F562" s="3">
        <v>2.5</v>
      </c>
      <c r="G562" s="3" t="s">
        <v>13</v>
      </c>
      <c r="H562" s="12">
        <v>0</v>
      </c>
      <c r="I562" s="14">
        <v>0.124705400400415</v>
      </c>
      <c r="J562" s="9" t="s">
        <v>823</v>
      </c>
    </row>
    <row r="563" spans="1:10" x14ac:dyDescent="0.3">
      <c r="A563" s="3" t="s">
        <v>805</v>
      </c>
      <c r="B563" s="3" t="s">
        <v>10</v>
      </c>
      <c r="C563" s="3">
        <v>240</v>
      </c>
      <c r="D563" s="3">
        <v>7.2</v>
      </c>
      <c r="E563" s="3">
        <v>7.1</v>
      </c>
      <c r="F563" s="3">
        <v>2.2000000000000002</v>
      </c>
      <c r="G563" s="3" t="s">
        <v>9</v>
      </c>
      <c r="H563" s="12">
        <v>0</v>
      </c>
      <c r="I563" s="14">
        <v>0.40892042935171347</v>
      </c>
      <c r="J563" s="9" t="s">
        <v>823</v>
      </c>
    </row>
    <row r="564" spans="1:10" x14ac:dyDescent="0.3">
      <c r="A564" s="3" t="s">
        <v>806</v>
      </c>
      <c r="B564" s="3" t="s">
        <v>8</v>
      </c>
      <c r="C564" s="3">
        <v>348</v>
      </c>
      <c r="D564" s="3">
        <v>5.2</v>
      </c>
      <c r="E564" s="3">
        <v>6</v>
      </c>
      <c r="F564" s="3">
        <v>1.4</v>
      </c>
      <c r="G564" s="3" t="s">
        <v>13</v>
      </c>
      <c r="H564" s="12">
        <v>0</v>
      </c>
      <c r="I564" s="14">
        <v>0.6065708074839562</v>
      </c>
      <c r="J564" s="9" t="s">
        <v>823</v>
      </c>
    </row>
    <row r="565" spans="1:10" x14ac:dyDescent="0.3">
      <c r="A565" s="3" t="s">
        <v>808</v>
      </c>
      <c r="B565" s="3" t="s">
        <v>8</v>
      </c>
      <c r="C565" s="3">
        <v>380</v>
      </c>
      <c r="D565" s="3">
        <v>4.8</v>
      </c>
      <c r="E565" s="3">
        <v>3.6</v>
      </c>
      <c r="F565" s="3">
        <v>1.7</v>
      </c>
      <c r="G565" s="3" t="s">
        <v>13</v>
      </c>
      <c r="H565" s="12">
        <v>0</v>
      </c>
      <c r="I565" s="14">
        <v>0.20099675258872329</v>
      </c>
      <c r="J565" s="9" t="s">
        <v>823</v>
      </c>
    </row>
    <row r="566" spans="1:10" ht="28.8" x14ac:dyDescent="0.3">
      <c r="A566" s="3" t="s">
        <v>809</v>
      </c>
      <c r="B566" s="3" t="s">
        <v>6</v>
      </c>
      <c r="C566" s="3">
        <v>462</v>
      </c>
      <c r="D566" s="3">
        <v>6.2</v>
      </c>
      <c r="E566" s="3">
        <v>1.6</v>
      </c>
      <c r="F566" s="3">
        <v>1.1000000000000001</v>
      </c>
      <c r="G566" s="3" t="s">
        <v>9</v>
      </c>
      <c r="H566" s="12">
        <v>0</v>
      </c>
      <c r="I566" s="14">
        <v>0.47767768585448644</v>
      </c>
      <c r="J566" s="9" t="s">
        <v>823</v>
      </c>
    </row>
    <row r="567" spans="1:10" ht="28.8" x14ac:dyDescent="0.3">
      <c r="A567" s="3" t="s">
        <v>810</v>
      </c>
      <c r="B567" s="3" t="s">
        <v>14</v>
      </c>
      <c r="C567" s="3">
        <v>78</v>
      </c>
      <c r="D567" s="3">
        <v>3.2</v>
      </c>
      <c r="E567" s="3">
        <v>9.6</v>
      </c>
      <c r="F567" s="3">
        <v>0.6</v>
      </c>
      <c r="G567" s="3" t="s">
        <v>7</v>
      </c>
      <c r="H567" s="12">
        <v>0</v>
      </c>
      <c r="I567" s="14">
        <v>0.11790865720055255</v>
      </c>
      <c r="J567" s="9" t="s">
        <v>823</v>
      </c>
    </row>
    <row r="568" spans="1:10" x14ac:dyDescent="0.3">
      <c r="A568" s="3" t="s">
        <v>811</v>
      </c>
      <c r="B568" s="3" t="s">
        <v>10</v>
      </c>
      <c r="C568" s="3">
        <v>380</v>
      </c>
      <c r="D568" s="3">
        <v>3.3</v>
      </c>
      <c r="E568" s="3">
        <v>1.2</v>
      </c>
      <c r="F568" s="3">
        <v>2.4</v>
      </c>
      <c r="G568" s="3" t="s">
        <v>7</v>
      </c>
      <c r="H568" s="12">
        <v>0</v>
      </c>
      <c r="I568" s="14">
        <v>0.64590104926386305</v>
      </c>
      <c r="J568" s="9" t="s">
        <v>823</v>
      </c>
    </row>
    <row r="569" spans="1:10" ht="28.8" x14ac:dyDescent="0.3">
      <c r="A569" s="3" t="s">
        <v>812</v>
      </c>
      <c r="B569" s="3" t="s">
        <v>12</v>
      </c>
      <c r="C569" s="3">
        <v>239</v>
      </c>
      <c r="D569" s="3">
        <v>0.7</v>
      </c>
      <c r="E569" s="3">
        <v>2.2000000000000002</v>
      </c>
      <c r="F569" s="3">
        <v>2.9</v>
      </c>
      <c r="G569" s="3" t="s">
        <v>11</v>
      </c>
      <c r="H569" s="12">
        <v>0</v>
      </c>
      <c r="I569" s="14">
        <v>0.46491627184958162</v>
      </c>
      <c r="J569" s="9" t="s">
        <v>823</v>
      </c>
    </row>
    <row r="570" spans="1:10" ht="28.8" x14ac:dyDescent="0.3">
      <c r="A570" s="3" t="s">
        <v>814</v>
      </c>
      <c r="B570" s="3" t="s">
        <v>14</v>
      </c>
      <c r="C570" s="3">
        <v>491</v>
      </c>
      <c r="D570" s="3">
        <v>6.2</v>
      </c>
      <c r="E570" s="3">
        <v>5.9</v>
      </c>
      <c r="F570" s="3">
        <v>1.8</v>
      </c>
      <c r="G570" s="3" t="s">
        <v>9</v>
      </c>
      <c r="H570" s="12">
        <v>0</v>
      </c>
      <c r="I570" s="14">
        <v>0.67331139924332406</v>
      </c>
      <c r="J570" s="9" t="s">
        <v>823</v>
      </c>
    </row>
    <row r="571" spans="1:10" ht="28.8" x14ac:dyDescent="0.3">
      <c r="A571" s="3" t="s">
        <v>815</v>
      </c>
      <c r="B571" s="3" t="s">
        <v>6</v>
      </c>
      <c r="C571" s="3">
        <v>469</v>
      </c>
      <c r="D571" s="3">
        <v>4.5</v>
      </c>
      <c r="E571" s="3">
        <v>9.8000000000000007</v>
      </c>
      <c r="F571" s="3">
        <v>2.4</v>
      </c>
      <c r="G571" s="3" t="s">
        <v>13</v>
      </c>
      <c r="H571" s="12">
        <v>0</v>
      </c>
      <c r="I571" s="14">
        <v>0.5021403234259959</v>
      </c>
      <c r="J571" s="9" t="s">
        <v>823</v>
      </c>
    </row>
    <row r="572" spans="1:10" ht="28.8" x14ac:dyDescent="0.3">
      <c r="A572" s="3" t="s">
        <v>816</v>
      </c>
      <c r="B572" s="3" t="s">
        <v>6</v>
      </c>
      <c r="C572" s="3">
        <v>271</v>
      </c>
      <c r="D572" s="3">
        <v>7.8</v>
      </c>
      <c r="E572" s="3">
        <v>8</v>
      </c>
      <c r="F572" s="3">
        <v>2.7</v>
      </c>
      <c r="G572" s="3" t="s">
        <v>9</v>
      </c>
      <c r="H572" s="12">
        <v>0</v>
      </c>
      <c r="I572" s="14">
        <v>0.54473423255283193</v>
      </c>
      <c r="J572" s="9" t="s">
        <v>823</v>
      </c>
    </row>
    <row r="573" spans="1:10" ht="28.8" x14ac:dyDescent="0.3">
      <c r="A573" s="6" t="s">
        <v>817</v>
      </c>
      <c r="B573" s="6" t="s">
        <v>6</v>
      </c>
      <c r="C573" s="6">
        <v>311</v>
      </c>
      <c r="D573" s="6">
        <v>0.7</v>
      </c>
      <c r="E573" s="6">
        <v>9.8000000000000007</v>
      </c>
      <c r="F573" s="6">
        <v>0.6</v>
      </c>
      <c r="G573" s="6" t="s">
        <v>11</v>
      </c>
      <c r="H573" s="13">
        <v>0</v>
      </c>
      <c r="I573" s="14">
        <v>0.29779903654806239</v>
      </c>
      <c r="J573" s="9" t="s">
        <v>823</v>
      </c>
    </row>
    <row r="574" spans="1:10" ht="28.8" x14ac:dyDescent="0.3">
      <c r="A574" s="3" t="s">
        <v>19</v>
      </c>
      <c r="B574" s="5" t="s">
        <v>12</v>
      </c>
      <c r="C574">
        <v>310</v>
      </c>
      <c r="D574">
        <v>3</v>
      </c>
      <c r="E574">
        <v>8.1999999999999993</v>
      </c>
      <c r="F574">
        <v>1.1000000000000001</v>
      </c>
      <c r="G574" s="7" t="s">
        <v>9</v>
      </c>
      <c r="H574">
        <v>0</v>
      </c>
      <c r="I574" s="14">
        <v>0.66921108617686653</v>
      </c>
      <c r="J574" s="9" t="s">
        <v>823</v>
      </c>
    </row>
    <row r="575" spans="1:10" ht="28.8" x14ac:dyDescent="0.3">
      <c r="A575" s="3" t="s">
        <v>20</v>
      </c>
      <c r="B575" s="5" t="s">
        <v>18</v>
      </c>
      <c r="C575">
        <v>339</v>
      </c>
      <c r="D575">
        <v>1.1000000000000001</v>
      </c>
      <c r="E575">
        <v>7.7</v>
      </c>
      <c r="F575">
        <v>2.1</v>
      </c>
      <c r="G575" s="7" t="s">
        <v>13</v>
      </c>
      <c r="H575">
        <v>0</v>
      </c>
      <c r="I575" s="14">
        <v>0.26533436600378169</v>
      </c>
      <c r="J575" s="9" t="s">
        <v>823</v>
      </c>
    </row>
    <row r="576" spans="1:10" ht="28.8" x14ac:dyDescent="0.3">
      <c r="A576" s="3" t="s">
        <v>22</v>
      </c>
      <c r="B576" s="5" t="s">
        <v>18</v>
      </c>
      <c r="C576">
        <v>407</v>
      </c>
      <c r="D576">
        <v>1</v>
      </c>
      <c r="E576">
        <v>6.7</v>
      </c>
      <c r="F576">
        <v>0.6</v>
      </c>
      <c r="G576" s="7" t="s">
        <v>11</v>
      </c>
      <c r="H576">
        <v>0</v>
      </c>
      <c r="I576" s="14">
        <v>0.15928679805132495</v>
      </c>
      <c r="J576" s="9" t="s">
        <v>823</v>
      </c>
    </row>
    <row r="577" spans="1:10" x14ac:dyDescent="0.3">
      <c r="A577" s="3" t="s">
        <v>23</v>
      </c>
      <c r="B577" s="5" t="s">
        <v>8</v>
      </c>
      <c r="C577">
        <v>208</v>
      </c>
      <c r="D577">
        <v>3.6</v>
      </c>
      <c r="E577">
        <v>4.8</v>
      </c>
      <c r="F577">
        <v>2.9</v>
      </c>
      <c r="G577" s="7" t="s">
        <v>7</v>
      </c>
      <c r="H577">
        <v>0</v>
      </c>
      <c r="I577" s="14">
        <v>6.5303024560673717E-2</v>
      </c>
      <c r="J577" s="9" t="s">
        <v>823</v>
      </c>
    </row>
    <row r="578" spans="1:10" ht="28.8" x14ac:dyDescent="0.3">
      <c r="A578" s="3" t="s">
        <v>24</v>
      </c>
      <c r="B578" s="5" t="s">
        <v>18</v>
      </c>
      <c r="C578">
        <v>484</v>
      </c>
      <c r="D578">
        <v>5</v>
      </c>
      <c r="E578">
        <v>0.8</v>
      </c>
      <c r="F578">
        <v>2.4</v>
      </c>
      <c r="G578" s="7" t="s">
        <v>7</v>
      </c>
      <c r="H578">
        <v>0</v>
      </c>
      <c r="I578" s="14">
        <v>9.4464348516091867E-2</v>
      </c>
      <c r="J578" s="9" t="s">
        <v>823</v>
      </c>
    </row>
    <row r="579" spans="1:10" ht="28.8" x14ac:dyDescent="0.3">
      <c r="A579" s="3" t="s">
        <v>25</v>
      </c>
      <c r="B579" s="5" t="s">
        <v>6</v>
      </c>
      <c r="C579">
        <v>306</v>
      </c>
      <c r="D579">
        <v>1.5</v>
      </c>
      <c r="E579">
        <v>1.7</v>
      </c>
      <c r="F579">
        <v>2.8</v>
      </c>
      <c r="G579" s="7" t="s">
        <v>7</v>
      </c>
      <c r="H579">
        <v>0</v>
      </c>
      <c r="I579" s="14">
        <v>0.12297444798220081</v>
      </c>
      <c r="J579" s="9" t="s">
        <v>823</v>
      </c>
    </row>
    <row r="580" spans="1:10" x14ac:dyDescent="0.3">
      <c r="A580" s="3" t="s">
        <v>26</v>
      </c>
      <c r="B580" s="5" t="s">
        <v>10</v>
      </c>
      <c r="C580">
        <v>328</v>
      </c>
      <c r="D580">
        <v>6.9</v>
      </c>
      <c r="E580">
        <v>2.7</v>
      </c>
      <c r="F580">
        <v>1.8</v>
      </c>
      <c r="G580" s="7" t="s">
        <v>9</v>
      </c>
      <c r="H580">
        <v>0</v>
      </c>
      <c r="I580" s="14">
        <v>2.6944760757707464E-2</v>
      </c>
      <c r="J580" s="9" t="s">
        <v>823</v>
      </c>
    </row>
    <row r="581" spans="1:10" ht="28.8" x14ac:dyDescent="0.3">
      <c r="A581" s="3" t="s">
        <v>27</v>
      </c>
      <c r="B581" s="5" t="s">
        <v>6</v>
      </c>
      <c r="C581">
        <v>422</v>
      </c>
      <c r="D581">
        <v>2.4</v>
      </c>
      <c r="E581">
        <v>7.9</v>
      </c>
      <c r="F581">
        <v>1.7</v>
      </c>
      <c r="G581" s="7" t="s">
        <v>13</v>
      </c>
      <c r="H581">
        <v>0</v>
      </c>
      <c r="I581" s="14">
        <v>0.17787185849776488</v>
      </c>
      <c r="J581" s="9" t="s">
        <v>823</v>
      </c>
    </row>
    <row r="582" spans="1:10" ht="28.8" x14ac:dyDescent="0.3">
      <c r="A582" s="3" t="s">
        <v>29</v>
      </c>
      <c r="B582" s="5" t="s">
        <v>18</v>
      </c>
      <c r="C582">
        <v>128</v>
      </c>
      <c r="D582">
        <v>4.9000000000000004</v>
      </c>
      <c r="E582">
        <v>8.3000000000000007</v>
      </c>
      <c r="F582">
        <v>1.6</v>
      </c>
      <c r="G582" s="7" t="s">
        <v>11</v>
      </c>
      <c r="H582">
        <v>0</v>
      </c>
      <c r="I582" s="14">
        <v>6.872282858565737E-2</v>
      </c>
      <c r="J582" s="9" t="s">
        <v>823</v>
      </c>
    </row>
    <row r="583" spans="1:10" ht="28.8" x14ac:dyDescent="0.3">
      <c r="A583" s="3" t="s">
        <v>31</v>
      </c>
      <c r="B583" s="5" t="s">
        <v>14</v>
      </c>
      <c r="C583">
        <v>182</v>
      </c>
      <c r="D583">
        <v>7.9</v>
      </c>
      <c r="E583">
        <v>2.1</v>
      </c>
      <c r="F583">
        <v>2.1</v>
      </c>
      <c r="G583" s="7" t="s">
        <v>9</v>
      </c>
      <c r="H583">
        <v>0</v>
      </c>
      <c r="I583" s="14">
        <v>0.24234573619799848</v>
      </c>
      <c r="J583" s="9" t="s">
        <v>823</v>
      </c>
    </row>
    <row r="584" spans="1:10" ht="28.8" x14ac:dyDescent="0.3">
      <c r="A584" s="3" t="s">
        <v>32</v>
      </c>
      <c r="B584" s="5" t="s">
        <v>12</v>
      </c>
      <c r="C584">
        <v>60</v>
      </c>
      <c r="D584">
        <v>3.9</v>
      </c>
      <c r="E584">
        <v>6.6</v>
      </c>
      <c r="F584">
        <v>1.2</v>
      </c>
      <c r="G584" s="7" t="s">
        <v>11</v>
      </c>
      <c r="H584">
        <v>0</v>
      </c>
      <c r="I584" s="14">
        <v>0.43022524673306139</v>
      </c>
      <c r="J584" s="9" t="s">
        <v>823</v>
      </c>
    </row>
    <row r="585" spans="1:10" x14ac:dyDescent="0.3">
      <c r="A585" s="3" t="s">
        <v>34</v>
      </c>
      <c r="B585" s="5" t="s">
        <v>8</v>
      </c>
      <c r="C585">
        <v>434</v>
      </c>
      <c r="D585">
        <v>6.6</v>
      </c>
      <c r="E585">
        <v>3.2</v>
      </c>
      <c r="F585">
        <v>1.5</v>
      </c>
      <c r="G585" s="7" t="s">
        <v>11</v>
      </c>
      <c r="H585">
        <v>0</v>
      </c>
      <c r="I585" s="14">
        <v>0.26404350790644515</v>
      </c>
      <c r="J585" s="9" t="s">
        <v>823</v>
      </c>
    </row>
    <row r="586" spans="1:10" ht="28.8" x14ac:dyDescent="0.3">
      <c r="A586" s="3" t="s">
        <v>38</v>
      </c>
      <c r="B586" s="5" t="s">
        <v>14</v>
      </c>
      <c r="C586">
        <v>101</v>
      </c>
      <c r="D586">
        <v>6.7</v>
      </c>
      <c r="E586">
        <v>7.5</v>
      </c>
      <c r="F586">
        <v>1.4</v>
      </c>
      <c r="G586" s="7" t="s">
        <v>7</v>
      </c>
      <c r="H586">
        <v>0</v>
      </c>
      <c r="I586" s="14">
        <v>0.19756402994711797</v>
      </c>
      <c r="J586" s="9" t="s">
        <v>823</v>
      </c>
    </row>
    <row r="587" spans="1:10" x14ac:dyDescent="0.3">
      <c r="A587" s="3" t="s">
        <v>39</v>
      </c>
      <c r="B587" s="5" t="s">
        <v>8</v>
      </c>
      <c r="C587">
        <v>85</v>
      </c>
      <c r="D587">
        <v>2.5</v>
      </c>
      <c r="E587">
        <v>0.7</v>
      </c>
      <c r="F587">
        <v>2</v>
      </c>
      <c r="G587" s="7" t="s">
        <v>11</v>
      </c>
      <c r="H587">
        <v>0</v>
      </c>
      <c r="I587" s="14">
        <v>0.39631542459268998</v>
      </c>
      <c r="J587" s="9" t="s">
        <v>823</v>
      </c>
    </row>
    <row r="588" spans="1:10" ht="28.8" x14ac:dyDescent="0.3">
      <c r="A588" s="3" t="s">
        <v>40</v>
      </c>
      <c r="B588" s="5" t="s">
        <v>18</v>
      </c>
      <c r="C588">
        <v>261</v>
      </c>
      <c r="D588">
        <v>1.3</v>
      </c>
      <c r="E588">
        <v>5.8</v>
      </c>
      <c r="F588">
        <v>2.2000000000000002</v>
      </c>
      <c r="G588" s="7" t="s">
        <v>9</v>
      </c>
      <c r="H588">
        <v>0</v>
      </c>
      <c r="I588" s="14">
        <v>0.27767792765353472</v>
      </c>
      <c r="J588" s="9" t="s">
        <v>823</v>
      </c>
    </row>
    <row r="589" spans="1:10" ht="28.8" x14ac:dyDescent="0.3">
      <c r="A589" s="3" t="s">
        <v>43</v>
      </c>
      <c r="B589" s="5" t="s">
        <v>12</v>
      </c>
      <c r="C589">
        <v>80</v>
      </c>
      <c r="D589">
        <v>4.4000000000000004</v>
      </c>
      <c r="E589">
        <v>4.5999999999999996</v>
      </c>
      <c r="F589">
        <v>1.6</v>
      </c>
      <c r="G589" s="7" t="s">
        <v>9</v>
      </c>
      <c r="H589">
        <v>0</v>
      </c>
      <c r="I589" s="14">
        <v>0.20999460004777193</v>
      </c>
      <c r="J589" s="9" t="s">
        <v>823</v>
      </c>
    </row>
    <row r="590" spans="1:10" ht="28.8" x14ac:dyDescent="0.3">
      <c r="A590" s="3" t="s">
        <v>44</v>
      </c>
      <c r="B590" s="5" t="s">
        <v>12</v>
      </c>
      <c r="C590">
        <v>281</v>
      </c>
      <c r="D590">
        <v>6</v>
      </c>
      <c r="E590">
        <v>3.1</v>
      </c>
      <c r="F590">
        <v>1.3</v>
      </c>
      <c r="G590" s="7" t="s">
        <v>7</v>
      </c>
      <c r="H590">
        <v>0</v>
      </c>
      <c r="I590" s="14">
        <v>0.52002863351208195</v>
      </c>
      <c r="J590" s="9" t="s">
        <v>823</v>
      </c>
    </row>
    <row r="591" spans="1:10" x14ac:dyDescent="0.3">
      <c r="A591" s="3" t="s">
        <v>46</v>
      </c>
      <c r="B591" s="5" t="s">
        <v>8</v>
      </c>
      <c r="C591">
        <v>79</v>
      </c>
      <c r="D591">
        <v>7.3</v>
      </c>
      <c r="E591">
        <v>9.4</v>
      </c>
      <c r="F591">
        <v>1.4</v>
      </c>
      <c r="G591" s="7" t="s">
        <v>7</v>
      </c>
      <c r="H591">
        <v>0</v>
      </c>
      <c r="I591" s="14">
        <v>0.34644608919536279</v>
      </c>
      <c r="J591" s="9" t="s">
        <v>823</v>
      </c>
    </row>
    <row r="592" spans="1:10" ht="28.8" x14ac:dyDescent="0.3">
      <c r="A592" s="3" t="s">
        <v>47</v>
      </c>
      <c r="B592" s="5" t="s">
        <v>12</v>
      </c>
      <c r="C592">
        <v>271</v>
      </c>
      <c r="D592">
        <v>7.8</v>
      </c>
      <c r="E592">
        <v>7.2</v>
      </c>
      <c r="F592">
        <v>1</v>
      </c>
      <c r="G592" s="7" t="s">
        <v>9</v>
      </c>
      <c r="H592">
        <v>0</v>
      </c>
      <c r="I592" s="14">
        <v>0.12056112559886967</v>
      </c>
      <c r="J592" s="9" t="s">
        <v>823</v>
      </c>
    </row>
    <row r="593" spans="1:10" ht="28.8" x14ac:dyDescent="0.3">
      <c r="A593" s="3" t="s">
        <v>48</v>
      </c>
      <c r="B593" s="5" t="s">
        <v>18</v>
      </c>
      <c r="C593">
        <v>287</v>
      </c>
      <c r="D593">
        <v>6.9</v>
      </c>
      <c r="E593">
        <v>7.1</v>
      </c>
      <c r="F593">
        <v>2.9</v>
      </c>
      <c r="G593" s="7" t="s">
        <v>11</v>
      </c>
      <c r="H593">
        <v>0</v>
      </c>
      <c r="I593" s="14">
        <v>0.50627015223788674</v>
      </c>
      <c r="J593" s="9" t="s">
        <v>823</v>
      </c>
    </row>
    <row r="594" spans="1:10" ht="28.8" x14ac:dyDescent="0.3">
      <c r="A594" s="3" t="s">
        <v>49</v>
      </c>
      <c r="B594" s="5" t="s">
        <v>18</v>
      </c>
      <c r="C594">
        <v>166</v>
      </c>
      <c r="D594">
        <v>1.1000000000000001</v>
      </c>
      <c r="E594">
        <v>2.5</v>
      </c>
      <c r="F594">
        <v>1.6</v>
      </c>
      <c r="G594" s="7" t="s">
        <v>11</v>
      </c>
      <c r="H594">
        <v>0</v>
      </c>
      <c r="I594" s="14">
        <v>0.15762680396322137</v>
      </c>
      <c r="J594" s="9" t="s">
        <v>823</v>
      </c>
    </row>
    <row r="595" spans="1:10" ht="28.8" x14ac:dyDescent="0.3">
      <c r="A595" s="3" t="s">
        <v>51</v>
      </c>
      <c r="B595" s="5" t="s">
        <v>18</v>
      </c>
      <c r="C595">
        <v>167</v>
      </c>
      <c r="D595">
        <v>4.3</v>
      </c>
      <c r="E595">
        <v>8</v>
      </c>
      <c r="F595">
        <v>1.8</v>
      </c>
      <c r="G595" s="7" t="s">
        <v>11</v>
      </c>
      <c r="H595">
        <v>0</v>
      </c>
      <c r="I595" s="14">
        <v>0.2467033278720363</v>
      </c>
      <c r="J595" s="9" t="s">
        <v>823</v>
      </c>
    </row>
    <row r="596" spans="1:10" ht="28.8" x14ac:dyDescent="0.3">
      <c r="A596" s="3" t="s">
        <v>52</v>
      </c>
      <c r="B596" s="5" t="s">
        <v>18</v>
      </c>
      <c r="C596">
        <v>332</v>
      </c>
      <c r="D596">
        <v>5.6</v>
      </c>
      <c r="E596">
        <v>7.8</v>
      </c>
      <c r="F596">
        <v>1</v>
      </c>
      <c r="G596" s="7" t="s">
        <v>9</v>
      </c>
      <c r="H596">
        <v>0</v>
      </c>
      <c r="I596" s="14">
        <v>0.12371380707450252</v>
      </c>
      <c r="J596" s="9" t="s">
        <v>823</v>
      </c>
    </row>
    <row r="597" spans="1:10" ht="28.8" x14ac:dyDescent="0.3">
      <c r="A597" s="3" t="s">
        <v>53</v>
      </c>
      <c r="B597" s="5" t="s">
        <v>14</v>
      </c>
      <c r="C597">
        <v>159</v>
      </c>
      <c r="D597">
        <v>5.7</v>
      </c>
      <c r="E597">
        <v>2.5</v>
      </c>
      <c r="F597">
        <v>1.2</v>
      </c>
      <c r="G597" s="7" t="s">
        <v>13</v>
      </c>
      <c r="H597">
        <v>0</v>
      </c>
      <c r="I597" s="14">
        <v>0.15257430495266155</v>
      </c>
      <c r="J597" s="9" t="s">
        <v>823</v>
      </c>
    </row>
    <row r="598" spans="1:10" x14ac:dyDescent="0.3">
      <c r="A598" s="3" t="s">
        <v>54</v>
      </c>
      <c r="B598" s="5" t="s">
        <v>8</v>
      </c>
      <c r="C598">
        <v>442</v>
      </c>
      <c r="D598">
        <v>1.8</v>
      </c>
      <c r="E598">
        <v>3.6</v>
      </c>
      <c r="F598">
        <v>2.1</v>
      </c>
      <c r="G598" s="7" t="s">
        <v>11</v>
      </c>
      <c r="H598">
        <v>0</v>
      </c>
      <c r="I598" s="14">
        <v>0.58135717074287718</v>
      </c>
      <c r="J598" s="9" t="s">
        <v>823</v>
      </c>
    </row>
    <row r="599" spans="1:10" ht="28.8" x14ac:dyDescent="0.3">
      <c r="A599" s="3" t="s">
        <v>55</v>
      </c>
      <c r="B599" s="5" t="s">
        <v>12</v>
      </c>
      <c r="C599">
        <v>161</v>
      </c>
      <c r="D599">
        <v>7.3</v>
      </c>
      <c r="E599">
        <v>8.6999999999999993</v>
      </c>
      <c r="F599">
        <v>2.8</v>
      </c>
      <c r="G599" s="7" t="s">
        <v>9</v>
      </c>
      <c r="H599">
        <v>0</v>
      </c>
      <c r="I599" s="14">
        <v>9.3342302685491596E-2</v>
      </c>
      <c r="J599" s="9" t="s">
        <v>823</v>
      </c>
    </row>
    <row r="600" spans="1:10" ht="28.8" x14ac:dyDescent="0.3">
      <c r="A600" s="3" t="s">
        <v>56</v>
      </c>
      <c r="B600" s="5" t="s">
        <v>14</v>
      </c>
      <c r="C600">
        <v>297</v>
      </c>
      <c r="D600">
        <v>6.9</v>
      </c>
      <c r="E600">
        <v>3.4</v>
      </c>
      <c r="F600">
        <v>1.7</v>
      </c>
      <c r="G600" s="7" t="s">
        <v>13</v>
      </c>
      <c r="H600">
        <v>1</v>
      </c>
      <c r="I600" s="14">
        <v>0.61289726629056074</v>
      </c>
      <c r="J600" s="9" t="s">
        <v>823</v>
      </c>
    </row>
    <row r="601" spans="1:10" ht="28.8" x14ac:dyDescent="0.3">
      <c r="A601" s="3" t="s">
        <v>59</v>
      </c>
      <c r="B601" s="5" t="s">
        <v>6</v>
      </c>
      <c r="C601">
        <v>175</v>
      </c>
      <c r="D601">
        <v>1</v>
      </c>
      <c r="E601">
        <v>7.9</v>
      </c>
      <c r="F601">
        <v>2.1</v>
      </c>
      <c r="G601" s="7" t="s">
        <v>9</v>
      </c>
      <c r="H601">
        <v>0</v>
      </c>
      <c r="I601" s="14">
        <v>0.45902504192449956</v>
      </c>
      <c r="J601" s="9" t="s">
        <v>823</v>
      </c>
    </row>
    <row r="602" spans="1:10" ht="28.8" x14ac:dyDescent="0.3">
      <c r="A602" s="3" t="s">
        <v>60</v>
      </c>
      <c r="B602" s="5" t="s">
        <v>18</v>
      </c>
      <c r="C602">
        <v>268</v>
      </c>
      <c r="D602">
        <v>6.6</v>
      </c>
      <c r="E602">
        <v>4.2</v>
      </c>
      <c r="F602">
        <v>2</v>
      </c>
      <c r="G602" s="7" t="s">
        <v>7</v>
      </c>
      <c r="H602">
        <v>0</v>
      </c>
      <c r="I602" s="14">
        <v>0.37210519236235096</v>
      </c>
      <c r="J602" s="9" t="s">
        <v>823</v>
      </c>
    </row>
    <row r="603" spans="1:10" ht="28.8" x14ac:dyDescent="0.3">
      <c r="A603" s="3" t="s">
        <v>61</v>
      </c>
      <c r="B603" s="5" t="s">
        <v>18</v>
      </c>
      <c r="C603">
        <v>299</v>
      </c>
      <c r="D603">
        <v>4.4000000000000004</v>
      </c>
      <c r="E603">
        <v>6.9</v>
      </c>
      <c r="F603">
        <v>2.8</v>
      </c>
      <c r="G603" s="7" t="s">
        <v>7</v>
      </c>
      <c r="H603">
        <v>0</v>
      </c>
      <c r="I603" s="14">
        <v>0.25954577756621489</v>
      </c>
      <c r="J603" s="9" t="s">
        <v>823</v>
      </c>
    </row>
    <row r="604" spans="1:10" ht="28.8" x14ac:dyDescent="0.3">
      <c r="A604" s="3" t="s">
        <v>62</v>
      </c>
      <c r="B604" s="5" t="s">
        <v>6</v>
      </c>
      <c r="C604">
        <v>75</v>
      </c>
      <c r="D604">
        <v>5.6</v>
      </c>
      <c r="E604">
        <v>7.9</v>
      </c>
      <c r="F604">
        <v>2.6</v>
      </c>
      <c r="G604" s="7" t="s">
        <v>13</v>
      </c>
      <c r="H604">
        <v>0</v>
      </c>
      <c r="I604" s="14">
        <v>0.34752299044512647</v>
      </c>
      <c r="J604" s="9" t="s">
        <v>823</v>
      </c>
    </row>
    <row r="605" spans="1:10" x14ac:dyDescent="0.3">
      <c r="A605" s="3" t="s">
        <v>63</v>
      </c>
      <c r="B605" s="5" t="s">
        <v>10</v>
      </c>
      <c r="C605">
        <v>274</v>
      </c>
      <c r="D605">
        <v>7.5</v>
      </c>
      <c r="E605">
        <v>5.6</v>
      </c>
      <c r="F605">
        <v>0.7</v>
      </c>
      <c r="G605" s="7" t="s">
        <v>7</v>
      </c>
      <c r="H605">
        <v>0</v>
      </c>
      <c r="I605" s="14">
        <v>0.25101183173000619</v>
      </c>
      <c r="J605" s="9" t="s">
        <v>823</v>
      </c>
    </row>
    <row r="606" spans="1:10" ht="28.8" x14ac:dyDescent="0.3">
      <c r="A606" s="3" t="s">
        <v>64</v>
      </c>
      <c r="B606" s="5" t="s">
        <v>12</v>
      </c>
      <c r="C606">
        <v>172</v>
      </c>
      <c r="D606">
        <v>0.8</v>
      </c>
      <c r="E606">
        <v>5.5</v>
      </c>
      <c r="F606">
        <v>2.1</v>
      </c>
      <c r="G606" s="7" t="s">
        <v>7</v>
      </c>
      <c r="H606">
        <v>0</v>
      </c>
      <c r="I606" s="14">
        <v>0.17373110997608543</v>
      </c>
      <c r="J606" s="9" t="s">
        <v>823</v>
      </c>
    </row>
    <row r="607" spans="1:10" ht="28.8" x14ac:dyDescent="0.3">
      <c r="A607" s="3" t="s">
        <v>65</v>
      </c>
      <c r="B607" s="5" t="s">
        <v>14</v>
      </c>
      <c r="C607">
        <v>384</v>
      </c>
      <c r="D607">
        <v>4.4000000000000004</v>
      </c>
      <c r="E607">
        <v>5</v>
      </c>
      <c r="F607">
        <v>2.4</v>
      </c>
      <c r="G607" s="7" t="s">
        <v>7</v>
      </c>
      <c r="H607">
        <v>0</v>
      </c>
      <c r="I607" s="14">
        <v>0.3337989072300912</v>
      </c>
      <c r="J607" s="9" t="s">
        <v>823</v>
      </c>
    </row>
    <row r="608" spans="1:10" ht="28.8" x14ac:dyDescent="0.3">
      <c r="A608" s="3" t="s">
        <v>67</v>
      </c>
      <c r="B608" s="5" t="s">
        <v>12</v>
      </c>
      <c r="C608">
        <v>69</v>
      </c>
      <c r="D608">
        <v>7.2</v>
      </c>
      <c r="E608">
        <v>5.2</v>
      </c>
      <c r="F608">
        <v>0.9</v>
      </c>
      <c r="G608" s="7" t="s">
        <v>13</v>
      </c>
      <c r="H608">
        <v>0</v>
      </c>
      <c r="I608" s="14">
        <v>0.18179054279546414</v>
      </c>
      <c r="J608" s="9" t="s">
        <v>823</v>
      </c>
    </row>
    <row r="609" spans="1:10" x14ac:dyDescent="0.3">
      <c r="A609" s="3" t="s">
        <v>69</v>
      </c>
      <c r="B609" s="5" t="s">
        <v>10</v>
      </c>
      <c r="C609">
        <v>72</v>
      </c>
      <c r="D609">
        <v>2.7</v>
      </c>
      <c r="E609">
        <v>3.1</v>
      </c>
      <c r="F609">
        <v>2.7</v>
      </c>
      <c r="G609" s="7" t="s">
        <v>13</v>
      </c>
      <c r="H609">
        <v>0</v>
      </c>
      <c r="I609" s="14">
        <v>0.46646795378737138</v>
      </c>
      <c r="J609" s="9" t="s">
        <v>823</v>
      </c>
    </row>
    <row r="610" spans="1:10" ht="28.8" x14ac:dyDescent="0.3">
      <c r="A610" s="3" t="s">
        <v>72</v>
      </c>
      <c r="B610" s="5" t="s">
        <v>12</v>
      </c>
      <c r="C610">
        <v>285</v>
      </c>
      <c r="D610">
        <v>1.1000000000000001</v>
      </c>
      <c r="E610">
        <v>8.6</v>
      </c>
      <c r="F610">
        <v>3</v>
      </c>
      <c r="G610" s="7" t="s">
        <v>7</v>
      </c>
      <c r="H610">
        <v>0</v>
      </c>
      <c r="I610" s="14">
        <v>6.4882958321345274E-2</v>
      </c>
      <c r="J610" s="9" t="s">
        <v>823</v>
      </c>
    </row>
    <row r="611" spans="1:10" ht="28.8" x14ac:dyDescent="0.3">
      <c r="A611" s="3" t="s">
        <v>74</v>
      </c>
      <c r="B611" s="5" t="s">
        <v>12</v>
      </c>
      <c r="C611">
        <v>103</v>
      </c>
      <c r="D611">
        <v>6.5</v>
      </c>
      <c r="E611">
        <v>1.3</v>
      </c>
      <c r="F611">
        <v>1.1000000000000001</v>
      </c>
      <c r="G611" s="7" t="s">
        <v>7</v>
      </c>
      <c r="H611">
        <v>0</v>
      </c>
      <c r="I611" s="14">
        <v>0.58177668664038584</v>
      </c>
      <c r="J611" s="9" t="s">
        <v>823</v>
      </c>
    </row>
    <row r="612" spans="1:10" ht="28.8" x14ac:dyDescent="0.3">
      <c r="A612" s="3" t="s">
        <v>75</v>
      </c>
      <c r="B612" s="5" t="s">
        <v>12</v>
      </c>
      <c r="C612">
        <v>91</v>
      </c>
      <c r="D612">
        <v>4.3</v>
      </c>
      <c r="E612">
        <v>3.1</v>
      </c>
      <c r="F612">
        <v>0.9</v>
      </c>
      <c r="G612" s="7" t="s">
        <v>11</v>
      </c>
      <c r="H612">
        <v>0</v>
      </c>
      <c r="I612" s="14">
        <v>0.61170184256737425</v>
      </c>
      <c r="J612" s="9" t="s">
        <v>823</v>
      </c>
    </row>
    <row r="613" spans="1:10" ht="28.8" x14ac:dyDescent="0.3">
      <c r="A613" s="3" t="s">
        <v>76</v>
      </c>
      <c r="B613" s="5" t="s">
        <v>18</v>
      </c>
      <c r="C613">
        <v>411</v>
      </c>
      <c r="D613">
        <v>7.9</v>
      </c>
      <c r="E613">
        <v>0.9</v>
      </c>
      <c r="F613">
        <v>0.5</v>
      </c>
      <c r="G613" s="7" t="s">
        <v>7</v>
      </c>
      <c r="H613">
        <v>0</v>
      </c>
      <c r="I613" s="14">
        <v>0.34715710497371743</v>
      </c>
      <c r="J613" s="9" t="s">
        <v>823</v>
      </c>
    </row>
    <row r="614" spans="1:10" x14ac:dyDescent="0.3">
      <c r="A614" s="3" t="s">
        <v>77</v>
      </c>
      <c r="B614" s="5" t="s">
        <v>8</v>
      </c>
      <c r="C614">
        <v>248</v>
      </c>
      <c r="D614">
        <v>1</v>
      </c>
      <c r="E614">
        <v>4.4000000000000004</v>
      </c>
      <c r="F614">
        <v>2</v>
      </c>
      <c r="G614" s="7" t="s">
        <v>9</v>
      </c>
      <c r="H614">
        <v>0</v>
      </c>
      <c r="I614" s="14">
        <v>0.42423839767756077</v>
      </c>
      <c r="J614" s="9" t="s">
        <v>823</v>
      </c>
    </row>
    <row r="615" spans="1:10" ht="28.8" x14ac:dyDescent="0.3">
      <c r="A615" s="3" t="s">
        <v>78</v>
      </c>
      <c r="B615" s="5" t="s">
        <v>14</v>
      </c>
      <c r="C615">
        <v>83</v>
      </c>
      <c r="D615">
        <v>5.6</v>
      </c>
      <c r="E615">
        <v>4</v>
      </c>
      <c r="F615">
        <v>2.5</v>
      </c>
      <c r="G615" s="7" t="s">
        <v>9</v>
      </c>
      <c r="H615">
        <v>0</v>
      </c>
      <c r="I615" s="14">
        <v>6.6260106076661995E-2</v>
      </c>
      <c r="J615" s="9" t="s">
        <v>823</v>
      </c>
    </row>
    <row r="616" spans="1:10" ht="28.8" x14ac:dyDescent="0.3">
      <c r="A616" s="3" t="s">
        <v>79</v>
      </c>
      <c r="B616" s="5" t="s">
        <v>12</v>
      </c>
      <c r="C616">
        <v>80</v>
      </c>
      <c r="D616">
        <v>7.6</v>
      </c>
      <c r="E616">
        <v>9.1999999999999993</v>
      </c>
      <c r="F616">
        <v>2.7</v>
      </c>
      <c r="G616" s="7" t="s">
        <v>9</v>
      </c>
      <c r="H616">
        <v>0</v>
      </c>
      <c r="I616" s="14">
        <v>0.69221866458047909</v>
      </c>
      <c r="J616" s="9" t="s">
        <v>823</v>
      </c>
    </row>
    <row r="617" spans="1:10" ht="28.8" x14ac:dyDescent="0.3">
      <c r="A617" s="3" t="s">
        <v>81</v>
      </c>
      <c r="B617" s="5" t="s">
        <v>18</v>
      </c>
      <c r="C617">
        <v>220</v>
      </c>
      <c r="D617">
        <v>6.4</v>
      </c>
      <c r="E617">
        <v>0.8</v>
      </c>
      <c r="F617">
        <v>0.8</v>
      </c>
      <c r="G617" s="7" t="s">
        <v>13</v>
      </c>
      <c r="H617">
        <v>0</v>
      </c>
      <c r="I617" s="14">
        <v>0.69734930896549718</v>
      </c>
      <c r="J617" s="9" t="s">
        <v>823</v>
      </c>
    </row>
    <row r="618" spans="1:10" ht="28.8" x14ac:dyDescent="0.3">
      <c r="A618" s="3" t="s">
        <v>82</v>
      </c>
      <c r="B618" s="5" t="s">
        <v>18</v>
      </c>
      <c r="C618">
        <v>160</v>
      </c>
      <c r="D618">
        <v>4.4000000000000004</v>
      </c>
      <c r="E618">
        <v>6.2</v>
      </c>
      <c r="F618">
        <v>1.4</v>
      </c>
      <c r="G618" s="7" t="s">
        <v>13</v>
      </c>
      <c r="H618">
        <v>0</v>
      </c>
      <c r="I618" s="14">
        <v>0.20399412826620478</v>
      </c>
      <c r="J618" s="9" t="s">
        <v>823</v>
      </c>
    </row>
    <row r="619" spans="1:10" ht="28.8" x14ac:dyDescent="0.3">
      <c r="A619" s="3" t="s">
        <v>84</v>
      </c>
      <c r="B619" s="5" t="s">
        <v>18</v>
      </c>
      <c r="C619">
        <v>112</v>
      </c>
      <c r="D619">
        <v>1.8</v>
      </c>
      <c r="E619">
        <v>3.3</v>
      </c>
      <c r="F619">
        <v>1.2</v>
      </c>
      <c r="G619" s="7" t="s">
        <v>7</v>
      </c>
      <c r="H619">
        <v>0</v>
      </c>
      <c r="I619" s="14">
        <v>0.54087410607019648</v>
      </c>
      <c r="J619" s="9" t="s">
        <v>823</v>
      </c>
    </row>
    <row r="620" spans="1:10" ht="28.8" x14ac:dyDescent="0.3">
      <c r="A620" s="3" t="s">
        <v>85</v>
      </c>
      <c r="B620" s="5" t="s">
        <v>6</v>
      </c>
      <c r="C620">
        <v>166</v>
      </c>
      <c r="D620">
        <v>5.5</v>
      </c>
      <c r="E620">
        <v>7.3</v>
      </c>
      <c r="F620">
        <v>1.6</v>
      </c>
      <c r="G620" s="7" t="s">
        <v>13</v>
      </c>
      <c r="H620">
        <v>0</v>
      </c>
      <c r="I620" s="14">
        <v>0.51503575200072826</v>
      </c>
      <c r="J620" s="9" t="s">
        <v>823</v>
      </c>
    </row>
    <row r="621" spans="1:10" ht="28.8" x14ac:dyDescent="0.3">
      <c r="A621" s="3" t="s">
        <v>87</v>
      </c>
      <c r="B621" s="5" t="s">
        <v>18</v>
      </c>
      <c r="C621">
        <v>280</v>
      </c>
      <c r="D621">
        <v>3</v>
      </c>
      <c r="E621">
        <v>2.1</v>
      </c>
      <c r="F621">
        <v>1.2</v>
      </c>
      <c r="G621" s="7" t="s">
        <v>11</v>
      </c>
      <c r="H621">
        <v>0</v>
      </c>
      <c r="I621" s="14">
        <v>5.7269210476037613E-2</v>
      </c>
      <c r="J621" s="9" t="s">
        <v>823</v>
      </c>
    </row>
    <row r="622" spans="1:10" ht="28.8" x14ac:dyDescent="0.3">
      <c r="A622" s="3" t="s">
        <v>88</v>
      </c>
      <c r="B622" s="5" t="s">
        <v>14</v>
      </c>
      <c r="C622">
        <v>196</v>
      </c>
      <c r="D622">
        <v>7</v>
      </c>
      <c r="E622">
        <v>5</v>
      </c>
      <c r="F622">
        <v>1.4</v>
      </c>
      <c r="G622" s="7" t="s">
        <v>11</v>
      </c>
      <c r="H622">
        <v>0</v>
      </c>
      <c r="I622" s="14">
        <v>0.5286996620081903</v>
      </c>
      <c r="J622" s="9" t="s">
        <v>823</v>
      </c>
    </row>
    <row r="623" spans="1:10" ht="28.8" x14ac:dyDescent="0.3">
      <c r="A623" s="3" t="s">
        <v>90</v>
      </c>
      <c r="B623" s="5" t="s">
        <v>6</v>
      </c>
      <c r="C623">
        <v>449</v>
      </c>
      <c r="D623">
        <v>4</v>
      </c>
      <c r="E623">
        <v>6.4</v>
      </c>
      <c r="F623">
        <v>1.8</v>
      </c>
      <c r="G623" s="7" t="s">
        <v>9</v>
      </c>
      <c r="H623">
        <v>0</v>
      </c>
      <c r="I623" s="14">
        <v>6.9777717666685057E-2</v>
      </c>
      <c r="J623" s="9" t="s">
        <v>823</v>
      </c>
    </row>
    <row r="624" spans="1:10" ht="28.8" x14ac:dyDescent="0.3">
      <c r="A624" s="3" t="s">
        <v>91</v>
      </c>
      <c r="B624" s="5" t="s">
        <v>12</v>
      </c>
      <c r="C624">
        <v>209</v>
      </c>
      <c r="D624">
        <v>3.7</v>
      </c>
      <c r="E624">
        <v>1.1000000000000001</v>
      </c>
      <c r="F624">
        <v>1.9</v>
      </c>
      <c r="G624" s="7" t="s">
        <v>13</v>
      </c>
      <c r="H624">
        <v>0</v>
      </c>
      <c r="I624" s="14">
        <v>0.34577699928587335</v>
      </c>
      <c r="J624" s="9" t="s">
        <v>823</v>
      </c>
    </row>
    <row r="625" spans="1:10" x14ac:dyDescent="0.3">
      <c r="A625" s="3" t="s">
        <v>92</v>
      </c>
      <c r="B625" s="5" t="s">
        <v>8</v>
      </c>
      <c r="C625">
        <v>186</v>
      </c>
      <c r="D625">
        <v>4.5</v>
      </c>
      <c r="E625">
        <v>5.2</v>
      </c>
      <c r="F625">
        <v>1.7</v>
      </c>
      <c r="G625" s="7" t="s">
        <v>13</v>
      </c>
      <c r="H625">
        <v>0</v>
      </c>
      <c r="I625" s="14">
        <v>0.37105506413736666</v>
      </c>
      <c r="J625" s="9" t="s">
        <v>823</v>
      </c>
    </row>
    <row r="626" spans="1:10" x14ac:dyDescent="0.3">
      <c r="A626" s="3" t="s">
        <v>93</v>
      </c>
      <c r="B626" s="5" t="s">
        <v>8</v>
      </c>
      <c r="C626">
        <v>63</v>
      </c>
      <c r="D626">
        <v>0.6</v>
      </c>
      <c r="E626">
        <v>1.4</v>
      </c>
      <c r="F626">
        <v>2.6</v>
      </c>
      <c r="G626" s="7" t="s">
        <v>9</v>
      </c>
      <c r="H626">
        <v>0</v>
      </c>
      <c r="I626" s="14">
        <v>0.30344613305182344</v>
      </c>
      <c r="J626" s="9" t="s">
        <v>823</v>
      </c>
    </row>
    <row r="627" spans="1:10" ht="28.8" x14ac:dyDescent="0.3">
      <c r="A627" s="3" t="s">
        <v>94</v>
      </c>
      <c r="B627" s="5" t="s">
        <v>18</v>
      </c>
      <c r="C627">
        <v>297</v>
      </c>
      <c r="D627">
        <v>4.3</v>
      </c>
      <c r="E627">
        <v>0.9</v>
      </c>
      <c r="F627">
        <v>0.9</v>
      </c>
      <c r="G627" s="7" t="s">
        <v>11</v>
      </c>
      <c r="H627">
        <v>0</v>
      </c>
      <c r="I627" s="14">
        <v>0.19833176302347166</v>
      </c>
      <c r="J627" s="9" t="s">
        <v>823</v>
      </c>
    </row>
    <row r="628" spans="1:10" ht="28.8" x14ac:dyDescent="0.3">
      <c r="A628" s="3" t="s">
        <v>95</v>
      </c>
      <c r="B628" s="5" t="s">
        <v>6</v>
      </c>
      <c r="C628">
        <v>312</v>
      </c>
      <c r="D628">
        <v>3.4</v>
      </c>
      <c r="E628">
        <v>3.2</v>
      </c>
      <c r="F628">
        <v>0.6</v>
      </c>
      <c r="G628" s="7" t="s">
        <v>7</v>
      </c>
      <c r="H628">
        <v>0</v>
      </c>
      <c r="I628" s="14">
        <v>3.3312791407073106E-2</v>
      </c>
      <c r="J628" s="9" t="s">
        <v>823</v>
      </c>
    </row>
    <row r="629" spans="1:10" ht="28.8" x14ac:dyDescent="0.3">
      <c r="A629" s="3" t="s">
        <v>96</v>
      </c>
      <c r="B629" s="5" t="s">
        <v>18</v>
      </c>
      <c r="C629">
        <v>479</v>
      </c>
      <c r="D629">
        <v>0.7</v>
      </c>
      <c r="E629">
        <v>8.5</v>
      </c>
      <c r="F629">
        <v>0.8</v>
      </c>
      <c r="G629" s="7" t="s">
        <v>7</v>
      </c>
      <c r="H629">
        <v>0</v>
      </c>
      <c r="I629" s="14">
        <v>0.62042255507328137</v>
      </c>
      <c r="J629" s="9" t="s">
        <v>823</v>
      </c>
    </row>
    <row r="630" spans="1:10" x14ac:dyDescent="0.3">
      <c r="A630" s="3" t="s">
        <v>97</v>
      </c>
      <c r="B630" s="5" t="s">
        <v>10</v>
      </c>
      <c r="C630">
        <v>171</v>
      </c>
      <c r="D630">
        <v>2.9</v>
      </c>
      <c r="E630">
        <v>7.7</v>
      </c>
      <c r="F630">
        <v>2.8</v>
      </c>
      <c r="G630" s="7" t="s">
        <v>11</v>
      </c>
      <c r="H630">
        <v>0</v>
      </c>
      <c r="I630" s="14">
        <v>0.19537502933519901</v>
      </c>
      <c r="J630" s="9" t="s">
        <v>823</v>
      </c>
    </row>
    <row r="631" spans="1:10" x14ac:dyDescent="0.3">
      <c r="A631" s="3" t="s">
        <v>98</v>
      </c>
      <c r="B631" s="5" t="s">
        <v>8</v>
      </c>
      <c r="C631">
        <v>305</v>
      </c>
      <c r="D631">
        <v>2.9</v>
      </c>
      <c r="E631">
        <v>6.4</v>
      </c>
      <c r="F631">
        <v>2.4</v>
      </c>
      <c r="G631" s="7" t="s">
        <v>11</v>
      </c>
      <c r="H631">
        <v>0</v>
      </c>
      <c r="I631" s="14">
        <v>0.54871941374507016</v>
      </c>
      <c r="J631" s="9" t="s">
        <v>823</v>
      </c>
    </row>
    <row r="632" spans="1:10" x14ac:dyDescent="0.3">
      <c r="A632" s="3" t="s">
        <v>99</v>
      </c>
      <c r="B632" s="5" t="s">
        <v>10</v>
      </c>
      <c r="C632">
        <v>148</v>
      </c>
      <c r="D632">
        <v>7.9</v>
      </c>
      <c r="E632">
        <v>8.1999999999999993</v>
      </c>
      <c r="F632">
        <v>2.9</v>
      </c>
      <c r="G632" s="7" t="s">
        <v>7</v>
      </c>
      <c r="H632">
        <v>0</v>
      </c>
      <c r="I632" s="14">
        <v>0.23776170507202687</v>
      </c>
      <c r="J632" s="9" t="s">
        <v>823</v>
      </c>
    </row>
    <row r="633" spans="1:10" ht="28.8" x14ac:dyDescent="0.3">
      <c r="A633" s="3" t="s">
        <v>100</v>
      </c>
      <c r="B633" s="5" t="s">
        <v>14</v>
      </c>
      <c r="C633">
        <v>227</v>
      </c>
      <c r="D633">
        <v>6.4</v>
      </c>
      <c r="E633">
        <v>9.1</v>
      </c>
      <c r="F633">
        <v>1.8</v>
      </c>
      <c r="G633" s="7" t="s">
        <v>7</v>
      </c>
      <c r="H633">
        <v>0</v>
      </c>
      <c r="I633" s="14">
        <v>0.4953203741230755</v>
      </c>
      <c r="J633" s="9" t="s">
        <v>823</v>
      </c>
    </row>
    <row r="634" spans="1:10" x14ac:dyDescent="0.3">
      <c r="A634" s="3" t="s">
        <v>103</v>
      </c>
      <c r="B634" s="5" t="s">
        <v>10</v>
      </c>
      <c r="C634">
        <v>296</v>
      </c>
      <c r="D634">
        <v>5.6</v>
      </c>
      <c r="E634">
        <v>7.3</v>
      </c>
      <c r="F634">
        <v>2.5</v>
      </c>
      <c r="G634" s="7" t="s">
        <v>13</v>
      </c>
      <c r="H634">
        <v>0</v>
      </c>
      <c r="I634" s="14">
        <v>9.699624368785964E-2</v>
      </c>
      <c r="J634" s="9" t="s">
        <v>823</v>
      </c>
    </row>
    <row r="635" spans="1:10" ht="28.8" x14ac:dyDescent="0.3">
      <c r="A635" s="3" t="s">
        <v>105</v>
      </c>
      <c r="B635" s="5" t="s">
        <v>18</v>
      </c>
      <c r="C635">
        <v>181</v>
      </c>
      <c r="D635">
        <v>2.9</v>
      </c>
      <c r="E635">
        <v>1.2</v>
      </c>
      <c r="F635">
        <v>0.7</v>
      </c>
      <c r="G635" s="7" t="s">
        <v>11</v>
      </c>
      <c r="H635">
        <v>0</v>
      </c>
      <c r="I635" s="14">
        <v>0.50022506910659958</v>
      </c>
      <c r="J635" s="9" t="s">
        <v>823</v>
      </c>
    </row>
    <row r="636" spans="1:10" ht="28.8" x14ac:dyDescent="0.3">
      <c r="A636" s="3" t="s">
        <v>107</v>
      </c>
      <c r="B636" s="5" t="s">
        <v>6</v>
      </c>
      <c r="C636">
        <v>331</v>
      </c>
      <c r="D636">
        <v>6.2</v>
      </c>
      <c r="E636">
        <v>1.7</v>
      </c>
      <c r="F636">
        <v>0.8</v>
      </c>
      <c r="G636" s="7" t="s">
        <v>11</v>
      </c>
      <c r="H636">
        <v>0</v>
      </c>
      <c r="I636" s="14">
        <v>0.34445313863862692</v>
      </c>
      <c r="J636" s="9" t="s">
        <v>823</v>
      </c>
    </row>
    <row r="637" spans="1:10" ht="28.8" x14ac:dyDescent="0.3">
      <c r="A637" s="3" t="s">
        <v>108</v>
      </c>
      <c r="B637" s="5" t="s">
        <v>6</v>
      </c>
      <c r="C637">
        <v>306</v>
      </c>
      <c r="D637">
        <v>3.1</v>
      </c>
      <c r="E637">
        <v>0.7</v>
      </c>
      <c r="F637">
        <v>0.6</v>
      </c>
      <c r="G637" s="7" t="s">
        <v>13</v>
      </c>
      <c r="H637">
        <v>0</v>
      </c>
      <c r="I637" s="14">
        <v>5.4313824215926232E-2</v>
      </c>
      <c r="J637" s="9" t="s">
        <v>823</v>
      </c>
    </row>
    <row r="638" spans="1:10" x14ac:dyDescent="0.3">
      <c r="A638" s="3" t="s">
        <v>109</v>
      </c>
      <c r="B638" s="5" t="s">
        <v>10</v>
      </c>
      <c r="C638">
        <v>273</v>
      </c>
      <c r="D638">
        <v>6.8</v>
      </c>
      <c r="E638">
        <v>7.7</v>
      </c>
      <c r="F638">
        <v>2.8</v>
      </c>
      <c r="G638" s="7" t="s">
        <v>11</v>
      </c>
      <c r="H638">
        <v>0</v>
      </c>
      <c r="I638" s="14">
        <v>0.26353835961044192</v>
      </c>
      <c r="J638" s="9" t="s">
        <v>823</v>
      </c>
    </row>
    <row r="639" spans="1:10" x14ac:dyDescent="0.3">
      <c r="A639" s="3" t="s">
        <v>110</v>
      </c>
      <c r="B639" s="5" t="s">
        <v>8</v>
      </c>
      <c r="C639">
        <v>349</v>
      </c>
      <c r="D639">
        <v>1.5</v>
      </c>
      <c r="E639">
        <v>3.2</v>
      </c>
      <c r="F639">
        <v>2.2999999999999998</v>
      </c>
      <c r="G639" s="7" t="s">
        <v>13</v>
      </c>
      <c r="H639">
        <v>0</v>
      </c>
      <c r="I639" s="14">
        <v>0.68885110344772682</v>
      </c>
      <c r="J639" s="9" t="s">
        <v>823</v>
      </c>
    </row>
    <row r="640" spans="1:10" ht="28.8" x14ac:dyDescent="0.3">
      <c r="A640" s="3" t="s">
        <v>111</v>
      </c>
      <c r="B640" s="5" t="s">
        <v>12</v>
      </c>
      <c r="C640">
        <v>461</v>
      </c>
      <c r="D640">
        <v>6.8</v>
      </c>
      <c r="E640">
        <v>7.7</v>
      </c>
      <c r="F640">
        <v>2.2000000000000002</v>
      </c>
      <c r="G640" s="7" t="s">
        <v>13</v>
      </c>
      <c r="H640">
        <v>0</v>
      </c>
      <c r="I640" s="14">
        <v>0.48136709363398944</v>
      </c>
      <c r="J640" s="9" t="s">
        <v>823</v>
      </c>
    </row>
    <row r="641" spans="1:10" ht="28.8" x14ac:dyDescent="0.3">
      <c r="A641" s="3" t="s">
        <v>112</v>
      </c>
      <c r="B641" s="5" t="s">
        <v>18</v>
      </c>
      <c r="C641">
        <v>368</v>
      </c>
      <c r="D641">
        <v>1.2</v>
      </c>
      <c r="E641">
        <v>3.7</v>
      </c>
      <c r="F641">
        <v>2.8</v>
      </c>
      <c r="G641" s="7" t="s">
        <v>13</v>
      </c>
      <c r="H641">
        <v>0</v>
      </c>
      <c r="I641" s="14">
        <v>0.49896517353440917</v>
      </c>
      <c r="J641" s="9" t="s">
        <v>823</v>
      </c>
    </row>
    <row r="642" spans="1:10" x14ac:dyDescent="0.3">
      <c r="A642" s="3" t="s">
        <v>114</v>
      </c>
      <c r="B642" s="5" t="s">
        <v>8</v>
      </c>
      <c r="C642">
        <v>361</v>
      </c>
      <c r="D642">
        <v>2.5</v>
      </c>
      <c r="E642">
        <v>6</v>
      </c>
      <c r="F642">
        <v>2.1</v>
      </c>
      <c r="G642" s="7" t="s">
        <v>9</v>
      </c>
      <c r="H642">
        <v>0</v>
      </c>
      <c r="I642" s="14">
        <v>0.67665520882232222</v>
      </c>
      <c r="J642" s="9" t="s">
        <v>823</v>
      </c>
    </row>
    <row r="643" spans="1:10" x14ac:dyDescent="0.3">
      <c r="A643" s="3" t="s">
        <v>115</v>
      </c>
      <c r="B643" s="5" t="s">
        <v>10</v>
      </c>
      <c r="C643">
        <v>464</v>
      </c>
      <c r="D643">
        <v>2.5</v>
      </c>
      <c r="E643">
        <v>2.2999999999999998</v>
      </c>
      <c r="F643">
        <v>1.1000000000000001</v>
      </c>
      <c r="G643" s="7" t="s">
        <v>13</v>
      </c>
      <c r="H643">
        <v>0</v>
      </c>
      <c r="I643" s="14">
        <v>2.7992971327355676E-2</v>
      </c>
      <c r="J643" s="9" t="s">
        <v>823</v>
      </c>
    </row>
    <row r="644" spans="1:10" ht="28.8" x14ac:dyDescent="0.3">
      <c r="A644" s="3" t="s">
        <v>116</v>
      </c>
      <c r="B644" s="5" t="s">
        <v>18</v>
      </c>
      <c r="C644">
        <v>195</v>
      </c>
      <c r="D644">
        <v>5</v>
      </c>
      <c r="E644">
        <v>9.5</v>
      </c>
      <c r="F644">
        <v>1.3</v>
      </c>
      <c r="G644" s="7" t="s">
        <v>7</v>
      </c>
      <c r="H644">
        <v>0</v>
      </c>
      <c r="I644" s="14">
        <v>1.5594162855812277E-2</v>
      </c>
      <c r="J644" s="9" t="s">
        <v>823</v>
      </c>
    </row>
    <row r="645" spans="1:10" ht="28.8" x14ac:dyDescent="0.3">
      <c r="A645" s="3" t="s">
        <v>117</v>
      </c>
      <c r="B645" s="5" t="s">
        <v>6</v>
      </c>
      <c r="C645">
        <v>350</v>
      </c>
      <c r="D645">
        <v>5.7</v>
      </c>
      <c r="E645">
        <v>1</v>
      </c>
      <c r="F645">
        <v>2.8</v>
      </c>
      <c r="G645" s="7" t="s">
        <v>13</v>
      </c>
      <c r="H645">
        <v>0</v>
      </c>
      <c r="I645" s="14">
        <v>3.1977229780956851E-2</v>
      </c>
      <c r="J645" s="9" t="s">
        <v>823</v>
      </c>
    </row>
    <row r="646" spans="1:10" ht="28.8" x14ac:dyDescent="0.3">
      <c r="A646" s="3" t="s">
        <v>118</v>
      </c>
      <c r="B646" s="5" t="s">
        <v>6</v>
      </c>
      <c r="C646">
        <v>152</v>
      </c>
      <c r="D646">
        <v>5.3</v>
      </c>
      <c r="E646">
        <v>0.6</v>
      </c>
      <c r="F646">
        <v>2.2000000000000002</v>
      </c>
      <c r="G646" s="7" t="s">
        <v>9</v>
      </c>
      <c r="H646">
        <v>0</v>
      </c>
      <c r="I646" s="14">
        <v>1.3232466531023168E-2</v>
      </c>
      <c r="J646" s="9" t="s">
        <v>823</v>
      </c>
    </row>
    <row r="647" spans="1:10" x14ac:dyDescent="0.3">
      <c r="A647" s="3" t="s">
        <v>121</v>
      </c>
      <c r="B647" s="5" t="s">
        <v>10</v>
      </c>
      <c r="C647">
        <v>204</v>
      </c>
      <c r="D647">
        <v>3.2</v>
      </c>
      <c r="E647">
        <v>0.7</v>
      </c>
      <c r="F647">
        <v>1.9</v>
      </c>
      <c r="G647" s="7" t="s">
        <v>13</v>
      </c>
      <c r="H647">
        <v>0</v>
      </c>
      <c r="I647" s="14">
        <v>0.40840172680234577</v>
      </c>
      <c r="J647" s="9" t="s">
        <v>823</v>
      </c>
    </row>
    <row r="648" spans="1:10" ht="28.8" x14ac:dyDescent="0.3">
      <c r="A648" s="3" t="s">
        <v>122</v>
      </c>
      <c r="B648" s="5" t="s">
        <v>12</v>
      </c>
      <c r="C648">
        <v>344</v>
      </c>
      <c r="D648">
        <v>3.4</v>
      </c>
      <c r="E648">
        <v>3.2</v>
      </c>
      <c r="F648">
        <v>1.4</v>
      </c>
      <c r="G648" s="7" t="s">
        <v>7</v>
      </c>
      <c r="H648">
        <v>0</v>
      </c>
      <c r="I648" s="14">
        <v>0.41683627945283019</v>
      </c>
      <c r="J648" s="9" t="s">
        <v>823</v>
      </c>
    </row>
    <row r="649" spans="1:10" ht="28.8" x14ac:dyDescent="0.3">
      <c r="A649" s="3" t="s">
        <v>123</v>
      </c>
      <c r="B649" s="5" t="s">
        <v>12</v>
      </c>
      <c r="C649">
        <v>266</v>
      </c>
      <c r="D649">
        <v>5.8</v>
      </c>
      <c r="E649">
        <v>3.7</v>
      </c>
      <c r="F649">
        <v>1.4</v>
      </c>
      <c r="G649" s="7" t="s">
        <v>13</v>
      </c>
      <c r="H649">
        <v>0</v>
      </c>
      <c r="I649" s="14">
        <v>6.6162199527893817E-3</v>
      </c>
      <c r="J649" s="9" t="s">
        <v>823</v>
      </c>
    </row>
    <row r="650" spans="1:10" x14ac:dyDescent="0.3">
      <c r="A650" s="3" t="s">
        <v>124</v>
      </c>
      <c r="B650" s="5" t="s">
        <v>8</v>
      </c>
      <c r="C650">
        <v>449</v>
      </c>
      <c r="D650">
        <v>7.2</v>
      </c>
      <c r="E650">
        <v>5.9</v>
      </c>
      <c r="F650">
        <v>1.9</v>
      </c>
      <c r="G650" s="7" t="s">
        <v>9</v>
      </c>
      <c r="H650">
        <v>0</v>
      </c>
      <c r="I650" s="14">
        <v>0.1988092937387933</v>
      </c>
      <c r="J650" s="9" t="s">
        <v>823</v>
      </c>
    </row>
    <row r="651" spans="1:10" ht="28.8" x14ac:dyDescent="0.3">
      <c r="A651" s="3" t="s">
        <v>126</v>
      </c>
      <c r="B651" s="5" t="s">
        <v>12</v>
      </c>
      <c r="C651">
        <v>226</v>
      </c>
      <c r="D651">
        <v>5.9</v>
      </c>
      <c r="E651">
        <v>8.6</v>
      </c>
      <c r="F651">
        <v>1</v>
      </c>
      <c r="G651" s="7" t="s">
        <v>7</v>
      </c>
      <c r="H651">
        <v>0</v>
      </c>
      <c r="I651" s="14">
        <v>2.5060486483036271E-2</v>
      </c>
      <c r="J651" s="9" t="s">
        <v>823</v>
      </c>
    </row>
    <row r="652" spans="1:10" ht="28.8" x14ac:dyDescent="0.3">
      <c r="A652" s="3" t="s">
        <v>127</v>
      </c>
      <c r="B652" s="5" t="s">
        <v>18</v>
      </c>
      <c r="C652">
        <v>254</v>
      </c>
      <c r="D652">
        <v>5.5</v>
      </c>
      <c r="E652">
        <v>3.2</v>
      </c>
      <c r="F652">
        <v>1.4</v>
      </c>
      <c r="G652" s="7" t="s">
        <v>13</v>
      </c>
      <c r="H652">
        <v>0</v>
      </c>
      <c r="I652" s="14">
        <v>4.6653142721778895E-2</v>
      </c>
      <c r="J652" s="9" t="s">
        <v>823</v>
      </c>
    </row>
    <row r="653" spans="1:10" ht="28.8" x14ac:dyDescent="0.3">
      <c r="A653" s="3" t="s">
        <v>128</v>
      </c>
      <c r="B653" s="5" t="s">
        <v>18</v>
      </c>
      <c r="C653">
        <v>343</v>
      </c>
      <c r="D653">
        <v>4</v>
      </c>
      <c r="E653">
        <v>8.8000000000000007</v>
      </c>
      <c r="F653">
        <v>2.9</v>
      </c>
      <c r="G653" s="7" t="s">
        <v>7</v>
      </c>
      <c r="H653">
        <v>0</v>
      </c>
      <c r="I653" s="14">
        <v>0.63924254797674518</v>
      </c>
      <c r="J653" s="9" t="s">
        <v>823</v>
      </c>
    </row>
    <row r="654" spans="1:10" x14ac:dyDescent="0.3">
      <c r="A654" s="3" t="s">
        <v>129</v>
      </c>
      <c r="B654" s="5" t="s">
        <v>10</v>
      </c>
      <c r="C654">
        <v>119</v>
      </c>
      <c r="D654">
        <v>2.4</v>
      </c>
      <c r="E654">
        <v>7</v>
      </c>
      <c r="F654">
        <v>1.1000000000000001</v>
      </c>
      <c r="G654" s="7" t="s">
        <v>13</v>
      </c>
      <c r="H654">
        <v>0</v>
      </c>
      <c r="I654" s="14">
        <v>0.64804149441813008</v>
      </c>
      <c r="J654" s="9" t="s">
        <v>823</v>
      </c>
    </row>
    <row r="655" spans="1:10" x14ac:dyDescent="0.3">
      <c r="A655" s="3" t="s">
        <v>130</v>
      </c>
      <c r="B655" s="5" t="s">
        <v>8</v>
      </c>
      <c r="C655">
        <v>312</v>
      </c>
      <c r="D655">
        <v>4.4000000000000004</v>
      </c>
      <c r="E655">
        <v>8.6</v>
      </c>
      <c r="F655">
        <v>2</v>
      </c>
      <c r="G655" s="7" t="s">
        <v>7</v>
      </c>
      <c r="H655">
        <v>0</v>
      </c>
      <c r="I655" s="14">
        <v>0.5060351368111794</v>
      </c>
      <c r="J655" s="9" t="s">
        <v>823</v>
      </c>
    </row>
    <row r="656" spans="1:10" ht="28.8" x14ac:dyDescent="0.3">
      <c r="A656" s="3" t="s">
        <v>131</v>
      </c>
      <c r="B656" s="5" t="s">
        <v>12</v>
      </c>
      <c r="C656">
        <v>192</v>
      </c>
      <c r="D656">
        <v>1.9</v>
      </c>
      <c r="E656">
        <v>9.9</v>
      </c>
      <c r="F656">
        <v>2.1</v>
      </c>
      <c r="G656" s="7" t="s">
        <v>11</v>
      </c>
      <c r="H656">
        <v>0</v>
      </c>
      <c r="I656" s="14">
        <v>0.61394930874942777</v>
      </c>
      <c r="J656" s="9" t="s">
        <v>823</v>
      </c>
    </row>
    <row r="657" spans="1:10" ht="28.8" x14ac:dyDescent="0.3">
      <c r="A657" s="3" t="s">
        <v>132</v>
      </c>
      <c r="B657" s="5" t="s">
        <v>6</v>
      </c>
      <c r="C657">
        <v>354</v>
      </c>
      <c r="D657">
        <v>5.8</v>
      </c>
      <c r="E657">
        <v>3.6</v>
      </c>
      <c r="F657">
        <v>1.7</v>
      </c>
      <c r="G657" s="7" t="s">
        <v>11</v>
      </c>
      <c r="H657">
        <v>0</v>
      </c>
      <c r="I657" s="14">
        <v>8.9025892890345681E-2</v>
      </c>
      <c r="J657" s="9" t="s">
        <v>823</v>
      </c>
    </row>
    <row r="658" spans="1:10" ht="28.8" x14ac:dyDescent="0.3">
      <c r="A658" s="3" t="s">
        <v>134</v>
      </c>
      <c r="B658" s="5" t="s">
        <v>18</v>
      </c>
      <c r="C658">
        <v>372</v>
      </c>
      <c r="D658">
        <v>2.4</v>
      </c>
      <c r="E658">
        <v>3.6</v>
      </c>
      <c r="F658">
        <v>1.4</v>
      </c>
      <c r="G658" s="7" t="s">
        <v>13</v>
      </c>
      <c r="H658">
        <v>0</v>
      </c>
      <c r="I658" s="14">
        <v>0.4540371600369163</v>
      </c>
      <c r="J658" s="9" t="s">
        <v>823</v>
      </c>
    </row>
    <row r="659" spans="1:10" ht="28.8" x14ac:dyDescent="0.3">
      <c r="A659" s="3" t="s">
        <v>135</v>
      </c>
      <c r="B659" s="5" t="s">
        <v>18</v>
      </c>
      <c r="C659">
        <v>87</v>
      </c>
      <c r="D659">
        <v>2.7</v>
      </c>
      <c r="E659">
        <v>8.6</v>
      </c>
      <c r="F659">
        <v>1.5</v>
      </c>
      <c r="G659" s="7" t="s">
        <v>9</v>
      </c>
      <c r="H659">
        <v>0</v>
      </c>
      <c r="I659" s="14">
        <v>0.12732648511045175</v>
      </c>
      <c r="J659" s="9" t="s">
        <v>823</v>
      </c>
    </row>
    <row r="660" spans="1:10" ht="28.8" x14ac:dyDescent="0.3">
      <c r="A660" s="3" t="s">
        <v>136</v>
      </c>
      <c r="B660" s="5" t="s">
        <v>18</v>
      </c>
      <c r="C660">
        <v>91</v>
      </c>
      <c r="D660">
        <v>3.8</v>
      </c>
      <c r="E660">
        <v>2</v>
      </c>
      <c r="F660">
        <v>2.9</v>
      </c>
      <c r="G660" s="7" t="s">
        <v>9</v>
      </c>
      <c r="H660">
        <v>0</v>
      </c>
      <c r="I660" s="14">
        <v>0.2902003626124835</v>
      </c>
      <c r="J660" s="9" t="s">
        <v>823</v>
      </c>
    </row>
    <row r="661" spans="1:10" ht="28.8" x14ac:dyDescent="0.3">
      <c r="A661" s="3" t="s">
        <v>137</v>
      </c>
      <c r="B661" s="5" t="s">
        <v>18</v>
      </c>
      <c r="C661">
        <v>243</v>
      </c>
      <c r="D661">
        <v>2.4</v>
      </c>
      <c r="E661">
        <v>8.6</v>
      </c>
      <c r="F661">
        <v>1.1000000000000001</v>
      </c>
      <c r="G661" s="7" t="s">
        <v>7</v>
      </c>
      <c r="H661">
        <v>0</v>
      </c>
      <c r="I661" s="14">
        <v>0.34486419890309683</v>
      </c>
      <c r="J661" s="9" t="s">
        <v>823</v>
      </c>
    </row>
    <row r="662" spans="1:10" ht="28.8" x14ac:dyDescent="0.3">
      <c r="A662" s="3" t="s">
        <v>138</v>
      </c>
      <c r="B662" s="5" t="s">
        <v>14</v>
      </c>
      <c r="C662">
        <v>429</v>
      </c>
      <c r="D662">
        <v>7.3</v>
      </c>
      <c r="E662">
        <v>4.5999999999999996</v>
      </c>
      <c r="F662">
        <v>2</v>
      </c>
      <c r="G662" s="7" t="s">
        <v>7</v>
      </c>
      <c r="H662">
        <v>0</v>
      </c>
      <c r="I662" s="14">
        <v>0.2532209692995312</v>
      </c>
      <c r="J662" s="9" t="s">
        <v>823</v>
      </c>
    </row>
    <row r="663" spans="1:10" x14ac:dyDescent="0.3">
      <c r="A663" s="3" t="s">
        <v>139</v>
      </c>
      <c r="B663" s="5" t="s">
        <v>8</v>
      </c>
      <c r="C663">
        <v>189</v>
      </c>
      <c r="D663">
        <v>5.5</v>
      </c>
      <c r="E663">
        <v>2.9</v>
      </c>
      <c r="F663">
        <v>1.2</v>
      </c>
      <c r="G663" s="7" t="s">
        <v>9</v>
      </c>
      <c r="H663">
        <v>0</v>
      </c>
      <c r="I663" s="14">
        <v>0.44132693486875507</v>
      </c>
      <c r="J663" s="9" t="s">
        <v>823</v>
      </c>
    </row>
    <row r="664" spans="1:10" x14ac:dyDescent="0.3">
      <c r="A664" s="3" t="s">
        <v>140</v>
      </c>
      <c r="B664" s="5" t="s">
        <v>10</v>
      </c>
      <c r="C664">
        <v>447</v>
      </c>
      <c r="D664">
        <v>2.1</v>
      </c>
      <c r="E664">
        <v>8.1</v>
      </c>
      <c r="F664">
        <v>0.8</v>
      </c>
      <c r="G664" s="7" t="s">
        <v>13</v>
      </c>
      <c r="H664">
        <v>0</v>
      </c>
      <c r="I664" s="14">
        <v>0.61369005539588528</v>
      </c>
      <c r="J664" s="9" t="s">
        <v>823</v>
      </c>
    </row>
    <row r="665" spans="1:10" x14ac:dyDescent="0.3">
      <c r="A665" s="3" t="s">
        <v>141</v>
      </c>
      <c r="B665" s="5" t="s">
        <v>10</v>
      </c>
      <c r="C665">
        <v>279</v>
      </c>
      <c r="D665">
        <v>3.9</v>
      </c>
      <c r="E665">
        <v>2.2000000000000002</v>
      </c>
      <c r="F665">
        <v>0.8</v>
      </c>
      <c r="G665" s="7" t="s">
        <v>11</v>
      </c>
      <c r="H665">
        <v>0</v>
      </c>
      <c r="I665" s="14">
        <v>0.40472849884409579</v>
      </c>
      <c r="J665" s="9" t="s">
        <v>823</v>
      </c>
    </row>
    <row r="666" spans="1:10" ht="28.8" x14ac:dyDescent="0.3">
      <c r="A666" s="3" t="s">
        <v>142</v>
      </c>
      <c r="B666" s="5" t="s">
        <v>14</v>
      </c>
      <c r="C666">
        <v>437</v>
      </c>
      <c r="D666">
        <v>1.5</v>
      </c>
      <c r="E666">
        <v>9.1999999999999993</v>
      </c>
      <c r="F666">
        <v>1.3</v>
      </c>
      <c r="G666" s="7" t="s">
        <v>11</v>
      </c>
      <c r="H666">
        <v>0</v>
      </c>
      <c r="I666" s="14">
        <v>0.21984375689182667</v>
      </c>
      <c r="J666" s="9" t="s">
        <v>823</v>
      </c>
    </row>
    <row r="667" spans="1:10" x14ac:dyDescent="0.3">
      <c r="A667" s="3" t="s">
        <v>143</v>
      </c>
      <c r="B667" s="5" t="s">
        <v>10</v>
      </c>
      <c r="C667">
        <v>420</v>
      </c>
      <c r="D667">
        <v>4.2</v>
      </c>
      <c r="E667">
        <v>7.9</v>
      </c>
      <c r="F667">
        <v>2.6</v>
      </c>
      <c r="G667" s="7" t="s">
        <v>9</v>
      </c>
      <c r="H667">
        <v>0</v>
      </c>
      <c r="I667" s="14">
        <v>0.42082886267269626</v>
      </c>
      <c r="J667" s="9" t="s">
        <v>823</v>
      </c>
    </row>
    <row r="668" spans="1:10" ht="28.8" x14ac:dyDescent="0.3">
      <c r="A668" s="3" t="s">
        <v>144</v>
      </c>
      <c r="B668" s="5" t="s">
        <v>12</v>
      </c>
      <c r="C668">
        <v>297</v>
      </c>
      <c r="D668">
        <v>3</v>
      </c>
      <c r="E668">
        <v>1.4</v>
      </c>
      <c r="F668">
        <v>0.8</v>
      </c>
      <c r="G668" s="7" t="s">
        <v>9</v>
      </c>
      <c r="H668">
        <v>0</v>
      </c>
      <c r="I668" s="14">
        <v>0.53191420113496468</v>
      </c>
      <c r="J668" s="9" t="s">
        <v>823</v>
      </c>
    </row>
    <row r="669" spans="1:10" ht="28.8" x14ac:dyDescent="0.3">
      <c r="A669" s="3" t="s">
        <v>145</v>
      </c>
      <c r="B669" s="5" t="s">
        <v>14</v>
      </c>
      <c r="C669">
        <v>196</v>
      </c>
      <c r="D669">
        <v>7.1</v>
      </c>
      <c r="E669">
        <v>3.2</v>
      </c>
      <c r="F669">
        <v>2.1</v>
      </c>
      <c r="G669" s="7" t="s">
        <v>13</v>
      </c>
      <c r="H669">
        <v>0</v>
      </c>
      <c r="I669" s="14">
        <v>0.14855182656417854</v>
      </c>
      <c r="J669" s="9" t="s">
        <v>823</v>
      </c>
    </row>
    <row r="670" spans="1:10" ht="28.8" x14ac:dyDescent="0.3">
      <c r="A670" s="3" t="s">
        <v>147</v>
      </c>
      <c r="B670" s="5" t="s">
        <v>18</v>
      </c>
      <c r="C670">
        <v>353</v>
      </c>
      <c r="D670">
        <v>3</v>
      </c>
      <c r="E670">
        <v>3.7</v>
      </c>
      <c r="F670">
        <v>2.5</v>
      </c>
      <c r="G670" s="7" t="s">
        <v>11</v>
      </c>
      <c r="H670">
        <v>0</v>
      </c>
      <c r="I670" s="14">
        <v>0.62438768622628038</v>
      </c>
      <c r="J670" s="9" t="s">
        <v>823</v>
      </c>
    </row>
    <row r="671" spans="1:10" ht="28.8" x14ac:dyDescent="0.3">
      <c r="A671" s="3" t="s">
        <v>148</v>
      </c>
      <c r="B671" s="5" t="s">
        <v>12</v>
      </c>
      <c r="C671">
        <v>194</v>
      </c>
      <c r="D671">
        <v>2.4</v>
      </c>
      <c r="E671">
        <v>8.3000000000000007</v>
      </c>
      <c r="F671">
        <v>0.9</v>
      </c>
      <c r="G671" s="7" t="s">
        <v>11</v>
      </c>
      <c r="H671">
        <v>0</v>
      </c>
      <c r="I671" s="14">
        <v>0.6757105158845782</v>
      </c>
      <c r="J671" s="9" t="s">
        <v>823</v>
      </c>
    </row>
    <row r="672" spans="1:10" x14ac:dyDescent="0.3">
      <c r="A672" s="3" t="s">
        <v>149</v>
      </c>
      <c r="B672" s="5" t="s">
        <v>10</v>
      </c>
      <c r="C672">
        <v>86</v>
      </c>
      <c r="D672">
        <v>3.1</v>
      </c>
      <c r="E672">
        <v>4</v>
      </c>
      <c r="F672">
        <v>1.1000000000000001</v>
      </c>
      <c r="G672" s="7" t="s">
        <v>9</v>
      </c>
      <c r="H672">
        <v>0</v>
      </c>
      <c r="I672" s="14">
        <v>0.61838110078821118</v>
      </c>
      <c r="J672" s="9" t="s">
        <v>823</v>
      </c>
    </row>
    <row r="673" spans="1:10" ht="28.8" x14ac:dyDescent="0.3">
      <c r="A673" s="3" t="s">
        <v>150</v>
      </c>
      <c r="B673" s="5" t="s">
        <v>14</v>
      </c>
      <c r="C673">
        <v>165</v>
      </c>
      <c r="D673">
        <v>2.1</v>
      </c>
      <c r="E673">
        <v>4.8</v>
      </c>
      <c r="F673">
        <v>1.7</v>
      </c>
      <c r="G673" s="7" t="s">
        <v>7</v>
      </c>
      <c r="H673">
        <v>0</v>
      </c>
      <c r="I673" s="14">
        <v>6.3083255913598424E-2</v>
      </c>
      <c r="J673" s="9" t="s">
        <v>823</v>
      </c>
    </row>
    <row r="674" spans="1:10" ht="28.8" x14ac:dyDescent="0.3">
      <c r="A674" s="3" t="s">
        <v>151</v>
      </c>
      <c r="B674" s="5" t="s">
        <v>12</v>
      </c>
      <c r="C674">
        <v>452</v>
      </c>
      <c r="D674">
        <v>3.6</v>
      </c>
      <c r="E674">
        <v>3.2</v>
      </c>
      <c r="F674">
        <v>1.5</v>
      </c>
      <c r="G674" s="7" t="s">
        <v>13</v>
      </c>
      <c r="H674">
        <v>0</v>
      </c>
      <c r="I674" s="14">
        <v>0.17283551839401379</v>
      </c>
      <c r="J674" s="9" t="s">
        <v>823</v>
      </c>
    </row>
    <row r="675" spans="1:10" ht="28.8" x14ac:dyDescent="0.3">
      <c r="A675" s="3" t="s">
        <v>152</v>
      </c>
      <c r="B675" s="5" t="s">
        <v>18</v>
      </c>
      <c r="C675">
        <v>390</v>
      </c>
      <c r="D675">
        <v>3.4</v>
      </c>
      <c r="E675">
        <v>1.4</v>
      </c>
      <c r="F675">
        <v>2.2999999999999998</v>
      </c>
      <c r="G675" s="7" t="s">
        <v>7</v>
      </c>
      <c r="H675">
        <v>0</v>
      </c>
      <c r="I675" s="14">
        <v>0.52186854360848778</v>
      </c>
      <c r="J675" s="9" t="s">
        <v>823</v>
      </c>
    </row>
    <row r="676" spans="1:10" ht="28.8" x14ac:dyDescent="0.3">
      <c r="A676" s="3" t="s">
        <v>153</v>
      </c>
      <c r="B676" s="5" t="s">
        <v>18</v>
      </c>
      <c r="C676">
        <v>254</v>
      </c>
      <c r="D676">
        <v>3.2</v>
      </c>
      <c r="E676">
        <v>5.8</v>
      </c>
      <c r="F676">
        <v>2.7</v>
      </c>
      <c r="G676" s="7" t="s">
        <v>13</v>
      </c>
      <c r="H676">
        <v>0</v>
      </c>
      <c r="I676" s="14">
        <v>0.16261879600735851</v>
      </c>
      <c r="J676" s="9" t="s">
        <v>823</v>
      </c>
    </row>
    <row r="677" spans="1:10" x14ac:dyDescent="0.3">
      <c r="A677" s="3" t="s">
        <v>156</v>
      </c>
      <c r="B677" s="5" t="s">
        <v>10</v>
      </c>
      <c r="C677">
        <v>141</v>
      </c>
      <c r="D677">
        <v>5.7</v>
      </c>
      <c r="E677">
        <v>3.3</v>
      </c>
      <c r="F677">
        <v>2.4</v>
      </c>
      <c r="G677" s="7" t="s">
        <v>7</v>
      </c>
      <c r="H677">
        <v>0</v>
      </c>
      <c r="I677" s="14">
        <v>0.11001840507305183</v>
      </c>
      <c r="J677" s="9" t="s">
        <v>823</v>
      </c>
    </row>
    <row r="678" spans="1:10" ht="28.8" x14ac:dyDescent="0.3">
      <c r="A678" s="3" t="s">
        <v>157</v>
      </c>
      <c r="B678" s="5" t="s">
        <v>18</v>
      </c>
      <c r="C678">
        <v>394</v>
      </c>
      <c r="D678">
        <v>2.2000000000000002</v>
      </c>
      <c r="E678">
        <v>6.2</v>
      </c>
      <c r="F678">
        <v>1</v>
      </c>
      <c r="G678" s="7" t="s">
        <v>13</v>
      </c>
      <c r="H678">
        <v>0</v>
      </c>
      <c r="I678" s="14">
        <v>0.44471601350648648</v>
      </c>
      <c r="J678" s="9" t="s">
        <v>823</v>
      </c>
    </row>
    <row r="679" spans="1:10" ht="28.8" x14ac:dyDescent="0.3">
      <c r="A679" s="3" t="s">
        <v>159</v>
      </c>
      <c r="B679" s="5" t="s">
        <v>12</v>
      </c>
      <c r="C679">
        <v>253</v>
      </c>
      <c r="D679">
        <v>1.9</v>
      </c>
      <c r="E679">
        <v>9.9</v>
      </c>
      <c r="F679">
        <v>0.7</v>
      </c>
      <c r="G679" s="7" t="s">
        <v>11</v>
      </c>
      <c r="H679">
        <v>0</v>
      </c>
      <c r="I679" s="14">
        <v>0.31667303328224738</v>
      </c>
      <c r="J679" s="9" t="s">
        <v>823</v>
      </c>
    </row>
    <row r="680" spans="1:10" x14ac:dyDescent="0.3">
      <c r="A680" s="3" t="s">
        <v>160</v>
      </c>
      <c r="B680" s="5" t="s">
        <v>8</v>
      </c>
      <c r="C680">
        <v>472</v>
      </c>
      <c r="D680">
        <v>6.2</v>
      </c>
      <c r="E680">
        <v>4</v>
      </c>
      <c r="F680">
        <v>0.8</v>
      </c>
      <c r="G680" s="7" t="s">
        <v>9</v>
      </c>
      <c r="H680">
        <v>0</v>
      </c>
      <c r="I680" s="14">
        <v>0.20972165093811057</v>
      </c>
      <c r="J680" s="9" t="s">
        <v>823</v>
      </c>
    </row>
    <row r="681" spans="1:10" x14ac:dyDescent="0.3">
      <c r="A681" s="3" t="s">
        <v>161</v>
      </c>
      <c r="B681" s="5" t="s">
        <v>10</v>
      </c>
      <c r="C681">
        <v>101</v>
      </c>
      <c r="D681">
        <v>7.5</v>
      </c>
      <c r="E681">
        <v>2.7</v>
      </c>
      <c r="F681">
        <v>0.9</v>
      </c>
      <c r="G681" s="7" t="s">
        <v>9</v>
      </c>
      <c r="H681">
        <v>0</v>
      </c>
      <c r="I681" s="14">
        <v>0.1316779133524032</v>
      </c>
      <c r="J681" s="9" t="s">
        <v>823</v>
      </c>
    </row>
    <row r="682" spans="1:10" ht="28.8" x14ac:dyDescent="0.3">
      <c r="A682" s="3" t="s">
        <v>162</v>
      </c>
      <c r="B682" s="5" t="s">
        <v>14</v>
      </c>
      <c r="C682">
        <v>490</v>
      </c>
      <c r="D682">
        <v>4.3</v>
      </c>
      <c r="E682">
        <v>6.8</v>
      </c>
      <c r="F682">
        <v>2.6</v>
      </c>
      <c r="G682" s="7" t="s">
        <v>9</v>
      </c>
      <c r="H682">
        <v>0</v>
      </c>
      <c r="I682" s="14">
        <v>0.45871774094354645</v>
      </c>
      <c r="J682" s="9" t="s">
        <v>823</v>
      </c>
    </row>
    <row r="683" spans="1:10" ht="28.8" x14ac:dyDescent="0.3">
      <c r="A683" s="3" t="s">
        <v>163</v>
      </c>
      <c r="B683" s="5" t="s">
        <v>18</v>
      </c>
      <c r="C683">
        <v>93</v>
      </c>
      <c r="D683">
        <v>5.9</v>
      </c>
      <c r="E683">
        <v>7.2</v>
      </c>
      <c r="F683">
        <v>1.4</v>
      </c>
      <c r="G683" s="7" t="s">
        <v>13</v>
      </c>
      <c r="H683">
        <v>0</v>
      </c>
      <c r="I683" s="14">
        <v>0.49880245147598423</v>
      </c>
      <c r="J683" s="9" t="s">
        <v>823</v>
      </c>
    </row>
    <row r="684" spans="1:10" x14ac:dyDescent="0.3">
      <c r="A684" s="3" t="s">
        <v>166</v>
      </c>
      <c r="B684" s="5" t="s">
        <v>10</v>
      </c>
      <c r="C684">
        <v>430</v>
      </c>
      <c r="D684">
        <v>1.9</v>
      </c>
      <c r="E684">
        <v>5.5</v>
      </c>
      <c r="F684">
        <v>1</v>
      </c>
      <c r="G684" s="7" t="s">
        <v>13</v>
      </c>
      <c r="H684">
        <v>0</v>
      </c>
      <c r="I684" s="14">
        <v>0.22920310948609601</v>
      </c>
      <c r="J684" s="9" t="s">
        <v>823</v>
      </c>
    </row>
    <row r="685" spans="1:10" x14ac:dyDescent="0.3">
      <c r="A685" s="3" t="s">
        <v>168</v>
      </c>
      <c r="B685" s="5" t="s">
        <v>10</v>
      </c>
      <c r="C685">
        <v>88</v>
      </c>
      <c r="D685">
        <v>5.9</v>
      </c>
      <c r="E685">
        <v>9.8000000000000007</v>
      </c>
      <c r="F685">
        <v>2.8</v>
      </c>
      <c r="G685" s="7" t="s">
        <v>11</v>
      </c>
      <c r="H685">
        <v>0</v>
      </c>
      <c r="I685" s="14">
        <v>0.11416741918053108</v>
      </c>
      <c r="J685" s="9" t="s">
        <v>823</v>
      </c>
    </row>
    <row r="686" spans="1:10" ht="28.8" x14ac:dyDescent="0.3">
      <c r="A686" s="3" t="s">
        <v>169</v>
      </c>
      <c r="B686" s="5" t="s">
        <v>6</v>
      </c>
      <c r="C686">
        <v>488</v>
      </c>
      <c r="D686">
        <v>6.8</v>
      </c>
      <c r="E686">
        <v>6.6</v>
      </c>
      <c r="F686">
        <v>2.2000000000000002</v>
      </c>
      <c r="G686" s="7" t="s">
        <v>9</v>
      </c>
      <c r="H686">
        <v>0</v>
      </c>
      <c r="I686" s="14">
        <v>0.24666538116005565</v>
      </c>
      <c r="J686" s="9" t="s">
        <v>823</v>
      </c>
    </row>
    <row r="687" spans="1:10" x14ac:dyDescent="0.3">
      <c r="A687" s="3" t="s">
        <v>170</v>
      </c>
      <c r="B687" s="5" t="s">
        <v>8</v>
      </c>
      <c r="C687">
        <v>146</v>
      </c>
      <c r="D687">
        <v>2.5</v>
      </c>
      <c r="E687">
        <v>6.7</v>
      </c>
      <c r="F687">
        <v>0.9</v>
      </c>
      <c r="G687" s="7" t="s">
        <v>9</v>
      </c>
      <c r="H687">
        <v>0</v>
      </c>
      <c r="I687" s="14">
        <v>3.1572440903633536E-2</v>
      </c>
      <c r="J687" s="9" t="s">
        <v>823</v>
      </c>
    </row>
    <row r="688" spans="1:10" ht="28.8" x14ac:dyDescent="0.3">
      <c r="A688" s="3" t="s">
        <v>171</v>
      </c>
      <c r="B688" s="5" t="s">
        <v>18</v>
      </c>
      <c r="C688">
        <v>408</v>
      </c>
      <c r="D688">
        <v>4.7</v>
      </c>
      <c r="E688">
        <v>5.6</v>
      </c>
      <c r="F688">
        <v>1.1000000000000001</v>
      </c>
      <c r="G688" s="7" t="s">
        <v>7</v>
      </c>
      <c r="H688">
        <v>0</v>
      </c>
      <c r="I688" s="14">
        <v>0.3746000878455279</v>
      </c>
      <c r="J688" s="9" t="s">
        <v>823</v>
      </c>
    </row>
    <row r="689" spans="1:10" x14ac:dyDescent="0.3">
      <c r="A689" s="3" t="s">
        <v>172</v>
      </c>
      <c r="B689" s="5" t="s">
        <v>10</v>
      </c>
      <c r="C689">
        <v>361</v>
      </c>
      <c r="D689">
        <v>3.2</v>
      </c>
      <c r="E689">
        <v>9.6</v>
      </c>
      <c r="F689">
        <v>2</v>
      </c>
      <c r="G689" s="7" t="s">
        <v>9</v>
      </c>
      <c r="H689">
        <v>0</v>
      </c>
      <c r="I689" s="14">
        <v>0.64266024969490876</v>
      </c>
      <c r="J689" s="9" t="s">
        <v>823</v>
      </c>
    </row>
    <row r="690" spans="1:10" ht="28.8" x14ac:dyDescent="0.3">
      <c r="A690" s="3" t="s">
        <v>174</v>
      </c>
      <c r="B690" s="5" t="s">
        <v>18</v>
      </c>
      <c r="C690">
        <v>83</v>
      </c>
      <c r="D690">
        <v>5.7</v>
      </c>
      <c r="E690">
        <v>7.7</v>
      </c>
      <c r="F690">
        <v>1.2</v>
      </c>
      <c r="G690" s="7" t="s">
        <v>9</v>
      </c>
      <c r="H690">
        <v>0</v>
      </c>
      <c r="I690" s="14">
        <v>0.50093298856198742</v>
      </c>
      <c r="J690" s="9" t="s">
        <v>823</v>
      </c>
    </row>
    <row r="691" spans="1:10" ht="28.8" x14ac:dyDescent="0.3">
      <c r="A691" s="3" t="s">
        <v>175</v>
      </c>
      <c r="B691" s="5" t="s">
        <v>14</v>
      </c>
      <c r="C691">
        <v>208</v>
      </c>
      <c r="D691">
        <v>2.1</v>
      </c>
      <c r="E691">
        <v>2</v>
      </c>
      <c r="F691">
        <v>1.3</v>
      </c>
      <c r="G691" s="7" t="s">
        <v>9</v>
      </c>
      <c r="H691">
        <v>0</v>
      </c>
      <c r="I691" s="14">
        <v>8.1317407591203317E-2</v>
      </c>
      <c r="J691" s="9" t="s">
        <v>823</v>
      </c>
    </row>
    <row r="692" spans="1:10" ht="28.8" x14ac:dyDescent="0.3">
      <c r="A692" s="3" t="s">
        <v>177</v>
      </c>
      <c r="B692" s="5" t="s">
        <v>6</v>
      </c>
      <c r="C692">
        <v>485</v>
      </c>
      <c r="D692">
        <v>4.5</v>
      </c>
      <c r="E692">
        <v>4.9000000000000004</v>
      </c>
      <c r="F692">
        <v>2.5</v>
      </c>
      <c r="G692" s="7" t="s">
        <v>9</v>
      </c>
      <c r="H692">
        <v>0</v>
      </c>
      <c r="I692" s="14">
        <v>0.49839455844144076</v>
      </c>
      <c r="J692" s="9" t="s">
        <v>823</v>
      </c>
    </row>
    <row r="693" spans="1:10" ht="28.8" x14ac:dyDescent="0.3">
      <c r="A693" s="3" t="s">
        <v>178</v>
      </c>
      <c r="B693" s="5" t="s">
        <v>14</v>
      </c>
      <c r="C693">
        <v>79</v>
      </c>
      <c r="D693">
        <v>1</v>
      </c>
      <c r="E693">
        <v>6.5</v>
      </c>
      <c r="F693">
        <v>1.7</v>
      </c>
      <c r="G693" s="7" t="s">
        <v>13</v>
      </c>
      <c r="H693">
        <v>0</v>
      </c>
      <c r="I693" s="14">
        <v>4.7062830993902294E-2</v>
      </c>
      <c r="J693" s="9" t="s">
        <v>823</v>
      </c>
    </row>
    <row r="694" spans="1:10" ht="28.8" x14ac:dyDescent="0.3">
      <c r="A694" s="3" t="s">
        <v>179</v>
      </c>
      <c r="B694" s="5" t="s">
        <v>12</v>
      </c>
      <c r="C694">
        <v>80</v>
      </c>
      <c r="D694">
        <v>3</v>
      </c>
      <c r="E694">
        <v>1.6</v>
      </c>
      <c r="F694">
        <v>1.8</v>
      </c>
      <c r="G694" s="7" t="s">
        <v>11</v>
      </c>
      <c r="H694">
        <v>0</v>
      </c>
      <c r="I694" s="14">
        <v>0.45703827233561345</v>
      </c>
      <c r="J694" s="9" t="s">
        <v>823</v>
      </c>
    </row>
    <row r="695" spans="1:10" ht="28.8" x14ac:dyDescent="0.3">
      <c r="A695" s="3" t="s">
        <v>181</v>
      </c>
      <c r="B695" s="5" t="s">
        <v>18</v>
      </c>
      <c r="C695">
        <v>336</v>
      </c>
      <c r="D695">
        <v>3.9</v>
      </c>
      <c r="E695">
        <v>4.7</v>
      </c>
      <c r="F695">
        <v>0.5</v>
      </c>
      <c r="G695" s="7" t="s">
        <v>7</v>
      </c>
      <c r="H695">
        <v>0</v>
      </c>
      <c r="I695" s="14">
        <v>0.23782564355122648</v>
      </c>
      <c r="J695" s="9" t="s">
        <v>823</v>
      </c>
    </row>
    <row r="696" spans="1:10" ht="28.8" x14ac:dyDescent="0.3">
      <c r="A696" s="3" t="s">
        <v>182</v>
      </c>
      <c r="B696" s="5" t="s">
        <v>14</v>
      </c>
      <c r="C696">
        <v>356</v>
      </c>
      <c r="D696">
        <v>6.8</v>
      </c>
      <c r="E696">
        <v>0.6</v>
      </c>
      <c r="F696">
        <v>1.7</v>
      </c>
      <c r="G696" s="7" t="s">
        <v>13</v>
      </c>
      <c r="H696">
        <v>0</v>
      </c>
      <c r="I696" s="14">
        <v>0.26816691240389101</v>
      </c>
      <c r="J696" s="9" t="s">
        <v>823</v>
      </c>
    </row>
    <row r="697" spans="1:10" ht="28.8" x14ac:dyDescent="0.3">
      <c r="A697" s="3" t="s">
        <v>184</v>
      </c>
      <c r="B697" s="5" t="s">
        <v>6</v>
      </c>
      <c r="C697">
        <v>386</v>
      </c>
      <c r="D697">
        <v>0.9</v>
      </c>
      <c r="E697">
        <v>1.5</v>
      </c>
      <c r="F697">
        <v>2.8</v>
      </c>
      <c r="G697" s="7" t="s">
        <v>9</v>
      </c>
      <c r="H697">
        <v>0</v>
      </c>
      <c r="I697" s="14">
        <v>0.20523644206526181</v>
      </c>
      <c r="J697" s="9" t="s">
        <v>823</v>
      </c>
    </row>
    <row r="698" spans="1:10" x14ac:dyDescent="0.3">
      <c r="A698" s="3" t="s">
        <v>187</v>
      </c>
      <c r="B698" s="5" t="s">
        <v>8</v>
      </c>
      <c r="C698">
        <v>335</v>
      </c>
      <c r="D698">
        <v>4.5</v>
      </c>
      <c r="E698">
        <v>5.9</v>
      </c>
      <c r="F698">
        <v>1.6</v>
      </c>
      <c r="G698" s="7" t="s">
        <v>13</v>
      </c>
      <c r="H698">
        <v>0</v>
      </c>
      <c r="I698" s="14">
        <v>5.3507368537743405E-2</v>
      </c>
      <c r="J698" s="9" t="s">
        <v>823</v>
      </c>
    </row>
    <row r="699" spans="1:10" ht="28.8" x14ac:dyDescent="0.3">
      <c r="A699" s="3" t="s">
        <v>189</v>
      </c>
      <c r="B699" s="5" t="s">
        <v>12</v>
      </c>
      <c r="C699">
        <v>318</v>
      </c>
      <c r="D699">
        <v>1.6</v>
      </c>
      <c r="E699">
        <v>4.5</v>
      </c>
      <c r="F699">
        <v>1.5</v>
      </c>
      <c r="G699" s="7" t="s">
        <v>13</v>
      </c>
      <c r="H699">
        <v>0</v>
      </c>
      <c r="I699" s="14">
        <v>4.3083147472285588E-2</v>
      </c>
      <c r="J699" s="9" t="s">
        <v>823</v>
      </c>
    </row>
    <row r="700" spans="1:10" ht="28.8" x14ac:dyDescent="0.3">
      <c r="A700" s="3" t="s">
        <v>190</v>
      </c>
      <c r="B700" s="5" t="s">
        <v>6</v>
      </c>
      <c r="C700">
        <v>191</v>
      </c>
      <c r="D700">
        <v>1.3</v>
      </c>
      <c r="E700">
        <v>5.9</v>
      </c>
      <c r="F700">
        <v>1.8</v>
      </c>
      <c r="G700" s="7" t="s">
        <v>11</v>
      </c>
      <c r="H700">
        <v>0</v>
      </c>
      <c r="I700" s="14">
        <v>0.51909239662406537</v>
      </c>
      <c r="J700" s="9" t="s">
        <v>823</v>
      </c>
    </row>
    <row r="701" spans="1:10" ht="28.8" x14ac:dyDescent="0.3">
      <c r="A701" s="3" t="s">
        <v>193</v>
      </c>
      <c r="B701" s="5" t="s">
        <v>12</v>
      </c>
      <c r="C701">
        <v>367</v>
      </c>
      <c r="D701">
        <v>7.4</v>
      </c>
      <c r="E701">
        <v>8.8000000000000007</v>
      </c>
      <c r="F701">
        <v>0.8</v>
      </c>
      <c r="G701" s="7" t="s">
        <v>11</v>
      </c>
      <c r="H701">
        <v>0</v>
      </c>
      <c r="I701" s="14">
        <v>0.34654873884802884</v>
      </c>
      <c r="J701" s="9" t="s">
        <v>823</v>
      </c>
    </row>
    <row r="702" spans="1:10" ht="28.8" x14ac:dyDescent="0.3">
      <c r="A702" s="3" t="s">
        <v>194</v>
      </c>
      <c r="B702" s="5" t="s">
        <v>14</v>
      </c>
      <c r="C702">
        <v>497</v>
      </c>
      <c r="D702">
        <v>7.9</v>
      </c>
      <c r="E702">
        <v>9.9</v>
      </c>
      <c r="F702">
        <v>1.9</v>
      </c>
      <c r="G702" s="7" t="s">
        <v>7</v>
      </c>
      <c r="H702">
        <v>0</v>
      </c>
      <c r="I702" s="14">
        <v>0.14200197279361249</v>
      </c>
      <c r="J702" s="9" t="s">
        <v>823</v>
      </c>
    </row>
    <row r="703" spans="1:10" ht="28.8" x14ac:dyDescent="0.3">
      <c r="A703" s="3" t="s">
        <v>196</v>
      </c>
      <c r="B703" s="5" t="s">
        <v>18</v>
      </c>
      <c r="C703">
        <v>473</v>
      </c>
      <c r="D703">
        <v>5.4</v>
      </c>
      <c r="E703">
        <v>5.2</v>
      </c>
      <c r="F703">
        <v>0.6</v>
      </c>
      <c r="G703" s="7" t="s">
        <v>9</v>
      </c>
      <c r="H703">
        <v>0</v>
      </c>
      <c r="I703" s="14">
        <v>0.16625938357137349</v>
      </c>
      <c r="J703" s="9" t="s">
        <v>823</v>
      </c>
    </row>
    <row r="704" spans="1:10" ht="28.8" x14ac:dyDescent="0.3">
      <c r="A704" s="3" t="s">
        <v>197</v>
      </c>
      <c r="B704" s="5" t="s">
        <v>18</v>
      </c>
      <c r="C704">
        <v>407</v>
      </c>
      <c r="D704">
        <v>1.7</v>
      </c>
      <c r="E704">
        <v>7.4</v>
      </c>
      <c r="F704">
        <v>2.9</v>
      </c>
      <c r="G704" s="7" t="s">
        <v>11</v>
      </c>
      <c r="H704">
        <v>0</v>
      </c>
      <c r="I704" s="14">
        <v>0.40412135601070021</v>
      </c>
      <c r="J704" s="9" t="s">
        <v>823</v>
      </c>
    </row>
    <row r="705" spans="1:10" ht="28.8" x14ac:dyDescent="0.3">
      <c r="A705" s="3" t="s">
        <v>198</v>
      </c>
      <c r="B705" s="5" t="s">
        <v>12</v>
      </c>
      <c r="C705">
        <v>160</v>
      </c>
      <c r="D705">
        <v>5.0999999999999996</v>
      </c>
      <c r="E705">
        <v>10</v>
      </c>
      <c r="F705">
        <v>2.1</v>
      </c>
      <c r="G705" s="7" t="s">
        <v>13</v>
      </c>
      <c r="H705">
        <v>0</v>
      </c>
      <c r="I705" s="14">
        <v>0.16920156442412648</v>
      </c>
      <c r="J705" s="9" t="s">
        <v>823</v>
      </c>
    </row>
    <row r="706" spans="1:10" ht="28.8" x14ac:dyDescent="0.3">
      <c r="A706" s="3" t="s">
        <v>200</v>
      </c>
      <c r="B706" s="5" t="s">
        <v>14</v>
      </c>
      <c r="C706">
        <v>275</v>
      </c>
      <c r="D706">
        <v>2.6</v>
      </c>
      <c r="E706">
        <v>7.3</v>
      </c>
      <c r="F706">
        <v>0.9</v>
      </c>
      <c r="G706" s="7" t="s">
        <v>7</v>
      </c>
      <c r="H706">
        <v>0</v>
      </c>
      <c r="I706" s="14">
        <v>9.7654202155765701E-2</v>
      </c>
      <c r="J706" s="9" t="s">
        <v>823</v>
      </c>
    </row>
    <row r="707" spans="1:10" ht="28.8" x14ac:dyDescent="0.3">
      <c r="A707" s="3" t="s">
        <v>201</v>
      </c>
      <c r="B707" s="5" t="s">
        <v>6</v>
      </c>
      <c r="C707">
        <v>106</v>
      </c>
      <c r="D707">
        <v>3.9</v>
      </c>
      <c r="E707">
        <v>0.9</v>
      </c>
      <c r="F707">
        <v>1.9</v>
      </c>
      <c r="G707" s="7" t="s">
        <v>9</v>
      </c>
      <c r="H707">
        <v>0</v>
      </c>
      <c r="I707" s="14">
        <v>0.3283321099572637</v>
      </c>
      <c r="J707" s="9" t="s">
        <v>823</v>
      </c>
    </row>
    <row r="708" spans="1:10" x14ac:dyDescent="0.3">
      <c r="A708" s="3" t="s">
        <v>204</v>
      </c>
      <c r="B708" s="5" t="s">
        <v>10</v>
      </c>
      <c r="C708">
        <v>446</v>
      </c>
      <c r="D708">
        <v>7.1</v>
      </c>
      <c r="E708">
        <v>4.5999999999999996</v>
      </c>
      <c r="F708">
        <v>1.9</v>
      </c>
      <c r="G708" s="7" t="s">
        <v>7</v>
      </c>
      <c r="H708">
        <v>0</v>
      </c>
      <c r="I708" s="14">
        <v>0.51026346040110937</v>
      </c>
      <c r="J708" s="9" t="s">
        <v>823</v>
      </c>
    </row>
    <row r="709" spans="1:10" ht="28.8" x14ac:dyDescent="0.3">
      <c r="A709" s="3" t="s">
        <v>205</v>
      </c>
      <c r="B709" s="5" t="s">
        <v>6</v>
      </c>
      <c r="C709">
        <v>196</v>
      </c>
      <c r="D709">
        <v>1.8</v>
      </c>
      <c r="E709">
        <v>3.9</v>
      </c>
      <c r="F709">
        <v>2.2999999999999998</v>
      </c>
      <c r="G709" s="7" t="s">
        <v>13</v>
      </c>
      <c r="H709">
        <v>0</v>
      </c>
      <c r="I709" s="14">
        <v>0.62973885178283295</v>
      </c>
      <c r="J709" s="9" t="s">
        <v>823</v>
      </c>
    </row>
    <row r="710" spans="1:10" ht="28.8" x14ac:dyDescent="0.3">
      <c r="A710" s="3" t="s">
        <v>207</v>
      </c>
      <c r="B710" s="5" t="s">
        <v>12</v>
      </c>
      <c r="C710">
        <v>111</v>
      </c>
      <c r="D710">
        <v>0.9</v>
      </c>
      <c r="E710">
        <v>8.6999999999999993</v>
      </c>
      <c r="F710">
        <v>1.6</v>
      </c>
      <c r="G710" s="7" t="s">
        <v>7</v>
      </c>
      <c r="H710">
        <v>0</v>
      </c>
      <c r="I710" s="14">
        <v>0.17799878187087326</v>
      </c>
      <c r="J710" s="9" t="s">
        <v>823</v>
      </c>
    </row>
    <row r="711" spans="1:10" ht="28.8" x14ac:dyDescent="0.3">
      <c r="A711" s="3" t="s">
        <v>208</v>
      </c>
      <c r="B711" s="5" t="s">
        <v>14</v>
      </c>
      <c r="C711">
        <v>101</v>
      </c>
      <c r="D711">
        <v>0.9</v>
      </c>
      <c r="E711">
        <v>8.6</v>
      </c>
      <c r="F711">
        <v>1.3</v>
      </c>
      <c r="G711" s="7" t="s">
        <v>13</v>
      </c>
      <c r="H711">
        <v>0</v>
      </c>
      <c r="I711" s="14">
        <v>2.2267964110125216E-2</v>
      </c>
      <c r="J711" s="9" t="s">
        <v>823</v>
      </c>
    </row>
    <row r="712" spans="1:10" ht="28.8" x14ac:dyDescent="0.3">
      <c r="A712" s="3" t="s">
        <v>209</v>
      </c>
      <c r="B712" s="5" t="s">
        <v>14</v>
      </c>
      <c r="C712">
        <v>226</v>
      </c>
      <c r="D712">
        <v>7.4</v>
      </c>
      <c r="E712">
        <v>2.5</v>
      </c>
      <c r="F712">
        <v>0.6</v>
      </c>
      <c r="G712" s="7" t="s">
        <v>7</v>
      </c>
      <c r="H712">
        <v>0</v>
      </c>
      <c r="I712" s="14">
        <v>0.4617968349873337</v>
      </c>
      <c r="J712" s="9" t="s">
        <v>823</v>
      </c>
    </row>
    <row r="713" spans="1:10" ht="28.8" x14ac:dyDescent="0.3">
      <c r="A713" s="3" t="s">
        <v>210</v>
      </c>
      <c r="B713" s="5" t="s">
        <v>12</v>
      </c>
      <c r="C713">
        <v>420</v>
      </c>
      <c r="D713">
        <v>3.5</v>
      </c>
      <c r="E713">
        <v>9.3000000000000007</v>
      </c>
      <c r="F713">
        <v>1.4</v>
      </c>
      <c r="G713" s="7" t="s">
        <v>7</v>
      </c>
      <c r="H713">
        <v>0</v>
      </c>
      <c r="I713" s="14">
        <v>0.27651339085448834</v>
      </c>
      <c r="J713" s="9" t="s">
        <v>823</v>
      </c>
    </row>
    <row r="714" spans="1:10" x14ac:dyDescent="0.3">
      <c r="A714" s="3" t="s">
        <v>211</v>
      </c>
      <c r="B714" s="5" t="s">
        <v>10</v>
      </c>
      <c r="C714">
        <v>314</v>
      </c>
      <c r="D714">
        <v>6.6</v>
      </c>
      <c r="E714">
        <v>5.8</v>
      </c>
      <c r="F714">
        <v>2.9</v>
      </c>
      <c r="G714" s="7" t="s">
        <v>13</v>
      </c>
      <c r="H714">
        <v>0</v>
      </c>
      <c r="I714" s="14">
        <v>0.59042753511523838</v>
      </c>
      <c r="J714" s="9" t="s">
        <v>823</v>
      </c>
    </row>
    <row r="715" spans="1:10" ht="28.8" x14ac:dyDescent="0.3">
      <c r="A715" s="3" t="s">
        <v>212</v>
      </c>
      <c r="B715" s="5" t="s">
        <v>14</v>
      </c>
      <c r="C715">
        <v>295</v>
      </c>
      <c r="D715">
        <v>4.9000000000000004</v>
      </c>
      <c r="E715">
        <v>3.9</v>
      </c>
      <c r="F715">
        <v>1.3</v>
      </c>
      <c r="G715" s="7" t="s">
        <v>9</v>
      </c>
      <c r="H715">
        <v>0</v>
      </c>
      <c r="I715" s="14">
        <v>0.32128281477876452</v>
      </c>
      <c r="J715" s="9" t="s">
        <v>823</v>
      </c>
    </row>
    <row r="716" spans="1:10" ht="28.8" x14ac:dyDescent="0.3">
      <c r="A716" s="3" t="s">
        <v>213</v>
      </c>
      <c r="B716" s="5" t="s">
        <v>12</v>
      </c>
      <c r="C716">
        <v>75</v>
      </c>
      <c r="D716">
        <v>5.6</v>
      </c>
      <c r="E716">
        <v>7.8</v>
      </c>
      <c r="F716">
        <v>1.9</v>
      </c>
      <c r="G716" s="7" t="s">
        <v>13</v>
      </c>
      <c r="H716">
        <v>0</v>
      </c>
      <c r="I716" s="14">
        <v>0.56592272530928056</v>
      </c>
      <c r="J716" s="9" t="s">
        <v>823</v>
      </c>
    </row>
    <row r="717" spans="1:10" ht="28.8" x14ac:dyDescent="0.3">
      <c r="A717" s="3" t="s">
        <v>214</v>
      </c>
      <c r="B717" s="5" t="s">
        <v>12</v>
      </c>
      <c r="C717">
        <v>94</v>
      </c>
      <c r="D717">
        <v>3.4</v>
      </c>
      <c r="E717">
        <v>0.9</v>
      </c>
      <c r="F717">
        <v>0.6</v>
      </c>
      <c r="G717" s="7" t="s">
        <v>9</v>
      </c>
      <c r="H717">
        <v>0</v>
      </c>
      <c r="I717" s="14">
        <v>0.54233026639956927</v>
      </c>
      <c r="J717" s="9" t="s">
        <v>823</v>
      </c>
    </row>
    <row r="718" spans="1:10" x14ac:dyDescent="0.3">
      <c r="A718" s="3" t="s">
        <v>215</v>
      </c>
      <c r="B718" s="5" t="s">
        <v>8</v>
      </c>
      <c r="C718">
        <v>314</v>
      </c>
      <c r="D718">
        <v>7.7</v>
      </c>
      <c r="E718">
        <v>8.1</v>
      </c>
      <c r="F718">
        <v>1.1000000000000001</v>
      </c>
      <c r="G718" s="7" t="s">
        <v>7</v>
      </c>
      <c r="H718">
        <v>0</v>
      </c>
      <c r="I718" s="14">
        <v>9.5313009574344854E-2</v>
      </c>
      <c r="J718" s="9" t="s">
        <v>823</v>
      </c>
    </row>
    <row r="719" spans="1:10" ht="28.8" x14ac:dyDescent="0.3">
      <c r="A719" s="3" t="s">
        <v>216</v>
      </c>
      <c r="B719" s="5" t="s">
        <v>12</v>
      </c>
      <c r="C719">
        <v>459</v>
      </c>
      <c r="D719">
        <v>4.5999999999999996</v>
      </c>
      <c r="E719">
        <v>8.6</v>
      </c>
      <c r="F719">
        <v>1.7</v>
      </c>
      <c r="G719" s="7" t="s">
        <v>9</v>
      </c>
      <c r="H719">
        <v>0</v>
      </c>
      <c r="I719" s="14">
        <v>3.0175664436271621E-3</v>
      </c>
      <c r="J719" s="9" t="s">
        <v>823</v>
      </c>
    </row>
    <row r="720" spans="1:10" ht="28.8" x14ac:dyDescent="0.3">
      <c r="A720" s="3" t="s">
        <v>217</v>
      </c>
      <c r="B720" s="5" t="s">
        <v>14</v>
      </c>
      <c r="C720">
        <v>396</v>
      </c>
      <c r="D720">
        <v>3.4</v>
      </c>
      <c r="E720">
        <v>2.7</v>
      </c>
      <c r="F720">
        <v>1</v>
      </c>
      <c r="G720" s="7" t="s">
        <v>11</v>
      </c>
      <c r="H720">
        <v>0</v>
      </c>
      <c r="I720" s="14">
        <v>0.69448159923693042</v>
      </c>
      <c r="J720" s="9" t="s">
        <v>823</v>
      </c>
    </row>
    <row r="721" spans="1:8" x14ac:dyDescent="0.3">
      <c r="A721" s="9"/>
      <c r="B721" s="9"/>
      <c r="C721" s="9"/>
      <c r="D721" s="9"/>
      <c r="E721" s="9"/>
      <c r="F721" s="9"/>
      <c r="G721" s="9"/>
      <c r="H721" s="9"/>
    </row>
    <row r="722" spans="1:8" x14ac:dyDescent="0.3">
      <c r="A722" s="9"/>
      <c r="B722" s="9"/>
      <c r="C722" s="9"/>
      <c r="D722" s="9"/>
      <c r="E722" s="9"/>
      <c r="F722" s="9"/>
      <c r="G722" s="9"/>
      <c r="H722" s="9"/>
    </row>
    <row r="723" spans="1:8" x14ac:dyDescent="0.3">
      <c r="A723" s="9"/>
      <c r="B723" s="9"/>
      <c r="C723" s="9"/>
      <c r="D723" s="9"/>
      <c r="E723" s="9"/>
      <c r="F723" s="9"/>
      <c r="G723" s="9"/>
      <c r="H723" s="9"/>
    </row>
    <row r="724" spans="1:8" x14ac:dyDescent="0.3">
      <c r="A724" s="9"/>
      <c r="B724" s="9"/>
      <c r="C724" s="9"/>
      <c r="D724" s="9"/>
      <c r="E724" s="9"/>
      <c r="F724" s="9"/>
      <c r="G724" s="9"/>
      <c r="H724" s="9"/>
    </row>
    <row r="725" spans="1:8" x14ac:dyDescent="0.3">
      <c r="A725" s="9"/>
      <c r="B725" s="9"/>
      <c r="C725" s="9"/>
      <c r="D725" s="9"/>
      <c r="E725" s="9"/>
      <c r="F725" s="9"/>
      <c r="G725" s="9"/>
      <c r="H725" s="9"/>
    </row>
    <row r="726" spans="1:8" x14ac:dyDescent="0.3">
      <c r="A726" s="9"/>
      <c r="B726" s="9"/>
      <c r="C726" s="9"/>
      <c r="D726" s="9"/>
      <c r="E726" s="9"/>
      <c r="F726" s="9"/>
      <c r="G726" s="9"/>
      <c r="H726" s="9"/>
    </row>
    <row r="727" spans="1:8" x14ac:dyDescent="0.3">
      <c r="A727" s="9"/>
      <c r="B727" s="9"/>
      <c r="C727" s="9"/>
      <c r="D727" s="9"/>
      <c r="E727" s="9"/>
      <c r="F727" s="9"/>
      <c r="G727" s="9"/>
      <c r="H727" s="9"/>
    </row>
    <row r="728" spans="1:8" x14ac:dyDescent="0.3">
      <c r="A728" s="9"/>
      <c r="B728" s="9"/>
      <c r="C728" s="9"/>
      <c r="D728" s="9"/>
      <c r="E728" s="9"/>
      <c r="F728" s="9"/>
      <c r="G728" s="9"/>
      <c r="H728" s="9"/>
    </row>
    <row r="729" spans="1:8" x14ac:dyDescent="0.3">
      <c r="A729" s="9"/>
      <c r="B729" s="9"/>
      <c r="C729" s="9"/>
      <c r="D729" s="9"/>
      <c r="E729" s="9"/>
      <c r="F729" s="9"/>
      <c r="G729" s="9"/>
      <c r="H729" s="9"/>
    </row>
    <row r="730" spans="1:8" x14ac:dyDescent="0.3">
      <c r="A730" s="9"/>
      <c r="B730" s="9"/>
      <c r="C730" s="9"/>
      <c r="D730" s="9"/>
      <c r="E730" s="9"/>
      <c r="F730" s="9"/>
      <c r="G730" s="9"/>
      <c r="H730" s="9"/>
    </row>
    <row r="731" spans="1:8" x14ac:dyDescent="0.3">
      <c r="A731" s="9"/>
      <c r="B731" s="9"/>
      <c r="C731" s="9"/>
      <c r="D731" s="9"/>
      <c r="E731" s="9"/>
      <c r="F731" s="9"/>
      <c r="G731" s="9"/>
      <c r="H731" s="9"/>
    </row>
    <row r="732" spans="1:8" x14ac:dyDescent="0.3">
      <c r="A732" s="9"/>
      <c r="B732" s="9"/>
      <c r="C732" s="9"/>
      <c r="D732" s="9"/>
      <c r="E732" s="9"/>
      <c r="F732" s="9"/>
      <c r="G732" s="9"/>
      <c r="H732" s="9"/>
    </row>
    <row r="733" spans="1:8" x14ac:dyDescent="0.3">
      <c r="A733" s="9"/>
      <c r="B733" s="9"/>
      <c r="C733" s="9"/>
      <c r="D733" s="9"/>
      <c r="E733" s="9"/>
      <c r="F733" s="9"/>
      <c r="G733" s="9"/>
      <c r="H733" s="9"/>
    </row>
    <row r="734" spans="1:8" x14ac:dyDescent="0.3">
      <c r="A734" s="9"/>
      <c r="B734" s="9"/>
      <c r="C734" s="9"/>
      <c r="D734" s="9"/>
      <c r="E734" s="9"/>
      <c r="F734" s="9"/>
      <c r="G734" s="9"/>
      <c r="H734" s="9"/>
    </row>
    <row r="735" spans="1:8" x14ac:dyDescent="0.3">
      <c r="A735" s="9"/>
      <c r="B735" s="9"/>
      <c r="C735" s="9"/>
      <c r="D735" s="9"/>
      <c r="E735" s="9"/>
      <c r="F735" s="9"/>
      <c r="G735" s="9"/>
      <c r="H735" s="9"/>
    </row>
    <row r="736" spans="1:8" x14ac:dyDescent="0.3">
      <c r="A736" s="9"/>
      <c r="B736" s="9"/>
      <c r="C736" s="9"/>
      <c r="D736" s="9"/>
      <c r="E736" s="9"/>
      <c r="F736" s="9"/>
      <c r="G736" s="9"/>
      <c r="H736" s="9"/>
    </row>
    <row r="737" spans="1:8" x14ac:dyDescent="0.3">
      <c r="A737" s="9"/>
      <c r="B737" s="9"/>
      <c r="C737" s="9"/>
      <c r="D737" s="9"/>
      <c r="E737" s="9"/>
      <c r="F737" s="9"/>
      <c r="G737" s="9"/>
      <c r="H737" s="9"/>
    </row>
    <row r="738" spans="1:8" x14ac:dyDescent="0.3">
      <c r="A738" s="9"/>
      <c r="B738" s="9"/>
      <c r="C738" s="9"/>
      <c r="D738" s="9"/>
      <c r="E738" s="9"/>
      <c r="F738" s="9"/>
      <c r="G738" s="9"/>
      <c r="H738" s="9"/>
    </row>
    <row r="739" spans="1:8" x14ac:dyDescent="0.3">
      <c r="A739" s="9"/>
      <c r="B739" s="9"/>
      <c r="C739" s="9"/>
      <c r="D739" s="9"/>
      <c r="E739" s="9"/>
      <c r="F739" s="9"/>
      <c r="G739" s="9"/>
      <c r="H739" s="9"/>
    </row>
    <row r="740" spans="1:8" x14ac:dyDescent="0.3">
      <c r="A740" s="9"/>
      <c r="B740" s="9"/>
      <c r="C740" s="9"/>
      <c r="D740" s="9"/>
      <c r="E740" s="9"/>
      <c r="F740" s="9"/>
      <c r="G740" s="9"/>
      <c r="H740" s="9"/>
    </row>
    <row r="741" spans="1:8" x14ac:dyDescent="0.3">
      <c r="A741" s="9"/>
      <c r="B741" s="9"/>
      <c r="C741" s="9"/>
      <c r="D741" s="9"/>
      <c r="E741" s="9"/>
      <c r="F741" s="9"/>
      <c r="G741" s="9"/>
      <c r="H741" s="9"/>
    </row>
    <row r="742" spans="1:8" x14ac:dyDescent="0.3">
      <c r="A742" s="9"/>
      <c r="B742" s="9"/>
      <c r="C742" s="9"/>
      <c r="D742" s="9"/>
      <c r="E742" s="9"/>
      <c r="F742" s="9"/>
      <c r="G742" s="9"/>
      <c r="H742" s="9"/>
    </row>
    <row r="743" spans="1:8" x14ac:dyDescent="0.3">
      <c r="A743" s="9"/>
      <c r="B743" s="9"/>
      <c r="C743" s="9"/>
      <c r="D743" s="9"/>
      <c r="E743" s="9"/>
      <c r="F743" s="9"/>
      <c r="G743" s="9"/>
      <c r="H743" s="9"/>
    </row>
    <row r="744" spans="1:8" x14ac:dyDescent="0.3">
      <c r="A744" s="9"/>
      <c r="B744" s="9"/>
      <c r="C744" s="9"/>
      <c r="D744" s="9"/>
      <c r="E744" s="9"/>
      <c r="F744" s="9"/>
      <c r="G744" s="9"/>
      <c r="H744" s="9"/>
    </row>
    <row r="745" spans="1:8" x14ac:dyDescent="0.3">
      <c r="A745" s="9"/>
      <c r="B745" s="9"/>
      <c r="C745" s="9"/>
      <c r="D745" s="9"/>
      <c r="E745" s="9"/>
      <c r="F745" s="9"/>
      <c r="G745" s="9"/>
      <c r="H745" s="9"/>
    </row>
    <row r="746" spans="1:8" x14ac:dyDescent="0.3">
      <c r="A746" s="9"/>
      <c r="B746" s="9"/>
      <c r="C746" s="9"/>
      <c r="D746" s="9"/>
      <c r="E746" s="9"/>
      <c r="F746" s="9"/>
      <c r="G746" s="9"/>
      <c r="H746" s="9"/>
    </row>
    <row r="747" spans="1:8" x14ac:dyDescent="0.3">
      <c r="A747" s="9"/>
      <c r="B747" s="9"/>
      <c r="C747" s="9"/>
      <c r="D747" s="9"/>
      <c r="E747" s="9"/>
      <c r="F747" s="9"/>
      <c r="G747" s="9"/>
      <c r="H747" s="9"/>
    </row>
    <row r="748" spans="1:8" x14ac:dyDescent="0.3">
      <c r="A748" s="9"/>
      <c r="B748" s="9"/>
      <c r="C748" s="9"/>
      <c r="D748" s="9"/>
      <c r="E748" s="9"/>
      <c r="F748" s="9"/>
      <c r="G748" s="9"/>
      <c r="H748" s="9"/>
    </row>
    <row r="749" spans="1:8" x14ac:dyDescent="0.3">
      <c r="A749" s="9"/>
      <c r="B749" s="9"/>
      <c r="C749" s="9"/>
      <c r="D749" s="9"/>
      <c r="E749" s="9"/>
      <c r="F749" s="9"/>
      <c r="G749" s="9"/>
      <c r="H749" s="9"/>
    </row>
    <row r="750" spans="1:8" x14ac:dyDescent="0.3">
      <c r="A750" s="9"/>
      <c r="B750" s="9"/>
      <c r="C750" s="9"/>
      <c r="D750" s="9"/>
      <c r="E750" s="9"/>
      <c r="F750" s="9"/>
      <c r="G750" s="9"/>
      <c r="H750" s="9"/>
    </row>
    <row r="751" spans="1:8" x14ac:dyDescent="0.3">
      <c r="A751" s="9"/>
      <c r="B751" s="9"/>
      <c r="C751" s="9"/>
      <c r="D751" s="9"/>
      <c r="E751" s="9"/>
      <c r="F751" s="9"/>
      <c r="G751" s="9"/>
      <c r="H751" s="9"/>
    </row>
    <row r="752" spans="1:8" x14ac:dyDescent="0.3">
      <c r="A752" s="9"/>
      <c r="B752" s="9"/>
      <c r="C752" s="9"/>
      <c r="D752" s="9"/>
      <c r="E752" s="9"/>
      <c r="F752" s="9"/>
      <c r="G752" s="9"/>
      <c r="H752" s="9"/>
    </row>
    <row r="753" spans="1:8" x14ac:dyDescent="0.3">
      <c r="A753" s="9"/>
      <c r="B753" s="9"/>
      <c r="C753" s="9"/>
      <c r="D753" s="9"/>
      <c r="E753" s="9"/>
      <c r="F753" s="9"/>
      <c r="G753" s="9"/>
      <c r="H753" s="9"/>
    </row>
    <row r="754" spans="1:8" x14ac:dyDescent="0.3">
      <c r="A754" s="9"/>
      <c r="B754" s="9"/>
      <c r="C754" s="9"/>
      <c r="D754" s="9"/>
      <c r="E754" s="9"/>
      <c r="F754" s="9"/>
      <c r="G754" s="9"/>
      <c r="H754" s="9"/>
    </row>
    <row r="755" spans="1:8" x14ac:dyDescent="0.3">
      <c r="A755" s="9"/>
      <c r="B755" s="9"/>
      <c r="C755" s="9"/>
      <c r="D755" s="9"/>
      <c r="E755" s="9"/>
      <c r="F755" s="9"/>
      <c r="G755" s="9"/>
      <c r="H755" s="9"/>
    </row>
    <row r="756" spans="1:8" x14ac:dyDescent="0.3">
      <c r="A756" s="9"/>
      <c r="B756" s="9"/>
      <c r="C756" s="9"/>
      <c r="D756" s="9"/>
      <c r="E756" s="9"/>
      <c r="F756" s="9"/>
      <c r="G756" s="9"/>
      <c r="H756" s="9"/>
    </row>
    <row r="757" spans="1:8" x14ac:dyDescent="0.3">
      <c r="A757" s="9"/>
      <c r="B757" s="9"/>
      <c r="C757" s="9"/>
      <c r="D757" s="9"/>
      <c r="E757" s="9"/>
      <c r="F757" s="9"/>
      <c r="G757" s="9"/>
      <c r="H757" s="9"/>
    </row>
    <row r="758" spans="1:8" x14ac:dyDescent="0.3">
      <c r="A758" s="9"/>
      <c r="B758" s="9"/>
      <c r="C758" s="9"/>
      <c r="D758" s="9"/>
      <c r="E758" s="9"/>
      <c r="F758" s="9"/>
      <c r="G758" s="9"/>
      <c r="H758" s="9"/>
    </row>
    <row r="759" spans="1:8" x14ac:dyDescent="0.3">
      <c r="A759" s="9"/>
      <c r="B759" s="9"/>
      <c r="C759" s="9"/>
      <c r="D759" s="9"/>
      <c r="E759" s="9"/>
      <c r="F759" s="9"/>
      <c r="G759" s="9"/>
      <c r="H759" s="9"/>
    </row>
    <row r="760" spans="1:8" x14ac:dyDescent="0.3">
      <c r="A760" s="9"/>
      <c r="B760" s="9"/>
      <c r="C760" s="9"/>
      <c r="D760" s="9"/>
      <c r="E760" s="9"/>
      <c r="F760" s="9"/>
      <c r="G760" s="9"/>
      <c r="H760" s="9"/>
    </row>
    <row r="761" spans="1:8" x14ac:dyDescent="0.3">
      <c r="A761" s="9"/>
      <c r="B761" s="9"/>
      <c r="C761" s="9"/>
      <c r="D761" s="9"/>
      <c r="E761" s="9"/>
      <c r="F761" s="9"/>
      <c r="G761" s="9"/>
      <c r="H761" s="9"/>
    </row>
    <row r="762" spans="1:8" x14ac:dyDescent="0.3">
      <c r="A762" s="9"/>
      <c r="B762" s="9"/>
      <c r="C762" s="9"/>
      <c r="D762" s="9"/>
      <c r="E762" s="9"/>
      <c r="F762" s="9"/>
      <c r="G762" s="9"/>
      <c r="H762" s="9"/>
    </row>
    <row r="763" spans="1:8" x14ac:dyDescent="0.3">
      <c r="A763" s="9"/>
      <c r="B763" s="9"/>
      <c r="C763" s="9"/>
      <c r="D763" s="9"/>
      <c r="E763" s="9"/>
      <c r="F763" s="9"/>
      <c r="G763" s="9"/>
      <c r="H763" s="9"/>
    </row>
    <row r="764" spans="1:8" x14ac:dyDescent="0.3">
      <c r="A764" s="9"/>
      <c r="B764" s="9"/>
      <c r="C764" s="9"/>
      <c r="D764" s="9"/>
      <c r="E764" s="9"/>
      <c r="F764" s="9"/>
      <c r="G764" s="9"/>
      <c r="H764" s="9"/>
    </row>
    <row r="765" spans="1:8" x14ac:dyDescent="0.3">
      <c r="A765" s="9"/>
      <c r="B765" s="9"/>
      <c r="C765" s="9"/>
      <c r="D765" s="9"/>
      <c r="E765" s="9"/>
      <c r="F765" s="9"/>
      <c r="G765" s="9"/>
      <c r="H765" s="9"/>
    </row>
    <row r="766" spans="1:8" x14ac:dyDescent="0.3">
      <c r="A766" s="9"/>
      <c r="B766" s="9"/>
      <c r="C766" s="9"/>
      <c r="D766" s="9"/>
      <c r="E766" s="9"/>
      <c r="F766" s="9"/>
      <c r="G766" s="9"/>
      <c r="H766" s="9"/>
    </row>
    <row r="767" spans="1:8" x14ac:dyDescent="0.3">
      <c r="A767" s="9"/>
      <c r="B767" s="9"/>
      <c r="C767" s="9"/>
      <c r="D767" s="9"/>
      <c r="E767" s="9"/>
      <c r="F767" s="9"/>
      <c r="G767" s="9"/>
      <c r="H767" s="9"/>
    </row>
    <row r="768" spans="1:8" x14ac:dyDescent="0.3">
      <c r="A768" s="9"/>
      <c r="B768" s="9"/>
      <c r="C768" s="9"/>
      <c r="D768" s="9"/>
      <c r="E768" s="9"/>
      <c r="F768" s="9"/>
      <c r="G768" s="9"/>
      <c r="H768" s="9"/>
    </row>
    <row r="769" spans="1:8" x14ac:dyDescent="0.3">
      <c r="A769" s="9"/>
      <c r="B769" s="9"/>
      <c r="C769" s="9"/>
      <c r="D769" s="9"/>
      <c r="E769" s="9"/>
      <c r="F769" s="9"/>
      <c r="G769" s="9"/>
      <c r="H769" s="9"/>
    </row>
    <row r="770" spans="1:8" x14ac:dyDescent="0.3">
      <c r="A770" s="9"/>
      <c r="B770" s="9"/>
      <c r="C770" s="9"/>
      <c r="D770" s="9"/>
      <c r="E770" s="9"/>
      <c r="F770" s="9"/>
      <c r="G770" s="9"/>
      <c r="H770" s="9"/>
    </row>
    <row r="771" spans="1:8" x14ac:dyDescent="0.3">
      <c r="A771" s="9"/>
      <c r="B771" s="9"/>
      <c r="C771" s="9"/>
      <c r="D771" s="9"/>
      <c r="E771" s="9"/>
      <c r="F771" s="9"/>
      <c r="G771" s="9"/>
      <c r="H771" s="9"/>
    </row>
    <row r="772" spans="1:8" x14ac:dyDescent="0.3">
      <c r="A772" s="9"/>
      <c r="B772" s="9"/>
      <c r="C772" s="9"/>
      <c r="D772" s="9"/>
      <c r="E772" s="9"/>
      <c r="F772" s="9"/>
      <c r="G772" s="9"/>
      <c r="H772" s="9"/>
    </row>
    <row r="773" spans="1:8" x14ac:dyDescent="0.3">
      <c r="A773" s="9"/>
      <c r="B773" s="9"/>
      <c r="C773" s="9"/>
      <c r="D773" s="9"/>
      <c r="E773" s="9"/>
      <c r="F773" s="9"/>
      <c r="G773" s="9"/>
      <c r="H773" s="9"/>
    </row>
    <row r="774" spans="1:8" x14ac:dyDescent="0.3">
      <c r="A774" s="9"/>
      <c r="B774" s="9"/>
      <c r="C774" s="9"/>
      <c r="D774" s="9"/>
      <c r="E774" s="9"/>
      <c r="F774" s="9"/>
      <c r="G774" s="9"/>
      <c r="H774" s="9"/>
    </row>
    <row r="775" spans="1:8" x14ac:dyDescent="0.3">
      <c r="A775" s="9"/>
      <c r="B775" s="9"/>
      <c r="C775" s="9"/>
      <c r="D775" s="9"/>
      <c r="E775" s="9"/>
      <c r="F775" s="9"/>
      <c r="G775" s="9"/>
      <c r="H775" s="9"/>
    </row>
    <row r="776" spans="1:8" x14ac:dyDescent="0.3">
      <c r="A776" s="9"/>
      <c r="B776" s="9"/>
      <c r="C776" s="9"/>
      <c r="D776" s="9"/>
      <c r="E776" s="9"/>
      <c r="F776" s="9"/>
      <c r="G776" s="9"/>
      <c r="H776" s="9"/>
    </row>
    <row r="777" spans="1:8" x14ac:dyDescent="0.3">
      <c r="A777" s="9"/>
      <c r="B777" s="9"/>
      <c r="C777" s="9"/>
      <c r="D777" s="9"/>
      <c r="E777" s="9"/>
      <c r="F777" s="9"/>
      <c r="G777" s="9"/>
      <c r="H777" s="9"/>
    </row>
    <row r="778" spans="1:8" x14ac:dyDescent="0.3">
      <c r="A778" s="9"/>
      <c r="B778" s="9"/>
      <c r="C778" s="9"/>
      <c r="D778" s="9"/>
      <c r="E778" s="9"/>
      <c r="F778" s="9"/>
      <c r="G778" s="9"/>
      <c r="H778" s="9"/>
    </row>
    <row r="779" spans="1:8" x14ac:dyDescent="0.3">
      <c r="A779" s="9"/>
      <c r="B779" s="9"/>
      <c r="C779" s="9"/>
      <c r="D779" s="9"/>
      <c r="E779" s="9"/>
      <c r="F779" s="9"/>
      <c r="G779" s="9"/>
      <c r="H779" s="9"/>
    </row>
    <row r="780" spans="1:8" x14ac:dyDescent="0.3">
      <c r="A780" s="9"/>
      <c r="B780" s="9"/>
      <c r="C780" s="9"/>
      <c r="D780" s="9"/>
      <c r="E780" s="9"/>
      <c r="F780" s="9"/>
      <c r="G780" s="9"/>
      <c r="H780" s="9"/>
    </row>
    <row r="781" spans="1:8" x14ac:dyDescent="0.3">
      <c r="A781" s="9"/>
      <c r="B781" s="9"/>
      <c r="C781" s="9"/>
      <c r="D781" s="9"/>
      <c r="E781" s="9"/>
      <c r="F781" s="9"/>
      <c r="G781" s="9"/>
      <c r="H781" s="9"/>
    </row>
    <row r="782" spans="1:8" x14ac:dyDescent="0.3">
      <c r="A782" s="9"/>
      <c r="B782" s="9"/>
      <c r="C782" s="9"/>
      <c r="D782" s="9"/>
      <c r="E782" s="9"/>
      <c r="F782" s="9"/>
      <c r="G782" s="9"/>
      <c r="H782" s="9"/>
    </row>
    <row r="783" spans="1:8" x14ac:dyDescent="0.3">
      <c r="A783" s="9"/>
      <c r="B783" s="9"/>
      <c r="C783" s="9"/>
      <c r="D783" s="9"/>
      <c r="E783" s="9"/>
      <c r="F783" s="9"/>
      <c r="G783" s="9"/>
      <c r="H783" s="9"/>
    </row>
    <row r="784" spans="1:8" x14ac:dyDescent="0.3">
      <c r="A784" s="9"/>
      <c r="B784" s="9"/>
      <c r="C784" s="9"/>
      <c r="D784" s="9"/>
      <c r="E784" s="9"/>
      <c r="F784" s="9"/>
      <c r="G784" s="9"/>
      <c r="H784" s="9"/>
    </row>
    <row r="785" spans="1:8" x14ac:dyDescent="0.3">
      <c r="A785" s="9"/>
      <c r="B785" s="9"/>
      <c r="C785" s="9"/>
      <c r="D785" s="9"/>
      <c r="E785" s="9"/>
      <c r="F785" s="9"/>
      <c r="G785" s="9"/>
      <c r="H785" s="9"/>
    </row>
    <row r="786" spans="1:8" x14ac:dyDescent="0.3">
      <c r="A786" s="9"/>
      <c r="B786" s="9"/>
      <c r="C786" s="9"/>
      <c r="D786" s="9"/>
      <c r="E786" s="9"/>
      <c r="F786" s="9"/>
      <c r="G786" s="9"/>
      <c r="H786" s="9"/>
    </row>
    <row r="787" spans="1:8" x14ac:dyDescent="0.3">
      <c r="A787" s="9"/>
      <c r="B787" s="9"/>
      <c r="C787" s="9"/>
      <c r="D787" s="9"/>
      <c r="E787" s="9"/>
      <c r="F787" s="9"/>
      <c r="G787" s="9"/>
      <c r="H787" s="9"/>
    </row>
    <row r="788" spans="1:8" x14ac:dyDescent="0.3">
      <c r="A788" s="9"/>
      <c r="B788" s="9"/>
      <c r="C788" s="9"/>
      <c r="D788" s="9"/>
      <c r="E788" s="9"/>
      <c r="F788" s="9"/>
      <c r="G788" s="9"/>
      <c r="H788" s="9"/>
    </row>
    <row r="789" spans="1:8" x14ac:dyDescent="0.3">
      <c r="A789" s="9"/>
      <c r="B789" s="9"/>
      <c r="C789" s="9"/>
      <c r="D789" s="9"/>
      <c r="E789" s="9"/>
      <c r="F789" s="9"/>
      <c r="G789" s="9"/>
      <c r="H789" s="9"/>
    </row>
    <row r="790" spans="1:8" x14ac:dyDescent="0.3">
      <c r="A790" s="9"/>
      <c r="B790" s="9"/>
      <c r="C790" s="9"/>
      <c r="D790" s="9"/>
      <c r="E790" s="9"/>
      <c r="F790" s="9"/>
      <c r="G790" s="9"/>
      <c r="H790" s="9"/>
    </row>
    <row r="791" spans="1:8" x14ac:dyDescent="0.3">
      <c r="A791" s="9"/>
      <c r="B791" s="9"/>
      <c r="C791" s="9"/>
      <c r="D791" s="9"/>
      <c r="E791" s="9"/>
      <c r="F791" s="9"/>
      <c r="G791" s="9"/>
      <c r="H791" s="9"/>
    </row>
    <row r="792" spans="1:8" x14ac:dyDescent="0.3">
      <c r="A792" s="9"/>
      <c r="B792" s="9"/>
      <c r="C792" s="9"/>
      <c r="D792" s="9"/>
      <c r="E792" s="9"/>
      <c r="F792" s="9"/>
      <c r="G792" s="9"/>
      <c r="H792" s="9"/>
    </row>
    <row r="793" spans="1:8" x14ac:dyDescent="0.3">
      <c r="A793" s="9"/>
      <c r="B793" s="9"/>
      <c r="C793" s="9"/>
      <c r="D793" s="9"/>
      <c r="E793" s="9"/>
      <c r="F793" s="9"/>
      <c r="G793" s="9"/>
      <c r="H793" s="9"/>
    </row>
    <row r="794" spans="1:8" x14ac:dyDescent="0.3">
      <c r="A794" s="9"/>
      <c r="B794" s="9"/>
      <c r="C794" s="9"/>
      <c r="D794" s="9"/>
      <c r="E794" s="9"/>
      <c r="F794" s="9"/>
      <c r="G794" s="9"/>
      <c r="H794" s="9"/>
    </row>
    <row r="795" spans="1:8" x14ac:dyDescent="0.3">
      <c r="A795" s="9"/>
      <c r="B795" s="9"/>
      <c r="C795" s="9"/>
      <c r="D795" s="9"/>
      <c r="E795" s="9"/>
      <c r="F795" s="9"/>
      <c r="G795" s="9"/>
      <c r="H795" s="9"/>
    </row>
    <row r="796" spans="1:8" x14ac:dyDescent="0.3">
      <c r="A796" s="9"/>
      <c r="B796" s="9"/>
      <c r="C796" s="9"/>
      <c r="D796" s="9"/>
      <c r="E796" s="9"/>
      <c r="F796" s="9"/>
      <c r="G796" s="9"/>
      <c r="H796" s="9"/>
    </row>
    <row r="797" spans="1:8" x14ac:dyDescent="0.3">
      <c r="A797" s="9"/>
      <c r="B797" s="9"/>
      <c r="C797" s="9"/>
      <c r="D797" s="9"/>
      <c r="E797" s="9"/>
      <c r="F797" s="9"/>
      <c r="G797" s="9"/>
      <c r="H797" s="9"/>
    </row>
    <row r="798" spans="1:8" x14ac:dyDescent="0.3">
      <c r="A798" s="9"/>
      <c r="B798" s="9"/>
      <c r="C798" s="9"/>
      <c r="D798" s="9"/>
      <c r="E798" s="9"/>
      <c r="F798" s="9"/>
      <c r="G798" s="9"/>
      <c r="H798" s="9"/>
    </row>
    <row r="799" spans="1:8" x14ac:dyDescent="0.3">
      <c r="A799" s="9"/>
      <c r="B799" s="9"/>
      <c r="C799" s="9"/>
      <c r="D799" s="9"/>
      <c r="E799" s="9"/>
      <c r="F799" s="9"/>
      <c r="G799" s="9"/>
      <c r="H799" s="9"/>
    </row>
    <row r="800" spans="1:8" x14ac:dyDescent="0.3">
      <c r="A800" s="9"/>
      <c r="B800" s="9"/>
      <c r="C800" s="9"/>
      <c r="D800" s="9"/>
      <c r="E800" s="9"/>
      <c r="F800" s="9"/>
      <c r="G800" s="9"/>
      <c r="H800" s="9"/>
    </row>
    <row r="801" spans="1:8" x14ac:dyDescent="0.3">
      <c r="A801" s="9"/>
      <c r="B801" s="9"/>
      <c r="C801" s="9"/>
      <c r="D801" s="9"/>
      <c r="E801" s="9"/>
      <c r="F801" s="9"/>
      <c r="G801" s="9"/>
      <c r="H801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014D8-B06E-4612-89FD-7B3D1B94A578}">
  <dimension ref="A1:T282"/>
  <sheetViews>
    <sheetView tabSelected="1" workbookViewId="0">
      <selection activeCell="S13" sqref="S13"/>
    </sheetView>
  </sheetViews>
  <sheetFormatPr defaultRowHeight="14.4" x14ac:dyDescent="0.3"/>
  <cols>
    <col min="15" max="15" width="19.5546875" bestFit="1" customWidth="1"/>
    <col min="16" max="16" width="15.5546875" bestFit="1" customWidth="1"/>
    <col min="17" max="17" width="10.77734375" bestFit="1" customWidth="1"/>
  </cols>
  <sheetData>
    <row r="1" spans="1:20" ht="28.8" x14ac:dyDescent="0.3">
      <c r="A1" s="8" t="s">
        <v>0</v>
      </c>
      <c r="B1" s="8" t="s">
        <v>1</v>
      </c>
      <c r="C1" s="8" t="s">
        <v>15</v>
      </c>
      <c r="D1" s="8" t="s">
        <v>2</v>
      </c>
      <c r="E1" s="8" t="s">
        <v>3</v>
      </c>
      <c r="F1" s="8" t="s">
        <v>4</v>
      </c>
      <c r="G1" s="8" t="s">
        <v>16</v>
      </c>
      <c r="H1" s="10" t="s">
        <v>5</v>
      </c>
      <c r="I1" s="11" t="s">
        <v>818</v>
      </c>
      <c r="J1" s="11" t="s">
        <v>819</v>
      </c>
    </row>
    <row r="2" spans="1:20" ht="28.8" x14ac:dyDescent="0.3">
      <c r="A2" s="3" t="s">
        <v>962</v>
      </c>
      <c r="B2" s="3" t="s">
        <v>18</v>
      </c>
      <c r="C2" s="3">
        <v>229</v>
      </c>
      <c r="D2" s="3">
        <v>7.4</v>
      </c>
      <c r="E2" s="3">
        <v>9.9</v>
      </c>
      <c r="F2" s="3">
        <v>1.5</v>
      </c>
      <c r="G2" s="3" t="s">
        <v>9</v>
      </c>
      <c r="H2" s="12">
        <v>0</v>
      </c>
      <c r="I2" s="14">
        <v>0.72318903061572493</v>
      </c>
      <c r="J2" s="9" t="s">
        <v>963</v>
      </c>
      <c r="L2" t="s">
        <v>1024</v>
      </c>
      <c r="M2">
        <f>COUNTIF(J2:J282,"Test")</f>
        <v>281</v>
      </c>
    </row>
    <row r="3" spans="1:20" x14ac:dyDescent="0.3">
      <c r="A3" s="3" t="s">
        <v>964</v>
      </c>
      <c r="B3" s="3" t="s">
        <v>8</v>
      </c>
      <c r="C3" s="3">
        <v>486</v>
      </c>
      <c r="D3" s="3">
        <v>2.2999999999999998</v>
      </c>
      <c r="E3" s="3">
        <v>7.7</v>
      </c>
      <c r="F3" s="3">
        <v>0.7</v>
      </c>
      <c r="G3" s="3" t="s">
        <v>7</v>
      </c>
      <c r="H3" s="12">
        <v>0</v>
      </c>
      <c r="I3" s="14">
        <v>0.88885992188347818</v>
      </c>
      <c r="J3" s="9" t="s">
        <v>963</v>
      </c>
      <c r="L3" t="s">
        <v>1025</v>
      </c>
      <c r="M3">
        <f>COUNTIF(H2:H282,1)</f>
        <v>2</v>
      </c>
    </row>
    <row r="4" spans="1:20" ht="28.8" x14ac:dyDescent="0.3">
      <c r="A4" s="3" t="s">
        <v>965</v>
      </c>
      <c r="B4" s="3" t="s">
        <v>14</v>
      </c>
      <c r="C4" s="3">
        <v>335</v>
      </c>
      <c r="D4" s="3">
        <v>6.1</v>
      </c>
      <c r="E4" s="3">
        <v>0.5</v>
      </c>
      <c r="F4" s="3">
        <v>2</v>
      </c>
      <c r="G4" s="3" t="s">
        <v>9</v>
      </c>
      <c r="H4" s="12">
        <v>0</v>
      </c>
      <c r="I4" s="14">
        <v>0.82326536282533991</v>
      </c>
      <c r="J4" s="9" t="s">
        <v>963</v>
      </c>
      <c r="M4">
        <f>COUNTIF(H2:H282,0)</f>
        <v>279</v>
      </c>
      <c r="O4" s="19" t="s">
        <v>1031</v>
      </c>
    </row>
    <row r="5" spans="1:20" x14ac:dyDescent="0.3">
      <c r="A5" s="3" t="s">
        <v>966</v>
      </c>
      <c r="B5" s="3" t="s">
        <v>8</v>
      </c>
      <c r="C5" s="3">
        <v>312</v>
      </c>
      <c r="D5" s="3">
        <v>5.9</v>
      </c>
      <c r="E5" s="3">
        <v>3.2</v>
      </c>
      <c r="F5" s="3">
        <v>2.4</v>
      </c>
      <c r="G5" s="3" t="s">
        <v>13</v>
      </c>
      <c r="H5" s="12">
        <v>0</v>
      </c>
      <c r="I5" s="14">
        <v>0.90742210605935381</v>
      </c>
      <c r="J5" s="9" t="s">
        <v>963</v>
      </c>
      <c r="O5" s="15" t="s">
        <v>1029</v>
      </c>
      <c r="P5" s="15" t="s">
        <v>1028</v>
      </c>
      <c r="S5" s="21" t="s">
        <v>1032</v>
      </c>
      <c r="T5" s="9">
        <f>AVERAGE(C2:C282)</f>
        <v>270.77935943060498</v>
      </c>
    </row>
    <row r="6" spans="1:20" ht="28.8" x14ac:dyDescent="0.3">
      <c r="A6" s="3" t="s">
        <v>967</v>
      </c>
      <c r="B6" s="3" t="s">
        <v>14</v>
      </c>
      <c r="C6" s="3">
        <v>188</v>
      </c>
      <c r="D6" s="3">
        <v>7.2</v>
      </c>
      <c r="E6" s="3">
        <v>3.6</v>
      </c>
      <c r="F6" s="3">
        <v>2.2000000000000002</v>
      </c>
      <c r="G6" s="3" t="s">
        <v>9</v>
      </c>
      <c r="H6" s="12">
        <v>0</v>
      </c>
      <c r="I6" s="14">
        <v>0.91158488234083179</v>
      </c>
      <c r="J6" s="9" t="s">
        <v>963</v>
      </c>
      <c r="L6" t="s">
        <v>1035</v>
      </c>
      <c r="M6" s="23">
        <f>AVERAGE(H2:H282)</f>
        <v>7.1174377224199285E-3</v>
      </c>
      <c r="O6" s="15" t="s">
        <v>1026</v>
      </c>
      <c r="P6" t="s">
        <v>963</v>
      </c>
      <c r="Q6" t="s">
        <v>1027</v>
      </c>
      <c r="S6" s="21" t="s">
        <v>2</v>
      </c>
      <c r="T6" s="9">
        <f>AVERAGE(D2:D282)</f>
        <v>4.2619217081850511</v>
      </c>
    </row>
    <row r="7" spans="1:20" ht="28.8" x14ac:dyDescent="0.3">
      <c r="A7" s="3" t="s">
        <v>968</v>
      </c>
      <c r="B7" s="3" t="s">
        <v>12</v>
      </c>
      <c r="C7" s="3">
        <v>188</v>
      </c>
      <c r="D7" s="3">
        <v>1.9</v>
      </c>
      <c r="E7" s="3">
        <v>3.4</v>
      </c>
      <c r="F7" s="3">
        <v>2.8</v>
      </c>
      <c r="G7" s="3" t="s">
        <v>11</v>
      </c>
      <c r="H7" s="12">
        <v>0</v>
      </c>
      <c r="I7" s="14">
        <v>0.78203737208719559</v>
      </c>
      <c r="J7" s="9" t="s">
        <v>963</v>
      </c>
      <c r="O7" s="16" t="s">
        <v>12</v>
      </c>
      <c r="P7" s="17">
        <v>48</v>
      </c>
      <c r="Q7" s="17">
        <v>48</v>
      </c>
      <c r="S7" s="21" t="s">
        <v>1033</v>
      </c>
      <c r="T7" s="9">
        <f>AVERAGE(F2:F282)</f>
        <v>1.7750889679715305</v>
      </c>
    </row>
    <row r="8" spans="1:20" ht="28.8" x14ac:dyDescent="0.3">
      <c r="A8" s="3" t="s">
        <v>969</v>
      </c>
      <c r="B8" s="3" t="s">
        <v>18</v>
      </c>
      <c r="C8" s="3">
        <v>340</v>
      </c>
      <c r="D8" s="3">
        <v>1.3</v>
      </c>
      <c r="E8" s="3">
        <v>1.9</v>
      </c>
      <c r="F8" s="3">
        <v>2.2999999999999998</v>
      </c>
      <c r="G8" s="3" t="s">
        <v>11</v>
      </c>
      <c r="H8" s="12">
        <v>0</v>
      </c>
      <c r="I8" s="14">
        <v>0.91421963340654822</v>
      </c>
      <c r="J8" s="9" t="s">
        <v>963</v>
      </c>
      <c r="O8" s="16" t="s">
        <v>14</v>
      </c>
      <c r="P8" s="17">
        <v>39</v>
      </c>
      <c r="Q8" s="17">
        <v>39</v>
      </c>
    </row>
    <row r="9" spans="1:20" x14ac:dyDescent="0.3">
      <c r="A9" s="3" t="s">
        <v>970</v>
      </c>
      <c r="B9" s="3" t="s">
        <v>8</v>
      </c>
      <c r="C9" s="3">
        <v>292</v>
      </c>
      <c r="D9" s="3">
        <v>5.2</v>
      </c>
      <c r="E9" s="3">
        <v>0.9</v>
      </c>
      <c r="F9" s="3">
        <v>0.8</v>
      </c>
      <c r="G9" s="3" t="s">
        <v>13</v>
      </c>
      <c r="H9" s="12">
        <v>1</v>
      </c>
      <c r="I9" s="14">
        <v>0.77136342665206126</v>
      </c>
      <c r="J9" s="9" t="s">
        <v>963</v>
      </c>
      <c r="O9" s="16" t="s">
        <v>6</v>
      </c>
      <c r="P9" s="17">
        <v>63</v>
      </c>
      <c r="Q9" s="17">
        <v>63</v>
      </c>
    </row>
    <row r="10" spans="1:20" x14ac:dyDescent="0.3">
      <c r="A10" s="3" t="s">
        <v>971</v>
      </c>
      <c r="B10" s="3" t="s">
        <v>10</v>
      </c>
      <c r="C10" s="3">
        <v>306</v>
      </c>
      <c r="D10" s="3">
        <v>2.2000000000000002</v>
      </c>
      <c r="E10" s="3">
        <v>1.3</v>
      </c>
      <c r="F10" s="3">
        <v>1</v>
      </c>
      <c r="G10" s="3" t="s">
        <v>7</v>
      </c>
      <c r="H10" s="12">
        <v>0</v>
      </c>
      <c r="I10" s="14">
        <v>0.97954266839935911</v>
      </c>
      <c r="J10" s="9" t="s">
        <v>963</v>
      </c>
      <c r="O10" s="16" t="s">
        <v>10</v>
      </c>
      <c r="P10" s="17">
        <v>38</v>
      </c>
      <c r="Q10" s="17">
        <v>38</v>
      </c>
    </row>
    <row r="11" spans="1:20" ht="28.8" x14ac:dyDescent="0.3">
      <c r="A11" s="3" t="s">
        <v>972</v>
      </c>
      <c r="B11" s="3" t="s">
        <v>6</v>
      </c>
      <c r="C11" s="3">
        <v>423</v>
      </c>
      <c r="D11" s="3">
        <v>3.5</v>
      </c>
      <c r="E11" s="3">
        <v>6.4</v>
      </c>
      <c r="F11" s="3">
        <v>3</v>
      </c>
      <c r="G11" s="3" t="s">
        <v>7</v>
      </c>
      <c r="H11" s="12">
        <v>0</v>
      </c>
      <c r="I11" s="14">
        <v>0.71046326351206357</v>
      </c>
      <c r="J11" s="9" t="s">
        <v>963</v>
      </c>
      <c r="O11" s="16" t="s">
        <v>8</v>
      </c>
      <c r="P11" s="17">
        <v>45</v>
      </c>
      <c r="Q11" s="17">
        <v>45</v>
      </c>
    </row>
    <row r="12" spans="1:20" x14ac:dyDescent="0.3">
      <c r="A12" s="3" t="s">
        <v>973</v>
      </c>
      <c r="B12" s="3" t="s">
        <v>8</v>
      </c>
      <c r="C12" s="3">
        <v>459</v>
      </c>
      <c r="D12" s="3">
        <v>3.5</v>
      </c>
      <c r="E12" s="3">
        <v>5.0999999999999996</v>
      </c>
      <c r="F12" s="3">
        <v>1.9</v>
      </c>
      <c r="G12" s="3" t="s">
        <v>7</v>
      </c>
      <c r="H12" s="12">
        <v>0</v>
      </c>
      <c r="I12" s="14">
        <v>0.97353002983049308</v>
      </c>
      <c r="J12" s="9" t="s">
        <v>963</v>
      </c>
      <c r="O12" s="16" t="s">
        <v>18</v>
      </c>
      <c r="P12" s="17">
        <v>48</v>
      </c>
      <c r="Q12" s="17">
        <v>48</v>
      </c>
    </row>
    <row r="13" spans="1:20" ht="28.8" x14ac:dyDescent="0.3">
      <c r="A13" s="3" t="s">
        <v>974</v>
      </c>
      <c r="B13" s="3" t="s">
        <v>12</v>
      </c>
      <c r="C13" s="3">
        <v>166</v>
      </c>
      <c r="D13" s="3">
        <v>6.9</v>
      </c>
      <c r="E13" s="3">
        <v>3.1</v>
      </c>
      <c r="F13" s="3">
        <v>2</v>
      </c>
      <c r="G13" s="3" t="s">
        <v>9</v>
      </c>
      <c r="H13" s="12">
        <v>0</v>
      </c>
      <c r="I13" s="14">
        <v>0.76752298997718149</v>
      </c>
      <c r="J13" s="9" t="s">
        <v>963</v>
      </c>
      <c r="O13" s="16" t="s">
        <v>1027</v>
      </c>
      <c r="P13" s="17">
        <v>281</v>
      </c>
      <c r="Q13" s="17">
        <v>281</v>
      </c>
    </row>
    <row r="14" spans="1:20" x14ac:dyDescent="0.3">
      <c r="A14" s="3" t="s">
        <v>975</v>
      </c>
      <c r="B14" s="3" t="s">
        <v>10</v>
      </c>
      <c r="C14" s="3">
        <v>347</v>
      </c>
      <c r="D14" s="3">
        <v>1.5</v>
      </c>
      <c r="E14" s="3">
        <v>9</v>
      </c>
      <c r="F14" s="3">
        <v>1.8</v>
      </c>
      <c r="G14" s="3" t="s">
        <v>11</v>
      </c>
      <c r="H14" s="12">
        <v>0</v>
      </c>
      <c r="I14" s="14">
        <v>0.83066028306980733</v>
      </c>
      <c r="J14" s="9" t="s">
        <v>963</v>
      </c>
    </row>
    <row r="15" spans="1:20" ht="28.8" x14ac:dyDescent="0.3">
      <c r="A15" s="3" t="s">
        <v>976</v>
      </c>
      <c r="B15" s="3" t="s">
        <v>6</v>
      </c>
      <c r="C15" s="3">
        <v>424</v>
      </c>
      <c r="D15" s="3">
        <v>5.2</v>
      </c>
      <c r="E15" s="3">
        <v>1.1000000000000001</v>
      </c>
      <c r="F15" s="3">
        <v>2.5</v>
      </c>
      <c r="G15" s="3" t="s">
        <v>13</v>
      </c>
      <c r="H15" s="12">
        <v>0</v>
      </c>
      <c r="I15" s="14">
        <v>0.74319146911229783</v>
      </c>
      <c r="J15" s="9" t="s">
        <v>963</v>
      </c>
    </row>
    <row r="16" spans="1:20" ht="28.8" x14ac:dyDescent="0.3">
      <c r="A16" s="3" t="s">
        <v>977</v>
      </c>
      <c r="B16" s="3" t="s">
        <v>6</v>
      </c>
      <c r="C16" s="3">
        <v>247</v>
      </c>
      <c r="D16" s="3">
        <v>3.9</v>
      </c>
      <c r="E16" s="3">
        <v>7.7</v>
      </c>
      <c r="F16" s="3">
        <v>0.7</v>
      </c>
      <c r="G16" s="3" t="s">
        <v>7</v>
      </c>
      <c r="H16" s="12">
        <v>0</v>
      </c>
      <c r="I16" s="14">
        <v>0.71067422011549553</v>
      </c>
      <c r="J16" s="9" t="s">
        <v>963</v>
      </c>
    </row>
    <row r="17" spans="1:17" ht="28.8" x14ac:dyDescent="0.3">
      <c r="A17" s="3" t="s">
        <v>978</v>
      </c>
      <c r="B17" s="3" t="s">
        <v>14</v>
      </c>
      <c r="C17" s="3">
        <v>180</v>
      </c>
      <c r="D17" s="3">
        <v>1.3</v>
      </c>
      <c r="E17" s="3">
        <v>5.5</v>
      </c>
      <c r="F17" s="3">
        <v>1.5</v>
      </c>
      <c r="G17" s="3" t="s">
        <v>11</v>
      </c>
      <c r="H17" s="12">
        <v>0</v>
      </c>
      <c r="I17" s="14">
        <v>0.80671041989997827</v>
      </c>
      <c r="J17" s="9" t="s">
        <v>963</v>
      </c>
      <c r="O17" s="20" t="s">
        <v>1036</v>
      </c>
    </row>
    <row r="18" spans="1:17" ht="28.8" x14ac:dyDescent="0.3">
      <c r="A18" s="3" t="s">
        <v>979</v>
      </c>
      <c r="B18" s="3" t="s">
        <v>6</v>
      </c>
      <c r="C18" s="3">
        <v>272</v>
      </c>
      <c r="D18" s="3">
        <v>5.2</v>
      </c>
      <c r="E18" s="3">
        <v>1.5</v>
      </c>
      <c r="F18" s="3">
        <v>2.6</v>
      </c>
      <c r="G18" s="3" t="s">
        <v>13</v>
      </c>
      <c r="H18" s="12">
        <v>0</v>
      </c>
      <c r="I18" s="14">
        <v>0.86906965523539204</v>
      </c>
      <c r="J18" s="9" t="s">
        <v>963</v>
      </c>
      <c r="O18" s="15" t="s">
        <v>1029</v>
      </c>
      <c r="P18" s="15" t="s">
        <v>1028</v>
      </c>
    </row>
    <row r="19" spans="1:17" x14ac:dyDescent="0.3">
      <c r="A19" s="3" t="s">
        <v>980</v>
      </c>
      <c r="B19" s="3" t="s">
        <v>10</v>
      </c>
      <c r="C19" s="3">
        <v>490</v>
      </c>
      <c r="D19" s="3">
        <v>2.2000000000000002</v>
      </c>
      <c r="E19" s="3">
        <v>2.6</v>
      </c>
      <c r="F19" s="3">
        <v>1.3</v>
      </c>
      <c r="G19" s="3" t="s">
        <v>7</v>
      </c>
      <c r="H19" s="12">
        <v>0</v>
      </c>
      <c r="I19" s="14">
        <v>0.97088340872412726</v>
      </c>
      <c r="J19" s="9" t="s">
        <v>963</v>
      </c>
      <c r="O19" s="15" t="s">
        <v>1026</v>
      </c>
      <c r="P19" t="s">
        <v>963</v>
      </c>
      <c r="Q19" t="s">
        <v>1027</v>
      </c>
    </row>
    <row r="20" spans="1:17" ht="28.8" x14ac:dyDescent="0.3">
      <c r="A20" s="3" t="s">
        <v>981</v>
      </c>
      <c r="B20" s="3" t="s">
        <v>14</v>
      </c>
      <c r="C20" s="3">
        <v>73</v>
      </c>
      <c r="D20" s="3">
        <v>1.4</v>
      </c>
      <c r="E20" s="3">
        <v>3.3</v>
      </c>
      <c r="F20" s="3">
        <v>2.6</v>
      </c>
      <c r="G20" s="3" t="s">
        <v>11</v>
      </c>
      <c r="H20" s="12">
        <v>0</v>
      </c>
      <c r="I20" s="14">
        <v>0.73023988945213081</v>
      </c>
      <c r="J20" s="9" t="s">
        <v>963</v>
      </c>
      <c r="O20" s="16" t="s">
        <v>11</v>
      </c>
      <c r="P20" s="17">
        <v>58</v>
      </c>
      <c r="Q20" s="17">
        <v>58</v>
      </c>
    </row>
    <row r="21" spans="1:17" ht="28.8" x14ac:dyDescent="0.3">
      <c r="A21" s="3" t="s">
        <v>982</v>
      </c>
      <c r="B21" s="3" t="s">
        <v>6</v>
      </c>
      <c r="C21" s="3">
        <v>408</v>
      </c>
      <c r="D21" s="3">
        <v>5.3</v>
      </c>
      <c r="E21" s="3">
        <v>2.7</v>
      </c>
      <c r="F21" s="3">
        <v>1.8</v>
      </c>
      <c r="G21" s="3" t="s">
        <v>13</v>
      </c>
      <c r="H21" s="12">
        <v>0</v>
      </c>
      <c r="I21" s="14">
        <v>0.84528320418646963</v>
      </c>
      <c r="J21" s="9" t="s">
        <v>963</v>
      </c>
      <c r="O21" s="16" t="s">
        <v>9</v>
      </c>
      <c r="P21" s="17">
        <v>87</v>
      </c>
      <c r="Q21" s="17">
        <v>87</v>
      </c>
    </row>
    <row r="22" spans="1:17" ht="28.8" x14ac:dyDescent="0.3">
      <c r="A22" s="3" t="s">
        <v>983</v>
      </c>
      <c r="B22" s="3" t="s">
        <v>18</v>
      </c>
      <c r="C22" s="3">
        <v>286</v>
      </c>
      <c r="D22" s="3">
        <v>5.0999999999999996</v>
      </c>
      <c r="E22" s="3">
        <v>8.4</v>
      </c>
      <c r="F22" s="3">
        <v>1.3</v>
      </c>
      <c r="G22" s="3" t="s">
        <v>13</v>
      </c>
      <c r="H22" s="12">
        <v>0</v>
      </c>
      <c r="I22" s="14">
        <v>0.88531427017770825</v>
      </c>
      <c r="J22" s="9" t="s">
        <v>963</v>
      </c>
      <c r="O22" s="16" t="s">
        <v>13</v>
      </c>
      <c r="P22" s="17">
        <v>58</v>
      </c>
      <c r="Q22" s="17">
        <v>58</v>
      </c>
    </row>
    <row r="23" spans="1:17" ht="28.8" x14ac:dyDescent="0.3">
      <c r="A23" s="3" t="s">
        <v>984</v>
      </c>
      <c r="B23" s="3" t="s">
        <v>6</v>
      </c>
      <c r="C23" s="3">
        <v>393</v>
      </c>
      <c r="D23" s="3">
        <v>4.8</v>
      </c>
      <c r="E23" s="3">
        <v>3.1</v>
      </c>
      <c r="F23" s="3">
        <v>1.9</v>
      </c>
      <c r="G23" s="3" t="s">
        <v>13</v>
      </c>
      <c r="H23" s="12">
        <v>0</v>
      </c>
      <c r="I23" s="14">
        <v>0.89177650799419994</v>
      </c>
      <c r="J23" s="9" t="s">
        <v>963</v>
      </c>
      <c r="O23" s="16" t="s">
        <v>7</v>
      </c>
      <c r="P23" s="17">
        <v>78</v>
      </c>
      <c r="Q23" s="17">
        <v>78</v>
      </c>
    </row>
    <row r="24" spans="1:17" ht="28.8" x14ac:dyDescent="0.3">
      <c r="A24" s="3" t="s">
        <v>985</v>
      </c>
      <c r="B24" s="3" t="s">
        <v>12</v>
      </c>
      <c r="C24" s="3">
        <v>466</v>
      </c>
      <c r="D24" s="3">
        <v>4.7</v>
      </c>
      <c r="E24" s="3">
        <v>7.5</v>
      </c>
      <c r="F24" s="3">
        <v>2.2000000000000002</v>
      </c>
      <c r="G24" s="3" t="s">
        <v>13</v>
      </c>
      <c r="H24" s="12">
        <v>0</v>
      </c>
      <c r="I24" s="14">
        <v>0.9948027050035495</v>
      </c>
      <c r="J24" s="9" t="s">
        <v>963</v>
      </c>
      <c r="O24" s="16" t="s">
        <v>1027</v>
      </c>
      <c r="P24" s="17">
        <v>281</v>
      </c>
      <c r="Q24" s="17">
        <v>281</v>
      </c>
    </row>
    <row r="25" spans="1:17" x14ac:dyDescent="0.3">
      <c r="A25" s="3" t="s">
        <v>986</v>
      </c>
      <c r="B25" s="3" t="s">
        <v>10</v>
      </c>
      <c r="C25" s="3">
        <v>287</v>
      </c>
      <c r="D25" s="3">
        <v>4.7</v>
      </c>
      <c r="E25" s="3">
        <v>3.2</v>
      </c>
      <c r="F25" s="3">
        <v>1.5</v>
      </c>
      <c r="G25" s="3" t="s">
        <v>13</v>
      </c>
      <c r="H25" s="12">
        <v>0</v>
      </c>
      <c r="I25" s="14">
        <v>0.88195946592392549</v>
      </c>
      <c r="J25" s="9" t="s">
        <v>963</v>
      </c>
    </row>
    <row r="26" spans="1:17" ht="28.8" x14ac:dyDescent="0.3">
      <c r="A26" s="3" t="s">
        <v>987</v>
      </c>
      <c r="B26" s="3" t="s">
        <v>12</v>
      </c>
      <c r="C26" s="3">
        <v>442</v>
      </c>
      <c r="D26" s="3">
        <v>5.9</v>
      </c>
      <c r="E26" s="3">
        <v>4</v>
      </c>
      <c r="F26" s="3">
        <v>1.1000000000000001</v>
      </c>
      <c r="G26" s="3" t="s">
        <v>13</v>
      </c>
      <c r="H26" s="12">
        <v>0</v>
      </c>
      <c r="I26" s="14">
        <v>0.71194838519596315</v>
      </c>
      <c r="J26" s="9" t="s">
        <v>963</v>
      </c>
    </row>
    <row r="27" spans="1:17" x14ac:dyDescent="0.3">
      <c r="A27" s="3" t="s">
        <v>988</v>
      </c>
      <c r="B27" s="3" t="s">
        <v>10</v>
      </c>
      <c r="C27" s="3">
        <v>221</v>
      </c>
      <c r="D27" s="3">
        <v>7.1</v>
      </c>
      <c r="E27" s="3">
        <v>7.5</v>
      </c>
      <c r="F27" s="3">
        <v>1.8</v>
      </c>
      <c r="G27" s="3" t="s">
        <v>9</v>
      </c>
      <c r="H27" s="12">
        <v>0</v>
      </c>
      <c r="I27" s="14">
        <v>0.82938343988909258</v>
      </c>
      <c r="J27" s="9" t="s">
        <v>963</v>
      </c>
    </row>
    <row r="28" spans="1:17" x14ac:dyDescent="0.3">
      <c r="A28" s="3" t="s">
        <v>989</v>
      </c>
      <c r="B28" s="3" t="s">
        <v>8</v>
      </c>
      <c r="C28" s="3">
        <v>146</v>
      </c>
      <c r="D28" s="3">
        <v>5.5</v>
      </c>
      <c r="E28" s="3">
        <v>0.7</v>
      </c>
      <c r="F28" s="3">
        <v>2.2000000000000002</v>
      </c>
      <c r="G28" s="3" t="s">
        <v>13</v>
      </c>
      <c r="H28" s="12">
        <v>0</v>
      </c>
      <c r="I28" s="14">
        <v>0.76431421961298018</v>
      </c>
      <c r="J28" s="9" t="s">
        <v>963</v>
      </c>
    </row>
    <row r="29" spans="1:17" ht="28.8" x14ac:dyDescent="0.3">
      <c r="A29" s="3" t="s">
        <v>990</v>
      </c>
      <c r="B29" s="3" t="s">
        <v>12</v>
      </c>
      <c r="C29" s="3">
        <v>217</v>
      </c>
      <c r="D29" s="3">
        <v>6.9</v>
      </c>
      <c r="E29" s="3">
        <v>8.1999999999999993</v>
      </c>
      <c r="F29" s="3">
        <v>2.5</v>
      </c>
      <c r="G29" s="3" t="s">
        <v>9</v>
      </c>
      <c r="H29" s="12">
        <v>0</v>
      </c>
      <c r="I29" s="14">
        <v>0.81711816111505042</v>
      </c>
      <c r="J29" s="9" t="s">
        <v>963</v>
      </c>
    </row>
    <row r="30" spans="1:17" ht="28.8" x14ac:dyDescent="0.3">
      <c r="A30" s="3" t="s">
        <v>991</v>
      </c>
      <c r="B30" s="3" t="s">
        <v>12</v>
      </c>
      <c r="C30" s="3">
        <v>433</v>
      </c>
      <c r="D30" s="3">
        <v>7.2</v>
      </c>
      <c r="E30" s="3">
        <v>2.2000000000000002</v>
      </c>
      <c r="F30" s="3">
        <v>0.7</v>
      </c>
      <c r="G30" s="3" t="s">
        <v>9</v>
      </c>
      <c r="H30" s="12">
        <v>0</v>
      </c>
      <c r="I30" s="14">
        <v>0.75044567765233072</v>
      </c>
      <c r="J30" s="9" t="s">
        <v>963</v>
      </c>
    </row>
    <row r="31" spans="1:17" ht="28.8" x14ac:dyDescent="0.3">
      <c r="A31" s="3" t="s">
        <v>992</v>
      </c>
      <c r="B31" s="3" t="s">
        <v>6</v>
      </c>
      <c r="C31" s="3">
        <v>91</v>
      </c>
      <c r="D31" s="3">
        <v>6.7</v>
      </c>
      <c r="E31" s="3">
        <v>5.8</v>
      </c>
      <c r="F31" s="3">
        <v>1.1000000000000001</v>
      </c>
      <c r="G31" s="3" t="s">
        <v>9</v>
      </c>
      <c r="H31" s="12">
        <v>0</v>
      </c>
      <c r="I31" s="14">
        <v>0.93769033873524399</v>
      </c>
      <c r="J31" s="9" t="s">
        <v>963</v>
      </c>
    </row>
    <row r="32" spans="1:17" x14ac:dyDescent="0.3">
      <c r="A32" s="3" t="s">
        <v>993</v>
      </c>
      <c r="B32" s="3" t="s">
        <v>10</v>
      </c>
      <c r="C32" s="3">
        <v>64</v>
      </c>
      <c r="D32" s="3">
        <v>0.6</v>
      </c>
      <c r="E32" s="3">
        <v>4.8</v>
      </c>
      <c r="F32" s="3">
        <v>1.4</v>
      </c>
      <c r="G32" s="3" t="s">
        <v>11</v>
      </c>
      <c r="H32" s="12">
        <v>0</v>
      </c>
      <c r="I32" s="14">
        <v>0.98025761550239165</v>
      </c>
      <c r="J32" s="9" t="s">
        <v>963</v>
      </c>
    </row>
    <row r="33" spans="1:10" ht="28.8" x14ac:dyDescent="0.3">
      <c r="A33" s="3" t="s">
        <v>994</v>
      </c>
      <c r="B33" s="3" t="s">
        <v>18</v>
      </c>
      <c r="C33" s="3">
        <v>442</v>
      </c>
      <c r="D33" s="3">
        <v>1.9</v>
      </c>
      <c r="E33" s="3">
        <v>3.7</v>
      </c>
      <c r="F33" s="3">
        <v>2</v>
      </c>
      <c r="G33" s="3" t="s">
        <v>11</v>
      </c>
      <c r="H33" s="12">
        <v>0</v>
      </c>
      <c r="I33" s="14">
        <v>0.97304066772545272</v>
      </c>
      <c r="J33" s="9" t="s">
        <v>963</v>
      </c>
    </row>
    <row r="34" spans="1:10" ht="28.8" x14ac:dyDescent="0.3">
      <c r="A34" s="3" t="s">
        <v>995</v>
      </c>
      <c r="B34" s="3" t="s">
        <v>14</v>
      </c>
      <c r="C34" s="3">
        <v>489</v>
      </c>
      <c r="D34" s="3">
        <v>6.1</v>
      </c>
      <c r="E34" s="3">
        <v>8.4</v>
      </c>
      <c r="F34" s="3">
        <v>2.2000000000000002</v>
      </c>
      <c r="G34" s="3" t="s">
        <v>9</v>
      </c>
      <c r="H34" s="12">
        <v>0</v>
      </c>
      <c r="I34" s="14">
        <v>0.74331716530782743</v>
      </c>
      <c r="J34" s="9" t="s">
        <v>963</v>
      </c>
    </row>
    <row r="35" spans="1:10" x14ac:dyDescent="0.3">
      <c r="A35" s="3" t="s">
        <v>996</v>
      </c>
      <c r="B35" s="3" t="s">
        <v>8</v>
      </c>
      <c r="C35" s="3">
        <v>329</v>
      </c>
      <c r="D35" s="3">
        <v>2.2000000000000002</v>
      </c>
      <c r="E35" s="3">
        <v>7.1</v>
      </c>
      <c r="F35" s="3">
        <v>0.8</v>
      </c>
      <c r="G35" s="3" t="s">
        <v>7</v>
      </c>
      <c r="H35" s="12">
        <v>0</v>
      </c>
      <c r="I35" s="14">
        <v>0.78638846655013805</v>
      </c>
      <c r="J35" s="9" t="s">
        <v>963</v>
      </c>
    </row>
    <row r="36" spans="1:10" ht="28.8" x14ac:dyDescent="0.3">
      <c r="A36" s="3" t="s">
        <v>997</v>
      </c>
      <c r="B36" s="3" t="s">
        <v>18</v>
      </c>
      <c r="C36" s="3">
        <v>359</v>
      </c>
      <c r="D36" s="3">
        <v>4.7</v>
      </c>
      <c r="E36" s="3">
        <v>7.8</v>
      </c>
      <c r="F36" s="3">
        <v>2.2000000000000002</v>
      </c>
      <c r="G36" s="3" t="s">
        <v>13</v>
      </c>
      <c r="H36" s="12">
        <v>0</v>
      </c>
      <c r="I36" s="14">
        <v>0.89104544467666524</v>
      </c>
      <c r="J36" s="9" t="s">
        <v>963</v>
      </c>
    </row>
    <row r="37" spans="1:10" ht="28.8" x14ac:dyDescent="0.3">
      <c r="A37" s="3" t="s">
        <v>998</v>
      </c>
      <c r="B37" s="3" t="s">
        <v>12</v>
      </c>
      <c r="C37" s="3">
        <v>391</v>
      </c>
      <c r="D37" s="3">
        <v>7.1</v>
      </c>
      <c r="E37" s="3">
        <v>7.7</v>
      </c>
      <c r="F37" s="3">
        <v>1.1000000000000001</v>
      </c>
      <c r="G37" s="3" t="s">
        <v>9</v>
      </c>
      <c r="H37" s="12">
        <v>0</v>
      </c>
      <c r="I37" s="14">
        <v>0.89811371545266083</v>
      </c>
      <c r="J37" s="9" t="s">
        <v>963</v>
      </c>
    </row>
    <row r="38" spans="1:10" ht="28.8" x14ac:dyDescent="0.3">
      <c r="A38" s="3" t="s">
        <v>999</v>
      </c>
      <c r="B38" s="3" t="s">
        <v>18</v>
      </c>
      <c r="C38" s="3">
        <v>361</v>
      </c>
      <c r="D38" s="3">
        <v>5.6</v>
      </c>
      <c r="E38" s="3">
        <v>6.4</v>
      </c>
      <c r="F38" s="3">
        <v>1.6</v>
      </c>
      <c r="G38" s="3" t="s">
        <v>13</v>
      </c>
      <c r="H38" s="12">
        <v>0</v>
      </c>
      <c r="I38" s="14">
        <v>0.70793373765032908</v>
      </c>
      <c r="J38" s="9" t="s">
        <v>963</v>
      </c>
    </row>
    <row r="39" spans="1:10" ht="28.8" x14ac:dyDescent="0.3">
      <c r="A39" s="3" t="s">
        <v>1000</v>
      </c>
      <c r="B39" s="3" t="s">
        <v>18</v>
      </c>
      <c r="C39" s="3">
        <v>284</v>
      </c>
      <c r="D39" s="3">
        <v>2.9</v>
      </c>
      <c r="E39" s="3">
        <v>8.4</v>
      </c>
      <c r="F39" s="3">
        <v>1.3</v>
      </c>
      <c r="G39" s="3" t="s">
        <v>7</v>
      </c>
      <c r="H39" s="12">
        <v>0</v>
      </c>
      <c r="I39" s="14">
        <v>0.7143800142419624</v>
      </c>
      <c r="J39" s="9" t="s">
        <v>963</v>
      </c>
    </row>
    <row r="40" spans="1:10" ht="28.8" x14ac:dyDescent="0.3">
      <c r="A40" s="3" t="s">
        <v>1001</v>
      </c>
      <c r="B40" s="3" t="s">
        <v>18</v>
      </c>
      <c r="C40" s="3">
        <v>206</v>
      </c>
      <c r="D40" s="3">
        <v>0.5</v>
      </c>
      <c r="E40" s="3">
        <v>5.0999999999999996</v>
      </c>
      <c r="F40" s="3">
        <v>0.7</v>
      </c>
      <c r="G40" s="3" t="s">
        <v>11</v>
      </c>
      <c r="H40" s="12">
        <v>0</v>
      </c>
      <c r="I40" s="14">
        <v>0.76610751446202241</v>
      </c>
      <c r="J40" s="9" t="s">
        <v>963</v>
      </c>
    </row>
    <row r="41" spans="1:10" ht="28.8" x14ac:dyDescent="0.3">
      <c r="A41" s="3" t="s">
        <v>1002</v>
      </c>
      <c r="B41" s="3" t="s">
        <v>6</v>
      </c>
      <c r="C41" s="3">
        <v>155</v>
      </c>
      <c r="D41" s="3">
        <v>7.9</v>
      </c>
      <c r="E41" s="3">
        <v>1.4</v>
      </c>
      <c r="F41" s="3">
        <v>1.9</v>
      </c>
      <c r="G41" s="3" t="s">
        <v>9</v>
      </c>
      <c r="H41" s="12">
        <v>0</v>
      </c>
      <c r="I41" s="14">
        <v>0.78852828297805999</v>
      </c>
      <c r="J41" s="9" t="s">
        <v>963</v>
      </c>
    </row>
    <row r="42" spans="1:10" x14ac:dyDescent="0.3">
      <c r="A42" s="3" t="s">
        <v>1003</v>
      </c>
      <c r="B42" s="3" t="s">
        <v>8</v>
      </c>
      <c r="C42" s="3">
        <v>485</v>
      </c>
      <c r="D42" s="3">
        <v>6.7</v>
      </c>
      <c r="E42" s="3">
        <v>9.1999999999999993</v>
      </c>
      <c r="F42" s="3">
        <v>1.3</v>
      </c>
      <c r="G42" s="3" t="s">
        <v>9</v>
      </c>
      <c r="H42" s="12">
        <v>0</v>
      </c>
      <c r="I42" s="14">
        <v>0.86811699195460479</v>
      </c>
      <c r="J42" s="9" t="s">
        <v>963</v>
      </c>
    </row>
    <row r="43" spans="1:10" ht="28.8" x14ac:dyDescent="0.3">
      <c r="A43" s="3" t="s">
        <v>1004</v>
      </c>
      <c r="B43" s="3" t="s">
        <v>12</v>
      </c>
      <c r="C43" s="3">
        <v>316</v>
      </c>
      <c r="D43" s="3">
        <v>3.2</v>
      </c>
      <c r="E43" s="3">
        <v>3.7</v>
      </c>
      <c r="F43" s="3">
        <v>2.4</v>
      </c>
      <c r="G43" s="3" t="s">
        <v>7</v>
      </c>
      <c r="H43" s="12">
        <v>0</v>
      </c>
      <c r="I43" s="14">
        <v>0.9770479227259693</v>
      </c>
      <c r="J43" s="9" t="s">
        <v>963</v>
      </c>
    </row>
    <row r="44" spans="1:10" ht="28.8" x14ac:dyDescent="0.3">
      <c r="A44" s="3" t="s">
        <v>1005</v>
      </c>
      <c r="B44" s="3" t="s">
        <v>18</v>
      </c>
      <c r="C44" s="3">
        <v>434</v>
      </c>
      <c r="D44" s="3">
        <v>2.2999999999999998</v>
      </c>
      <c r="E44" s="3">
        <v>8.3000000000000007</v>
      </c>
      <c r="F44" s="3">
        <v>1.7</v>
      </c>
      <c r="G44" s="3" t="s">
        <v>7</v>
      </c>
      <c r="H44" s="12">
        <v>0</v>
      </c>
      <c r="I44" s="14">
        <v>0.81065656844694722</v>
      </c>
      <c r="J44" s="9" t="s">
        <v>963</v>
      </c>
    </row>
    <row r="45" spans="1:10" x14ac:dyDescent="0.3">
      <c r="A45" s="3" t="s">
        <v>1006</v>
      </c>
      <c r="B45" s="3" t="s">
        <v>10</v>
      </c>
      <c r="C45" s="3">
        <v>153</v>
      </c>
      <c r="D45" s="3">
        <v>7.7</v>
      </c>
      <c r="E45" s="3">
        <v>5.5</v>
      </c>
      <c r="F45" s="3">
        <v>2.8</v>
      </c>
      <c r="G45" s="3" t="s">
        <v>9</v>
      </c>
      <c r="H45" s="12">
        <v>0</v>
      </c>
      <c r="I45" s="14">
        <v>0.94946076652214006</v>
      </c>
      <c r="J45" s="9" t="s">
        <v>963</v>
      </c>
    </row>
    <row r="46" spans="1:10" ht="28.8" x14ac:dyDescent="0.3">
      <c r="A46" s="3" t="s">
        <v>1007</v>
      </c>
      <c r="B46" s="3" t="s">
        <v>12</v>
      </c>
      <c r="C46" s="3">
        <v>111</v>
      </c>
      <c r="D46" s="3">
        <v>7.6</v>
      </c>
      <c r="E46" s="3">
        <v>2.1</v>
      </c>
      <c r="F46" s="3">
        <v>2.1</v>
      </c>
      <c r="G46" s="3" t="s">
        <v>9</v>
      </c>
      <c r="H46" s="12">
        <v>0</v>
      </c>
      <c r="I46" s="14">
        <v>0.73052997590877689</v>
      </c>
      <c r="J46" s="9" t="s">
        <v>963</v>
      </c>
    </row>
    <row r="47" spans="1:10" x14ac:dyDescent="0.3">
      <c r="A47" s="3" t="s">
        <v>1008</v>
      </c>
      <c r="B47" s="3" t="s">
        <v>10</v>
      </c>
      <c r="C47" s="3">
        <v>206</v>
      </c>
      <c r="D47" s="3">
        <v>3.8</v>
      </c>
      <c r="E47" s="3">
        <v>4.3</v>
      </c>
      <c r="F47" s="3">
        <v>2.5</v>
      </c>
      <c r="G47" s="3" t="s">
        <v>7</v>
      </c>
      <c r="H47" s="12">
        <v>0</v>
      </c>
      <c r="I47" s="14">
        <v>0.9009319779311934</v>
      </c>
      <c r="J47" s="9" t="s">
        <v>963</v>
      </c>
    </row>
    <row r="48" spans="1:10" ht="28.8" x14ac:dyDescent="0.3">
      <c r="A48" s="3" t="s">
        <v>1009</v>
      </c>
      <c r="B48" s="3" t="s">
        <v>18</v>
      </c>
      <c r="C48" s="3">
        <v>431</v>
      </c>
      <c r="D48" s="3">
        <v>3.6</v>
      </c>
      <c r="E48" s="3">
        <v>6.2</v>
      </c>
      <c r="F48" s="3">
        <v>1</v>
      </c>
      <c r="G48" s="3" t="s">
        <v>7</v>
      </c>
      <c r="H48" s="12">
        <v>0</v>
      </c>
      <c r="I48" s="14">
        <v>0.78548913078003946</v>
      </c>
      <c r="J48" s="9" t="s">
        <v>963</v>
      </c>
    </row>
    <row r="49" spans="1:10" x14ac:dyDescent="0.3">
      <c r="A49" s="3" t="s">
        <v>1010</v>
      </c>
      <c r="B49" s="3" t="s">
        <v>10</v>
      </c>
      <c r="C49" s="3">
        <v>260</v>
      </c>
      <c r="D49" s="3">
        <v>3.4</v>
      </c>
      <c r="E49" s="3">
        <v>1.7</v>
      </c>
      <c r="F49" s="3">
        <v>1.6</v>
      </c>
      <c r="G49" s="3" t="s">
        <v>7</v>
      </c>
      <c r="H49" s="12">
        <v>0</v>
      </c>
      <c r="I49" s="14">
        <v>0.88344263345458152</v>
      </c>
      <c r="J49" s="9" t="s">
        <v>963</v>
      </c>
    </row>
    <row r="50" spans="1:10" x14ac:dyDescent="0.3">
      <c r="A50" s="3" t="s">
        <v>1011</v>
      </c>
      <c r="B50" s="3" t="s">
        <v>8</v>
      </c>
      <c r="C50" s="3">
        <v>491</v>
      </c>
      <c r="D50" s="3">
        <v>0.8</v>
      </c>
      <c r="E50" s="3">
        <v>1.8</v>
      </c>
      <c r="F50" s="3">
        <v>1.9</v>
      </c>
      <c r="G50" s="3" t="s">
        <v>11</v>
      </c>
      <c r="H50" s="12">
        <v>0</v>
      </c>
      <c r="I50" s="14">
        <v>0.8209182011322198</v>
      </c>
      <c r="J50" s="9" t="s">
        <v>963</v>
      </c>
    </row>
    <row r="51" spans="1:10" x14ac:dyDescent="0.3">
      <c r="A51" s="3" t="s">
        <v>1012</v>
      </c>
      <c r="B51" s="3" t="s">
        <v>10</v>
      </c>
      <c r="C51" s="3">
        <v>134</v>
      </c>
      <c r="D51" s="3">
        <v>1.3</v>
      </c>
      <c r="E51" s="3">
        <v>2.8</v>
      </c>
      <c r="F51" s="3">
        <v>2.7</v>
      </c>
      <c r="G51" s="3" t="s">
        <v>11</v>
      </c>
      <c r="H51" s="12">
        <v>0</v>
      </c>
      <c r="I51" s="14">
        <v>0.83891803540822385</v>
      </c>
      <c r="J51" s="9" t="s">
        <v>963</v>
      </c>
    </row>
    <row r="52" spans="1:10" ht="28.8" x14ac:dyDescent="0.3">
      <c r="A52" s="3" t="s">
        <v>1013</v>
      </c>
      <c r="B52" s="3" t="s">
        <v>14</v>
      </c>
      <c r="C52" s="3">
        <v>297</v>
      </c>
      <c r="D52" s="3">
        <v>3.6</v>
      </c>
      <c r="E52" s="3">
        <v>8.8000000000000007</v>
      </c>
      <c r="F52" s="3">
        <v>0.8</v>
      </c>
      <c r="G52" s="3" t="s">
        <v>7</v>
      </c>
      <c r="H52" s="12">
        <v>0</v>
      </c>
      <c r="I52" s="14">
        <v>0.71733888717390903</v>
      </c>
      <c r="J52" s="9" t="s">
        <v>963</v>
      </c>
    </row>
    <row r="53" spans="1:10" ht="28.8" x14ac:dyDescent="0.3">
      <c r="A53" s="3" t="s">
        <v>1014</v>
      </c>
      <c r="B53" s="3" t="s">
        <v>14</v>
      </c>
      <c r="C53" s="3">
        <v>270</v>
      </c>
      <c r="D53" s="3">
        <v>0.8</v>
      </c>
      <c r="E53" s="3">
        <v>3.1</v>
      </c>
      <c r="F53" s="3">
        <v>1.6</v>
      </c>
      <c r="G53" s="3" t="s">
        <v>11</v>
      </c>
      <c r="H53" s="12">
        <v>0</v>
      </c>
      <c r="I53" s="14">
        <v>0.9451901255924835</v>
      </c>
      <c r="J53" s="9" t="s">
        <v>963</v>
      </c>
    </row>
    <row r="54" spans="1:10" ht="28.8" x14ac:dyDescent="0.3">
      <c r="A54" s="3" t="s">
        <v>1015</v>
      </c>
      <c r="B54" s="3" t="s">
        <v>14</v>
      </c>
      <c r="C54" s="3">
        <v>243</v>
      </c>
      <c r="D54" s="3">
        <v>2.6</v>
      </c>
      <c r="E54" s="3">
        <v>5.4</v>
      </c>
      <c r="F54" s="3">
        <v>2.1</v>
      </c>
      <c r="G54" s="3" t="s">
        <v>7</v>
      </c>
      <c r="H54" s="12">
        <v>0</v>
      </c>
      <c r="I54" s="14">
        <v>0.92248807133728283</v>
      </c>
      <c r="J54" s="9" t="s">
        <v>963</v>
      </c>
    </row>
    <row r="55" spans="1:10" ht="28.8" x14ac:dyDescent="0.3">
      <c r="A55" s="3" t="s">
        <v>1016</v>
      </c>
      <c r="B55" s="3" t="s">
        <v>6</v>
      </c>
      <c r="C55" s="3">
        <v>132</v>
      </c>
      <c r="D55" s="3">
        <v>1.1000000000000001</v>
      </c>
      <c r="E55" s="3">
        <v>1.3</v>
      </c>
      <c r="F55" s="3">
        <v>1.8</v>
      </c>
      <c r="G55" s="3" t="s">
        <v>11</v>
      </c>
      <c r="H55" s="12">
        <v>0</v>
      </c>
      <c r="I55" s="14">
        <v>0.81991953612318957</v>
      </c>
      <c r="J55" s="9" t="s">
        <v>963</v>
      </c>
    </row>
    <row r="56" spans="1:10" ht="28.8" x14ac:dyDescent="0.3">
      <c r="A56" s="3" t="s">
        <v>1017</v>
      </c>
      <c r="B56" s="3" t="s">
        <v>14</v>
      </c>
      <c r="C56" s="3">
        <v>307</v>
      </c>
      <c r="D56" s="3">
        <v>2.2000000000000002</v>
      </c>
      <c r="E56" s="3">
        <v>4.5</v>
      </c>
      <c r="F56" s="3">
        <v>1</v>
      </c>
      <c r="G56" s="3" t="s">
        <v>7</v>
      </c>
      <c r="H56" s="12">
        <v>0</v>
      </c>
      <c r="I56" s="14">
        <v>0.74138761017054999</v>
      </c>
      <c r="J56" s="9" t="s">
        <v>963</v>
      </c>
    </row>
    <row r="57" spans="1:10" x14ac:dyDescent="0.3">
      <c r="A57" s="3" t="s">
        <v>1018</v>
      </c>
      <c r="B57" s="3" t="s">
        <v>8</v>
      </c>
      <c r="C57" s="3">
        <v>168</v>
      </c>
      <c r="D57" s="3">
        <v>2.2999999999999998</v>
      </c>
      <c r="E57" s="3">
        <v>1.6</v>
      </c>
      <c r="F57" s="3">
        <v>2</v>
      </c>
      <c r="G57" s="3" t="s">
        <v>7</v>
      </c>
      <c r="H57" s="12">
        <v>0</v>
      </c>
      <c r="I57" s="14">
        <v>0.77493677315562604</v>
      </c>
      <c r="J57" s="9" t="s">
        <v>963</v>
      </c>
    </row>
    <row r="58" spans="1:10" x14ac:dyDescent="0.3">
      <c r="A58" s="3" t="s">
        <v>1019</v>
      </c>
      <c r="B58" s="3" t="s">
        <v>10</v>
      </c>
      <c r="C58" s="3">
        <v>259</v>
      </c>
      <c r="D58" s="3">
        <v>3.6</v>
      </c>
      <c r="E58" s="3">
        <v>7.2</v>
      </c>
      <c r="F58" s="3">
        <v>0.7</v>
      </c>
      <c r="G58" s="3" t="s">
        <v>7</v>
      </c>
      <c r="H58" s="12">
        <v>0</v>
      </c>
      <c r="I58" s="14">
        <v>0.96059062415373719</v>
      </c>
      <c r="J58" s="9" t="s">
        <v>963</v>
      </c>
    </row>
    <row r="59" spans="1:10" x14ac:dyDescent="0.3">
      <c r="A59" s="3" t="s">
        <v>1020</v>
      </c>
      <c r="B59" s="3" t="s">
        <v>10</v>
      </c>
      <c r="C59" s="3">
        <v>366</v>
      </c>
      <c r="D59" s="3">
        <v>5</v>
      </c>
      <c r="E59" s="3">
        <v>8.9</v>
      </c>
      <c r="F59" s="3">
        <v>2.1</v>
      </c>
      <c r="G59" s="3" t="s">
        <v>13</v>
      </c>
      <c r="H59" s="12">
        <v>0</v>
      </c>
      <c r="I59" s="14">
        <v>0.85259554385564773</v>
      </c>
      <c r="J59" s="9" t="s">
        <v>963</v>
      </c>
    </row>
    <row r="60" spans="1:10" ht="28.8" x14ac:dyDescent="0.3">
      <c r="A60" s="3" t="s">
        <v>1021</v>
      </c>
      <c r="B60" s="3" t="s">
        <v>18</v>
      </c>
      <c r="C60" s="3">
        <v>85</v>
      </c>
      <c r="D60" s="3">
        <v>7.4</v>
      </c>
      <c r="E60" s="3">
        <v>8.3000000000000007</v>
      </c>
      <c r="F60" s="3">
        <v>1.9</v>
      </c>
      <c r="G60" s="3" t="s">
        <v>9</v>
      </c>
      <c r="H60" s="12">
        <v>0</v>
      </c>
      <c r="I60" s="14">
        <v>0.70347803401625164</v>
      </c>
      <c r="J60" s="9" t="s">
        <v>963</v>
      </c>
    </row>
    <row r="61" spans="1:10" x14ac:dyDescent="0.3">
      <c r="A61" s="3" t="s">
        <v>1022</v>
      </c>
      <c r="B61" s="3" t="s">
        <v>10</v>
      </c>
      <c r="C61" s="3">
        <v>351</v>
      </c>
      <c r="D61" s="3">
        <v>3.9</v>
      </c>
      <c r="E61" s="3">
        <v>7.7</v>
      </c>
      <c r="F61" s="3">
        <v>2.4</v>
      </c>
      <c r="G61" s="3" t="s">
        <v>7</v>
      </c>
      <c r="H61" s="12">
        <v>0</v>
      </c>
      <c r="I61" s="14">
        <v>0.7205737155112949</v>
      </c>
      <c r="J61" s="9" t="s">
        <v>963</v>
      </c>
    </row>
    <row r="62" spans="1:10" ht="28.8" x14ac:dyDescent="0.3">
      <c r="A62" s="3" t="s">
        <v>1023</v>
      </c>
      <c r="B62" s="3" t="s">
        <v>12</v>
      </c>
      <c r="C62" s="3">
        <v>388</v>
      </c>
      <c r="D62" s="3">
        <v>8</v>
      </c>
      <c r="E62" s="3">
        <v>6.4</v>
      </c>
      <c r="F62" s="3">
        <v>1.4</v>
      </c>
      <c r="G62" s="3" t="s">
        <v>9</v>
      </c>
      <c r="H62" s="12">
        <v>0</v>
      </c>
      <c r="I62" s="14">
        <v>0.99774678331883648</v>
      </c>
      <c r="J62" s="9" t="s">
        <v>963</v>
      </c>
    </row>
    <row r="63" spans="1:10" ht="28.8" x14ac:dyDescent="0.3">
      <c r="A63" s="3" t="s">
        <v>221</v>
      </c>
      <c r="B63" s="3" t="s">
        <v>12</v>
      </c>
      <c r="C63" s="3">
        <v>267</v>
      </c>
      <c r="D63" s="3">
        <v>3.1</v>
      </c>
      <c r="E63" s="3">
        <v>9.1999999999999993</v>
      </c>
      <c r="F63" s="3">
        <v>1.2</v>
      </c>
      <c r="G63" s="3" t="s">
        <v>7</v>
      </c>
      <c r="H63" s="12">
        <v>0</v>
      </c>
      <c r="I63" s="14">
        <v>0.79313713239086969</v>
      </c>
      <c r="J63" s="9" t="s">
        <v>963</v>
      </c>
    </row>
    <row r="64" spans="1:10" ht="28.8" x14ac:dyDescent="0.3">
      <c r="A64" s="3" t="s">
        <v>227</v>
      </c>
      <c r="B64" s="3" t="s">
        <v>12</v>
      </c>
      <c r="C64" s="3">
        <v>415</v>
      </c>
      <c r="D64" s="3">
        <v>1.1000000000000001</v>
      </c>
      <c r="E64" s="3">
        <v>3.4</v>
      </c>
      <c r="F64" s="3">
        <v>2</v>
      </c>
      <c r="G64" s="3" t="s">
        <v>11</v>
      </c>
      <c r="H64" s="12">
        <v>0</v>
      </c>
      <c r="I64" s="14">
        <v>0.90197715733744133</v>
      </c>
      <c r="J64" s="9" t="s">
        <v>963</v>
      </c>
    </row>
    <row r="65" spans="1:10" ht="28.8" x14ac:dyDescent="0.3">
      <c r="A65" s="3" t="s">
        <v>228</v>
      </c>
      <c r="B65" s="3" t="s">
        <v>18</v>
      </c>
      <c r="C65" s="3">
        <v>242</v>
      </c>
      <c r="D65" s="3">
        <v>3.1</v>
      </c>
      <c r="E65" s="3">
        <v>8.5</v>
      </c>
      <c r="F65" s="3">
        <v>1.4</v>
      </c>
      <c r="G65" s="3" t="s">
        <v>7</v>
      </c>
      <c r="H65" s="12">
        <v>0</v>
      </c>
      <c r="I65" s="14">
        <v>0.90479119068116598</v>
      </c>
      <c r="J65" s="9" t="s">
        <v>963</v>
      </c>
    </row>
    <row r="66" spans="1:10" ht="28.8" x14ac:dyDescent="0.3">
      <c r="A66" s="3" t="s">
        <v>229</v>
      </c>
      <c r="B66" s="3" t="s">
        <v>18</v>
      </c>
      <c r="C66" s="3">
        <v>373</v>
      </c>
      <c r="D66" s="3">
        <v>3.4</v>
      </c>
      <c r="E66" s="3">
        <v>3.1</v>
      </c>
      <c r="F66" s="3">
        <v>2.7</v>
      </c>
      <c r="G66" s="3" t="s">
        <v>7</v>
      </c>
      <c r="H66" s="12">
        <v>0</v>
      </c>
      <c r="I66" s="14">
        <v>0.90244604412452489</v>
      </c>
      <c r="J66" s="9" t="s">
        <v>963</v>
      </c>
    </row>
    <row r="67" spans="1:10" ht="28.8" x14ac:dyDescent="0.3">
      <c r="A67" s="3" t="s">
        <v>230</v>
      </c>
      <c r="B67" s="3" t="s">
        <v>14</v>
      </c>
      <c r="C67" s="3">
        <v>129</v>
      </c>
      <c r="D67" s="3">
        <v>6.2</v>
      </c>
      <c r="E67" s="3">
        <v>4.4000000000000004</v>
      </c>
      <c r="F67" s="3">
        <v>1.4</v>
      </c>
      <c r="G67" s="3" t="s">
        <v>9</v>
      </c>
      <c r="H67" s="12">
        <v>0</v>
      </c>
      <c r="I67" s="14">
        <v>0.79248897332431323</v>
      </c>
      <c r="J67" s="9" t="s">
        <v>963</v>
      </c>
    </row>
    <row r="68" spans="1:10" ht="28.8" x14ac:dyDescent="0.3">
      <c r="A68" s="3" t="s">
        <v>231</v>
      </c>
      <c r="B68" s="3" t="s">
        <v>18</v>
      </c>
      <c r="C68" s="3">
        <v>407</v>
      </c>
      <c r="D68" s="3">
        <v>5.2</v>
      </c>
      <c r="E68" s="3">
        <v>6.2</v>
      </c>
      <c r="F68" s="3">
        <v>2.5</v>
      </c>
      <c r="G68" s="3" t="s">
        <v>13</v>
      </c>
      <c r="H68" s="12">
        <v>0</v>
      </c>
      <c r="I68" s="14">
        <v>0.8244375064081696</v>
      </c>
      <c r="J68" s="9" t="s">
        <v>963</v>
      </c>
    </row>
    <row r="69" spans="1:10" ht="28.8" x14ac:dyDescent="0.3">
      <c r="A69" s="3" t="s">
        <v>232</v>
      </c>
      <c r="B69" s="3" t="s">
        <v>18</v>
      </c>
      <c r="C69" s="3">
        <v>135</v>
      </c>
      <c r="D69" s="3">
        <v>1.4</v>
      </c>
      <c r="E69" s="3">
        <v>6.7</v>
      </c>
      <c r="F69" s="3">
        <v>1</v>
      </c>
      <c r="G69" s="3" t="s">
        <v>11</v>
      </c>
      <c r="H69" s="12">
        <v>0</v>
      </c>
      <c r="I69" s="14">
        <v>0.82202522176401072</v>
      </c>
      <c r="J69" s="9" t="s">
        <v>963</v>
      </c>
    </row>
    <row r="70" spans="1:10" ht="28.8" x14ac:dyDescent="0.3">
      <c r="A70" s="3" t="s">
        <v>234</v>
      </c>
      <c r="B70" s="3" t="s">
        <v>12</v>
      </c>
      <c r="C70" s="3">
        <v>346</v>
      </c>
      <c r="D70" s="3">
        <v>1</v>
      </c>
      <c r="E70" s="3">
        <v>8.1999999999999993</v>
      </c>
      <c r="F70" s="3">
        <v>2</v>
      </c>
      <c r="G70" s="3" t="s">
        <v>11</v>
      </c>
      <c r="H70" s="12">
        <v>0</v>
      </c>
      <c r="I70" s="14">
        <v>0.90536843766168962</v>
      </c>
      <c r="J70" s="9" t="s">
        <v>963</v>
      </c>
    </row>
    <row r="71" spans="1:10" ht="28.8" x14ac:dyDescent="0.3">
      <c r="A71" s="3" t="s">
        <v>247</v>
      </c>
      <c r="B71" s="3" t="s">
        <v>18</v>
      </c>
      <c r="C71" s="3">
        <v>202</v>
      </c>
      <c r="D71" s="3">
        <v>3.7</v>
      </c>
      <c r="E71" s="3">
        <v>2.5</v>
      </c>
      <c r="F71" s="3">
        <v>1.9</v>
      </c>
      <c r="G71" s="3" t="s">
        <v>7</v>
      </c>
      <c r="H71" s="12">
        <v>0</v>
      </c>
      <c r="I71" s="14">
        <v>0.79139111725921252</v>
      </c>
      <c r="J71" s="9" t="s">
        <v>963</v>
      </c>
    </row>
    <row r="72" spans="1:10" ht="28.8" x14ac:dyDescent="0.3">
      <c r="A72" s="3" t="s">
        <v>248</v>
      </c>
      <c r="B72" s="3" t="s">
        <v>18</v>
      </c>
      <c r="C72" s="3">
        <v>140</v>
      </c>
      <c r="D72" s="3">
        <v>4.7</v>
      </c>
      <c r="E72" s="3">
        <v>2.1</v>
      </c>
      <c r="F72" s="3">
        <v>1.5</v>
      </c>
      <c r="G72" s="3" t="s">
        <v>13</v>
      </c>
      <c r="H72" s="12">
        <v>0</v>
      </c>
      <c r="I72" s="14">
        <v>0.86636310930820326</v>
      </c>
      <c r="J72" s="9" t="s">
        <v>963</v>
      </c>
    </row>
    <row r="73" spans="1:10" ht="28.8" x14ac:dyDescent="0.3">
      <c r="A73" s="3" t="s">
        <v>252</v>
      </c>
      <c r="B73" s="3" t="s">
        <v>6</v>
      </c>
      <c r="C73" s="3">
        <v>351</v>
      </c>
      <c r="D73" s="3">
        <v>0.6</v>
      </c>
      <c r="E73" s="3">
        <v>6.6</v>
      </c>
      <c r="F73" s="3">
        <v>2.6</v>
      </c>
      <c r="G73" s="3" t="s">
        <v>11</v>
      </c>
      <c r="H73" s="12">
        <v>0</v>
      </c>
      <c r="I73" s="14">
        <v>0.75658968876447596</v>
      </c>
      <c r="J73" s="9" t="s">
        <v>963</v>
      </c>
    </row>
    <row r="74" spans="1:10" ht="28.8" x14ac:dyDescent="0.3">
      <c r="A74" s="3" t="s">
        <v>253</v>
      </c>
      <c r="B74" s="3" t="s">
        <v>14</v>
      </c>
      <c r="C74" s="3">
        <v>268</v>
      </c>
      <c r="D74" s="3">
        <v>5.4</v>
      </c>
      <c r="E74" s="3">
        <v>9.8000000000000007</v>
      </c>
      <c r="F74" s="3">
        <v>2.2000000000000002</v>
      </c>
      <c r="G74" s="3" t="s">
        <v>13</v>
      </c>
      <c r="H74" s="12">
        <v>0</v>
      </c>
      <c r="I74" s="14">
        <v>0.75803511347369001</v>
      </c>
      <c r="J74" s="9" t="s">
        <v>963</v>
      </c>
    </row>
    <row r="75" spans="1:10" ht="28.8" x14ac:dyDescent="0.3">
      <c r="A75" s="3" t="s">
        <v>256</v>
      </c>
      <c r="B75" s="3" t="s">
        <v>14</v>
      </c>
      <c r="C75" s="3">
        <v>453</v>
      </c>
      <c r="D75" s="3">
        <v>4.2</v>
      </c>
      <c r="E75" s="3">
        <v>9.1</v>
      </c>
      <c r="F75" s="3">
        <v>1</v>
      </c>
      <c r="G75" s="3" t="s">
        <v>13</v>
      </c>
      <c r="H75" s="12">
        <v>0</v>
      </c>
      <c r="I75" s="14">
        <v>0.92839146767066139</v>
      </c>
      <c r="J75" s="9" t="s">
        <v>963</v>
      </c>
    </row>
    <row r="76" spans="1:10" x14ac:dyDescent="0.3">
      <c r="A76" s="3" t="s">
        <v>259</v>
      </c>
      <c r="B76" s="3" t="s">
        <v>10</v>
      </c>
      <c r="C76" s="3">
        <v>251</v>
      </c>
      <c r="D76" s="3">
        <v>2.2000000000000002</v>
      </c>
      <c r="E76" s="3">
        <v>10</v>
      </c>
      <c r="F76" s="3">
        <v>2.4</v>
      </c>
      <c r="G76" s="3" t="s">
        <v>7</v>
      </c>
      <c r="H76" s="12">
        <v>0</v>
      </c>
      <c r="I76" s="14">
        <v>0.89895687386922829</v>
      </c>
      <c r="J76" s="9" t="s">
        <v>963</v>
      </c>
    </row>
    <row r="77" spans="1:10" ht="28.8" x14ac:dyDescent="0.3">
      <c r="A77" s="3" t="s">
        <v>263</v>
      </c>
      <c r="B77" s="3" t="s">
        <v>6</v>
      </c>
      <c r="C77" s="3">
        <v>323</v>
      </c>
      <c r="D77" s="3">
        <v>5.0999999999999996</v>
      </c>
      <c r="E77" s="3">
        <v>6.8</v>
      </c>
      <c r="F77" s="3">
        <v>1.7</v>
      </c>
      <c r="G77" s="3" t="s">
        <v>13</v>
      </c>
      <c r="H77" s="12">
        <v>0</v>
      </c>
      <c r="I77" s="14">
        <v>0.85328009010143768</v>
      </c>
      <c r="J77" s="9" t="s">
        <v>963</v>
      </c>
    </row>
    <row r="78" spans="1:10" ht="28.8" x14ac:dyDescent="0.3">
      <c r="A78" s="3" t="s">
        <v>265</v>
      </c>
      <c r="B78" s="3" t="s">
        <v>14</v>
      </c>
      <c r="C78" s="3">
        <v>358</v>
      </c>
      <c r="D78" s="3">
        <v>1.6</v>
      </c>
      <c r="E78" s="3">
        <v>7.7</v>
      </c>
      <c r="F78" s="3">
        <v>2.7</v>
      </c>
      <c r="G78" s="3" t="s">
        <v>11</v>
      </c>
      <c r="H78" s="12">
        <v>0</v>
      </c>
      <c r="I78" s="14">
        <v>0.79672744739141654</v>
      </c>
      <c r="J78" s="9" t="s">
        <v>963</v>
      </c>
    </row>
    <row r="79" spans="1:10" ht="28.8" x14ac:dyDescent="0.3">
      <c r="A79" s="3" t="s">
        <v>266</v>
      </c>
      <c r="B79" s="3" t="s">
        <v>18</v>
      </c>
      <c r="C79" s="3">
        <v>351</v>
      </c>
      <c r="D79" s="3">
        <v>6.3</v>
      </c>
      <c r="E79" s="3">
        <v>6</v>
      </c>
      <c r="F79" s="3">
        <v>0.9</v>
      </c>
      <c r="G79" s="3" t="s">
        <v>9</v>
      </c>
      <c r="H79" s="12">
        <v>0</v>
      </c>
      <c r="I79" s="14">
        <v>0.9143337758238852</v>
      </c>
      <c r="J79" s="9" t="s">
        <v>963</v>
      </c>
    </row>
    <row r="80" spans="1:10" x14ac:dyDescent="0.3">
      <c r="A80" s="3" t="s">
        <v>267</v>
      </c>
      <c r="B80" s="3" t="s">
        <v>8</v>
      </c>
      <c r="C80" s="3">
        <v>67</v>
      </c>
      <c r="D80" s="3">
        <v>0.9</v>
      </c>
      <c r="E80" s="3">
        <v>8.8000000000000007</v>
      </c>
      <c r="F80" s="3">
        <v>2.7</v>
      </c>
      <c r="G80" s="3" t="s">
        <v>11</v>
      </c>
      <c r="H80" s="12">
        <v>0</v>
      </c>
      <c r="I80" s="14">
        <v>0.79736803996678096</v>
      </c>
      <c r="J80" s="9" t="s">
        <v>963</v>
      </c>
    </row>
    <row r="81" spans="1:10" ht="28.8" x14ac:dyDescent="0.3">
      <c r="A81" s="3" t="s">
        <v>275</v>
      </c>
      <c r="B81" s="3" t="s">
        <v>12</v>
      </c>
      <c r="C81" s="3">
        <v>396</v>
      </c>
      <c r="D81" s="3">
        <v>6.5</v>
      </c>
      <c r="E81" s="3">
        <v>6.5</v>
      </c>
      <c r="F81" s="3">
        <v>1</v>
      </c>
      <c r="G81" s="3" t="s">
        <v>9</v>
      </c>
      <c r="H81" s="12">
        <v>0</v>
      </c>
      <c r="I81" s="14">
        <v>0.78428134228382773</v>
      </c>
      <c r="J81" s="9" t="s">
        <v>963</v>
      </c>
    </row>
    <row r="82" spans="1:10" ht="28.8" x14ac:dyDescent="0.3">
      <c r="A82" s="3" t="s">
        <v>283</v>
      </c>
      <c r="B82" s="3" t="s">
        <v>12</v>
      </c>
      <c r="C82" s="3">
        <v>344</v>
      </c>
      <c r="D82" s="3">
        <v>5.5</v>
      </c>
      <c r="E82" s="3">
        <v>2.6</v>
      </c>
      <c r="F82" s="3">
        <v>1.9</v>
      </c>
      <c r="G82" s="3" t="s">
        <v>13</v>
      </c>
      <c r="H82" s="12">
        <v>0</v>
      </c>
      <c r="I82" s="14">
        <v>0.75991771932908614</v>
      </c>
      <c r="J82" s="9" t="s">
        <v>963</v>
      </c>
    </row>
    <row r="83" spans="1:10" ht="28.8" x14ac:dyDescent="0.3">
      <c r="A83" s="3" t="s">
        <v>293</v>
      </c>
      <c r="B83" s="3" t="s">
        <v>18</v>
      </c>
      <c r="C83" s="3">
        <v>131</v>
      </c>
      <c r="D83" s="3">
        <v>1.3</v>
      </c>
      <c r="E83" s="3">
        <v>0.5</v>
      </c>
      <c r="F83" s="3">
        <v>0.5</v>
      </c>
      <c r="G83" s="3" t="s">
        <v>11</v>
      </c>
      <c r="H83" s="12">
        <v>0</v>
      </c>
      <c r="I83" s="14">
        <v>0.90619597675476316</v>
      </c>
      <c r="J83" s="9" t="s">
        <v>963</v>
      </c>
    </row>
    <row r="84" spans="1:10" x14ac:dyDescent="0.3">
      <c r="A84" s="3" t="s">
        <v>296</v>
      </c>
      <c r="B84" s="3" t="s">
        <v>8</v>
      </c>
      <c r="C84" s="3">
        <v>219</v>
      </c>
      <c r="D84" s="3">
        <v>2.1</v>
      </c>
      <c r="E84" s="3">
        <v>9.1</v>
      </c>
      <c r="F84" s="3">
        <v>0.5</v>
      </c>
      <c r="G84" s="3" t="s">
        <v>7</v>
      </c>
      <c r="H84" s="12">
        <v>0</v>
      </c>
      <c r="I84" s="14">
        <v>0.96421597664438119</v>
      </c>
      <c r="J84" s="9" t="s">
        <v>963</v>
      </c>
    </row>
    <row r="85" spans="1:10" ht="28.8" x14ac:dyDescent="0.3">
      <c r="A85" s="3" t="s">
        <v>300</v>
      </c>
      <c r="B85" s="3" t="s">
        <v>18</v>
      </c>
      <c r="C85" s="3">
        <v>272</v>
      </c>
      <c r="D85" s="3">
        <v>1.2</v>
      </c>
      <c r="E85" s="3">
        <v>1.9</v>
      </c>
      <c r="F85" s="3">
        <v>2</v>
      </c>
      <c r="G85" s="3" t="s">
        <v>11</v>
      </c>
      <c r="H85" s="12">
        <v>0</v>
      </c>
      <c r="I85" s="14">
        <v>0.83564979024338693</v>
      </c>
      <c r="J85" s="9" t="s">
        <v>963</v>
      </c>
    </row>
    <row r="86" spans="1:10" ht="28.8" x14ac:dyDescent="0.3">
      <c r="A86" s="3" t="s">
        <v>302</v>
      </c>
      <c r="B86" s="3" t="s">
        <v>12</v>
      </c>
      <c r="C86" s="3">
        <v>199</v>
      </c>
      <c r="D86" s="3">
        <v>1.5</v>
      </c>
      <c r="E86" s="3">
        <v>9.3000000000000007</v>
      </c>
      <c r="F86" s="3">
        <v>1</v>
      </c>
      <c r="G86" s="3" t="s">
        <v>11</v>
      </c>
      <c r="H86" s="12">
        <v>0</v>
      </c>
      <c r="I86" s="14">
        <v>0.72895981168582302</v>
      </c>
      <c r="J86" s="9" t="s">
        <v>963</v>
      </c>
    </row>
    <row r="87" spans="1:10" ht="28.8" x14ac:dyDescent="0.3">
      <c r="A87" s="3" t="s">
        <v>311</v>
      </c>
      <c r="B87" s="3" t="s">
        <v>12</v>
      </c>
      <c r="C87" s="3">
        <v>282</v>
      </c>
      <c r="D87" s="3">
        <v>1.8</v>
      </c>
      <c r="E87" s="3">
        <v>6.3</v>
      </c>
      <c r="F87" s="3">
        <v>1.5</v>
      </c>
      <c r="G87" s="3" t="s">
        <v>11</v>
      </c>
      <c r="H87" s="12">
        <v>0</v>
      </c>
      <c r="I87" s="14">
        <v>0.70729729148868681</v>
      </c>
      <c r="J87" s="9" t="s">
        <v>963</v>
      </c>
    </row>
    <row r="88" spans="1:10" ht="28.8" x14ac:dyDescent="0.3">
      <c r="A88" s="3" t="s">
        <v>313</v>
      </c>
      <c r="B88" s="3" t="s">
        <v>6</v>
      </c>
      <c r="C88" s="3">
        <v>54</v>
      </c>
      <c r="D88" s="3">
        <v>4.2</v>
      </c>
      <c r="E88" s="3">
        <v>6.7</v>
      </c>
      <c r="F88" s="3">
        <v>2</v>
      </c>
      <c r="G88" s="3" t="s">
        <v>13</v>
      </c>
      <c r="H88" s="12">
        <v>0</v>
      </c>
      <c r="I88" s="14">
        <v>0.88233143771454214</v>
      </c>
      <c r="J88" s="9" t="s">
        <v>963</v>
      </c>
    </row>
    <row r="89" spans="1:10" x14ac:dyDescent="0.3">
      <c r="A89" s="3" t="s">
        <v>321</v>
      </c>
      <c r="B89" s="3" t="s">
        <v>8</v>
      </c>
      <c r="C89" s="3">
        <v>112</v>
      </c>
      <c r="D89" s="3">
        <v>4.5999999999999996</v>
      </c>
      <c r="E89" s="3">
        <v>9.3000000000000007</v>
      </c>
      <c r="F89" s="3">
        <v>0.8</v>
      </c>
      <c r="G89" s="3" t="s">
        <v>13</v>
      </c>
      <c r="H89" s="12">
        <v>0</v>
      </c>
      <c r="I89" s="14">
        <v>0.7159494655691846</v>
      </c>
      <c r="J89" s="9" t="s">
        <v>963</v>
      </c>
    </row>
    <row r="90" spans="1:10" ht="28.8" x14ac:dyDescent="0.3">
      <c r="A90" s="3" t="s">
        <v>322</v>
      </c>
      <c r="B90" s="3" t="s">
        <v>12</v>
      </c>
      <c r="C90" s="3">
        <v>331</v>
      </c>
      <c r="D90" s="3">
        <v>4.3</v>
      </c>
      <c r="E90" s="3">
        <v>9.1999999999999993</v>
      </c>
      <c r="F90" s="3">
        <v>1.1000000000000001</v>
      </c>
      <c r="G90" s="3" t="s">
        <v>13</v>
      </c>
      <c r="H90" s="12">
        <v>0</v>
      </c>
      <c r="I90" s="14">
        <v>0.74269675188599626</v>
      </c>
      <c r="J90" s="9" t="s">
        <v>963</v>
      </c>
    </row>
    <row r="91" spans="1:10" ht="28.8" x14ac:dyDescent="0.3">
      <c r="A91" s="3" t="s">
        <v>323</v>
      </c>
      <c r="B91" s="3" t="s">
        <v>6</v>
      </c>
      <c r="C91" s="3">
        <v>343</v>
      </c>
      <c r="D91" s="3">
        <v>1.7</v>
      </c>
      <c r="E91" s="3">
        <v>2.8</v>
      </c>
      <c r="F91" s="3">
        <v>1.9</v>
      </c>
      <c r="G91" s="3" t="s">
        <v>11</v>
      </c>
      <c r="H91" s="12">
        <v>0</v>
      </c>
      <c r="I91" s="14">
        <v>0.7564048823890166</v>
      </c>
      <c r="J91" s="9" t="s">
        <v>963</v>
      </c>
    </row>
    <row r="92" spans="1:10" x14ac:dyDescent="0.3">
      <c r="A92" s="3" t="s">
        <v>325</v>
      </c>
      <c r="B92" s="3" t="s">
        <v>8</v>
      </c>
      <c r="C92" s="3">
        <v>318</v>
      </c>
      <c r="D92" s="3">
        <v>7.9</v>
      </c>
      <c r="E92" s="3">
        <v>5.0999999999999996</v>
      </c>
      <c r="F92" s="3">
        <v>0.8</v>
      </c>
      <c r="G92" s="3" t="s">
        <v>9</v>
      </c>
      <c r="H92" s="12">
        <v>0</v>
      </c>
      <c r="I92" s="14">
        <v>0.82598442103038161</v>
      </c>
      <c r="J92" s="9" t="s">
        <v>963</v>
      </c>
    </row>
    <row r="93" spans="1:10" x14ac:dyDescent="0.3">
      <c r="A93" s="3" t="s">
        <v>330</v>
      </c>
      <c r="B93" s="3" t="s">
        <v>8</v>
      </c>
      <c r="C93" s="3">
        <v>381</v>
      </c>
      <c r="D93" s="3">
        <v>2.4</v>
      </c>
      <c r="E93" s="3">
        <v>9.4</v>
      </c>
      <c r="F93" s="3">
        <v>2.4</v>
      </c>
      <c r="G93" s="3" t="s">
        <v>7</v>
      </c>
      <c r="H93" s="12">
        <v>0</v>
      </c>
      <c r="I93" s="14">
        <v>0.80150636337329417</v>
      </c>
      <c r="J93" s="9" t="s">
        <v>963</v>
      </c>
    </row>
    <row r="94" spans="1:10" ht="28.8" x14ac:dyDescent="0.3">
      <c r="A94" s="3" t="s">
        <v>333</v>
      </c>
      <c r="B94" s="3" t="s">
        <v>6</v>
      </c>
      <c r="C94" s="3">
        <v>453</v>
      </c>
      <c r="D94" s="3">
        <v>6.6</v>
      </c>
      <c r="E94" s="3">
        <v>5.6</v>
      </c>
      <c r="F94" s="3">
        <v>0.8</v>
      </c>
      <c r="G94" s="3" t="s">
        <v>9</v>
      </c>
      <c r="H94" s="12">
        <v>0</v>
      </c>
      <c r="I94" s="14">
        <v>0.73260260390127097</v>
      </c>
      <c r="J94" s="9" t="s">
        <v>963</v>
      </c>
    </row>
    <row r="95" spans="1:10" ht="28.8" x14ac:dyDescent="0.3">
      <c r="A95" s="3" t="s">
        <v>335</v>
      </c>
      <c r="B95" s="3" t="s">
        <v>14</v>
      </c>
      <c r="C95" s="3">
        <v>69</v>
      </c>
      <c r="D95" s="3">
        <v>7.5</v>
      </c>
      <c r="E95" s="3">
        <v>3.4</v>
      </c>
      <c r="F95" s="3">
        <v>1</v>
      </c>
      <c r="G95" s="3" t="s">
        <v>9</v>
      </c>
      <c r="H95" s="12">
        <v>0</v>
      </c>
      <c r="I95" s="14">
        <v>0.82318472729975301</v>
      </c>
      <c r="J95" s="9" t="s">
        <v>963</v>
      </c>
    </row>
    <row r="96" spans="1:10" ht="28.8" x14ac:dyDescent="0.3">
      <c r="A96" s="3" t="s">
        <v>336</v>
      </c>
      <c r="B96" s="3" t="s">
        <v>6</v>
      </c>
      <c r="C96" s="3">
        <v>111</v>
      </c>
      <c r="D96" s="3">
        <v>6.5</v>
      </c>
      <c r="E96" s="3">
        <v>5.6</v>
      </c>
      <c r="F96" s="3">
        <v>2.4</v>
      </c>
      <c r="G96" s="3" t="s">
        <v>9</v>
      </c>
      <c r="H96" s="12">
        <v>0</v>
      </c>
      <c r="I96" s="14">
        <v>0.78199538439058225</v>
      </c>
      <c r="J96" s="9" t="s">
        <v>963</v>
      </c>
    </row>
    <row r="97" spans="1:10" ht="28.8" x14ac:dyDescent="0.3">
      <c r="A97" s="3" t="s">
        <v>338</v>
      </c>
      <c r="B97" s="3" t="s">
        <v>14</v>
      </c>
      <c r="C97" s="3">
        <v>456</v>
      </c>
      <c r="D97" s="3">
        <v>7.7</v>
      </c>
      <c r="E97" s="3">
        <v>2</v>
      </c>
      <c r="F97" s="3">
        <v>1.8</v>
      </c>
      <c r="G97" s="3" t="s">
        <v>9</v>
      </c>
      <c r="H97" s="12">
        <v>0</v>
      </c>
      <c r="I97" s="14">
        <v>0.99345017513206757</v>
      </c>
      <c r="J97" s="9" t="s">
        <v>963</v>
      </c>
    </row>
    <row r="98" spans="1:10" ht="28.8" x14ac:dyDescent="0.3">
      <c r="A98" s="3" t="s">
        <v>346</v>
      </c>
      <c r="B98" s="3" t="s">
        <v>14</v>
      </c>
      <c r="C98" s="3">
        <v>344</v>
      </c>
      <c r="D98" s="3">
        <v>7.6</v>
      </c>
      <c r="E98" s="3">
        <v>4</v>
      </c>
      <c r="F98" s="3">
        <v>2.2000000000000002</v>
      </c>
      <c r="G98" s="3" t="s">
        <v>9</v>
      </c>
      <c r="H98" s="12">
        <v>0</v>
      </c>
      <c r="I98" s="14">
        <v>0.98401698534478332</v>
      </c>
      <c r="J98" s="9" t="s">
        <v>963</v>
      </c>
    </row>
    <row r="99" spans="1:10" x14ac:dyDescent="0.3">
      <c r="A99" s="3" t="s">
        <v>348</v>
      </c>
      <c r="B99" s="3" t="s">
        <v>10</v>
      </c>
      <c r="C99" s="3">
        <v>130</v>
      </c>
      <c r="D99" s="3">
        <v>6.2</v>
      </c>
      <c r="E99" s="3">
        <v>3.5</v>
      </c>
      <c r="F99" s="3">
        <v>2</v>
      </c>
      <c r="G99" s="3" t="s">
        <v>9</v>
      </c>
      <c r="H99" s="12">
        <v>0</v>
      </c>
      <c r="I99" s="14">
        <v>0.91596517217088913</v>
      </c>
      <c r="J99" s="9" t="s">
        <v>963</v>
      </c>
    </row>
    <row r="100" spans="1:10" x14ac:dyDescent="0.3">
      <c r="A100" s="3" t="s">
        <v>352</v>
      </c>
      <c r="B100" s="3" t="s">
        <v>8</v>
      </c>
      <c r="C100" s="3">
        <v>95</v>
      </c>
      <c r="D100" s="3">
        <v>4</v>
      </c>
      <c r="E100" s="3">
        <v>5.3</v>
      </c>
      <c r="F100" s="3">
        <v>2.5</v>
      </c>
      <c r="G100" s="3" t="s">
        <v>13</v>
      </c>
      <c r="H100" s="12">
        <v>0</v>
      </c>
      <c r="I100" s="14">
        <v>0.9831894588228931</v>
      </c>
      <c r="J100" s="9" t="s">
        <v>963</v>
      </c>
    </row>
    <row r="101" spans="1:10" ht="28.8" x14ac:dyDescent="0.3">
      <c r="A101" s="3" t="s">
        <v>355</v>
      </c>
      <c r="B101" s="3" t="s">
        <v>6</v>
      </c>
      <c r="C101" s="3">
        <v>312</v>
      </c>
      <c r="D101" s="3">
        <v>7.7</v>
      </c>
      <c r="E101" s="3">
        <v>5.0999999999999996</v>
      </c>
      <c r="F101" s="3">
        <v>2.5</v>
      </c>
      <c r="G101" s="3" t="s">
        <v>9</v>
      </c>
      <c r="H101" s="12">
        <v>0</v>
      </c>
      <c r="I101" s="14">
        <v>0.9089415131015971</v>
      </c>
      <c r="J101" s="9" t="s">
        <v>963</v>
      </c>
    </row>
    <row r="102" spans="1:10" ht="28.8" x14ac:dyDescent="0.3">
      <c r="A102" s="3" t="s">
        <v>358</v>
      </c>
      <c r="B102" s="3" t="s">
        <v>18</v>
      </c>
      <c r="C102" s="3">
        <v>418</v>
      </c>
      <c r="D102" s="3">
        <v>7.9</v>
      </c>
      <c r="E102" s="3">
        <v>3.8</v>
      </c>
      <c r="F102" s="3">
        <v>2.5</v>
      </c>
      <c r="G102" s="3" t="s">
        <v>9</v>
      </c>
      <c r="H102" s="12">
        <v>0</v>
      </c>
      <c r="I102" s="14">
        <v>0.89170867931200404</v>
      </c>
      <c r="J102" s="9" t="s">
        <v>963</v>
      </c>
    </row>
    <row r="103" spans="1:10" x14ac:dyDescent="0.3">
      <c r="A103" s="3" t="s">
        <v>365</v>
      </c>
      <c r="B103" s="3" t="s">
        <v>8</v>
      </c>
      <c r="C103" s="3">
        <v>358</v>
      </c>
      <c r="D103" s="3">
        <v>2.5</v>
      </c>
      <c r="E103" s="3">
        <v>4.5</v>
      </c>
      <c r="F103" s="3">
        <v>2.1</v>
      </c>
      <c r="G103" s="3" t="s">
        <v>7</v>
      </c>
      <c r="H103" s="12">
        <v>0</v>
      </c>
      <c r="I103" s="14">
        <v>0.84249057353639811</v>
      </c>
      <c r="J103" s="9" t="s">
        <v>963</v>
      </c>
    </row>
    <row r="104" spans="1:10" ht="28.8" x14ac:dyDescent="0.3">
      <c r="A104" s="3" t="s">
        <v>369</v>
      </c>
      <c r="B104" s="3" t="s">
        <v>6</v>
      </c>
      <c r="C104" s="3">
        <v>89</v>
      </c>
      <c r="D104" s="3">
        <v>4.0999999999999996</v>
      </c>
      <c r="E104" s="3">
        <v>9.6</v>
      </c>
      <c r="F104" s="3">
        <v>2.9</v>
      </c>
      <c r="G104" s="3" t="s">
        <v>13</v>
      </c>
      <c r="H104" s="12">
        <v>0</v>
      </c>
      <c r="I104" s="14">
        <v>0.70501129893090819</v>
      </c>
      <c r="J104" s="9" t="s">
        <v>963</v>
      </c>
    </row>
    <row r="105" spans="1:10" x14ac:dyDescent="0.3">
      <c r="A105" s="3" t="s">
        <v>372</v>
      </c>
      <c r="B105" s="3" t="s">
        <v>10</v>
      </c>
      <c r="C105" s="3">
        <v>120</v>
      </c>
      <c r="D105" s="3">
        <v>4.9000000000000004</v>
      </c>
      <c r="E105" s="3">
        <v>9.1999999999999993</v>
      </c>
      <c r="F105" s="3">
        <v>0.7</v>
      </c>
      <c r="G105" s="3" t="s">
        <v>13</v>
      </c>
      <c r="H105" s="12">
        <v>0</v>
      </c>
      <c r="I105" s="14">
        <v>0.72679988494483527</v>
      </c>
      <c r="J105" s="9" t="s">
        <v>963</v>
      </c>
    </row>
    <row r="106" spans="1:10" ht="28.8" x14ac:dyDescent="0.3">
      <c r="A106" s="3" t="s">
        <v>374</v>
      </c>
      <c r="B106" s="3" t="s">
        <v>18</v>
      </c>
      <c r="C106" s="3">
        <v>275</v>
      </c>
      <c r="D106" s="3">
        <v>0.9</v>
      </c>
      <c r="E106" s="3">
        <v>5.3</v>
      </c>
      <c r="F106" s="3">
        <v>2.1</v>
      </c>
      <c r="G106" s="3" t="s">
        <v>11</v>
      </c>
      <c r="H106" s="12">
        <v>0</v>
      </c>
      <c r="I106" s="14">
        <v>0.7727148767919334</v>
      </c>
      <c r="J106" s="9" t="s">
        <v>963</v>
      </c>
    </row>
    <row r="107" spans="1:10" x14ac:dyDescent="0.3">
      <c r="A107" s="3" t="s">
        <v>376</v>
      </c>
      <c r="B107" s="3" t="s">
        <v>8</v>
      </c>
      <c r="C107" s="3">
        <v>355</v>
      </c>
      <c r="D107" s="3">
        <v>6.9</v>
      </c>
      <c r="E107" s="3">
        <v>3.3</v>
      </c>
      <c r="F107" s="3">
        <v>1.3</v>
      </c>
      <c r="G107" s="3" t="s">
        <v>9</v>
      </c>
      <c r="H107" s="12">
        <v>0</v>
      </c>
      <c r="I107" s="14">
        <v>0.70766050311309026</v>
      </c>
      <c r="J107" s="9" t="s">
        <v>963</v>
      </c>
    </row>
    <row r="108" spans="1:10" ht="28.8" x14ac:dyDescent="0.3">
      <c r="A108" s="3" t="s">
        <v>382</v>
      </c>
      <c r="B108" s="3" t="s">
        <v>14</v>
      </c>
      <c r="C108" s="3">
        <v>54</v>
      </c>
      <c r="D108" s="3">
        <v>3.1</v>
      </c>
      <c r="E108" s="3">
        <v>1.9</v>
      </c>
      <c r="F108" s="3">
        <v>1.3</v>
      </c>
      <c r="G108" s="3" t="s">
        <v>7</v>
      </c>
      <c r="H108" s="12">
        <v>0</v>
      </c>
      <c r="I108" s="14">
        <v>0.80774251177192757</v>
      </c>
      <c r="J108" s="9" t="s">
        <v>963</v>
      </c>
    </row>
    <row r="109" spans="1:10" ht="28.8" x14ac:dyDescent="0.3">
      <c r="A109" s="3" t="s">
        <v>383</v>
      </c>
      <c r="B109" s="3" t="s">
        <v>6</v>
      </c>
      <c r="C109" s="3">
        <v>106</v>
      </c>
      <c r="D109" s="3">
        <v>6.8</v>
      </c>
      <c r="E109" s="3">
        <v>2</v>
      </c>
      <c r="F109" s="3">
        <v>2.5</v>
      </c>
      <c r="G109" s="3" t="s">
        <v>9</v>
      </c>
      <c r="H109" s="12">
        <v>0</v>
      </c>
      <c r="I109" s="14">
        <v>0.8497709109003112</v>
      </c>
      <c r="J109" s="9" t="s">
        <v>963</v>
      </c>
    </row>
    <row r="110" spans="1:10" ht="28.8" x14ac:dyDescent="0.3">
      <c r="A110" s="3" t="s">
        <v>387</v>
      </c>
      <c r="B110" s="3" t="s">
        <v>6</v>
      </c>
      <c r="C110" s="3">
        <v>267</v>
      </c>
      <c r="D110" s="3">
        <v>7.3</v>
      </c>
      <c r="E110" s="3">
        <v>3.8</v>
      </c>
      <c r="F110" s="3">
        <v>0.8</v>
      </c>
      <c r="G110" s="3" t="s">
        <v>9</v>
      </c>
      <c r="H110" s="12">
        <v>0</v>
      </c>
      <c r="I110" s="14">
        <v>0.94906155889397226</v>
      </c>
      <c r="J110" s="9" t="s">
        <v>963</v>
      </c>
    </row>
    <row r="111" spans="1:10" ht="28.8" x14ac:dyDescent="0.3">
      <c r="A111" s="3" t="s">
        <v>389</v>
      </c>
      <c r="B111" s="3" t="s">
        <v>6</v>
      </c>
      <c r="C111" s="3">
        <v>460</v>
      </c>
      <c r="D111" s="3">
        <v>1.4</v>
      </c>
      <c r="E111" s="3">
        <v>8.6</v>
      </c>
      <c r="F111" s="3">
        <v>0.6</v>
      </c>
      <c r="G111" s="3" t="s">
        <v>11</v>
      </c>
      <c r="H111" s="12">
        <v>0</v>
      </c>
      <c r="I111" s="14">
        <v>0.86945192974983021</v>
      </c>
      <c r="J111" s="9" t="s">
        <v>963</v>
      </c>
    </row>
    <row r="112" spans="1:10" ht="28.8" x14ac:dyDescent="0.3">
      <c r="A112" s="3" t="s">
        <v>390</v>
      </c>
      <c r="B112" s="3" t="s">
        <v>12</v>
      </c>
      <c r="C112" s="3">
        <v>362</v>
      </c>
      <c r="D112" s="3">
        <v>4.4000000000000004</v>
      </c>
      <c r="E112" s="3">
        <v>4.9000000000000004</v>
      </c>
      <c r="F112" s="3">
        <v>2.8</v>
      </c>
      <c r="G112" s="3" t="s">
        <v>13</v>
      </c>
      <c r="H112" s="12">
        <v>0</v>
      </c>
      <c r="I112" s="14">
        <v>0.96147528026794216</v>
      </c>
      <c r="J112" s="9" t="s">
        <v>963</v>
      </c>
    </row>
    <row r="113" spans="1:10" ht="28.8" x14ac:dyDescent="0.3">
      <c r="A113" s="3" t="s">
        <v>391</v>
      </c>
      <c r="B113" s="3" t="s">
        <v>14</v>
      </c>
      <c r="C113" s="3">
        <v>190</v>
      </c>
      <c r="D113" s="3">
        <v>7</v>
      </c>
      <c r="E113" s="3">
        <v>5.9</v>
      </c>
      <c r="F113" s="3">
        <v>2.4</v>
      </c>
      <c r="G113" s="3" t="s">
        <v>9</v>
      </c>
      <c r="H113" s="12">
        <v>0</v>
      </c>
      <c r="I113" s="14">
        <v>0.88505496260055883</v>
      </c>
      <c r="J113" s="9" t="s">
        <v>963</v>
      </c>
    </row>
    <row r="114" spans="1:10" x14ac:dyDescent="0.3">
      <c r="A114" s="3" t="s">
        <v>393</v>
      </c>
      <c r="B114" s="3" t="s">
        <v>8</v>
      </c>
      <c r="C114" s="3">
        <v>73</v>
      </c>
      <c r="D114" s="3">
        <v>1</v>
      </c>
      <c r="E114" s="3">
        <v>3.2</v>
      </c>
      <c r="F114" s="3">
        <v>1.8</v>
      </c>
      <c r="G114" s="3" t="s">
        <v>11</v>
      </c>
      <c r="H114" s="12">
        <v>0</v>
      </c>
      <c r="I114" s="14">
        <v>0.84174851670825934</v>
      </c>
      <c r="J114" s="9" t="s">
        <v>963</v>
      </c>
    </row>
    <row r="115" spans="1:10" x14ac:dyDescent="0.3">
      <c r="A115" s="3" t="s">
        <v>399</v>
      </c>
      <c r="B115" s="3" t="s">
        <v>10</v>
      </c>
      <c r="C115" s="3">
        <v>195</v>
      </c>
      <c r="D115" s="3">
        <v>6.8</v>
      </c>
      <c r="E115" s="3">
        <v>2.9</v>
      </c>
      <c r="F115" s="3">
        <v>2.7</v>
      </c>
      <c r="G115" s="3" t="s">
        <v>9</v>
      </c>
      <c r="H115" s="12">
        <v>0</v>
      </c>
      <c r="I115" s="14">
        <v>0.75869435716989919</v>
      </c>
      <c r="J115" s="9" t="s">
        <v>963</v>
      </c>
    </row>
    <row r="116" spans="1:10" ht="28.8" x14ac:dyDescent="0.3">
      <c r="A116" s="3" t="s">
        <v>408</v>
      </c>
      <c r="B116" s="3" t="s">
        <v>18</v>
      </c>
      <c r="C116" s="3">
        <v>479</v>
      </c>
      <c r="D116" s="3">
        <v>6.6</v>
      </c>
      <c r="E116" s="3">
        <v>8.1999999999999993</v>
      </c>
      <c r="F116" s="3">
        <v>1.9</v>
      </c>
      <c r="G116" s="3" t="s">
        <v>9</v>
      </c>
      <c r="H116" s="12">
        <v>0</v>
      </c>
      <c r="I116" s="14">
        <v>0.98071892770521174</v>
      </c>
      <c r="J116" s="9" t="s">
        <v>963</v>
      </c>
    </row>
    <row r="117" spans="1:10" ht="28.8" x14ac:dyDescent="0.3">
      <c r="A117" s="3" t="s">
        <v>410</v>
      </c>
      <c r="B117" s="3" t="s">
        <v>6</v>
      </c>
      <c r="C117" s="3">
        <v>382</v>
      </c>
      <c r="D117" s="3">
        <v>5.2</v>
      </c>
      <c r="E117" s="3">
        <v>0.5</v>
      </c>
      <c r="F117" s="3">
        <v>2</v>
      </c>
      <c r="G117" s="3" t="s">
        <v>13</v>
      </c>
      <c r="H117" s="12">
        <v>0</v>
      </c>
      <c r="I117" s="14">
        <v>0.92350485888447909</v>
      </c>
      <c r="J117" s="9" t="s">
        <v>963</v>
      </c>
    </row>
    <row r="118" spans="1:10" ht="28.8" x14ac:dyDescent="0.3">
      <c r="A118" s="3" t="s">
        <v>411</v>
      </c>
      <c r="B118" s="3" t="s">
        <v>12</v>
      </c>
      <c r="C118" s="3">
        <v>316</v>
      </c>
      <c r="D118" s="3">
        <v>1</v>
      </c>
      <c r="E118" s="3">
        <v>8.5</v>
      </c>
      <c r="F118" s="3">
        <v>1.9</v>
      </c>
      <c r="G118" s="3" t="s">
        <v>11</v>
      </c>
      <c r="H118" s="12">
        <v>0</v>
      </c>
      <c r="I118" s="14">
        <v>0.85443857175248761</v>
      </c>
      <c r="J118" s="9" t="s">
        <v>963</v>
      </c>
    </row>
    <row r="119" spans="1:10" ht="28.8" x14ac:dyDescent="0.3">
      <c r="A119" s="3" t="s">
        <v>416</v>
      </c>
      <c r="B119" s="3" t="s">
        <v>12</v>
      </c>
      <c r="C119" s="3">
        <v>253</v>
      </c>
      <c r="D119" s="3">
        <v>6.9</v>
      </c>
      <c r="E119" s="3">
        <v>5.4</v>
      </c>
      <c r="F119" s="3">
        <v>0.8</v>
      </c>
      <c r="G119" s="3" t="s">
        <v>9</v>
      </c>
      <c r="H119" s="12">
        <v>0</v>
      </c>
      <c r="I119" s="14">
        <v>0.87900221848287974</v>
      </c>
      <c r="J119" s="9" t="s">
        <v>963</v>
      </c>
    </row>
    <row r="120" spans="1:10" ht="28.8" x14ac:dyDescent="0.3">
      <c r="A120" s="3" t="s">
        <v>418</v>
      </c>
      <c r="B120" s="3" t="s">
        <v>6</v>
      </c>
      <c r="C120" s="3">
        <v>146</v>
      </c>
      <c r="D120" s="3">
        <v>7</v>
      </c>
      <c r="E120" s="3">
        <v>1.9</v>
      </c>
      <c r="F120" s="3">
        <v>2.8</v>
      </c>
      <c r="G120" s="3" t="s">
        <v>9</v>
      </c>
      <c r="H120" s="12">
        <v>0</v>
      </c>
      <c r="I120" s="14">
        <v>0.92575583551748886</v>
      </c>
      <c r="J120" s="9" t="s">
        <v>963</v>
      </c>
    </row>
    <row r="121" spans="1:10" ht="28.8" x14ac:dyDescent="0.3">
      <c r="A121" s="3" t="s">
        <v>421</v>
      </c>
      <c r="B121" s="3" t="s">
        <v>18</v>
      </c>
      <c r="C121" s="3">
        <v>394</v>
      </c>
      <c r="D121" s="3">
        <v>7.9</v>
      </c>
      <c r="E121" s="3">
        <v>5.5</v>
      </c>
      <c r="F121" s="3">
        <v>2.9</v>
      </c>
      <c r="G121" s="3" t="s">
        <v>9</v>
      </c>
      <c r="H121" s="12">
        <v>0</v>
      </c>
      <c r="I121" s="14">
        <v>0.83229682739570987</v>
      </c>
      <c r="J121" s="9" t="s">
        <v>963</v>
      </c>
    </row>
    <row r="122" spans="1:10" ht="28.8" x14ac:dyDescent="0.3">
      <c r="A122" s="3" t="s">
        <v>422</v>
      </c>
      <c r="B122" s="3" t="s">
        <v>6</v>
      </c>
      <c r="C122" s="3">
        <v>453</v>
      </c>
      <c r="D122" s="3">
        <v>6</v>
      </c>
      <c r="E122" s="3">
        <v>5.7</v>
      </c>
      <c r="F122" s="3">
        <v>2</v>
      </c>
      <c r="G122" s="3" t="s">
        <v>9</v>
      </c>
      <c r="H122" s="12">
        <v>0</v>
      </c>
      <c r="I122" s="14">
        <v>0.72043412651830196</v>
      </c>
      <c r="J122" s="9" t="s">
        <v>963</v>
      </c>
    </row>
    <row r="123" spans="1:10" ht="28.8" x14ac:dyDescent="0.3">
      <c r="A123" s="3" t="s">
        <v>425</v>
      </c>
      <c r="B123" s="3" t="s">
        <v>12</v>
      </c>
      <c r="C123" s="3">
        <v>244</v>
      </c>
      <c r="D123" s="3">
        <v>7</v>
      </c>
      <c r="E123" s="3">
        <v>6.6</v>
      </c>
      <c r="F123" s="3">
        <v>1</v>
      </c>
      <c r="G123" s="3" t="s">
        <v>9</v>
      </c>
      <c r="H123" s="12">
        <v>0</v>
      </c>
      <c r="I123" s="14">
        <v>0.7124558573132489</v>
      </c>
      <c r="J123" s="9" t="s">
        <v>963</v>
      </c>
    </row>
    <row r="124" spans="1:10" ht="28.8" x14ac:dyDescent="0.3">
      <c r="A124" s="3" t="s">
        <v>430</v>
      </c>
      <c r="B124" s="3" t="s">
        <v>14</v>
      </c>
      <c r="C124" s="3">
        <v>339</v>
      </c>
      <c r="D124" s="3">
        <v>6.5</v>
      </c>
      <c r="E124" s="3">
        <v>7.6</v>
      </c>
      <c r="F124" s="3">
        <v>2.2999999999999998</v>
      </c>
      <c r="G124" s="3" t="s">
        <v>9</v>
      </c>
      <c r="H124" s="12">
        <v>0</v>
      </c>
      <c r="I124" s="14">
        <v>0.72425378246830507</v>
      </c>
      <c r="J124" s="9" t="s">
        <v>963</v>
      </c>
    </row>
    <row r="125" spans="1:10" ht="28.8" x14ac:dyDescent="0.3">
      <c r="A125" s="3" t="s">
        <v>435</v>
      </c>
      <c r="B125" s="3" t="s">
        <v>18</v>
      </c>
      <c r="C125" s="3">
        <v>161</v>
      </c>
      <c r="D125" s="3">
        <v>7.4</v>
      </c>
      <c r="E125" s="3">
        <v>4.4000000000000004</v>
      </c>
      <c r="F125" s="3">
        <v>1.9</v>
      </c>
      <c r="G125" s="3" t="s">
        <v>9</v>
      </c>
      <c r="H125" s="12">
        <v>0</v>
      </c>
      <c r="I125" s="14">
        <v>0.73174714531193974</v>
      </c>
      <c r="J125" s="9" t="s">
        <v>963</v>
      </c>
    </row>
    <row r="126" spans="1:10" x14ac:dyDescent="0.3">
      <c r="A126" s="3" t="s">
        <v>441</v>
      </c>
      <c r="B126" s="3" t="s">
        <v>10</v>
      </c>
      <c r="C126" s="3">
        <v>254</v>
      </c>
      <c r="D126" s="3">
        <v>3.3</v>
      </c>
      <c r="E126" s="3">
        <v>1.5</v>
      </c>
      <c r="F126" s="3">
        <v>0.7</v>
      </c>
      <c r="G126" s="3" t="s">
        <v>7</v>
      </c>
      <c r="H126" s="12">
        <v>0</v>
      </c>
      <c r="I126" s="14">
        <v>0.91372488266103746</v>
      </c>
      <c r="J126" s="9" t="s">
        <v>963</v>
      </c>
    </row>
    <row r="127" spans="1:10" ht="28.8" x14ac:dyDescent="0.3">
      <c r="A127" s="3" t="s">
        <v>448</v>
      </c>
      <c r="B127" s="3" t="s">
        <v>6</v>
      </c>
      <c r="C127" s="3">
        <v>469</v>
      </c>
      <c r="D127" s="3">
        <v>3.4</v>
      </c>
      <c r="E127" s="3">
        <v>9.4</v>
      </c>
      <c r="F127" s="3">
        <v>1.8</v>
      </c>
      <c r="G127" s="3" t="s">
        <v>7</v>
      </c>
      <c r="H127" s="12">
        <v>0</v>
      </c>
      <c r="I127" s="14">
        <v>0.93591555144778105</v>
      </c>
      <c r="J127" s="9" t="s">
        <v>963</v>
      </c>
    </row>
    <row r="128" spans="1:10" ht="28.8" x14ac:dyDescent="0.3">
      <c r="A128" s="3" t="s">
        <v>451</v>
      </c>
      <c r="B128" s="3" t="s">
        <v>6</v>
      </c>
      <c r="C128" s="3">
        <v>165</v>
      </c>
      <c r="D128" s="3">
        <v>5.8</v>
      </c>
      <c r="E128" s="3">
        <v>2.4</v>
      </c>
      <c r="F128" s="3">
        <v>2.7</v>
      </c>
      <c r="G128" s="3" t="s">
        <v>13</v>
      </c>
      <c r="H128" s="12">
        <v>0</v>
      </c>
      <c r="I128" s="14">
        <v>0.89222086279881707</v>
      </c>
      <c r="J128" s="9" t="s">
        <v>963</v>
      </c>
    </row>
    <row r="129" spans="1:10" ht="28.8" x14ac:dyDescent="0.3">
      <c r="A129" s="3" t="s">
        <v>460</v>
      </c>
      <c r="B129" s="3" t="s">
        <v>12</v>
      </c>
      <c r="C129" s="3">
        <v>268</v>
      </c>
      <c r="D129" s="3">
        <v>6</v>
      </c>
      <c r="E129" s="3">
        <v>1.4</v>
      </c>
      <c r="F129" s="3">
        <v>2.8</v>
      </c>
      <c r="G129" s="3" t="s">
        <v>9</v>
      </c>
      <c r="H129" s="12">
        <v>0</v>
      </c>
      <c r="I129" s="14">
        <v>0.93373861853478435</v>
      </c>
      <c r="J129" s="9" t="s">
        <v>963</v>
      </c>
    </row>
    <row r="130" spans="1:10" ht="28.8" x14ac:dyDescent="0.3">
      <c r="A130" s="3" t="s">
        <v>464</v>
      </c>
      <c r="B130" s="3" t="s">
        <v>12</v>
      </c>
      <c r="C130" s="3">
        <v>383</v>
      </c>
      <c r="D130" s="3">
        <v>7.6</v>
      </c>
      <c r="E130" s="3">
        <v>5.3</v>
      </c>
      <c r="F130" s="3">
        <v>0.8</v>
      </c>
      <c r="G130" s="3" t="s">
        <v>9</v>
      </c>
      <c r="H130" s="12">
        <v>0</v>
      </c>
      <c r="I130" s="14">
        <v>0.77774993914367596</v>
      </c>
      <c r="J130" s="9" t="s">
        <v>963</v>
      </c>
    </row>
    <row r="131" spans="1:10" ht="28.8" x14ac:dyDescent="0.3">
      <c r="A131" s="3" t="s">
        <v>465</v>
      </c>
      <c r="B131" s="3" t="s">
        <v>14</v>
      </c>
      <c r="C131" s="3">
        <v>310</v>
      </c>
      <c r="D131" s="3">
        <v>7.4</v>
      </c>
      <c r="E131" s="3">
        <v>5.4</v>
      </c>
      <c r="F131" s="3">
        <v>2.4</v>
      </c>
      <c r="G131" s="3" t="s">
        <v>9</v>
      </c>
      <c r="H131" s="12">
        <v>0</v>
      </c>
      <c r="I131" s="14">
        <v>0.99288571795026093</v>
      </c>
      <c r="J131" s="9" t="s">
        <v>963</v>
      </c>
    </row>
    <row r="132" spans="1:10" ht="28.8" x14ac:dyDescent="0.3">
      <c r="A132" s="3" t="s">
        <v>466</v>
      </c>
      <c r="B132" s="3" t="s">
        <v>6</v>
      </c>
      <c r="C132" s="3">
        <v>66</v>
      </c>
      <c r="D132" s="3">
        <v>0.5</v>
      </c>
      <c r="E132" s="3">
        <v>7.1</v>
      </c>
      <c r="F132" s="3">
        <v>1.5</v>
      </c>
      <c r="G132" s="3" t="s">
        <v>11</v>
      </c>
      <c r="H132" s="12">
        <v>0</v>
      </c>
      <c r="I132" s="14">
        <v>0.93769130589552641</v>
      </c>
      <c r="J132" s="9" t="s">
        <v>963</v>
      </c>
    </row>
    <row r="133" spans="1:10" ht="28.8" x14ac:dyDescent="0.3">
      <c r="A133" s="3" t="s">
        <v>479</v>
      </c>
      <c r="B133" s="3" t="s">
        <v>14</v>
      </c>
      <c r="C133" s="3">
        <v>106</v>
      </c>
      <c r="D133" s="3">
        <v>3.9</v>
      </c>
      <c r="E133" s="3">
        <v>3.6</v>
      </c>
      <c r="F133" s="3">
        <v>2.9</v>
      </c>
      <c r="G133" s="3" t="s">
        <v>7</v>
      </c>
      <c r="H133" s="12">
        <v>0</v>
      </c>
      <c r="I133" s="14">
        <v>0.98151076496948098</v>
      </c>
      <c r="J133" s="9" t="s">
        <v>963</v>
      </c>
    </row>
    <row r="134" spans="1:10" ht="28.8" x14ac:dyDescent="0.3">
      <c r="A134" s="3" t="s">
        <v>480</v>
      </c>
      <c r="B134" s="3" t="s">
        <v>6</v>
      </c>
      <c r="C134" s="3">
        <v>370</v>
      </c>
      <c r="D134" s="3">
        <v>8</v>
      </c>
      <c r="E134" s="3">
        <v>6.2</v>
      </c>
      <c r="F134" s="3">
        <v>2.2999999999999998</v>
      </c>
      <c r="G134" s="3" t="s">
        <v>9</v>
      </c>
      <c r="H134" s="12">
        <v>0</v>
      </c>
      <c r="I134" s="14">
        <v>0.8378086435603751</v>
      </c>
      <c r="J134" s="9" t="s">
        <v>963</v>
      </c>
    </row>
    <row r="135" spans="1:10" ht="28.8" x14ac:dyDescent="0.3">
      <c r="A135" s="3" t="s">
        <v>481</v>
      </c>
      <c r="B135" s="3" t="s">
        <v>12</v>
      </c>
      <c r="C135" s="3">
        <v>151</v>
      </c>
      <c r="D135" s="3">
        <v>5.2</v>
      </c>
      <c r="E135" s="3">
        <v>2.7</v>
      </c>
      <c r="F135" s="3">
        <v>1.4</v>
      </c>
      <c r="G135" s="3" t="s">
        <v>13</v>
      </c>
      <c r="H135" s="12">
        <v>0</v>
      </c>
      <c r="I135" s="14">
        <v>0.76087731853929086</v>
      </c>
      <c r="J135" s="9" t="s">
        <v>963</v>
      </c>
    </row>
    <row r="136" spans="1:10" ht="28.8" x14ac:dyDescent="0.3">
      <c r="A136" s="3" t="s">
        <v>484</v>
      </c>
      <c r="B136" s="3" t="s">
        <v>18</v>
      </c>
      <c r="C136" s="3">
        <v>94</v>
      </c>
      <c r="D136" s="3">
        <v>2.2000000000000002</v>
      </c>
      <c r="E136" s="3">
        <v>6.4</v>
      </c>
      <c r="F136" s="3">
        <v>3</v>
      </c>
      <c r="G136" s="3" t="s">
        <v>7</v>
      </c>
      <c r="H136" s="12">
        <v>0</v>
      </c>
      <c r="I136" s="14">
        <v>0.86923568694700371</v>
      </c>
      <c r="J136" s="9" t="s">
        <v>963</v>
      </c>
    </row>
    <row r="137" spans="1:10" ht="28.8" x14ac:dyDescent="0.3">
      <c r="A137" s="3" t="s">
        <v>486</v>
      </c>
      <c r="B137" s="3" t="s">
        <v>14</v>
      </c>
      <c r="C137" s="3">
        <v>137</v>
      </c>
      <c r="D137" s="3">
        <v>2.2000000000000002</v>
      </c>
      <c r="E137" s="3">
        <v>0.7</v>
      </c>
      <c r="F137" s="3">
        <v>1.3</v>
      </c>
      <c r="G137" s="3" t="s">
        <v>7</v>
      </c>
      <c r="H137" s="12">
        <v>0</v>
      </c>
      <c r="I137" s="14">
        <v>0.761240329941544</v>
      </c>
      <c r="J137" s="9" t="s">
        <v>963</v>
      </c>
    </row>
    <row r="138" spans="1:10" ht="28.8" x14ac:dyDescent="0.3">
      <c r="A138" s="3" t="s">
        <v>488</v>
      </c>
      <c r="B138" s="3" t="s">
        <v>12</v>
      </c>
      <c r="C138" s="3">
        <v>420</v>
      </c>
      <c r="D138" s="3">
        <v>6.6</v>
      </c>
      <c r="E138" s="3">
        <v>8.5</v>
      </c>
      <c r="F138" s="3">
        <v>2.7</v>
      </c>
      <c r="G138" s="3" t="s">
        <v>9</v>
      </c>
      <c r="H138" s="12">
        <v>0</v>
      </c>
      <c r="I138" s="14">
        <v>0.99361749961205081</v>
      </c>
      <c r="J138" s="9" t="s">
        <v>963</v>
      </c>
    </row>
    <row r="139" spans="1:10" x14ac:dyDescent="0.3">
      <c r="A139" s="3" t="s">
        <v>489</v>
      </c>
      <c r="B139" s="3" t="s">
        <v>8</v>
      </c>
      <c r="C139" s="3">
        <v>114</v>
      </c>
      <c r="D139" s="3">
        <v>6.8</v>
      </c>
      <c r="E139" s="3">
        <v>3.1</v>
      </c>
      <c r="F139" s="3">
        <v>1.8</v>
      </c>
      <c r="G139" s="3" t="s">
        <v>9</v>
      </c>
      <c r="H139" s="12">
        <v>0</v>
      </c>
      <c r="I139" s="14">
        <v>0.91370623240365745</v>
      </c>
      <c r="J139" s="9" t="s">
        <v>963</v>
      </c>
    </row>
    <row r="140" spans="1:10" x14ac:dyDescent="0.3">
      <c r="A140" s="3" t="s">
        <v>493</v>
      </c>
      <c r="B140" s="3" t="s">
        <v>10</v>
      </c>
      <c r="C140" s="3">
        <v>82</v>
      </c>
      <c r="D140" s="3">
        <v>7.3</v>
      </c>
      <c r="E140" s="3">
        <v>1.4</v>
      </c>
      <c r="F140" s="3">
        <v>1.1000000000000001</v>
      </c>
      <c r="G140" s="3" t="s">
        <v>9</v>
      </c>
      <c r="H140" s="12">
        <v>0</v>
      </c>
      <c r="I140" s="14">
        <v>0.73625208703844036</v>
      </c>
      <c r="J140" s="9" t="s">
        <v>963</v>
      </c>
    </row>
    <row r="141" spans="1:10" ht="28.8" x14ac:dyDescent="0.3">
      <c r="A141" s="3" t="s">
        <v>497</v>
      </c>
      <c r="B141" s="3" t="s">
        <v>6</v>
      </c>
      <c r="C141" s="3">
        <v>157</v>
      </c>
      <c r="D141" s="3">
        <v>2.4</v>
      </c>
      <c r="E141" s="3">
        <v>7.7</v>
      </c>
      <c r="F141" s="3">
        <v>2.5</v>
      </c>
      <c r="G141" s="3" t="s">
        <v>7</v>
      </c>
      <c r="H141" s="12">
        <v>0</v>
      </c>
      <c r="I141" s="14">
        <v>0.83209102888637265</v>
      </c>
      <c r="J141" s="9" t="s">
        <v>963</v>
      </c>
    </row>
    <row r="142" spans="1:10" ht="28.8" x14ac:dyDescent="0.3">
      <c r="A142" s="3" t="s">
        <v>499</v>
      </c>
      <c r="B142" s="3" t="s">
        <v>12</v>
      </c>
      <c r="C142" s="3">
        <v>335</v>
      </c>
      <c r="D142" s="3">
        <v>7.4</v>
      </c>
      <c r="E142" s="3">
        <v>2.9</v>
      </c>
      <c r="F142" s="3">
        <v>1.5</v>
      </c>
      <c r="G142" s="3" t="s">
        <v>9</v>
      </c>
      <c r="H142" s="12">
        <v>0</v>
      </c>
      <c r="I142" s="14">
        <v>0.87008631478238396</v>
      </c>
      <c r="J142" s="9" t="s">
        <v>963</v>
      </c>
    </row>
    <row r="143" spans="1:10" x14ac:dyDescent="0.3">
      <c r="A143" s="3" t="s">
        <v>501</v>
      </c>
      <c r="B143" s="3" t="s">
        <v>10</v>
      </c>
      <c r="C143" s="3">
        <v>179</v>
      </c>
      <c r="D143" s="3">
        <v>2.9</v>
      </c>
      <c r="E143" s="3">
        <v>6.2</v>
      </c>
      <c r="F143" s="3">
        <v>1.1000000000000001</v>
      </c>
      <c r="G143" s="3" t="s">
        <v>7</v>
      </c>
      <c r="H143" s="12">
        <v>0</v>
      </c>
      <c r="I143" s="14">
        <v>0.99812054408584527</v>
      </c>
      <c r="J143" s="9" t="s">
        <v>963</v>
      </c>
    </row>
    <row r="144" spans="1:10" x14ac:dyDescent="0.3">
      <c r="A144" s="3" t="s">
        <v>502</v>
      </c>
      <c r="B144" s="3" t="s">
        <v>8</v>
      </c>
      <c r="C144" s="3">
        <v>200</v>
      </c>
      <c r="D144" s="3">
        <v>6.9</v>
      </c>
      <c r="E144" s="3">
        <v>3.5</v>
      </c>
      <c r="F144" s="3">
        <v>1.9</v>
      </c>
      <c r="G144" s="3" t="s">
        <v>9</v>
      </c>
      <c r="H144" s="12">
        <v>0</v>
      </c>
      <c r="I144" s="14">
        <v>0.95075940835713335</v>
      </c>
      <c r="J144" s="9" t="s">
        <v>963</v>
      </c>
    </row>
    <row r="145" spans="1:10" x14ac:dyDescent="0.3">
      <c r="A145" s="3" t="s">
        <v>506</v>
      </c>
      <c r="B145" s="3" t="s">
        <v>8</v>
      </c>
      <c r="C145" s="3">
        <v>196</v>
      </c>
      <c r="D145" s="3">
        <v>7.5</v>
      </c>
      <c r="E145" s="3">
        <v>4.4000000000000004</v>
      </c>
      <c r="F145" s="3">
        <v>2.9</v>
      </c>
      <c r="G145" s="3" t="s">
        <v>9</v>
      </c>
      <c r="H145" s="12">
        <v>0</v>
      </c>
      <c r="I145" s="14">
        <v>0.80603151450449084</v>
      </c>
      <c r="J145" s="9" t="s">
        <v>963</v>
      </c>
    </row>
    <row r="146" spans="1:10" x14ac:dyDescent="0.3">
      <c r="A146" s="3" t="s">
        <v>509</v>
      </c>
      <c r="B146" s="3" t="s">
        <v>10</v>
      </c>
      <c r="C146" s="3">
        <v>401</v>
      </c>
      <c r="D146" s="3">
        <v>1.5</v>
      </c>
      <c r="E146" s="3">
        <v>6.1</v>
      </c>
      <c r="F146" s="3">
        <v>1.8</v>
      </c>
      <c r="G146" s="3" t="s">
        <v>11</v>
      </c>
      <c r="H146" s="12">
        <v>0</v>
      </c>
      <c r="I146" s="14">
        <v>0.89652351717313572</v>
      </c>
      <c r="J146" s="9" t="s">
        <v>963</v>
      </c>
    </row>
    <row r="147" spans="1:10" ht="28.8" x14ac:dyDescent="0.3">
      <c r="A147" s="3" t="s">
        <v>513</v>
      </c>
      <c r="B147" s="3" t="s">
        <v>6</v>
      </c>
      <c r="C147" s="3">
        <v>247</v>
      </c>
      <c r="D147" s="3">
        <v>5.7</v>
      </c>
      <c r="E147" s="3">
        <v>4.3</v>
      </c>
      <c r="F147" s="3">
        <v>2.2999999999999998</v>
      </c>
      <c r="G147" s="3" t="s">
        <v>13</v>
      </c>
      <c r="H147" s="12">
        <v>0</v>
      </c>
      <c r="I147" s="14">
        <v>0.94818218032765011</v>
      </c>
      <c r="J147" s="9" t="s">
        <v>963</v>
      </c>
    </row>
    <row r="148" spans="1:10" ht="28.8" x14ac:dyDescent="0.3">
      <c r="A148" s="3" t="s">
        <v>514</v>
      </c>
      <c r="B148" s="3" t="s">
        <v>6</v>
      </c>
      <c r="C148" s="3">
        <v>206</v>
      </c>
      <c r="D148" s="3">
        <v>3.4</v>
      </c>
      <c r="E148" s="3">
        <v>7.6</v>
      </c>
      <c r="F148" s="3">
        <v>2.4</v>
      </c>
      <c r="G148" s="3" t="s">
        <v>7</v>
      </c>
      <c r="H148" s="12">
        <v>0</v>
      </c>
      <c r="I148" s="14">
        <v>0.88145026621657951</v>
      </c>
      <c r="J148" s="9" t="s">
        <v>963</v>
      </c>
    </row>
    <row r="149" spans="1:10" ht="28.8" x14ac:dyDescent="0.3">
      <c r="A149" s="3" t="s">
        <v>516</v>
      </c>
      <c r="B149" s="3" t="s">
        <v>12</v>
      </c>
      <c r="C149" s="3">
        <v>407</v>
      </c>
      <c r="D149" s="3">
        <v>7.3</v>
      </c>
      <c r="E149" s="3">
        <v>7</v>
      </c>
      <c r="F149" s="3">
        <v>1</v>
      </c>
      <c r="G149" s="3" t="s">
        <v>9</v>
      </c>
      <c r="H149" s="12">
        <v>0</v>
      </c>
      <c r="I149" s="14">
        <v>0.7517236528843384</v>
      </c>
      <c r="J149" s="9" t="s">
        <v>963</v>
      </c>
    </row>
    <row r="150" spans="1:10" ht="28.8" x14ac:dyDescent="0.3">
      <c r="A150" s="3" t="s">
        <v>526</v>
      </c>
      <c r="B150" s="3" t="s">
        <v>6</v>
      </c>
      <c r="C150" s="3">
        <v>350</v>
      </c>
      <c r="D150" s="3">
        <v>1</v>
      </c>
      <c r="E150" s="3">
        <v>7.5</v>
      </c>
      <c r="F150" s="3">
        <v>2.2000000000000002</v>
      </c>
      <c r="G150" s="3" t="s">
        <v>11</v>
      </c>
      <c r="H150" s="12">
        <v>0</v>
      </c>
      <c r="I150" s="14">
        <v>0.89716633759881881</v>
      </c>
      <c r="J150" s="9" t="s">
        <v>963</v>
      </c>
    </row>
    <row r="151" spans="1:10" ht="28.8" x14ac:dyDescent="0.3">
      <c r="A151" s="3" t="s">
        <v>527</v>
      </c>
      <c r="B151" s="3" t="s">
        <v>12</v>
      </c>
      <c r="C151" s="3">
        <v>227</v>
      </c>
      <c r="D151" s="3">
        <v>5.9</v>
      </c>
      <c r="E151" s="3">
        <v>3.1</v>
      </c>
      <c r="F151" s="3">
        <v>1.2</v>
      </c>
      <c r="G151" s="3" t="s">
        <v>13</v>
      </c>
      <c r="H151" s="12">
        <v>0</v>
      </c>
      <c r="I151" s="14">
        <v>0.87332073356063455</v>
      </c>
      <c r="J151" s="9" t="s">
        <v>963</v>
      </c>
    </row>
    <row r="152" spans="1:10" x14ac:dyDescent="0.3">
      <c r="A152" s="3" t="s">
        <v>532</v>
      </c>
      <c r="B152" s="3" t="s">
        <v>10</v>
      </c>
      <c r="C152" s="3">
        <v>430</v>
      </c>
      <c r="D152" s="3">
        <v>0.6</v>
      </c>
      <c r="E152" s="3">
        <v>8.3000000000000007</v>
      </c>
      <c r="F152" s="3">
        <v>1.2</v>
      </c>
      <c r="G152" s="3" t="s">
        <v>11</v>
      </c>
      <c r="H152" s="12">
        <v>0</v>
      </c>
      <c r="I152" s="14">
        <v>0.90484928368949702</v>
      </c>
      <c r="J152" s="9" t="s">
        <v>963</v>
      </c>
    </row>
    <row r="153" spans="1:10" x14ac:dyDescent="0.3">
      <c r="A153" s="3" t="s">
        <v>534</v>
      </c>
      <c r="B153" s="3" t="s">
        <v>8</v>
      </c>
      <c r="C153" s="3">
        <v>222</v>
      </c>
      <c r="D153" s="3">
        <v>2.1</v>
      </c>
      <c r="E153" s="3">
        <v>7.1</v>
      </c>
      <c r="F153" s="3">
        <v>1.6</v>
      </c>
      <c r="G153" s="3" t="s">
        <v>7</v>
      </c>
      <c r="H153" s="12">
        <v>0</v>
      </c>
      <c r="I153" s="14">
        <v>0.84061001301476768</v>
      </c>
      <c r="J153" s="9" t="s">
        <v>963</v>
      </c>
    </row>
    <row r="154" spans="1:10" x14ac:dyDescent="0.3">
      <c r="A154" s="3" t="s">
        <v>536</v>
      </c>
      <c r="B154" s="3" t="s">
        <v>10</v>
      </c>
      <c r="C154" s="3">
        <v>226</v>
      </c>
      <c r="D154" s="3">
        <v>4.8</v>
      </c>
      <c r="E154" s="3">
        <v>1.4</v>
      </c>
      <c r="F154" s="3">
        <v>2</v>
      </c>
      <c r="G154" s="3" t="s">
        <v>13</v>
      </c>
      <c r="H154" s="12">
        <v>0</v>
      </c>
      <c r="I154" s="14">
        <v>0.91750500790147105</v>
      </c>
      <c r="J154" s="9" t="s">
        <v>963</v>
      </c>
    </row>
    <row r="155" spans="1:10" ht="28.8" x14ac:dyDescent="0.3">
      <c r="A155" s="3" t="s">
        <v>543</v>
      </c>
      <c r="B155" s="3" t="s">
        <v>12</v>
      </c>
      <c r="C155" s="3">
        <v>236</v>
      </c>
      <c r="D155" s="3">
        <v>7.3</v>
      </c>
      <c r="E155" s="3">
        <v>9.8000000000000007</v>
      </c>
      <c r="F155" s="3">
        <v>2</v>
      </c>
      <c r="G155" s="3" t="s">
        <v>9</v>
      </c>
      <c r="H155" s="12">
        <v>0</v>
      </c>
      <c r="I155" s="14">
        <v>0.88680156441397939</v>
      </c>
      <c r="J155" s="9" t="s">
        <v>963</v>
      </c>
    </row>
    <row r="156" spans="1:10" ht="28.8" x14ac:dyDescent="0.3">
      <c r="A156" s="3" t="s">
        <v>545</v>
      </c>
      <c r="B156" s="3" t="s">
        <v>12</v>
      </c>
      <c r="C156" s="3">
        <v>291</v>
      </c>
      <c r="D156" s="3">
        <v>5.6</v>
      </c>
      <c r="E156" s="3">
        <v>8</v>
      </c>
      <c r="F156" s="3">
        <v>0.7</v>
      </c>
      <c r="G156" s="3" t="s">
        <v>13</v>
      </c>
      <c r="H156" s="12">
        <v>0</v>
      </c>
      <c r="I156" s="14">
        <v>0.80525666850321753</v>
      </c>
      <c r="J156" s="9" t="s">
        <v>963</v>
      </c>
    </row>
    <row r="157" spans="1:10" ht="28.8" x14ac:dyDescent="0.3">
      <c r="A157" s="3" t="s">
        <v>546</v>
      </c>
      <c r="B157" s="3" t="s">
        <v>14</v>
      </c>
      <c r="C157" s="3">
        <v>388</v>
      </c>
      <c r="D157" s="3">
        <v>1.8</v>
      </c>
      <c r="E157" s="3">
        <v>5.9</v>
      </c>
      <c r="F157" s="3">
        <v>1</v>
      </c>
      <c r="G157" s="3" t="s">
        <v>11</v>
      </c>
      <c r="H157" s="12">
        <v>0</v>
      </c>
      <c r="I157" s="14">
        <v>0.98527673945094985</v>
      </c>
      <c r="J157" s="9" t="s">
        <v>963</v>
      </c>
    </row>
    <row r="158" spans="1:10" ht="28.8" x14ac:dyDescent="0.3">
      <c r="A158" s="3" t="s">
        <v>547</v>
      </c>
      <c r="B158" s="3" t="s">
        <v>6</v>
      </c>
      <c r="C158" s="3">
        <v>146</v>
      </c>
      <c r="D158" s="3">
        <v>7.4</v>
      </c>
      <c r="E158" s="3">
        <v>7.5</v>
      </c>
      <c r="F158" s="3">
        <v>1.3</v>
      </c>
      <c r="G158" s="3" t="s">
        <v>9</v>
      </c>
      <c r="H158" s="12">
        <v>0</v>
      </c>
      <c r="I158" s="14">
        <v>0.98169750363118069</v>
      </c>
      <c r="J158" s="9" t="s">
        <v>963</v>
      </c>
    </row>
    <row r="159" spans="1:10" ht="28.8" x14ac:dyDescent="0.3">
      <c r="A159" s="3" t="s">
        <v>549</v>
      </c>
      <c r="B159" s="3" t="s">
        <v>6</v>
      </c>
      <c r="C159" s="3">
        <v>233</v>
      </c>
      <c r="D159" s="3">
        <v>3.7</v>
      </c>
      <c r="E159" s="3">
        <v>0.6</v>
      </c>
      <c r="F159" s="3">
        <v>1.2</v>
      </c>
      <c r="G159" s="3" t="s">
        <v>7</v>
      </c>
      <c r="H159" s="12">
        <v>0</v>
      </c>
      <c r="I159" s="14">
        <v>0.94056174862764741</v>
      </c>
      <c r="J159" s="9" t="s">
        <v>963</v>
      </c>
    </row>
    <row r="160" spans="1:10" ht="28.8" x14ac:dyDescent="0.3">
      <c r="A160" s="3" t="s">
        <v>556</v>
      </c>
      <c r="B160" s="3" t="s">
        <v>6</v>
      </c>
      <c r="C160" s="3">
        <v>418</v>
      </c>
      <c r="D160" s="3">
        <v>2</v>
      </c>
      <c r="E160" s="3">
        <v>0.7</v>
      </c>
      <c r="F160" s="3">
        <v>0.9</v>
      </c>
      <c r="G160" s="3" t="s">
        <v>7</v>
      </c>
      <c r="H160" s="12">
        <v>0</v>
      </c>
      <c r="I160" s="14">
        <v>0.75936405532852347</v>
      </c>
      <c r="J160" s="9" t="s">
        <v>963</v>
      </c>
    </row>
    <row r="161" spans="1:10" ht="28.8" x14ac:dyDescent="0.3">
      <c r="A161" s="3" t="s">
        <v>558</v>
      </c>
      <c r="B161" s="3" t="s">
        <v>18</v>
      </c>
      <c r="C161" s="3">
        <v>60</v>
      </c>
      <c r="D161" s="3">
        <v>3.1</v>
      </c>
      <c r="E161" s="3">
        <v>3.7</v>
      </c>
      <c r="F161" s="3">
        <v>2.2999999999999998</v>
      </c>
      <c r="G161" s="3" t="s">
        <v>7</v>
      </c>
      <c r="H161" s="12">
        <v>0</v>
      </c>
      <c r="I161" s="14">
        <v>0.70984935753973011</v>
      </c>
      <c r="J161" s="9" t="s">
        <v>963</v>
      </c>
    </row>
    <row r="162" spans="1:10" ht="28.8" x14ac:dyDescent="0.3">
      <c r="A162" s="3" t="s">
        <v>561</v>
      </c>
      <c r="B162" s="3" t="s">
        <v>12</v>
      </c>
      <c r="C162" s="3">
        <v>388</v>
      </c>
      <c r="D162" s="3">
        <v>2.5</v>
      </c>
      <c r="E162" s="3">
        <v>1.9</v>
      </c>
      <c r="F162" s="3">
        <v>1.6</v>
      </c>
      <c r="G162" s="3" t="s">
        <v>7</v>
      </c>
      <c r="H162" s="12">
        <v>0</v>
      </c>
      <c r="I162" s="14">
        <v>0.96928820463790566</v>
      </c>
      <c r="J162" s="9" t="s">
        <v>963</v>
      </c>
    </row>
    <row r="163" spans="1:10" ht="28.8" x14ac:dyDescent="0.3">
      <c r="A163" s="3" t="s">
        <v>562</v>
      </c>
      <c r="B163" s="3" t="s">
        <v>12</v>
      </c>
      <c r="C163" s="3">
        <v>464</v>
      </c>
      <c r="D163" s="3">
        <v>0.7</v>
      </c>
      <c r="E163" s="3">
        <v>6.4</v>
      </c>
      <c r="F163" s="3">
        <v>1.9</v>
      </c>
      <c r="G163" s="3" t="s">
        <v>11</v>
      </c>
      <c r="H163" s="12">
        <v>0</v>
      </c>
      <c r="I163" s="14">
        <v>0.77685174544091007</v>
      </c>
      <c r="J163" s="9" t="s">
        <v>963</v>
      </c>
    </row>
    <row r="164" spans="1:10" ht="28.8" x14ac:dyDescent="0.3">
      <c r="A164" s="3" t="s">
        <v>563</v>
      </c>
      <c r="B164" s="3" t="s">
        <v>14</v>
      </c>
      <c r="C164" s="3">
        <v>376</v>
      </c>
      <c r="D164" s="3">
        <v>0.9</v>
      </c>
      <c r="E164" s="3">
        <v>5.2</v>
      </c>
      <c r="F164" s="3">
        <v>1.1000000000000001</v>
      </c>
      <c r="G164" s="3" t="s">
        <v>11</v>
      </c>
      <c r="H164" s="12">
        <v>0</v>
      </c>
      <c r="I164" s="14">
        <v>0.81781983372004485</v>
      </c>
      <c r="J164" s="9" t="s">
        <v>963</v>
      </c>
    </row>
    <row r="165" spans="1:10" x14ac:dyDescent="0.3">
      <c r="A165" s="3" t="s">
        <v>565</v>
      </c>
      <c r="B165" s="3" t="s">
        <v>10</v>
      </c>
      <c r="C165" s="3">
        <v>436</v>
      </c>
      <c r="D165" s="3">
        <v>6.8</v>
      </c>
      <c r="E165" s="3">
        <v>1.2</v>
      </c>
      <c r="F165" s="3">
        <v>0.8</v>
      </c>
      <c r="G165" s="3" t="s">
        <v>9</v>
      </c>
      <c r="H165" s="12">
        <v>1</v>
      </c>
      <c r="I165" s="14">
        <v>0.90660922315989656</v>
      </c>
      <c r="J165" s="9" t="s">
        <v>963</v>
      </c>
    </row>
    <row r="166" spans="1:10" ht="28.8" x14ac:dyDescent="0.3">
      <c r="A166" s="3" t="s">
        <v>569</v>
      </c>
      <c r="B166" s="3" t="s">
        <v>6</v>
      </c>
      <c r="C166" s="3">
        <v>378</v>
      </c>
      <c r="D166" s="3">
        <v>3.6</v>
      </c>
      <c r="E166" s="3">
        <v>1.4</v>
      </c>
      <c r="F166" s="3">
        <v>2.7</v>
      </c>
      <c r="G166" s="3" t="s">
        <v>7</v>
      </c>
      <c r="H166" s="12">
        <v>0</v>
      </c>
      <c r="I166" s="14">
        <v>0.81095423315238646</v>
      </c>
      <c r="J166" s="9" t="s">
        <v>963</v>
      </c>
    </row>
    <row r="167" spans="1:10" ht="28.8" x14ac:dyDescent="0.3">
      <c r="A167" s="3" t="s">
        <v>582</v>
      </c>
      <c r="B167" s="3" t="s">
        <v>18</v>
      </c>
      <c r="C167" s="3">
        <v>72</v>
      </c>
      <c r="D167" s="3">
        <v>6</v>
      </c>
      <c r="E167" s="3">
        <v>7.4</v>
      </c>
      <c r="F167" s="3">
        <v>2.5</v>
      </c>
      <c r="G167" s="3" t="s">
        <v>9</v>
      </c>
      <c r="H167" s="12">
        <v>0</v>
      </c>
      <c r="I167" s="14">
        <v>0.79590579485863322</v>
      </c>
      <c r="J167" s="9" t="s">
        <v>963</v>
      </c>
    </row>
    <row r="168" spans="1:10" ht="28.8" x14ac:dyDescent="0.3">
      <c r="A168" s="3" t="s">
        <v>583</v>
      </c>
      <c r="B168" s="3" t="s">
        <v>18</v>
      </c>
      <c r="C168" s="3">
        <v>110</v>
      </c>
      <c r="D168" s="3">
        <v>2.6</v>
      </c>
      <c r="E168" s="3">
        <v>8.1999999999999993</v>
      </c>
      <c r="F168" s="3">
        <v>2.1</v>
      </c>
      <c r="G168" s="3" t="s">
        <v>7</v>
      </c>
      <c r="H168" s="12">
        <v>0</v>
      </c>
      <c r="I168" s="14">
        <v>0.77145276807597107</v>
      </c>
      <c r="J168" s="9" t="s">
        <v>963</v>
      </c>
    </row>
    <row r="169" spans="1:10" ht="28.8" x14ac:dyDescent="0.3">
      <c r="A169" s="3" t="s">
        <v>584</v>
      </c>
      <c r="B169" s="3" t="s">
        <v>12</v>
      </c>
      <c r="C169" s="3">
        <v>97</v>
      </c>
      <c r="D169" s="3">
        <v>6.3</v>
      </c>
      <c r="E169" s="3">
        <v>9.6</v>
      </c>
      <c r="F169" s="3">
        <v>1.4</v>
      </c>
      <c r="G169" s="3" t="s">
        <v>9</v>
      </c>
      <c r="H169" s="12">
        <v>0</v>
      </c>
      <c r="I169" s="14">
        <v>0.80523804994274961</v>
      </c>
      <c r="J169" s="9" t="s">
        <v>963</v>
      </c>
    </row>
    <row r="170" spans="1:10" ht="28.8" x14ac:dyDescent="0.3">
      <c r="A170" s="3" t="s">
        <v>589</v>
      </c>
      <c r="B170" s="3" t="s">
        <v>6</v>
      </c>
      <c r="C170" s="3">
        <v>116</v>
      </c>
      <c r="D170" s="3">
        <v>1.7</v>
      </c>
      <c r="E170" s="3">
        <v>5.4</v>
      </c>
      <c r="F170" s="3">
        <v>2.9</v>
      </c>
      <c r="G170" s="3" t="s">
        <v>11</v>
      </c>
      <c r="H170" s="12">
        <v>0</v>
      </c>
      <c r="I170" s="14">
        <v>0.88438692449575795</v>
      </c>
      <c r="J170" s="9" t="s">
        <v>963</v>
      </c>
    </row>
    <row r="171" spans="1:10" ht="28.8" x14ac:dyDescent="0.3">
      <c r="A171" s="3" t="s">
        <v>596</v>
      </c>
      <c r="B171" s="3" t="s">
        <v>6</v>
      </c>
      <c r="C171" s="3">
        <v>70</v>
      </c>
      <c r="D171" s="3">
        <v>1.3</v>
      </c>
      <c r="E171" s="3">
        <v>9.1999999999999993</v>
      </c>
      <c r="F171" s="3">
        <v>2.2000000000000002</v>
      </c>
      <c r="G171" s="3" t="s">
        <v>11</v>
      </c>
      <c r="H171" s="12">
        <v>0</v>
      </c>
      <c r="I171" s="14">
        <v>0.85404650543884142</v>
      </c>
      <c r="J171" s="9" t="s">
        <v>963</v>
      </c>
    </row>
    <row r="172" spans="1:10" ht="28.8" x14ac:dyDescent="0.3">
      <c r="A172" s="3" t="s">
        <v>597</v>
      </c>
      <c r="B172" s="3" t="s">
        <v>18</v>
      </c>
      <c r="C172" s="3">
        <v>64</v>
      </c>
      <c r="D172" s="3">
        <v>6.3</v>
      </c>
      <c r="E172" s="3">
        <v>6.3</v>
      </c>
      <c r="F172" s="3">
        <v>1</v>
      </c>
      <c r="G172" s="3" t="s">
        <v>9</v>
      </c>
      <c r="H172" s="12">
        <v>0</v>
      </c>
      <c r="I172" s="14">
        <v>0.89705123958145838</v>
      </c>
      <c r="J172" s="9" t="s">
        <v>963</v>
      </c>
    </row>
    <row r="173" spans="1:10" x14ac:dyDescent="0.3">
      <c r="A173" s="3" t="s">
        <v>598</v>
      </c>
      <c r="B173" s="3" t="s">
        <v>10</v>
      </c>
      <c r="C173" s="3">
        <v>108</v>
      </c>
      <c r="D173" s="3">
        <v>2.2999999999999998</v>
      </c>
      <c r="E173" s="3">
        <v>7.5</v>
      </c>
      <c r="F173" s="3">
        <v>2.8</v>
      </c>
      <c r="G173" s="3" t="s">
        <v>7</v>
      </c>
      <c r="H173" s="12">
        <v>0</v>
      </c>
      <c r="I173" s="14">
        <v>0.90487143168549511</v>
      </c>
      <c r="J173" s="9" t="s">
        <v>963</v>
      </c>
    </row>
    <row r="174" spans="1:10" ht="28.8" x14ac:dyDescent="0.3">
      <c r="A174" s="3" t="s">
        <v>602</v>
      </c>
      <c r="B174" s="3" t="s">
        <v>14</v>
      </c>
      <c r="C174" s="3">
        <v>328</v>
      </c>
      <c r="D174" s="3">
        <v>1.4</v>
      </c>
      <c r="E174" s="3">
        <v>0.8</v>
      </c>
      <c r="F174" s="3">
        <v>1.6</v>
      </c>
      <c r="G174" s="3" t="s">
        <v>11</v>
      </c>
      <c r="H174" s="12">
        <v>0</v>
      </c>
      <c r="I174" s="14">
        <v>0.74985144403841608</v>
      </c>
      <c r="J174" s="9" t="s">
        <v>963</v>
      </c>
    </row>
    <row r="175" spans="1:10" ht="28.8" x14ac:dyDescent="0.3">
      <c r="A175" s="3" t="s">
        <v>604</v>
      </c>
      <c r="B175" s="3" t="s">
        <v>14</v>
      </c>
      <c r="C175" s="3">
        <v>465</v>
      </c>
      <c r="D175" s="3">
        <v>6.1</v>
      </c>
      <c r="E175" s="3">
        <v>0.7</v>
      </c>
      <c r="F175" s="3">
        <v>1.8</v>
      </c>
      <c r="G175" s="3" t="s">
        <v>9</v>
      </c>
      <c r="H175" s="12">
        <v>0</v>
      </c>
      <c r="I175" s="14">
        <v>0.84770658120176057</v>
      </c>
      <c r="J175" s="9" t="s">
        <v>963</v>
      </c>
    </row>
    <row r="176" spans="1:10" ht="28.8" x14ac:dyDescent="0.3">
      <c r="A176" s="3" t="s">
        <v>605</v>
      </c>
      <c r="B176" s="3" t="s">
        <v>12</v>
      </c>
      <c r="C176" s="3">
        <v>380</v>
      </c>
      <c r="D176" s="3">
        <v>7</v>
      </c>
      <c r="E176" s="3">
        <v>5</v>
      </c>
      <c r="F176" s="3">
        <v>1.5</v>
      </c>
      <c r="G176" s="3" t="s">
        <v>9</v>
      </c>
      <c r="H176" s="12">
        <v>0</v>
      </c>
      <c r="I176" s="14">
        <v>0.83407566575596293</v>
      </c>
      <c r="J176" s="9" t="s">
        <v>963</v>
      </c>
    </row>
    <row r="177" spans="1:10" x14ac:dyDescent="0.3">
      <c r="A177" s="3" t="s">
        <v>616</v>
      </c>
      <c r="B177" s="3" t="s">
        <v>8</v>
      </c>
      <c r="C177" s="3">
        <v>419</v>
      </c>
      <c r="D177" s="3">
        <v>7.4</v>
      </c>
      <c r="E177" s="3">
        <v>9.4</v>
      </c>
      <c r="F177" s="3">
        <v>2.5</v>
      </c>
      <c r="G177" s="3" t="s">
        <v>9</v>
      </c>
      <c r="H177" s="12">
        <v>0</v>
      </c>
      <c r="I177" s="14">
        <v>0.82532752658937636</v>
      </c>
      <c r="J177" s="9" t="s">
        <v>963</v>
      </c>
    </row>
    <row r="178" spans="1:10" x14ac:dyDescent="0.3">
      <c r="A178" s="3" t="s">
        <v>619</v>
      </c>
      <c r="B178" s="3" t="s">
        <v>10</v>
      </c>
      <c r="C178" s="3">
        <v>427</v>
      </c>
      <c r="D178" s="3">
        <v>7.2</v>
      </c>
      <c r="E178" s="3">
        <v>2.7</v>
      </c>
      <c r="F178" s="3">
        <v>1.8</v>
      </c>
      <c r="G178" s="3" t="s">
        <v>9</v>
      </c>
      <c r="H178" s="12">
        <v>0</v>
      </c>
      <c r="I178" s="14">
        <v>0.71421537046291961</v>
      </c>
      <c r="J178" s="9" t="s">
        <v>963</v>
      </c>
    </row>
    <row r="179" spans="1:10" x14ac:dyDescent="0.3">
      <c r="A179" s="3" t="s">
        <v>622</v>
      </c>
      <c r="B179" s="3" t="s">
        <v>8</v>
      </c>
      <c r="C179" s="3">
        <v>331</v>
      </c>
      <c r="D179" s="3">
        <v>4</v>
      </c>
      <c r="E179" s="3">
        <v>1.2</v>
      </c>
      <c r="F179" s="3">
        <v>1.2</v>
      </c>
      <c r="G179" s="3" t="s">
        <v>13</v>
      </c>
      <c r="H179" s="12">
        <v>0</v>
      </c>
      <c r="I179" s="14">
        <v>0.93840801566147281</v>
      </c>
      <c r="J179" s="9" t="s">
        <v>963</v>
      </c>
    </row>
    <row r="180" spans="1:10" ht="28.8" x14ac:dyDescent="0.3">
      <c r="A180" s="3" t="s">
        <v>623</v>
      </c>
      <c r="B180" s="3" t="s">
        <v>6</v>
      </c>
      <c r="C180" s="3">
        <v>293</v>
      </c>
      <c r="D180" s="3">
        <v>6</v>
      </c>
      <c r="E180" s="3">
        <v>3</v>
      </c>
      <c r="F180" s="3">
        <v>2.2999999999999998</v>
      </c>
      <c r="G180" s="3" t="s">
        <v>9</v>
      </c>
      <c r="H180" s="12">
        <v>0</v>
      </c>
      <c r="I180" s="14">
        <v>0.74877635553842925</v>
      </c>
      <c r="J180" s="9" t="s">
        <v>963</v>
      </c>
    </row>
    <row r="181" spans="1:10" x14ac:dyDescent="0.3">
      <c r="A181" s="3" t="s">
        <v>624</v>
      </c>
      <c r="B181" s="3" t="s">
        <v>10</v>
      </c>
      <c r="C181" s="3">
        <v>380</v>
      </c>
      <c r="D181" s="3">
        <v>6.6</v>
      </c>
      <c r="E181" s="3">
        <v>5.2</v>
      </c>
      <c r="F181" s="3">
        <v>2.9</v>
      </c>
      <c r="G181" s="3" t="s">
        <v>9</v>
      </c>
      <c r="H181" s="12">
        <v>0</v>
      </c>
      <c r="I181" s="14">
        <v>0.97631775918150387</v>
      </c>
      <c r="J181" s="9" t="s">
        <v>963</v>
      </c>
    </row>
    <row r="182" spans="1:10" x14ac:dyDescent="0.3">
      <c r="A182" s="3" t="s">
        <v>626</v>
      </c>
      <c r="B182" s="3" t="s">
        <v>8</v>
      </c>
      <c r="C182" s="3">
        <v>180</v>
      </c>
      <c r="D182" s="3">
        <v>3.2</v>
      </c>
      <c r="E182" s="3">
        <v>8.6999999999999993</v>
      </c>
      <c r="F182" s="3">
        <v>1.9</v>
      </c>
      <c r="G182" s="3" t="s">
        <v>7</v>
      </c>
      <c r="H182" s="12">
        <v>0</v>
      </c>
      <c r="I182" s="14">
        <v>0.82318213688782815</v>
      </c>
      <c r="J182" s="9" t="s">
        <v>963</v>
      </c>
    </row>
    <row r="183" spans="1:10" x14ac:dyDescent="0.3">
      <c r="A183" s="3" t="s">
        <v>630</v>
      </c>
      <c r="B183" s="3" t="s">
        <v>8</v>
      </c>
      <c r="C183" s="3">
        <v>344</v>
      </c>
      <c r="D183" s="3">
        <v>6.5</v>
      </c>
      <c r="E183" s="3">
        <v>3.2</v>
      </c>
      <c r="F183" s="3">
        <v>2.4</v>
      </c>
      <c r="G183" s="3" t="s">
        <v>9</v>
      </c>
      <c r="H183" s="12">
        <v>0</v>
      </c>
      <c r="I183" s="14">
        <v>0.87108612250545825</v>
      </c>
      <c r="J183" s="9" t="s">
        <v>963</v>
      </c>
    </row>
    <row r="184" spans="1:10" ht="28.8" x14ac:dyDescent="0.3">
      <c r="A184" s="3" t="s">
        <v>632</v>
      </c>
      <c r="B184" s="3" t="s">
        <v>12</v>
      </c>
      <c r="C184" s="3">
        <v>132</v>
      </c>
      <c r="D184" s="3">
        <v>3.1</v>
      </c>
      <c r="E184" s="3">
        <v>6.7</v>
      </c>
      <c r="F184" s="3">
        <v>1.6</v>
      </c>
      <c r="G184" s="3" t="s">
        <v>7</v>
      </c>
      <c r="H184" s="12">
        <v>0</v>
      </c>
      <c r="I184" s="14">
        <v>0.73557006075472675</v>
      </c>
      <c r="J184" s="9" t="s">
        <v>963</v>
      </c>
    </row>
    <row r="185" spans="1:10" ht="28.8" x14ac:dyDescent="0.3">
      <c r="A185" s="3" t="s">
        <v>639</v>
      </c>
      <c r="B185" s="3" t="s">
        <v>18</v>
      </c>
      <c r="C185" s="3">
        <v>386</v>
      </c>
      <c r="D185" s="3">
        <v>4.2</v>
      </c>
      <c r="E185" s="3">
        <v>4.3</v>
      </c>
      <c r="F185" s="3">
        <v>1.4</v>
      </c>
      <c r="G185" s="3" t="s">
        <v>13</v>
      </c>
      <c r="H185" s="12">
        <v>0</v>
      </c>
      <c r="I185" s="14">
        <v>0.80921955841782944</v>
      </c>
      <c r="J185" s="9" t="s">
        <v>963</v>
      </c>
    </row>
    <row r="186" spans="1:10" x14ac:dyDescent="0.3">
      <c r="A186" s="3" t="s">
        <v>642</v>
      </c>
      <c r="B186" s="3" t="s">
        <v>8</v>
      </c>
      <c r="C186" s="3">
        <v>439</v>
      </c>
      <c r="D186" s="3">
        <v>4.5999999999999996</v>
      </c>
      <c r="E186" s="3">
        <v>1.3</v>
      </c>
      <c r="F186" s="3">
        <v>1.1000000000000001</v>
      </c>
      <c r="G186" s="3" t="s">
        <v>13</v>
      </c>
      <c r="H186" s="12">
        <v>0</v>
      </c>
      <c r="I186" s="14">
        <v>0.85817814141348414</v>
      </c>
      <c r="J186" s="9" t="s">
        <v>963</v>
      </c>
    </row>
    <row r="187" spans="1:10" ht="28.8" x14ac:dyDescent="0.3">
      <c r="A187" s="3" t="s">
        <v>662</v>
      </c>
      <c r="B187" s="3" t="s">
        <v>6</v>
      </c>
      <c r="C187" s="3">
        <v>293</v>
      </c>
      <c r="D187" s="3">
        <v>1.9</v>
      </c>
      <c r="E187" s="3">
        <v>1.4</v>
      </c>
      <c r="F187" s="3">
        <v>0.6</v>
      </c>
      <c r="G187" s="3" t="s">
        <v>11</v>
      </c>
      <c r="H187" s="12">
        <v>0</v>
      </c>
      <c r="I187" s="14">
        <v>0.74943620077330042</v>
      </c>
      <c r="J187" s="9" t="s">
        <v>963</v>
      </c>
    </row>
    <row r="188" spans="1:10" ht="28.8" x14ac:dyDescent="0.3">
      <c r="A188" s="3" t="s">
        <v>663</v>
      </c>
      <c r="B188" s="3" t="s">
        <v>14</v>
      </c>
      <c r="C188" s="3">
        <v>471</v>
      </c>
      <c r="D188" s="3">
        <v>5.3</v>
      </c>
      <c r="E188" s="3">
        <v>4.2</v>
      </c>
      <c r="F188" s="3">
        <v>1.3</v>
      </c>
      <c r="G188" s="3" t="s">
        <v>13</v>
      </c>
      <c r="H188" s="12">
        <v>0</v>
      </c>
      <c r="I188" s="14">
        <v>0.86289194225803301</v>
      </c>
      <c r="J188" s="9" t="s">
        <v>963</v>
      </c>
    </row>
    <row r="189" spans="1:10" ht="28.8" x14ac:dyDescent="0.3">
      <c r="A189" s="3" t="s">
        <v>675</v>
      </c>
      <c r="B189" s="3" t="s">
        <v>6</v>
      </c>
      <c r="C189" s="3">
        <v>92</v>
      </c>
      <c r="D189" s="3">
        <v>2.2000000000000002</v>
      </c>
      <c r="E189" s="3">
        <v>2.2999999999999998</v>
      </c>
      <c r="F189" s="3">
        <v>1.8</v>
      </c>
      <c r="G189" s="3" t="s">
        <v>7</v>
      </c>
      <c r="H189" s="12">
        <v>0</v>
      </c>
      <c r="I189" s="14">
        <v>0.77141730059859537</v>
      </c>
      <c r="J189" s="9" t="s">
        <v>963</v>
      </c>
    </row>
    <row r="190" spans="1:10" ht="28.8" x14ac:dyDescent="0.3">
      <c r="A190" s="3" t="s">
        <v>683</v>
      </c>
      <c r="B190" s="3" t="s">
        <v>18</v>
      </c>
      <c r="C190" s="3">
        <v>225</v>
      </c>
      <c r="D190" s="3">
        <v>1.4</v>
      </c>
      <c r="E190" s="3">
        <v>5.7</v>
      </c>
      <c r="F190" s="3">
        <v>1.8</v>
      </c>
      <c r="G190" s="3" t="s">
        <v>11</v>
      </c>
      <c r="H190" s="12">
        <v>0</v>
      </c>
      <c r="I190" s="14">
        <v>0.7666667187485634</v>
      </c>
      <c r="J190" s="9" t="s">
        <v>963</v>
      </c>
    </row>
    <row r="191" spans="1:10" ht="28.8" x14ac:dyDescent="0.3">
      <c r="A191" s="3" t="s">
        <v>686</v>
      </c>
      <c r="B191" s="3" t="s">
        <v>18</v>
      </c>
      <c r="C191" s="3">
        <v>335</v>
      </c>
      <c r="D191" s="3">
        <v>1.9</v>
      </c>
      <c r="E191" s="3">
        <v>1.5</v>
      </c>
      <c r="F191" s="3">
        <v>1.2</v>
      </c>
      <c r="G191" s="3" t="s">
        <v>11</v>
      </c>
      <c r="H191" s="12">
        <v>0</v>
      </c>
      <c r="I191" s="14">
        <v>0.90316520898787567</v>
      </c>
      <c r="J191" s="9" t="s">
        <v>963</v>
      </c>
    </row>
    <row r="192" spans="1:10" x14ac:dyDescent="0.3">
      <c r="A192" s="3" t="s">
        <v>687</v>
      </c>
      <c r="B192" s="3" t="s">
        <v>8</v>
      </c>
      <c r="C192" s="3">
        <v>307</v>
      </c>
      <c r="D192" s="3">
        <v>3.9</v>
      </c>
      <c r="E192" s="3">
        <v>3.7</v>
      </c>
      <c r="F192" s="3">
        <v>0.6</v>
      </c>
      <c r="G192" s="3" t="s">
        <v>7</v>
      </c>
      <c r="H192" s="12">
        <v>0</v>
      </c>
      <c r="I192" s="14">
        <v>0.9113236486763715</v>
      </c>
      <c r="J192" s="9" t="s">
        <v>963</v>
      </c>
    </row>
    <row r="193" spans="1:10" x14ac:dyDescent="0.3">
      <c r="A193" s="3" t="s">
        <v>690</v>
      </c>
      <c r="B193" s="3" t="s">
        <v>8</v>
      </c>
      <c r="C193" s="3">
        <v>368</v>
      </c>
      <c r="D193" s="3">
        <v>1.7</v>
      </c>
      <c r="E193" s="3">
        <v>9.6999999999999993</v>
      </c>
      <c r="F193" s="3">
        <v>0.8</v>
      </c>
      <c r="G193" s="3" t="s">
        <v>11</v>
      </c>
      <c r="H193" s="12">
        <v>0</v>
      </c>
      <c r="I193" s="14">
        <v>0.9564357739662277</v>
      </c>
      <c r="J193" s="9" t="s">
        <v>963</v>
      </c>
    </row>
    <row r="194" spans="1:10" x14ac:dyDescent="0.3">
      <c r="A194" s="3" t="s">
        <v>693</v>
      </c>
      <c r="B194" s="3" t="s">
        <v>8</v>
      </c>
      <c r="C194" s="3">
        <v>102</v>
      </c>
      <c r="D194" s="3">
        <v>3.5</v>
      </c>
      <c r="E194" s="3">
        <v>4.5999999999999996</v>
      </c>
      <c r="F194" s="3">
        <v>1.1000000000000001</v>
      </c>
      <c r="G194" s="3" t="s">
        <v>7</v>
      </c>
      <c r="H194" s="12">
        <v>0</v>
      </c>
      <c r="I194" s="14">
        <v>0.99489311173850081</v>
      </c>
      <c r="J194" s="9" t="s">
        <v>963</v>
      </c>
    </row>
    <row r="195" spans="1:10" x14ac:dyDescent="0.3">
      <c r="A195" s="3" t="s">
        <v>702</v>
      </c>
      <c r="B195" s="3" t="s">
        <v>10</v>
      </c>
      <c r="C195" s="3">
        <v>436</v>
      </c>
      <c r="D195" s="3">
        <v>4.3</v>
      </c>
      <c r="E195" s="3">
        <v>9.3000000000000007</v>
      </c>
      <c r="F195" s="3">
        <v>2.2000000000000002</v>
      </c>
      <c r="G195" s="3" t="s">
        <v>13</v>
      </c>
      <c r="H195" s="12">
        <v>0</v>
      </c>
      <c r="I195" s="14">
        <v>0.94688784200210563</v>
      </c>
      <c r="J195" s="9" t="s">
        <v>963</v>
      </c>
    </row>
    <row r="196" spans="1:10" ht="28.8" x14ac:dyDescent="0.3">
      <c r="A196" s="3" t="s">
        <v>704</v>
      </c>
      <c r="B196" s="3" t="s">
        <v>18</v>
      </c>
      <c r="C196" s="3">
        <v>354</v>
      </c>
      <c r="D196" s="3">
        <v>3.3</v>
      </c>
      <c r="E196" s="3">
        <v>3.6</v>
      </c>
      <c r="F196" s="3">
        <v>2.9</v>
      </c>
      <c r="G196" s="3" t="s">
        <v>7</v>
      </c>
      <c r="H196" s="12">
        <v>0</v>
      </c>
      <c r="I196" s="14">
        <v>0.88980341536839025</v>
      </c>
      <c r="J196" s="9" t="s">
        <v>963</v>
      </c>
    </row>
    <row r="197" spans="1:10" ht="28.8" x14ac:dyDescent="0.3">
      <c r="A197" s="3" t="s">
        <v>711</v>
      </c>
      <c r="B197" s="3" t="s">
        <v>6</v>
      </c>
      <c r="C197" s="3">
        <v>81</v>
      </c>
      <c r="D197" s="3">
        <v>5.6</v>
      </c>
      <c r="E197" s="3">
        <v>1.4</v>
      </c>
      <c r="F197" s="3">
        <v>2.7</v>
      </c>
      <c r="G197" s="3" t="s">
        <v>13</v>
      </c>
      <c r="H197" s="12">
        <v>0</v>
      </c>
      <c r="I197" s="14">
        <v>0.75834127276374652</v>
      </c>
      <c r="J197" s="9" t="s">
        <v>963</v>
      </c>
    </row>
    <row r="198" spans="1:10" ht="28.8" x14ac:dyDescent="0.3">
      <c r="A198" s="3" t="s">
        <v>713</v>
      </c>
      <c r="B198" s="3" t="s">
        <v>14</v>
      </c>
      <c r="C198" s="3">
        <v>145</v>
      </c>
      <c r="D198" s="3">
        <v>5.3</v>
      </c>
      <c r="E198" s="3">
        <v>8.8000000000000007</v>
      </c>
      <c r="F198" s="3">
        <v>2.8</v>
      </c>
      <c r="G198" s="3" t="s">
        <v>13</v>
      </c>
      <c r="H198" s="12">
        <v>0</v>
      </c>
      <c r="I198" s="14">
        <v>0.84189134180494418</v>
      </c>
      <c r="J198" s="9" t="s">
        <v>963</v>
      </c>
    </row>
    <row r="199" spans="1:10" ht="28.8" x14ac:dyDescent="0.3">
      <c r="A199" s="3" t="s">
        <v>717</v>
      </c>
      <c r="B199" s="3" t="s">
        <v>6</v>
      </c>
      <c r="C199" s="3">
        <v>185</v>
      </c>
      <c r="D199" s="3">
        <v>1.6</v>
      </c>
      <c r="E199" s="3">
        <v>4.5999999999999996</v>
      </c>
      <c r="F199" s="3">
        <v>1.8</v>
      </c>
      <c r="G199" s="3" t="s">
        <v>11</v>
      </c>
      <c r="H199" s="12">
        <v>0</v>
      </c>
      <c r="I199" s="14">
        <v>0.94403421986661906</v>
      </c>
      <c r="J199" s="9" t="s">
        <v>963</v>
      </c>
    </row>
    <row r="200" spans="1:10" ht="28.8" x14ac:dyDescent="0.3">
      <c r="A200" s="3" t="s">
        <v>722</v>
      </c>
      <c r="B200" s="3" t="s">
        <v>6</v>
      </c>
      <c r="C200" s="3">
        <v>107</v>
      </c>
      <c r="D200" s="3">
        <v>5.4</v>
      </c>
      <c r="E200" s="3">
        <v>2.4</v>
      </c>
      <c r="F200" s="3">
        <v>0.7</v>
      </c>
      <c r="G200" s="3" t="s">
        <v>13</v>
      </c>
      <c r="H200" s="12">
        <v>0</v>
      </c>
      <c r="I200" s="14">
        <v>0.73876236916281735</v>
      </c>
      <c r="J200" s="9" t="s">
        <v>963</v>
      </c>
    </row>
    <row r="201" spans="1:10" x14ac:dyDescent="0.3">
      <c r="A201" s="3" t="s">
        <v>724</v>
      </c>
      <c r="B201" s="3" t="s">
        <v>8</v>
      </c>
      <c r="C201" s="3">
        <v>293</v>
      </c>
      <c r="D201" s="3">
        <v>3.8</v>
      </c>
      <c r="E201" s="3">
        <v>4</v>
      </c>
      <c r="F201" s="3">
        <v>2.7</v>
      </c>
      <c r="G201" s="3" t="s">
        <v>7</v>
      </c>
      <c r="H201" s="12">
        <v>0</v>
      </c>
      <c r="I201" s="14">
        <v>0.8681308107701855</v>
      </c>
      <c r="J201" s="9" t="s">
        <v>963</v>
      </c>
    </row>
    <row r="202" spans="1:10" ht="28.8" x14ac:dyDescent="0.3">
      <c r="A202" s="3" t="s">
        <v>726</v>
      </c>
      <c r="B202" s="3" t="s">
        <v>18</v>
      </c>
      <c r="C202" s="3">
        <v>173</v>
      </c>
      <c r="D202" s="3">
        <v>2.5</v>
      </c>
      <c r="E202" s="3">
        <v>6.3</v>
      </c>
      <c r="F202" s="3">
        <v>1.4</v>
      </c>
      <c r="G202" s="3" t="s">
        <v>7</v>
      </c>
      <c r="H202" s="12">
        <v>0</v>
      </c>
      <c r="I202" s="14">
        <v>0.87355526589899846</v>
      </c>
      <c r="J202" s="9" t="s">
        <v>963</v>
      </c>
    </row>
    <row r="203" spans="1:10" ht="28.8" x14ac:dyDescent="0.3">
      <c r="A203" s="3" t="s">
        <v>730</v>
      </c>
      <c r="B203" s="3" t="s">
        <v>14</v>
      </c>
      <c r="C203" s="3">
        <v>328</v>
      </c>
      <c r="D203" s="3">
        <v>3.5</v>
      </c>
      <c r="E203" s="3">
        <v>5.3</v>
      </c>
      <c r="F203" s="3">
        <v>1.1000000000000001</v>
      </c>
      <c r="G203" s="3" t="s">
        <v>7</v>
      </c>
      <c r="H203" s="12">
        <v>0</v>
      </c>
      <c r="I203" s="14">
        <v>0.98318010123509736</v>
      </c>
      <c r="J203" s="9" t="s">
        <v>963</v>
      </c>
    </row>
    <row r="204" spans="1:10" ht="28.8" x14ac:dyDescent="0.3">
      <c r="A204" s="3" t="s">
        <v>737</v>
      </c>
      <c r="B204" s="3" t="s">
        <v>18</v>
      </c>
      <c r="C204" s="3">
        <v>172</v>
      </c>
      <c r="D204" s="3">
        <v>3.6</v>
      </c>
      <c r="E204" s="3">
        <v>3.2</v>
      </c>
      <c r="F204" s="3">
        <v>2.2999999999999998</v>
      </c>
      <c r="G204" s="3" t="s">
        <v>7</v>
      </c>
      <c r="H204" s="12">
        <v>0</v>
      </c>
      <c r="I204" s="14">
        <v>0.84233960988664569</v>
      </c>
      <c r="J204" s="9" t="s">
        <v>963</v>
      </c>
    </row>
    <row r="205" spans="1:10" ht="28.8" x14ac:dyDescent="0.3">
      <c r="A205" s="3" t="s">
        <v>738</v>
      </c>
      <c r="B205" s="3" t="s">
        <v>6</v>
      </c>
      <c r="C205" s="3">
        <v>337</v>
      </c>
      <c r="D205" s="3">
        <v>2.6</v>
      </c>
      <c r="E205" s="3">
        <v>3.5</v>
      </c>
      <c r="F205" s="3">
        <v>2.2999999999999998</v>
      </c>
      <c r="G205" s="3" t="s">
        <v>7</v>
      </c>
      <c r="H205" s="12">
        <v>0</v>
      </c>
      <c r="I205" s="14">
        <v>0.86311376234949266</v>
      </c>
      <c r="J205" s="9" t="s">
        <v>963</v>
      </c>
    </row>
    <row r="206" spans="1:10" ht="28.8" x14ac:dyDescent="0.3">
      <c r="A206" s="3" t="s">
        <v>739</v>
      </c>
      <c r="B206" s="3" t="s">
        <v>14</v>
      </c>
      <c r="C206" s="3">
        <v>196</v>
      </c>
      <c r="D206" s="3">
        <v>7.9</v>
      </c>
      <c r="E206" s="3">
        <v>2.1</v>
      </c>
      <c r="F206" s="3">
        <v>0.7</v>
      </c>
      <c r="G206" s="3" t="s">
        <v>9</v>
      </c>
      <c r="H206" s="12">
        <v>0</v>
      </c>
      <c r="I206" s="14">
        <v>0.75383522977140593</v>
      </c>
      <c r="J206" s="9" t="s">
        <v>963</v>
      </c>
    </row>
    <row r="207" spans="1:10" ht="28.8" x14ac:dyDescent="0.3">
      <c r="A207" s="3" t="s">
        <v>745</v>
      </c>
      <c r="B207" s="3" t="s">
        <v>6</v>
      </c>
      <c r="C207" s="3">
        <v>135</v>
      </c>
      <c r="D207" s="3">
        <v>7.3</v>
      </c>
      <c r="E207" s="3">
        <v>8.1999999999999993</v>
      </c>
      <c r="F207" s="3">
        <v>1.4</v>
      </c>
      <c r="G207" s="3" t="s">
        <v>9</v>
      </c>
      <c r="H207" s="12">
        <v>0</v>
      </c>
      <c r="I207" s="14">
        <v>0.75739062650043165</v>
      </c>
      <c r="J207" s="9" t="s">
        <v>963</v>
      </c>
    </row>
    <row r="208" spans="1:10" ht="28.8" x14ac:dyDescent="0.3">
      <c r="A208" s="3" t="s">
        <v>752</v>
      </c>
      <c r="B208" s="3" t="s">
        <v>6</v>
      </c>
      <c r="C208" s="3">
        <v>182</v>
      </c>
      <c r="D208" s="3">
        <v>1.4</v>
      </c>
      <c r="E208" s="3">
        <v>9.3000000000000007</v>
      </c>
      <c r="F208" s="3">
        <v>2.4</v>
      </c>
      <c r="G208" s="3" t="s">
        <v>11</v>
      </c>
      <c r="H208" s="12">
        <v>0</v>
      </c>
      <c r="I208" s="14">
        <v>0.76304873733137113</v>
      </c>
      <c r="J208" s="9" t="s">
        <v>963</v>
      </c>
    </row>
    <row r="209" spans="1:10" ht="28.8" x14ac:dyDescent="0.3">
      <c r="A209" s="3" t="s">
        <v>755</v>
      </c>
      <c r="B209" s="3" t="s">
        <v>12</v>
      </c>
      <c r="C209" s="3">
        <v>233</v>
      </c>
      <c r="D209" s="3">
        <v>6.2</v>
      </c>
      <c r="E209" s="3">
        <v>5.3</v>
      </c>
      <c r="F209" s="3">
        <v>1.9</v>
      </c>
      <c r="G209" s="3" t="s">
        <v>9</v>
      </c>
      <c r="H209" s="12">
        <v>0</v>
      </c>
      <c r="I209" s="14">
        <v>0.91955086754706983</v>
      </c>
      <c r="J209" s="9" t="s">
        <v>963</v>
      </c>
    </row>
    <row r="210" spans="1:10" ht="28.8" x14ac:dyDescent="0.3">
      <c r="A210" s="3" t="s">
        <v>756</v>
      </c>
      <c r="B210" s="3" t="s">
        <v>14</v>
      </c>
      <c r="C210" s="3">
        <v>251</v>
      </c>
      <c r="D210" s="3">
        <v>3.4</v>
      </c>
      <c r="E210" s="3">
        <v>4.2</v>
      </c>
      <c r="F210" s="3">
        <v>2.9</v>
      </c>
      <c r="G210" s="3" t="s">
        <v>7</v>
      </c>
      <c r="H210" s="12">
        <v>0</v>
      </c>
      <c r="I210" s="14">
        <v>0.82480549278582749</v>
      </c>
      <c r="J210" s="9" t="s">
        <v>963</v>
      </c>
    </row>
    <row r="211" spans="1:10" x14ac:dyDescent="0.3">
      <c r="A211" s="3" t="s">
        <v>760</v>
      </c>
      <c r="B211" s="3" t="s">
        <v>8</v>
      </c>
      <c r="C211" s="3">
        <v>336</v>
      </c>
      <c r="D211" s="3">
        <v>5</v>
      </c>
      <c r="E211" s="3">
        <v>5.4</v>
      </c>
      <c r="F211" s="3">
        <v>2.6</v>
      </c>
      <c r="G211" s="3" t="s">
        <v>13</v>
      </c>
      <c r="H211" s="12">
        <v>0</v>
      </c>
      <c r="I211" s="14">
        <v>0.72066950200550095</v>
      </c>
      <c r="J211" s="9" t="s">
        <v>963</v>
      </c>
    </row>
    <row r="212" spans="1:10" ht="28.8" x14ac:dyDescent="0.3">
      <c r="A212" s="3" t="s">
        <v>761</v>
      </c>
      <c r="B212" s="3" t="s">
        <v>12</v>
      </c>
      <c r="C212" s="3">
        <v>329</v>
      </c>
      <c r="D212" s="3">
        <v>7.4</v>
      </c>
      <c r="E212" s="3">
        <v>8.8000000000000007</v>
      </c>
      <c r="F212" s="3">
        <v>1.3</v>
      </c>
      <c r="G212" s="3" t="s">
        <v>9</v>
      </c>
      <c r="H212" s="12">
        <v>0</v>
      </c>
      <c r="I212" s="14">
        <v>0.82581357434902647</v>
      </c>
      <c r="J212" s="9" t="s">
        <v>963</v>
      </c>
    </row>
    <row r="213" spans="1:10" ht="28.8" x14ac:dyDescent="0.3">
      <c r="A213" s="3" t="s">
        <v>763</v>
      </c>
      <c r="B213" s="3" t="s">
        <v>6</v>
      </c>
      <c r="C213" s="3">
        <v>451</v>
      </c>
      <c r="D213" s="3">
        <v>2.1</v>
      </c>
      <c r="E213" s="3">
        <v>9.6</v>
      </c>
      <c r="F213" s="3">
        <v>0.5</v>
      </c>
      <c r="G213" s="3" t="s">
        <v>7</v>
      </c>
      <c r="H213" s="12">
        <v>0</v>
      </c>
      <c r="I213" s="14">
        <v>0.73583121774398241</v>
      </c>
      <c r="J213" s="9" t="s">
        <v>963</v>
      </c>
    </row>
    <row r="214" spans="1:10" ht="28.8" x14ac:dyDescent="0.3">
      <c r="A214" s="3" t="s">
        <v>774</v>
      </c>
      <c r="B214" s="3" t="s">
        <v>12</v>
      </c>
      <c r="C214" s="3">
        <v>406</v>
      </c>
      <c r="D214" s="3">
        <v>7.7</v>
      </c>
      <c r="E214" s="3">
        <v>1.4</v>
      </c>
      <c r="F214" s="3">
        <v>1.9</v>
      </c>
      <c r="G214" s="3" t="s">
        <v>9</v>
      </c>
      <c r="H214" s="12">
        <v>0</v>
      </c>
      <c r="I214" s="14">
        <v>0.8956026060001171</v>
      </c>
      <c r="J214" s="9" t="s">
        <v>963</v>
      </c>
    </row>
    <row r="215" spans="1:10" ht="28.8" x14ac:dyDescent="0.3">
      <c r="A215" s="3" t="s">
        <v>775</v>
      </c>
      <c r="B215" s="3" t="s">
        <v>6</v>
      </c>
      <c r="C215" s="3">
        <v>213</v>
      </c>
      <c r="D215" s="3">
        <v>0.5</v>
      </c>
      <c r="E215" s="3">
        <v>8.6</v>
      </c>
      <c r="F215" s="3">
        <v>2.8</v>
      </c>
      <c r="G215" s="3" t="s">
        <v>11</v>
      </c>
      <c r="H215" s="12">
        <v>0</v>
      </c>
      <c r="I215" s="14">
        <v>0.75455577775190197</v>
      </c>
      <c r="J215" s="9" t="s">
        <v>963</v>
      </c>
    </row>
    <row r="216" spans="1:10" ht="28.8" x14ac:dyDescent="0.3">
      <c r="A216" s="3" t="s">
        <v>779</v>
      </c>
      <c r="B216" s="3" t="s">
        <v>12</v>
      </c>
      <c r="C216" s="3">
        <v>91</v>
      </c>
      <c r="D216" s="3">
        <v>4.9000000000000004</v>
      </c>
      <c r="E216" s="3">
        <v>6.7</v>
      </c>
      <c r="F216" s="3">
        <v>2.7</v>
      </c>
      <c r="G216" s="3" t="s">
        <v>13</v>
      </c>
      <c r="H216" s="12">
        <v>0</v>
      </c>
      <c r="I216" s="14">
        <v>0.84053521150525046</v>
      </c>
      <c r="J216" s="9" t="s">
        <v>963</v>
      </c>
    </row>
    <row r="217" spans="1:10" ht="28.8" x14ac:dyDescent="0.3">
      <c r="A217" s="3" t="s">
        <v>780</v>
      </c>
      <c r="B217" s="3" t="s">
        <v>18</v>
      </c>
      <c r="C217" s="3">
        <v>440</v>
      </c>
      <c r="D217" s="3">
        <v>1.1000000000000001</v>
      </c>
      <c r="E217" s="3">
        <v>8</v>
      </c>
      <c r="F217" s="3">
        <v>2.6</v>
      </c>
      <c r="G217" s="3" t="s">
        <v>11</v>
      </c>
      <c r="H217" s="12">
        <v>0</v>
      </c>
      <c r="I217" s="14">
        <v>0.7786417300031182</v>
      </c>
      <c r="J217" s="9" t="s">
        <v>963</v>
      </c>
    </row>
    <row r="218" spans="1:10" ht="28.8" x14ac:dyDescent="0.3">
      <c r="A218" s="3" t="s">
        <v>782</v>
      </c>
      <c r="B218" s="3" t="s">
        <v>18</v>
      </c>
      <c r="C218" s="3">
        <v>208</v>
      </c>
      <c r="D218" s="3">
        <v>2.4</v>
      </c>
      <c r="E218" s="3">
        <v>3.8</v>
      </c>
      <c r="F218" s="3">
        <v>1</v>
      </c>
      <c r="G218" s="3" t="s">
        <v>7</v>
      </c>
      <c r="H218" s="12">
        <v>0</v>
      </c>
      <c r="I218" s="14">
        <v>0.8598628375443943</v>
      </c>
      <c r="J218" s="9" t="s">
        <v>963</v>
      </c>
    </row>
    <row r="219" spans="1:10" ht="28.8" x14ac:dyDescent="0.3">
      <c r="A219" s="3" t="s">
        <v>783</v>
      </c>
      <c r="B219" s="3" t="s">
        <v>6</v>
      </c>
      <c r="C219" s="3">
        <v>253</v>
      </c>
      <c r="D219" s="3">
        <v>7.8</v>
      </c>
      <c r="E219" s="3">
        <v>8.1</v>
      </c>
      <c r="F219" s="3">
        <v>0.8</v>
      </c>
      <c r="G219" s="3" t="s">
        <v>9</v>
      </c>
      <c r="H219" s="12">
        <v>0</v>
      </c>
      <c r="I219" s="14">
        <v>0.94879157227368083</v>
      </c>
      <c r="J219" s="9" t="s">
        <v>963</v>
      </c>
    </row>
    <row r="220" spans="1:10" x14ac:dyDescent="0.3">
      <c r="A220" s="3" t="s">
        <v>785</v>
      </c>
      <c r="B220" s="3" t="s">
        <v>10</v>
      </c>
      <c r="C220" s="3">
        <v>198</v>
      </c>
      <c r="D220" s="3">
        <v>2.1</v>
      </c>
      <c r="E220" s="3">
        <v>4.5999999999999996</v>
      </c>
      <c r="F220" s="3">
        <v>2</v>
      </c>
      <c r="G220" s="3" t="s">
        <v>7</v>
      </c>
      <c r="H220" s="12">
        <v>0</v>
      </c>
      <c r="I220" s="14">
        <v>0.92528352573771044</v>
      </c>
      <c r="J220" s="9" t="s">
        <v>963</v>
      </c>
    </row>
    <row r="221" spans="1:10" ht="28.8" x14ac:dyDescent="0.3">
      <c r="A221" s="3" t="s">
        <v>787</v>
      </c>
      <c r="B221" s="3" t="s">
        <v>6</v>
      </c>
      <c r="C221" s="3">
        <v>101</v>
      </c>
      <c r="D221" s="3">
        <v>6.5</v>
      </c>
      <c r="E221" s="3">
        <v>8.1</v>
      </c>
      <c r="F221" s="3">
        <v>2.2000000000000002</v>
      </c>
      <c r="G221" s="3" t="s">
        <v>9</v>
      </c>
      <c r="H221" s="12">
        <v>0</v>
      </c>
      <c r="I221" s="14">
        <v>0.82724779324013531</v>
      </c>
      <c r="J221" s="9" t="s">
        <v>963</v>
      </c>
    </row>
    <row r="222" spans="1:10" x14ac:dyDescent="0.3">
      <c r="A222" s="3" t="s">
        <v>788</v>
      </c>
      <c r="B222" s="3" t="s">
        <v>8</v>
      </c>
      <c r="C222" s="3">
        <v>270</v>
      </c>
      <c r="D222" s="3">
        <v>5.3</v>
      </c>
      <c r="E222" s="3">
        <v>5.8</v>
      </c>
      <c r="F222" s="3">
        <v>1</v>
      </c>
      <c r="G222" s="3" t="s">
        <v>13</v>
      </c>
      <c r="H222" s="12">
        <v>0</v>
      </c>
      <c r="I222" s="14">
        <v>0.84713666506668706</v>
      </c>
      <c r="J222" s="9" t="s">
        <v>963</v>
      </c>
    </row>
    <row r="223" spans="1:10" x14ac:dyDescent="0.3">
      <c r="A223" s="3" t="s">
        <v>789</v>
      </c>
      <c r="B223" s="3" t="s">
        <v>8</v>
      </c>
      <c r="C223" s="3">
        <v>114</v>
      </c>
      <c r="D223" s="3">
        <v>3.5</v>
      </c>
      <c r="E223" s="3">
        <v>3</v>
      </c>
      <c r="F223" s="3">
        <v>1.6</v>
      </c>
      <c r="G223" s="3" t="s">
        <v>7</v>
      </c>
      <c r="H223" s="12">
        <v>0</v>
      </c>
      <c r="I223" s="14">
        <v>0.75175378113662794</v>
      </c>
      <c r="J223" s="9" t="s">
        <v>963</v>
      </c>
    </row>
    <row r="224" spans="1:10" x14ac:dyDescent="0.3">
      <c r="A224" s="3" t="s">
        <v>790</v>
      </c>
      <c r="B224" s="3" t="s">
        <v>8</v>
      </c>
      <c r="C224" s="3">
        <v>227</v>
      </c>
      <c r="D224" s="3">
        <v>5.8</v>
      </c>
      <c r="E224" s="3">
        <v>8.6</v>
      </c>
      <c r="F224" s="3">
        <v>2.9</v>
      </c>
      <c r="G224" s="3" t="s">
        <v>13</v>
      </c>
      <c r="H224" s="12">
        <v>0</v>
      </c>
      <c r="I224" s="14">
        <v>0.86507792727571087</v>
      </c>
      <c r="J224" s="9" t="s">
        <v>963</v>
      </c>
    </row>
    <row r="225" spans="1:10" ht="28.8" x14ac:dyDescent="0.3">
      <c r="A225" s="3" t="s">
        <v>799</v>
      </c>
      <c r="B225" s="3" t="s">
        <v>6</v>
      </c>
      <c r="C225" s="3">
        <v>99</v>
      </c>
      <c r="D225" s="3">
        <v>6.7</v>
      </c>
      <c r="E225" s="3">
        <v>0.6</v>
      </c>
      <c r="F225" s="3">
        <v>1.5</v>
      </c>
      <c r="G225" s="3" t="s">
        <v>9</v>
      </c>
      <c r="H225" s="12">
        <v>0</v>
      </c>
      <c r="I225" s="14">
        <v>0.93496500362304436</v>
      </c>
      <c r="J225" s="9" t="s">
        <v>963</v>
      </c>
    </row>
    <row r="226" spans="1:10" x14ac:dyDescent="0.3">
      <c r="A226" s="3" t="s">
        <v>802</v>
      </c>
      <c r="B226" s="3" t="s">
        <v>8</v>
      </c>
      <c r="C226" s="3">
        <v>202</v>
      </c>
      <c r="D226" s="3">
        <v>0.6</v>
      </c>
      <c r="E226" s="3">
        <v>5.8</v>
      </c>
      <c r="F226" s="3">
        <v>0.7</v>
      </c>
      <c r="G226" s="3" t="s">
        <v>11</v>
      </c>
      <c r="H226" s="12">
        <v>0</v>
      </c>
      <c r="I226" s="14">
        <v>0.79955736346241024</v>
      </c>
      <c r="J226" s="9" t="s">
        <v>963</v>
      </c>
    </row>
    <row r="227" spans="1:10" x14ac:dyDescent="0.3">
      <c r="A227" s="3" t="s">
        <v>804</v>
      </c>
      <c r="B227" s="3" t="s">
        <v>10</v>
      </c>
      <c r="C227" s="3">
        <v>456</v>
      </c>
      <c r="D227" s="3">
        <v>2.2000000000000002</v>
      </c>
      <c r="E227" s="3">
        <v>6.4</v>
      </c>
      <c r="F227" s="3">
        <v>1.6</v>
      </c>
      <c r="G227" s="3" t="s">
        <v>7</v>
      </c>
      <c r="H227" s="12">
        <v>0</v>
      </c>
      <c r="I227" s="14">
        <v>0.8488509315788304</v>
      </c>
      <c r="J227" s="9" t="s">
        <v>963</v>
      </c>
    </row>
    <row r="228" spans="1:10" ht="28.8" x14ac:dyDescent="0.3">
      <c r="A228" s="3" t="s">
        <v>807</v>
      </c>
      <c r="B228" s="3" t="s">
        <v>18</v>
      </c>
      <c r="C228" s="3">
        <v>210</v>
      </c>
      <c r="D228" s="3">
        <v>2.2999999999999998</v>
      </c>
      <c r="E228" s="3">
        <v>0.8</v>
      </c>
      <c r="F228" s="3">
        <v>1.7</v>
      </c>
      <c r="G228" s="3" t="s">
        <v>7</v>
      </c>
      <c r="H228" s="12">
        <v>0</v>
      </c>
      <c r="I228" s="14">
        <v>0.78385204083168891</v>
      </c>
      <c r="J228" s="9" t="s">
        <v>963</v>
      </c>
    </row>
    <row r="229" spans="1:10" ht="28.8" x14ac:dyDescent="0.3">
      <c r="A229" s="3" t="s">
        <v>813</v>
      </c>
      <c r="B229" s="3" t="s">
        <v>18</v>
      </c>
      <c r="C229" s="3">
        <v>196</v>
      </c>
      <c r="D229" s="3">
        <v>0.7</v>
      </c>
      <c r="E229" s="3">
        <v>6.8</v>
      </c>
      <c r="F229" s="3">
        <v>1.2</v>
      </c>
      <c r="G229" s="3" t="s">
        <v>11</v>
      </c>
      <c r="H229" s="12">
        <v>0</v>
      </c>
      <c r="I229" s="14">
        <v>0.99285324672299846</v>
      </c>
      <c r="J229" s="9" t="s">
        <v>963</v>
      </c>
    </row>
    <row r="230" spans="1:10" ht="28.8" x14ac:dyDescent="0.3">
      <c r="A230" s="3" t="s">
        <v>17</v>
      </c>
      <c r="B230" s="5" t="s">
        <v>18</v>
      </c>
      <c r="C230">
        <v>170</v>
      </c>
      <c r="D230">
        <v>1</v>
      </c>
      <c r="E230">
        <v>4.4000000000000004</v>
      </c>
      <c r="F230">
        <v>1.5</v>
      </c>
      <c r="G230" s="7" t="s">
        <v>7</v>
      </c>
      <c r="H230">
        <v>0</v>
      </c>
      <c r="I230" s="14">
        <v>0.86348060577562569</v>
      </c>
      <c r="J230" s="9" t="s">
        <v>963</v>
      </c>
    </row>
    <row r="231" spans="1:10" ht="28.8" x14ac:dyDescent="0.3">
      <c r="A231" s="3" t="s">
        <v>21</v>
      </c>
      <c r="B231" s="5" t="s">
        <v>14</v>
      </c>
      <c r="C231">
        <v>233</v>
      </c>
      <c r="D231">
        <v>3.8</v>
      </c>
      <c r="E231">
        <v>2.4</v>
      </c>
      <c r="F231">
        <v>2.4</v>
      </c>
      <c r="G231" s="7" t="s">
        <v>9</v>
      </c>
      <c r="H231">
        <v>0</v>
      </c>
      <c r="I231" s="14">
        <v>0.80454697562713318</v>
      </c>
      <c r="J231" s="9" t="s">
        <v>963</v>
      </c>
    </row>
    <row r="232" spans="1:10" x14ac:dyDescent="0.3">
      <c r="A232" s="3" t="s">
        <v>28</v>
      </c>
      <c r="B232" s="5" t="s">
        <v>8</v>
      </c>
      <c r="C232">
        <v>474</v>
      </c>
      <c r="D232">
        <v>3.5</v>
      </c>
      <c r="E232">
        <v>5.0999999999999996</v>
      </c>
      <c r="F232">
        <v>1.8</v>
      </c>
      <c r="G232" s="7" t="s">
        <v>9</v>
      </c>
      <c r="H232">
        <v>0</v>
      </c>
      <c r="I232" s="14">
        <v>0.76730927780231895</v>
      </c>
      <c r="J232" s="9" t="s">
        <v>963</v>
      </c>
    </row>
    <row r="233" spans="1:10" x14ac:dyDescent="0.3">
      <c r="A233" s="3" t="s">
        <v>30</v>
      </c>
      <c r="B233" s="5" t="s">
        <v>10</v>
      </c>
      <c r="C233">
        <v>495</v>
      </c>
      <c r="D233">
        <v>2.9</v>
      </c>
      <c r="E233">
        <v>5.6</v>
      </c>
      <c r="F233">
        <v>2.4</v>
      </c>
      <c r="G233" s="7" t="s">
        <v>9</v>
      </c>
      <c r="H233">
        <v>0</v>
      </c>
      <c r="I233" s="14">
        <v>0.99906734363487559</v>
      </c>
      <c r="J233" s="9" t="s">
        <v>963</v>
      </c>
    </row>
    <row r="234" spans="1:10" x14ac:dyDescent="0.3">
      <c r="A234" s="3" t="s">
        <v>33</v>
      </c>
      <c r="B234" s="5" t="s">
        <v>8</v>
      </c>
      <c r="C234">
        <v>369</v>
      </c>
      <c r="D234">
        <v>5.8</v>
      </c>
      <c r="E234">
        <v>9.5</v>
      </c>
      <c r="F234">
        <v>1.6</v>
      </c>
      <c r="G234" s="7" t="s">
        <v>7</v>
      </c>
      <c r="H234">
        <v>0</v>
      </c>
      <c r="I234" s="14">
        <v>0.83342287380467717</v>
      </c>
      <c r="J234" s="9" t="s">
        <v>963</v>
      </c>
    </row>
    <row r="235" spans="1:10" ht="28.8" x14ac:dyDescent="0.3">
      <c r="A235" s="3" t="s">
        <v>35</v>
      </c>
      <c r="B235" s="5" t="s">
        <v>12</v>
      </c>
      <c r="C235">
        <v>114</v>
      </c>
      <c r="D235">
        <v>5.2</v>
      </c>
      <c r="E235">
        <v>6.5</v>
      </c>
      <c r="F235">
        <v>1.8</v>
      </c>
      <c r="G235" s="7" t="s">
        <v>13</v>
      </c>
      <c r="H235">
        <v>0</v>
      </c>
      <c r="I235" s="14">
        <v>0.72829107307816709</v>
      </c>
      <c r="J235" s="9" t="s">
        <v>963</v>
      </c>
    </row>
    <row r="236" spans="1:10" ht="28.8" x14ac:dyDescent="0.3">
      <c r="A236" s="3" t="s">
        <v>36</v>
      </c>
      <c r="B236" s="5" t="s">
        <v>18</v>
      </c>
      <c r="C236">
        <v>84</v>
      </c>
      <c r="D236">
        <v>4.7</v>
      </c>
      <c r="E236">
        <v>4.7</v>
      </c>
      <c r="F236">
        <v>1</v>
      </c>
      <c r="G236" s="7" t="s">
        <v>11</v>
      </c>
      <c r="H236">
        <v>0</v>
      </c>
      <c r="I236" s="14">
        <v>0.75903173677157376</v>
      </c>
      <c r="J236" s="9" t="s">
        <v>963</v>
      </c>
    </row>
    <row r="237" spans="1:10" x14ac:dyDescent="0.3">
      <c r="A237" s="3" t="s">
        <v>37</v>
      </c>
      <c r="B237" s="5" t="s">
        <v>10</v>
      </c>
      <c r="C237">
        <v>466</v>
      </c>
      <c r="D237">
        <v>1.6</v>
      </c>
      <c r="E237">
        <v>2.8</v>
      </c>
      <c r="F237">
        <v>0.6</v>
      </c>
      <c r="G237" s="7" t="s">
        <v>7</v>
      </c>
      <c r="H237">
        <v>0</v>
      </c>
      <c r="I237" s="14">
        <v>0.85935996193058439</v>
      </c>
      <c r="J237" s="9" t="s">
        <v>963</v>
      </c>
    </row>
    <row r="238" spans="1:10" ht="28.8" x14ac:dyDescent="0.3">
      <c r="A238" s="3" t="s">
        <v>41</v>
      </c>
      <c r="B238" s="5" t="s">
        <v>12</v>
      </c>
      <c r="C238">
        <v>213</v>
      </c>
      <c r="D238">
        <v>4.2</v>
      </c>
      <c r="E238">
        <v>9</v>
      </c>
      <c r="F238">
        <v>3</v>
      </c>
      <c r="G238" s="7" t="s">
        <v>13</v>
      </c>
      <c r="H238">
        <v>0</v>
      </c>
      <c r="I238" s="14">
        <v>0.70239101330483988</v>
      </c>
      <c r="J238" s="9" t="s">
        <v>963</v>
      </c>
    </row>
    <row r="239" spans="1:10" x14ac:dyDescent="0.3">
      <c r="A239" s="3" t="s">
        <v>42</v>
      </c>
      <c r="B239" s="5" t="s">
        <v>8</v>
      </c>
      <c r="C239">
        <v>200</v>
      </c>
      <c r="D239">
        <v>3</v>
      </c>
      <c r="E239">
        <v>6.5</v>
      </c>
      <c r="F239">
        <v>2.5</v>
      </c>
      <c r="G239" s="7" t="s">
        <v>13</v>
      </c>
      <c r="H239">
        <v>0</v>
      </c>
      <c r="I239" s="14">
        <v>0.8812376959184538</v>
      </c>
      <c r="J239" s="9" t="s">
        <v>963</v>
      </c>
    </row>
    <row r="240" spans="1:10" ht="28.8" x14ac:dyDescent="0.3">
      <c r="A240" s="3" t="s">
        <v>45</v>
      </c>
      <c r="B240" s="5" t="s">
        <v>12</v>
      </c>
      <c r="C240">
        <v>311</v>
      </c>
      <c r="D240">
        <v>1.5</v>
      </c>
      <c r="E240">
        <v>0.9</v>
      </c>
      <c r="F240">
        <v>1.4</v>
      </c>
      <c r="G240" s="7" t="s">
        <v>11</v>
      </c>
      <c r="H240">
        <v>0</v>
      </c>
      <c r="I240" s="14">
        <v>0.92013524466259222</v>
      </c>
      <c r="J240" s="9" t="s">
        <v>963</v>
      </c>
    </row>
    <row r="241" spans="1:10" ht="28.8" x14ac:dyDescent="0.3">
      <c r="A241" s="3" t="s">
        <v>50</v>
      </c>
      <c r="B241" s="5" t="s">
        <v>14</v>
      </c>
      <c r="C241">
        <v>82</v>
      </c>
      <c r="D241">
        <v>4.0999999999999996</v>
      </c>
      <c r="E241">
        <v>9</v>
      </c>
      <c r="F241">
        <v>1.7</v>
      </c>
      <c r="G241" s="7" t="s">
        <v>13</v>
      </c>
      <c r="H241">
        <v>0</v>
      </c>
      <c r="I241" s="14">
        <v>0.75984990812937458</v>
      </c>
      <c r="J241" s="9" t="s">
        <v>963</v>
      </c>
    </row>
    <row r="242" spans="1:10" ht="28.8" x14ac:dyDescent="0.3">
      <c r="A242" s="3" t="s">
        <v>57</v>
      </c>
      <c r="B242" s="5" t="s">
        <v>6</v>
      </c>
      <c r="C242">
        <v>230</v>
      </c>
      <c r="D242">
        <v>1.8</v>
      </c>
      <c r="E242">
        <v>3.8</v>
      </c>
      <c r="F242">
        <v>2.7</v>
      </c>
      <c r="G242" s="7" t="s">
        <v>7</v>
      </c>
      <c r="H242">
        <v>0</v>
      </c>
      <c r="I242" s="14">
        <v>0.86154073111997009</v>
      </c>
      <c r="J242" s="9" t="s">
        <v>963</v>
      </c>
    </row>
    <row r="243" spans="1:10" ht="28.8" x14ac:dyDescent="0.3">
      <c r="A243" s="3" t="s">
        <v>58</v>
      </c>
      <c r="B243" s="5" t="s">
        <v>14</v>
      </c>
      <c r="C243">
        <v>401</v>
      </c>
      <c r="D243">
        <v>1.9</v>
      </c>
      <c r="E243">
        <v>2.8</v>
      </c>
      <c r="F243">
        <v>1</v>
      </c>
      <c r="G243" s="7" t="s">
        <v>11</v>
      </c>
      <c r="H243">
        <v>0</v>
      </c>
      <c r="I243" s="14">
        <v>0.93537297557081167</v>
      </c>
      <c r="J243" s="9" t="s">
        <v>963</v>
      </c>
    </row>
    <row r="244" spans="1:10" x14ac:dyDescent="0.3">
      <c r="A244" s="3" t="s">
        <v>66</v>
      </c>
      <c r="B244" s="5" t="s">
        <v>8</v>
      </c>
      <c r="C244">
        <v>236</v>
      </c>
      <c r="D244">
        <v>7.3</v>
      </c>
      <c r="E244">
        <v>7.8</v>
      </c>
      <c r="F244">
        <v>1.6</v>
      </c>
      <c r="G244" s="7" t="s">
        <v>11</v>
      </c>
      <c r="H244">
        <v>0</v>
      </c>
      <c r="I244" s="14">
        <v>0.77779464160661516</v>
      </c>
      <c r="J244" s="9" t="s">
        <v>963</v>
      </c>
    </row>
    <row r="245" spans="1:10" ht="28.8" x14ac:dyDescent="0.3">
      <c r="A245" s="3" t="s">
        <v>68</v>
      </c>
      <c r="B245" s="5" t="s">
        <v>18</v>
      </c>
      <c r="C245">
        <v>63</v>
      </c>
      <c r="D245">
        <v>3.1</v>
      </c>
      <c r="E245">
        <v>0.9</v>
      </c>
      <c r="F245">
        <v>2.6</v>
      </c>
      <c r="G245" s="7" t="s">
        <v>7</v>
      </c>
      <c r="H245">
        <v>0</v>
      </c>
      <c r="I245" s="14">
        <v>0.86399504762788515</v>
      </c>
      <c r="J245" s="9" t="s">
        <v>963</v>
      </c>
    </row>
    <row r="246" spans="1:10" ht="28.8" x14ac:dyDescent="0.3">
      <c r="A246" s="3" t="s">
        <v>70</v>
      </c>
      <c r="B246" s="5" t="s">
        <v>14</v>
      </c>
      <c r="C246">
        <v>281</v>
      </c>
      <c r="D246">
        <v>4.8</v>
      </c>
      <c r="E246">
        <v>6.9</v>
      </c>
      <c r="F246">
        <v>1.4</v>
      </c>
      <c r="G246" s="7" t="s">
        <v>9</v>
      </c>
      <c r="H246">
        <v>0</v>
      </c>
      <c r="I246" s="14">
        <v>0.75131260738518602</v>
      </c>
      <c r="J246" s="9" t="s">
        <v>963</v>
      </c>
    </row>
    <row r="247" spans="1:10" ht="28.8" x14ac:dyDescent="0.3">
      <c r="A247" s="3" t="s">
        <v>71</v>
      </c>
      <c r="B247" s="5" t="s">
        <v>6</v>
      </c>
      <c r="C247">
        <v>79</v>
      </c>
      <c r="D247">
        <v>5.2</v>
      </c>
      <c r="E247">
        <v>5.4</v>
      </c>
      <c r="F247">
        <v>1.9</v>
      </c>
      <c r="G247" s="7" t="s">
        <v>11</v>
      </c>
      <c r="H247">
        <v>0</v>
      </c>
      <c r="I247" s="14">
        <v>0.73902144287144567</v>
      </c>
      <c r="J247" s="9" t="s">
        <v>963</v>
      </c>
    </row>
    <row r="248" spans="1:10" x14ac:dyDescent="0.3">
      <c r="A248" s="3" t="s">
        <v>73</v>
      </c>
      <c r="B248" s="5" t="s">
        <v>10</v>
      </c>
      <c r="C248">
        <v>415</v>
      </c>
      <c r="D248">
        <v>3.2</v>
      </c>
      <c r="E248">
        <v>7.3</v>
      </c>
      <c r="F248">
        <v>1.5</v>
      </c>
      <c r="G248" s="7" t="s">
        <v>9</v>
      </c>
      <c r="H248">
        <v>0</v>
      </c>
      <c r="I248" s="14">
        <v>0.8280588739153204</v>
      </c>
      <c r="J248" s="9" t="s">
        <v>963</v>
      </c>
    </row>
    <row r="249" spans="1:10" x14ac:dyDescent="0.3">
      <c r="A249" s="3" t="s">
        <v>80</v>
      </c>
      <c r="B249" s="5" t="s">
        <v>8</v>
      </c>
      <c r="C249">
        <v>226</v>
      </c>
      <c r="D249">
        <v>3.9</v>
      </c>
      <c r="E249">
        <v>9.6999999999999993</v>
      </c>
      <c r="F249">
        <v>2</v>
      </c>
      <c r="G249" s="7" t="s">
        <v>7</v>
      </c>
      <c r="H249">
        <v>0</v>
      </c>
      <c r="I249" s="14">
        <v>0.80652733893812567</v>
      </c>
      <c r="J249" s="9" t="s">
        <v>963</v>
      </c>
    </row>
    <row r="250" spans="1:10" x14ac:dyDescent="0.3">
      <c r="A250" s="3" t="s">
        <v>83</v>
      </c>
      <c r="B250" s="5" t="s">
        <v>10</v>
      </c>
      <c r="C250">
        <v>499</v>
      </c>
      <c r="D250">
        <v>0.6</v>
      </c>
      <c r="E250">
        <v>2.7</v>
      </c>
      <c r="F250">
        <v>0.9</v>
      </c>
      <c r="G250" s="7" t="s">
        <v>13</v>
      </c>
      <c r="H250">
        <v>0</v>
      </c>
      <c r="I250" s="14">
        <v>0.7187437237830846</v>
      </c>
      <c r="J250" s="9" t="s">
        <v>963</v>
      </c>
    </row>
    <row r="251" spans="1:10" ht="28.8" x14ac:dyDescent="0.3">
      <c r="A251" s="3" t="s">
        <v>86</v>
      </c>
      <c r="B251" s="5" t="s">
        <v>12</v>
      </c>
      <c r="C251">
        <v>256</v>
      </c>
      <c r="D251">
        <v>2.2000000000000002</v>
      </c>
      <c r="E251">
        <v>8.4</v>
      </c>
      <c r="F251">
        <v>1.6</v>
      </c>
      <c r="G251" s="7" t="s">
        <v>9</v>
      </c>
      <c r="H251">
        <v>0</v>
      </c>
      <c r="I251" s="14">
        <v>0.80586071000809745</v>
      </c>
      <c r="J251" s="9" t="s">
        <v>963</v>
      </c>
    </row>
    <row r="252" spans="1:10" ht="28.8" x14ac:dyDescent="0.3">
      <c r="A252" s="3" t="s">
        <v>89</v>
      </c>
      <c r="B252" s="5" t="s">
        <v>6</v>
      </c>
      <c r="C252">
        <v>262</v>
      </c>
      <c r="D252">
        <v>1.2</v>
      </c>
      <c r="E252">
        <v>0.9</v>
      </c>
      <c r="F252">
        <v>2.1</v>
      </c>
      <c r="G252" s="7" t="s">
        <v>9</v>
      </c>
      <c r="H252">
        <v>0</v>
      </c>
      <c r="I252" s="14">
        <v>0.75573682827771693</v>
      </c>
      <c r="J252" s="9" t="s">
        <v>963</v>
      </c>
    </row>
    <row r="253" spans="1:10" ht="28.8" x14ac:dyDescent="0.3">
      <c r="A253" s="3" t="s">
        <v>101</v>
      </c>
      <c r="B253" s="5" t="s">
        <v>6</v>
      </c>
      <c r="C253">
        <v>233</v>
      </c>
      <c r="D253">
        <v>1.5</v>
      </c>
      <c r="E253">
        <v>0.6</v>
      </c>
      <c r="F253">
        <v>2</v>
      </c>
      <c r="G253" s="7" t="s">
        <v>11</v>
      </c>
      <c r="H253">
        <v>0</v>
      </c>
      <c r="I253" s="14">
        <v>0.90158788401105894</v>
      </c>
      <c r="J253" s="9" t="s">
        <v>963</v>
      </c>
    </row>
    <row r="254" spans="1:10" ht="28.8" x14ac:dyDescent="0.3">
      <c r="A254" s="3" t="s">
        <v>102</v>
      </c>
      <c r="B254" s="5" t="s">
        <v>14</v>
      </c>
      <c r="C254">
        <v>63</v>
      </c>
      <c r="D254">
        <v>7.3</v>
      </c>
      <c r="E254">
        <v>6.7</v>
      </c>
      <c r="F254">
        <v>2.6</v>
      </c>
      <c r="G254" s="7" t="s">
        <v>9</v>
      </c>
      <c r="H254">
        <v>0</v>
      </c>
      <c r="I254" s="14">
        <v>0.8290889169973733</v>
      </c>
      <c r="J254" s="9" t="s">
        <v>963</v>
      </c>
    </row>
    <row r="255" spans="1:10" x14ac:dyDescent="0.3">
      <c r="A255" s="3" t="s">
        <v>104</v>
      </c>
      <c r="B255" s="5" t="s">
        <v>8</v>
      </c>
      <c r="C255">
        <v>141</v>
      </c>
      <c r="D255">
        <v>4.3</v>
      </c>
      <c r="E255">
        <v>6.5</v>
      </c>
      <c r="F255">
        <v>2.2000000000000002</v>
      </c>
      <c r="G255" s="7" t="s">
        <v>7</v>
      </c>
      <c r="H255">
        <v>0</v>
      </c>
      <c r="I255" s="14">
        <v>0.78859035382051657</v>
      </c>
      <c r="J255" s="9" t="s">
        <v>963</v>
      </c>
    </row>
    <row r="256" spans="1:10" x14ac:dyDescent="0.3">
      <c r="A256" s="3" t="s">
        <v>106</v>
      </c>
      <c r="B256" s="5" t="s">
        <v>10</v>
      </c>
      <c r="C256">
        <v>500</v>
      </c>
      <c r="D256">
        <v>6.8</v>
      </c>
      <c r="E256">
        <v>2.2000000000000002</v>
      </c>
      <c r="F256">
        <v>1.3</v>
      </c>
      <c r="G256" s="7" t="s">
        <v>13</v>
      </c>
      <c r="H256">
        <v>0</v>
      </c>
      <c r="I256" s="14">
        <v>0.71836991329658895</v>
      </c>
      <c r="J256" s="9" t="s">
        <v>963</v>
      </c>
    </row>
    <row r="257" spans="1:10" ht="28.8" x14ac:dyDescent="0.3">
      <c r="A257" s="3" t="s">
        <v>113</v>
      </c>
      <c r="B257" s="5" t="s">
        <v>18</v>
      </c>
      <c r="C257">
        <v>115</v>
      </c>
      <c r="D257">
        <v>1.6</v>
      </c>
      <c r="E257">
        <v>4</v>
      </c>
      <c r="F257">
        <v>1.3</v>
      </c>
      <c r="G257" s="7" t="s">
        <v>7</v>
      </c>
      <c r="H257">
        <v>0</v>
      </c>
      <c r="I257" s="14">
        <v>0.79410608250512427</v>
      </c>
      <c r="J257" s="9" t="s">
        <v>963</v>
      </c>
    </row>
    <row r="258" spans="1:10" ht="28.8" x14ac:dyDescent="0.3">
      <c r="A258" s="3" t="s">
        <v>119</v>
      </c>
      <c r="B258" s="5" t="s">
        <v>14</v>
      </c>
      <c r="C258">
        <v>411</v>
      </c>
      <c r="D258">
        <v>6.1</v>
      </c>
      <c r="E258">
        <v>9.8000000000000007</v>
      </c>
      <c r="F258">
        <v>1</v>
      </c>
      <c r="G258" s="7" t="s">
        <v>9</v>
      </c>
      <c r="H258">
        <v>0</v>
      </c>
      <c r="I258" s="14">
        <v>0.71620650627978077</v>
      </c>
      <c r="J258" s="9" t="s">
        <v>963</v>
      </c>
    </row>
    <row r="259" spans="1:10" ht="28.8" x14ac:dyDescent="0.3">
      <c r="A259" s="3" t="s">
        <v>120</v>
      </c>
      <c r="B259" s="5" t="s">
        <v>6</v>
      </c>
      <c r="C259">
        <v>166</v>
      </c>
      <c r="D259">
        <v>2</v>
      </c>
      <c r="E259">
        <v>8.6</v>
      </c>
      <c r="F259">
        <v>2.7</v>
      </c>
      <c r="G259" s="7" t="s">
        <v>7</v>
      </c>
      <c r="H259">
        <v>0</v>
      </c>
      <c r="I259" s="14">
        <v>0.84444073888125526</v>
      </c>
      <c r="J259" s="9" t="s">
        <v>963</v>
      </c>
    </row>
    <row r="260" spans="1:10" ht="28.8" x14ac:dyDescent="0.3">
      <c r="A260" s="3" t="s">
        <v>125</v>
      </c>
      <c r="B260" s="5" t="s">
        <v>18</v>
      </c>
      <c r="C260">
        <v>489</v>
      </c>
      <c r="D260">
        <v>5.5</v>
      </c>
      <c r="E260">
        <v>2</v>
      </c>
      <c r="F260">
        <v>1.5</v>
      </c>
      <c r="G260" s="7" t="s">
        <v>13</v>
      </c>
      <c r="H260">
        <v>0</v>
      </c>
      <c r="I260" s="14">
        <v>0.95753377675140539</v>
      </c>
      <c r="J260" s="9" t="s">
        <v>963</v>
      </c>
    </row>
    <row r="261" spans="1:10" ht="28.8" x14ac:dyDescent="0.3">
      <c r="A261" s="3" t="s">
        <v>133</v>
      </c>
      <c r="B261" s="5" t="s">
        <v>6</v>
      </c>
      <c r="C261">
        <v>96</v>
      </c>
      <c r="D261">
        <v>6.2</v>
      </c>
      <c r="E261">
        <v>5.4</v>
      </c>
      <c r="F261">
        <v>0.7</v>
      </c>
      <c r="G261" s="7" t="s">
        <v>9</v>
      </c>
      <c r="H261">
        <v>0</v>
      </c>
      <c r="I261" s="14">
        <v>0.97194448196621885</v>
      </c>
      <c r="J261" s="9" t="s">
        <v>963</v>
      </c>
    </row>
    <row r="262" spans="1:10" ht="28.8" x14ac:dyDescent="0.3">
      <c r="A262" s="3" t="s">
        <v>146</v>
      </c>
      <c r="B262" s="5" t="s">
        <v>12</v>
      </c>
      <c r="C262">
        <v>400</v>
      </c>
      <c r="D262">
        <v>4.3</v>
      </c>
      <c r="E262">
        <v>9</v>
      </c>
      <c r="F262">
        <v>1.2</v>
      </c>
      <c r="G262" s="7" t="s">
        <v>9</v>
      </c>
      <c r="H262">
        <v>0</v>
      </c>
      <c r="I262" s="14">
        <v>0.87895529652895055</v>
      </c>
      <c r="J262" s="9" t="s">
        <v>963</v>
      </c>
    </row>
    <row r="263" spans="1:10" ht="28.8" x14ac:dyDescent="0.3">
      <c r="A263" s="3" t="s">
        <v>154</v>
      </c>
      <c r="B263" s="5" t="s">
        <v>12</v>
      </c>
      <c r="C263">
        <v>100</v>
      </c>
      <c r="D263">
        <v>7.4</v>
      </c>
      <c r="E263">
        <v>0.8</v>
      </c>
      <c r="F263">
        <v>1.7</v>
      </c>
      <c r="G263" s="7" t="s">
        <v>13</v>
      </c>
      <c r="H263">
        <v>0</v>
      </c>
      <c r="I263" s="14">
        <v>0.87241394919943704</v>
      </c>
      <c r="J263" s="9" t="s">
        <v>963</v>
      </c>
    </row>
    <row r="264" spans="1:10" ht="28.8" x14ac:dyDescent="0.3">
      <c r="A264" s="3" t="s">
        <v>155</v>
      </c>
      <c r="B264" s="5" t="s">
        <v>18</v>
      </c>
      <c r="C264">
        <v>353</v>
      </c>
      <c r="D264">
        <v>6</v>
      </c>
      <c r="E264">
        <v>1.9</v>
      </c>
      <c r="F264">
        <v>1.9</v>
      </c>
      <c r="G264" s="7" t="s">
        <v>9</v>
      </c>
      <c r="H264">
        <v>0</v>
      </c>
      <c r="I264" s="14">
        <v>0.70349727960157238</v>
      </c>
      <c r="J264" s="9" t="s">
        <v>963</v>
      </c>
    </row>
    <row r="265" spans="1:10" ht="28.8" x14ac:dyDescent="0.3">
      <c r="A265" s="3" t="s">
        <v>158</v>
      </c>
      <c r="B265" s="5" t="s">
        <v>6</v>
      </c>
      <c r="C265">
        <v>183</v>
      </c>
      <c r="D265">
        <v>0.6</v>
      </c>
      <c r="E265">
        <v>5.0999999999999996</v>
      </c>
      <c r="F265">
        <v>2.5</v>
      </c>
      <c r="G265" s="7" t="s">
        <v>7</v>
      </c>
      <c r="H265">
        <v>0</v>
      </c>
      <c r="I265" s="14">
        <v>0.97326027550406347</v>
      </c>
      <c r="J265" s="9" t="s">
        <v>963</v>
      </c>
    </row>
    <row r="266" spans="1:10" ht="28.8" x14ac:dyDescent="0.3">
      <c r="A266" s="3" t="s">
        <v>164</v>
      </c>
      <c r="B266" s="5" t="s">
        <v>6</v>
      </c>
      <c r="C266">
        <v>276</v>
      </c>
      <c r="D266">
        <v>6.6</v>
      </c>
      <c r="E266">
        <v>10</v>
      </c>
      <c r="F266">
        <v>1.6</v>
      </c>
      <c r="G266" s="7" t="s">
        <v>7</v>
      </c>
      <c r="H266">
        <v>0</v>
      </c>
      <c r="I266" s="14">
        <v>0.9850228027677681</v>
      </c>
      <c r="J266" s="9" t="s">
        <v>963</v>
      </c>
    </row>
    <row r="267" spans="1:10" x14ac:dyDescent="0.3">
      <c r="A267" s="3" t="s">
        <v>165</v>
      </c>
      <c r="B267" s="5" t="s">
        <v>10</v>
      </c>
      <c r="C267">
        <v>159</v>
      </c>
      <c r="D267">
        <v>3.6</v>
      </c>
      <c r="E267">
        <v>9.3000000000000007</v>
      </c>
      <c r="F267">
        <v>2.2999999999999998</v>
      </c>
      <c r="G267" s="7" t="s">
        <v>7</v>
      </c>
      <c r="H267">
        <v>0</v>
      </c>
      <c r="I267" s="14">
        <v>0.87501788971019823</v>
      </c>
      <c r="J267" s="9" t="s">
        <v>963</v>
      </c>
    </row>
    <row r="268" spans="1:10" ht="28.8" x14ac:dyDescent="0.3">
      <c r="A268" s="3" t="s">
        <v>167</v>
      </c>
      <c r="B268" s="5" t="s">
        <v>6</v>
      </c>
      <c r="C268">
        <v>186</v>
      </c>
      <c r="D268">
        <v>7.7</v>
      </c>
      <c r="E268">
        <v>1.5</v>
      </c>
      <c r="F268">
        <v>2.8</v>
      </c>
      <c r="G268" s="7" t="s">
        <v>13</v>
      </c>
      <c r="H268">
        <v>0</v>
      </c>
      <c r="I268" s="14">
        <v>0.98758284279635211</v>
      </c>
      <c r="J268" s="9" t="s">
        <v>963</v>
      </c>
    </row>
    <row r="269" spans="1:10" x14ac:dyDescent="0.3">
      <c r="A269" s="3" t="s">
        <v>173</v>
      </c>
      <c r="B269" s="5" t="s">
        <v>10</v>
      </c>
      <c r="C269">
        <v>450</v>
      </c>
      <c r="D269">
        <v>5.9</v>
      </c>
      <c r="E269">
        <v>5</v>
      </c>
      <c r="F269">
        <v>1.2</v>
      </c>
      <c r="G269" s="7" t="s">
        <v>13</v>
      </c>
      <c r="H269">
        <v>0</v>
      </c>
      <c r="I269" s="14">
        <v>0.76531079510049904</v>
      </c>
      <c r="J269" s="9" t="s">
        <v>963</v>
      </c>
    </row>
    <row r="270" spans="1:10" ht="28.8" x14ac:dyDescent="0.3">
      <c r="A270" s="3" t="s">
        <v>176</v>
      </c>
      <c r="B270" s="5" t="s">
        <v>12</v>
      </c>
      <c r="C270">
        <v>160</v>
      </c>
      <c r="D270">
        <v>2.4</v>
      </c>
      <c r="E270">
        <v>1.7</v>
      </c>
      <c r="F270">
        <v>1.2</v>
      </c>
      <c r="G270" s="7" t="s">
        <v>9</v>
      </c>
      <c r="H270">
        <v>0</v>
      </c>
      <c r="I270" s="14">
        <v>0.89009406017963322</v>
      </c>
      <c r="J270" s="9" t="s">
        <v>963</v>
      </c>
    </row>
    <row r="271" spans="1:10" ht="28.8" x14ac:dyDescent="0.3">
      <c r="A271" s="3" t="s">
        <v>180</v>
      </c>
      <c r="B271" s="5" t="s">
        <v>6</v>
      </c>
      <c r="C271">
        <v>448</v>
      </c>
      <c r="D271">
        <v>5.4</v>
      </c>
      <c r="E271">
        <v>0.6</v>
      </c>
      <c r="F271">
        <v>2.9</v>
      </c>
      <c r="G271" s="7" t="s">
        <v>11</v>
      </c>
      <c r="H271">
        <v>0</v>
      </c>
      <c r="I271" s="14">
        <v>0.95245405334270383</v>
      </c>
      <c r="J271" s="9" t="s">
        <v>963</v>
      </c>
    </row>
    <row r="272" spans="1:10" ht="28.8" x14ac:dyDescent="0.3">
      <c r="A272" s="3" t="s">
        <v>183</v>
      </c>
      <c r="B272" s="5" t="s">
        <v>12</v>
      </c>
      <c r="C272">
        <v>389</v>
      </c>
      <c r="D272">
        <v>4.8</v>
      </c>
      <c r="E272">
        <v>6.7</v>
      </c>
      <c r="F272">
        <v>2.6</v>
      </c>
      <c r="G272" s="7" t="s">
        <v>13</v>
      </c>
      <c r="H272">
        <v>0</v>
      </c>
      <c r="I272" s="14">
        <v>0.90716681849645875</v>
      </c>
      <c r="J272" s="9" t="s">
        <v>963</v>
      </c>
    </row>
    <row r="273" spans="1:10" ht="28.8" x14ac:dyDescent="0.3">
      <c r="A273" s="3" t="s">
        <v>185</v>
      </c>
      <c r="B273" s="5" t="s">
        <v>6</v>
      </c>
      <c r="C273">
        <v>303</v>
      </c>
      <c r="D273">
        <v>5.6</v>
      </c>
      <c r="E273">
        <v>6.4</v>
      </c>
      <c r="F273">
        <v>1.9</v>
      </c>
      <c r="G273" s="7" t="s">
        <v>11</v>
      </c>
      <c r="H273">
        <v>0</v>
      </c>
      <c r="I273" s="14">
        <v>0.70041308217111575</v>
      </c>
      <c r="J273" s="9" t="s">
        <v>963</v>
      </c>
    </row>
    <row r="274" spans="1:10" x14ac:dyDescent="0.3">
      <c r="A274" s="3" t="s">
        <v>186</v>
      </c>
      <c r="B274" s="5" t="s">
        <v>8</v>
      </c>
      <c r="C274">
        <v>142</v>
      </c>
      <c r="D274">
        <v>2.5</v>
      </c>
      <c r="E274">
        <v>3.3</v>
      </c>
      <c r="F274">
        <v>1.6</v>
      </c>
      <c r="G274" s="7" t="s">
        <v>7</v>
      </c>
      <c r="H274">
        <v>0</v>
      </c>
      <c r="I274" s="14">
        <v>0.93508823326905099</v>
      </c>
      <c r="J274" s="9" t="s">
        <v>963</v>
      </c>
    </row>
    <row r="275" spans="1:10" x14ac:dyDescent="0.3">
      <c r="A275" s="3" t="s">
        <v>188</v>
      </c>
      <c r="B275" s="5" t="s">
        <v>8</v>
      </c>
      <c r="C275">
        <v>261</v>
      </c>
      <c r="D275">
        <v>0.9</v>
      </c>
      <c r="E275">
        <v>4.9000000000000004</v>
      </c>
      <c r="F275">
        <v>2</v>
      </c>
      <c r="G275" s="7" t="s">
        <v>7</v>
      </c>
      <c r="H275">
        <v>0</v>
      </c>
      <c r="I275" s="14">
        <v>0.95153072100589431</v>
      </c>
      <c r="J275" s="9" t="s">
        <v>963</v>
      </c>
    </row>
    <row r="276" spans="1:10" ht="28.8" x14ac:dyDescent="0.3">
      <c r="A276" s="3" t="s">
        <v>191</v>
      </c>
      <c r="B276" s="5" t="s">
        <v>14</v>
      </c>
      <c r="C276">
        <v>158</v>
      </c>
      <c r="D276">
        <v>2.4</v>
      </c>
      <c r="E276">
        <v>3.9</v>
      </c>
      <c r="F276">
        <v>1.6</v>
      </c>
      <c r="G276" s="7" t="s">
        <v>7</v>
      </c>
      <c r="H276">
        <v>0</v>
      </c>
      <c r="I276" s="14">
        <v>0.84589035883575792</v>
      </c>
      <c r="J276" s="9" t="s">
        <v>963</v>
      </c>
    </row>
    <row r="277" spans="1:10" ht="28.8" x14ac:dyDescent="0.3">
      <c r="A277" s="3" t="s">
        <v>192</v>
      </c>
      <c r="B277" s="5" t="s">
        <v>14</v>
      </c>
      <c r="C277">
        <v>457</v>
      </c>
      <c r="D277">
        <v>4.2</v>
      </c>
      <c r="E277">
        <v>4.7</v>
      </c>
      <c r="F277">
        <v>0.7</v>
      </c>
      <c r="G277" s="7" t="s">
        <v>11</v>
      </c>
      <c r="H277">
        <v>0</v>
      </c>
      <c r="I277" s="14">
        <v>0.94783670578617274</v>
      </c>
      <c r="J277" s="9" t="s">
        <v>963</v>
      </c>
    </row>
    <row r="278" spans="1:10" ht="28.8" x14ac:dyDescent="0.3">
      <c r="A278" s="3" t="s">
        <v>195</v>
      </c>
      <c r="B278" s="5" t="s">
        <v>18</v>
      </c>
      <c r="C278">
        <v>267</v>
      </c>
      <c r="D278">
        <v>3.5</v>
      </c>
      <c r="E278">
        <v>9.4</v>
      </c>
      <c r="F278">
        <v>0.7</v>
      </c>
      <c r="G278" s="7" t="s">
        <v>7</v>
      </c>
      <c r="H278">
        <v>0</v>
      </c>
      <c r="I278" s="14">
        <v>0.73322368330830601</v>
      </c>
      <c r="J278" s="9" t="s">
        <v>963</v>
      </c>
    </row>
    <row r="279" spans="1:10" ht="28.8" x14ac:dyDescent="0.3">
      <c r="A279" s="3" t="s">
        <v>199</v>
      </c>
      <c r="B279" s="5" t="s">
        <v>18</v>
      </c>
      <c r="C279">
        <v>196</v>
      </c>
      <c r="D279">
        <v>7.7</v>
      </c>
      <c r="E279">
        <v>8.1999999999999993</v>
      </c>
      <c r="F279">
        <v>0.5</v>
      </c>
      <c r="G279" s="7" t="s">
        <v>11</v>
      </c>
      <c r="H279">
        <v>0</v>
      </c>
      <c r="I279" s="14">
        <v>0.97832851691016309</v>
      </c>
      <c r="J279" s="9" t="s">
        <v>963</v>
      </c>
    </row>
    <row r="280" spans="1:10" ht="28.8" x14ac:dyDescent="0.3">
      <c r="A280" s="3" t="s">
        <v>202</v>
      </c>
      <c r="B280" s="5" t="s">
        <v>6</v>
      </c>
      <c r="C280">
        <v>432</v>
      </c>
      <c r="D280">
        <v>5.0999999999999996</v>
      </c>
      <c r="E280">
        <v>2.4</v>
      </c>
      <c r="F280">
        <v>3</v>
      </c>
      <c r="G280" s="7" t="s">
        <v>11</v>
      </c>
      <c r="H280">
        <v>0</v>
      </c>
      <c r="I280" s="14">
        <v>0.85487837839271408</v>
      </c>
      <c r="J280" s="9" t="s">
        <v>963</v>
      </c>
    </row>
    <row r="281" spans="1:10" x14ac:dyDescent="0.3">
      <c r="A281" s="3" t="s">
        <v>203</v>
      </c>
      <c r="B281" s="5" t="s">
        <v>10</v>
      </c>
      <c r="C281">
        <v>407</v>
      </c>
      <c r="D281">
        <v>7.3</v>
      </c>
      <c r="E281">
        <v>7.7</v>
      </c>
      <c r="F281">
        <v>1.9</v>
      </c>
      <c r="G281" s="7" t="s">
        <v>9</v>
      </c>
      <c r="H281">
        <v>0</v>
      </c>
      <c r="I281" s="14">
        <v>0.95928933417592599</v>
      </c>
      <c r="J281" s="9" t="s">
        <v>963</v>
      </c>
    </row>
    <row r="282" spans="1:10" x14ac:dyDescent="0.3">
      <c r="A282" s="3" t="s">
        <v>206</v>
      </c>
      <c r="B282" s="5" t="s">
        <v>8</v>
      </c>
      <c r="C282">
        <v>228</v>
      </c>
      <c r="D282">
        <v>4.0999999999999996</v>
      </c>
      <c r="E282">
        <v>2</v>
      </c>
      <c r="F282">
        <v>2.4</v>
      </c>
      <c r="G282" s="7" t="s">
        <v>13</v>
      </c>
      <c r="H282">
        <v>0</v>
      </c>
      <c r="I282" s="14">
        <v>0.76500907535331697</v>
      </c>
      <c r="J282" s="9" t="s">
        <v>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Train Data</vt:lpstr>
      <vt:lpstr>Test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BISWARUPA MOHAPATRA</dc:creator>
  <cp:lastModifiedBy>Biswarupa Mohapatra</cp:lastModifiedBy>
  <dcterms:created xsi:type="dcterms:W3CDTF">2015-06-05T18:17:20Z</dcterms:created>
  <dcterms:modified xsi:type="dcterms:W3CDTF">2026-06-24T13:33:05Z</dcterms:modified>
</cp:coreProperties>
</file>